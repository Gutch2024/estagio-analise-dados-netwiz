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card" sheetId="1" r:id="rId5"/>
    <sheet state="visible" name="Resumo" sheetId="2" r:id="rId6"/>
    <sheet state="visible" name="Metodologia P2" sheetId="3" r:id="rId7"/>
  </sheets>
  <definedNames>
    <definedName hidden="1" localSheetId="0" name="_xlnm._FilterDatabase">Scorecard!$A$3:$O$169</definedName>
  </definedNames>
  <calcPr/>
</workbook>
</file>

<file path=xl/sharedStrings.xml><?xml version="1.0" encoding="utf-8"?>
<sst xmlns="http://schemas.openxmlformats.org/spreadsheetml/2006/main" count="911" uniqueCount="248">
  <si>
    <t>NetWiz Systems  |  P2 - Scorecard de maturidade digital</t>
  </si>
  <si>
    <t>Pontuação 0-100 por empresa sobre a base P1 (167 leads).  Colunas E-J (azul) = notas por critério (0-100).  Pontuação = notas x pesos (folha 'Metodologia P2').  Pontuação baixa = maturidade baixa = maior prioridade.  A 'Prioridade (maturidade)' da P2 é distinta da 'Prioridade' da P1 (abordagem) - ver Metodologia, ponto 5.</t>
  </si>
  <si>
    <t>N.º</t>
  </si>
  <si>
    <t>País</t>
  </si>
  <si>
    <t>Empresa / Entidade</t>
  </si>
  <si>
    <t>Setor</t>
  </si>
  <si>
    <t>Website</t>
  </si>
  <si>
    <t>E-commerce</t>
  </si>
  <si>
    <t>Redes sociais</t>
  </si>
  <si>
    <t>SEO / veloc.</t>
  </si>
  <si>
    <t>Google</t>
  </si>
  <si>
    <t>Formulário / CTA</t>
  </si>
  <si>
    <t>Pontuação (0-100)</t>
  </si>
  <si>
    <t>Nível de maturidade</t>
  </si>
  <si>
    <t>Bloqueio principal</t>
  </si>
  <si>
    <t>Serviço recomendado</t>
  </si>
  <si>
    <t>Prioridade (maturidade)</t>
  </si>
  <si>
    <t>Portugal</t>
  </si>
  <si>
    <t>EPET - Escola Profissional de Estudos Técnicos</t>
  </si>
  <si>
    <t>Educação, ensino profissional e formação</t>
  </si>
  <si>
    <t>Conversão</t>
  </si>
  <si>
    <t>Website + Comunicação digital</t>
  </si>
  <si>
    <t>Escola do Saber</t>
  </si>
  <si>
    <t>EPDRG - Escola Profissional de Desenvolvimento Rural de Grândola</t>
  </si>
  <si>
    <t>Operacional</t>
  </si>
  <si>
    <t>Automação + LeadDesk</t>
  </si>
  <si>
    <t>FEPS - Fundação Escola Profissional de Setúbal</t>
  </si>
  <si>
    <t>CENFIC / CICCOPN - Academia Lisboa</t>
  </si>
  <si>
    <t>CEAC Corporate - Formação Online</t>
  </si>
  <si>
    <t>Escola Profissional de Torres Vedras</t>
  </si>
  <si>
    <t>Sem presença</t>
  </si>
  <si>
    <t>Website + Marketing digital</t>
  </si>
  <si>
    <t>Escola Profissional de Braga (EPB)</t>
  </si>
  <si>
    <t>Insignare - EPO Escola Profissional de Ourém</t>
  </si>
  <si>
    <t>EPRAL - Escola Profissional da Região Alentejo</t>
  </si>
  <si>
    <t>Escola Profissional Bento de Jesus Caraca</t>
  </si>
  <si>
    <t>Processos dispersos</t>
  </si>
  <si>
    <t>Software à medida + CRM</t>
  </si>
  <si>
    <t>Escola Profissional de Salvaterra de Magos</t>
  </si>
  <si>
    <t>Escola Profissional de Almada</t>
  </si>
  <si>
    <t>Escola Profissional Ruiz Costa</t>
  </si>
  <si>
    <t>Escola Profissional de Comércio Externo</t>
  </si>
  <si>
    <t>Escola Profissional de Gaia (EPG)</t>
  </si>
  <si>
    <t>Escola de Comércio do Porto</t>
  </si>
  <si>
    <t>Profitecla - Escola Profissional</t>
  </si>
  <si>
    <t>Escola Profissional Infante D. Henrique</t>
  </si>
  <si>
    <t>Escola Profissional de Campanhã</t>
  </si>
  <si>
    <t>Escola Profissional Gustave Eiffel</t>
  </si>
  <si>
    <t>INETE - Instituto de Educação Técnica</t>
  </si>
  <si>
    <t>NERLEI - Associação Empresarial da Região de Leiria</t>
  </si>
  <si>
    <t>Associações empresariais e câmaras de comércio</t>
  </si>
  <si>
    <t>AIDA CCI - Câmara de Comércio de Aveiro</t>
  </si>
  <si>
    <t>ANPME - Associação Nacional das Pequenas e Médias Empresas</t>
  </si>
  <si>
    <t>Associação Empresarial de Braga (AEB)</t>
  </si>
  <si>
    <t>ADRAL - Agência de Desenvolvimento Regional do Alentejo</t>
  </si>
  <si>
    <t>ACISJM - Associação Comercial e Industrial de São João da Madeira</t>
  </si>
  <si>
    <t>ACIB - Associação Comercial e Industrial da Bairrada</t>
  </si>
  <si>
    <t>ACICB - Associação Comercial e Empresarial da Beira Baixa</t>
  </si>
  <si>
    <t>Associação Comercial e Empresarial do Distrito de Aveiro</t>
  </si>
  <si>
    <t>CCIP - Câmara de Comércio e Indústria Portuguesa</t>
  </si>
  <si>
    <t>Associação Empresarial de Portugal (AEP)</t>
  </si>
  <si>
    <t>Câmara de Comércio e Indústria Luso-Espanhola</t>
  </si>
  <si>
    <t>Associação da Hotelaria de Portugal (AHP)</t>
  </si>
  <si>
    <t>ACIMG - Associação Comercial e Industrial da Marinha Grande</t>
  </si>
  <si>
    <t>ANIMEE - Associação Portuguesa das Empresas do Sector Eléctrico e Electrónico</t>
  </si>
  <si>
    <t>AICCOPN - Assoc. dos Industriais da Construção Civil e Obras Públicas do Norte</t>
  </si>
  <si>
    <t>ACIVR - Associação Comercial e Industrial de Vila Real</t>
  </si>
  <si>
    <t>ACDV - Associação Comercial do Distrito de Viseu</t>
  </si>
  <si>
    <t>NERC-ACIC - Associação Empresarial da Região de Coimbra</t>
  </si>
  <si>
    <t>ACIF - Associação Comercial e Industrial de V.N. Famalicão</t>
  </si>
  <si>
    <t>NERSANT - Associação Empresarial da Região de Santarém</t>
  </si>
  <si>
    <t>Pastelaria Alcôa</t>
  </si>
  <si>
    <t>Mercados municipais e comércio local organizado</t>
  </si>
  <si>
    <t>Mercado Municipal de Santarém</t>
  </si>
  <si>
    <t>Mercado Municipal de Tavira</t>
  </si>
  <si>
    <t>Mercado Municipal de Castelo Branco</t>
  </si>
  <si>
    <t>Mercado Municipal de Santa Maria da Feira</t>
  </si>
  <si>
    <t>Mercado Municipal do Montijo</t>
  </si>
  <si>
    <t>Mercado Municipal de Sines</t>
  </si>
  <si>
    <t>Mercado Municipal de Paio Pires</t>
  </si>
  <si>
    <t>Mercado Municipal da Torre da Marinha</t>
  </si>
  <si>
    <t>Mercado Municipal de Guimarães</t>
  </si>
  <si>
    <t>Mercado Municipal de Loulé</t>
  </si>
  <si>
    <t>Mercado Municipal de Vila Franca de Xira</t>
  </si>
  <si>
    <t>Mercado Municipal de Braga</t>
  </si>
  <si>
    <t>Mercado Municipal de Agualva</t>
  </si>
  <si>
    <t>Mercado Municipal do Cacém</t>
  </si>
  <si>
    <t>Mercado de Casal de Cambra</t>
  </si>
  <si>
    <t>Mercado Municipal de Portimão</t>
  </si>
  <si>
    <t>Mercado de Campo de Ourique</t>
  </si>
  <si>
    <t>Mercado Municipal de Espinho</t>
  </si>
  <si>
    <t>Centro de Formação da Guarda (IEFP)</t>
  </si>
  <si>
    <t>Organismos públicos de emprego e centros públicos de formação</t>
  </si>
  <si>
    <t>Centro de Formação de Coimbra (IEFP)</t>
  </si>
  <si>
    <t>Centro de Formação de Setúbal (IEFP)</t>
  </si>
  <si>
    <t>GIP Seixal (IEFP/Municipio)</t>
  </si>
  <si>
    <t>GIP Loures</t>
  </si>
  <si>
    <t>GIP Caparica (SCM Almada)</t>
  </si>
  <si>
    <t>GIP Trafaria (SCM Almada)</t>
  </si>
  <si>
    <t>GIP Santa Maria da Feira</t>
  </si>
  <si>
    <t>GIP Universidade Autonoma</t>
  </si>
  <si>
    <t>GIP Leiria</t>
  </si>
  <si>
    <t>Centro de Formação de Faro (IEFP)</t>
  </si>
  <si>
    <t>Centro de Formação de Viseu (IEFP)</t>
  </si>
  <si>
    <t>Centro de Formação de Braga (IEFP)</t>
  </si>
  <si>
    <t>GIP Oeiras</t>
  </si>
  <si>
    <t>GIP Cascais</t>
  </si>
  <si>
    <t>GIP Porto</t>
  </si>
  <si>
    <t>GIP Évora</t>
  </si>
  <si>
    <t>Centro de Formação Profissional de Santarém (IEFP)</t>
  </si>
  <si>
    <t>Espanha</t>
  </si>
  <si>
    <t>Academia Maestre</t>
  </si>
  <si>
    <t>Educação e formação profissional aplicada (hotelaria, turismo, artes)</t>
  </si>
  <si>
    <t>Escuela de Arte de Badajoz - Adelardo Covarsí</t>
  </si>
  <si>
    <t>CIFP Hostelería y Turismo Gijón</t>
  </si>
  <si>
    <t>Escuela de Hostelería España</t>
  </si>
  <si>
    <t>ESHTM - Escuela Superior de Hostelería y Turismo de Madrid</t>
  </si>
  <si>
    <t>EASS - Escuela de Arte y Superior de Conservación y Restauración de BC de Salamanca</t>
  </si>
  <si>
    <t>CIFP Río Tormes</t>
  </si>
  <si>
    <t>SAFA Úbeda - Escuelas Profesionales de la Sagrada Familia</t>
  </si>
  <si>
    <t>Instituto Hemingway</t>
  </si>
  <si>
    <t>Escuela de Comercio de Badajoz</t>
  </si>
  <si>
    <t>CIFP A Farixa</t>
  </si>
  <si>
    <t>CIFP Fontecarmoa</t>
  </si>
  <si>
    <t>CIFP Rodolfo Ucha Piñeiro</t>
  </si>
  <si>
    <t>CIFP de Cantería de Galicia</t>
  </si>
  <si>
    <t>CIFP César Manrique</t>
  </si>
  <si>
    <t>CIFP Felipe VI</t>
  </si>
  <si>
    <t>CIFP Juan de Colonia</t>
  </si>
  <si>
    <t>CIFP La Flora</t>
  </si>
  <si>
    <t>CIFP Pico Frentes</t>
  </si>
  <si>
    <t>CIFP José Luis Garci</t>
  </si>
  <si>
    <t>CIFP Compostela</t>
  </si>
  <si>
    <t>CIFP Ciudad de Béjar</t>
  </si>
  <si>
    <t>Cámara de Comercio de Badajoz</t>
  </si>
  <si>
    <t>Associações empresariais, câmaras e associações de comerciantes</t>
  </si>
  <si>
    <t>Cámara de Comercio de Cáceres</t>
  </si>
  <si>
    <t>CREEX - Confederación Regional Empresarial Extremeña</t>
  </si>
  <si>
    <t>FEVAL - Institución Ferial de Extremadura</t>
  </si>
  <si>
    <t>Cámara de Comercio de Santiago de Compostela</t>
  </si>
  <si>
    <t>Cámara de Comercio de A Coruña</t>
  </si>
  <si>
    <t>Cámara de Comercio de Ourense</t>
  </si>
  <si>
    <t>Cámara de Comercio de Pontevedra, Vigo y Vilagarcía</t>
  </si>
  <si>
    <t>CEG - Confederación de Empresarios de Galicia</t>
  </si>
  <si>
    <t>Cámara de Comercio de Salamanca</t>
  </si>
  <si>
    <t>Cámara de Comercio de Valladolid</t>
  </si>
  <si>
    <t>Cámara de Comercio de Burgos</t>
  </si>
  <si>
    <t>Cámara de Comercio de Segovia</t>
  </si>
  <si>
    <t>Cámara de Comercio de Soria</t>
  </si>
  <si>
    <t>CECALE - Confederación de Organizaciones Empresariales de Castilla y León</t>
  </si>
  <si>
    <t>Cámara de Comercio de León</t>
  </si>
  <si>
    <t>Cámara de Comercio de Ávila</t>
  </si>
  <si>
    <t>CEIM Confederación Empresarial de Madrid-CEOE</t>
  </si>
  <si>
    <t>Cámara de Comercio de Cantabria</t>
  </si>
  <si>
    <t>CEOE-Cáceres</t>
  </si>
  <si>
    <t>Cámara de Comercio de Palencia</t>
  </si>
  <si>
    <t>ASECOV - Asociación Salmantina de Empresarios de Comercio</t>
  </si>
  <si>
    <t>AECA - Asociación de Empresarios del Comercio de Cáceres</t>
  </si>
  <si>
    <t>Asociación Empresarial Impulso</t>
  </si>
  <si>
    <t>COEBA - Confederación Empresarial de la Provincia de Badajoz</t>
  </si>
  <si>
    <t>Asociación de Hostelería de Cáceres</t>
  </si>
  <si>
    <t>Asociación de Comerciantes de Mérida</t>
  </si>
  <si>
    <t>Asociación de Pequeños Comerciantes de Extremadura</t>
  </si>
  <si>
    <t>Mercado Ronda del Carmen</t>
  </si>
  <si>
    <t>Mercados municipais e centrais de abastecimento</t>
  </si>
  <si>
    <t>Mercado La Plaza - Almendralejo</t>
  </si>
  <si>
    <t>Mercado de Abastos de Miajadas</t>
  </si>
  <si>
    <t>Mercado de Abastos de Santiago</t>
  </si>
  <si>
    <t>Central de Abasto de Mérida</t>
  </si>
  <si>
    <t>Pastelería La Palmera</t>
  </si>
  <si>
    <t>Mercado de Abastos de Pontevedra</t>
  </si>
  <si>
    <t>Mercado de Vallehermoso</t>
  </si>
  <si>
    <t>Mercado de la Cebada</t>
  </si>
  <si>
    <t>Mercado de la Paz</t>
  </si>
  <si>
    <t>Mercado de Antón Martín</t>
  </si>
  <si>
    <t>Mercado de San Fernando</t>
  </si>
  <si>
    <t>Mercado de San Anton</t>
  </si>
  <si>
    <t>Mercado de Ibiza</t>
  </si>
  <si>
    <t>Mercado de Maravillas</t>
  </si>
  <si>
    <t>Mercat de Sants</t>
  </si>
  <si>
    <t>Mercat de Galvany</t>
  </si>
  <si>
    <t>Mercat de la Boqueria</t>
  </si>
  <si>
    <t>Mercado de Abastos de Lugo</t>
  </si>
  <si>
    <t>AEIGA - Inserción de Galicia</t>
  </si>
  <si>
    <t>Economia social, artesanato, cultura e desenvolvimento regional</t>
  </si>
  <si>
    <t>Centro de Formación SEPE</t>
  </si>
  <si>
    <t>Gremio de Artesanos de Toledo</t>
  </si>
  <si>
    <t>Fundación Caja Rural de Salamanca</t>
  </si>
  <si>
    <t>Acción Social de Extremadura</t>
  </si>
  <si>
    <t>Fed. Galega de Empresas de Inserción</t>
  </si>
  <si>
    <t>Fundación Caja Duero</t>
  </si>
  <si>
    <t>Fundación Francisco Giner de los Ríos</t>
  </si>
  <si>
    <t>Fundación Ciudad de la Cultura</t>
  </si>
  <si>
    <t>ADEME - Asociación para el Desarrollo de Monfragüe y su Entorno</t>
  </si>
  <si>
    <t>Fundación Santa María la Real</t>
  </si>
  <si>
    <t>Asociación Galega de Artesáns</t>
  </si>
  <si>
    <t>Fundación CB - Fundación Caja de Badajoz</t>
  </si>
  <si>
    <t>Asoc. Extremeña de Fundaciones</t>
  </si>
  <si>
    <t>Fundación de Estudios Rurales</t>
  </si>
  <si>
    <t>Gremio de Canteros de Pontevedra</t>
  </si>
  <si>
    <t>Fundación Maimona</t>
  </si>
  <si>
    <t>P2 - Resumo por setor</t>
  </si>
  <si>
    <t>Empresas</t>
  </si>
  <si>
    <t>Pontuação média</t>
  </si>
  <si>
    <t>Prioridade Alta</t>
  </si>
  <si>
    <t>Prioridade Média/Baixa</t>
  </si>
  <si>
    <t>TOTAL / MÉDIA</t>
  </si>
  <si>
    <t>P2 - Nota metodológica do scorecard</t>
  </si>
  <si>
    <t>Como se calcula a pontuação de maturidade digital e como se deriva o bloqueio, o serviço e a prioridade.</t>
  </si>
  <si>
    <t>1. Critérios e pesos</t>
  </si>
  <si>
    <t>Critério</t>
  </si>
  <si>
    <t>O que avalia</t>
  </si>
  <si>
    <t>Peso</t>
  </si>
  <si>
    <t>Website (existência e estado)</t>
  </si>
  <si>
    <t>Tem site próprio? Está atual e funcional?</t>
  </si>
  <si>
    <t>E-commerce / loja online</t>
  </si>
  <si>
    <t>Vende online quando faria sentido?</t>
  </si>
  <si>
    <t>Atividade em redes sociais</t>
  </si>
  <si>
    <t>Presença e atividade nas redes / LinkedIn.</t>
  </si>
  <si>
    <t>SEO / velocidade básica</t>
  </si>
  <si>
    <t>Otimização e desempenho básicos (estimado).</t>
  </si>
  <si>
    <t>Presença no Google</t>
  </si>
  <si>
    <t>Google Business / Maps (estimado).</t>
  </si>
  <si>
    <t>Capta contactos (formulário, candidatura, CTA)?</t>
  </si>
  <si>
    <t>Total</t>
  </si>
  <si>
    <t>2. Pontuação e prioridade</t>
  </si>
  <si>
    <t>Soma das 6 notas (cada 0-100) ponderadas pelos pesos acima.</t>
  </si>
  <si>
    <t>Limiar prioridade Alta</t>
  </si>
  <si>
    <t>Pontuação menor ou igual a:</t>
  </si>
  <si>
    <t>Limiar prioridade Média</t>
  </si>
  <si>
    <t>Leitura</t>
  </si>
  <si>
    <t>Pontuação baixa = maturidade digital baixa = maior prioridade comercial. Limiares calibrados para esta base (pré-selecionada por baixa maturidade, ~23-56 pontos), para alinhar a P2 com a P1.</t>
  </si>
  <si>
    <t>3. Bloqueio principal -&gt; Serviço recomendado (mapeamento)</t>
  </si>
  <si>
    <t>Serviço NetWiz recomendado</t>
  </si>
  <si>
    <t>Conversão (site fraco/desatualizado, sem CTA)</t>
  </si>
  <si>
    <t>Operacional (processos manuais, marcações, triagem)</t>
  </si>
  <si>
    <t>Sem presença (sem site/domínio próprio, sem redes)</t>
  </si>
  <si>
    <t>Processos dispersos (multi-polo, bases offline, sem CRM)</t>
  </si>
  <si>
    <t>4. Notas</t>
  </si>
  <si>
    <t>• Fonte: base P1 (167 empresas), apenas dados públicos. Pontuação e notas por critério são INFERIDAS dos sinais recolhidos na P1 (site, redes, loja, formulário), não medições diretas.</t>
  </si>
  <si>
    <t>• SEO/velocidade e presença no Google são estimativas (não medidas por ferramenta); a validar caso a caso antes da abordagem.</t>
  </si>
  <si>
    <t>• Pesos e limiares são parâmetros ajustáveis (células a amarelo): alterá-los recalcula automaticamente pontuações e prioridades.</t>
  </si>
  <si>
    <t>• Bloqueio principal e serviço recomendado seguem o mapeamento do ponto 3, aplicado aos sinais de cada empresa.</t>
  </si>
  <si>
    <t>• RGPD: dados de empresa/organização, base de interesse legítimo para prospeção B2B; origem e data (jul/2026) registadas na P1.</t>
  </si>
  <si>
    <t>• Seguimento: alimenta a lógica de recomendação da ferramenta NeuroDigital (Tarefa J2) e orienta a seleção de alvos comerciais.</t>
  </si>
  <si>
    <t>5. Relação entre a P1 e a P2</t>
  </si>
  <si>
    <t>A P1 e a P2 têm objetivos diferentes sobre a MESMA base: a P1 seleciona e segmenta os alvos e atribui uma 'Prioridade' de abordagem (necessidade + encaixe com a NetWiz + facilidade de abordar); a P2 mede a maturidade digital de cada empresa (0-100) e recomenda o bloqueio principal e o serviço. A P1 responde a 'quem contactar'; a P2 responde a 'quão maduro está e o que oferecer'.</t>
  </si>
  <si>
    <t>Por isso a 'Prioridade (maturidade)' da P2 e a 'Prioridade' da P1 correlacionam-se (maturidade baixa =&gt; prioridade alta) mas não têm de ser idênticas empresa a empresa: a P2 é puramente numérica e acrescenta uma leitura medível por cima do juízo qualitativo da P1. Ao nível dos totais e da direção, estão alinhadas.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</si>
</sst>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8.0"/>
      <color rgb="FF595959"/>
      <name val="Arial"/>
    </font>
    <font>
      <b/>
      <sz val="10.0"/>
      <color rgb="FFFFFFFF"/>
      <name val="Arial"/>
    </font>
    <font>
      <sz val="9.0"/>
      <color theme="1"/>
      <name val="Arial"/>
    </font>
    <font>
      <sz val="9.0"/>
      <color rgb="FF0000FF"/>
      <name val="Arial"/>
    </font>
    <font>
      <sz val="11.0"/>
      <color theme="1"/>
      <name val="Calibri"/>
    </font>
    <font>
      <b/>
      <sz val="9.0"/>
      <color theme="1"/>
      <name val="Arial"/>
    </font>
    <font>
      <i/>
      <sz val="9.0"/>
      <color rgb="FF404040"/>
      <name val="Arial"/>
    </font>
    <font>
      <b/>
      <sz val="11.0"/>
      <color rgb="FF1F3864"/>
      <name val="Arial"/>
    </font>
  </fonts>
  <fills count="7">
    <fill>
      <patternFill patternType="none"/>
    </fill>
    <fill>
      <patternFill patternType="lightGray"/>
    </fill>
    <fill>
      <patternFill patternType="solid">
        <fgColor rgb="FF2E5496"/>
        <bgColor rgb="FF2E5496"/>
      </patternFill>
    </fill>
    <fill>
      <patternFill patternType="solid">
        <fgColor rgb="FFD9E1F2"/>
        <bgColor rgb="FFD9E1F2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top" wrapText="1"/>
    </xf>
    <xf borderId="4" fillId="5" fontId="5" numFmtId="0" xfId="0" applyAlignment="1" applyBorder="1" applyFill="1" applyFont="1">
      <alignment horizontal="center" shrinkToFit="0" vertical="top" wrapText="1"/>
    </xf>
    <xf borderId="4" fillId="5" fontId="5" numFmtId="0" xfId="0" applyAlignment="1" applyBorder="1" applyFont="1">
      <alignment shrinkToFit="0" vertical="top" wrapText="1"/>
    </xf>
    <xf borderId="4" fillId="5" fontId="6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shrinkToFit="0" vertical="top" wrapText="1"/>
    </xf>
    <xf borderId="4" fillId="0" fontId="6" numFmtId="0" xfId="0" applyAlignment="1" applyBorder="1" applyFont="1">
      <alignment horizontal="center" shrinkToFit="0" vertical="top" wrapText="1"/>
    </xf>
    <xf borderId="0" fillId="0" fontId="7" numFmtId="0" xfId="0" applyAlignment="1" applyFont="1">
      <alignment shrinkToFit="0" vertical="bottom" wrapText="0"/>
    </xf>
    <xf borderId="4" fillId="3" fontId="8" numFmtId="0" xfId="0" applyAlignment="1" applyBorder="1" applyFont="1">
      <alignment shrinkToFit="0" vertical="bottom" wrapText="0"/>
    </xf>
    <xf borderId="4" fillId="3" fontId="8" numFmtId="0" xfId="0" applyAlignment="1" applyBorder="1" applyFont="1">
      <alignment horizontal="center" shrinkToFit="0" vertical="top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4" fillId="0" fontId="8" numFmtId="0" xfId="0" applyAlignment="1" applyBorder="1" applyFont="1">
      <alignment shrinkToFit="0" vertical="top" wrapText="1"/>
    </xf>
    <xf borderId="4" fillId="6" fontId="6" numFmtId="9" xfId="0" applyAlignment="1" applyBorder="1" applyFill="1" applyFont="1" applyNumberFormat="1">
      <alignment horizontal="center" shrinkToFit="0" vertical="top" wrapText="1"/>
    </xf>
    <xf borderId="4" fillId="3" fontId="7" numFmtId="0" xfId="0" applyAlignment="1" applyBorder="1" applyFont="1">
      <alignment shrinkToFit="0" vertical="bottom" wrapText="0"/>
    </xf>
    <xf borderId="4" fillId="3" fontId="8" numFmtId="9" xfId="0" applyAlignment="1" applyBorder="1" applyFont="1" applyNumberFormat="1">
      <alignment horizontal="center" shrinkToFit="0" vertical="top" wrapText="1"/>
    </xf>
    <xf borderId="4" fillId="0" fontId="8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6" fontId="6" numFmtId="0" xfId="0" applyAlignment="1" applyBorder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57"/>
    <col customWidth="1" min="2" max="2" width="9.0"/>
    <col customWidth="1" min="3" max="3" width="30.0"/>
    <col customWidth="1" min="4" max="4" width="26.0"/>
    <col customWidth="1" min="5" max="5" width="11.43"/>
    <col customWidth="1" min="6" max="7" width="16.43"/>
    <col customWidth="1" min="8" max="8" width="16.57"/>
    <col customWidth="1" min="9" max="9" width="10.43"/>
    <col customWidth="1" min="10" max="10" width="20.43"/>
    <col customWidth="1" min="11" max="11" width="17.29"/>
    <col customWidth="1" min="12" max="12" width="18.57"/>
    <col customWidth="1" min="13" max="13" width="17.0"/>
    <col customWidth="1" min="14" max="14" width="26.0"/>
    <col customWidth="1" min="15" max="15" width="20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ht="27.7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</row>
    <row r="3" ht="30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</row>
    <row r="4" ht="21.75" customHeight="1">
      <c r="A4" s="6">
        <v>1.0</v>
      </c>
      <c r="B4" s="6" t="s">
        <v>17</v>
      </c>
      <c r="C4" s="7" t="s">
        <v>18</v>
      </c>
      <c r="D4" s="7" t="s">
        <v>19</v>
      </c>
      <c r="E4" s="8">
        <v>70.0</v>
      </c>
      <c r="F4" s="8">
        <v>50.0</v>
      </c>
      <c r="G4" s="8">
        <v>60.0</v>
      </c>
      <c r="H4" s="8">
        <v>55.0</v>
      </c>
      <c r="I4" s="8">
        <v>60.0</v>
      </c>
      <c r="J4" s="8">
        <v>60.0</v>
      </c>
      <c r="K4" s="6">
        <f>ROUND(E4*'Metodologia P2'!$C$6+F4*'Metodologia P2'!$C$7+G4*'Metodologia P2'!$C$8+H4*'Metodologia P2'!$C$9+I4*'Metodologia P2'!$C$10+J4*'Metodologia P2'!$C$11,0)</f>
        <v>60</v>
      </c>
      <c r="L4" s="6" t="str">
        <f>IF(K4&lt;='Metodologia P2'!$C$16,"Baixa",IF(K4&lt;='Metodologia P2'!$C$17,"Média","Alta"))</f>
        <v>Média</v>
      </c>
      <c r="M4" s="7" t="s">
        <v>20</v>
      </c>
      <c r="N4" s="7" t="s">
        <v>21</v>
      </c>
      <c r="O4" s="6" t="str">
        <f>IF(K4&lt;='Metodologia P2'!$C$16,"Alta",IF(K4&lt;='Metodologia P2'!$C$17,"Média","Baixa"))</f>
        <v>Média</v>
      </c>
    </row>
    <row r="5" ht="21.75" customHeight="1">
      <c r="A5" s="9">
        <v>2.0</v>
      </c>
      <c r="B5" s="9" t="s">
        <v>17</v>
      </c>
      <c r="C5" s="10" t="s">
        <v>22</v>
      </c>
      <c r="D5" s="10" t="s">
        <v>19</v>
      </c>
      <c r="E5" s="11">
        <v>40.0</v>
      </c>
      <c r="F5" s="11">
        <v>50.0</v>
      </c>
      <c r="G5" s="11">
        <v>60.0</v>
      </c>
      <c r="H5" s="11">
        <v>35.0</v>
      </c>
      <c r="I5" s="11">
        <v>60.0</v>
      </c>
      <c r="J5" s="11">
        <v>45.0</v>
      </c>
      <c r="K5" s="9">
        <f>ROUND(E5*'Metodologia P2'!$C$6+F5*'Metodologia P2'!$C$7+G5*'Metodologia P2'!$C$8+H5*'Metodologia P2'!$C$9+I5*'Metodologia P2'!$C$10+J5*'Metodologia P2'!$C$11,0)</f>
        <v>48</v>
      </c>
      <c r="L5" s="9" t="str">
        <f>IF(K5&lt;='Metodologia P2'!$C$16,"Baixa",IF(K5&lt;='Metodologia P2'!$C$17,"Média","Alta"))</f>
        <v>Média</v>
      </c>
      <c r="M5" s="10" t="s">
        <v>20</v>
      </c>
      <c r="N5" s="10" t="s">
        <v>21</v>
      </c>
      <c r="O5" s="9" t="str">
        <f>IF(K5&lt;='Metodologia P2'!$C$16,"Alta",IF(K5&lt;='Metodologia P2'!$C$17,"Média","Baixa"))</f>
        <v>Média</v>
      </c>
    </row>
    <row r="6" ht="21.75" customHeight="1">
      <c r="A6" s="6">
        <v>3.0</v>
      </c>
      <c r="B6" s="6" t="s">
        <v>17</v>
      </c>
      <c r="C6" s="7" t="s">
        <v>23</v>
      </c>
      <c r="D6" s="7" t="s">
        <v>19</v>
      </c>
      <c r="E6" s="8">
        <v>70.0</v>
      </c>
      <c r="F6" s="8">
        <v>50.0</v>
      </c>
      <c r="G6" s="8">
        <v>35.0</v>
      </c>
      <c r="H6" s="8">
        <v>55.0</v>
      </c>
      <c r="I6" s="8">
        <v>60.0</v>
      </c>
      <c r="J6" s="8">
        <v>45.0</v>
      </c>
      <c r="K6" s="6">
        <f>ROUND(E6*'Metodologia P2'!$C$6+F6*'Metodologia P2'!$C$7+G6*'Metodologia P2'!$C$8+H6*'Metodologia P2'!$C$9+I6*'Metodologia P2'!$C$10+J6*'Metodologia P2'!$C$11,0)</f>
        <v>54</v>
      </c>
      <c r="L6" s="6" t="str">
        <f>IF(K6&lt;='Metodologia P2'!$C$16,"Baixa",IF(K6&lt;='Metodologia P2'!$C$17,"Média","Alta"))</f>
        <v>Média</v>
      </c>
      <c r="M6" s="7" t="s">
        <v>24</v>
      </c>
      <c r="N6" s="7" t="s">
        <v>25</v>
      </c>
      <c r="O6" s="6" t="str">
        <f>IF(K6&lt;='Metodologia P2'!$C$16,"Alta",IF(K6&lt;='Metodologia P2'!$C$17,"Média","Baixa"))</f>
        <v>Média</v>
      </c>
    </row>
    <row r="7" ht="21.75" customHeight="1">
      <c r="A7" s="9">
        <v>4.0</v>
      </c>
      <c r="B7" s="9" t="s">
        <v>17</v>
      </c>
      <c r="C7" s="10" t="s">
        <v>26</v>
      </c>
      <c r="D7" s="10" t="s">
        <v>19</v>
      </c>
      <c r="E7" s="11">
        <v>70.0</v>
      </c>
      <c r="F7" s="11">
        <v>50.0</v>
      </c>
      <c r="G7" s="11">
        <v>60.0</v>
      </c>
      <c r="H7" s="11">
        <v>55.0</v>
      </c>
      <c r="I7" s="11">
        <v>60.0</v>
      </c>
      <c r="J7" s="11">
        <v>45.0</v>
      </c>
      <c r="K7" s="9">
        <f>ROUND(E7*'Metodologia P2'!$C$6+F7*'Metodologia P2'!$C$7+G7*'Metodologia P2'!$C$8+H7*'Metodologia P2'!$C$9+I7*'Metodologia P2'!$C$10+J7*'Metodologia P2'!$C$11,0)</f>
        <v>58</v>
      </c>
      <c r="L7" s="9" t="str">
        <f>IF(K7&lt;='Metodologia P2'!$C$16,"Baixa",IF(K7&lt;='Metodologia P2'!$C$17,"Média","Alta"))</f>
        <v>Média</v>
      </c>
      <c r="M7" s="10" t="s">
        <v>20</v>
      </c>
      <c r="N7" s="10" t="s">
        <v>21</v>
      </c>
      <c r="O7" s="9" t="str">
        <f>IF(K7&lt;='Metodologia P2'!$C$16,"Alta",IF(K7&lt;='Metodologia P2'!$C$17,"Média","Baixa"))</f>
        <v>Média</v>
      </c>
    </row>
    <row r="8" ht="21.75" customHeight="1">
      <c r="A8" s="6">
        <v>5.0</v>
      </c>
      <c r="B8" s="6" t="s">
        <v>17</v>
      </c>
      <c r="C8" s="7" t="s">
        <v>27</v>
      </c>
      <c r="D8" s="7" t="s">
        <v>19</v>
      </c>
      <c r="E8" s="8">
        <v>70.0</v>
      </c>
      <c r="F8" s="8">
        <v>50.0</v>
      </c>
      <c r="G8" s="8">
        <v>60.0</v>
      </c>
      <c r="H8" s="8">
        <v>55.0</v>
      </c>
      <c r="I8" s="8">
        <v>60.0</v>
      </c>
      <c r="J8" s="8">
        <v>45.0</v>
      </c>
      <c r="K8" s="6">
        <f>ROUND(E8*'Metodologia P2'!$C$6+F8*'Metodologia P2'!$C$7+G8*'Metodologia P2'!$C$8+H8*'Metodologia P2'!$C$9+I8*'Metodologia P2'!$C$10+J8*'Metodologia P2'!$C$11,0)</f>
        <v>58</v>
      </c>
      <c r="L8" s="6" t="str">
        <f>IF(K8&lt;='Metodologia P2'!$C$16,"Baixa",IF(K8&lt;='Metodologia P2'!$C$17,"Média","Alta"))</f>
        <v>Média</v>
      </c>
      <c r="M8" s="7" t="s">
        <v>20</v>
      </c>
      <c r="N8" s="7" t="s">
        <v>21</v>
      </c>
      <c r="O8" s="6" t="str">
        <f>IF(K8&lt;='Metodologia P2'!$C$16,"Alta",IF(K8&lt;='Metodologia P2'!$C$17,"Média","Baixa"))</f>
        <v>Média</v>
      </c>
    </row>
    <row r="9" ht="21.75" customHeight="1">
      <c r="A9" s="9">
        <v>6.0</v>
      </c>
      <c r="B9" s="9" t="s">
        <v>17</v>
      </c>
      <c r="C9" s="10" t="s">
        <v>28</v>
      </c>
      <c r="D9" s="10" t="s">
        <v>19</v>
      </c>
      <c r="E9" s="11">
        <v>60.0</v>
      </c>
      <c r="F9" s="11">
        <v>50.0</v>
      </c>
      <c r="G9" s="11">
        <v>40.0</v>
      </c>
      <c r="H9" s="11">
        <v>55.0</v>
      </c>
      <c r="I9" s="11">
        <v>40.0</v>
      </c>
      <c r="J9" s="11">
        <v>45.0</v>
      </c>
      <c r="K9" s="9">
        <f>ROUND(E9*'Metodologia P2'!$C$6+F9*'Metodologia P2'!$C$7+G9*'Metodologia P2'!$C$8+H9*'Metodologia P2'!$C$9+I9*'Metodologia P2'!$C$10+J9*'Metodologia P2'!$C$11,0)</f>
        <v>50</v>
      </c>
      <c r="L9" s="9" t="str">
        <f>IF(K9&lt;='Metodologia P2'!$C$16,"Baixa",IF(K9&lt;='Metodologia P2'!$C$17,"Média","Alta"))</f>
        <v>Média</v>
      </c>
      <c r="M9" s="10" t="s">
        <v>20</v>
      </c>
      <c r="N9" s="10" t="s">
        <v>21</v>
      </c>
      <c r="O9" s="9" t="str">
        <f>IF(K9&lt;='Metodologia P2'!$C$16,"Alta",IF(K9&lt;='Metodologia P2'!$C$17,"Média","Baixa"))</f>
        <v>Média</v>
      </c>
    </row>
    <row r="10" ht="21.75" customHeight="1">
      <c r="A10" s="6">
        <v>7.0</v>
      </c>
      <c r="B10" s="6" t="s">
        <v>17</v>
      </c>
      <c r="C10" s="7" t="s">
        <v>29</v>
      </c>
      <c r="D10" s="7" t="s">
        <v>19</v>
      </c>
      <c r="E10" s="8">
        <v>20.0</v>
      </c>
      <c r="F10" s="8">
        <v>50.0</v>
      </c>
      <c r="G10" s="8">
        <v>25.0</v>
      </c>
      <c r="H10" s="8">
        <v>20.0</v>
      </c>
      <c r="I10" s="8">
        <v>40.0</v>
      </c>
      <c r="J10" s="8">
        <v>20.0</v>
      </c>
      <c r="K10" s="6">
        <f>ROUND(E10*'Metodologia P2'!$C$6+F10*'Metodologia P2'!$C$7+G10*'Metodologia P2'!$C$8+H10*'Metodologia P2'!$C$9+I10*'Metodologia P2'!$C$10+J10*'Metodologia P2'!$C$11,0)</f>
        <v>28</v>
      </c>
      <c r="L10" s="6" t="str">
        <f>IF(K10&lt;='Metodologia P2'!$C$16,"Baixa",IF(K10&lt;='Metodologia P2'!$C$17,"Média","Alta"))</f>
        <v>Baixa</v>
      </c>
      <c r="M10" s="7" t="s">
        <v>30</v>
      </c>
      <c r="N10" s="7" t="s">
        <v>31</v>
      </c>
      <c r="O10" s="6" t="str">
        <f>IF(K10&lt;='Metodologia P2'!$C$16,"Alta",IF(K10&lt;='Metodologia P2'!$C$17,"Média","Baixa"))</f>
        <v>Alta</v>
      </c>
    </row>
    <row r="11" ht="21.75" customHeight="1">
      <c r="A11" s="9">
        <v>8.0</v>
      </c>
      <c r="B11" s="9" t="s">
        <v>17</v>
      </c>
      <c r="C11" s="10" t="s">
        <v>32</v>
      </c>
      <c r="D11" s="10" t="s">
        <v>19</v>
      </c>
      <c r="E11" s="11">
        <v>70.0</v>
      </c>
      <c r="F11" s="11">
        <v>50.0</v>
      </c>
      <c r="G11" s="11">
        <v>60.0</v>
      </c>
      <c r="H11" s="11">
        <v>55.0</v>
      </c>
      <c r="I11" s="11">
        <v>60.0</v>
      </c>
      <c r="J11" s="11">
        <v>60.0</v>
      </c>
      <c r="K11" s="9">
        <f>ROUND(E11*'Metodologia P2'!$C$6+F11*'Metodologia P2'!$C$7+G11*'Metodologia P2'!$C$8+H11*'Metodologia P2'!$C$9+I11*'Metodologia P2'!$C$10+J11*'Metodologia P2'!$C$11,0)</f>
        <v>60</v>
      </c>
      <c r="L11" s="9" t="str">
        <f>IF(K11&lt;='Metodologia P2'!$C$16,"Baixa",IF(K11&lt;='Metodologia P2'!$C$17,"Média","Alta"))</f>
        <v>Média</v>
      </c>
      <c r="M11" s="10" t="s">
        <v>20</v>
      </c>
      <c r="N11" s="10" t="s">
        <v>21</v>
      </c>
      <c r="O11" s="9" t="str">
        <f>IF(K11&lt;='Metodologia P2'!$C$16,"Alta",IF(K11&lt;='Metodologia P2'!$C$17,"Média","Baixa"))</f>
        <v>Média</v>
      </c>
    </row>
    <row r="12" ht="21.75" customHeight="1">
      <c r="A12" s="6">
        <v>9.0</v>
      </c>
      <c r="B12" s="6" t="s">
        <v>17</v>
      </c>
      <c r="C12" s="7" t="s">
        <v>33</v>
      </c>
      <c r="D12" s="7" t="s">
        <v>19</v>
      </c>
      <c r="E12" s="8">
        <v>60.0</v>
      </c>
      <c r="F12" s="8">
        <v>50.0</v>
      </c>
      <c r="G12" s="8">
        <v>60.0</v>
      </c>
      <c r="H12" s="8">
        <v>55.0</v>
      </c>
      <c r="I12" s="8">
        <v>60.0</v>
      </c>
      <c r="J12" s="8">
        <v>45.0</v>
      </c>
      <c r="K12" s="6">
        <f>ROUND(E12*'Metodologia P2'!$C$6+F12*'Metodologia P2'!$C$7+G12*'Metodologia P2'!$C$8+H12*'Metodologia P2'!$C$9+I12*'Metodologia P2'!$C$10+J12*'Metodologia P2'!$C$11,0)</f>
        <v>56</v>
      </c>
      <c r="L12" s="6" t="str">
        <f>IF(K12&lt;='Metodologia P2'!$C$16,"Baixa",IF(K12&lt;='Metodologia P2'!$C$17,"Média","Alta"))</f>
        <v>Média</v>
      </c>
      <c r="M12" s="7" t="s">
        <v>20</v>
      </c>
      <c r="N12" s="7" t="s">
        <v>21</v>
      </c>
      <c r="O12" s="6" t="str">
        <f>IF(K12&lt;='Metodologia P2'!$C$16,"Alta",IF(K12&lt;='Metodologia P2'!$C$17,"Média","Baixa"))</f>
        <v>Média</v>
      </c>
    </row>
    <row r="13" ht="21.75" customHeight="1">
      <c r="A13" s="9">
        <v>10.0</v>
      </c>
      <c r="B13" s="9" t="s">
        <v>17</v>
      </c>
      <c r="C13" s="10" t="s">
        <v>34</v>
      </c>
      <c r="D13" s="10" t="s">
        <v>19</v>
      </c>
      <c r="E13" s="11">
        <v>70.0</v>
      </c>
      <c r="F13" s="11">
        <v>50.0</v>
      </c>
      <c r="G13" s="11">
        <v>60.0</v>
      </c>
      <c r="H13" s="11">
        <v>55.0</v>
      </c>
      <c r="I13" s="11">
        <v>60.0</v>
      </c>
      <c r="J13" s="11">
        <v>45.0</v>
      </c>
      <c r="K13" s="9">
        <f>ROUND(E13*'Metodologia P2'!$C$6+F13*'Metodologia P2'!$C$7+G13*'Metodologia P2'!$C$8+H13*'Metodologia P2'!$C$9+I13*'Metodologia P2'!$C$10+J13*'Metodologia P2'!$C$11,0)</f>
        <v>58</v>
      </c>
      <c r="L13" s="9" t="str">
        <f>IF(K13&lt;='Metodologia P2'!$C$16,"Baixa",IF(K13&lt;='Metodologia P2'!$C$17,"Média","Alta"))</f>
        <v>Média</v>
      </c>
      <c r="M13" s="10" t="s">
        <v>20</v>
      </c>
      <c r="N13" s="10" t="s">
        <v>21</v>
      </c>
      <c r="O13" s="9" t="str">
        <f>IF(K13&lt;='Metodologia P2'!$C$16,"Alta",IF(K13&lt;='Metodologia P2'!$C$17,"Média","Baixa"))</f>
        <v>Média</v>
      </c>
    </row>
    <row r="14" ht="21.75" customHeight="1">
      <c r="A14" s="6">
        <v>11.0</v>
      </c>
      <c r="B14" s="6" t="s">
        <v>17</v>
      </c>
      <c r="C14" s="7" t="s">
        <v>35</v>
      </c>
      <c r="D14" s="7" t="s">
        <v>19</v>
      </c>
      <c r="E14" s="8">
        <v>60.0</v>
      </c>
      <c r="F14" s="8">
        <v>50.0</v>
      </c>
      <c r="G14" s="8">
        <v>60.0</v>
      </c>
      <c r="H14" s="8">
        <v>55.0</v>
      </c>
      <c r="I14" s="8">
        <v>60.0</v>
      </c>
      <c r="J14" s="8">
        <v>45.0</v>
      </c>
      <c r="K14" s="6">
        <f>ROUND(E14*'Metodologia P2'!$C$6+F14*'Metodologia P2'!$C$7+G14*'Metodologia P2'!$C$8+H14*'Metodologia P2'!$C$9+I14*'Metodologia P2'!$C$10+J14*'Metodologia P2'!$C$11,0)</f>
        <v>56</v>
      </c>
      <c r="L14" s="6" t="str">
        <f>IF(K14&lt;='Metodologia P2'!$C$16,"Baixa",IF(K14&lt;='Metodologia P2'!$C$17,"Média","Alta"))</f>
        <v>Média</v>
      </c>
      <c r="M14" s="7" t="s">
        <v>36</v>
      </c>
      <c r="N14" s="7" t="s">
        <v>37</v>
      </c>
      <c r="O14" s="6" t="str">
        <f>IF(K14&lt;='Metodologia P2'!$C$16,"Alta",IF(K14&lt;='Metodologia P2'!$C$17,"Média","Baixa"))</f>
        <v>Média</v>
      </c>
    </row>
    <row r="15" ht="21.75" customHeight="1">
      <c r="A15" s="9">
        <v>12.0</v>
      </c>
      <c r="B15" s="9" t="s">
        <v>17</v>
      </c>
      <c r="C15" s="10" t="s">
        <v>38</v>
      </c>
      <c r="D15" s="10" t="s">
        <v>19</v>
      </c>
      <c r="E15" s="11">
        <v>60.0</v>
      </c>
      <c r="F15" s="11">
        <v>50.0</v>
      </c>
      <c r="G15" s="11">
        <v>60.0</v>
      </c>
      <c r="H15" s="11">
        <v>55.0</v>
      </c>
      <c r="I15" s="11">
        <v>60.0</v>
      </c>
      <c r="J15" s="11">
        <v>20.0</v>
      </c>
      <c r="K15" s="9">
        <f>ROUND(E15*'Metodologia P2'!$C$6+F15*'Metodologia P2'!$C$7+G15*'Metodologia P2'!$C$8+H15*'Metodologia P2'!$C$9+I15*'Metodologia P2'!$C$10+J15*'Metodologia P2'!$C$11,0)</f>
        <v>52</v>
      </c>
      <c r="L15" s="9" t="str">
        <f>IF(K15&lt;='Metodologia P2'!$C$16,"Baixa",IF(K15&lt;='Metodologia P2'!$C$17,"Média","Alta"))</f>
        <v>Média</v>
      </c>
      <c r="M15" s="10" t="s">
        <v>36</v>
      </c>
      <c r="N15" s="10" t="s">
        <v>37</v>
      </c>
      <c r="O15" s="9" t="str">
        <f>IF(K15&lt;='Metodologia P2'!$C$16,"Alta",IF(K15&lt;='Metodologia P2'!$C$17,"Média","Baixa"))</f>
        <v>Média</v>
      </c>
    </row>
    <row r="16" ht="21.75" customHeight="1">
      <c r="A16" s="6">
        <v>13.0</v>
      </c>
      <c r="B16" s="6" t="s">
        <v>17</v>
      </c>
      <c r="C16" s="7" t="s">
        <v>39</v>
      </c>
      <c r="D16" s="7" t="s">
        <v>19</v>
      </c>
      <c r="E16" s="8">
        <v>60.0</v>
      </c>
      <c r="F16" s="8">
        <v>50.0</v>
      </c>
      <c r="G16" s="8">
        <v>60.0</v>
      </c>
      <c r="H16" s="8">
        <v>55.0</v>
      </c>
      <c r="I16" s="8">
        <v>60.0</v>
      </c>
      <c r="J16" s="8">
        <v>45.0</v>
      </c>
      <c r="K16" s="6">
        <f>ROUND(E16*'Metodologia P2'!$C$6+F16*'Metodologia P2'!$C$7+G16*'Metodologia P2'!$C$8+H16*'Metodologia P2'!$C$9+I16*'Metodologia P2'!$C$10+J16*'Metodologia P2'!$C$11,0)</f>
        <v>56</v>
      </c>
      <c r="L16" s="6" t="str">
        <f>IF(K16&lt;='Metodologia P2'!$C$16,"Baixa",IF(K16&lt;='Metodologia P2'!$C$17,"Média","Alta"))</f>
        <v>Média</v>
      </c>
      <c r="M16" s="7" t="s">
        <v>20</v>
      </c>
      <c r="N16" s="7" t="s">
        <v>21</v>
      </c>
      <c r="O16" s="6" t="str">
        <f>IF(K16&lt;='Metodologia P2'!$C$16,"Alta",IF(K16&lt;='Metodologia P2'!$C$17,"Média","Baixa"))</f>
        <v>Média</v>
      </c>
    </row>
    <row r="17" ht="21.75" customHeight="1">
      <c r="A17" s="9">
        <v>14.0</v>
      </c>
      <c r="B17" s="9" t="s">
        <v>17</v>
      </c>
      <c r="C17" s="10" t="s">
        <v>40</v>
      </c>
      <c r="D17" s="10" t="s">
        <v>19</v>
      </c>
      <c r="E17" s="11">
        <v>60.0</v>
      </c>
      <c r="F17" s="11">
        <v>50.0</v>
      </c>
      <c r="G17" s="11">
        <v>60.0</v>
      </c>
      <c r="H17" s="11">
        <v>55.0</v>
      </c>
      <c r="I17" s="11">
        <v>60.0</v>
      </c>
      <c r="J17" s="11">
        <v>45.0</v>
      </c>
      <c r="K17" s="9">
        <f>ROUND(E17*'Metodologia P2'!$C$6+F17*'Metodologia P2'!$C$7+G17*'Metodologia P2'!$C$8+H17*'Metodologia P2'!$C$9+I17*'Metodologia P2'!$C$10+J17*'Metodologia P2'!$C$11,0)</f>
        <v>56</v>
      </c>
      <c r="L17" s="9" t="str">
        <f>IF(K17&lt;='Metodologia P2'!$C$16,"Baixa",IF(K17&lt;='Metodologia P2'!$C$17,"Média","Alta"))</f>
        <v>Média</v>
      </c>
      <c r="M17" s="10" t="s">
        <v>24</v>
      </c>
      <c r="N17" s="10" t="s">
        <v>25</v>
      </c>
      <c r="O17" s="9" t="str">
        <f>IF(K17&lt;='Metodologia P2'!$C$16,"Alta",IF(K17&lt;='Metodologia P2'!$C$17,"Média","Baixa"))</f>
        <v>Média</v>
      </c>
    </row>
    <row r="18" ht="21.75" customHeight="1">
      <c r="A18" s="6">
        <v>15.0</v>
      </c>
      <c r="B18" s="6" t="s">
        <v>17</v>
      </c>
      <c r="C18" s="7" t="s">
        <v>41</v>
      </c>
      <c r="D18" s="7" t="s">
        <v>19</v>
      </c>
      <c r="E18" s="8">
        <v>40.0</v>
      </c>
      <c r="F18" s="8">
        <v>50.0</v>
      </c>
      <c r="G18" s="8">
        <v>60.0</v>
      </c>
      <c r="H18" s="8">
        <v>35.0</v>
      </c>
      <c r="I18" s="8">
        <v>40.0</v>
      </c>
      <c r="J18" s="8">
        <v>45.0</v>
      </c>
      <c r="K18" s="6">
        <f>ROUND(E18*'Metodologia P2'!$C$6+F18*'Metodologia P2'!$C$7+G18*'Metodologia P2'!$C$8+H18*'Metodologia P2'!$C$9+I18*'Metodologia P2'!$C$10+J18*'Metodologia P2'!$C$11,0)</f>
        <v>45</v>
      </c>
      <c r="L18" s="6" t="str">
        <f>IF(K18&lt;='Metodologia P2'!$C$16,"Baixa",IF(K18&lt;='Metodologia P2'!$C$17,"Média","Alta"))</f>
        <v>Baixa</v>
      </c>
      <c r="M18" s="7" t="s">
        <v>20</v>
      </c>
      <c r="N18" s="7" t="s">
        <v>21</v>
      </c>
      <c r="O18" s="6" t="str">
        <f>IF(K18&lt;='Metodologia P2'!$C$16,"Alta",IF(K18&lt;='Metodologia P2'!$C$17,"Média","Baixa"))</f>
        <v>Alta</v>
      </c>
    </row>
    <row r="19" ht="21.75" customHeight="1">
      <c r="A19" s="9">
        <v>16.0</v>
      </c>
      <c r="B19" s="9" t="s">
        <v>17</v>
      </c>
      <c r="C19" s="10" t="s">
        <v>42</v>
      </c>
      <c r="D19" s="10" t="s">
        <v>19</v>
      </c>
      <c r="E19" s="11">
        <v>70.0</v>
      </c>
      <c r="F19" s="11">
        <v>50.0</v>
      </c>
      <c r="G19" s="11">
        <v>60.0</v>
      </c>
      <c r="H19" s="11">
        <v>55.0</v>
      </c>
      <c r="I19" s="11">
        <v>60.0</v>
      </c>
      <c r="J19" s="11">
        <v>45.0</v>
      </c>
      <c r="K19" s="9">
        <f>ROUND(E19*'Metodologia P2'!$C$6+F19*'Metodologia P2'!$C$7+G19*'Metodologia P2'!$C$8+H19*'Metodologia P2'!$C$9+I19*'Metodologia P2'!$C$10+J19*'Metodologia P2'!$C$11,0)</f>
        <v>58</v>
      </c>
      <c r="L19" s="9" t="str">
        <f>IF(K19&lt;='Metodologia P2'!$C$16,"Baixa",IF(K19&lt;='Metodologia P2'!$C$17,"Média","Alta"))</f>
        <v>Média</v>
      </c>
      <c r="M19" s="10" t="s">
        <v>20</v>
      </c>
      <c r="N19" s="10" t="s">
        <v>21</v>
      </c>
      <c r="O19" s="9" t="str">
        <f>IF(K19&lt;='Metodologia P2'!$C$16,"Alta",IF(K19&lt;='Metodologia P2'!$C$17,"Média","Baixa"))</f>
        <v>Média</v>
      </c>
    </row>
    <row r="20" ht="21.75" customHeight="1">
      <c r="A20" s="6">
        <v>17.0</v>
      </c>
      <c r="B20" s="6" t="s">
        <v>17</v>
      </c>
      <c r="C20" s="7" t="s">
        <v>43</v>
      </c>
      <c r="D20" s="7" t="s">
        <v>19</v>
      </c>
      <c r="E20" s="8">
        <v>70.0</v>
      </c>
      <c r="F20" s="8">
        <v>50.0</v>
      </c>
      <c r="G20" s="8">
        <v>60.0</v>
      </c>
      <c r="H20" s="8">
        <v>55.0</v>
      </c>
      <c r="I20" s="8">
        <v>40.0</v>
      </c>
      <c r="J20" s="8">
        <v>20.0</v>
      </c>
      <c r="K20" s="6">
        <f>ROUND(E20*'Metodologia P2'!$C$6+F20*'Metodologia P2'!$C$7+G20*'Metodologia P2'!$C$8+H20*'Metodologia P2'!$C$9+I20*'Metodologia P2'!$C$10+J20*'Metodologia P2'!$C$11,0)</f>
        <v>51</v>
      </c>
      <c r="L20" s="6" t="str">
        <f>IF(K20&lt;='Metodologia P2'!$C$16,"Baixa",IF(K20&lt;='Metodologia P2'!$C$17,"Média","Alta"))</f>
        <v>Média</v>
      </c>
      <c r="M20" s="7" t="s">
        <v>20</v>
      </c>
      <c r="N20" s="7" t="s">
        <v>21</v>
      </c>
      <c r="O20" s="6" t="str">
        <f>IF(K20&lt;='Metodologia P2'!$C$16,"Alta",IF(K20&lt;='Metodologia P2'!$C$17,"Média","Baixa"))</f>
        <v>Média</v>
      </c>
    </row>
    <row r="21" ht="21.75" customHeight="1">
      <c r="A21" s="9">
        <v>18.0</v>
      </c>
      <c r="B21" s="9" t="s">
        <v>17</v>
      </c>
      <c r="C21" s="10" t="s">
        <v>44</v>
      </c>
      <c r="D21" s="10" t="s">
        <v>19</v>
      </c>
      <c r="E21" s="11">
        <v>60.0</v>
      </c>
      <c r="F21" s="11">
        <v>50.0</v>
      </c>
      <c r="G21" s="11">
        <v>60.0</v>
      </c>
      <c r="H21" s="11">
        <v>55.0</v>
      </c>
      <c r="I21" s="11">
        <v>60.0</v>
      </c>
      <c r="J21" s="11">
        <v>45.0</v>
      </c>
      <c r="K21" s="9">
        <f>ROUND(E21*'Metodologia P2'!$C$6+F21*'Metodologia P2'!$C$7+G21*'Metodologia P2'!$C$8+H21*'Metodologia P2'!$C$9+I21*'Metodologia P2'!$C$10+J21*'Metodologia P2'!$C$11,0)</f>
        <v>56</v>
      </c>
      <c r="L21" s="9" t="str">
        <f>IF(K21&lt;='Metodologia P2'!$C$16,"Baixa",IF(K21&lt;='Metodologia P2'!$C$17,"Média","Alta"))</f>
        <v>Média</v>
      </c>
      <c r="M21" s="10" t="s">
        <v>36</v>
      </c>
      <c r="N21" s="10" t="s">
        <v>37</v>
      </c>
      <c r="O21" s="9" t="str">
        <f>IF(K21&lt;='Metodologia P2'!$C$16,"Alta",IF(K21&lt;='Metodologia P2'!$C$17,"Média","Baixa"))</f>
        <v>Média</v>
      </c>
    </row>
    <row r="22" ht="21.75" customHeight="1">
      <c r="A22" s="6">
        <v>19.0</v>
      </c>
      <c r="B22" s="6" t="s">
        <v>17</v>
      </c>
      <c r="C22" s="7" t="s">
        <v>45</v>
      </c>
      <c r="D22" s="7" t="s">
        <v>19</v>
      </c>
      <c r="E22" s="8">
        <v>40.0</v>
      </c>
      <c r="F22" s="8">
        <v>50.0</v>
      </c>
      <c r="G22" s="8">
        <v>40.0</v>
      </c>
      <c r="H22" s="8">
        <v>35.0</v>
      </c>
      <c r="I22" s="8">
        <v>40.0</v>
      </c>
      <c r="J22" s="8">
        <v>20.0</v>
      </c>
      <c r="K22" s="6">
        <f>ROUND(E22*'Metodologia P2'!$C$6+F22*'Metodologia P2'!$C$7+G22*'Metodologia P2'!$C$8+H22*'Metodologia P2'!$C$9+I22*'Metodologia P2'!$C$10+J22*'Metodologia P2'!$C$11,0)</f>
        <v>38</v>
      </c>
      <c r="L22" s="6" t="str">
        <f>IF(K22&lt;='Metodologia P2'!$C$16,"Baixa",IF(K22&lt;='Metodologia P2'!$C$17,"Média","Alta"))</f>
        <v>Baixa</v>
      </c>
      <c r="M22" s="7" t="s">
        <v>20</v>
      </c>
      <c r="N22" s="7" t="s">
        <v>21</v>
      </c>
      <c r="O22" s="6" t="str">
        <f>IF(K22&lt;='Metodologia P2'!$C$16,"Alta",IF(K22&lt;='Metodologia P2'!$C$17,"Média","Baixa"))</f>
        <v>Alta</v>
      </c>
    </row>
    <row r="23" ht="21.75" customHeight="1">
      <c r="A23" s="9">
        <v>20.0</v>
      </c>
      <c r="B23" s="9" t="s">
        <v>17</v>
      </c>
      <c r="C23" s="10" t="s">
        <v>46</v>
      </c>
      <c r="D23" s="10" t="s">
        <v>19</v>
      </c>
      <c r="E23" s="11">
        <v>60.0</v>
      </c>
      <c r="F23" s="11">
        <v>50.0</v>
      </c>
      <c r="G23" s="11">
        <v>60.0</v>
      </c>
      <c r="H23" s="11">
        <v>55.0</v>
      </c>
      <c r="I23" s="11">
        <v>60.0</v>
      </c>
      <c r="J23" s="11">
        <v>20.0</v>
      </c>
      <c r="K23" s="9">
        <f>ROUND(E23*'Metodologia P2'!$C$6+F23*'Metodologia P2'!$C$7+G23*'Metodologia P2'!$C$8+H23*'Metodologia P2'!$C$9+I23*'Metodologia P2'!$C$10+J23*'Metodologia P2'!$C$11,0)</f>
        <v>52</v>
      </c>
      <c r="L23" s="9" t="str">
        <f>IF(K23&lt;='Metodologia P2'!$C$16,"Baixa",IF(K23&lt;='Metodologia P2'!$C$17,"Média","Alta"))</f>
        <v>Média</v>
      </c>
      <c r="M23" s="10" t="s">
        <v>24</v>
      </c>
      <c r="N23" s="10" t="s">
        <v>25</v>
      </c>
      <c r="O23" s="9" t="str">
        <f>IF(K23&lt;='Metodologia P2'!$C$16,"Alta",IF(K23&lt;='Metodologia P2'!$C$17,"Média","Baixa"))</f>
        <v>Média</v>
      </c>
    </row>
    <row r="24" ht="21.75" customHeight="1">
      <c r="A24" s="6">
        <v>21.0</v>
      </c>
      <c r="B24" s="6" t="s">
        <v>17</v>
      </c>
      <c r="C24" s="7" t="s">
        <v>47</v>
      </c>
      <c r="D24" s="7" t="s">
        <v>19</v>
      </c>
      <c r="E24" s="8">
        <v>70.0</v>
      </c>
      <c r="F24" s="8">
        <v>50.0</v>
      </c>
      <c r="G24" s="8">
        <v>60.0</v>
      </c>
      <c r="H24" s="8">
        <v>55.0</v>
      </c>
      <c r="I24" s="8">
        <v>60.0</v>
      </c>
      <c r="J24" s="8">
        <v>20.0</v>
      </c>
      <c r="K24" s="6">
        <f>ROUND(E24*'Metodologia P2'!$C$6+F24*'Metodologia P2'!$C$7+G24*'Metodologia P2'!$C$8+H24*'Metodologia P2'!$C$9+I24*'Metodologia P2'!$C$10+J24*'Metodologia P2'!$C$11,0)</f>
        <v>54</v>
      </c>
      <c r="L24" s="6" t="str">
        <f>IF(K24&lt;='Metodologia P2'!$C$16,"Baixa",IF(K24&lt;='Metodologia P2'!$C$17,"Média","Alta"))</f>
        <v>Média</v>
      </c>
      <c r="M24" s="7" t="s">
        <v>36</v>
      </c>
      <c r="N24" s="7" t="s">
        <v>37</v>
      </c>
      <c r="O24" s="6" t="str">
        <f>IF(K24&lt;='Metodologia P2'!$C$16,"Alta",IF(K24&lt;='Metodologia P2'!$C$17,"Média","Baixa"))</f>
        <v>Média</v>
      </c>
    </row>
    <row r="25" ht="21.75" customHeight="1">
      <c r="A25" s="9">
        <v>22.0</v>
      </c>
      <c r="B25" s="9" t="s">
        <v>17</v>
      </c>
      <c r="C25" s="10" t="s">
        <v>48</v>
      </c>
      <c r="D25" s="10" t="s">
        <v>19</v>
      </c>
      <c r="E25" s="11">
        <v>70.0</v>
      </c>
      <c r="F25" s="11">
        <v>50.0</v>
      </c>
      <c r="G25" s="11">
        <v>60.0</v>
      </c>
      <c r="H25" s="11">
        <v>55.0</v>
      </c>
      <c r="I25" s="11">
        <v>60.0</v>
      </c>
      <c r="J25" s="11">
        <v>45.0</v>
      </c>
      <c r="K25" s="9">
        <f>ROUND(E25*'Metodologia P2'!$C$6+F25*'Metodologia P2'!$C$7+G25*'Metodologia P2'!$C$8+H25*'Metodologia P2'!$C$9+I25*'Metodologia P2'!$C$10+J25*'Metodologia P2'!$C$11,0)</f>
        <v>58</v>
      </c>
      <c r="L25" s="9" t="str">
        <f>IF(K25&lt;='Metodologia P2'!$C$16,"Baixa",IF(K25&lt;='Metodologia P2'!$C$17,"Média","Alta"))</f>
        <v>Média</v>
      </c>
      <c r="M25" s="10" t="s">
        <v>20</v>
      </c>
      <c r="N25" s="10" t="s">
        <v>21</v>
      </c>
      <c r="O25" s="9" t="str">
        <f>IF(K25&lt;='Metodologia P2'!$C$16,"Alta",IF(K25&lt;='Metodologia P2'!$C$17,"Média","Baixa"))</f>
        <v>Média</v>
      </c>
    </row>
    <row r="26" ht="21.75" customHeight="1">
      <c r="A26" s="6">
        <v>23.0</v>
      </c>
      <c r="B26" s="6" t="s">
        <v>17</v>
      </c>
      <c r="C26" s="7" t="s">
        <v>49</v>
      </c>
      <c r="D26" s="7" t="s">
        <v>50</v>
      </c>
      <c r="E26" s="8">
        <v>70.0</v>
      </c>
      <c r="F26" s="8">
        <v>15.0</v>
      </c>
      <c r="G26" s="8">
        <v>60.0</v>
      </c>
      <c r="H26" s="8">
        <v>55.0</v>
      </c>
      <c r="I26" s="8">
        <v>60.0</v>
      </c>
      <c r="J26" s="8">
        <v>45.0</v>
      </c>
      <c r="K26" s="6">
        <f>ROUND(E26*'Metodologia P2'!$C$6+F26*'Metodologia P2'!$C$7+G26*'Metodologia P2'!$C$8+H26*'Metodologia P2'!$C$9+I26*'Metodologia P2'!$C$10+J26*'Metodologia P2'!$C$11,0)</f>
        <v>53</v>
      </c>
      <c r="L26" s="6" t="str">
        <f>IF(K26&lt;='Metodologia P2'!$C$16,"Baixa",IF(K26&lt;='Metodologia P2'!$C$17,"Média","Alta"))</f>
        <v>Média</v>
      </c>
      <c r="M26" s="7" t="s">
        <v>20</v>
      </c>
      <c r="N26" s="7" t="s">
        <v>21</v>
      </c>
      <c r="O26" s="6" t="str">
        <f>IF(K26&lt;='Metodologia P2'!$C$16,"Alta",IF(K26&lt;='Metodologia P2'!$C$17,"Média","Baixa"))</f>
        <v>Média</v>
      </c>
    </row>
    <row r="27" ht="21.75" customHeight="1">
      <c r="A27" s="9">
        <v>24.0</v>
      </c>
      <c r="B27" s="9" t="s">
        <v>17</v>
      </c>
      <c r="C27" s="10" t="s">
        <v>51</v>
      </c>
      <c r="D27" s="10" t="s">
        <v>50</v>
      </c>
      <c r="E27" s="11">
        <v>60.0</v>
      </c>
      <c r="F27" s="11">
        <v>50.0</v>
      </c>
      <c r="G27" s="11">
        <v>25.0</v>
      </c>
      <c r="H27" s="11">
        <v>55.0</v>
      </c>
      <c r="I27" s="11">
        <v>60.0</v>
      </c>
      <c r="J27" s="11">
        <v>45.0</v>
      </c>
      <c r="K27" s="9">
        <f>ROUND(E27*'Metodologia P2'!$C$6+F27*'Metodologia P2'!$C$7+G27*'Metodologia P2'!$C$8+H27*'Metodologia P2'!$C$9+I27*'Metodologia P2'!$C$10+J27*'Metodologia P2'!$C$11,0)</f>
        <v>50</v>
      </c>
      <c r="L27" s="9" t="str">
        <f>IF(K27&lt;='Metodologia P2'!$C$16,"Baixa",IF(K27&lt;='Metodologia P2'!$C$17,"Média","Alta"))</f>
        <v>Média</v>
      </c>
      <c r="M27" s="10" t="s">
        <v>36</v>
      </c>
      <c r="N27" s="10" t="s">
        <v>37</v>
      </c>
      <c r="O27" s="9" t="str">
        <f>IF(K27&lt;='Metodologia P2'!$C$16,"Alta",IF(K27&lt;='Metodologia P2'!$C$17,"Média","Baixa"))</f>
        <v>Média</v>
      </c>
    </row>
    <row r="28" ht="21.75" customHeight="1">
      <c r="A28" s="6">
        <v>25.0</v>
      </c>
      <c r="B28" s="6" t="s">
        <v>17</v>
      </c>
      <c r="C28" s="7" t="s">
        <v>52</v>
      </c>
      <c r="D28" s="7" t="s">
        <v>50</v>
      </c>
      <c r="E28" s="8">
        <v>40.0</v>
      </c>
      <c r="F28" s="8">
        <v>50.0</v>
      </c>
      <c r="G28" s="8">
        <v>60.0</v>
      </c>
      <c r="H28" s="8">
        <v>35.0</v>
      </c>
      <c r="I28" s="8">
        <v>60.0</v>
      </c>
      <c r="J28" s="8">
        <v>20.0</v>
      </c>
      <c r="K28" s="6">
        <f>ROUND(E28*'Metodologia P2'!$C$6+F28*'Metodologia P2'!$C$7+G28*'Metodologia P2'!$C$8+H28*'Metodologia P2'!$C$9+I28*'Metodologia P2'!$C$10+J28*'Metodologia P2'!$C$11,0)</f>
        <v>44</v>
      </c>
      <c r="L28" s="6" t="str">
        <f>IF(K28&lt;='Metodologia P2'!$C$16,"Baixa",IF(K28&lt;='Metodologia P2'!$C$17,"Média","Alta"))</f>
        <v>Baixa</v>
      </c>
      <c r="M28" s="7" t="s">
        <v>20</v>
      </c>
      <c r="N28" s="7" t="s">
        <v>21</v>
      </c>
      <c r="O28" s="6" t="str">
        <f>IF(K28&lt;='Metodologia P2'!$C$16,"Alta",IF(K28&lt;='Metodologia P2'!$C$17,"Média","Baixa"))</f>
        <v>Alta</v>
      </c>
    </row>
    <row r="29" ht="21.75" customHeight="1">
      <c r="A29" s="9">
        <v>26.0</v>
      </c>
      <c r="B29" s="9" t="s">
        <v>17</v>
      </c>
      <c r="C29" s="10" t="s">
        <v>53</v>
      </c>
      <c r="D29" s="10" t="s">
        <v>50</v>
      </c>
      <c r="E29" s="11">
        <v>70.0</v>
      </c>
      <c r="F29" s="11">
        <v>50.0</v>
      </c>
      <c r="G29" s="11">
        <v>60.0</v>
      </c>
      <c r="H29" s="11">
        <v>55.0</v>
      </c>
      <c r="I29" s="11">
        <v>60.0</v>
      </c>
      <c r="J29" s="11">
        <v>45.0</v>
      </c>
      <c r="K29" s="9">
        <f>ROUND(E29*'Metodologia P2'!$C$6+F29*'Metodologia P2'!$C$7+G29*'Metodologia P2'!$C$8+H29*'Metodologia P2'!$C$9+I29*'Metodologia P2'!$C$10+J29*'Metodologia P2'!$C$11,0)</f>
        <v>58</v>
      </c>
      <c r="L29" s="9" t="str">
        <f>IF(K29&lt;='Metodologia P2'!$C$16,"Baixa",IF(K29&lt;='Metodologia P2'!$C$17,"Média","Alta"))</f>
        <v>Média</v>
      </c>
      <c r="M29" s="10" t="s">
        <v>20</v>
      </c>
      <c r="N29" s="10" t="s">
        <v>21</v>
      </c>
      <c r="O29" s="9" t="str">
        <f>IF(K29&lt;='Metodologia P2'!$C$16,"Alta",IF(K29&lt;='Metodologia P2'!$C$17,"Média","Baixa"))</f>
        <v>Média</v>
      </c>
    </row>
    <row r="30" ht="21.75" customHeight="1">
      <c r="A30" s="6">
        <v>27.0</v>
      </c>
      <c r="B30" s="6" t="s">
        <v>17</v>
      </c>
      <c r="C30" s="7" t="s">
        <v>54</v>
      </c>
      <c r="D30" s="7" t="s">
        <v>50</v>
      </c>
      <c r="E30" s="8">
        <v>40.0</v>
      </c>
      <c r="F30" s="8">
        <v>50.0</v>
      </c>
      <c r="G30" s="8">
        <v>60.0</v>
      </c>
      <c r="H30" s="8">
        <v>35.0</v>
      </c>
      <c r="I30" s="8">
        <v>40.0</v>
      </c>
      <c r="J30" s="8">
        <v>20.0</v>
      </c>
      <c r="K30" s="6">
        <f>ROUND(E30*'Metodologia P2'!$C$6+F30*'Metodologia P2'!$C$7+G30*'Metodologia P2'!$C$8+H30*'Metodologia P2'!$C$9+I30*'Metodologia P2'!$C$10+J30*'Metodologia P2'!$C$11,0)</f>
        <v>41</v>
      </c>
      <c r="L30" s="6" t="str">
        <f>IF(K30&lt;='Metodologia P2'!$C$16,"Baixa",IF(K30&lt;='Metodologia P2'!$C$17,"Média","Alta"))</f>
        <v>Baixa</v>
      </c>
      <c r="M30" s="7" t="s">
        <v>24</v>
      </c>
      <c r="N30" s="7" t="s">
        <v>25</v>
      </c>
      <c r="O30" s="6" t="str">
        <f>IF(K30&lt;='Metodologia P2'!$C$16,"Alta",IF(K30&lt;='Metodologia P2'!$C$17,"Média","Baixa"))</f>
        <v>Alta</v>
      </c>
    </row>
    <row r="31" ht="21.75" customHeight="1">
      <c r="A31" s="9">
        <v>28.0</v>
      </c>
      <c r="B31" s="9" t="s">
        <v>17</v>
      </c>
      <c r="C31" s="10" t="s">
        <v>55</v>
      </c>
      <c r="D31" s="10" t="s">
        <v>50</v>
      </c>
      <c r="E31" s="11">
        <v>60.0</v>
      </c>
      <c r="F31" s="11">
        <v>50.0</v>
      </c>
      <c r="G31" s="11">
        <v>35.0</v>
      </c>
      <c r="H31" s="11">
        <v>55.0</v>
      </c>
      <c r="I31" s="11">
        <v>60.0</v>
      </c>
      <c r="J31" s="11">
        <v>45.0</v>
      </c>
      <c r="K31" s="9">
        <f>ROUND(E31*'Metodologia P2'!$C$6+F31*'Metodologia P2'!$C$7+G31*'Metodologia P2'!$C$8+H31*'Metodologia P2'!$C$9+I31*'Metodologia P2'!$C$10+J31*'Metodologia P2'!$C$11,0)</f>
        <v>52</v>
      </c>
      <c r="L31" s="9" t="str">
        <f>IF(K31&lt;='Metodologia P2'!$C$16,"Baixa",IF(K31&lt;='Metodologia P2'!$C$17,"Média","Alta"))</f>
        <v>Média</v>
      </c>
      <c r="M31" s="10" t="s">
        <v>20</v>
      </c>
      <c r="N31" s="10" t="s">
        <v>21</v>
      </c>
      <c r="O31" s="9" t="str">
        <f>IF(K31&lt;='Metodologia P2'!$C$16,"Alta",IF(K31&lt;='Metodologia P2'!$C$17,"Média","Baixa"))</f>
        <v>Média</v>
      </c>
    </row>
    <row r="32" ht="21.75" customHeight="1">
      <c r="A32" s="6">
        <v>29.0</v>
      </c>
      <c r="B32" s="6" t="s">
        <v>17</v>
      </c>
      <c r="C32" s="7" t="s">
        <v>56</v>
      </c>
      <c r="D32" s="7" t="s">
        <v>50</v>
      </c>
      <c r="E32" s="8">
        <v>40.0</v>
      </c>
      <c r="F32" s="8">
        <v>50.0</v>
      </c>
      <c r="G32" s="8">
        <v>60.0</v>
      </c>
      <c r="H32" s="8">
        <v>35.0</v>
      </c>
      <c r="I32" s="8">
        <v>40.0</v>
      </c>
      <c r="J32" s="8">
        <v>45.0</v>
      </c>
      <c r="K32" s="6">
        <f>ROUND(E32*'Metodologia P2'!$C$6+F32*'Metodologia P2'!$C$7+G32*'Metodologia P2'!$C$8+H32*'Metodologia P2'!$C$9+I32*'Metodologia P2'!$C$10+J32*'Metodologia P2'!$C$11,0)</f>
        <v>45</v>
      </c>
      <c r="L32" s="6" t="str">
        <f>IF(K32&lt;='Metodologia P2'!$C$16,"Baixa",IF(K32&lt;='Metodologia P2'!$C$17,"Média","Alta"))</f>
        <v>Baixa</v>
      </c>
      <c r="M32" s="7" t="s">
        <v>20</v>
      </c>
      <c r="N32" s="7" t="s">
        <v>21</v>
      </c>
      <c r="O32" s="6" t="str">
        <f>IF(K32&lt;='Metodologia P2'!$C$16,"Alta",IF(K32&lt;='Metodologia P2'!$C$17,"Média","Baixa"))</f>
        <v>Alta</v>
      </c>
    </row>
    <row r="33" ht="21.75" customHeight="1">
      <c r="A33" s="9">
        <v>30.0</v>
      </c>
      <c r="B33" s="9" t="s">
        <v>17</v>
      </c>
      <c r="C33" s="10" t="s">
        <v>57</v>
      </c>
      <c r="D33" s="10" t="s">
        <v>50</v>
      </c>
      <c r="E33" s="11">
        <v>40.0</v>
      </c>
      <c r="F33" s="11">
        <v>50.0</v>
      </c>
      <c r="G33" s="11">
        <v>60.0</v>
      </c>
      <c r="H33" s="11">
        <v>35.0</v>
      </c>
      <c r="I33" s="11">
        <v>40.0</v>
      </c>
      <c r="J33" s="11">
        <v>45.0</v>
      </c>
      <c r="K33" s="9">
        <f>ROUND(E33*'Metodologia P2'!$C$6+F33*'Metodologia P2'!$C$7+G33*'Metodologia P2'!$C$8+H33*'Metodologia P2'!$C$9+I33*'Metodologia P2'!$C$10+J33*'Metodologia P2'!$C$11,0)</f>
        <v>45</v>
      </c>
      <c r="L33" s="9" t="str">
        <f>IF(K33&lt;='Metodologia P2'!$C$16,"Baixa",IF(K33&lt;='Metodologia P2'!$C$17,"Média","Alta"))</f>
        <v>Baixa</v>
      </c>
      <c r="M33" s="10" t="s">
        <v>20</v>
      </c>
      <c r="N33" s="10" t="s">
        <v>21</v>
      </c>
      <c r="O33" s="9" t="str">
        <f>IF(K33&lt;='Metodologia P2'!$C$16,"Alta",IF(K33&lt;='Metodologia P2'!$C$17,"Média","Baixa"))</f>
        <v>Alta</v>
      </c>
    </row>
    <row r="34" ht="21.75" customHeight="1">
      <c r="A34" s="6">
        <v>31.0</v>
      </c>
      <c r="B34" s="6" t="s">
        <v>17</v>
      </c>
      <c r="C34" s="7" t="s">
        <v>58</v>
      </c>
      <c r="D34" s="7" t="s">
        <v>50</v>
      </c>
      <c r="E34" s="8">
        <v>40.0</v>
      </c>
      <c r="F34" s="8">
        <v>15.0</v>
      </c>
      <c r="G34" s="8">
        <v>60.0</v>
      </c>
      <c r="H34" s="8">
        <v>35.0</v>
      </c>
      <c r="I34" s="8">
        <v>40.0</v>
      </c>
      <c r="J34" s="8">
        <v>45.0</v>
      </c>
      <c r="K34" s="6">
        <f>ROUND(E34*'Metodologia P2'!$C$6+F34*'Metodologia P2'!$C$7+G34*'Metodologia P2'!$C$8+H34*'Metodologia P2'!$C$9+I34*'Metodologia P2'!$C$10+J34*'Metodologia P2'!$C$11,0)</f>
        <v>39</v>
      </c>
      <c r="L34" s="6" t="str">
        <f>IF(K34&lt;='Metodologia P2'!$C$16,"Baixa",IF(K34&lt;='Metodologia P2'!$C$17,"Média","Alta"))</f>
        <v>Baixa</v>
      </c>
      <c r="M34" s="7" t="s">
        <v>20</v>
      </c>
      <c r="N34" s="7" t="s">
        <v>21</v>
      </c>
      <c r="O34" s="6" t="str">
        <f>IF(K34&lt;='Metodologia P2'!$C$16,"Alta",IF(K34&lt;='Metodologia P2'!$C$17,"Média","Baixa"))</f>
        <v>Alta</v>
      </c>
    </row>
    <row r="35" ht="21.75" customHeight="1">
      <c r="A35" s="9">
        <v>32.0</v>
      </c>
      <c r="B35" s="9" t="s">
        <v>17</v>
      </c>
      <c r="C35" s="10" t="s">
        <v>59</v>
      </c>
      <c r="D35" s="10" t="s">
        <v>50</v>
      </c>
      <c r="E35" s="11">
        <v>60.0</v>
      </c>
      <c r="F35" s="11">
        <v>15.0</v>
      </c>
      <c r="G35" s="11">
        <v>60.0</v>
      </c>
      <c r="H35" s="11">
        <v>55.0</v>
      </c>
      <c r="I35" s="11">
        <v>60.0</v>
      </c>
      <c r="J35" s="11">
        <v>45.0</v>
      </c>
      <c r="K35" s="9">
        <f>ROUND(E35*'Metodologia P2'!$C$6+F35*'Metodologia P2'!$C$7+G35*'Metodologia P2'!$C$8+H35*'Metodologia P2'!$C$9+I35*'Metodologia P2'!$C$10+J35*'Metodologia P2'!$C$11,0)</f>
        <v>50</v>
      </c>
      <c r="L35" s="9" t="str">
        <f>IF(K35&lt;='Metodologia P2'!$C$16,"Baixa",IF(K35&lt;='Metodologia P2'!$C$17,"Média","Alta"))</f>
        <v>Média</v>
      </c>
      <c r="M35" s="10" t="s">
        <v>20</v>
      </c>
      <c r="N35" s="10" t="s">
        <v>21</v>
      </c>
      <c r="O35" s="9" t="str">
        <f>IF(K35&lt;='Metodologia P2'!$C$16,"Alta",IF(K35&lt;='Metodologia P2'!$C$17,"Média","Baixa"))</f>
        <v>Média</v>
      </c>
    </row>
    <row r="36" ht="21.75" customHeight="1">
      <c r="A36" s="6">
        <v>33.0</v>
      </c>
      <c r="B36" s="6" t="s">
        <v>17</v>
      </c>
      <c r="C36" s="7" t="s">
        <v>60</v>
      </c>
      <c r="D36" s="7" t="s">
        <v>50</v>
      </c>
      <c r="E36" s="8">
        <v>40.0</v>
      </c>
      <c r="F36" s="8">
        <v>50.0</v>
      </c>
      <c r="G36" s="8">
        <v>60.0</v>
      </c>
      <c r="H36" s="8">
        <v>35.0</v>
      </c>
      <c r="I36" s="8">
        <v>60.0</v>
      </c>
      <c r="J36" s="8">
        <v>45.0</v>
      </c>
      <c r="K36" s="6">
        <f>ROUND(E36*'Metodologia P2'!$C$6+F36*'Metodologia P2'!$C$7+G36*'Metodologia P2'!$C$8+H36*'Metodologia P2'!$C$9+I36*'Metodologia P2'!$C$10+J36*'Metodologia P2'!$C$11,0)</f>
        <v>48</v>
      </c>
      <c r="L36" s="6" t="str">
        <f>IF(K36&lt;='Metodologia P2'!$C$16,"Baixa",IF(K36&lt;='Metodologia P2'!$C$17,"Média","Alta"))</f>
        <v>Média</v>
      </c>
      <c r="M36" s="7" t="s">
        <v>36</v>
      </c>
      <c r="N36" s="7" t="s">
        <v>37</v>
      </c>
      <c r="O36" s="6" t="str">
        <f>IF(K36&lt;='Metodologia P2'!$C$16,"Alta",IF(K36&lt;='Metodologia P2'!$C$17,"Média","Baixa"))</f>
        <v>Média</v>
      </c>
    </row>
    <row r="37" ht="21.75" customHeight="1">
      <c r="A37" s="9">
        <v>34.0</v>
      </c>
      <c r="B37" s="9" t="s">
        <v>17</v>
      </c>
      <c r="C37" s="10" t="s">
        <v>61</v>
      </c>
      <c r="D37" s="10" t="s">
        <v>50</v>
      </c>
      <c r="E37" s="11">
        <v>60.0</v>
      </c>
      <c r="F37" s="11">
        <v>50.0</v>
      </c>
      <c r="G37" s="11">
        <v>60.0</v>
      </c>
      <c r="H37" s="11">
        <v>55.0</v>
      </c>
      <c r="I37" s="11">
        <v>60.0</v>
      </c>
      <c r="J37" s="11">
        <v>45.0</v>
      </c>
      <c r="K37" s="9">
        <f>ROUND(E37*'Metodologia P2'!$C$6+F37*'Metodologia P2'!$C$7+G37*'Metodologia P2'!$C$8+H37*'Metodologia P2'!$C$9+I37*'Metodologia P2'!$C$10+J37*'Metodologia P2'!$C$11,0)</f>
        <v>56</v>
      </c>
      <c r="L37" s="9" t="str">
        <f>IF(K37&lt;='Metodologia P2'!$C$16,"Baixa",IF(K37&lt;='Metodologia P2'!$C$17,"Média","Alta"))</f>
        <v>Média</v>
      </c>
      <c r="M37" s="10" t="s">
        <v>20</v>
      </c>
      <c r="N37" s="10" t="s">
        <v>21</v>
      </c>
      <c r="O37" s="9" t="str">
        <f>IF(K37&lt;='Metodologia P2'!$C$16,"Alta",IF(K37&lt;='Metodologia P2'!$C$17,"Média","Baixa"))</f>
        <v>Média</v>
      </c>
    </row>
    <row r="38" ht="21.75" customHeight="1">
      <c r="A38" s="6">
        <v>35.0</v>
      </c>
      <c r="B38" s="6" t="s">
        <v>17</v>
      </c>
      <c r="C38" s="7" t="s">
        <v>62</v>
      </c>
      <c r="D38" s="7" t="s">
        <v>50</v>
      </c>
      <c r="E38" s="8">
        <v>60.0</v>
      </c>
      <c r="F38" s="8">
        <v>50.0</v>
      </c>
      <c r="G38" s="8">
        <v>60.0</v>
      </c>
      <c r="H38" s="8">
        <v>55.0</v>
      </c>
      <c r="I38" s="8">
        <v>60.0</v>
      </c>
      <c r="J38" s="8">
        <v>45.0</v>
      </c>
      <c r="K38" s="6">
        <f>ROUND(E38*'Metodologia P2'!$C$6+F38*'Metodologia P2'!$C$7+G38*'Metodologia P2'!$C$8+H38*'Metodologia P2'!$C$9+I38*'Metodologia P2'!$C$10+J38*'Metodologia P2'!$C$11,0)</f>
        <v>56</v>
      </c>
      <c r="L38" s="6" t="str">
        <f>IF(K38&lt;='Metodologia P2'!$C$16,"Baixa",IF(K38&lt;='Metodologia P2'!$C$17,"Média","Alta"))</f>
        <v>Média</v>
      </c>
      <c r="M38" s="7" t="s">
        <v>20</v>
      </c>
      <c r="N38" s="7" t="s">
        <v>21</v>
      </c>
      <c r="O38" s="6" t="str">
        <f>IF(K38&lt;='Metodologia P2'!$C$16,"Alta",IF(K38&lt;='Metodologia P2'!$C$17,"Média","Baixa"))</f>
        <v>Média</v>
      </c>
    </row>
    <row r="39" ht="21.75" customHeight="1">
      <c r="A39" s="9">
        <v>36.0</v>
      </c>
      <c r="B39" s="9" t="s">
        <v>17</v>
      </c>
      <c r="C39" s="10" t="s">
        <v>63</v>
      </c>
      <c r="D39" s="10" t="s">
        <v>50</v>
      </c>
      <c r="E39" s="11">
        <v>40.0</v>
      </c>
      <c r="F39" s="11">
        <v>50.0</v>
      </c>
      <c r="G39" s="11">
        <v>60.0</v>
      </c>
      <c r="H39" s="11">
        <v>35.0</v>
      </c>
      <c r="I39" s="11">
        <v>60.0</v>
      </c>
      <c r="J39" s="11">
        <v>20.0</v>
      </c>
      <c r="K39" s="9">
        <f>ROUND(E39*'Metodologia P2'!$C$6+F39*'Metodologia P2'!$C$7+G39*'Metodologia P2'!$C$8+H39*'Metodologia P2'!$C$9+I39*'Metodologia P2'!$C$10+J39*'Metodologia P2'!$C$11,0)</f>
        <v>44</v>
      </c>
      <c r="L39" s="9" t="str">
        <f>IF(K39&lt;='Metodologia P2'!$C$16,"Baixa",IF(K39&lt;='Metodologia P2'!$C$17,"Média","Alta"))</f>
        <v>Baixa</v>
      </c>
      <c r="M39" s="10" t="s">
        <v>20</v>
      </c>
      <c r="N39" s="10" t="s">
        <v>21</v>
      </c>
      <c r="O39" s="9" t="str">
        <f>IF(K39&lt;='Metodologia P2'!$C$16,"Alta",IF(K39&lt;='Metodologia P2'!$C$17,"Média","Baixa"))</f>
        <v>Alta</v>
      </c>
    </row>
    <row r="40" ht="32.25" customHeight="1">
      <c r="A40" s="6">
        <v>37.0</v>
      </c>
      <c r="B40" s="6" t="s">
        <v>17</v>
      </c>
      <c r="C40" s="7" t="s">
        <v>64</v>
      </c>
      <c r="D40" s="7" t="s">
        <v>50</v>
      </c>
      <c r="E40" s="8">
        <v>60.0</v>
      </c>
      <c r="F40" s="8">
        <v>50.0</v>
      </c>
      <c r="G40" s="8">
        <v>60.0</v>
      </c>
      <c r="H40" s="8">
        <v>55.0</v>
      </c>
      <c r="I40" s="8">
        <v>60.0</v>
      </c>
      <c r="J40" s="8">
        <v>45.0</v>
      </c>
      <c r="K40" s="6">
        <f>ROUND(E40*'Metodologia P2'!$C$6+F40*'Metodologia P2'!$C$7+G40*'Metodologia P2'!$C$8+H40*'Metodologia P2'!$C$9+I40*'Metodologia P2'!$C$10+J40*'Metodologia P2'!$C$11,0)</f>
        <v>56</v>
      </c>
      <c r="L40" s="6" t="str">
        <f>IF(K40&lt;='Metodologia P2'!$C$16,"Baixa",IF(K40&lt;='Metodologia P2'!$C$17,"Média","Alta"))</f>
        <v>Média</v>
      </c>
      <c r="M40" s="7" t="s">
        <v>20</v>
      </c>
      <c r="N40" s="7" t="s">
        <v>21</v>
      </c>
      <c r="O40" s="6" t="str">
        <f>IF(K40&lt;='Metodologia P2'!$C$16,"Alta",IF(K40&lt;='Metodologia P2'!$C$17,"Média","Baixa"))</f>
        <v>Média</v>
      </c>
    </row>
    <row r="41" ht="32.25" customHeight="1">
      <c r="A41" s="9">
        <v>38.0</v>
      </c>
      <c r="B41" s="9" t="s">
        <v>17</v>
      </c>
      <c r="C41" s="10" t="s">
        <v>65</v>
      </c>
      <c r="D41" s="10" t="s">
        <v>50</v>
      </c>
      <c r="E41" s="11">
        <v>60.0</v>
      </c>
      <c r="F41" s="11">
        <v>50.0</v>
      </c>
      <c r="G41" s="11">
        <v>60.0</v>
      </c>
      <c r="H41" s="11">
        <v>55.0</v>
      </c>
      <c r="I41" s="11">
        <v>60.0</v>
      </c>
      <c r="J41" s="11">
        <v>20.0</v>
      </c>
      <c r="K41" s="9">
        <f>ROUND(E41*'Metodologia P2'!$C$6+F41*'Metodologia P2'!$C$7+G41*'Metodologia P2'!$C$8+H41*'Metodologia P2'!$C$9+I41*'Metodologia P2'!$C$10+J41*'Metodologia P2'!$C$11,0)</f>
        <v>52</v>
      </c>
      <c r="L41" s="9" t="str">
        <f>IF(K41&lt;='Metodologia P2'!$C$16,"Baixa",IF(K41&lt;='Metodologia P2'!$C$17,"Média","Alta"))</f>
        <v>Média</v>
      </c>
      <c r="M41" s="10" t="s">
        <v>36</v>
      </c>
      <c r="N41" s="10" t="s">
        <v>37</v>
      </c>
      <c r="O41" s="9" t="str">
        <f>IF(K41&lt;='Metodologia P2'!$C$16,"Alta",IF(K41&lt;='Metodologia P2'!$C$17,"Média","Baixa"))</f>
        <v>Média</v>
      </c>
    </row>
    <row r="42" ht="21.75" customHeight="1">
      <c r="A42" s="6">
        <v>39.0</v>
      </c>
      <c r="B42" s="6" t="s">
        <v>17</v>
      </c>
      <c r="C42" s="7" t="s">
        <v>66</v>
      </c>
      <c r="D42" s="7" t="s">
        <v>50</v>
      </c>
      <c r="E42" s="8">
        <v>60.0</v>
      </c>
      <c r="F42" s="8">
        <v>50.0</v>
      </c>
      <c r="G42" s="8">
        <v>35.0</v>
      </c>
      <c r="H42" s="8">
        <v>55.0</v>
      </c>
      <c r="I42" s="8">
        <v>60.0</v>
      </c>
      <c r="J42" s="8">
        <v>45.0</v>
      </c>
      <c r="K42" s="6">
        <f>ROUND(E42*'Metodologia P2'!$C$6+F42*'Metodologia P2'!$C$7+G42*'Metodologia P2'!$C$8+H42*'Metodologia P2'!$C$9+I42*'Metodologia P2'!$C$10+J42*'Metodologia P2'!$C$11,0)</f>
        <v>52</v>
      </c>
      <c r="L42" s="6" t="str">
        <f>IF(K42&lt;='Metodologia P2'!$C$16,"Baixa",IF(K42&lt;='Metodologia P2'!$C$17,"Média","Alta"))</f>
        <v>Média</v>
      </c>
      <c r="M42" s="7" t="s">
        <v>24</v>
      </c>
      <c r="N42" s="7" t="s">
        <v>25</v>
      </c>
      <c r="O42" s="6" t="str">
        <f>IF(K42&lt;='Metodologia P2'!$C$16,"Alta",IF(K42&lt;='Metodologia P2'!$C$17,"Média","Baixa"))</f>
        <v>Média</v>
      </c>
    </row>
    <row r="43" ht="21.75" customHeight="1">
      <c r="A43" s="9">
        <v>40.0</v>
      </c>
      <c r="B43" s="9" t="s">
        <v>17</v>
      </c>
      <c r="C43" s="10" t="s">
        <v>67</v>
      </c>
      <c r="D43" s="10" t="s">
        <v>50</v>
      </c>
      <c r="E43" s="11">
        <v>60.0</v>
      </c>
      <c r="F43" s="11">
        <v>50.0</v>
      </c>
      <c r="G43" s="11">
        <v>60.0</v>
      </c>
      <c r="H43" s="11">
        <v>55.0</v>
      </c>
      <c r="I43" s="11">
        <v>60.0</v>
      </c>
      <c r="J43" s="11">
        <v>45.0</v>
      </c>
      <c r="K43" s="9">
        <f>ROUND(E43*'Metodologia P2'!$C$6+F43*'Metodologia P2'!$C$7+G43*'Metodologia P2'!$C$8+H43*'Metodologia P2'!$C$9+I43*'Metodologia P2'!$C$10+J43*'Metodologia P2'!$C$11,0)</f>
        <v>56</v>
      </c>
      <c r="L43" s="9" t="str">
        <f>IF(K43&lt;='Metodologia P2'!$C$16,"Baixa",IF(K43&lt;='Metodologia P2'!$C$17,"Média","Alta"))</f>
        <v>Média</v>
      </c>
      <c r="M43" s="10" t="s">
        <v>20</v>
      </c>
      <c r="N43" s="10" t="s">
        <v>21</v>
      </c>
      <c r="O43" s="9" t="str">
        <f>IF(K43&lt;='Metodologia P2'!$C$16,"Alta",IF(K43&lt;='Metodologia P2'!$C$17,"Média","Baixa"))</f>
        <v>Média</v>
      </c>
    </row>
    <row r="44" ht="21.75" customHeight="1">
      <c r="A44" s="6">
        <v>41.0</v>
      </c>
      <c r="B44" s="6" t="s">
        <v>17</v>
      </c>
      <c r="C44" s="7" t="s">
        <v>68</v>
      </c>
      <c r="D44" s="7" t="s">
        <v>50</v>
      </c>
      <c r="E44" s="8">
        <v>60.0</v>
      </c>
      <c r="F44" s="8">
        <v>50.0</v>
      </c>
      <c r="G44" s="8">
        <v>60.0</v>
      </c>
      <c r="H44" s="8">
        <v>55.0</v>
      </c>
      <c r="I44" s="8">
        <v>60.0</v>
      </c>
      <c r="J44" s="8">
        <v>45.0</v>
      </c>
      <c r="K44" s="6">
        <f>ROUND(E44*'Metodologia P2'!$C$6+F44*'Metodologia P2'!$C$7+G44*'Metodologia P2'!$C$8+H44*'Metodologia P2'!$C$9+I44*'Metodologia P2'!$C$10+J44*'Metodologia P2'!$C$11,0)</f>
        <v>56</v>
      </c>
      <c r="L44" s="6" t="str">
        <f>IF(K44&lt;='Metodologia P2'!$C$16,"Baixa",IF(K44&lt;='Metodologia P2'!$C$17,"Média","Alta"))</f>
        <v>Média</v>
      </c>
      <c r="M44" s="7" t="s">
        <v>20</v>
      </c>
      <c r="N44" s="7" t="s">
        <v>21</v>
      </c>
      <c r="O44" s="6" t="str">
        <f>IF(K44&lt;='Metodologia P2'!$C$16,"Alta",IF(K44&lt;='Metodologia P2'!$C$17,"Média","Baixa"))</f>
        <v>Média</v>
      </c>
    </row>
    <row r="45" ht="21.75" customHeight="1">
      <c r="A45" s="9">
        <v>42.0</v>
      </c>
      <c r="B45" s="9" t="s">
        <v>17</v>
      </c>
      <c r="C45" s="10" t="s">
        <v>69</v>
      </c>
      <c r="D45" s="10" t="s">
        <v>50</v>
      </c>
      <c r="E45" s="11">
        <v>60.0</v>
      </c>
      <c r="F45" s="11">
        <v>50.0</v>
      </c>
      <c r="G45" s="11">
        <v>60.0</v>
      </c>
      <c r="H45" s="11">
        <v>55.0</v>
      </c>
      <c r="I45" s="11">
        <v>60.0</v>
      </c>
      <c r="J45" s="11">
        <v>20.0</v>
      </c>
      <c r="K45" s="9">
        <f>ROUND(E45*'Metodologia P2'!$C$6+F45*'Metodologia P2'!$C$7+G45*'Metodologia P2'!$C$8+H45*'Metodologia P2'!$C$9+I45*'Metodologia P2'!$C$10+J45*'Metodologia P2'!$C$11,0)</f>
        <v>52</v>
      </c>
      <c r="L45" s="9" t="str">
        <f>IF(K45&lt;='Metodologia P2'!$C$16,"Baixa",IF(K45&lt;='Metodologia P2'!$C$17,"Média","Alta"))</f>
        <v>Média</v>
      </c>
      <c r="M45" s="10" t="s">
        <v>20</v>
      </c>
      <c r="N45" s="10" t="s">
        <v>21</v>
      </c>
      <c r="O45" s="9" t="str">
        <f>IF(K45&lt;='Metodologia P2'!$C$16,"Alta",IF(K45&lt;='Metodologia P2'!$C$17,"Média","Baixa"))</f>
        <v>Média</v>
      </c>
    </row>
    <row r="46" ht="21.75" customHeight="1">
      <c r="A46" s="6">
        <v>43.0</v>
      </c>
      <c r="B46" s="6" t="s">
        <v>17</v>
      </c>
      <c r="C46" s="7" t="s">
        <v>70</v>
      </c>
      <c r="D46" s="7" t="s">
        <v>50</v>
      </c>
      <c r="E46" s="8">
        <v>60.0</v>
      </c>
      <c r="F46" s="8">
        <v>50.0</v>
      </c>
      <c r="G46" s="8">
        <v>60.0</v>
      </c>
      <c r="H46" s="8">
        <v>55.0</v>
      </c>
      <c r="I46" s="8">
        <v>60.0</v>
      </c>
      <c r="J46" s="8">
        <v>45.0</v>
      </c>
      <c r="K46" s="6">
        <f>ROUND(E46*'Metodologia P2'!$C$6+F46*'Metodologia P2'!$C$7+G46*'Metodologia P2'!$C$8+H46*'Metodologia P2'!$C$9+I46*'Metodologia P2'!$C$10+J46*'Metodologia P2'!$C$11,0)</f>
        <v>56</v>
      </c>
      <c r="L46" s="6" t="str">
        <f>IF(K46&lt;='Metodologia P2'!$C$16,"Baixa",IF(K46&lt;='Metodologia P2'!$C$17,"Média","Alta"))</f>
        <v>Média</v>
      </c>
      <c r="M46" s="7" t="s">
        <v>20</v>
      </c>
      <c r="N46" s="7" t="s">
        <v>21</v>
      </c>
      <c r="O46" s="6" t="str">
        <f>IF(K46&lt;='Metodologia P2'!$C$16,"Alta",IF(K46&lt;='Metodologia P2'!$C$17,"Média","Baixa"))</f>
        <v>Média</v>
      </c>
    </row>
    <row r="47" ht="21.75" customHeight="1">
      <c r="A47" s="9">
        <v>44.0</v>
      </c>
      <c r="B47" s="9" t="s">
        <v>17</v>
      </c>
      <c r="C47" s="10" t="s">
        <v>71</v>
      </c>
      <c r="D47" s="10" t="s">
        <v>72</v>
      </c>
      <c r="E47" s="11">
        <v>60.0</v>
      </c>
      <c r="F47" s="11">
        <v>15.0</v>
      </c>
      <c r="G47" s="11">
        <v>25.0</v>
      </c>
      <c r="H47" s="11">
        <v>55.0</v>
      </c>
      <c r="I47" s="11">
        <v>60.0</v>
      </c>
      <c r="J47" s="11">
        <v>45.0</v>
      </c>
      <c r="K47" s="9">
        <f>ROUND(E47*'Metodologia P2'!$C$6+F47*'Metodologia P2'!$C$7+G47*'Metodologia P2'!$C$8+H47*'Metodologia P2'!$C$9+I47*'Metodologia P2'!$C$10+J47*'Metodologia P2'!$C$11,0)</f>
        <v>45</v>
      </c>
      <c r="L47" s="9" t="str">
        <f>IF(K47&lt;='Metodologia P2'!$C$16,"Baixa",IF(K47&lt;='Metodologia P2'!$C$17,"Média","Alta"))</f>
        <v>Baixa</v>
      </c>
      <c r="M47" s="10" t="s">
        <v>20</v>
      </c>
      <c r="N47" s="10" t="s">
        <v>21</v>
      </c>
      <c r="O47" s="9" t="str">
        <f>IF(K47&lt;='Metodologia P2'!$C$16,"Alta",IF(K47&lt;='Metodologia P2'!$C$17,"Média","Baixa"))</f>
        <v>Alta</v>
      </c>
    </row>
    <row r="48" ht="21.75" customHeight="1">
      <c r="A48" s="6">
        <v>45.0</v>
      </c>
      <c r="B48" s="6" t="s">
        <v>17</v>
      </c>
      <c r="C48" s="7" t="s">
        <v>73</v>
      </c>
      <c r="D48" s="7" t="s">
        <v>72</v>
      </c>
      <c r="E48" s="8">
        <v>20.0</v>
      </c>
      <c r="F48" s="8">
        <v>20.0</v>
      </c>
      <c r="G48" s="8">
        <v>25.0</v>
      </c>
      <c r="H48" s="8">
        <v>20.0</v>
      </c>
      <c r="I48" s="8">
        <v>40.0</v>
      </c>
      <c r="J48" s="8">
        <v>20.0</v>
      </c>
      <c r="K48" s="6">
        <f>ROUND(E48*'Metodologia P2'!$C$6+F48*'Metodologia P2'!$C$7+G48*'Metodologia P2'!$C$8+H48*'Metodologia P2'!$C$9+I48*'Metodologia P2'!$C$10+J48*'Metodologia P2'!$C$11,0)</f>
        <v>24</v>
      </c>
      <c r="L48" s="6" t="str">
        <f>IF(K48&lt;='Metodologia P2'!$C$16,"Baixa",IF(K48&lt;='Metodologia P2'!$C$17,"Média","Alta"))</f>
        <v>Baixa</v>
      </c>
      <c r="M48" s="7" t="s">
        <v>30</v>
      </c>
      <c r="N48" s="7" t="s">
        <v>31</v>
      </c>
      <c r="O48" s="6" t="str">
        <f>IF(K48&lt;='Metodologia P2'!$C$16,"Alta",IF(K48&lt;='Metodologia P2'!$C$17,"Média","Baixa"))</f>
        <v>Alta</v>
      </c>
    </row>
    <row r="49" ht="21.75" customHeight="1">
      <c r="A49" s="9">
        <v>46.0</v>
      </c>
      <c r="B49" s="9" t="s">
        <v>17</v>
      </c>
      <c r="C49" s="10" t="s">
        <v>74</v>
      </c>
      <c r="D49" s="10" t="s">
        <v>72</v>
      </c>
      <c r="E49" s="11">
        <v>60.0</v>
      </c>
      <c r="F49" s="11">
        <v>15.0</v>
      </c>
      <c r="G49" s="11">
        <v>60.0</v>
      </c>
      <c r="H49" s="11">
        <v>55.0</v>
      </c>
      <c r="I49" s="11">
        <v>40.0</v>
      </c>
      <c r="J49" s="11">
        <v>45.0</v>
      </c>
      <c r="K49" s="9">
        <f>ROUND(E49*'Metodologia P2'!$C$6+F49*'Metodologia P2'!$C$7+G49*'Metodologia P2'!$C$8+H49*'Metodologia P2'!$C$9+I49*'Metodologia P2'!$C$10+J49*'Metodologia P2'!$C$11,0)</f>
        <v>47</v>
      </c>
      <c r="L49" s="9" t="str">
        <f>IF(K49&lt;='Metodologia P2'!$C$16,"Baixa",IF(K49&lt;='Metodologia P2'!$C$17,"Média","Alta"))</f>
        <v>Média</v>
      </c>
      <c r="M49" s="10" t="s">
        <v>20</v>
      </c>
      <c r="N49" s="10" t="s">
        <v>21</v>
      </c>
      <c r="O49" s="9" t="str">
        <f>IF(K49&lt;='Metodologia P2'!$C$16,"Alta",IF(K49&lt;='Metodologia P2'!$C$17,"Média","Baixa"))</f>
        <v>Média</v>
      </c>
    </row>
    <row r="50" ht="21.75" customHeight="1">
      <c r="A50" s="6">
        <v>47.0</v>
      </c>
      <c r="B50" s="6" t="s">
        <v>17</v>
      </c>
      <c r="C50" s="7" t="s">
        <v>75</v>
      </c>
      <c r="D50" s="7" t="s">
        <v>72</v>
      </c>
      <c r="E50" s="8">
        <v>60.0</v>
      </c>
      <c r="F50" s="8">
        <v>20.0</v>
      </c>
      <c r="G50" s="8">
        <v>35.0</v>
      </c>
      <c r="H50" s="8">
        <v>55.0</v>
      </c>
      <c r="I50" s="8">
        <v>40.0</v>
      </c>
      <c r="J50" s="8">
        <v>45.0</v>
      </c>
      <c r="K50" s="6">
        <f>ROUND(E50*'Metodologia P2'!$C$6+F50*'Metodologia P2'!$C$7+G50*'Metodologia P2'!$C$8+H50*'Metodologia P2'!$C$9+I50*'Metodologia P2'!$C$10+J50*'Metodologia P2'!$C$11,0)</f>
        <v>44</v>
      </c>
      <c r="L50" s="6" t="str">
        <f>IF(K50&lt;='Metodologia P2'!$C$16,"Baixa",IF(K50&lt;='Metodologia P2'!$C$17,"Média","Alta"))</f>
        <v>Baixa</v>
      </c>
      <c r="M50" s="7" t="s">
        <v>20</v>
      </c>
      <c r="N50" s="7" t="s">
        <v>21</v>
      </c>
      <c r="O50" s="6" t="str">
        <f>IF(K50&lt;='Metodologia P2'!$C$16,"Alta",IF(K50&lt;='Metodologia P2'!$C$17,"Média","Baixa"))</f>
        <v>Alta</v>
      </c>
    </row>
    <row r="51" ht="21.75" customHeight="1">
      <c r="A51" s="9">
        <v>48.0</v>
      </c>
      <c r="B51" s="9" t="s">
        <v>17</v>
      </c>
      <c r="C51" s="10" t="s">
        <v>76</v>
      </c>
      <c r="D51" s="10" t="s">
        <v>72</v>
      </c>
      <c r="E51" s="11">
        <v>40.0</v>
      </c>
      <c r="F51" s="11">
        <v>15.0</v>
      </c>
      <c r="G51" s="11">
        <v>35.0</v>
      </c>
      <c r="H51" s="11">
        <v>35.0</v>
      </c>
      <c r="I51" s="11">
        <v>40.0</v>
      </c>
      <c r="J51" s="11">
        <v>45.0</v>
      </c>
      <c r="K51" s="9">
        <f>ROUND(E51*'Metodologia P2'!$C$6+F51*'Metodologia P2'!$C$7+G51*'Metodologia P2'!$C$8+H51*'Metodologia P2'!$C$9+I51*'Metodologia P2'!$C$10+J51*'Metodologia P2'!$C$11,0)</f>
        <v>36</v>
      </c>
      <c r="L51" s="9" t="str">
        <f>IF(K51&lt;='Metodologia P2'!$C$16,"Baixa",IF(K51&lt;='Metodologia P2'!$C$17,"Média","Alta"))</f>
        <v>Baixa</v>
      </c>
      <c r="M51" s="10" t="s">
        <v>20</v>
      </c>
      <c r="N51" s="10" t="s">
        <v>21</v>
      </c>
      <c r="O51" s="9" t="str">
        <f>IF(K51&lt;='Metodologia P2'!$C$16,"Alta",IF(K51&lt;='Metodologia P2'!$C$17,"Média","Baixa"))</f>
        <v>Alta</v>
      </c>
    </row>
    <row r="52" ht="21.75" customHeight="1">
      <c r="A52" s="6">
        <v>49.0</v>
      </c>
      <c r="B52" s="6" t="s">
        <v>17</v>
      </c>
      <c r="C52" s="7" t="s">
        <v>77</v>
      </c>
      <c r="D52" s="7" t="s">
        <v>72</v>
      </c>
      <c r="E52" s="8">
        <v>20.0</v>
      </c>
      <c r="F52" s="8">
        <v>20.0</v>
      </c>
      <c r="G52" s="8">
        <v>35.0</v>
      </c>
      <c r="H52" s="8">
        <v>20.0</v>
      </c>
      <c r="I52" s="8">
        <v>40.0</v>
      </c>
      <c r="J52" s="8">
        <v>20.0</v>
      </c>
      <c r="K52" s="6">
        <f>ROUND(E52*'Metodologia P2'!$C$6+F52*'Metodologia P2'!$C$7+G52*'Metodologia P2'!$C$8+H52*'Metodologia P2'!$C$9+I52*'Metodologia P2'!$C$10+J52*'Metodologia P2'!$C$11,0)</f>
        <v>25</v>
      </c>
      <c r="L52" s="6" t="str">
        <f>IF(K52&lt;='Metodologia P2'!$C$16,"Baixa",IF(K52&lt;='Metodologia P2'!$C$17,"Média","Alta"))</f>
        <v>Baixa</v>
      </c>
      <c r="M52" s="7" t="s">
        <v>30</v>
      </c>
      <c r="N52" s="7" t="s">
        <v>31</v>
      </c>
      <c r="O52" s="6" t="str">
        <f>IF(K52&lt;='Metodologia P2'!$C$16,"Alta",IF(K52&lt;='Metodologia P2'!$C$17,"Média","Baixa"))</f>
        <v>Alta</v>
      </c>
    </row>
    <row r="53" ht="21.75" customHeight="1">
      <c r="A53" s="9">
        <v>50.0</v>
      </c>
      <c r="B53" s="9" t="s">
        <v>17</v>
      </c>
      <c r="C53" s="10" t="s">
        <v>78</v>
      </c>
      <c r="D53" s="10" t="s">
        <v>72</v>
      </c>
      <c r="E53" s="11">
        <v>20.0</v>
      </c>
      <c r="F53" s="11">
        <v>15.0</v>
      </c>
      <c r="G53" s="11">
        <v>35.0</v>
      </c>
      <c r="H53" s="11">
        <v>20.0</v>
      </c>
      <c r="I53" s="11">
        <v>40.0</v>
      </c>
      <c r="J53" s="11">
        <v>20.0</v>
      </c>
      <c r="K53" s="9">
        <f>ROUND(E53*'Metodologia P2'!$C$6+F53*'Metodologia P2'!$C$7+G53*'Metodologia P2'!$C$8+H53*'Metodologia P2'!$C$9+I53*'Metodologia P2'!$C$10+J53*'Metodologia P2'!$C$11,0)</f>
        <v>25</v>
      </c>
      <c r="L53" s="9" t="str">
        <f>IF(K53&lt;='Metodologia P2'!$C$16,"Baixa",IF(K53&lt;='Metodologia P2'!$C$17,"Média","Alta"))</f>
        <v>Baixa</v>
      </c>
      <c r="M53" s="10" t="s">
        <v>30</v>
      </c>
      <c r="N53" s="10" t="s">
        <v>31</v>
      </c>
      <c r="O53" s="9" t="str">
        <f>IF(K53&lt;='Metodologia P2'!$C$16,"Alta",IF(K53&lt;='Metodologia P2'!$C$17,"Média","Baixa"))</f>
        <v>Alta</v>
      </c>
    </row>
    <row r="54" ht="21.75" customHeight="1">
      <c r="A54" s="6">
        <v>51.0</v>
      </c>
      <c r="B54" s="6" t="s">
        <v>17</v>
      </c>
      <c r="C54" s="7" t="s">
        <v>79</v>
      </c>
      <c r="D54" s="7" t="s">
        <v>72</v>
      </c>
      <c r="E54" s="8">
        <v>60.0</v>
      </c>
      <c r="F54" s="8">
        <v>20.0</v>
      </c>
      <c r="G54" s="8">
        <v>25.0</v>
      </c>
      <c r="H54" s="8">
        <v>55.0</v>
      </c>
      <c r="I54" s="8">
        <v>60.0</v>
      </c>
      <c r="J54" s="8">
        <v>45.0</v>
      </c>
      <c r="K54" s="6">
        <f>ROUND(E54*'Metodologia P2'!$C$6+F54*'Metodologia P2'!$C$7+G54*'Metodologia P2'!$C$8+H54*'Metodologia P2'!$C$9+I54*'Metodologia P2'!$C$10+J54*'Metodologia P2'!$C$11,0)</f>
        <v>46</v>
      </c>
      <c r="L54" s="6" t="str">
        <f>IF(K54&lt;='Metodologia P2'!$C$16,"Baixa",IF(K54&lt;='Metodologia P2'!$C$17,"Média","Alta"))</f>
        <v>Média</v>
      </c>
      <c r="M54" s="7" t="s">
        <v>20</v>
      </c>
      <c r="N54" s="7" t="s">
        <v>21</v>
      </c>
      <c r="O54" s="6" t="str">
        <f>IF(K54&lt;='Metodologia P2'!$C$16,"Alta",IF(K54&lt;='Metodologia P2'!$C$17,"Média","Baixa"))</f>
        <v>Média</v>
      </c>
    </row>
    <row r="55" ht="21.75" customHeight="1">
      <c r="A55" s="9">
        <v>52.0</v>
      </c>
      <c r="B55" s="9" t="s">
        <v>17</v>
      </c>
      <c r="C55" s="10" t="s">
        <v>80</v>
      </c>
      <c r="D55" s="10" t="s">
        <v>72</v>
      </c>
      <c r="E55" s="11">
        <v>60.0</v>
      </c>
      <c r="F55" s="11">
        <v>20.0</v>
      </c>
      <c r="G55" s="11">
        <v>35.0</v>
      </c>
      <c r="H55" s="11">
        <v>55.0</v>
      </c>
      <c r="I55" s="11">
        <v>60.0</v>
      </c>
      <c r="J55" s="11">
        <v>45.0</v>
      </c>
      <c r="K55" s="9">
        <f>ROUND(E55*'Metodologia P2'!$C$6+F55*'Metodologia P2'!$C$7+G55*'Metodologia P2'!$C$8+H55*'Metodologia P2'!$C$9+I55*'Metodologia P2'!$C$10+J55*'Metodologia P2'!$C$11,0)</f>
        <v>47</v>
      </c>
      <c r="L55" s="9" t="str">
        <f>IF(K55&lt;='Metodologia P2'!$C$16,"Baixa",IF(K55&lt;='Metodologia P2'!$C$17,"Média","Alta"))</f>
        <v>Média</v>
      </c>
      <c r="M55" s="10" t="s">
        <v>20</v>
      </c>
      <c r="N55" s="10" t="s">
        <v>21</v>
      </c>
      <c r="O55" s="9" t="str">
        <f>IF(K55&lt;='Metodologia P2'!$C$16,"Alta",IF(K55&lt;='Metodologia P2'!$C$17,"Média","Baixa"))</f>
        <v>Média</v>
      </c>
    </row>
    <row r="56" ht="21.75" customHeight="1">
      <c r="A56" s="6">
        <v>53.0</v>
      </c>
      <c r="B56" s="6" t="s">
        <v>17</v>
      </c>
      <c r="C56" s="7" t="s">
        <v>81</v>
      </c>
      <c r="D56" s="7" t="s">
        <v>72</v>
      </c>
      <c r="E56" s="8">
        <v>60.0</v>
      </c>
      <c r="F56" s="8">
        <v>20.0</v>
      </c>
      <c r="G56" s="8">
        <v>35.0</v>
      </c>
      <c r="H56" s="8">
        <v>55.0</v>
      </c>
      <c r="I56" s="8">
        <v>40.0</v>
      </c>
      <c r="J56" s="8">
        <v>45.0</v>
      </c>
      <c r="K56" s="6">
        <f>ROUND(E56*'Metodologia P2'!$C$6+F56*'Metodologia P2'!$C$7+G56*'Metodologia P2'!$C$8+H56*'Metodologia P2'!$C$9+I56*'Metodologia P2'!$C$10+J56*'Metodologia P2'!$C$11,0)</f>
        <v>44</v>
      </c>
      <c r="L56" s="6" t="str">
        <f>IF(K56&lt;='Metodologia P2'!$C$16,"Baixa",IF(K56&lt;='Metodologia P2'!$C$17,"Média","Alta"))</f>
        <v>Baixa</v>
      </c>
      <c r="M56" s="7" t="s">
        <v>20</v>
      </c>
      <c r="N56" s="7" t="s">
        <v>21</v>
      </c>
      <c r="O56" s="6" t="str">
        <f>IF(K56&lt;='Metodologia P2'!$C$16,"Alta",IF(K56&lt;='Metodologia P2'!$C$17,"Média","Baixa"))</f>
        <v>Alta</v>
      </c>
    </row>
    <row r="57" ht="21.75" customHeight="1">
      <c r="A57" s="9">
        <v>54.0</v>
      </c>
      <c r="B57" s="9" t="s">
        <v>17</v>
      </c>
      <c r="C57" s="10" t="s">
        <v>82</v>
      </c>
      <c r="D57" s="10" t="s">
        <v>72</v>
      </c>
      <c r="E57" s="11">
        <v>60.0</v>
      </c>
      <c r="F57" s="11">
        <v>15.0</v>
      </c>
      <c r="G57" s="11">
        <v>35.0</v>
      </c>
      <c r="H57" s="11">
        <v>55.0</v>
      </c>
      <c r="I57" s="11">
        <v>60.0</v>
      </c>
      <c r="J57" s="11">
        <v>45.0</v>
      </c>
      <c r="K57" s="9">
        <f>ROUND(E57*'Metodologia P2'!$C$6+F57*'Metodologia P2'!$C$7+G57*'Metodologia P2'!$C$8+H57*'Metodologia P2'!$C$9+I57*'Metodologia P2'!$C$10+J57*'Metodologia P2'!$C$11,0)</f>
        <v>47</v>
      </c>
      <c r="L57" s="9" t="str">
        <f>IF(K57&lt;='Metodologia P2'!$C$16,"Baixa",IF(K57&lt;='Metodologia P2'!$C$17,"Média","Alta"))</f>
        <v>Média</v>
      </c>
      <c r="M57" s="10" t="s">
        <v>20</v>
      </c>
      <c r="N57" s="10" t="s">
        <v>21</v>
      </c>
      <c r="O57" s="9" t="str">
        <f>IF(K57&lt;='Metodologia P2'!$C$16,"Alta",IF(K57&lt;='Metodologia P2'!$C$17,"Média","Baixa"))</f>
        <v>Média</v>
      </c>
    </row>
    <row r="58" ht="21.75" customHeight="1">
      <c r="A58" s="6">
        <v>55.0</v>
      </c>
      <c r="B58" s="6" t="s">
        <v>17</v>
      </c>
      <c r="C58" s="7" t="s">
        <v>83</v>
      </c>
      <c r="D58" s="7" t="s">
        <v>72</v>
      </c>
      <c r="E58" s="8">
        <v>60.0</v>
      </c>
      <c r="F58" s="8">
        <v>20.0</v>
      </c>
      <c r="G58" s="8">
        <v>35.0</v>
      </c>
      <c r="H58" s="8">
        <v>55.0</v>
      </c>
      <c r="I58" s="8">
        <v>40.0</v>
      </c>
      <c r="J58" s="8">
        <v>45.0</v>
      </c>
      <c r="K58" s="6">
        <f>ROUND(E58*'Metodologia P2'!$C$6+F58*'Metodologia P2'!$C$7+G58*'Metodologia P2'!$C$8+H58*'Metodologia P2'!$C$9+I58*'Metodologia P2'!$C$10+J58*'Metodologia P2'!$C$11,0)</f>
        <v>44</v>
      </c>
      <c r="L58" s="6" t="str">
        <f>IF(K58&lt;='Metodologia P2'!$C$16,"Baixa",IF(K58&lt;='Metodologia P2'!$C$17,"Média","Alta"))</f>
        <v>Baixa</v>
      </c>
      <c r="M58" s="7" t="s">
        <v>20</v>
      </c>
      <c r="N58" s="7" t="s">
        <v>21</v>
      </c>
      <c r="O58" s="6" t="str">
        <f>IF(K58&lt;='Metodologia P2'!$C$16,"Alta",IF(K58&lt;='Metodologia P2'!$C$17,"Média","Baixa"))</f>
        <v>Alta</v>
      </c>
    </row>
    <row r="59" ht="21.75" customHeight="1">
      <c r="A59" s="9">
        <v>56.0</v>
      </c>
      <c r="B59" s="9" t="s">
        <v>17</v>
      </c>
      <c r="C59" s="10" t="s">
        <v>84</v>
      </c>
      <c r="D59" s="10" t="s">
        <v>72</v>
      </c>
      <c r="E59" s="11">
        <v>20.0</v>
      </c>
      <c r="F59" s="11">
        <v>15.0</v>
      </c>
      <c r="G59" s="11">
        <v>35.0</v>
      </c>
      <c r="H59" s="11">
        <v>20.0</v>
      </c>
      <c r="I59" s="11">
        <v>40.0</v>
      </c>
      <c r="J59" s="11">
        <v>20.0</v>
      </c>
      <c r="K59" s="9">
        <f>ROUND(E59*'Metodologia P2'!$C$6+F59*'Metodologia P2'!$C$7+G59*'Metodologia P2'!$C$8+H59*'Metodologia P2'!$C$9+I59*'Metodologia P2'!$C$10+J59*'Metodologia P2'!$C$11,0)</f>
        <v>25</v>
      </c>
      <c r="L59" s="9" t="str">
        <f>IF(K59&lt;='Metodologia P2'!$C$16,"Baixa",IF(K59&lt;='Metodologia P2'!$C$17,"Média","Alta"))</f>
        <v>Baixa</v>
      </c>
      <c r="M59" s="10" t="s">
        <v>30</v>
      </c>
      <c r="N59" s="10" t="s">
        <v>31</v>
      </c>
      <c r="O59" s="9" t="str">
        <f>IF(K59&lt;='Metodologia P2'!$C$16,"Alta",IF(K59&lt;='Metodologia P2'!$C$17,"Média","Baixa"))</f>
        <v>Alta</v>
      </c>
    </row>
    <row r="60" ht="21.75" customHeight="1">
      <c r="A60" s="6">
        <v>57.0</v>
      </c>
      <c r="B60" s="6" t="s">
        <v>17</v>
      </c>
      <c r="C60" s="7" t="s">
        <v>85</v>
      </c>
      <c r="D60" s="7" t="s">
        <v>72</v>
      </c>
      <c r="E60" s="8">
        <v>20.0</v>
      </c>
      <c r="F60" s="8">
        <v>20.0</v>
      </c>
      <c r="G60" s="8">
        <v>25.0</v>
      </c>
      <c r="H60" s="8">
        <v>20.0</v>
      </c>
      <c r="I60" s="8">
        <v>60.0</v>
      </c>
      <c r="J60" s="8">
        <v>20.0</v>
      </c>
      <c r="K60" s="6">
        <f>ROUND(E60*'Metodologia P2'!$C$6+F60*'Metodologia P2'!$C$7+G60*'Metodologia P2'!$C$8+H60*'Metodologia P2'!$C$9+I60*'Metodologia P2'!$C$10+J60*'Metodologia P2'!$C$11,0)</f>
        <v>27</v>
      </c>
      <c r="L60" s="6" t="str">
        <f>IF(K60&lt;='Metodologia P2'!$C$16,"Baixa",IF(K60&lt;='Metodologia P2'!$C$17,"Média","Alta"))</f>
        <v>Baixa</v>
      </c>
      <c r="M60" s="7" t="s">
        <v>30</v>
      </c>
      <c r="N60" s="7" t="s">
        <v>31</v>
      </c>
      <c r="O60" s="6" t="str">
        <f>IF(K60&lt;='Metodologia P2'!$C$16,"Alta",IF(K60&lt;='Metodologia P2'!$C$17,"Média","Baixa"))</f>
        <v>Alta</v>
      </c>
    </row>
    <row r="61" ht="21.75" customHeight="1">
      <c r="A61" s="9">
        <v>58.0</v>
      </c>
      <c r="B61" s="9" t="s">
        <v>17</v>
      </c>
      <c r="C61" s="10" t="s">
        <v>86</v>
      </c>
      <c r="D61" s="10" t="s">
        <v>72</v>
      </c>
      <c r="E61" s="11">
        <v>60.0</v>
      </c>
      <c r="F61" s="11">
        <v>20.0</v>
      </c>
      <c r="G61" s="11">
        <v>35.0</v>
      </c>
      <c r="H61" s="11">
        <v>55.0</v>
      </c>
      <c r="I61" s="11">
        <v>60.0</v>
      </c>
      <c r="J61" s="11">
        <v>45.0</v>
      </c>
      <c r="K61" s="9">
        <f>ROUND(E61*'Metodologia P2'!$C$6+F61*'Metodologia P2'!$C$7+G61*'Metodologia P2'!$C$8+H61*'Metodologia P2'!$C$9+I61*'Metodologia P2'!$C$10+J61*'Metodologia P2'!$C$11,0)</f>
        <v>47</v>
      </c>
      <c r="L61" s="9" t="str">
        <f>IF(K61&lt;='Metodologia P2'!$C$16,"Baixa",IF(K61&lt;='Metodologia P2'!$C$17,"Média","Alta"))</f>
        <v>Média</v>
      </c>
      <c r="M61" s="10" t="s">
        <v>20</v>
      </c>
      <c r="N61" s="10" t="s">
        <v>21</v>
      </c>
      <c r="O61" s="9" t="str">
        <f>IF(K61&lt;='Metodologia P2'!$C$16,"Alta",IF(K61&lt;='Metodologia P2'!$C$17,"Média","Baixa"))</f>
        <v>Média</v>
      </c>
    </row>
    <row r="62" ht="21.75" customHeight="1">
      <c r="A62" s="6">
        <v>59.0</v>
      </c>
      <c r="B62" s="6" t="s">
        <v>17</v>
      </c>
      <c r="C62" s="7" t="s">
        <v>87</v>
      </c>
      <c r="D62" s="7" t="s">
        <v>72</v>
      </c>
      <c r="E62" s="8">
        <v>60.0</v>
      </c>
      <c r="F62" s="8">
        <v>20.0</v>
      </c>
      <c r="G62" s="8">
        <v>35.0</v>
      </c>
      <c r="H62" s="8">
        <v>55.0</v>
      </c>
      <c r="I62" s="8">
        <v>60.0</v>
      </c>
      <c r="J62" s="8">
        <v>45.0</v>
      </c>
      <c r="K62" s="6">
        <f>ROUND(E62*'Metodologia P2'!$C$6+F62*'Metodologia P2'!$C$7+G62*'Metodologia P2'!$C$8+H62*'Metodologia P2'!$C$9+I62*'Metodologia P2'!$C$10+J62*'Metodologia P2'!$C$11,0)</f>
        <v>47</v>
      </c>
      <c r="L62" s="6" t="str">
        <f>IF(K62&lt;='Metodologia P2'!$C$16,"Baixa",IF(K62&lt;='Metodologia P2'!$C$17,"Média","Alta"))</f>
        <v>Média</v>
      </c>
      <c r="M62" s="7" t="s">
        <v>20</v>
      </c>
      <c r="N62" s="7" t="s">
        <v>21</v>
      </c>
      <c r="O62" s="6" t="str">
        <f>IF(K62&lt;='Metodologia P2'!$C$16,"Alta",IF(K62&lt;='Metodologia P2'!$C$17,"Média","Baixa"))</f>
        <v>Média</v>
      </c>
    </row>
    <row r="63" ht="21.75" customHeight="1">
      <c r="A63" s="9">
        <v>60.0</v>
      </c>
      <c r="B63" s="9" t="s">
        <v>17</v>
      </c>
      <c r="C63" s="10" t="s">
        <v>88</v>
      </c>
      <c r="D63" s="10" t="s">
        <v>72</v>
      </c>
      <c r="E63" s="11">
        <v>60.0</v>
      </c>
      <c r="F63" s="11">
        <v>15.0</v>
      </c>
      <c r="G63" s="11">
        <v>60.0</v>
      </c>
      <c r="H63" s="11">
        <v>55.0</v>
      </c>
      <c r="I63" s="11">
        <v>40.0</v>
      </c>
      <c r="J63" s="11">
        <v>45.0</v>
      </c>
      <c r="K63" s="9">
        <f>ROUND(E63*'Metodologia P2'!$C$6+F63*'Metodologia P2'!$C$7+G63*'Metodologia P2'!$C$8+H63*'Metodologia P2'!$C$9+I63*'Metodologia P2'!$C$10+J63*'Metodologia P2'!$C$11,0)</f>
        <v>47</v>
      </c>
      <c r="L63" s="9" t="str">
        <f>IF(K63&lt;='Metodologia P2'!$C$16,"Baixa",IF(K63&lt;='Metodologia P2'!$C$17,"Média","Alta"))</f>
        <v>Média</v>
      </c>
      <c r="M63" s="10" t="s">
        <v>20</v>
      </c>
      <c r="N63" s="10" t="s">
        <v>21</v>
      </c>
      <c r="O63" s="9" t="str">
        <f>IF(K63&lt;='Metodologia P2'!$C$16,"Alta",IF(K63&lt;='Metodologia P2'!$C$17,"Média","Baixa"))</f>
        <v>Média</v>
      </c>
    </row>
    <row r="64" ht="21.75" customHeight="1">
      <c r="A64" s="6">
        <v>61.0</v>
      </c>
      <c r="B64" s="6" t="s">
        <v>17</v>
      </c>
      <c r="C64" s="7" t="s">
        <v>89</v>
      </c>
      <c r="D64" s="7" t="s">
        <v>72</v>
      </c>
      <c r="E64" s="8">
        <v>20.0</v>
      </c>
      <c r="F64" s="8">
        <v>15.0</v>
      </c>
      <c r="G64" s="8">
        <v>35.0</v>
      </c>
      <c r="H64" s="8">
        <v>20.0</v>
      </c>
      <c r="I64" s="8">
        <v>40.0</v>
      </c>
      <c r="J64" s="8">
        <v>20.0</v>
      </c>
      <c r="K64" s="6">
        <f>ROUND(E64*'Metodologia P2'!$C$6+F64*'Metodologia P2'!$C$7+G64*'Metodologia P2'!$C$8+H64*'Metodologia P2'!$C$9+I64*'Metodologia P2'!$C$10+J64*'Metodologia P2'!$C$11,0)</f>
        <v>25</v>
      </c>
      <c r="L64" s="6" t="str">
        <f>IF(K64&lt;='Metodologia P2'!$C$16,"Baixa",IF(K64&lt;='Metodologia P2'!$C$17,"Média","Alta"))</f>
        <v>Baixa</v>
      </c>
      <c r="M64" s="7" t="s">
        <v>30</v>
      </c>
      <c r="N64" s="7" t="s">
        <v>31</v>
      </c>
      <c r="O64" s="6" t="str">
        <f>IF(K64&lt;='Metodologia P2'!$C$16,"Alta",IF(K64&lt;='Metodologia P2'!$C$17,"Média","Baixa"))</f>
        <v>Alta</v>
      </c>
    </row>
    <row r="65" ht="21.75" customHeight="1">
      <c r="A65" s="9">
        <v>62.0</v>
      </c>
      <c r="B65" s="9" t="s">
        <v>17</v>
      </c>
      <c r="C65" s="10" t="s">
        <v>90</v>
      </c>
      <c r="D65" s="10" t="s">
        <v>72</v>
      </c>
      <c r="E65" s="11">
        <v>20.0</v>
      </c>
      <c r="F65" s="11">
        <v>20.0</v>
      </c>
      <c r="G65" s="11">
        <v>35.0</v>
      </c>
      <c r="H65" s="11">
        <v>20.0</v>
      </c>
      <c r="I65" s="11">
        <v>40.0</v>
      </c>
      <c r="J65" s="11">
        <v>20.0</v>
      </c>
      <c r="K65" s="9">
        <f>ROUND(E65*'Metodologia P2'!$C$6+F65*'Metodologia P2'!$C$7+G65*'Metodologia P2'!$C$8+H65*'Metodologia P2'!$C$9+I65*'Metodologia P2'!$C$10+J65*'Metodologia P2'!$C$11,0)</f>
        <v>25</v>
      </c>
      <c r="L65" s="9" t="str">
        <f>IF(K65&lt;='Metodologia P2'!$C$16,"Baixa",IF(K65&lt;='Metodologia P2'!$C$17,"Média","Alta"))</f>
        <v>Baixa</v>
      </c>
      <c r="M65" s="10" t="s">
        <v>30</v>
      </c>
      <c r="N65" s="10" t="s">
        <v>31</v>
      </c>
      <c r="O65" s="9" t="str">
        <f>IF(K65&lt;='Metodologia P2'!$C$16,"Alta",IF(K65&lt;='Metodologia P2'!$C$17,"Média","Baixa"))</f>
        <v>Alta</v>
      </c>
    </row>
    <row r="66" ht="21.75" customHeight="1">
      <c r="A66" s="6">
        <v>63.0</v>
      </c>
      <c r="B66" s="6" t="s">
        <v>17</v>
      </c>
      <c r="C66" s="7" t="s">
        <v>91</v>
      </c>
      <c r="D66" s="7" t="s">
        <v>92</v>
      </c>
      <c r="E66" s="8">
        <v>60.0</v>
      </c>
      <c r="F66" s="8">
        <v>50.0</v>
      </c>
      <c r="G66" s="8">
        <v>25.0</v>
      </c>
      <c r="H66" s="8">
        <v>55.0</v>
      </c>
      <c r="I66" s="8">
        <v>60.0</v>
      </c>
      <c r="J66" s="8">
        <v>45.0</v>
      </c>
      <c r="K66" s="6">
        <f>ROUND(E66*'Metodologia P2'!$C$6+F66*'Metodologia P2'!$C$7+G66*'Metodologia P2'!$C$8+H66*'Metodologia P2'!$C$9+I66*'Metodologia P2'!$C$10+J66*'Metodologia P2'!$C$11,0)</f>
        <v>50</v>
      </c>
      <c r="L66" s="6" t="str">
        <f>IF(K66&lt;='Metodologia P2'!$C$16,"Baixa",IF(K66&lt;='Metodologia P2'!$C$17,"Média","Alta"))</f>
        <v>Média</v>
      </c>
      <c r="M66" s="7" t="s">
        <v>20</v>
      </c>
      <c r="N66" s="7" t="s">
        <v>21</v>
      </c>
      <c r="O66" s="6" t="str">
        <f>IF(K66&lt;='Metodologia P2'!$C$16,"Alta",IF(K66&lt;='Metodologia P2'!$C$17,"Média","Baixa"))</f>
        <v>Média</v>
      </c>
    </row>
    <row r="67" ht="21.75" customHeight="1">
      <c r="A67" s="9">
        <v>64.0</v>
      </c>
      <c r="B67" s="9" t="s">
        <v>17</v>
      </c>
      <c r="C67" s="10" t="s">
        <v>93</v>
      </c>
      <c r="D67" s="10" t="s">
        <v>92</v>
      </c>
      <c r="E67" s="11">
        <v>60.0</v>
      </c>
      <c r="F67" s="11">
        <v>50.0</v>
      </c>
      <c r="G67" s="11">
        <v>35.0</v>
      </c>
      <c r="H67" s="11">
        <v>55.0</v>
      </c>
      <c r="I67" s="11">
        <v>40.0</v>
      </c>
      <c r="J67" s="11">
        <v>45.0</v>
      </c>
      <c r="K67" s="9">
        <f>ROUND(E67*'Metodologia P2'!$C$6+F67*'Metodologia P2'!$C$7+G67*'Metodologia P2'!$C$8+H67*'Metodologia P2'!$C$9+I67*'Metodologia P2'!$C$10+J67*'Metodologia P2'!$C$11,0)</f>
        <v>49</v>
      </c>
      <c r="L67" s="9" t="str">
        <f>IF(K67&lt;='Metodologia P2'!$C$16,"Baixa",IF(K67&lt;='Metodologia P2'!$C$17,"Média","Alta"))</f>
        <v>Média</v>
      </c>
      <c r="M67" s="10" t="s">
        <v>20</v>
      </c>
      <c r="N67" s="10" t="s">
        <v>21</v>
      </c>
      <c r="O67" s="9" t="str">
        <f>IF(K67&lt;='Metodologia P2'!$C$16,"Alta",IF(K67&lt;='Metodologia P2'!$C$17,"Média","Baixa"))</f>
        <v>Média</v>
      </c>
    </row>
    <row r="68" ht="21.75" customHeight="1">
      <c r="A68" s="6">
        <v>65.0</v>
      </c>
      <c r="B68" s="6" t="s">
        <v>17</v>
      </c>
      <c r="C68" s="7" t="s">
        <v>94</v>
      </c>
      <c r="D68" s="7" t="s">
        <v>92</v>
      </c>
      <c r="E68" s="8">
        <v>20.0</v>
      </c>
      <c r="F68" s="8">
        <v>50.0</v>
      </c>
      <c r="G68" s="8">
        <v>25.0</v>
      </c>
      <c r="H68" s="8">
        <v>20.0</v>
      </c>
      <c r="I68" s="8">
        <v>60.0</v>
      </c>
      <c r="J68" s="8">
        <v>20.0</v>
      </c>
      <c r="K68" s="6">
        <f>ROUND(E68*'Metodologia P2'!$C$6+F68*'Metodologia P2'!$C$7+G68*'Metodologia P2'!$C$8+H68*'Metodologia P2'!$C$9+I68*'Metodologia P2'!$C$10+J68*'Metodologia P2'!$C$11,0)</f>
        <v>31</v>
      </c>
      <c r="L68" s="6" t="str">
        <f>IF(K68&lt;='Metodologia P2'!$C$16,"Baixa",IF(K68&lt;='Metodologia P2'!$C$17,"Média","Alta"))</f>
        <v>Baixa</v>
      </c>
      <c r="M68" s="7" t="s">
        <v>30</v>
      </c>
      <c r="N68" s="7" t="s">
        <v>31</v>
      </c>
      <c r="O68" s="6" t="str">
        <f>IF(K68&lt;='Metodologia P2'!$C$16,"Alta",IF(K68&lt;='Metodologia P2'!$C$17,"Média","Baixa"))</f>
        <v>Alta</v>
      </c>
    </row>
    <row r="69" ht="21.75" customHeight="1">
      <c r="A69" s="9">
        <v>66.0</v>
      </c>
      <c r="B69" s="9" t="s">
        <v>17</v>
      </c>
      <c r="C69" s="10" t="s">
        <v>95</v>
      </c>
      <c r="D69" s="10" t="s">
        <v>92</v>
      </c>
      <c r="E69" s="11">
        <v>60.0</v>
      </c>
      <c r="F69" s="11">
        <v>50.0</v>
      </c>
      <c r="G69" s="11">
        <v>60.0</v>
      </c>
      <c r="H69" s="11">
        <v>55.0</v>
      </c>
      <c r="I69" s="11">
        <v>40.0</v>
      </c>
      <c r="J69" s="11">
        <v>45.0</v>
      </c>
      <c r="K69" s="9">
        <f>ROUND(E69*'Metodologia P2'!$C$6+F69*'Metodologia P2'!$C$7+G69*'Metodologia P2'!$C$8+H69*'Metodologia P2'!$C$9+I69*'Metodologia P2'!$C$10+J69*'Metodologia P2'!$C$11,0)</f>
        <v>53</v>
      </c>
      <c r="L69" s="9" t="str">
        <f>IF(K69&lt;='Metodologia P2'!$C$16,"Baixa",IF(K69&lt;='Metodologia P2'!$C$17,"Média","Alta"))</f>
        <v>Média</v>
      </c>
      <c r="M69" s="10" t="s">
        <v>20</v>
      </c>
      <c r="N69" s="10" t="s">
        <v>21</v>
      </c>
      <c r="O69" s="9" t="str">
        <f>IF(K69&lt;='Metodologia P2'!$C$16,"Alta",IF(K69&lt;='Metodologia P2'!$C$17,"Média","Baixa"))</f>
        <v>Média</v>
      </c>
    </row>
    <row r="70" ht="21.75" customHeight="1">
      <c r="A70" s="6">
        <v>67.0</v>
      </c>
      <c r="B70" s="6" t="s">
        <v>17</v>
      </c>
      <c r="C70" s="7" t="s">
        <v>96</v>
      </c>
      <c r="D70" s="7" t="s">
        <v>92</v>
      </c>
      <c r="E70" s="8">
        <v>60.0</v>
      </c>
      <c r="F70" s="8">
        <v>50.0</v>
      </c>
      <c r="G70" s="8">
        <v>35.0</v>
      </c>
      <c r="H70" s="8">
        <v>55.0</v>
      </c>
      <c r="I70" s="8">
        <v>40.0</v>
      </c>
      <c r="J70" s="8">
        <v>20.0</v>
      </c>
      <c r="K70" s="6">
        <f>ROUND(E70*'Metodologia P2'!$C$6+F70*'Metodologia P2'!$C$7+G70*'Metodologia P2'!$C$8+H70*'Metodologia P2'!$C$9+I70*'Metodologia P2'!$C$10+J70*'Metodologia P2'!$C$11,0)</f>
        <v>45</v>
      </c>
      <c r="L70" s="6" t="str">
        <f>IF(K70&lt;='Metodologia P2'!$C$16,"Baixa",IF(K70&lt;='Metodologia P2'!$C$17,"Média","Alta"))</f>
        <v>Baixa</v>
      </c>
      <c r="M70" s="7" t="s">
        <v>24</v>
      </c>
      <c r="N70" s="7" t="s">
        <v>25</v>
      </c>
      <c r="O70" s="6" t="str">
        <f>IF(K70&lt;='Metodologia P2'!$C$16,"Alta",IF(K70&lt;='Metodologia P2'!$C$17,"Média","Baixa"))</f>
        <v>Alta</v>
      </c>
    </row>
    <row r="71" ht="21.75" customHeight="1">
      <c r="A71" s="9">
        <v>68.0</v>
      </c>
      <c r="B71" s="9" t="s">
        <v>17</v>
      </c>
      <c r="C71" s="10" t="s">
        <v>97</v>
      </c>
      <c r="D71" s="10" t="s">
        <v>92</v>
      </c>
      <c r="E71" s="11">
        <v>60.0</v>
      </c>
      <c r="F71" s="11">
        <v>50.0</v>
      </c>
      <c r="G71" s="11">
        <v>35.0</v>
      </c>
      <c r="H71" s="11">
        <v>55.0</v>
      </c>
      <c r="I71" s="11">
        <v>60.0</v>
      </c>
      <c r="J71" s="11">
        <v>20.0</v>
      </c>
      <c r="K71" s="9">
        <f>ROUND(E71*'Metodologia P2'!$C$6+F71*'Metodologia P2'!$C$7+G71*'Metodologia P2'!$C$8+H71*'Metodologia P2'!$C$9+I71*'Metodologia P2'!$C$10+J71*'Metodologia P2'!$C$11,0)</f>
        <v>48</v>
      </c>
      <c r="L71" s="9" t="str">
        <f>IF(K71&lt;='Metodologia P2'!$C$16,"Baixa",IF(K71&lt;='Metodologia P2'!$C$17,"Média","Alta"))</f>
        <v>Média</v>
      </c>
      <c r="M71" s="10" t="s">
        <v>36</v>
      </c>
      <c r="N71" s="10" t="s">
        <v>37</v>
      </c>
      <c r="O71" s="9" t="str">
        <f>IF(K71&lt;='Metodologia P2'!$C$16,"Alta",IF(K71&lt;='Metodologia P2'!$C$17,"Média","Baixa"))</f>
        <v>Média</v>
      </c>
    </row>
    <row r="72" ht="21.75" customHeight="1">
      <c r="A72" s="6">
        <v>69.0</v>
      </c>
      <c r="B72" s="6" t="s">
        <v>17</v>
      </c>
      <c r="C72" s="7" t="s">
        <v>98</v>
      </c>
      <c r="D72" s="7" t="s">
        <v>92</v>
      </c>
      <c r="E72" s="8">
        <v>60.0</v>
      </c>
      <c r="F72" s="8">
        <v>50.0</v>
      </c>
      <c r="G72" s="8">
        <v>35.0</v>
      </c>
      <c r="H72" s="8">
        <v>55.0</v>
      </c>
      <c r="I72" s="8">
        <v>60.0</v>
      </c>
      <c r="J72" s="8">
        <v>45.0</v>
      </c>
      <c r="K72" s="6">
        <f>ROUND(E72*'Metodologia P2'!$C$6+F72*'Metodologia P2'!$C$7+G72*'Metodologia P2'!$C$8+H72*'Metodologia P2'!$C$9+I72*'Metodologia P2'!$C$10+J72*'Metodologia P2'!$C$11,0)</f>
        <v>52</v>
      </c>
      <c r="L72" s="6" t="str">
        <f>IF(K72&lt;='Metodologia P2'!$C$16,"Baixa",IF(K72&lt;='Metodologia P2'!$C$17,"Média","Alta"))</f>
        <v>Média</v>
      </c>
      <c r="M72" s="7" t="s">
        <v>24</v>
      </c>
      <c r="N72" s="7" t="s">
        <v>25</v>
      </c>
      <c r="O72" s="6" t="str">
        <f>IF(K72&lt;='Metodologia P2'!$C$16,"Alta",IF(K72&lt;='Metodologia P2'!$C$17,"Média","Baixa"))</f>
        <v>Média</v>
      </c>
    </row>
    <row r="73" ht="21.75" customHeight="1">
      <c r="A73" s="9">
        <v>70.0</v>
      </c>
      <c r="B73" s="9" t="s">
        <v>17</v>
      </c>
      <c r="C73" s="10" t="s">
        <v>99</v>
      </c>
      <c r="D73" s="10" t="s">
        <v>92</v>
      </c>
      <c r="E73" s="11">
        <v>60.0</v>
      </c>
      <c r="F73" s="11">
        <v>50.0</v>
      </c>
      <c r="G73" s="11">
        <v>35.0</v>
      </c>
      <c r="H73" s="11">
        <v>55.0</v>
      </c>
      <c r="I73" s="11">
        <v>60.0</v>
      </c>
      <c r="J73" s="11">
        <v>45.0</v>
      </c>
      <c r="K73" s="9">
        <f>ROUND(E73*'Metodologia P2'!$C$6+F73*'Metodologia P2'!$C$7+G73*'Metodologia P2'!$C$8+H73*'Metodologia P2'!$C$9+I73*'Metodologia P2'!$C$10+J73*'Metodologia P2'!$C$11,0)</f>
        <v>52</v>
      </c>
      <c r="L73" s="9" t="str">
        <f>IF(K73&lt;='Metodologia P2'!$C$16,"Baixa",IF(K73&lt;='Metodologia P2'!$C$17,"Média","Alta"))</f>
        <v>Média</v>
      </c>
      <c r="M73" s="10" t="s">
        <v>36</v>
      </c>
      <c r="N73" s="10" t="s">
        <v>37</v>
      </c>
      <c r="O73" s="9" t="str">
        <f>IF(K73&lt;='Metodologia P2'!$C$16,"Alta",IF(K73&lt;='Metodologia P2'!$C$17,"Média","Baixa"))</f>
        <v>Média</v>
      </c>
    </row>
    <row r="74" ht="21.75" customHeight="1">
      <c r="A74" s="6">
        <v>71.0</v>
      </c>
      <c r="B74" s="6" t="s">
        <v>17</v>
      </c>
      <c r="C74" s="7" t="s">
        <v>100</v>
      </c>
      <c r="D74" s="7" t="s">
        <v>92</v>
      </c>
      <c r="E74" s="8">
        <v>60.0</v>
      </c>
      <c r="F74" s="8">
        <v>50.0</v>
      </c>
      <c r="G74" s="8">
        <v>35.0</v>
      </c>
      <c r="H74" s="8">
        <v>55.0</v>
      </c>
      <c r="I74" s="8">
        <v>40.0</v>
      </c>
      <c r="J74" s="8">
        <v>45.0</v>
      </c>
      <c r="K74" s="6">
        <f>ROUND(E74*'Metodologia P2'!$C$6+F74*'Metodologia P2'!$C$7+G74*'Metodologia P2'!$C$8+H74*'Metodologia P2'!$C$9+I74*'Metodologia P2'!$C$10+J74*'Metodologia P2'!$C$11,0)</f>
        <v>49</v>
      </c>
      <c r="L74" s="6" t="str">
        <f>IF(K74&lt;='Metodologia P2'!$C$16,"Baixa",IF(K74&lt;='Metodologia P2'!$C$17,"Média","Alta"))</f>
        <v>Média</v>
      </c>
      <c r="M74" s="7" t="s">
        <v>20</v>
      </c>
      <c r="N74" s="7" t="s">
        <v>21</v>
      </c>
      <c r="O74" s="6" t="str">
        <f>IF(K74&lt;='Metodologia P2'!$C$16,"Alta",IF(K74&lt;='Metodologia P2'!$C$17,"Média","Baixa"))</f>
        <v>Média</v>
      </c>
    </row>
    <row r="75" ht="21.75" customHeight="1">
      <c r="A75" s="9">
        <v>72.0</v>
      </c>
      <c r="B75" s="9" t="s">
        <v>17</v>
      </c>
      <c r="C75" s="10" t="s">
        <v>101</v>
      </c>
      <c r="D75" s="10" t="s">
        <v>92</v>
      </c>
      <c r="E75" s="11">
        <v>60.0</v>
      </c>
      <c r="F75" s="11">
        <v>50.0</v>
      </c>
      <c r="G75" s="11">
        <v>35.0</v>
      </c>
      <c r="H75" s="11">
        <v>55.0</v>
      </c>
      <c r="I75" s="11">
        <v>40.0</v>
      </c>
      <c r="J75" s="11">
        <v>20.0</v>
      </c>
      <c r="K75" s="9">
        <f>ROUND(E75*'Metodologia P2'!$C$6+F75*'Metodologia P2'!$C$7+G75*'Metodologia P2'!$C$8+H75*'Metodologia P2'!$C$9+I75*'Metodologia P2'!$C$10+J75*'Metodologia P2'!$C$11,0)</f>
        <v>45</v>
      </c>
      <c r="L75" s="9" t="str">
        <f>IF(K75&lt;='Metodologia P2'!$C$16,"Baixa",IF(K75&lt;='Metodologia P2'!$C$17,"Média","Alta"))</f>
        <v>Baixa</v>
      </c>
      <c r="M75" s="10" t="s">
        <v>24</v>
      </c>
      <c r="N75" s="10" t="s">
        <v>25</v>
      </c>
      <c r="O75" s="9" t="str">
        <f>IF(K75&lt;='Metodologia P2'!$C$16,"Alta",IF(K75&lt;='Metodologia P2'!$C$17,"Média","Baixa"))</f>
        <v>Alta</v>
      </c>
    </row>
    <row r="76" ht="21.75" customHeight="1">
      <c r="A76" s="6">
        <v>73.0</v>
      </c>
      <c r="B76" s="6" t="s">
        <v>17</v>
      </c>
      <c r="C76" s="7" t="s">
        <v>102</v>
      </c>
      <c r="D76" s="7" t="s">
        <v>92</v>
      </c>
      <c r="E76" s="8">
        <v>60.0</v>
      </c>
      <c r="F76" s="8">
        <v>50.0</v>
      </c>
      <c r="G76" s="8">
        <v>35.0</v>
      </c>
      <c r="H76" s="8">
        <v>55.0</v>
      </c>
      <c r="I76" s="8">
        <v>60.0</v>
      </c>
      <c r="J76" s="8">
        <v>45.0</v>
      </c>
      <c r="K76" s="6">
        <f>ROUND(E76*'Metodologia P2'!$C$6+F76*'Metodologia P2'!$C$7+G76*'Metodologia P2'!$C$8+H76*'Metodologia P2'!$C$9+I76*'Metodologia P2'!$C$10+J76*'Metodologia P2'!$C$11,0)</f>
        <v>52</v>
      </c>
      <c r="L76" s="6" t="str">
        <f>IF(K76&lt;='Metodologia P2'!$C$16,"Baixa",IF(K76&lt;='Metodologia P2'!$C$17,"Média","Alta"))</f>
        <v>Média</v>
      </c>
      <c r="M76" s="7" t="s">
        <v>20</v>
      </c>
      <c r="N76" s="7" t="s">
        <v>21</v>
      </c>
      <c r="O76" s="6" t="str">
        <f>IF(K76&lt;='Metodologia P2'!$C$16,"Alta",IF(K76&lt;='Metodologia P2'!$C$17,"Média","Baixa"))</f>
        <v>Média</v>
      </c>
    </row>
    <row r="77" ht="21.75" customHeight="1">
      <c r="A77" s="9">
        <v>74.0</v>
      </c>
      <c r="B77" s="9" t="s">
        <v>17</v>
      </c>
      <c r="C77" s="10" t="s">
        <v>103</v>
      </c>
      <c r="D77" s="10" t="s">
        <v>92</v>
      </c>
      <c r="E77" s="11">
        <v>60.0</v>
      </c>
      <c r="F77" s="11">
        <v>50.0</v>
      </c>
      <c r="G77" s="11">
        <v>25.0</v>
      </c>
      <c r="H77" s="11">
        <v>55.0</v>
      </c>
      <c r="I77" s="11">
        <v>60.0</v>
      </c>
      <c r="J77" s="11">
        <v>45.0</v>
      </c>
      <c r="K77" s="9">
        <f>ROUND(E77*'Metodologia P2'!$C$6+F77*'Metodologia P2'!$C$7+G77*'Metodologia P2'!$C$8+H77*'Metodologia P2'!$C$9+I77*'Metodologia P2'!$C$10+J77*'Metodologia P2'!$C$11,0)</f>
        <v>50</v>
      </c>
      <c r="L77" s="9" t="str">
        <f>IF(K77&lt;='Metodologia P2'!$C$16,"Baixa",IF(K77&lt;='Metodologia P2'!$C$17,"Média","Alta"))</f>
        <v>Média</v>
      </c>
      <c r="M77" s="10" t="s">
        <v>20</v>
      </c>
      <c r="N77" s="10" t="s">
        <v>21</v>
      </c>
      <c r="O77" s="9" t="str">
        <f>IF(K77&lt;='Metodologia P2'!$C$16,"Alta",IF(K77&lt;='Metodologia P2'!$C$17,"Média","Baixa"))</f>
        <v>Média</v>
      </c>
    </row>
    <row r="78" ht="21.75" customHeight="1">
      <c r="A78" s="6">
        <v>75.0</v>
      </c>
      <c r="B78" s="6" t="s">
        <v>17</v>
      </c>
      <c r="C78" s="7" t="s">
        <v>104</v>
      </c>
      <c r="D78" s="7" t="s">
        <v>92</v>
      </c>
      <c r="E78" s="8">
        <v>60.0</v>
      </c>
      <c r="F78" s="8">
        <v>50.0</v>
      </c>
      <c r="G78" s="8">
        <v>35.0</v>
      </c>
      <c r="H78" s="8">
        <v>55.0</v>
      </c>
      <c r="I78" s="8">
        <v>60.0</v>
      </c>
      <c r="J78" s="8">
        <v>45.0</v>
      </c>
      <c r="K78" s="6">
        <f>ROUND(E78*'Metodologia P2'!$C$6+F78*'Metodologia P2'!$C$7+G78*'Metodologia P2'!$C$8+H78*'Metodologia P2'!$C$9+I78*'Metodologia P2'!$C$10+J78*'Metodologia P2'!$C$11,0)</f>
        <v>52</v>
      </c>
      <c r="L78" s="6" t="str">
        <f>IF(K78&lt;='Metodologia P2'!$C$16,"Baixa",IF(K78&lt;='Metodologia P2'!$C$17,"Média","Alta"))</f>
        <v>Média</v>
      </c>
      <c r="M78" s="7" t="s">
        <v>24</v>
      </c>
      <c r="N78" s="7" t="s">
        <v>25</v>
      </c>
      <c r="O78" s="6" t="str">
        <f>IF(K78&lt;='Metodologia P2'!$C$16,"Alta",IF(K78&lt;='Metodologia P2'!$C$17,"Média","Baixa"))</f>
        <v>Média</v>
      </c>
    </row>
    <row r="79" ht="21.75" customHeight="1">
      <c r="A79" s="9">
        <v>76.0</v>
      </c>
      <c r="B79" s="9" t="s">
        <v>17</v>
      </c>
      <c r="C79" s="10" t="s">
        <v>105</v>
      </c>
      <c r="D79" s="10" t="s">
        <v>92</v>
      </c>
      <c r="E79" s="11">
        <v>60.0</v>
      </c>
      <c r="F79" s="11">
        <v>50.0</v>
      </c>
      <c r="G79" s="11">
        <v>35.0</v>
      </c>
      <c r="H79" s="11">
        <v>55.0</v>
      </c>
      <c r="I79" s="11">
        <v>40.0</v>
      </c>
      <c r="J79" s="11">
        <v>45.0</v>
      </c>
      <c r="K79" s="9">
        <f>ROUND(E79*'Metodologia P2'!$C$6+F79*'Metodologia P2'!$C$7+G79*'Metodologia P2'!$C$8+H79*'Metodologia P2'!$C$9+I79*'Metodologia P2'!$C$10+J79*'Metodologia P2'!$C$11,0)</f>
        <v>49</v>
      </c>
      <c r="L79" s="9" t="str">
        <f>IF(K79&lt;='Metodologia P2'!$C$16,"Baixa",IF(K79&lt;='Metodologia P2'!$C$17,"Média","Alta"))</f>
        <v>Média</v>
      </c>
      <c r="M79" s="10" t="s">
        <v>20</v>
      </c>
      <c r="N79" s="10" t="s">
        <v>21</v>
      </c>
      <c r="O79" s="9" t="str">
        <f>IF(K79&lt;='Metodologia P2'!$C$16,"Alta",IF(K79&lt;='Metodologia P2'!$C$17,"Média","Baixa"))</f>
        <v>Média</v>
      </c>
    </row>
    <row r="80" ht="21.75" customHeight="1">
      <c r="A80" s="6">
        <v>77.0</v>
      </c>
      <c r="B80" s="6" t="s">
        <v>17</v>
      </c>
      <c r="C80" s="7" t="s">
        <v>106</v>
      </c>
      <c r="D80" s="7" t="s">
        <v>92</v>
      </c>
      <c r="E80" s="8">
        <v>60.0</v>
      </c>
      <c r="F80" s="8">
        <v>50.0</v>
      </c>
      <c r="G80" s="8">
        <v>40.0</v>
      </c>
      <c r="H80" s="8">
        <v>55.0</v>
      </c>
      <c r="I80" s="8">
        <v>40.0</v>
      </c>
      <c r="J80" s="8">
        <v>20.0</v>
      </c>
      <c r="K80" s="6">
        <f>ROUND(E80*'Metodologia P2'!$C$6+F80*'Metodologia P2'!$C$7+G80*'Metodologia P2'!$C$8+H80*'Metodologia P2'!$C$9+I80*'Metodologia P2'!$C$10+J80*'Metodologia P2'!$C$11,0)</f>
        <v>46</v>
      </c>
      <c r="L80" s="6" t="str">
        <f>IF(K80&lt;='Metodologia P2'!$C$16,"Baixa",IF(K80&lt;='Metodologia P2'!$C$17,"Média","Alta"))</f>
        <v>Média</v>
      </c>
      <c r="M80" s="7" t="s">
        <v>36</v>
      </c>
      <c r="N80" s="7" t="s">
        <v>37</v>
      </c>
      <c r="O80" s="6" t="str">
        <f>IF(K80&lt;='Metodologia P2'!$C$16,"Alta",IF(K80&lt;='Metodologia P2'!$C$17,"Média","Baixa"))</f>
        <v>Média</v>
      </c>
    </row>
    <row r="81" ht="21.75" customHeight="1">
      <c r="A81" s="9">
        <v>78.0</v>
      </c>
      <c r="B81" s="9" t="s">
        <v>17</v>
      </c>
      <c r="C81" s="10" t="s">
        <v>107</v>
      </c>
      <c r="D81" s="10" t="s">
        <v>92</v>
      </c>
      <c r="E81" s="11">
        <v>60.0</v>
      </c>
      <c r="F81" s="11">
        <v>50.0</v>
      </c>
      <c r="G81" s="11">
        <v>35.0</v>
      </c>
      <c r="H81" s="11">
        <v>55.0</v>
      </c>
      <c r="I81" s="11">
        <v>40.0</v>
      </c>
      <c r="J81" s="11">
        <v>45.0</v>
      </c>
      <c r="K81" s="9">
        <f>ROUND(E81*'Metodologia P2'!$C$6+F81*'Metodologia P2'!$C$7+G81*'Metodologia P2'!$C$8+H81*'Metodologia P2'!$C$9+I81*'Metodologia P2'!$C$10+J81*'Metodologia P2'!$C$11,0)</f>
        <v>49</v>
      </c>
      <c r="L81" s="9" t="str">
        <f>IF(K81&lt;='Metodologia P2'!$C$16,"Baixa",IF(K81&lt;='Metodologia P2'!$C$17,"Média","Alta"))</f>
        <v>Média</v>
      </c>
      <c r="M81" s="10" t="s">
        <v>36</v>
      </c>
      <c r="N81" s="10" t="s">
        <v>37</v>
      </c>
      <c r="O81" s="9" t="str">
        <f>IF(K81&lt;='Metodologia P2'!$C$16,"Alta",IF(K81&lt;='Metodologia P2'!$C$17,"Média","Baixa"))</f>
        <v>Média</v>
      </c>
    </row>
    <row r="82" ht="21.75" customHeight="1">
      <c r="A82" s="6">
        <v>79.0</v>
      </c>
      <c r="B82" s="6" t="s">
        <v>17</v>
      </c>
      <c r="C82" s="7" t="s">
        <v>108</v>
      </c>
      <c r="D82" s="7" t="s">
        <v>92</v>
      </c>
      <c r="E82" s="8">
        <v>60.0</v>
      </c>
      <c r="F82" s="8">
        <v>50.0</v>
      </c>
      <c r="G82" s="8">
        <v>35.0</v>
      </c>
      <c r="H82" s="8">
        <v>55.0</v>
      </c>
      <c r="I82" s="8">
        <v>40.0</v>
      </c>
      <c r="J82" s="8">
        <v>45.0</v>
      </c>
      <c r="K82" s="6">
        <f>ROUND(E82*'Metodologia P2'!$C$6+F82*'Metodologia P2'!$C$7+G82*'Metodologia P2'!$C$8+H82*'Metodologia P2'!$C$9+I82*'Metodologia P2'!$C$10+J82*'Metodologia P2'!$C$11,0)</f>
        <v>49</v>
      </c>
      <c r="L82" s="6" t="str">
        <f>IF(K82&lt;='Metodologia P2'!$C$16,"Baixa",IF(K82&lt;='Metodologia P2'!$C$17,"Média","Alta"))</f>
        <v>Média</v>
      </c>
      <c r="M82" s="7" t="s">
        <v>20</v>
      </c>
      <c r="N82" s="7" t="s">
        <v>21</v>
      </c>
      <c r="O82" s="6" t="str">
        <f>IF(K82&lt;='Metodologia P2'!$C$16,"Alta",IF(K82&lt;='Metodologia P2'!$C$17,"Média","Baixa"))</f>
        <v>Média</v>
      </c>
    </row>
    <row r="83" ht="21.75" customHeight="1">
      <c r="A83" s="9">
        <v>80.0</v>
      </c>
      <c r="B83" s="9" t="s">
        <v>17</v>
      </c>
      <c r="C83" s="10" t="s">
        <v>109</v>
      </c>
      <c r="D83" s="10" t="s">
        <v>92</v>
      </c>
      <c r="E83" s="11">
        <v>20.0</v>
      </c>
      <c r="F83" s="11">
        <v>50.0</v>
      </c>
      <c r="G83" s="11">
        <v>35.0</v>
      </c>
      <c r="H83" s="11">
        <v>20.0</v>
      </c>
      <c r="I83" s="11">
        <v>60.0</v>
      </c>
      <c r="J83" s="11">
        <v>20.0</v>
      </c>
      <c r="K83" s="9">
        <f>ROUND(E83*'Metodologia P2'!$C$6+F83*'Metodologia P2'!$C$7+G83*'Metodologia P2'!$C$8+H83*'Metodologia P2'!$C$9+I83*'Metodologia P2'!$C$10+J83*'Metodologia P2'!$C$11,0)</f>
        <v>33</v>
      </c>
      <c r="L83" s="9" t="str">
        <f>IF(K83&lt;='Metodologia P2'!$C$16,"Baixa",IF(K83&lt;='Metodologia P2'!$C$17,"Média","Alta"))</f>
        <v>Baixa</v>
      </c>
      <c r="M83" s="10" t="s">
        <v>30</v>
      </c>
      <c r="N83" s="10" t="s">
        <v>31</v>
      </c>
      <c r="O83" s="9" t="str">
        <f>IF(K83&lt;='Metodologia P2'!$C$16,"Alta",IF(K83&lt;='Metodologia P2'!$C$17,"Média","Baixa"))</f>
        <v>Alta</v>
      </c>
    </row>
    <row r="84" ht="21.75" customHeight="1">
      <c r="A84" s="6">
        <v>81.0</v>
      </c>
      <c r="B84" s="6" t="s">
        <v>110</v>
      </c>
      <c r="C84" s="7" t="s">
        <v>111</v>
      </c>
      <c r="D84" s="7" t="s">
        <v>112</v>
      </c>
      <c r="E84" s="8">
        <v>70.0</v>
      </c>
      <c r="F84" s="8">
        <v>15.0</v>
      </c>
      <c r="G84" s="8">
        <v>60.0</v>
      </c>
      <c r="H84" s="8">
        <v>55.0</v>
      </c>
      <c r="I84" s="8">
        <v>40.0</v>
      </c>
      <c r="J84" s="8">
        <v>20.0</v>
      </c>
      <c r="K84" s="6">
        <f>ROUND(E84*'Metodologia P2'!$C$6+F84*'Metodologia P2'!$C$7+G84*'Metodologia P2'!$C$8+H84*'Metodologia P2'!$C$9+I84*'Metodologia P2'!$C$10+J84*'Metodologia P2'!$C$11,0)</f>
        <v>46</v>
      </c>
      <c r="L84" s="6" t="str">
        <f>IF(K84&lt;='Metodologia P2'!$C$16,"Baixa",IF(K84&lt;='Metodologia P2'!$C$17,"Média","Alta"))</f>
        <v>Média</v>
      </c>
      <c r="M84" s="7" t="s">
        <v>24</v>
      </c>
      <c r="N84" s="7" t="s">
        <v>25</v>
      </c>
      <c r="O84" s="6" t="str">
        <f>IF(K84&lt;='Metodologia P2'!$C$16,"Alta",IF(K84&lt;='Metodologia P2'!$C$17,"Média","Baixa"))</f>
        <v>Média</v>
      </c>
    </row>
    <row r="85" ht="21.75" customHeight="1">
      <c r="A85" s="9">
        <v>82.0</v>
      </c>
      <c r="B85" s="9" t="s">
        <v>110</v>
      </c>
      <c r="C85" s="10" t="s">
        <v>113</v>
      </c>
      <c r="D85" s="10" t="s">
        <v>112</v>
      </c>
      <c r="E85" s="11">
        <v>40.0</v>
      </c>
      <c r="F85" s="11">
        <v>50.0</v>
      </c>
      <c r="G85" s="11">
        <v>35.0</v>
      </c>
      <c r="H85" s="11">
        <v>35.0</v>
      </c>
      <c r="I85" s="11">
        <v>40.0</v>
      </c>
      <c r="J85" s="11">
        <v>45.0</v>
      </c>
      <c r="K85" s="9">
        <f>ROUND(E85*'Metodologia P2'!$C$6+F85*'Metodologia P2'!$C$7+G85*'Metodologia P2'!$C$8+H85*'Metodologia P2'!$C$9+I85*'Metodologia P2'!$C$10+J85*'Metodologia P2'!$C$11,0)</f>
        <v>41</v>
      </c>
      <c r="L85" s="9" t="str">
        <f>IF(K85&lt;='Metodologia P2'!$C$16,"Baixa",IF(K85&lt;='Metodologia P2'!$C$17,"Média","Alta"))</f>
        <v>Baixa</v>
      </c>
      <c r="M85" s="10" t="s">
        <v>20</v>
      </c>
      <c r="N85" s="10" t="s">
        <v>21</v>
      </c>
      <c r="O85" s="9" t="str">
        <f>IF(K85&lt;='Metodologia P2'!$C$16,"Alta",IF(K85&lt;='Metodologia P2'!$C$17,"Média","Baixa"))</f>
        <v>Alta</v>
      </c>
    </row>
    <row r="86" ht="21.75" customHeight="1">
      <c r="A86" s="6">
        <v>83.0</v>
      </c>
      <c r="B86" s="6" t="s">
        <v>110</v>
      </c>
      <c r="C86" s="7" t="s">
        <v>114</v>
      </c>
      <c r="D86" s="7" t="s">
        <v>112</v>
      </c>
      <c r="E86" s="8">
        <v>70.0</v>
      </c>
      <c r="F86" s="8">
        <v>50.0</v>
      </c>
      <c r="G86" s="8">
        <v>60.0</v>
      </c>
      <c r="H86" s="8">
        <v>55.0</v>
      </c>
      <c r="I86" s="8">
        <v>40.0</v>
      </c>
      <c r="J86" s="8">
        <v>60.0</v>
      </c>
      <c r="K86" s="6">
        <f>ROUND(E86*'Metodologia P2'!$C$6+F86*'Metodologia P2'!$C$7+G86*'Metodologia P2'!$C$8+H86*'Metodologia P2'!$C$9+I86*'Metodologia P2'!$C$10+J86*'Metodologia P2'!$C$11,0)</f>
        <v>57</v>
      </c>
      <c r="L86" s="6" t="str">
        <f>IF(K86&lt;='Metodologia P2'!$C$16,"Baixa",IF(K86&lt;='Metodologia P2'!$C$17,"Média","Alta"))</f>
        <v>Média</v>
      </c>
      <c r="M86" s="7" t="s">
        <v>20</v>
      </c>
      <c r="N86" s="7" t="s">
        <v>21</v>
      </c>
      <c r="O86" s="6" t="str">
        <f>IF(K86&lt;='Metodologia P2'!$C$16,"Alta",IF(K86&lt;='Metodologia P2'!$C$17,"Média","Baixa"))</f>
        <v>Média</v>
      </c>
    </row>
    <row r="87" ht="21.75" customHeight="1">
      <c r="A87" s="9">
        <v>84.0</v>
      </c>
      <c r="B87" s="9" t="s">
        <v>110</v>
      </c>
      <c r="C87" s="10" t="s">
        <v>115</v>
      </c>
      <c r="D87" s="10" t="s">
        <v>112</v>
      </c>
      <c r="E87" s="11">
        <v>60.0</v>
      </c>
      <c r="F87" s="11">
        <v>60.0</v>
      </c>
      <c r="G87" s="11">
        <v>25.0</v>
      </c>
      <c r="H87" s="11">
        <v>55.0</v>
      </c>
      <c r="I87" s="11">
        <v>40.0</v>
      </c>
      <c r="J87" s="11">
        <v>45.0</v>
      </c>
      <c r="K87" s="9">
        <f>ROUND(E87*'Metodologia P2'!$C$6+F87*'Metodologia P2'!$C$7+G87*'Metodologia P2'!$C$8+H87*'Metodologia P2'!$C$9+I87*'Metodologia P2'!$C$10+J87*'Metodologia P2'!$C$11,0)</f>
        <v>49</v>
      </c>
      <c r="L87" s="9" t="str">
        <f>IF(K87&lt;='Metodologia P2'!$C$16,"Baixa",IF(K87&lt;='Metodologia P2'!$C$17,"Média","Alta"))</f>
        <v>Média</v>
      </c>
      <c r="M87" s="10" t="s">
        <v>20</v>
      </c>
      <c r="N87" s="10" t="s">
        <v>21</v>
      </c>
      <c r="O87" s="9" t="str">
        <f>IF(K87&lt;='Metodologia P2'!$C$16,"Alta",IF(K87&lt;='Metodologia P2'!$C$17,"Média","Baixa"))</f>
        <v>Média</v>
      </c>
    </row>
    <row r="88" ht="21.75" customHeight="1">
      <c r="A88" s="6">
        <v>85.0</v>
      </c>
      <c r="B88" s="6" t="s">
        <v>110</v>
      </c>
      <c r="C88" s="7" t="s">
        <v>116</v>
      </c>
      <c r="D88" s="7" t="s">
        <v>112</v>
      </c>
      <c r="E88" s="8">
        <v>70.0</v>
      </c>
      <c r="F88" s="8">
        <v>50.0</v>
      </c>
      <c r="G88" s="8">
        <v>25.0</v>
      </c>
      <c r="H88" s="8">
        <v>55.0</v>
      </c>
      <c r="I88" s="8">
        <v>40.0</v>
      </c>
      <c r="J88" s="8">
        <v>45.0</v>
      </c>
      <c r="K88" s="6">
        <f>ROUND(E88*'Metodologia P2'!$C$6+F88*'Metodologia P2'!$C$7+G88*'Metodologia P2'!$C$8+H88*'Metodologia P2'!$C$9+I88*'Metodologia P2'!$C$10+J88*'Metodologia P2'!$C$11,0)</f>
        <v>50</v>
      </c>
      <c r="L88" s="6" t="str">
        <f>IF(K88&lt;='Metodologia P2'!$C$16,"Baixa",IF(K88&lt;='Metodologia P2'!$C$17,"Média","Alta"))</f>
        <v>Média</v>
      </c>
      <c r="M88" s="7" t="s">
        <v>20</v>
      </c>
      <c r="N88" s="7" t="s">
        <v>21</v>
      </c>
      <c r="O88" s="6" t="str">
        <f>IF(K88&lt;='Metodologia P2'!$C$16,"Alta",IF(K88&lt;='Metodologia P2'!$C$17,"Média","Baixa"))</f>
        <v>Média</v>
      </c>
    </row>
    <row r="89" ht="32.25" customHeight="1">
      <c r="A89" s="9">
        <v>86.0</v>
      </c>
      <c r="B89" s="9" t="s">
        <v>110</v>
      </c>
      <c r="C89" s="10" t="s">
        <v>117</v>
      </c>
      <c r="D89" s="10" t="s">
        <v>112</v>
      </c>
      <c r="E89" s="11">
        <v>20.0</v>
      </c>
      <c r="F89" s="11">
        <v>50.0</v>
      </c>
      <c r="G89" s="11">
        <v>35.0</v>
      </c>
      <c r="H89" s="11">
        <v>20.0</v>
      </c>
      <c r="I89" s="11">
        <v>40.0</v>
      </c>
      <c r="J89" s="11">
        <v>20.0</v>
      </c>
      <c r="K89" s="9">
        <f>ROUND(E89*'Metodologia P2'!$C$6+F89*'Metodologia P2'!$C$7+G89*'Metodologia P2'!$C$8+H89*'Metodologia P2'!$C$9+I89*'Metodologia P2'!$C$10+J89*'Metodologia P2'!$C$11,0)</f>
        <v>30</v>
      </c>
      <c r="L89" s="9" t="str">
        <f>IF(K89&lt;='Metodologia P2'!$C$16,"Baixa",IF(K89&lt;='Metodologia P2'!$C$17,"Média","Alta"))</f>
        <v>Baixa</v>
      </c>
      <c r="M89" s="10" t="s">
        <v>30</v>
      </c>
      <c r="N89" s="10" t="s">
        <v>31</v>
      </c>
      <c r="O89" s="9" t="str">
        <f>IF(K89&lt;='Metodologia P2'!$C$16,"Alta",IF(K89&lt;='Metodologia P2'!$C$17,"Média","Baixa"))</f>
        <v>Alta</v>
      </c>
    </row>
    <row r="90" ht="21.75" customHeight="1">
      <c r="A90" s="6">
        <v>87.0</v>
      </c>
      <c r="B90" s="6" t="s">
        <v>110</v>
      </c>
      <c r="C90" s="7" t="s">
        <v>118</v>
      </c>
      <c r="D90" s="7" t="s">
        <v>112</v>
      </c>
      <c r="E90" s="8">
        <v>70.0</v>
      </c>
      <c r="F90" s="8">
        <v>50.0</v>
      </c>
      <c r="G90" s="8">
        <v>25.0</v>
      </c>
      <c r="H90" s="8">
        <v>55.0</v>
      </c>
      <c r="I90" s="8">
        <v>40.0</v>
      </c>
      <c r="J90" s="8">
        <v>60.0</v>
      </c>
      <c r="K90" s="6">
        <f>ROUND(E90*'Metodologia P2'!$C$6+F90*'Metodologia P2'!$C$7+G90*'Metodologia P2'!$C$8+H90*'Metodologia P2'!$C$9+I90*'Metodologia P2'!$C$10+J90*'Metodologia P2'!$C$11,0)</f>
        <v>52</v>
      </c>
      <c r="L90" s="6" t="str">
        <f>IF(K90&lt;='Metodologia P2'!$C$16,"Baixa",IF(K90&lt;='Metodologia P2'!$C$17,"Média","Alta"))</f>
        <v>Média</v>
      </c>
      <c r="M90" s="7" t="s">
        <v>20</v>
      </c>
      <c r="N90" s="7" t="s">
        <v>21</v>
      </c>
      <c r="O90" s="6" t="str">
        <f>IF(K90&lt;='Metodologia P2'!$C$16,"Alta",IF(K90&lt;='Metodologia P2'!$C$17,"Média","Baixa"))</f>
        <v>Média</v>
      </c>
    </row>
    <row r="91" ht="21.75" customHeight="1">
      <c r="A91" s="9">
        <v>88.0</v>
      </c>
      <c r="B91" s="9" t="s">
        <v>110</v>
      </c>
      <c r="C91" s="10" t="s">
        <v>119</v>
      </c>
      <c r="D91" s="10" t="s">
        <v>112</v>
      </c>
      <c r="E91" s="11">
        <v>40.0</v>
      </c>
      <c r="F91" s="11">
        <v>50.0</v>
      </c>
      <c r="G91" s="11">
        <v>60.0</v>
      </c>
      <c r="H91" s="11">
        <v>35.0</v>
      </c>
      <c r="I91" s="11">
        <v>40.0</v>
      </c>
      <c r="J91" s="11">
        <v>20.0</v>
      </c>
      <c r="K91" s="9">
        <f>ROUND(E91*'Metodologia P2'!$C$6+F91*'Metodologia P2'!$C$7+G91*'Metodologia P2'!$C$8+H91*'Metodologia P2'!$C$9+I91*'Metodologia P2'!$C$10+J91*'Metodologia P2'!$C$11,0)</f>
        <v>41</v>
      </c>
      <c r="L91" s="9" t="str">
        <f>IF(K91&lt;='Metodologia P2'!$C$16,"Baixa",IF(K91&lt;='Metodologia P2'!$C$17,"Média","Alta"))</f>
        <v>Baixa</v>
      </c>
      <c r="M91" s="10" t="s">
        <v>20</v>
      </c>
      <c r="N91" s="10" t="s">
        <v>21</v>
      </c>
      <c r="O91" s="9" t="str">
        <f>IF(K91&lt;='Metodologia P2'!$C$16,"Alta",IF(K91&lt;='Metodologia P2'!$C$17,"Média","Baixa"))</f>
        <v>Alta</v>
      </c>
    </row>
    <row r="92" ht="21.75" customHeight="1">
      <c r="A92" s="6">
        <v>89.0</v>
      </c>
      <c r="B92" s="6" t="s">
        <v>110</v>
      </c>
      <c r="C92" s="7" t="s">
        <v>120</v>
      </c>
      <c r="D92" s="7" t="s">
        <v>112</v>
      </c>
      <c r="E92" s="8">
        <v>70.0</v>
      </c>
      <c r="F92" s="8">
        <v>60.0</v>
      </c>
      <c r="G92" s="8">
        <v>60.0</v>
      </c>
      <c r="H92" s="8">
        <v>55.0</v>
      </c>
      <c r="I92" s="8">
        <v>40.0</v>
      </c>
      <c r="J92" s="8">
        <v>60.0</v>
      </c>
      <c r="K92" s="6">
        <f>ROUND(E92*'Metodologia P2'!$C$6+F92*'Metodologia P2'!$C$7+G92*'Metodologia P2'!$C$8+H92*'Metodologia P2'!$C$9+I92*'Metodologia P2'!$C$10+J92*'Metodologia P2'!$C$11,0)</f>
        <v>59</v>
      </c>
      <c r="L92" s="6" t="str">
        <f>IF(K92&lt;='Metodologia P2'!$C$16,"Baixa",IF(K92&lt;='Metodologia P2'!$C$17,"Média","Alta"))</f>
        <v>Média</v>
      </c>
      <c r="M92" s="7" t="s">
        <v>20</v>
      </c>
      <c r="N92" s="7" t="s">
        <v>21</v>
      </c>
      <c r="O92" s="6" t="str">
        <f>IF(K92&lt;='Metodologia P2'!$C$16,"Alta",IF(K92&lt;='Metodologia P2'!$C$17,"Média","Baixa"))</f>
        <v>Média</v>
      </c>
    </row>
    <row r="93" ht="21.75" customHeight="1">
      <c r="A93" s="9">
        <v>90.0</v>
      </c>
      <c r="B93" s="9" t="s">
        <v>110</v>
      </c>
      <c r="C93" s="10" t="s">
        <v>121</v>
      </c>
      <c r="D93" s="10" t="s">
        <v>112</v>
      </c>
      <c r="E93" s="11">
        <v>20.0</v>
      </c>
      <c r="F93" s="11">
        <v>50.0</v>
      </c>
      <c r="G93" s="11">
        <v>35.0</v>
      </c>
      <c r="H93" s="11">
        <v>20.0</v>
      </c>
      <c r="I93" s="11">
        <v>40.0</v>
      </c>
      <c r="J93" s="11">
        <v>20.0</v>
      </c>
      <c r="K93" s="9">
        <f>ROUND(E93*'Metodologia P2'!$C$6+F93*'Metodologia P2'!$C$7+G93*'Metodologia P2'!$C$8+H93*'Metodologia P2'!$C$9+I93*'Metodologia P2'!$C$10+J93*'Metodologia P2'!$C$11,0)</f>
        <v>30</v>
      </c>
      <c r="L93" s="9" t="str">
        <f>IF(K93&lt;='Metodologia P2'!$C$16,"Baixa",IF(K93&lt;='Metodologia P2'!$C$17,"Média","Alta"))</f>
        <v>Baixa</v>
      </c>
      <c r="M93" s="10" t="s">
        <v>30</v>
      </c>
      <c r="N93" s="10" t="s">
        <v>31</v>
      </c>
      <c r="O93" s="9" t="str">
        <f>IF(K93&lt;='Metodologia P2'!$C$16,"Alta",IF(K93&lt;='Metodologia P2'!$C$17,"Média","Baixa"))</f>
        <v>Alta</v>
      </c>
    </row>
    <row r="94" ht="21.75" customHeight="1">
      <c r="A94" s="6">
        <v>91.0</v>
      </c>
      <c r="B94" s="6" t="s">
        <v>110</v>
      </c>
      <c r="C94" s="7" t="s">
        <v>122</v>
      </c>
      <c r="D94" s="7" t="s">
        <v>112</v>
      </c>
      <c r="E94" s="8">
        <v>60.0</v>
      </c>
      <c r="F94" s="8">
        <v>50.0</v>
      </c>
      <c r="G94" s="8">
        <v>60.0</v>
      </c>
      <c r="H94" s="8">
        <v>55.0</v>
      </c>
      <c r="I94" s="8">
        <v>40.0</v>
      </c>
      <c r="J94" s="8">
        <v>45.0</v>
      </c>
      <c r="K94" s="6">
        <f>ROUND(E94*'Metodologia P2'!$C$6+F94*'Metodologia P2'!$C$7+G94*'Metodologia P2'!$C$8+H94*'Metodologia P2'!$C$9+I94*'Metodologia P2'!$C$10+J94*'Metodologia P2'!$C$11,0)</f>
        <v>53</v>
      </c>
      <c r="L94" s="6" t="str">
        <f>IF(K94&lt;='Metodologia P2'!$C$16,"Baixa",IF(K94&lt;='Metodologia P2'!$C$17,"Média","Alta"))</f>
        <v>Média</v>
      </c>
      <c r="M94" s="7" t="s">
        <v>20</v>
      </c>
      <c r="N94" s="7" t="s">
        <v>21</v>
      </c>
      <c r="O94" s="6" t="str">
        <f>IF(K94&lt;='Metodologia P2'!$C$16,"Alta",IF(K94&lt;='Metodologia P2'!$C$17,"Média","Baixa"))</f>
        <v>Média</v>
      </c>
    </row>
    <row r="95" ht="21.75" customHeight="1">
      <c r="A95" s="9">
        <v>92.0</v>
      </c>
      <c r="B95" s="9" t="s">
        <v>110</v>
      </c>
      <c r="C95" s="10" t="s">
        <v>123</v>
      </c>
      <c r="D95" s="10" t="s">
        <v>112</v>
      </c>
      <c r="E95" s="11">
        <v>60.0</v>
      </c>
      <c r="F95" s="11">
        <v>50.0</v>
      </c>
      <c r="G95" s="11">
        <v>35.0</v>
      </c>
      <c r="H95" s="11">
        <v>55.0</v>
      </c>
      <c r="I95" s="11">
        <v>60.0</v>
      </c>
      <c r="J95" s="11">
        <v>20.0</v>
      </c>
      <c r="K95" s="9">
        <f>ROUND(E95*'Metodologia P2'!$C$6+F95*'Metodologia P2'!$C$7+G95*'Metodologia P2'!$C$8+H95*'Metodologia P2'!$C$9+I95*'Metodologia P2'!$C$10+J95*'Metodologia P2'!$C$11,0)</f>
        <v>48</v>
      </c>
      <c r="L95" s="9" t="str">
        <f>IF(K95&lt;='Metodologia P2'!$C$16,"Baixa",IF(K95&lt;='Metodologia P2'!$C$17,"Média","Alta"))</f>
        <v>Média</v>
      </c>
      <c r="M95" s="10" t="s">
        <v>36</v>
      </c>
      <c r="N95" s="10" t="s">
        <v>37</v>
      </c>
      <c r="O95" s="9" t="str">
        <f>IF(K95&lt;='Metodologia P2'!$C$16,"Alta",IF(K95&lt;='Metodologia P2'!$C$17,"Média","Baixa"))</f>
        <v>Média</v>
      </c>
    </row>
    <row r="96" ht="21.75" customHeight="1">
      <c r="A96" s="6">
        <v>93.0</v>
      </c>
      <c r="B96" s="6" t="s">
        <v>110</v>
      </c>
      <c r="C96" s="7" t="s">
        <v>124</v>
      </c>
      <c r="D96" s="7" t="s">
        <v>112</v>
      </c>
      <c r="E96" s="8">
        <v>60.0</v>
      </c>
      <c r="F96" s="8">
        <v>50.0</v>
      </c>
      <c r="G96" s="8">
        <v>60.0</v>
      </c>
      <c r="H96" s="8">
        <v>55.0</v>
      </c>
      <c r="I96" s="8">
        <v>40.0</v>
      </c>
      <c r="J96" s="8">
        <v>45.0</v>
      </c>
      <c r="K96" s="6">
        <f>ROUND(E96*'Metodologia P2'!$C$6+F96*'Metodologia P2'!$C$7+G96*'Metodologia P2'!$C$8+H96*'Metodologia P2'!$C$9+I96*'Metodologia P2'!$C$10+J96*'Metodologia P2'!$C$11,0)</f>
        <v>53</v>
      </c>
      <c r="L96" s="6" t="str">
        <f>IF(K96&lt;='Metodologia P2'!$C$16,"Baixa",IF(K96&lt;='Metodologia P2'!$C$17,"Média","Alta"))</f>
        <v>Média</v>
      </c>
      <c r="M96" s="7" t="s">
        <v>20</v>
      </c>
      <c r="N96" s="7" t="s">
        <v>21</v>
      </c>
      <c r="O96" s="6" t="str">
        <f>IF(K96&lt;='Metodologia P2'!$C$16,"Alta",IF(K96&lt;='Metodologia P2'!$C$17,"Média","Baixa"))</f>
        <v>Média</v>
      </c>
    </row>
    <row r="97" ht="21.75" customHeight="1">
      <c r="A97" s="9">
        <v>94.0</v>
      </c>
      <c r="B97" s="9" t="s">
        <v>110</v>
      </c>
      <c r="C97" s="10" t="s">
        <v>125</v>
      </c>
      <c r="D97" s="10" t="s">
        <v>112</v>
      </c>
      <c r="E97" s="11">
        <v>60.0</v>
      </c>
      <c r="F97" s="11">
        <v>50.0</v>
      </c>
      <c r="G97" s="11">
        <v>35.0</v>
      </c>
      <c r="H97" s="11">
        <v>55.0</v>
      </c>
      <c r="I97" s="11">
        <v>40.0</v>
      </c>
      <c r="J97" s="11">
        <v>45.0</v>
      </c>
      <c r="K97" s="9">
        <f>ROUND(E97*'Metodologia P2'!$C$6+F97*'Metodologia P2'!$C$7+G97*'Metodologia P2'!$C$8+H97*'Metodologia P2'!$C$9+I97*'Metodologia P2'!$C$10+J97*'Metodologia P2'!$C$11,0)</f>
        <v>49</v>
      </c>
      <c r="L97" s="9" t="str">
        <f>IF(K97&lt;='Metodologia P2'!$C$16,"Baixa",IF(K97&lt;='Metodologia P2'!$C$17,"Média","Alta"))</f>
        <v>Média</v>
      </c>
      <c r="M97" s="10" t="s">
        <v>20</v>
      </c>
      <c r="N97" s="10" t="s">
        <v>21</v>
      </c>
      <c r="O97" s="9" t="str">
        <f>IF(K97&lt;='Metodologia P2'!$C$16,"Alta",IF(K97&lt;='Metodologia P2'!$C$17,"Média","Baixa"))</f>
        <v>Média</v>
      </c>
    </row>
    <row r="98" ht="21.75" customHeight="1">
      <c r="A98" s="6">
        <v>95.0</v>
      </c>
      <c r="B98" s="6" t="s">
        <v>110</v>
      </c>
      <c r="C98" s="7" t="s">
        <v>126</v>
      </c>
      <c r="D98" s="7" t="s">
        <v>112</v>
      </c>
      <c r="E98" s="8">
        <v>70.0</v>
      </c>
      <c r="F98" s="8">
        <v>50.0</v>
      </c>
      <c r="G98" s="8">
        <v>60.0</v>
      </c>
      <c r="H98" s="8">
        <v>55.0</v>
      </c>
      <c r="I98" s="8">
        <v>40.0</v>
      </c>
      <c r="J98" s="8">
        <v>20.0</v>
      </c>
      <c r="K98" s="6">
        <f>ROUND(E98*'Metodologia P2'!$C$6+F98*'Metodologia P2'!$C$7+G98*'Metodologia P2'!$C$8+H98*'Metodologia P2'!$C$9+I98*'Metodologia P2'!$C$10+J98*'Metodologia P2'!$C$11,0)</f>
        <v>51</v>
      </c>
      <c r="L98" s="6" t="str">
        <f>IF(K98&lt;='Metodologia P2'!$C$16,"Baixa",IF(K98&lt;='Metodologia P2'!$C$17,"Média","Alta"))</f>
        <v>Média</v>
      </c>
      <c r="M98" s="7" t="s">
        <v>20</v>
      </c>
      <c r="N98" s="7" t="s">
        <v>21</v>
      </c>
      <c r="O98" s="6" t="str">
        <f>IF(K98&lt;='Metodologia P2'!$C$16,"Alta",IF(K98&lt;='Metodologia P2'!$C$17,"Média","Baixa"))</f>
        <v>Média</v>
      </c>
    </row>
    <row r="99" ht="21.75" customHeight="1">
      <c r="A99" s="9">
        <v>96.0</v>
      </c>
      <c r="B99" s="9" t="s">
        <v>110</v>
      </c>
      <c r="C99" s="10" t="s">
        <v>127</v>
      </c>
      <c r="D99" s="10" t="s">
        <v>112</v>
      </c>
      <c r="E99" s="11">
        <v>20.0</v>
      </c>
      <c r="F99" s="11">
        <v>50.0</v>
      </c>
      <c r="G99" s="11">
        <v>60.0</v>
      </c>
      <c r="H99" s="11">
        <v>20.0</v>
      </c>
      <c r="I99" s="11">
        <v>40.0</v>
      </c>
      <c r="J99" s="11">
        <v>20.0</v>
      </c>
      <c r="K99" s="9">
        <f>ROUND(E99*'Metodologia P2'!$C$6+F99*'Metodologia P2'!$C$7+G99*'Metodologia P2'!$C$8+H99*'Metodologia P2'!$C$9+I99*'Metodologia P2'!$C$10+J99*'Metodologia P2'!$C$11,0)</f>
        <v>34</v>
      </c>
      <c r="L99" s="9" t="str">
        <f>IF(K99&lt;='Metodologia P2'!$C$16,"Baixa",IF(K99&lt;='Metodologia P2'!$C$17,"Média","Alta"))</f>
        <v>Baixa</v>
      </c>
      <c r="M99" s="10" t="s">
        <v>30</v>
      </c>
      <c r="N99" s="10" t="s">
        <v>31</v>
      </c>
      <c r="O99" s="9" t="str">
        <f>IF(K99&lt;='Metodologia P2'!$C$16,"Alta",IF(K99&lt;='Metodologia P2'!$C$17,"Média","Baixa"))</f>
        <v>Alta</v>
      </c>
    </row>
    <row r="100" ht="21.75" customHeight="1">
      <c r="A100" s="6">
        <v>97.0</v>
      </c>
      <c r="B100" s="6" t="s">
        <v>110</v>
      </c>
      <c r="C100" s="7" t="s">
        <v>128</v>
      </c>
      <c r="D100" s="7" t="s">
        <v>112</v>
      </c>
      <c r="E100" s="8">
        <v>60.0</v>
      </c>
      <c r="F100" s="8">
        <v>50.0</v>
      </c>
      <c r="G100" s="8">
        <v>60.0</v>
      </c>
      <c r="H100" s="8">
        <v>55.0</v>
      </c>
      <c r="I100" s="8">
        <v>40.0</v>
      </c>
      <c r="J100" s="8">
        <v>20.0</v>
      </c>
      <c r="K100" s="6">
        <f>ROUND(E100*'Metodologia P2'!$C$6+F100*'Metodologia P2'!$C$7+G100*'Metodologia P2'!$C$8+H100*'Metodologia P2'!$C$9+I100*'Metodologia P2'!$C$10+J100*'Metodologia P2'!$C$11,0)</f>
        <v>49</v>
      </c>
      <c r="L100" s="6" t="str">
        <f>IF(K100&lt;='Metodologia P2'!$C$16,"Baixa",IF(K100&lt;='Metodologia P2'!$C$17,"Média","Alta"))</f>
        <v>Média</v>
      </c>
      <c r="M100" s="7" t="s">
        <v>20</v>
      </c>
      <c r="N100" s="7" t="s">
        <v>21</v>
      </c>
      <c r="O100" s="6" t="str">
        <f>IF(K100&lt;='Metodologia P2'!$C$16,"Alta",IF(K100&lt;='Metodologia P2'!$C$17,"Média","Baixa"))</f>
        <v>Média</v>
      </c>
    </row>
    <row r="101" ht="21.75" customHeight="1">
      <c r="A101" s="9">
        <v>98.0</v>
      </c>
      <c r="B101" s="9" t="s">
        <v>110</v>
      </c>
      <c r="C101" s="10" t="s">
        <v>129</v>
      </c>
      <c r="D101" s="10" t="s">
        <v>112</v>
      </c>
      <c r="E101" s="11">
        <v>60.0</v>
      </c>
      <c r="F101" s="11">
        <v>50.0</v>
      </c>
      <c r="G101" s="11">
        <v>35.0</v>
      </c>
      <c r="H101" s="11">
        <v>55.0</v>
      </c>
      <c r="I101" s="11">
        <v>40.0</v>
      </c>
      <c r="J101" s="11">
        <v>20.0</v>
      </c>
      <c r="K101" s="9">
        <f>ROUND(E101*'Metodologia P2'!$C$6+F101*'Metodologia P2'!$C$7+G101*'Metodologia P2'!$C$8+H101*'Metodologia P2'!$C$9+I101*'Metodologia P2'!$C$10+J101*'Metodologia P2'!$C$11,0)</f>
        <v>45</v>
      </c>
      <c r="L101" s="9" t="str">
        <f>IF(K101&lt;='Metodologia P2'!$C$16,"Baixa",IF(K101&lt;='Metodologia P2'!$C$17,"Média","Alta"))</f>
        <v>Baixa</v>
      </c>
      <c r="M101" s="10" t="s">
        <v>20</v>
      </c>
      <c r="N101" s="10" t="s">
        <v>21</v>
      </c>
      <c r="O101" s="9" t="str">
        <f>IF(K101&lt;='Metodologia P2'!$C$16,"Alta",IF(K101&lt;='Metodologia P2'!$C$17,"Média","Baixa"))</f>
        <v>Alta</v>
      </c>
    </row>
    <row r="102" ht="21.75" customHeight="1">
      <c r="A102" s="6">
        <v>99.0</v>
      </c>
      <c r="B102" s="6" t="s">
        <v>110</v>
      </c>
      <c r="C102" s="7" t="s">
        <v>130</v>
      </c>
      <c r="D102" s="7" t="s">
        <v>112</v>
      </c>
      <c r="E102" s="8">
        <v>60.0</v>
      </c>
      <c r="F102" s="8">
        <v>50.0</v>
      </c>
      <c r="G102" s="8">
        <v>60.0</v>
      </c>
      <c r="H102" s="8">
        <v>55.0</v>
      </c>
      <c r="I102" s="8">
        <v>40.0</v>
      </c>
      <c r="J102" s="8">
        <v>20.0</v>
      </c>
      <c r="K102" s="6">
        <f>ROUND(E102*'Metodologia P2'!$C$6+F102*'Metodologia P2'!$C$7+G102*'Metodologia P2'!$C$8+H102*'Metodologia P2'!$C$9+I102*'Metodologia P2'!$C$10+J102*'Metodologia P2'!$C$11,0)</f>
        <v>49</v>
      </c>
      <c r="L102" s="6" t="str">
        <f>IF(K102&lt;='Metodologia P2'!$C$16,"Baixa",IF(K102&lt;='Metodologia P2'!$C$17,"Média","Alta"))</f>
        <v>Média</v>
      </c>
      <c r="M102" s="7" t="s">
        <v>20</v>
      </c>
      <c r="N102" s="7" t="s">
        <v>21</v>
      </c>
      <c r="O102" s="6" t="str">
        <f>IF(K102&lt;='Metodologia P2'!$C$16,"Alta",IF(K102&lt;='Metodologia P2'!$C$17,"Média","Baixa"))</f>
        <v>Média</v>
      </c>
    </row>
    <row r="103" ht="21.75" customHeight="1">
      <c r="A103" s="9">
        <v>100.0</v>
      </c>
      <c r="B103" s="9" t="s">
        <v>110</v>
      </c>
      <c r="C103" s="10" t="s">
        <v>131</v>
      </c>
      <c r="D103" s="10" t="s">
        <v>112</v>
      </c>
      <c r="E103" s="11">
        <v>60.0</v>
      </c>
      <c r="F103" s="11">
        <v>50.0</v>
      </c>
      <c r="G103" s="11">
        <v>60.0</v>
      </c>
      <c r="H103" s="11">
        <v>55.0</v>
      </c>
      <c r="I103" s="11">
        <v>40.0</v>
      </c>
      <c r="J103" s="11">
        <v>45.0</v>
      </c>
      <c r="K103" s="9">
        <f>ROUND(E103*'Metodologia P2'!$C$6+F103*'Metodologia P2'!$C$7+G103*'Metodologia P2'!$C$8+H103*'Metodologia P2'!$C$9+I103*'Metodologia P2'!$C$10+J103*'Metodologia P2'!$C$11,0)</f>
        <v>53</v>
      </c>
      <c r="L103" s="9" t="str">
        <f>IF(K103&lt;='Metodologia P2'!$C$16,"Baixa",IF(K103&lt;='Metodologia P2'!$C$17,"Média","Alta"))</f>
        <v>Média</v>
      </c>
      <c r="M103" s="10" t="s">
        <v>20</v>
      </c>
      <c r="N103" s="10" t="s">
        <v>21</v>
      </c>
      <c r="O103" s="9" t="str">
        <f>IF(K103&lt;='Metodologia P2'!$C$16,"Alta",IF(K103&lt;='Metodologia P2'!$C$17,"Média","Baixa"))</f>
        <v>Média</v>
      </c>
    </row>
    <row r="104" ht="21.75" customHeight="1">
      <c r="A104" s="6">
        <v>101.0</v>
      </c>
      <c r="B104" s="6" t="s">
        <v>110</v>
      </c>
      <c r="C104" s="7" t="s">
        <v>132</v>
      </c>
      <c r="D104" s="7" t="s">
        <v>112</v>
      </c>
      <c r="E104" s="8">
        <v>70.0</v>
      </c>
      <c r="F104" s="8">
        <v>50.0</v>
      </c>
      <c r="G104" s="8">
        <v>25.0</v>
      </c>
      <c r="H104" s="8">
        <v>55.0</v>
      </c>
      <c r="I104" s="8">
        <v>40.0</v>
      </c>
      <c r="J104" s="8">
        <v>20.0</v>
      </c>
      <c r="K104" s="6">
        <f>ROUND(E104*'Metodologia P2'!$C$6+F104*'Metodologia P2'!$C$7+G104*'Metodologia P2'!$C$8+H104*'Metodologia P2'!$C$9+I104*'Metodologia P2'!$C$10+J104*'Metodologia P2'!$C$11,0)</f>
        <v>46</v>
      </c>
      <c r="L104" s="6" t="str">
        <f>IF(K104&lt;='Metodologia P2'!$C$16,"Baixa",IF(K104&lt;='Metodologia P2'!$C$17,"Média","Alta"))</f>
        <v>Média</v>
      </c>
      <c r="M104" s="7" t="s">
        <v>20</v>
      </c>
      <c r="N104" s="7" t="s">
        <v>21</v>
      </c>
      <c r="O104" s="6" t="str">
        <f>IF(K104&lt;='Metodologia P2'!$C$16,"Alta",IF(K104&lt;='Metodologia P2'!$C$17,"Média","Baixa"))</f>
        <v>Média</v>
      </c>
    </row>
    <row r="105" ht="21.75" customHeight="1">
      <c r="A105" s="9">
        <v>102.0</v>
      </c>
      <c r="B105" s="9" t="s">
        <v>110</v>
      </c>
      <c r="C105" s="10" t="s">
        <v>133</v>
      </c>
      <c r="D105" s="10" t="s">
        <v>112</v>
      </c>
      <c r="E105" s="11">
        <v>60.0</v>
      </c>
      <c r="F105" s="11">
        <v>50.0</v>
      </c>
      <c r="G105" s="11">
        <v>35.0</v>
      </c>
      <c r="H105" s="11">
        <v>55.0</v>
      </c>
      <c r="I105" s="11">
        <v>40.0</v>
      </c>
      <c r="J105" s="11">
        <v>20.0</v>
      </c>
      <c r="K105" s="9">
        <f>ROUND(E105*'Metodologia P2'!$C$6+F105*'Metodologia P2'!$C$7+G105*'Metodologia P2'!$C$8+H105*'Metodologia P2'!$C$9+I105*'Metodologia P2'!$C$10+J105*'Metodologia P2'!$C$11,0)</f>
        <v>45</v>
      </c>
      <c r="L105" s="9" t="str">
        <f>IF(K105&lt;='Metodologia P2'!$C$16,"Baixa",IF(K105&lt;='Metodologia P2'!$C$17,"Média","Alta"))</f>
        <v>Baixa</v>
      </c>
      <c r="M105" s="10" t="s">
        <v>20</v>
      </c>
      <c r="N105" s="10" t="s">
        <v>21</v>
      </c>
      <c r="O105" s="9" t="str">
        <f>IF(K105&lt;='Metodologia P2'!$C$16,"Alta",IF(K105&lt;='Metodologia P2'!$C$17,"Média","Baixa"))</f>
        <v>Alta</v>
      </c>
    </row>
    <row r="106" ht="32.25" customHeight="1">
      <c r="A106" s="6">
        <v>103.0</v>
      </c>
      <c r="B106" s="6" t="s">
        <v>110</v>
      </c>
      <c r="C106" s="7" t="s">
        <v>134</v>
      </c>
      <c r="D106" s="7" t="s">
        <v>135</v>
      </c>
      <c r="E106" s="8">
        <v>60.0</v>
      </c>
      <c r="F106" s="8">
        <v>50.0</v>
      </c>
      <c r="G106" s="8">
        <v>60.0</v>
      </c>
      <c r="H106" s="8">
        <v>55.0</v>
      </c>
      <c r="I106" s="8">
        <v>60.0</v>
      </c>
      <c r="J106" s="8">
        <v>45.0</v>
      </c>
      <c r="K106" s="6">
        <f>ROUND(E106*'Metodologia P2'!$C$6+F106*'Metodologia P2'!$C$7+G106*'Metodologia P2'!$C$8+H106*'Metodologia P2'!$C$9+I106*'Metodologia P2'!$C$10+J106*'Metodologia P2'!$C$11,0)</f>
        <v>56</v>
      </c>
      <c r="L106" s="6" t="str">
        <f>IF(K106&lt;='Metodologia P2'!$C$16,"Baixa",IF(K106&lt;='Metodologia P2'!$C$17,"Média","Alta"))</f>
        <v>Média</v>
      </c>
      <c r="M106" s="7" t="s">
        <v>20</v>
      </c>
      <c r="N106" s="7" t="s">
        <v>21</v>
      </c>
      <c r="O106" s="6" t="str">
        <f>IF(K106&lt;='Metodologia P2'!$C$16,"Alta",IF(K106&lt;='Metodologia P2'!$C$17,"Média","Baixa"))</f>
        <v>Média</v>
      </c>
    </row>
    <row r="107" ht="32.25" customHeight="1">
      <c r="A107" s="9">
        <v>104.0</v>
      </c>
      <c r="B107" s="9" t="s">
        <v>110</v>
      </c>
      <c r="C107" s="10" t="s">
        <v>136</v>
      </c>
      <c r="D107" s="10" t="s">
        <v>135</v>
      </c>
      <c r="E107" s="11">
        <v>70.0</v>
      </c>
      <c r="F107" s="11">
        <v>50.0</v>
      </c>
      <c r="G107" s="11">
        <v>60.0</v>
      </c>
      <c r="H107" s="11">
        <v>55.0</v>
      </c>
      <c r="I107" s="11">
        <v>60.0</v>
      </c>
      <c r="J107" s="11">
        <v>45.0</v>
      </c>
      <c r="K107" s="9">
        <f>ROUND(E107*'Metodologia P2'!$C$6+F107*'Metodologia P2'!$C$7+G107*'Metodologia P2'!$C$8+H107*'Metodologia P2'!$C$9+I107*'Metodologia P2'!$C$10+J107*'Metodologia P2'!$C$11,0)</f>
        <v>58</v>
      </c>
      <c r="L107" s="9" t="str">
        <f>IF(K107&lt;='Metodologia P2'!$C$16,"Baixa",IF(K107&lt;='Metodologia P2'!$C$17,"Média","Alta"))</f>
        <v>Média</v>
      </c>
      <c r="M107" s="10" t="s">
        <v>20</v>
      </c>
      <c r="N107" s="10" t="s">
        <v>21</v>
      </c>
      <c r="O107" s="9" t="str">
        <f>IF(K107&lt;='Metodologia P2'!$C$16,"Alta",IF(K107&lt;='Metodologia P2'!$C$17,"Média","Baixa"))</f>
        <v>Média</v>
      </c>
    </row>
    <row r="108" ht="32.25" customHeight="1">
      <c r="A108" s="6">
        <v>105.0</v>
      </c>
      <c r="B108" s="6" t="s">
        <v>110</v>
      </c>
      <c r="C108" s="7" t="s">
        <v>137</v>
      </c>
      <c r="D108" s="7" t="s">
        <v>135</v>
      </c>
      <c r="E108" s="8">
        <v>40.0</v>
      </c>
      <c r="F108" s="8">
        <v>50.0</v>
      </c>
      <c r="G108" s="8">
        <v>60.0</v>
      </c>
      <c r="H108" s="8">
        <v>35.0</v>
      </c>
      <c r="I108" s="8">
        <v>60.0</v>
      </c>
      <c r="J108" s="8">
        <v>45.0</v>
      </c>
      <c r="K108" s="6">
        <f>ROUND(E108*'Metodologia P2'!$C$6+F108*'Metodologia P2'!$C$7+G108*'Metodologia P2'!$C$8+H108*'Metodologia P2'!$C$9+I108*'Metodologia P2'!$C$10+J108*'Metodologia P2'!$C$11,0)</f>
        <v>48</v>
      </c>
      <c r="L108" s="6" t="str">
        <f>IF(K108&lt;='Metodologia P2'!$C$16,"Baixa",IF(K108&lt;='Metodologia P2'!$C$17,"Média","Alta"))</f>
        <v>Média</v>
      </c>
      <c r="M108" s="7" t="s">
        <v>20</v>
      </c>
      <c r="N108" s="7" t="s">
        <v>21</v>
      </c>
      <c r="O108" s="6" t="str">
        <f>IF(K108&lt;='Metodologia P2'!$C$16,"Alta",IF(K108&lt;='Metodologia P2'!$C$17,"Média","Baixa"))</f>
        <v>Média</v>
      </c>
    </row>
    <row r="109" ht="32.25" customHeight="1">
      <c r="A109" s="9">
        <v>106.0</v>
      </c>
      <c r="B109" s="9" t="s">
        <v>110</v>
      </c>
      <c r="C109" s="10" t="s">
        <v>138</v>
      </c>
      <c r="D109" s="10" t="s">
        <v>135</v>
      </c>
      <c r="E109" s="11">
        <v>60.0</v>
      </c>
      <c r="F109" s="11">
        <v>50.0</v>
      </c>
      <c r="G109" s="11">
        <v>60.0</v>
      </c>
      <c r="H109" s="11">
        <v>55.0</v>
      </c>
      <c r="I109" s="11">
        <v>60.0</v>
      </c>
      <c r="J109" s="11">
        <v>45.0</v>
      </c>
      <c r="K109" s="9">
        <f>ROUND(E109*'Metodologia P2'!$C$6+F109*'Metodologia P2'!$C$7+G109*'Metodologia P2'!$C$8+H109*'Metodologia P2'!$C$9+I109*'Metodologia P2'!$C$10+J109*'Metodologia P2'!$C$11,0)</f>
        <v>56</v>
      </c>
      <c r="L109" s="9" t="str">
        <f>IF(K109&lt;='Metodologia P2'!$C$16,"Baixa",IF(K109&lt;='Metodologia P2'!$C$17,"Média","Alta"))</f>
        <v>Média</v>
      </c>
      <c r="M109" s="10" t="s">
        <v>20</v>
      </c>
      <c r="N109" s="10" t="s">
        <v>21</v>
      </c>
      <c r="O109" s="9" t="str">
        <f>IF(K109&lt;='Metodologia P2'!$C$16,"Alta",IF(K109&lt;='Metodologia P2'!$C$17,"Média","Baixa"))</f>
        <v>Média</v>
      </c>
    </row>
    <row r="110" ht="32.25" customHeight="1">
      <c r="A110" s="6">
        <v>107.0</v>
      </c>
      <c r="B110" s="6" t="s">
        <v>110</v>
      </c>
      <c r="C110" s="7" t="s">
        <v>139</v>
      </c>
      <c r="D110" s="7" t="s">
        <v>135</v>
      </c>
      <c r="E110" s="8">
        <v>60.0</v>
      </c>
      <c r="F110" s="8">
        <v>50.0</v>
      </c>
      <c r="G110" s="8">
        <v>60.0</v>
      </c>
      <c r="H110" s="8">
        <v>55.0</v>
      </c>
      <c r="I110" s="8">
        <v>60.0</v>
      </c>
      <c r="J110" s="8">
        <v>45.0</v>
      </c>
      <c r="K110" s="6">
        <f>ROUND(E110*'Metodologia P2'!$C$6+F110*'Metodologia P2'!$C$7+G110*'Metodologia P2'!$C$8+H110*'Metodologia P2'!$C$9+I110*'Metodologia P2'!$C$10+J110*'Metodologia P2'!$C$11,0)</f>
        <v>56</v>
      </c>
      <c r="L110" s="6" t="str">
        <f>IF(K110&lt;='Metodologia P2'!$C$16,"Baixa",IF(K110&lt;='Metodologia P2'!$C$17,"Média","Alta"))</f>
        <v>Média</v>
      </c>
      <c r="M110" s="7" t="s">
        <v>20</v>
      </c>
      <c r="N110" s="7" t="s">
        <v>21</v>
      </c>
      <c r="O110" s="6" t="str">
        <f>IF(K110&lt;='Metodologia P2'!$C$16,"Alta",IF(K110&lt;='Metodologia P2'!$C$17,"Média","Baixa"))</f>
        <v>Média</v>
      </c>
    </row>
    <row r="111" ht="32.25" customHeight="1">
      <c r="A111" s="9">
        <v>108.0</v>
      </c>
      <c r="B111" s="9" t="s">
        <v>110</v>
      </c>
      <c r="C111" s="10" t="s">
        <v>140</v>
      </c>
      <c r="D111" s="10" t="s">
        <v>135</v>
      </c>
      <c r="E111" s="11">
        <v>60.0</v>
      </c>
      <c r="F111" s="11">
        <v>50.0</v>
      </c>
      <c r="G111" s="11">
        <v>60.0</v>
      </c>
      <c r="H111" s="11">
        <v>55.0</v>
      </c>
      <c r="I111" s="11">
        <v>60.0</v>
      </c>
      <c r="J111" s="11">
        <v>45.0</v>
      </c>
      <c r="K111" s="9">
        <f>ROUND(E111*'Metodologia P2'!$C$6+F111*'Metodologia P2'!$C$7+G111*'Metodologia P2'!$C$8+H111*'Metodologia P2'!$C$9+I111*'Metodologia P2'!$C$10+J111*'Metodologia P2'!$C$11,0)</f>
        <v>56</v>
      </c>
      <c r="L111" s="9" t="str">
        <f>IF(K111&lt;='Metodologia P2'!$C$16,"Baixa",IF(K111&lt;='Metodologia P2'!$C$17,"Média","Alta"))</f>
        <v>Média</v>
      </c>
      <c r="M111" s="10" t="s">
        <v>20</v>
      </c>
      <c r="N111" s="10" t="s">
        <v>21</v>
      </c>
      <c r="O111" s="9" t="str">
        <f>IF(K111&lt;='Metodologia P2'!$C$16,"Alta",IF(K111&lt;='Metodologia P2'!$C$17,"Média","Baixa"))</f>
        <v>Média</v>
      </c>
    </row>
    <row r="112" ht="32.25" customHeight="1">
      <c r="A112" s="6">
        <v>109.0</v>
      </c>
      <c r="B112" s="6" t="s">
        <v>110</v>
      </c>
      <c r="C112" s="7" t="s">
        <v>141</v>
      </c>
      <c r="D112" s="7" t="s">
        <v>135</v>
      </c>
      <c r="E112" s="8">
        <v>40.0</v>
      </c>
      <c r="F112" s="8">
        <v>50.0</v>
      </c>
      <c r="G112" s="8">
        <v>60.0</v>
      </c>
      <c r="H112" s="8">
        <v>35.0</v>
      </c>
      <c r="I112" s="8">
        <v>60.0</v>
      </c>
      <c r="J112" s="8">
        <v>45.0</v>
      </c>
      <c r="K112" s="6">
        <f>ROUND(E112*'Metodologia P2'!$C$6+F112*'Metodologia P2'!$C$7+G112*'Metodologia P2'!$C$8+H112*'Metodologia P2'!$C$9+I112*'Metodologia P2'!$C$10+J112*'Metodologia P2'!$C$11,0)</f>
        <v>48</v>
      </c>
      <c r="L112" s="6" t="str">
        <f>IF(K112&lt;='Metodologia P2'!$C$16,"Baixa",IF(K112&lt;='Metodologia P2'!$C$17,"Média","Alta"))</f>
        <v>Média</v>
      </c>
      <c r="M112" s="7" t="s">
        <v>20</v>
      </c>
      <c r="N112" s="7" t="s">
        <v>21</v>
      </c>
      <c r="O112" s="6" t="str">
        <f>IF(K112&lt;='Metodologia P2'!$C$16,"Alta",IF(K112&lt;='Metodologia P2'!$C$17,"Média","Baixa"))</f>
        <v>Média</v>
      </c>
    </row>
    <row r="113" ht="32.25" customHeight="1">
      <c r="A113" s="9">
        <v>110.0</v>
      </c>
      <c r="B113" s="9" t="s">
        <v>110</v>
      </c>
      <c r="C113" s="10" t="s">
        <v>142</v>
      </c>
      <c r="D113" s="10" t="s">
        <v>135</v>
      </c>
      <c r="E113" s="11">
        <v>60.0</v>
      </c>
      <c r="F113" s="11">
        <v>50.0</v>
      </c>
      <c r="G113" s="11">
        <v>60.0</v>
      </c>
      <c r="H113" s="11">
        <v>55.0</v>
      </c>
      <c r="I113" s="11">
        <v>60.0</v>
      </c>
      <c r="J113" s="11">
        <v>20.0</v>
      </c>
      <c r="K113" s="9">
        <f>ROUND(E113*'Metodologia P2'!$C$6+F113*'Metodologia P2'!$C$7+G113*'Metodologia P2'!$C$8+H113*'Metodologia P2'!$C$9+I113*'Metodologia P2'!$C$10+J113*'Metodologia P2'!$C$11,0)</f>
        <v>52</v>
      </c>
      <c r="L113" s="9" t="str">
        <f>IF(K113&lt;='Metodologia P2'!$C$16,"Baixa",IF(K113&lt;='Metodologia P2'!$C$17,"Média","Alta"))</f>
        <v>Média</v>
      </c>
      <c r="M113" s="10" t="s">
        <v>36</v>
      </c>
      <c r="N113" s="10" t="s">
        <v>37</v>
      </c>
      <c r="O113" s="9" t="str">
        <f>IF(K113&lt;='Metodologia P2'!$C$16,"Alta",IF(K113&lt;='Metodologia P2'!$C$17,"Média","Baixa"))</f>
        <v>Média</v>
      </c>
    </row>
    <row r="114" ht="32.25" customHeight="1">
      <c r="A114" s="6">
        <v>111.0</v>
      </c>
      <c r="B114" s="6" t="s">
        <v>110</v>
      </c>
      <c r="C114" s="7" t="s">
        <v>143</v>
      </c>
      <c r="D114" s="7" t="s">
        <v>135</v>
      </c>
      <c r="E114" s="8">
        <v>60.0</v>
      </c>
      <c r="F114" s="8">
        <v>50.0</v>
      </c>
      <c r="G114" s="8">
        <v>60.0</v>
      </c>
      <c r="H114" s="8">
        <v>55.0</v>
      </c>
      <c r="I114" s="8">
        <v>60.0</v>
      </c>
      <c r="J114" s="8">
        <v>45.0</v>
      </c>
      <c r="K114" s="6">
        <f>ROUND(E114*'Metodologia P2'!$C$6+F114*'Metodologia P2'!$C$7+G114*'Metodologia P2'!$C$8+H114*'Metodologia P2'!$C$9+I114*'Metodologia P2'!$C$10+J114*'Metodologia P2'!$C$11,0)</f>
        <v>56</v>
      </c>
      <c r="L114" s="6" t="str">
        <f>IF(K114&lt;='Metodologia P2'!$C$16,"Baixa",IF(K114&lt;='Metodologia P2'!$C$17,"Média","Alta"))</f>
        <v>Média</v>
      </c>
      <c r="M114" s="7" t="s">
        <v>24</v>
      </c>
      <c r="N114" s="7" t="s">
        <v>25</v>
      </c>
      <c r="O114" s="6" t="str">
        <f>IF(K114&lt;='Metodologia P2'!$C$16,"Alta",IF(K114&lt;='Metodologia P2'!$C$17,"Média","Baixa"))</f>
        <v>Média</v>
      </c>
    </row>
    <row r="115" ht="32.25" customHeight="1">
      <c r="A115" s="9">
        <v>112.0</v>
      </c>
      <c r="B115" s="9" t="s">
        <v>110</v>
      </c>
      <c r="C115" s="10" t="s">
        <v>144</v>
      </c>
      <c r="D115" s="10" t="s">
        <v>135</v>
      </c>
      <c r="E115" s="11">
        <v>60.0</v>
      </c>
      <c r="F115" s="11">
        <v>50.0</v>
      </c>
      <c r="G115" s="11">
        <v>60.0</v>
      </c>
      <c r="H115" s="11">
        <v>55.0</v>
      </c>
      <c r="I115" s="11">
        <v>60.0</v>
      </c>
      <c r="J115" s="11">
        <v>45.0</v>
      </c>
      <c r="K115" s="9">
        <f>ROUND(E115*'Metodologia P2'!$C$6+F115*'Metodologia P2'!$C$7+G115*'Metodologia P2'!$C$8+H115*'Metodologia P2'!$C$9+I115*'Metodologia P2'!$C$10+J115*'Metodologia P2'!$C$11,0)</f>
        <v>56</v>
      </c>
      <c r="L115" s="9" t="str">
        <f>IF(K115&lt;='Metodologia P2'!$C$16,"Baixa",IF(K115&lt;='Metodologia P2'!$C$17,"Média","Alta"))</f>
        <v>Média</v>
      </c>
      <c r="M115" s="10" t="s">
        <v>20</v>
      </c>
      <c r="N115" s="10" t="s">
        <v>21</v>
      </c>
      <c r="O115" s="9" t="str">
        <f>IF(K115&lt;='Metodologia P2'!$C$16,"Alta",IF(K115&lt;='Metodologia P2'!$C$17,"Média","Baixa"))</f>
        <v>Média</v>
      </c>
    </row>
    <row r="116" ht="32.25" customHeight="1">
      <c r="A116" s="6">
        <v>113.0</v>
      </c>
      <c r="B116" s="6" t="s">
        <v>110</v>
      </c>
      <c r="C116" s="7" t="s">
        <v>145</v>
      </c>
      <c r="D116" s="7" t="s">
        <v>135</v>
      </c>
      <c r="E116" s="8">
        <v>60.0</v>
      </c>
      <c r="F116" s="8">
        <v>50.0</v>
      </c>
      <c r="G116" s="8">
        <v>60.0</v>
      </c>
      <c r="H116" s="8">
        <v>55.0</v>
      </c>
      <c r="I116" s="8">
        <v>60.0</v>
      </c>
      <c r="J116" s="8">
        <v>45.0</v>
      </c>
      <c r="K116" s="6">
        <f>ROUND(E116*'Metodologia P2'!$C$6+F116*'Metodologia P2'!$C$7+G116*'Metodologia P2'!$C$8+H116*'Metodologia P2'!$C$9+I116*'Metodologia P2'!$C$10+J116*'Metodologia P2'!$C$11,0)</f>
        <v>56</v>
      </c>
      <c r="L116" s="6" t="str">
        <f>IF(K116&lt;='Metodologia P2'!$C$16,"Baixa",IF(K116&lt;='Metodologia P2'!$C$17,"Média","Alta"))</f>
        <v>Média</v>
      </c>
      <c r="M116" s="7" t="s">
        <v>20</v>
      </c>
      <c r="N116" s="7" t="s">
        <v>21</v>
      </c>
      <c r="O116" s="6" t="str">
        <f>IF(K116&lt;='Metodologia P2'!$C$16,"Alta",IF(K116&lt;='Metodologia P2'!$C$17,"Média","Baixa"))</f>
        <v>Média</v>
      </c>
    </row>
    <row r="117" ht="32.25" customHeight="1">
      <c r="A117" s="9">
        <v>114.0</v>
      </c>
      <c r="B117" s="9" t="s">
        <v>110</v>
      </c>
      <c r="C117" s="10" t="s">
        <v>146</v>
      </c>
      <c r="D117" s="10" t="s">
        <v>135</v>
      </c>
      <c r="E117" s="11">
        <v>40.0</v>
      </c>
      <c r="F117" s="11">
        <v>50.0</v>
      </c>
      <c r="G117" s="11">
        <v>60.0</v>
      </c>
      <c r="H117" s="11">
        <v>35.0</v>
      </c>
      <c r="I117" s="11">
        <v>60.0</v>
      </c>
      <c r="J117" s="11">
        <v>45.0</v>
      </c>
      <c r="K117" s="9">
        <f>ROUND(E117*'Metodologia P2'!$C$6+F117*'Metodologia P2'!$C$7+G117*'Metodologia P2'!$C$8+H117*'Metodologia P2'!$C$9+I117*'Metodologia P2'!$C$10+J117*'Metodologia P2'!$C$11,0)</f>
        <v>48</v>
      </c>
      <c r="L117" s="9" t="str">
        <f>IF(K117&lt;='Metodologia P2'!$C$16,"Baixa",IF(K117&lt;='Metodologia P2'!$C$17,"Média","Alta"))</f>
        <v>Média</v>
      </c>
      <c r="M117" s="10" t="s">
        <v>20</v>
      </c>
      <c r="N117" s="10" t="s">
        <v>21</v>
      </c>
      <c r="O117" s="9" t="str">
        <f>IF(K117&lt;='Metodologia P2'!$C$16,"Alta",IF(K117&lt;='Metodologia P2'!$C$17,"Média","Baixa"))</f>
        <v>Média</v>
      </c>
    </row>
    <row r="118" ht="32.25" customHeight="1">
      <c r="A118" s="6">
        <v>115.0</v>
      </c>
      <c r="B118" s="6" t="s">
        <v>110</v>
      </c>
      <c r="C118" s="7" t="s">
        <v>147</v>
      </c>
      <c r="D118" s="7" t="s">
        <v>135</v>
      </c>
      <c r="E118" s="8">
        <v>40.0</v>
      </c>
      <c r="F118" s="8">
        <v>50.0</v>
      </c>
      <c r="G118" s="8">
        <v>60.0</v>
      </c>
      <c r="H118" s="8">
        <v>35.0</v>
      </c>
      <c r="I118" s="8">
        <v>60.0</v>
      </c>
      <c r="J118" s="8">
        <v>20.0</v>
      </c>
      <c r="K118" s="6">
        <f>ROUND(E118*'Metodologia P2'!$C$6+F118*'Metodologia P2'!$C$7+G118*'Metodologia P2'!$C$8+H118*'Metodologia P2'!$C$9+I118*'Metodologia P2'!$C$10+J118*'Metodologia P2'!$C$11,0)</f>
        <v>44</v>
      </c>
      <c r="L118" s="6" t="str">
        <f>IF(K118&lt;='Metodologia P2'!$C$16,"Baixa",IF(K118&lt;='Metodologia P2'!$C$17,"Média","Alta"))</f>
        <v>Baixa</v>
      </c>
      <c r="M118" s="7" t="s">
        <v>20</v>
      </c>
      <c r="N118" s="7" t="s">
        <v>21</v>
      </c>
      <c r="O118" s="6" t="str">
        <f>IF(K118&lt;='Metodologia P2'!$C$16,"Alta",IF(K118&lt;='Metodologia P2'!$C$17,"Média","Baixa"))</f>
        <v>Alta</v>
      </c>
    </row>
    <row r="119" ht="32.25" customHeight="1">
      <c r="A119" s="9">
        <v>116.0</v>
      </c>
      <c r="B119" s="9" t="s">
        <v>110</v>
      </c>
      <c r="C119" s="10" t="s">
        <v>148</v>
      </c>
      <c r="D119" s="10" t="s">
        <v>135</v>
      </c>
      <c r="E119" s="11">
        <v>60.0</v>
      </c>
      <c r="F119" s="11">
        <v>50.0</v>
      </c>
      <c r="G119" s="11">
        <v>60.0</v>
      </c>
      <c r="H119" s="11">
        <v>55.0</v>
      </c>
      <c r="I119" s="11">
        <v>60.0</v>
      </c>
      <c r="J119" s="11">
        <v>45.0</v>
      </c>
      <c r="K119" s="9">
        <f>ROUND(E119*'Metodologia P2'!$C$6+F119*'Metodologia P2'!$C$7+G119*'Metodologia P2'!$C$8+H119*'Metodologia P2'!$C$9+I119*'Metodologia P2'!$C$10+J119*'Metodologia P2'!$C$11,0)</f>
        <v>56</v>
      </c>
      <c r="L119" s="9" t="str">
        <f>IF(K119&lt;='Metodologia P2'!$C$16,"Baixa",IF(K119&lt;='Metodologia P2'!$C$17,"Média","Alta"))</f>
        <v>Média</v>
      </c>
      <c r="M119" s="10" t="s">
        <v>20</v>
      </c>
      <c r="N119" s="10" t="s">
        <v>21</v>
      </c>
      <c r="O119" s="9" t="str">
        <f>IF(K119&lt;='Metodologia P2'!$C$16,"Alta",IF(K119&lt;='Metodologia P2'!$C$17,"Média","Baixa"))</f>
        <v>Média</v>
      </c>
    </row>
    <row r="120" ht="32.25" customHeight="1">
      <c r="A120" s="6">
        <v>117.0</v>
      </c>
      <c r="B120" s="6" t="s">
        <v>110</v>
      </c>
      <c r="C120" s="7" t="s">
        <v>149</v>
      </c>
      <c r="D120" s="7" t="s">
        <v>135</v>
      </c>
      <c r="E120" s="8">
        <v>40.0</v>
      </c>
      <c r="F120" s="8">
        <v>50.0</v>
      </c>
      <c r="G120" s="8">
        <v>60.0</v>
      </c>
      <c r="H120" s="8">
        <v>35.0</v>
      </c>
      <c r="I120" s="8">
        <v>60.0</v>
      </c>
      <c r="J120" s="8">
        <v>45.0</v>
      </c>
      <c r="K120" s="6">
        <f>ROUND(E120*'Metodologia P2'!$C$6+F120*'Metodologia P2'!$C$7+G120*'Metodologia P2'!$C$8+H120*'Metodologia P2'!$C$9+I120*'Metodologia P2'!$C$10+J120*'Metodologia P2'!$C$11,0)</f>
        <v>48</v>
      </c>
      <c r="L120" s="6" t="str">
        <f>IF(K120&lt;='Metodologia P2'!$C$16,"Baixa",IF(K120&lt;='Metodologia P2'!$C$17,"Média","Alta"))</f>
        <v>Média</v>
      </c>
      <c r="M120" s="7" t="s">
        <v>20</v>
      </c>
      <c r="N120" s="7" t="s">
        <v>21</v>
      </c>
      <c r="O120" s="6" t="str">
        <f>IF(K120&lt;='Metodologia P2'!$C$16,"Alta",IF(K120&lt;='Metodologia P2'!$C$17,"Média","Baixa"))</f>
        <v>Média</v>
      </c>
    </row>
    <row r="121" ht="32.25" customHeight="1">
      <c r="A121" s="9">
        <v>118.0</v>
      </c>
      <c r="B121" s="9" t="s">
        <v>110</v>
      </c>
      <c r="C121" s="10" t="s">
        <v>150</v>
      </c>
      <c r="D121" s="10" t="s">
        <v>135</v>
      </c>
      <c r="E121" s="11">
        <v>60.0</v>
      </c>
      <c r="F121" s="11">
        <v>50.0</v>
      </c>
      <c r="G121" s="11">
        <v>60.0</v>
      </c>
      <c r="H121" s="11">
        <v>55.0</v>
      </c>
      <c r="I121" s="11">
        <v>60.0</v>
      </c>
      <c r="J121" s="11">
        <v>45.0</v>
      </c>
      <c r="K121" s="9">
        <f>ROUND(E121*'Metodologia P2'!$C$6+F121*'Metodologia P2'!$C$7+G121*'Metodologia P2'!$C$8+H121*'Metodologia P2'!$C$9+I121*'Metodologia P2'!$C$10+J121*'Metodologia P2'!$C$11,0)</f>
        <v>56</v>
      </c>
      <c r="L121" s="9" t="str">
        <f>IF(K121&lt;='Metodologia P2'!$C$16,"Baixa",IF(K121&lt;='Metodologia P2'!$C$17,"Média","Alta"))</f>
        <v>Média</v>
      </c>
      <c r="M121" s="10" t="s">
        <v>24</v>
      </c>
      <c r="N121" s="10" t="s">
        <v>25</v>
      </c>
      <c r="O121" s="9" t="str">
        <f>IF(K121&lt;='Metodologia P2'!$C$16,"Alta",IF(K121&lt;='Metodologia P2'!$C$17,"Média","Baixa"))</f>
        <v>Média</v>
      </c>
    </row>
    <row r="122" ht="32.25" customHeight="1">
      <c r="A122" s="6">
        <v>119.0</v>
      </c>
      <c r="B122" s="6" t="s">
        <v>110</v>
      </c>
      <c r="C122" s="7" t="s">
        <v>151</v>
      </c>
      <c r="D122" s="7" t="s">
        <v>135</v>
      </c>
      <c r="E122" s="8">
        <v>40.0</v>
      </c>
      <c r="F122" s="8">
        <v>50.0</v>
      </c>
      <c r="G122" s="8">
        <v>60.0</v>
      </c>
      <c r="H122" s="8">
        <v>35.0</v>
      </c>
      <c r="I122" s="8">
        <v>60.0</v>
      </c>
      <c r="J122" s="8">
        <v>45.0</v>
      </c>
      <c r="K122" s="6">
        <f>ROUND(E122*'Metodologia P2'!$C$6+F122*'Metodologia P2'!$C$7+G122*'Metodologia P2'!$C$8+H122*'Metodologia P2'!$C$9+I122*'Metodologia P2'!$C$10+J122*'Metodologia P2'!$C$11,0)</f>
        <v>48</v>
      </c>
      <c r="L122" s="6" t="str">
        <f>IF(K122&lt;='Metodologia P2'!$C$16,"Baixa",IF(K122&lt;='Metodologia P2'!$C$17,"Média","Alta"))</f>
        <v>Média</v>
      </c>
      <c r="M122" s="7" t="s">
        <v>20</v>
      </c>
      <c r="N122" s="7" t="s">
        <v>21</v>
      </c>
      <c r="O122" s="6" t="str">
        <f>IF(K122&lt;='Metodologia P2'!$C$16,"Alta",IF(K122&lt;='Metodologia P2'!$C$17,"Média","Baixa"))</f>
        <v>Média</v>
      </c>
    </row>
    <row r="123" ht="32.25" customHeight="1">
      <c r="A123" s="9">
        <v>120.0</v>
      </c>
      <c r="B123" s="9" t="s">
        <v>110</v>
      </c>
      <c r="C123" s="10" t="s">
        <v>152</v>
      </c>
      <c r="D123" s="10" t="s">
        <v>135</v>
      </c>
      <c r="E123" s="11">
        <v>60.0</v>
      </c>
      <c r="F123" s="11">
        <v>50.0</v>
      </c>
      <c r="G123" s="11">
        <v>60.0</v>
      </c>
      <c r="H123" s="11">
        <v>55.0</v>
      </c>
      <c r="I123" s="11">
        <v>60.0</v>
      </c>
      <c r="J123" s="11">
        <v>45.0</v>
      </c>
      <c r="K123" s="9">
        <f>ROUND(E123*'Metodologia P2'!$C$6+F123*'Metodologia P2'!$C$7+G123*'Metodologia P2'!$C$8+H123*'Metodologia P2'!$C$9+I123*'Metodologia P2'!$C$10+J123*'Metodologia P2'!$C$11,0)</f>
        <v>56</v>
      </c>
      <c r="L123" s="9" t="str">
        <f>IF(K123&lt;='Metodologia P2'!$C$16,"Baixa",IF(K123&lt;='Metodologia P2'!$C$17,"Média","Alta"))</f>
        <v>Média</v>
      </c>
      <c r="M123" s="10" t="s">
        <v>24</v>
      </c>
      <c r="N123" s="10" t="s">
        <v>25</v>
      </c>
      <c r="O123" s="9" t="str">
        <f>IF(K123&lt;='Metodologia P2'!$C$16,"Alta",IF(K123&lt;='Metodologia P2'!$C$17,"Média","Baixa"))</f>
        <v>Média</v>
      </c>
    </row>
    <row r="124" ht="32.25" customHeight="1">
      <c r="A124" s="6">
        <v>121.0</v>
      </c>
      <c r="B124" s="6" t="s">
        <v>110</v>
      </c>
      <c r="C124" s="7" t="s">
        <v>153</v>
      </c>
      <c r="D124" s="7" t="s">
        <v>135</v>
      </c>
      <c r="E124" s="8">
        <v>60.0</v>
      </c>
      <c r="F124" s="8">
        <v>50.0</v>
      </c>
      <c r="G124" s="8">
        <v>60.0</v>
      </c>
      <c r="H124" s="8">
        <v>55.0</v>
      </c>
      <c r="I124" s="8">
        <v>60.0</v>
      </c>
      <c r="J124" s="8">
        <v>45.0</v>
      </c>
      <c r="K124" s="6">
        <f>ROUND(E124*'Metodologia P2'!$C$6+F124*'Metodologia P2'!$C$7+G124*'Metodologia P2'!$C$8+H124*'Metodologia P2'!$C$9+I124*'Metodologia P2'!$C$10+J124*'Metodologia P2'!$C$11,0)</f>
        <v>56</v>
      </c>
      <c r="L124" s="6" t="str">
        <f>IF(K124&lt;='Metodologia P2'!$C$16,"Baixa",IF(K124&lt;='Metodologia P2'!$C$17,"Média","Alta"))</f>
        <v>Média</v>
      </c>
      <c r="M124" s="7" t="s">
        <v>20</v>
      </c>
      <c r="N124" s="7" t="s">
        <v>21</v>
      </c>
      <c r="O124" s="6" t="str">
        <f>IF(K124&lt;='Metodologia P2'!$C$16,"Alta",IF(K124&lt;='Metodologia P2'!$C$17,"Média","Baixa"))</f>
        <v>Média</v>
      </c>
    </row>
    <row r="125" ht="32.25" customHeight="1">
      <c r="A125" s="9">
        <v>122.0</v>
      </c>
      <c r="B125" s="9" t="s">
        <v>110</v>
      </c>
      <c r="C125" s="10" t="s">
        <v>154</v>
      </c>
      <c r="D125" s="10" t="s">
        <v>135</v>
      </c>
      <c r="E125" s="11">
        <v>60.0</v>
      </c>
      <c r="F125" s="11">
        <v>50.0</v>
      </c>
      <c r="G125" s="11">
        <v>60.0</v>
      </c>
      <c r="H125" s="11">
        <v>55.0</v>
      </c>
      <c r="I125" s="11">
        <v>60.0</v>
      </c>
      <c r="J125" s="11">
        <v>20.0</v>
      </c>
      <c r="K125" s="9">
        <f>ROUND(E125*'Metodologia P2'!$C$6+F125*'Metodologia P2'!$C$7+G125*'Metodologia P2'!$C$8+H125*'Metodologia P2'!$C$9+I125*'Metodologia P2'!$C$10+J125*'Metodologia P2'!$C$11,0)</f>
        <v>52</v>
      </c>
      <c r="L125" s="9" t="str">
        <f>IF(K125&lt;='Metodologia P2'!$C$16,"Baixa",IF(K125&lt;='Metodologia P2'!$C$17,"Média","Alta"))</f>
        <v>Média</v>
      </c>
      <c r="M125" s="10" t="s">
        <v>20</v>
      </c>
      <c r="N125" s="10" t="s">
        <v>21</v>
      </c>
      <c r="O125" s="9" t="str">
        <f>IF(K125&lt;='Metodologia P2'!$C$16,"Alta",IF(K125&lt;='Metodologia P2'!$C$17,"Média","Baixa"))</f>
        <v>Média</v>
      </c>
    </row>
    <row r="126" ht="32.25" customHeight="1">
      <c r="A126" s="6">
        <v>123.0</v>
      </c>
      <c r="B126" s="6" t="s">
        <v>110</v>
      </c>
      <c r="C126" s="7" t="s">
        <v>155</v>
      </c>
      <c r="D126" s="7" t="s">
        <v>135</v>
      </c>
      <c r="E126" s="8">
        <v>60.0</v>
      </c>
      <c r="F126" s="8">
        <v>50.0</v>
      </c>
      <c r="G126" s="8">
        <v>60.0</v>
      </c>
      <c r="H126" s="8">
        <v>55.0</v>
      </c>
      <c r="I126" s="8">
        <v>60.0</v>
      </c>
      <c r="J126" s="8">
        <v>45.0</v>
      </c>
      <c r="K126" s="6">
        <f>ROUND(E126*'Metodologia P2'!$C$6+F126*'Metodologia P2'!$C$7+G126*'Metodologia P2'!$C$8+H126*'Metodologia P2'!$C$9+I126*'Metodologia P2'!$C$10+J126*'Metodologia P2'!$C$11,0)</f>
        <v>56</v>
      </c>
      <c r="L126" s="6" t="str">
        <f>IF(K126&lt;='Metodologia P2'!$C$16,"Baixa",IF(K126&lt;='Metodologia P2'!$C$17,"Média","Alta"))</f>
        <v>Média</v>
      </c>
      <c r="M126" s="7" t="s">
        <v>20</v>
      </c>
      <c r="N126" s="7" t="s">
        <v>21</v>
      </c>
      <c r="O126" s="6" t="str">
        <f>IF(K126&lt;='Metodologia P2'!$C$16,"Alta",IF(K126&lt;='Metodologia P2'!$C$17,"Média","Baixa"))</f>
        <v>Média</v>
      </c>
    </row>
    <row r="127" ht="32.25" customHeight="1">
      <c r="A127" s="9">
        <v>124.0</v>
      </c>
      <c r="B127" s="9" t="s">
        <v>110</v>
      </c>
      <c r="C127" s="10" t="s">
        <v>156</v>
      </c>
      <c r="D127" s="10" t="s">
        <v>135</v>
      </c>
      <c r="E127" s="11">
        <v>40.0</v>
      </c>
      <c r="F127" s="11">
        <v>15.0</v>
      </c>
      <c r="G127" s="11">
        <v>60.0</v>
      </c>
      <c r="H127" s="11">
        <v>35.0</v>
      </c>
      <c r="I127" s="11">
        <v>60.0</v>
      </c>
      <c r="J127" s="11">
        <v>45.0</v>
      </c>
      <c r="K127" s="9">
        <f>ROUND(E127*'Metodologia P2'!$C$6+F127*'Metodologia P2'!$C$7+G127*'Metodologia P2'!$C$8+H127*'Metodologia P2'!$C$9+I127*'Metodologia P2'!$C$10+J127*'Metodologia P2'!$C$11,0)</f>
        <v>42</v>
      </c>
      <c r="L127" s="9" t="str">
        <f>IF(K127&lt;='Metodologia P2'!$C$16,"Baixa",IF(K127&lt;='Metodologia P2'!$C$17,"Média","Alta"))</f>
        <v>Baixa</v>
      </c>
      <c r="M127" s="10" t="s">
        <v>20</v>
      </c>
      <c r="N127" s="10" t="s">
        <v>21</v>
      </c>
      <c r="O127" s="9" t="str">
        <f>IF(K127&lt;='Metodologia P2'!$C$16,"Alta",IF(K127&lt;='Metodologia P2'!$C$17,"Média","Baixa"))</f>
        <v>Alta</v>
      </c>
    </row>
    <row r="128" ht="32.25" customHeight="1">
      <c r="A128" s="6">
        <v>125.0</v>
      </c>
      <c r="B128" s="6" t="s">
        <v>110</v>
      </c>
      <c r="C128" s="7" t="s">
        <v>157</v>
      </c>
      <c r="D128" s="7" t="s">
        <v>135</v>
      </c>
      <c r="E128" s="8">
        <v>40.0</v>
      </c>
      <c r="F128" s="8">
        <v>15.0</v>
      </c>
      <c r="G128" s="8">
        <v>25.0</v>
      </c>
      <c r="H128" s="8">
        <v>35.0</v>
      </c>
      <c r="I128" s="8">
        <v>60.0</v>
      </c>
      <c r="J128" s="8">
        <v>20.0</v>
      </c>
      <c r="K128" s="6">
        <f>ROUND(E128*'Metodologia P2'!$C$6+F128*'Metodologia P2'!$C$7+G128*'Metodologia P2'!$C$8+H128*'Metodologia P2'!$C$9+I128*'Metodologia P2'!$C$10+J128*'Metodologia P2'!$C$11,0)</f>
        <v>33</v>
      </c>
      <c r="L128" s="6" t="str">
        <f>IF(K128&lt;='Metodologia P2'!$C$16,"Baixa",IF(K128&lt;='Metodologia P2'!$C$17,"Média","Alta"))</f>
        <v>Baixa</v>
      </c>
      <c r="M128" s="7" t="s">
        <v>20</v>
      </c>
      <c r="N128" s="7" t="s">
        <v>21</v>
      </c>
      <c r="O128" s="6" t="str">
        <f>IF(K128&lt;='Metodologia P2'!$C$16,"Alta",IF(K128&lt;='Metodologia P2'!$C$17,"Média","Baixa"))</f>
        <v>Alta</v>
      </c>
    </row>
    <row r="129" ht="32.25" customHeight="1">
      <c r="A129" s="9">
        <v>126.0</v>
      </c>
      <c r="B129" s="9" t="s">
        <v>110</v>
      </c>
      <c r="C129" s="10" t="s">
        <v>158</v>
      </c>
      <c r="D129" s="10" t="s">
        <v>135</v>
      </c>
      <c r="E129" s="11">
        <v>20.0</v>
      </c>
      <c r="F129" s="11">
        <v>50.0</v>
      </c>
      <c r="G129" s="11">
        <v>25.0</v>
      </c>
      <c r="H129" s="11">
        <v>20.0</v>
      </c>
      <c r="I129" s="11">
        <v>40.0</v>
      </c>
      <c r="J129" s="11">
        <v>20.0</v>
      </c>
      <c r="K129" s="9">
        <f>ROUND(E129*'Metodologia P2'!$C$6+F129*'Metodologia P2'!$C$7+G129*'Metodologia P2'!$C$8+H129*'Metodologia P2'!$C$9+I129*'Metodologia P2'!$C$10+J129*'Metodologia P2'!$C$11,0)</f>
        <v>28</v>
      </c>
      <c r="L129" s="9" t="str">
        <f>IF(K129&lt;='Metodologia P2'!$C$16,"Baixa",IF(K129&lt;='Metodologia P2'!$C$17,"Média","Alta"))</f>
        <v>Baixa</v>
      </c>
      <c r="M129" s="10" t="s">
        <v>30</v>
      </c>
      <c r="N129" s="10" t="s">
        <v>31</v>
      </c>
      <c r="O129" s="9" t="str">
        <f>IF(K129&lt;='Metodologia P2'!$C$16,"Alta",IF(K129&lt;='Metodologia P2'!$C$17,"Média","Baixa"))</f>
        <v>Alta</v>
      </c>
    </row>
    <row r="130" ht="32.25" customHeight="1">
      <c r="A130" s="6">
        <v>127.0</v>
      </c>
      <c r="B130" s="6" t="s">
        <v>110</v>
      </c>
      <c r="C130" s="7" t="s">
        <v>159</v>
      </c>
      <c r="D130" s="7" t="s">
        <v>135</v>
      </c>
      <c r="E130" s="8">
        <v>40.0</v>
      </c>
      <c r="F130" s="8">
        <v>50.0</v>
      </c>
      <c r="G130" s="8">
        <v>60.0</v>
      </c>
      <c r="H130" s="8">
        <v>35.0</v>
      </c>
      <c r="I130" s="8">
        <v>40.0</v>
      </c>
      <c r="J130" s="8">
        <v>20.0</v>
      </c>
      <c r="K130" s="6">
        <f>ROUND(E130*'Metodologia P2'!$C$6+F130*'Metodologia P2'!$C$7+G130*'Metodologia P2'!$C$8+H130*'Metodologia P2'!$C$9+I130*'Metodologia P2'!$C$10+J130*'Metodologia P2'!$C$11,0)</f>
        <v>41</v>
      </c>
      <c r="L130" s="6" t="str">
        <f>IF(K130&lt;='Metodologia P2'!$C$16,"Baixa",IF(K130&lt;='Metodologia P2'!$C$17,"Média","Alta"))</f>
        <v>Baixa</v>
      </c>
      <c r="M130" s="7" t="s">
        <v>24</v>
      </c>
      <c r="N130" s="7" t="s">
        <v>25</v>
      </c>
      <c r="O130" s="6" t="str">
        <f>IF(K130&lt;='Metodologia P2'!$C$16,"Alta",IF(K130&lt;='Metodologia P2'!$C$17,"Média","Baixa"))</f>
        <v>Alta</v>
      </c>
    </row>
    <row r="131" ht="32.25" customHeight="1">
      <c r="A131" s="9">
        <v>128.0</v>
      </c>
      <c r="B131" s="9" t="s">
        <v>110</v>
      </c>
      <c r="C131" s="10" t="s">
        <v>160</v>
      </c>
      <c r="D131" s="10" t="s">
        <v>135</v>
      </c>
      <c r="E131" s="11">
        <v>40.0</v>
      </c>
      <c r="F131" s="11">
        <v>50.0</v>
      </c>
      <c r="G131" s="11">
        <v>25.0</v>
      </c>
      <c r="H131" s="11">
        <v>35.0</v>
      </c>
      <c r="I131" s="11">
        <v>40.0</v>
      </c>
      <c r="J131" s="11">
        <v>45.0</v>
      </c>
      <c r="K131" s="9">
        <f>ROUND(E131*'Metodologia P2'!$C$6+F131*'Metodologia P2'!$C$7+G131*'Metodologia P2'!$C$8+H131*'Metodologia P2'!$C$9+I131*'Metodologia P2'!$C$10+J131*'Metodologia P2'!$C$11,0)</f>
        <v>39</v>
      </c>
      <c r="L131" s="9" t="str">
        <f>IF(K131&lt;='Metodologia P2'!$C$16,"Baixa",IF(K131&lt;='Metodologia P2'!$C$17,"Média","Alta"))</f>
        <v>Baixa</v>
      </c>
      <c r="M131" s="10" t="s">
        <v>30</v>
      </c>
      <c r="N131" s="10" t="s">
        <v>31</v>
      </c>
      <c r="O131" s="9" t="str">
        <f>IF(K131&lt;='Metodologia P2'!$C$16,"Alta",IF(K131&lt;='Metodologia P2'!$C$17,"Média","Baixa"))</f>
        <v>Alta</v>
      </c>
    </row>
    <row r="132" ht="32.25" customHeight="1">
      <c r="A132" s="6">
        <v>129.0</v>
      </c>
      <c r="B132" s="6" t="s">
        <v>110</v>
      </c>
      <c r="C132" s="7" t="s">
        <v>161</v>
      </c>
      <c r="D132" s="7" t="s">
        <v>135</v>
      </c>
      <c r="E132" s="8">
        <v>20.0</v>
      </c>
      <c r="F132" s="8">
        <v>15.0</v>
      </c>
      <c r="G132" s="8">
        <v>25.0</v>
      </c>
      <c r="H132" s="8">
        <v>20.0</v>
      </c>
      <c r="I132" s="8">
        <v>40.0</v>
      </c>
      <c r="J132" s="8">
        <v>20.0</v>
      </c>
      <c r="K132" s="6">
        <f>ROUND(E132*'Metodologia P2'!$C$6+F132*'Metodologia P2'!$C$7+G132*'Metodologia P2'!$C$8+H132*'Metodologia P2'!$C$9+I132*'Metodologia P2'!$C$10+J132*'Metodologia P2'!$C$11,0)</f>
        <v>23</v>
      </c>
      <c r="L132" s="6" t="str">
        <f>IF(K132&lt;='Metodologia P2'!$C$16,"Baixa",IF(K132&lt;='Metodologia P2'!$C$17,"Média","Alta"))</f>
        <v>Baixa</v>
      </c>
      <c r="M132" s="7" t="s">
        <v>30</v>
      </c>
      <c r="N132" s="7" t="s">
        <v>31</v>
      </c>
      <c r="O132" s="6" t="str">
        <f>IF(K132&lt;='Metodologia P2'!$C$16,"Alta",IF(K132&lt;='Metodologia P2'!$C$17,"Média","Baixa"))</f>
        <v>Alta</v>
      </c>
    </row>
    <row r="133" ht="32.25" customHeight="1">
      <c r="A133" s="9">
        <v>130.0</v>
      </c>
      <c r="B133" s="9" t="s">
        <v>110</v>
      </c>
      <c r="C133" s="10" t="s">
        <v>162</v>
      </c>
      <c r="D133" s="10" t="s">
        <v>135</v>
      </c>
      <c r="E133" s="11">
        <v>20.0</v>
      </c>
      <c r="F133" s="11">
        <v>50.0</v>
      </c>
      <c r="G133" s="11">
        <v>25.0</v>
      </c>
      <c r="H133" s="11">
        <v>20.0</v>
      </c>
      <c r="I133" s="11">
        <v>40.0</v>
      </c>
      <c r="J133" s="11">
        <v>20.0</v>
      </c>
      <c r="K133" s="9">
        <f>ROUND(E133*'Metodologia P2'!$C$6+F133*'Metodologia P2'!$C$7+G133*'Metodologia P2'!$C$8+H133*'Metodologia P2'!$C$9+I133*'Metodologia P2'!$C$10+J133*'Metodologia P2'!$C$11,0)</f>
        <v>28</v>
      </c>
      <c r="L133" s="9" t="str">
        <f>IF(K133&lt;='Metodologia P2'!$C$16,"Baixa",IF(K133&lt;='Metodologia P2'!$C$17,"Média","Alta"))</f>
        <v>Baixa</v>
      </c>
      <c r="M133" s="10" t="s">
        <v>30</v>
      </c>
      <c r="N133" s="10" t="s">
        <v>31</v>
      </c>
      <c r="O133" s="9" t="str">
        <f>IF(K133&lt;='Metodologia P2'!$C$16,"Alta",IF(K133&lt;='Metodologia P2'!$C$17,"Média","Baixa"))</f>
        <v>Alta</v>
      </c>
    </row>
    <row r="134" ht="21.75" customHeight="1">
      <c r="A134" s="6">
        <v>131.0</v>
      </c>
      <c r="B134" s="6" t="s">
        <v>110</v>
      </c>
      <c r="C134" s="7" t="s">
        <v>163</v>
      </c>
      <c r="D134" s="7" t="s">
        <v>164</v>
      </c>
      <c r="E134" s="8">
        <v>20.0</v>
      </c>
      <c r="F134" s="8">
        <v>20.0</v>
      </c>
      <c r="G134" s="8">
        <v>35.0</v>
      </c>
      <c r="H134" s="8">
        <v>20.0</v>
      </c>
      <c r="I134" s="8">
        <v>40.0</v>
      </c>
      <c r="J134" s="8">
        <v>20.0</v>
      </c>
      <c r="K134" s="6">
        <f>ROUND(E134*'Metodologia P2'!$C$6+F134*'Metodologia P2'!$C$7+G134*'Metodologia P2'!$C$8+H134*'Metodologia P2'!$C$9+I134*'Metodologia P2'!$C$10+J134*'Metodologia P2'!$C$11,0)</f>
        <v>25</v>
      </c>
      <c r="L134" s="6" t="str">
        <f>IF(K134&lt;='Metodologia P2'!$C$16,"Baixa",IF(K134&lt;='Metodologia P2'!$C$17,"Média","Alta"))</f>
        <v>Baixa</v>
      </c>
      <c r="M134" s="7" t="s">
        <v>30</v>
      </c>
      <c r="N134" s="7" t="s">
        <v>31</v>
      </c>
      <c r="O134" s="6" t="str">
        <f>IF(K134&lt;='Metodologia P2'!$C$16,"Alta",IF(K134&lt;='Metodologia P2'!$C$17,"Média","Baixa"))</f>
        <v>Alta</v>
      </c>
    </row>
    <row r="135" ht="21.75" customHeight="1">
      <c r="A135" s="9">
        <v>132.0</v>
      </c>
      <c r="B135" s="9" t="s">
        <v>110</v>
      </c>
      <c r="C135" s="10" t="s">
        <v>165</v>
      </c>
      <c r="D135" s="10" t="s">
        <v>164</v>
      </c>
      <c r="E135" s="11">
        <v>20.0</v>
      </c>
      <c r="F135" s="11">
        <v>15.0</v>
      </c>
      <c r="G135" s="11">
        <v>35.0</v>
      </c>
      <c r="H135" s="11">
        <v>20.0</v>
      </c>
      <c r="I135" s="11">
        <v>40.0</v>
      </c>
      <c r="J135" s="11">
        <v>20.0</v>
      </c>
      <c r="K135" s="9">
        <f>ROUND(E135*'Metodologia P2'!$C$6+F135*'Metodologia P2'!$C$7+G135*'Metodologia P2'!$C$8+H135*'Metodologia P2'!$C$9+I135*'Metodologia P2'!$C$10+J135*'Metodologia P2'!$C$11,0)</f>
        <v>25</v>
      </c>
      <c r="L135" s="9" t="str">
        <f>IF(K135&lt;='Metodologia P2'!$C$16,"Baixa",IF(K135&lt;='Metodologia P2'!$C$17,"Média","Alta"))</f>
        <v>Baixa</v>
      </c>
      <c r="M135" s="10" t="s">
        <v>30</v>
      </c>
      <c r="N135" s="10" t="s">
        <v>31</v>
      </c>
      <c r="O135" s="9" t="str">
        <f>IF(K135&lt;='Metodologia P2'!$C$16,"Alta",IF(K135&lt;='Metodologia P2'!$C$17,"Média","Baixa"))</f>
        <v>Alta</v>
      </c>
    </row>
    <row r="136" ht="21.75" customHeight="1">
      <c r="A136" s="6">
        <v>133.0</v>
      </c>
      <c r="B136" s="6" t="s">
        <v>110</v>
      </c>
      <c r="C136" s="7" t="s">
        <v>166</v>
      </c>
      <c r="D136" s="7" t="s">
        <v>164</v>
      </c>
      <c r="E136" s="8">
        <v>60.0</v>
      </c>
      <c r="F136" s="8">
        <v>20.0</v>
      </c>
      <c r="G136" s="8">
        <v>35.0</v>
      </c>
      <c r="H136" s="8">
        <v>55.0</v>
      </c>
      <c r="I136" s="8">
        <v>40.0</v>
      </c>
      <c r="J136" s="8">
        <v>20.0</v>
      </c>
      <c r="K136" s="6">
        <f>ROUND(E136*'Metodologia P2'!$C$6+F136*'Metodologia P2'!$C$7+G136*'Metodologia P2'!$C$8+H136*'Metodologia P2'!$C$9+I136*'Metodologia P2'!$C$10+J136*'Metodologia P2'!$C$11,0)</f>
        <v>41</v>
      </c>
      <c r="L136" s="6" t="str">
        <f>IF(K136&lt;='Metodologia P2'!$C$16,"Baixa",IF(K136&lt;='Metodologia P2'!$C$17,"Média","Alta"))</f>
        <v>Baixa</v>
      </c>
      <c r="M136" s="7" t="s">
        <v>20</v>
      </c>
      <c r="N136" s="7" t="s">
        <v>21</v>
      </c>
      <c r="O136" s="6" t="str">
        <f>IF(K136&lt;='Metodologia P2'!$C$16,"Alta",IF(K136&lt;='Metodologia P2'!$C$17,"Média","Baixa"))</f>
        <v>Alta</v>
      </c>
    </row>
    <row r="137" ht="21.75" customHeight="1">
      <c r="A137" s="9">
        <v>134.0</v>
      </c>
      <c r="B137" s="9" t="s">
        <v>110</v>
      </c>
      <c r="C137" s="10" t="s">
        <v>167</v>
      </c>
      <c r="D137" s="10" t="s">
        <v>164</v>
      </c>
      <c r="E137" s="11">
        <v>60.0</v>
      </c>
      <c r="F137" s="11">
        <v>20.0</v>
      </c>
      <c r="G137" s="11">
        <v>35.0</v>
      </c>
      <c r="H137" s="11">
        <v>55.0</v>
      </c>
      <c r="I137" s="11">
        <v>40.0</v>
      </c>
      <c r="J137" s="11">
        <v>45.0</v>
      </c>
      <c r="K137" s="9">
        <f>ROUND(E137*'Metodologia P2'!$C$6+F137*'Metodologia P2'!$C$7+G137*'Metodologia P2'!$C$8+H137*'Metodologia P2'!$C$9+I137*'Metodologia P2'!$C$10+J137*'Metodologia P2'!$C$11,0)</f>
        <v>44</v>
      </c>
      <c r="L137" s="9" t="str">
        <f>IF(K137&lt;='Metodologia P2'!$C$16,"Baixa",IF(K137&lt;='Metodologia P2'!$C$17,"Média","Alta"))</f>
        <v>Baixa</v>
      </c>
      <c r="M137" s="10" t="s">
        <v>20</v>
      </c>
      <c r="N137" s="10" t="s">
        <v>21</v>
      </c>
      <c r="O137" s="9" t="str">
        <f>IF(K137&lt;='Metodologia P2'!$C$16,"Alta",IF(K137&lt;='Metodologia P2'!$C$17,"Média","Baixa"))</f>
        <v>Alta</v>
      </c>
    </row>
    <row r="138" ht="21.75" customHeight="1">
      <c r="A138" s="6">
        <v>135.0</v>
      </c>
      <c r="B138" s="6" t="s">
        <v>110</v>
      </c>
      <c r="C138" s="7" t="s">
        <v>168</v>
      </c>
      <c r="D138" s="7" t="s">
        <v>164</v>
      </c>
      <c r="E138" s="8">
        <v>20.0</v>
      </c>
      <c r="F138" s="8">
        <v>20.0</v>
      </c>
      <c r="G138" s="8">
        <v>35.0</v>
      </c>
      <c r="H138" s="8">
        <v>20.0</v>
      </c>
      <c r="I138" s="8">
        <v>40.0</v>
      </c>
      <c r="J138" s="8">
        <v>20.0</v>
      </c>
      <c r="K138" s="6">
        <f>ROUND(E138*'Metodologia P2'!$C$6+F138*'Metodologia P2'!$C$7+G138*'Metodologia P2'!$C$8+H138*'Metodologia P2'!$C$9+I138*'Metodologia P2'!$C$10+J138*'Metodologia P2'!$C$11,0)</f>
        <v>25</v>
      </c>
      <c r="L138" s="6" t="str">
        <f>IF(K138&lt;='Metodologia P2'!$C$16,"Baixa",IF(K138&lt;='Metodologia P2'!$C$17,"Média","Alta"))</f>
        <v>Baixa</v>
      </c>
      <c r="M138" s="7" t="s">
        <v>30</v>
      </c>
      <c r="N138" s="7" t="s">
        <v>31</v>
      </c>
      <c r="O138" s="6" t="str">
        <f>IF(K138&lt;='Metodologia P2'!$C$16,"Alta",IF(K138&lt;='Metodologia P2'!$C$17,"Média","Baixa"))</f>
        <v>Alta</v>
      </c>
    </row>
    <row r="139" ht="21.75" customHeight="1">
      <c r="A139" s="9">
        <v>136.0</v>
      </c>
      <c r="B139" s="9" t="s">
        <v>110</v>
      </c>
      <c r="C139" s="10" t="s">
        <v>169</v>
      </c>
      <c r="D139" s="10" t="s">
        <v>164</v>
      </c>
      <c r="E139" s="11">
        <v>60.0</v>
      </c>
      <c r="F139" s="11">
        <v>60.0</v>
      </c>
      <c r="G139" s="11">
        <v>25.0</v>
      </c>
      <c r="H139" s="11">
        <v>55.0</v>
      </c>
      <c r="I139" s="11">
        <v>60.0</v>
      </c>
      <c r="J139" s="11">
        <v>45.0</v>
      </c>
      <c r="K139" s="9">
        <f>ROUND(E139*'Metodologia P2'!$C$6+F139*'Metodologia P2'!$C$7+G139*'Metodologia P2'!$C$8+H139*'Metodologia P2'!$C$9+I139*'Metodologia P2'!$C$10+J139*'Metodologia P2'!$C$11,0)</f>
        <v>52</v>
      </c>
      <c r="L139" s="9" t="str">
        <f>IF(K139&lt;='Metodologia P2'!$C$16,"Baixa",IF(K139&lt;='Metodologia P2'!$C$17,"Média","Alta"))</f>
        <v>Média</v>
      </c>
      <c r="M139" s="10" t="s">
        <v>20</v>
      </c>
      <c r="N139" s="10" t="s">
        <v>21</v>
      </c>
      <c r="O139" s="9" t="str">
        <f>IF(K139&lt;='Metodologia P2'!$C$16,"Alta",IF(K139&lt;='Metodologia P2'!$C$17,"Média","Baixa"))</f>
        <v>Média</v>
      </c>
    </row>
    <row r="140" ht="21.75" customHeight="1">
      <c r="A140" s="6">
        <v>137.0</v>
      </c>
      <c r="B140" s="6" t="s">
        <v>110</v>
      </c>
      <c r="C140" s="7" t="s">
        <v>170</v>
      </c>
      <c r="D140" s="7" t="s">
        <v>164</v>
      </c>
      <c r="E140" s="8">
        <v>60.0</v>
      </c>
      <c r="F140" s="8">
        <v>20.0</v>
      </c>
      <c r="G140" s="8">
        <v>35.0</v>
      </c>
      <c r="H140" s="8">
        <v>55.0</v>
      </c>
      <c r="I140" s="8">
        <v>40.0</v>
      </c>
      <c r="J140" s="8">
        <v>45.0</v>
      </c>
      <c r="K140" s="6">
        <f>ROUND(E140*'Metodologia P2'!$C$6+F140*'Metodologia P2'!$C$7+G140*'Metodologia P2'!$C$8+H140*'Metodologia P2'!$C$9+I140*'Metodologia P2'!$C$10+J140*'Metodologia P2'!$C$11,0)</f>
        <v>44</v>
      </c>
      <c r="L140" s="6" t="str">
        <f>IF(K140&lt;='Metodologia P2'!$C$16,"Baixa",IF(K140&lt;='Metodologia P2'!$C$17,"Média","Alta"))</f>
        <v>Baixa</v>
      </c>
      <c r="M140" s="7" t="s">
        <v>20</v>
      </c>
      <c r="N140" s="7" t="s">
        <v>21</v>
      </c>
      <c r="O140" s="6" t="str">
        <f>IF(K140&lt;='Metodologia P2'!$C$16,"Alta",IF(K140&lt;='Metodologia P2'!$C$17,"Média","Baixa"))</f>
        <v>Alta</v>
      </c>
    </row>
    <row r="141" ht="21.75" customHeight="1">
      <c r="A141" s="9">
        <v>138.0</v>
      </c>
      <c r="B141" s="9" t="s">
        <v>110</v>
      </c>
      <c r="C141" s="10" t="s">
        <v>171</v>
      </c>
      <c r="D141" s="10" t="s">
        <v>164</v>
      </c>
      <c r="E141" s="11">
        <v>60.0</v>
      </c>
      <c r="F141" s="11">
        <v>20.0</v>
      </c>
      <c r="G141" s="11">
        <v>35.0</v>
      </c>
      <c r="H141" s="11">
        <v>55.0</v>
      </c>
      <c r="I141" s="11">
        <v>40.0</v>
      </c>
      <c r="J141" s="11">
        <v>45.0</v>
      </c>
      <c r="K141" s="9">
        <f>ROUND(E141*'Metodologia P2'!$C$6+F141*'Metodologia P2'!$C$7+G141*'Metodologia P2'!$C$8+H141*'Metodologia P2'!$C$9+I141*'Metodologia P2'!$C$10+J141*'Metodologia P2'!$C$11,0)</f>
        <v>44</v>
      </c>
      <c r="L141" s="9" t="str">
        <f>IF(K141&lt;='Metodologia P2'!$C$16,"Baixa",IF(K141&lt;='Metodologia P2'!$C$17,"Média","Alta"))</f>
        <v>Baixa</v>
      </c>
      <c r="M141" s="10" t="s">
        <v>20</v>
      </c>
      <c r="N141" s="10" t="s">
        <v>21</v>
      </c>
      <c r="O141" s="9" t="str">
        <f>IF(K141&lt;='Metodologia P2'!$C$16,"Alta",IF(K141&lt;='Metodologia P2'!$C$17,"Média","Baixa"))</f>
        <v>Alta</v>
      </c>
    </row>
    <row r="142" ht="21.75" customHeight="1">
      <c r="A142" s="6">
        <v>139.0</v>
      </c>
      <c r="B142" s="6" t="s">
        <v>110</v>
      </c>
      <c r="C142" s="7" t="s">
        <v>172</v>
      </c>
      <c r="D142" s="7" t="s">
        <v>164</v>
      </c>
      <c r="E142" s="8">
        <v>60.0</v>
      </c>
      <c r="F142" s="8">
        <v>15.0</v>
      </c>
      <c r="G142" s="8">
        <v>35.0</v>
      </c>
      <c r="H142" s="8">
        <v>55.0</v>
      </c>
      <c r="I142" s="8">
        <v>40.0</v>
      </c>
      <c r="J142" s="8">
        <v>45.0</v>
      </c>
      <c r="K142" s="6">
        <f>ROUND(E142*'Metodologia P2'!$C$6+F142*'Metodologia P2'!$C$7+G142*'Metodologia P2'!$C$8+H142*'Metodologia P2'!$C$9+I142*'Metodologia P2'!$C$10+J142*'Metodologia P2'!$C$11,0)</f>
        <v>44</v>
      </c>
      <c r="L142" s="6" t="str">
        <f>IF(K142&lt;='Metodologia P2'!$C$16,"Baixa",IF(K142&lt;='Metodologia P2'!$C$17,"Média","Alta"))</f>
        <v>Baixa</v>
      </c>
      <c r="M142" s="7" t="s">
        <v>20</v>
      </c>
      <c r="N142" s="7" t="s">
        <v>21</v>
      </c>
      <c r="O142" s="6" t="str">
        <f>IF(K142&lt;='Metodologia P2'!$C$16,"Alta",IF(K142&lt;='Metodologia P2'!$C$17,"Média","Baixa"))</f>
        <v>Alta</v>
      </c>
    </row>
    <row r="143" ht="21.75" customHeight="1">
      <c r="A143" s="9">
        <v>140.0</v>
      </c>
      <c r="B143" s="9" t="s">
        <v>110</v>
      </c>
      <c r="C143" s="10" t="s">
        <v>173</v>
      </c>
      <c r="D143" s="10" t="s">
        <v>164</v>
      </c>
      <c r="E143" s="11">
        <v>40.0</v>
      </c>
      <c r="F143" s="11">
        <v>20.0</v>
      </c>
      <c r="G143" s="11">
        <v>35.0</v>
      </c>
      <c r="H143" s="11">
        <v>35.0</v>
      </c>
      <c r="I143" s="11">
        <v>40.0</v>
      </c>
      <c r="J143" s="11">
        <v>45.0</v>
      </c>
      <c r="K143" s="9">
        <f>ROUND(E143*'Metodologia P2'!$C$6+F143*'Metodologia P2'!$C$7+G143*'Metodologia P2'!$C$8+H143*'Metodologia P2'!$C$9+I143*'Metodologia P2'!$C$10+J143*'Metodologia P2'!$C$11,0)</f>
        <v>36</v>
      </c>
      <c r="L143" s="9" t="str">
        <f>IF(K143&lt;='Metodologia P2'!$C$16,"Baixa",IF(K143&lt;='Metodologia P2'!$C$17,"Média","Alta"))</f>
        <v>Baixa</v>
      </c>
      <c r="M143" s="10" t="s">
        <v>36</v>
      </c>
      <c r="N143" s="10" t="s">
        <v>37</v>
      </c>
      <c r="O143" s="9" t="str">
        <f>IF(K143&lt;='Metodologia P2'!$C$16,"Alta",IF(K143&lt;='Metodologia P2'!$C$17,"Média","Baixa"))</f>
        <v>Alta</v>
      </c>
    </row>
    <row r="144" ht="21.75" customHeight="1">
      <c r="A144" s="6">
        <v>141.0</v>
      </c>
      <c r="B144" s="6" t="s">
        <v>110</v>
      </c>
      <c r="C144" s="7" t="s">
        <v>174</v>
      </c>
      <c r="D144" s="7" t="s">
        <v>164</v>
      </c>
      <c r="E144" s="8">
        <v>60.0</v>
      </c>
      <c r="F144" s="8">
        <v>15.0</v>
      </c>
      <c r="G144" s="8">
        <v>35.0</v>
      </c>
      <c r="H144" s="8">
        <v>55.0</v>
      </c>
      <c r="I144" s="8">
        <v>40.0</v>
      </c>
      <c r="J144" s="8">
        <v>45.0</v>
      </c>
      <c r="K144" s="6">
        <f>ROUND(E144*'Metodologia P2'!$C$6+F144*'Metodologia P2'!$C$7+G144*'Metodologia P2'!$C$8+H144*'Metodologia P2'!$C$9+I144*'Metodologia P2'!$C$10+J144*'Metodologia P2'!$C$11,0)</f>
        <v>44</v>
      </c>
      <c r="L144" s="6" t="str">
        <f>IF(K144&lt;='Metodologia P2'!$C$16,"Baixa",IF(K144&lt;='Metodologia P2'!$C$17,"Média","Alta"))</f>
        <v>Baixa</v>
      </c>
      <c r="M144" s="7" t="s">
        <v>20</v>
      </c>
      <c r="N144" s="7" t="s">
        <v>21</v>
      </c>
      <c r="O144" s="6" t="str">
        <f>IF(K144&lt;='Metodologia P2'!$C$16,"Alta",IF(K144&lt;='Metodologia P2'!$C$17,"Média","Baixa"))</f>
        <v>Alta</v>
      </c>
    </row>
    <row r="145" ht="21.75" customHeight="1">
      <c r="A145" s="9">
        <v>142.0</v>
      </c>
      <c r="B145" s="9" t="s">
        <v>110</v>
      </c>
      <c r="C145" s="10" t="s">
        <v>175</v>
      </c>
      <c r="D145" s="10" t="s">
        <v>164</v>
      </c>
      <c r="E145" s="11">
        <v>60.0</v>
      </c>
      <c r="F145" s="11">
        <v>20.0</v>
      </c>
      <c r="G145" s="11">
        <v>35.0</v>
      </c>
      <c r="H145" s="11">
        <v>55.0</v>
      </c>
      <c r="I145" s="11">
        <v>40.0</v>
      </c>
      <c r="J145" s="11">
        <v>45.0</v>
      </c>
      <c r="K145" s="9">
        <f>ROUND(E145*'Metodologia P2'!$C$6+F145*'Metodologia P2'!$C$7+G145*'Metodologia P2'!$C$8+H145*'Metodologia P2'!$C$9+I145*'Metodologia P2'!$C$10+J145*'Metodologia P2'!$C$11,0)</f>
        <v>44</v>
      </c>
      <c r="L145" s="9" t="str">
        <f>IF(K145&lt;='Metodologia P2'!$C$16,"Baixa",IF(K145&lt;='Metodologia P2'!$C$17,"Média","Alta"))</f>
        <v>Baixa</v>
      </c>
      <c r="M145" s="10" t="s">
        <v>20</v>
      </c>
      <c r="N145" s="10" t="s">
        <v>21</v>
      </c>
      <c r="O145" s="9" t="str">
        <f>IF(K145&lt;='Metodologia P2'!$C$16,"Alta",IF(K145&lt;='Metodologia P2'!$C$17,"Média","Baixa"))</f>
        <v>Alta</v>
      </c>
    </row>
    <row r="146" ht="21.75" customHeight="1">
      <c r="A146" s="6">
        <v>143.0</v>
      </c>
      <c r="B146" s="6" t="s">
        <v>110</v>
      </c>
      <c r="C146" s="7" t="s">
        <v>176</v>
      </c>
      <c r="D146" s="7" t="s">
        <v>164</v>
      </c>
      <c r="E146" s="8">
        <v>60.0</v>
      </c>
      <c r="F146" s="8">
        <v>20.0</v>
      </c>
      <c r="G146" s="8">
        <v>35.0</v>
      </c>
      <c r="H146" s="8">
        <v>55.0</v>
      </c>
      <c r="I146" s="8">
        <v>40.0</v>
      </c>
      <c r="J146" s="8">
        <v>45.0</v>
      </c>
      <c r="K146" s="6">
        <f>ROUND(E146*'Metodologia P2'!$C$6+F146*'Metodologia P2'!$C$7+G146*'Metodologia P2'!$C$8+H146*'Metodologia P2'!$C$9+I146*'Metodologia P2'!$C$10+J146*'Metodologia P2'!$C$11,0)</f>
        <v>44</v>
      </c>
      <c r="L146" s="6" t="str">
        <f>IF(K146&lt;='Metodologia P2'!$C$16,"Baixa",IF(K146&lt;='Metodologia P2'!$C$17,"Média","Alta"))</f>
        <v>Baixa</v>
      </c>
      <c r="M146" s="7" t="s">
        <v>20</v>
      </c>
      <c r="N146" s="7" t="s">
        <v>21</v>
      </c>
      <c r="O146" s="6" t="str">
        <f>IF(K146&lt;='Metodologia P2'!$C$16,"Alta",IF(K146&lt;='Metodologia P2'!$C$17,"Média","Baixa"))</f>
        <v>Alta</v>
      </c>
    </row>
    <row r="147" ht="21.75" customHeight="1">
      <c r="A147" s="9">
        <v>144.0</v>
      </c>
      <c r="B147" s="9" t="s">
        <v>110</v>
      </c>
      <c r="C147" s="10" t="s">
        <v>177</v>
      </c>
      <c r="D147" s="10" t="s">
        <v>164</v>
      </c>
      <c r="E147" s="11">
        <v>60.0</v>
      </c>
      <c r="F147" s="11">
        <v>20.0</v>
      </c>
      <c r="G147" s="11">
        <v>35.0</v>
      </c>
      <c r="H147" s="11">
        <v>55.0</v>
      </c>
      <c r="I147" s="11">
        <v>40.0</v>
      </c>
      <c r="J147" s="11">
        <v>45.0</v>
      </c>
      <c r="K147" s="9">
        <f>ROUND(E147*'Metodologia P2'!$C$6+F147*'Metodologia P2'!$C$7+G147*'Metodologia P2'!$C$8+H147*'Metodologia P2'!$C$9+I147*'Metodologia P2'!$C$10+J147*'Metodologia P2'!$C$11,0)</f>
        <v>44</v>
      </c>
      <c r="L147" s="9" t="str">
        <f>IF(K147&lt;='Metodologia P2'!$C$16,"Baixa",IF(K147&lt;='Metodologia P2'!$C$17,"Média","Alta"))</f>
        <v>Baixa</v>
      </c>
      <c r="M147" s="10" t="s">
        <v>20</v>
      </c>
      <c r="N147" s="10" t="s">
        <v>21</v>
      </c>
      <c r="O147" s="9" t="str">
        <f>IF(K147&lt;='Metodologia P2'!$C$16,"Alta",IF(K147&lt;='Metodologia P2'!$C$17,"Média","Baixa"))</f>
        <v>Alta</v>
      </c>
    </row>
    <row r="148" ht="21.75" customHeight="1">
      <c r="A148" s="6">
        <v>145.0</v>
      </c>
      <c r="B148" s="6" t="s">
        <v>110</v>
      </c>
      <c r="C148" s="7" t="s">
        <v>178</v>
      </c>
      <c r="D148" s="7" t="s">
        <v>164</v>
      </c>
      <c r="E148" s="8">
        <v>60.0</v>
      </c>
      <c r="F148" s="8">
        <v>15.0</v>
      </c>
      <c r="G148" s="8">
        <v>35.0</v>
      </c>
      <c r="H148" s="8">
        <v>55.0</v>
      </c>
      <c r="I148" s="8">
        <v>40.0</v>
      </c>
      <c r="J148" s="8">
        <v>45.0</v>
      </c>
      <c r="K148" s="6">
        <f>ROUND(E148*'Metodologia P2'!$C$6+F148*'Metodologia P2'!$C$7+G148*'Metodologia P2'!$C$8+H148*'Metodologia P2'!$C$9+I148*'Metodologia P2'!$C$10+J148*'Metodologia P2'!$C$11,0)</f>
        <v>44</v>
      </c>
      <c r="L148" s="6" t="str">
        <f>IF(K148&lt;='Metodologia P2'!$C$16,"Baixa",IF(K148&lt;='Metodologia P2'!$C$17,"Média","Alta"))</f>
        <v>Baixa</v>
      </c>
      <c r="M148" s="7" t="s">
        <v>20</v>
      </c>
      <c r="N148" s="7" t="s">
        <v>21</v>
      </c>
      <c r="O148" s="6" t="str">
        <f>IF(K148&lt;='Metodologia P2'!$C$16,"Alta",IF(K148&lt;='Metodologia P2'!$C$17,"Média","Baixa"))</f>
        <v>Alta</v>
      </c>
    </row>
    <row r="149" ht="21.75" customHeight="1">
      <c r="A149" s="9">
        <v>146.0</v>
      </c>
      <c r="B149" s="9" t="s">
        <v>110</v>
      </c>
      <c r="C149" s="10" t="s">
        <v>179</v>
      </c>
      <c r="D149" s="10" t="s">
        <v>164</v>
      </c>
      <c r="E149" s="11">
        <v>60.0</v>
      </c>
      <c r="F149" s="11">
        <v>20.0</v>
      </c>
      <c r="G149" s="11">
        <v>35.0</v>
      </c>
      <c r="H149" s="11">
        <v>55.0</v>
      </c>
      <c r="I149" s="11">
        <v>40.0</v>
      </c>
      <c r="J149" s="11">
        <v>45.0</v>
      </c>
      <c r="K149" s="9">
        <f>ROUND(E149*'Metodologia P2'!$C$6+F149*'Metodologia P2'!$C$7+G149*'Metodologia P2'!$C$8+H149*'Metodologia P2'!$C$9+I149*'Metodologia P2'!$C$10+J149*'Metodologia P2'!$C$11,0)</f>
        <v>44</v>
      </c>
      <c r="L149" s="9" t="str">
        <f>IF(K149&lt;='Metodologia P2'!$C$16,"Baixa",IF(K149&lt;='Metodologia P2'!$C$17,"Média","Alta"))</f>
        <v>Baixa</v>
      </c>
      <c r="M149" s="10" t="s">
        <v>20</v>
      </c>
      <c r="N149" s="10" t="s">
        <v>21</v>
      </c>
      <c r="O149" s="9" t="str">
        <f>IF(K149&lt;='Metodologia P2'!$C$16,"Alta",IF(K149&lt;='Metodologia P2'!$C$17,"Média","Baixa"))</f>
        <v>Alta</v>
      </c>
    </row>
    <row r="150" ht="21.75" customHeight="1">
      <c r="A150" s="6">
        <v>147.0</v>
      </c>
      <c r="B150" s="6" t="s">
        <v>110</v>
      </c>
      <c r="C150" s="7" t="s">
        <v>180</v>
      </c>
      <c r="D150" s="7" t="s">
        <v>164</v>
      </c>
      <c r="E150" s="8">
        <v>40.0</v>
      </c>
      <c r="F150" s="8">
        <v>15.0</v>
      </c>
      <c r="G150" s="8">
        <v>35.0</v>
      </c>
      <c r="H150" s="8">
        <v>35.0</v>
      </c>
      <c r="I150" s="8">
        <v>40.0</v>
      </c>
      <c r="J150" s="8">
        <v>45.0</v>
      </c>
      <c r="K150" s="6">
        <f>ROUND(E150*'Metodologia P2'!$C$6+F150*'Metodologia P2'!$C$7+G150*'Metodologia P2'!$C$8+H150*'Metodologia P2'!$C$9+I150*'Metodologia P2'!$C$10+J150*'Metodologia P2'!$C$11,0)</f>
        <v>36</v>
      </c>
      <c r="L150" s="6" t="str">
        <f>IF(K150&lt;='Metodologia P2'!$C$16,"Baixa",IF(K150&lt;='Metodologia P2'!$C$17,"Média","Alta"))</f>
        <v>Baixa</v>
      </c>
      <c r="M150" s="7" t="s">
        <v>20</v>
      </c>
      <c r="N150" s="7" t="s">
        <v>21</v>
      </c>
      <c r="O150" s="6" t="str">
        <f>IF(K150&lt;='Metodologia P2'!$C$16,"Alta",IF(K150&lt;='Metodologia P2'!$C$17,"Média","Baixa"))</f>
        <v>Alta</v>
      </c>
    </row>
    <row r="151" ht="21.75" customHeight="1">
      <c r="A151" s="9">
        <v>148.0</v>
      </c>
      <c r="B151" s="9" t="s">
        <v>110</v>
      </c>
      <c r="C151" s="10" t="s">
        <v>181</v>
      </c>
      <c r="D151" s="10" t="s">
        <v>164</v>
      </c>
      <c r="E151" s="11">
        <v>70.0</v>
      </c>
      <c r="F151" s="11">
        <v>60.0</v>
      </c>
      <c r="G151" s="11">
        <v>60.0</v>
      </c>
      <c r="H151" s="11">
        <v>55.0</v>
      </c>
      <c r="I151" s="11">
        <v>40.0</v>
      </c>
      <c r="J151" s="11">
        <v>45.0</v>
      </c>
      <c r="K151" s="9">
        <f>ROUND(E151*'Metodologia P2'!$C$6+F151*'Metodologia P2'!$C$7+G151*'Metodologia P2'!$C$8+H151*'Metodologia P2'!$C$9+I151*'Metodologia P2'!$C$10+J151*'Metodologia P2'!$C$11,0)</f>
        <v>57</v>
      </c>
      <c r="L151" s="9" t="str">
        <f>IF(K151&lt;='Metodologia P2'!$C$16,"Baixa",IF(K151&lt;='Metodologia P2'!$C$17,"Média","Alta"))</f>
        <v>Média</v>
      </c>
      <c r="M151" s="10" t="s">
        <v>20</v>
      </c>
      <c r="N151" s="10" t="s">
        <v>21</v>
      </c>
      <c r="O151" s="9" t="str">
        <f>IF(K151&lt;='Metodologia P2'!$C$16,"Alta",IF(K151&lt;='Metodologia P2'!$C$17,"Média","Baixa"))</f>
        <v>Média</v>
      </c>
    </row>
    <row r="152" ht="21.75" customHeight="1">
      <c r="A152" s="6">
        <v>149.0</v>
      </c>
      <c r="B152" s="6" t="s">
        <v>110</v>
      </c>
      <c r="C152" s="7" t="s">
        <v>182</v>
      </c>
      <c r="D152" s="7" t="s">
        <v>164</v>
      </c>
      <c r="E152" s="8">
        <v>20.0</v>
      </c>
      <c r="F152" s="8">
        <v>15.0</v>
      </c>
      <c r="G152" s="8">
        <v>35.0</v>
      </c>
      <c r="H152" s="8">
        <v>20.0</v>
      </c>
      <c r="I152" s="8">
        <v>40.0</v>
      </c>
      <c r="J152" s="8">
        <v>20.0</v>
      </c>
      <c r="K152" s="6">
        <f>ROUND(E152*'Metodologia P2'!$C$6+F152*'Metodologia P2'!$C$7+G152*'Metodologia P2'!$C$8+H152*'Metodologia P2'!$C$9+I152*'Metodologia P2'!$C$10+J152*'Metodologia P2'!$C$11,0)</f>
        <v>25</v>
      </c>
      <c r="L152" s="6" t="str">
        <f>IF(K152&lt;='Metodologia P2'!$C$16,"Baixa",IF(K152&lt;='Metodologia P2'!$C$17,"Média","Alta"))</f>
        <v>Baixa</v>
      </c>
      <c r="M152" s="7" t="s">
        <v>30</v>
      </c>
      <c r="N152" s="7" t="s">
        <v>31</v>
      </c>
      <c r="O152" s="6" t="str">
        <f>IF(K152&lt;='Metodologia P2'!$C$16,"Alta",IF(K152&lt;='Metodologia P2'!$C$17,"Média","Baixa"))</f>
        <v>Alta</v>
      </c>
    </row>
    <row r="153" ht="32.25" customHeight="1">
      <c r="A153" s="9">
        <v>150.0</v>
      </c>
      <c r="B153" s="9" t="s">
        <v>110</v>
      </c>
      <c r="C153" s="10" t="s">
        <v>183</v>
      </c>
      <c r="D153" s="10" t="s">
        <v>184</v>
      </c>
      <c r="E153" s="11">
        <v>40.0</v>
      </c>
      <c r="F153" s="11">
        <v>20.0</v>
      </c>
      <c r="G153" s="11">
        <v>60.0</v>
      </c>
      <c r="H153" s="11">
        <v>35.0</v>
      </c>
      <c r="I153" s="11">
        <v>40.0</v>
      </c>
      <c r="J153" s="11">
        <v>45.0</v>
      </c>
      <c r="K153" s="9">
        <f>ROUND(E153*'Metodologia P2'!$C$6+F153*'Metodologia P2'!$C$7+G153*'Metodologia P2'!$C$8+H153*'Metodologia P2'!$C$9+I153*'Metodologia P2'!$C$10+J153*'Metodologia P2'!$C$11,0)</f>
        <v>40</v>
      </c>
      <c r="L153" s="9" t="str">
        <f>IF(K153&lt;='Metodologia P2'!$C$16,"Baixa",IF(K153&lt;='Metodologia P2'!$C$17,"Média","Alta"))</f>
        <v>Baixa</v>
      </c>
      <c r="M153" s="10" t="s">
        <v>20</v>
      </c>
      <c r="N153" s="10" t="s">
        <v>21</v>
      </c>
      <c r="O153" s="9" t="str">
        <f>IF(K153&lt;='Metodologia P2'!$C$16,"Alta",IF(K153&lt;='Metodologia P2'!$C$17,"Média","Baixa"))</f>
        <v>Alta</v>
      </c>
    </row>
    <row r="154" ht="32.25" customHeight="1">
      <c r="A154" s="6">
        <v>151.0</v>
      </c>
      <c r="B154" s="6" t="s">
        <v>110</v>
      </c>
      <c r="C154" s="7" t="s">
        <v>185</v>
      </c>
      <c r="D154" s="7" t="s">
        <v>184</v>
      </c>
      <c r="E154" s="8">
        <v>60.0</v>
      </c>
      <c r="F154" s="8">
        <v>20.0</v>
      </c>
      <c r="G154" s="8">
        <v>35.0</v>
      </c>
      <c r="H154" s="8">
        <v>55.0</v>
      </c>
      <c r="I154" s="8">
        <v>40.0</v>
      </c>
      <c r="J154" s="8">
        <v>45.0</v>
      </c>
      <c r="K154" s="6">
        <f>ROUND(E154*'Metodologia P2'!$C$6+F154*'Metodologia P2'!$C$7+G154*'Metodologia P2'!$C$8+H154*'Metodologia P2'!$C$9+I154*'Metodologia P2'!$C$10+J154*'Metodologia P2'!$C$11,0)</f>
        <v>44</v>
      </c>
      <c r="L154" s="6" t="str">
        <f>IF(K154&lt;='Metodologia P2'!$C$16,"Baixa",IF(K154&lt;='Metodologia P2'!$C$17,"Média","Alta"))</f>
        <v>Baixa</v>
      </c>
      <c r="M154" s="7" t="s">
        <v>20</v>
      </c>
      <c r="N154" s="7" t="s">
        <v>21</v>
      </c>
      <c r="O154" s="6" t="str">
        <f>IF(K154&lt;='Metodologia P2'!$C$16,"Alta",IF(K154&lt;='Metodologia P2'!$C$17,"Média","Baixa"))</f>
        <v>Alta</v>
      </c>
    </row>
    <row r="155" ht="32.25" customHeight="1">
      <c r="A155" s="9">
        <v>152.0</v>
      </c>
      <c r="B155" s="9" t="s">
        <v>110</v>
      </c>
      <c r="C155" s="10" t="s">
        <v>186</v>
      </c>
      <c r="D155" s="10" t="s">
        <v>184</v>
      </c>
      <c r="E155" s="11">
        <v>20.0</v>
      </c>
      <c r="F155" s="11">
        <v>15.0</v>
      </c>
      <c r="G155" s="11">
        <v>35.0</v>
      </c>
      <c r="H155" s="11">
        <v>20.0</v>
      </c>
      <c r="I155" s="11">
        <v>40.0</v>
      </c>
      <c r="J155" s="11">
        <v>20.0</v>
      </c>
      <c r="K155" s="9">
        <f>ROUND(E155*'Metodologia P2'!$C$6+F155*'Metodologia P2'!$C$7+G155*'Metodologia P2'!$C$8+H155*'Metodologia P2'!$C$9+I155*'Metodologia P2'!$C$10+J155*'Metodologia P2'!$C$11,0)</f>
        <v>25</v>
      </c>
      <c r="L155" s="9" t="str">
        <f>IF(K155&lt;='Metodologia P2'!$C$16,"Baixa",IF(K155&lt;='Metodologia P2'!$C$17,"Média","Alta"))</f>
        <v>Baixa</v>
      </c>
      <c r="M155" s="10" t="s">
        <v>30</v>
      </c>
      <c r="N155" s="10" t="s">
        <v>31</v>
      </c>
      <c r="O155" s="9" t="str">
        <f>IF(K155&lt;='Metodologia P2'!$C$16,"Alta",IF(K155&lt;='Metodologia P2'!$C$17,"Média","Baixa"))</f>
        <v>Alta</v>
      </c>
    </row>
    <row r="156" ht="32.25" customHeight="1">
      <c r="A156" s="6">
        <v>153.0</v>
      </c>
      <c r="B156" s="6" t="s">
        <v>110</v>
      </c>
      <c r="C156" s="7" t="s">
        <v>187</v>
      </c>
      <c r="D156" s="7" t="s">
        <v>184</v>
      </c>
      <c r="E156" s="8">
        <v>40.0</v>
      </c>
      <c r="F156" s="8">
        <v>20.0</v>
      </c>
      <c r="G156" s="8">
        <v>35.0</v>
      </c>
      <c r="H156" s="8">
        <v>35.0</v>
      </c>
      <c r="I156" s="8">
        <v>40.0</v>
      </c>
      <c r="J156" s="8">
        <v>45.0</v>
      </c>
      <c r="K156" s="6">
        <f>ROUND(E156*'Metodologia P2'!$C$6+F156*'Metodologia P2'!$C$7+G156*'Metodologia P2'!$C$8+H156*'Metodologia P2'!$C$9+I156*'Metodologia P2'!$C$10+J156*'Metodologia P2'!$C$11,0)</f>
        <v>36</v>
      </c>
      <c r="L156" s="6" t="str">
        <f>IF(K156&lt;='Metodologia P2'!$C$16,"Baixa",IF(K156&lt;='Metodologia P2'!$C$17,"Média","Alta"))</f>
        <v>Baixa</v>
      </c>
      <c r="M156" s="7" t="s">
        <v>20</v>
      </c>
      <c r="N156" s="7" t="s">
        <v>21</v>
      </c>
      <c r="O156" s="6" t="str">
        <f>IF(K156&lt;='Metodologia P2'!$C$16,"Alta",IF(K156&lt;='Metodologia P2'!$C$17,"Média","Baixa"))</f>
        <v>Alta</v>
      </c>
    </row>
    <row r="157" ht="32.25" customHeight="1">
      <c r="A157" s="9">
        <v>154.0</v>
      </c>
      <c r="B157" s="9" t="s">
        <v>110</v>
      </c>
      <c r="C157" s="10" t="s">
        <v>188</v>
      </c>
      <c r="D157" s="10" t="s">
        <v>184</v>
      </c>
      <c r="E157" s="11">
        <v>20.0</v>
      </c>
      <c r="F157" s="11">
        <v>20.0</v>
      </c>
      <c r="G157" s="11">
        <v>35.0</v>
      </c>
      <c r="H157" s="11">
        <v>20.0</v>
      </c>
      <c r="I157" s="11">
        <v>40.0</v>
      </c>
      <c r="J157" s="11">
        <v>20.0</v>
      </c>
      <c r="K157" s="9">
        <f>ROUND(E157*'Metodologia P2'!$C$6+F157*'Metodologia P2'!$C$7+G157*'Metodologia P2'!$C$8+H157*'Metodologia P2'!$C$9+I157*'Metodologia P2'!$C$10+J157*'Metodologia P2'!$C$11,0)</f>
        <v>25</v>
      </c>
      <c r="L157" s="9" t="str">
        <f>IF(K157&lt;='Metodologia P2'!$C$16,"Baixa",IF(K157&lt;='Metodologia P2'!$C$17,"Média","Alta"))</f>
        <v>Baixa</v>
      </c>
      <c r="M157" s="10" t="s">
        <v>30</v>
      </c>
      <c r="N157" s="10" t="s">
        <v>31</v>
      </c>
      <c r="O157" s="9" t="str">
        <f>IF(K157&lt;='Metodologia P2'!$C$16,"Alta",IF(K157&lt;='Metodologia P2'!$C$17,"Média","Baixa"))</f>
        <v>Alta</v>
      </c>
    </row>
    <row r="158" ht="32.25" customHeight="1">
      <c r="A158" s="6">
        <v>155.0</v>
      </c>
      <c r="B158" s="6" t="s">
        <v>110</v>
      </c>
      <c r="C158" s="7" t="s">
        <v>189</v>
      </c>
      <c r="D158" s="7" t="s">
        <v>184</v>
      </c>
      <c r="E158" s="8">
        <v>20.0</v>
      </c>
      <c r="F158" s="8">
        <v>20.0</v>
      </c>
      <c r="G158" s="8">
        <v>35.0</v>
      </c>
      <c r="H158" s="8">
        <v>20.0</v>
      </c>
      <c r="I158" s="8">
        <v>40.0</v>
      </c>
      <c r="J158" s="8">
        <v>20.0</v>
      </c>
      <c r="K158" s="6">
        <f>ROUND(E158*'Metodologia P2'!$C$6+F158*'Metodologia P2'!$C$7+G158*'Metodologia P2'!$C$8+H158*'Metodologia P2'!$C$9+I158*'Metodologia P2'!$C$10+J158*'Metodologia P2'!$C$11,0)</f>
        <v>25</v>
      </c>
      <c r="L158" s="6" t="str">
        <f>IF(K158&lt;='Metodologia P2'!$C$16,"Baixa",IF(K158&lt;='Metodologia P2'!$C$17,"Média","Alta"))</f>
        <v>Baixa</v>
      </c>
      <c r="M158" s="7" t="s">
        <v>30</v>
      </c>
      <c r="N158" s="7" t="s">
        <v>31</v>
      </c>
      <c r="O158" s="6" t="str">
        <f>IF(K158&lt;='Metodologia P2'!$C$16,"Alta",IF(K158&lt;='Metodologia P2'!$C$17,"Média","Baixa"))</f>
        <v>Alta</v>
      </c>
    </row>
    <row r="159" ht="32.25" customHeight="1">
      <c r="A159" s="9">
        <v>156.0</v>
      </c>
      <c r="B159" s="9" t="s">
        <v>110</v>
      </c>
      <c r="C159" s="10" t="s">
        <v>190</v>
      </c>
      <c r="D159" s="10" t="s">
        <v>184</v>
      </c>
      <c r="E159" s="11">
        <v>40.0</v>
      </c>
      <c r="F159" s="11">
        <v>20.0</v>
      </c>
      <c r="G159" s="11">
        <v>60.0</v>
      </c>
      <c r="H159" s="11">
        <v>35.0</v>
      </c>
      <c r="I159" s="11">
        <v>40.0</v>
      </c>
      <c r="J159" s="11">
        <v>45.0</v>
      </c>
      <c r="K159" s="9">
        <f>ROUND(E159*'Metodologia P2'!$C$6+F159*'Metodologia P2'!$C$7+G159*'Metodologia P2'!$C$8+H159*'Metodologia P2'!$C$9+I159*'Metodologia P2'!$C$10+J159*'Metodologia P2'!$C$11,0)</f>
        <v>40</v>
      </c>
      <c r="L159" s="9" t="str">
        <f>IF(K159&lt;='Metodologia P2'!$C$16,"Baixa",IF(K159&lt;='Metodologia P2'!$C$17,"Média","Alta"))</f>
        <v>Baixa</v>
      </c>
      <c r="M159" s="10" t="s">
        <v>20</v>
      </c>
      <c r="N159" s="10" t="s">
        <v>21</v>
      </c>
      <c r="O159" s="9" t="str">
        <f>IF(K159&lt;='Metodologia P2'!$C$16,"Alta",IF(K159&lt;='Metodologia P2'!$C$17,"Média","Baixa"))</f>
        <v>Alta</v>
      </c>
    </row>
    <row r="160" ht="32.25" customHeight="1">
      <c r="A160" s="6">
        <v>157.0</v>
      </c>
      <c r="B160" s="6" t="s">
        <v>110</v>
      </c>
      <c r="C160" s="7" t="s">
        <v>191</v>
      </c>
      <c r="D160" s="7" t="s">
        <v>184</v>
      </c>
      <c r="E160" s="8">
        <v>60.0</v>
      </c>
      <c r="F160" s="8">
        <v>20.0</v>
      </c>
      <c r="G160" s="8">
        <v>60.0</v>
      </c>
      <c r="H160" s="8">
        <v>55.0</v>
      </c>
      <c r="I160" s="8">
        <v>60.0</v>
      </c>
      <c r="J160" s="8">
        <v>45.0</v>
      </c>
      <c r="K160" s="6">
        <f>ROUND(E160*'Metodologia P2'!$C$6+F160*'Metodologia P2'!$C$7+G160*'Metodologia P2'!$C$8+H160*'Metodologia P2'!$C$9+I160*'Metodologia P2'!$C$10+J160*'Metodologia P2'!$C$11,0)</f>
        <v>51</v>
      </c>
      <c r="L160" s="6" t="str">
        <f>IF(K160&lt;='Metodologia P2'!$C$16,"Baixa",IF(K160&lt;='Metodologia P2'!$C$17,"Média","Alta"))</f>
        <v>Média</v>
      </c>
      <c r="M160" s="7" t="s">
        <v>20</v>
      </c>
      <c r="N160" s="7" t="s">
        <v>21</v>
      </c>
      <c r="O160" s="6" t="str">
        <f>IF(K160&lt;='Metodologia P2'!$C$16,"Alta",IF(K160&lt;='Metodologia P2'!$C$17,"Média","Baixa"))</f>
        <v>Média</v>
      </c>
    </row>
    <row r="161">
      <c r="A161" s="9">
        <v>158.0</v>
      </c>
      <c r="B161" s="9" t="s">
        <v>110</v>
      </c>
      <c r="C161" s="10" t="s">
        <v>192</v>
      </c>
      <c r="D161" s="10" t="s">
        <v>184</v>
      </c>
      <c r="E161" s="11">
        <v>60.0</v>
      </c>
      <c r="F161" s="11">
        <v>20.0</v>
      </c>
      <c r="G161" s="11">
        <v>60.0</v>
      </c>
      <c r="H161" s="11">
        <v>55.0</v>
      </c>
      <c r="I161" s="11">
        <v>40.0</v>
      </c>
      <c r="J161" s="11">
        <v>45.0</v>
      </c>
      <c r="K161" s="9">
        <f>ROUND(E161*'Metodologia P2'!$C$6+F161*'Metodologia P2'!$C$7+G161*'Metodologia P2'!$C$8+H161*'Metodologia P2'!$C$9+I161*'Metodologia P2'!$C$10+J161*'Metodologia P2'!$C$11,0)</f>
        <v>48</v>
      </c>
      <c r="L161" s="9" t="str">
        <f>IF(K161&lt;='Metodologia P2'!$C$16,"Baixa",IF(K161&lt;='Metodologia P2'!$C$17,"Média","Alta"))</f>
        <v>Média</v>
      </c>
      <c r="M161" s="10" t="s">
        <v>24</v>
      </c>
      <c r="N161" s="10" t="s">
        <v>25</v>
      </c>
      <c r="O161" s="9" t="str">
        <f>IF(K161&lt;='Metodologia P2'!$C$16,"Alta",IF(K161&lt;='Metodologia P2'!$C$17,"Média","Baixa"))</f>
        <v>Média</v>
      </c>
    </row>
    <row r="162" ht="32.25" customHeight="1">
      <c r="A162" s="6">
        <v>159.0</v>
      </c>
      <c r="B162" s="6" t="s">
        <v>110</v>
      </c>
      <c r="C162" s="7" t="s">
        <v>193</v>
      </c>
      <c r="D162" s="7" t="s">
        <v>184</v>
      </c>
      <c r="E162" s="8">
        <v>70.0</v>
      </c>
      <c r="F162" s="8">
        <v>20.0</v>
      </c>
      <c r="G162" s="8">
        <v>25.0</v>
      </c>
      <c r="H162" s="8">
        <v>55.0</v>
      </c>
      <c r="I162" s="8">
        <v>60.0</v>
      </c>
      <c r="J162" s="8">
        <v>20.0</v>
      </c>
      <c r="K162" s="6">
        <f>ROUND(E162*'Metodologia P2'!$C$6+F162*'Metodologia P2'!$C$7+G162*'Metodologia P2'!$C$8+H162*'Metodologia P2'!$C$9+I162*'Metodologia P2'!$C$10+J162*'Metodologia P2'!$C$11,0)</f>
        <v>45</v>
      </c>
      <c r="L162" s="6" t="str">
        <f>IF(K162&lt;='Metodologia P2'!$C$16,"Baixa",IF(K162&lt;='Metodologia P2'!$C$17,"Média","Alta"))</f>
        <v>Baixa</v>
      </c>
      <c r="M162" s="7" t="s">
        <v>24</v>
      </c>
      <c r="N162" s="7" t="s">
        <v>25</v>
      </c>
      <c r="O162" s="6" t="str">
        <f>IF(K162&lt;='Metodologia P2'!$C$16,"Alta",IF(K162&lt;='Metodologia P2'!$C$17,"Média","Baixa"))</f>
        <v>Alta</v>
      </c>
    </row>
    <row r="163" ht="32.25" customHeight="1">
      <c r="A163" s="9">
        <v>160.0</v>
      </c>
      <c r="B163" s="9" t="s">
        <v>110</v>
      </c>
      <c r="C163" s="10" t="s">
        <v>194</v>
      </c>
      <c r="D163" s="10" t="s">
        <v>184</v>
      </c>
      <c r="E163" s="11">
        <v>60.0</v>
      </c>
      <c r="F163" s="11">
        <v>20.0</v>
      </c>
      <c r="G163" s="11">
        <v>60.0</v>
      </c>
      <c r="H163" s="11">
        <v>55.0</v>
      </c>
      <c r="I163" s="11">
        <v>40.0</v>
      </c>
      <c r="J163" s="11">
        <v>45.0</v>
      </c>
      <c r="K163" s="9">
        <f>ROUND(E163*'Metodologia P2'!$C$6+F163*'Metodologia P2'!$C$7+G163*'Metodologia P2'!$C$8+H163*'Metodologia P2'!$C$9+I163*'Metodologia P2'!$C$10+J163*'Metodologia P2'!$C$11,0)</f>
        <v>48</v>
      </c>
      <c r="L163" s="9" t="str">
        <f>IF(K163&lt;='Metodologia P2'!$C$16,"Baixa",IF(K163&lt;='Metodologia P2'!$C$17,"Média","Alta"))</f>
        <v>Média</v>
      </c>
      <c r="M163" s="10" t="s">
        <v>36</v>
      </c>
      <c r="N163" s="10" t="s">
        <v>37</v>
      </c>
      <c r="O163" s="9" t="str">
        <f>IF(K163&lt;='Metodologia P2'!$C$16,"Alta",IF(K163&lt;='Metodologia P2'!$C$17,"Média","Baixa"))</f>
        <v>Média</v>
      </c>
    </row>
    <row r="164" ht="32.25" customHeight="1">
      <c r="A164" s="6">
        <v>161.0</v>
      </c>
      <c r="B164" s="6" t="s">
        <v>110</v>
      </c>
      <c r="C164" s="7" t="s">
        <v>195</v>
      </c>
      <c r="D164" s="7" t="s">
        <v>184</v>
      </c>
      <c r="E164" s="8">
        <v>60.0</v>
      </c>
      <c r="F164" s="8">
        <v>20.0</v>
      </c>
      <c r="G164" s="8">
        <v>35.0</v>
      </c>
      <c r="H164" s="8">
        <v>55.0</v>
      </c>
      <c r="I164" s="8">
        <v>40.0</v>
      </c>
      <c r="J164" s="8">
        <v>45.0</v>
      </c>
      <c r="K164" s="6">
        <f>ROUND(E164*'Metodologia P2'!$C$6+F164*'Metodologia P2'!$C$7+G164*'Metodologia P2'!$C$8+H164*'Metodologia P2'!$C$9+I164*'Metodologia P2'!$C$10+J164*'Metodologia P2'!$C$11,0)</f>
        <v>44</v>
      </c>
      <c r="L164" s="6" t="str">
        <f>IF(K164&lt;='Metodologia P2'!$C$16,"Baixa",IF(K164&lt;='Metodologia P2'!$C$17,"Média","Alta"))</f>
        <v>Baixa</v>
      </c>
      <c r="M164" s="7" t="s">
        <v>20</v>
      </c>
      <c r="N164" s="7" t="s">
        <v>21</v>
      </c>
      <c r="O164" s="6" t="str">
        <f>IF(K164&lt;='Metodologia P2'!$C$16,"Alta",IF(K164&lt;='Metodologia P2'!$C$17,"Média","Baixa"))</f>
        <v>Alta</v>
      </c>
    </row>
    <row r="165" ht="32.25" customHeight="1">
      <c r="A165" s="9">
        <v>162.0</v>
      </c>
      <c r="B165" s="9" t="s">
        <v>110</v>
      </c>
      <c r="C165" s="10" t="s">
        <v>196</v>
      </c>
      <c r="D165" s="10" t="s">
        <v>184</v>
      </c>
      <c r="E165" s="11">
        <v>70.0</v>
      </c>
      <c r="F165" s="11">
        <v>20.0</v>
      </c>
      <c r="G165" s="11">
        <v>35.0</v>
      </c>
      <c r="H165" s="11">
        <v>55.0</v>
      </c>
      <c r="I165" s="11">
        <v>40.0</v>
      </c>
      <c r="J165" s="11">
        <v>45.0</v>
      </c>
      <c r="K165" s="9">
        <f>ROUND(E165*'Metodologia P2'!$C$6+F165*'Metodologia P2'!$C$7+G165*'Metodologia P2'!$C$8+H165*'Metodologia P2'!$C$9+I165*'Metodologia P2'!$C$10+J165*'Metodologia P2'!$C$11,0)</f>
        <v>47</v>
      </c>
      <c r="L165" s="9" t="str">
        <f>IF(K165&lt;='Metodologia P2'!$C$16,"Baixa",IF(K165&lt;='Metodologia P2'!$C$17,"Média","Alta"))</f>
        <v>Média</v>
      </c>
      <c r="M165" s="10" t="s">
        <v>20</v>
      </c>
      <c r="N165" s="10" t="s">
        <v>21</v>
      </c>
      <c r="O165" s="9" t="str">
        <f>IF(K165&lt;='Metodologia P2'!$C$16,"Alta",IF(K165&lt;='Metodologia P2'!$C$17,"Média","Baixa"))</f>
        <v>Média</v>
      </c>
    </row>
    <row r="166" ht="32.25" customHeight="1">
      <c r="A166" s="6">
        <v>163.0</v>
      </c>
      <c r="B166" s="6" t="s">
        <v>110</v>
      </c>
      <c r="C166" s="7" t="s">
        <v>197</v>
      </c>
      <c r="D166" s="7" t="s">
        <v>184</v>
      </c>
      <c r="E166" s="8">
        <v>40.0</v>
      </c>
      <c r="F166" s="8">
        <v>20.0</v>
      </c>
      <c r="G166" s="8">
        <v>25.0</v>
      </c>
      <c r="H166" s="8">
        <v>35.0</v>
      </c>
      <c r="I166" s="8">
        <v>40.0</v>
      </c>
      <c r="J166" s="8">
        <v>45.0</v>
      </c>
      <c r="K166" s="6">
        <f>ROUND(E166*'Metodologia P2'!$C$6+F166*'Metodologia P2'!$C$7+G166*'Metodologia P2'!$C$8+H166*'Metodologia P2'!$C$9+I166*'Metodologia P2'!$C$10+J166*'Metodologia P2'!$C$11,0)</f>
        <v>35</v>
      </c>
      <c r="L166" s="6" t="str">
        <f>IF(K166&lt;='Metodologia P2'!$C$16,"Baixa",IF(K166&lt;='Metodologia P2'!$C$17,"Média","Alta"))</f>
        <v>Baixa</v>
      </c>
      <c r="M166" s="7" t="s">
        <v>20</v>
      </c>
      <c r="N166" s="7" t="s">
        <v>21</v>
      </c>
      <c r="O166" s="6" t="str">
        <f>IF(K166&lt;='Metodologia P2'!$C$16,"Alta",IF(K166&lt;='Metodologia P2'!$C$17,"Média","Baixa"))</f>
        <v>Alta</v>
      </c>
    </row>
    <row r="167" ht="32.25" customHeight="1">
      <c r="A167" s="9">
        <v>164.0</v>
      </c>
      <c r="B167" s="9" t="s">
        <v>110</v>
      </c>
      <c r="C167" s="10" t="s">
        <v>198</v>
      </c>
      <c r="D167" s="10" t="s">
        <v>184</v>
      </c>
      <c r="E167" s="11">
        <v>60.0</v>
      </c>
      <c r="F167" s="11">
        <v>15.0</v>
      </c>
      <c r="G167" s="11">
        <v>35.0</v>
      </c>
      <c r="H167" s="11">
        <v>55.0</v>
      </c>
      <c r="I167" s="11">
        <v>40.0</v>
      </c>
      <c r="J167" s="11">
        <v>45.0</v>
      </c>
      <c r="K167" s="9">
        <f>ROUND(E167*'Metodologia P2'!$C$6+F167*'Metodologia P2'!$C$7+G167*'Metodologia P2'!$C$8+H167*'Metodologia P2'!$C$9+I167*'Metodologia P2'!$C$10+J167*'Metodologia P2'!$C$11,0)</f>
        <v>44</v>
      </c>
      <c r="L167" s="9" t="str">
        <f>IF(K167&lt;='Metodologia P2'!$C$16,"Baixa",IF(K167&lt;='Metodologia P2'!$C$17,"Média","Alta"))</f>
        <v>Baixa</v>
      </c>
      <c r="M167" s="10" t="s">
        <v>20</v>
      </c>
      <c r="N167" s="10" t="s">
        <v>21</v>
      </c>
      <c r="O167" s="9" t="str">
        <f>IF(K167&lt;='Metodologia P2'!$C$16,"Alta",IF(K167&lt;='Metodologia P2'!$C$17,"Média","Baixa"))</f>
        <v>Alta</v>
      </c>
    </row>
    <row r="168" ht="32.25" customHeight="1">
      <c r="A168" s="6">
        <v>165.0</v>
      </c>
      <c r="B168" s="6" t="s">
        <v>110</v>
      </c>
      <c r="C168" s="7" t="s">
        <v>199</v>
      </c>
      <c r="D168" s="7" t="s">
        <v>184</v>
      </c>
      <c r="E168" s="8">
        <v>20.0</v>
      </c>
      <c r="F168" s="8">
        <v>20.0</v>
      </c>
      <c r="G168" s="8">
        <v>25.0</v>
      </c>
      <c r="H168" s="8">
        <v>20.0</v>
      </c>
      <c r="I168" s="8">
        <v>40.0</v>
      </c>
      <c r="J168" s="8">
        <v>20.0</v>
      </c>
      <c r="K168" s="6">
        <f>ROUND(E168*'Metodologia P2'!$C$6+F168*'Metodologia P2'!$C$7+G168*'Metodologia P2'!$C$8+H168*'Metodologia P2'!$C$9+I168*'Metodologia P2'!$C$10+J168*'Metodologia P2'!$C$11,0)</f>
        <v>24</v>
      </c>
      <c r="L168" s="6" t="str">
        <f>IF(K168&lt;='Metodologia P2'!$C$16,"Baixa",IF(K168&lt;='Metodologia P2'!$C$17,"Média","Alta"))</f>
        <v>Baixa</v>
      </c>
      <c r="M168" s="7" t="s">
        <v>30</v>
      </c>
      <c r="N168" s="7" t="s">
        <v>31</v>
      </c>
      <c r="O168" s="6" t="str">
        <f>IF(K168&lt;='Metodologia P2'!$C$16,"Alta",IF(K168&lt;='Metodologia P2'!$C$17,"Média","Baixa"))</f>
        <v>Alta</v>
      </c>
    </row>
    <row r="169" ht="32.25" customHeight="1">
      <c r="A169" s="9">
        <v>166.0</v>
      </c>
      <c r="B169" s="9" t="s">
        <v>110</v>
      </c>
      <c r="C169" s="10" t="s">
        <v>200</v>
      </c>
      <c r="D169" s="10" t="s">
        <v>184</v>
      </c>
      <c r="E169" s="11">
        <v>40.0</v>
      </c>
      <c r="F169" s="11">
        <v>20.0</v>
      </c>
      <c r="G169" s="11">
        <v>60.0</v>
      </c>
      <c r="H169" s="11">
        <v>35.0</v>
      </c>
      <c r="I169" s="11">
        <v>40.0</v>
      </c>
      <c r="J169" s="11">
        <v>20.0</v>
      </c>
      <c r="K169" s="9">
        <f>ROUND(E169*'Metodologia P2'!$C$6+F169*'Metodologia P2'!$C$7+G169*'Metodologia P2'!$C$8+H169*'Metodologia P2'!$C$9+I169*'Metodologia P2'!$C$10+J169*'Metodologia P2'!$C$11,0)</f>
        <v>36</v>
      </c>
      <c r="L169" s="9" t="str">
        <f>IF(K169&lt;='Metodologia P2'!$C$16,"Baixa",IF(K169&lt;='Metodologia P2'!$C$17,"Média","Alta"))</f>
        <v>Baixa</v>
      </c>
      <c r="M169" s="10" t="s">
        <v>24</v>
      </c>
      <c r="N169" s="10" t="s">
        <v>25</v>
      </c>
      <c r="O169" s="9" t="str">
        <f>IF(K169&lt;='Metodologia P2'!$C$16,"Alta",IF(K169&lt;='Metodologia P2'!$C$17,"Média","Baixa"))</f>
        <v>Alta</v>
      </c>
    </row>
    <row r="170" ht="15.75" customHeigh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</row>
    <row r="171" ht="15.75" customHeigh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</row>
    <row r="172" ht="15.75" customHeigh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</row>
    <row r="173" ht="15.75" customHeigh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</row>
    <row r="174" ht="15.75" customHeigh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</row>
    <row r="175" ht="15.75" customHeigh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</row>
    <row r="176" ht="15.75" customHeigh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</row>
    <row r="177" ht="15.75" customHeigh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</row>
    <row r="178" ht="15.75" customHeigh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</row>
    <row r="179" ht="15.75" customHeigh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</row>
    <row r="180" ht="15.75" customHeigh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</row>
    <row r="181" ht="15.75" customHeigh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</row>
    <row r="182" ht="15.75" customHeigh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</row>
    <row r="183" ht="15.75" customHeigh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</row>
    <row r="184" ht="15.75" customHeigh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</row>
    <row r="185" ht="15.75" customHeigh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</row>
    <row r="186" ht="15.75" customHeigh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</row>
    <row r="187" ht="15.75" customHeigh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</row>
    <row r="188" ht="15.75" customHeigh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</row>
    <row r="189" ht="15.75" customHeigh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</row>
    <row r="190" ht="15.75" customHeigh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</row>
    <row r="191" ht="15.75" customHeigh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</row>
    <row r="192" ht="15.75" customHeigh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</row>
    <row r="193" ht="15.75" customHeigh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</row>
    <row r="194" ht="15.75" customHeigh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</row>
    <row r="195" ht="15.75" customHeigh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</row>
    <row r="196" ht="15.75" customHeigh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</row>
    <row r="197" ht="15.75" customHeigh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</row>
    <row r="198" ht="15.75" customHeigh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</row>
    <row r="199" ht="15.75" customHeigh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</row>
    <row r="200" ht="15.75" customHeigh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</row>
    <row r="201" ht="15.75" customHeigh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</row>
    <row r="202" ht="15.75" customHeigh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</row>
    <row r="203" ht="15.75" customHeigh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</row>
    <row r="204" ht="15.75" customHeigh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</row>
    <row r="205" ht="15.75" customHeigh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</row>
    <row r="206" ht="15.75" customHeigh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</row>
    <row r="207" ht="15.75" customHeigh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</row>
    <row r="208" ht="15.75" customHeigh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</row>
    <row r="209" ht="15.75" customHeigh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</row>
    <row r="210" ht="15.75" customHeigh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</row>
    <row r="211" ht="15.75" customHeigh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</row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3:$O$169"/>
  <mergeCells count="2">
    <mergeCell ref="A1:O1"/>
    <mergeCell ref="A2:O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8.0"/>
    <col customWidth="1" min="2" max="5" width="17.0"/>
    <col customWidth="1" min="6" max="6" width="8.71"/>
  </cols>
  <sheetData>
    <row r="1" ht="21.75" customHeight="1">
      <c r="A1" s="1" t="s">
        <v>201</v>
      </c>
      <c r="B1" s="2"/>
      <c r="C1" s="2"/>
      <c r="D1" s="2"/>
      <c r="E1" s="3"/>
    </row>
    <row r="2">
      <c r="A2" s="12"/>
      <c r="B2" s="12"/>
      <c r="C2" s="12"/>
      <c r="D2" s="12"/>
      <c r="E2" s="12"/>
    </row>
    <row r="3" ht="23.25" customHeight="1">
      <c r="A3" s="5" t="s">
        <v>5</v>
      </c>
      <c r="B3" s="5" t="s">
        <v>202</v>
      </c>
      <c r="C3" s="5" t="s">
        <v>203</v>
      </c>
      <c r="D3" s="5" t="s">
        <v>204</v>
      </c>
      <c r="E3" s="5" t="s">
        <v>205</v>
      </c>
    </row>
    <row r="4" ht="15.0" customHeight="1">
      <c r="A4" s="10" t="s">
        <v>19</v>
      </c>
      <c r="B4" s="9">
        <f>COUNTIF(Scorecard!$D:$D,A4)</f>
        <v>22</v>
      </c>
      <c r="C4" s="9">
        <f>ROUND(AVERAGEIF(Scorecard!$D:$D,A4,Scorecard!$K:$K),0)</f>
        <v>53</v>
      </c>
      <c r="D4" s="9">
        <f>COUNTIFS(Scorecard!$D:$D,A4,Scorecard!$O:$O,"Alta")</f>
        <v>3</v>
      </c>
      <c r="E4" s="9">
        <f>COUNTIF(Scorecard!$D:$D,A4)-D4</f>
        <v>19</v>
      </c>
    </row>
    <row r="5" ht="15.0" customHeight="1">
      <c r="A5" s="10" t="s">
        <v>50</v>
      </c>
      <c r="B5" s="9">
        <f>COUNTIF(Scorecard!$D:$D,A5)</f>
        <v>21</v>
      </c>
      <c r="C5" s="9">
        <f>ROUND(AVERAGEIF(Scorecard!$D:$D,A5,Scorecard!$K:$K),0)</f>
        <v>51</v>
      </c>
      <c r="D5" s="9">
        <f>COUNTIFS(Scorecard!$D:$D,A5,Scorecard!$O:$O,"Alta")</f>
        <v>6</v>
      </c>
      <c r="E5" s="9">
        <f>COUNTIF(Scorecard!$D:$D,A5)-D5</f>
        <v>15</v>
      </c>
    </row>
    <row r="6" ht="15.0" customHeight="1">
      <c r="A6" s="10" t="s">
        <v>72</v>
      </c>
      <c r="B6" s="9">
        <f>COUNTIF(Scorecard!$D:$D,A6)</f>
        <v>19</v>
      </c>
      <c r="C6" s="9">
        <f>ROUND(AVERAGEIF(Scorecard!$D:$D,A6,Scorecard!$K:$K),0)</f>
        <v>38</v>
      </c>
      <c r="D6" s="9">
        <f>COUNTIFS(Scorecard!$D:$D,A6,Scorecard!$O:$O,"Alta")</f>
        <v>12</v>
      </c>
      <c r="E6" s="9">
        <f>COUNTIF(Scorecard!$D:$D,A6)-D6</f>
        <v>7</v>
      </c>
    </row>
    <row r="7" ht="21.75" customHeight="1">
      <c r="A7" s="10" t="s">
        <v>92</v>
      </c>
      <c r="B7" s="9">
        <f>COUNTIF(Scorecard!$D:$D,A7)</f>
        <v>18</v>
      </c>
      <c r="C7" s="9">
        <f>ROUND(AVERAGEIF(Scorecard!$D:$D,A7,Scorecard!$K:$K),0)</f>
        <v>47</v>
      </c>
      <c r="D7" s="9">
        <f>COUNTIFS(Scorecard!$D:$D,A7,Scorecard!$O:$O,"Alta")</f>
        <v>4</v>
      </c>
      <c r="E7" s="9">
        <f>COUNTIF(Scorecard!$D:$D,A7)-D7</f>
        <v>14</v>
      </c>
    </row>
    <row r="8" ht="21.75" customHeight="1">
      <c r="A8" s="10" t="s">
        <v>112</v>
      </c>
      <c r="B8" s="9">
        <f>COUNTIF(Scorecard!$D:$D,A8)</f>
        <v>22</v>
      </c>
      <c r="C8" s="9">
        <f>ROUND(AVERAGEIF(Scorecard!$D:$D,A8,Scorecard!$K:$K),0)</f>
        <v>47</v>
      </c>
      <c r="D8" s="9">
        <f>COUNTIFS(Scorecard!$D:$D,A8,Scorecard!$O:$O,"Alta")</f>
        <v>7</v>
      </c>
      <c r="E8" s="9">
        <f>COUNTIF(Scorecard!$D:$D,A8)-D8</f>
        <v>15</v>
      </c>
    </row>
    <row r="9" ht="21.75" customHeight="1">
      <c r="A9" s="10" t="s">
        <v>135</v>
      </c>
      <c r="B9" s="9">
        <f>COUNTIF(Scorecard!$D:$D,A9)</f>
        <v>28</v>
      </c>
      <c r="C9" s="9">
        <f>ROUND(AVERAGEIF(Scorecard!$D:$D,A9,Scorecard!$K:$K),0)</f>
        <v>48</v>
      </c>
      <c r="D9" s="9">
        <f>COUNTIFS(Scorecard!$D:$D,A9,Scorecard!$O:$O,"Alta")</f>
        <v>8</v>
      </c>
      <c r="E9" s="9">
        <f>COUNTIF(Scorecard!$D:$D,A9)-D9</f>
        <v>20</v>
      </c>
    </row>
    <row r="10" ht="15.0" customHeight="1">
      <c r="A10" s="10" t="s">
        <v>164</v>
      </c>
      <c r="B10" s="9">
        <f>COUNTIF(Scorecard!$D:$D,A10)</f>
        <v>19</v>
      </c>
      <c r="C10" s="9">
        <f>ROUND(AVERAGEIF(Scorecard!$D:$D,A10,Scorecard!$K:$K),0)</f>
        <v>40</v>
      </c>
      <c r="D10" s="9">
        <f>COUNTIFS(Scorecard!$D:$D,A10,Scorecard!$O:$O,"Alta")</f>
        <v>17</v>
      </c>
      <c r="E10" s="9">
        <f>COUNTIF(Scorecard!$D:$D,A10)-D10</f>
        <v>2</v>
      </c>
    </row>
    <row r="11" ht="21.75" customHeight="1">
      <c r="A11" s="10" t="s">
        <v>184</v>
      </c>
      <c r="B11" s="9">
        <f>COUNTIF(Scorecard!$D:$D,A11)</f>
        <v>17</v>
      </c>
      <c r="C11" s="9">
        <f>ROUND(AVERAGEIF(Scorecard!$D:$D,A11,Scorecard!$K:$K),0)</f>
        <v>39</v>
      </c>
      <c r="D11" s="9">
        <f>COUNTIFS(Scorecard!$D:$D,A11,Scorecard!$O:$O,"Alta")</f>
        <v>13</v>
      </c>
      <c r="E11" s="9">
        <f>COUNTIF(Scorecard!$D:$D,A11)-D11</f>
        <v>4</v>
      </c>
    </row>
    <row r="12" ht="15.0" customHeight="1">
      <c r="A12" s="13" t="s">
        <v>206</v>
      </c>
      <c r="B12" s="14">
        <f>SUM(B4:B11)</f>
        <v>166</v>
      </c>
      <c r="C12" s="14">
        <f>ROUND(AVERAGE(Scorecard!$K$4:$K$169),0)</f>
        <v>46</v>
      </c>
      <c r="D12" s="14">
        <f t="shared" ref="D12:E12" si="1">SUM(D4:D11)</f>
        <v>70</v>
      </c>
      <c r="E12" s="14">
        <f t="shared" si="1"/>
        <v>96</v>
      </c>
    </row>
    <row r="13">
      <c r="A13" s="12"/>
      <c r="B13" s="12"/>
      <c r="C13" s="12"/>
      <c r="D13" s="12"/>
      <c r="E13" s="12"/>
    </row>
    <row r="14">
      <c r="A14" s="12"/>
      <c r="B14" s="12"/>
      <c r="C14" s="12"/>
      <c r="D14" s="12"/>
      <c r="E14" s="12"/>
    </row>
    <row r="15">
      <c r="A15" s="12"/>
      <c r="B15" s="12"/>
      <c r="C15" s="12"/>
      <c r="D15" s="12"/>
      <c r="E15" s="12"/>
    </row>
    <row r="16">
      <c r="A16" s="12"/>
      <c r="B16" s="12"/>
      <c r="C16" s="12"/>
      <c r="D16" s="12"/>
      <c r="E16" s="12"/>
    </row>
    <row r="17">
      <c r="A17" s="12"/>
      <c r="B17" s="12"/>
      <c r="C17" s="12"/>
      <c r="D17" s="12"/>
      <c r="E17" s="12"/>
    </row>
    <row r="18">
      <c r="A18" s="12"/>
      <c r="B18" s="12"/>
      <c r="C18" s="12"/>
      <c r="D18" s="12"/>
      <c r="E18" s="12"/>
    </row>
    <row r="19">
      <c r="A19" s="12"/>
      <c r="B19" s="12"/>
      <c r="C19" s="12"/>
      <c r="D19" s="12"/>
      <c r="E19" s="12"/>
    </row>
    <row r="20">
      <c r="A20" s="12"/>
      <c r="B20" s="12"/>
      <c r="C20" s="12"/>
      <c r="D20" s="12"/>
      <c r="E20" s="12"/>
    </row>
    <row r="21" ht="15.75" customHeight="1">
      <c r="A21" s="12"/>
      <c r="B21" s="12"/>
      <c r="C21" s="12"/>
      <c r="D21" s="12"/>
      <c r="E21" s="12"/>
    </row>
    <row r="22" ht="15.75" customHeight="1">
      <c r="A22" s="12"/>
      <c r="B22" s="12"/>
      <c r="C22" s="12"/>
      <c r="D22" s="12"/>
      <c r="E22" s="12"/>
    </row>
    <row r="23" ht="15.75" customHeight="1">
      <c r="A23" s="12"/>
      <c r="B23" s="12"/>
      <c r="C23" s="12"/>
      <c r="D23" s="12"/>
      <c r="E23" s="12"/>
    </row>
    <row r="24" ht="15.75" customHeight="1">
      <c r="A24" s="12"/>
      <c r="B24" s="12"/>
      <c r="C24" s="12"/>
      <c r="D24" s="12"/>
      <c r="E24" s="12"/>
    </row>
    <row r="25" ht="15.75" customHeight="1">
      <c r="A25" s="12"/>
      <c r="B25" s="12"/>
      <c r="C25" s="12"/>
      <c r="D25" s="12"/>
      <c r="E25" s="12"/>
    </row>
    <row r="26" ht="15.75" customHeight="1">
      <c r="A26" s="12"/>
      <c r="B26" s="12"/>
      <c r="C26" s="12"/>
      <c r="D26" s="12"/>
      <c r="E26" s="12"/>
    </row>
    <row r="27" ht="15.75" customHeight="1">
      <c r="A27" s="12"/>
      <c r="B27" s="12"/>
      <c r="C27" s="12"/>
      <c r="D27" s="12"/>
      <c r="E27" s="12"/>
    </row>
    <row r="28" ht="15.75" customHeight="1">
      <c r="A28" s="12"/>
      <c r="B28" s="12"/>
      <c r="C28" s="12"/>
      <c r="D28" s="12"/>
      <c r="E28" s="12"/>
    </row>
    <row r="29" ht="15.75" customHeight="1">
      <c r="A29" s="12"/>
      <c r="B29" s="12"/>
      <c r="C29" s="12"/>
      <c r="D29" s="12"/>
      <c r="E29" s="12"/>
    </row>
    <row r="30" ht="15.75" customHeight="1">
      <c r="A30" s="12"/>
      <c r="B30" s="12"/>
      <c r="C30" s="12"/>
      <c r="D30" s="12"/>
      <c r="E30" s="12"/>
    </row>
    <row r="31" ht="15.75" customHeight="1">
      <c r="A31" s="12"/>
      <c r="B31" s="12"/>
      <c r="C31" s="12"/>
      <c r="D31" s="12"/>
      <c r="E31" s="12"/>
    </row>
    <row r="32" ht="15.75" customHeight="1">
      <c r="A32" s="12"/>
      <c r="B32" s="12"/>
      <c r="C32" s="12"/>
      <c r="D32" s="12"/>
      <c r="E32" s="12"/>
    </row>
    <row r="33" ht="15.75" customHeight="1">
      <c r="A33" s="12"/>
      <c r="B33" s="12"/>
      <c r="C33" s="12"/>
      <c r="D33" s="12"/>
      <c r="E33" s="12"/>
    </row>
    <row r="34" ht="15.75" customHeight="1">
      <c r="A34" s="12"/>
      <c r="B34" s="12"/>
      <c r="C34" s="12"/>
      <c r="D34" s="12"/>
      <c r="E34" s="12"/>
    </row>
    <row r="35" ht="15.75" customHeight="1">
      <c r="A35" s="12"/>
      <c r="B35" s="12"/>
      <c r="C35" s="12"/>
      <c r="D35" s="12"/>
      <c r="E35" s="12"/>
    </row>
    <row r="36" ht="15.75" customHeight="1">
      <c r="A36" s="12"/>
      <c r="B36" s="12"/>
      <c r="C36" s="12"/>
      <c r="D36" s="12"/>
      <c r="E36" s="12"/>
    </row>
    <row r="37" ht="15.75" customHeight="1">
      <c r="A37" s="12"/>
      <c r="B37" s="12"/>
      <c r="C37" s="12"/>
      <c r="D37" s="12"/>
      <c r="E37" s="12"/>
    </row>
    <row r="38" ht="15.75" customHeight="1">
      <c r="A38" s="12"/>
      <c r="B38" s="12"/>
      <c r="C38" s="12"/>
      <c r="D38" s="12"/>
      <c r="E38" s="12"/>
    </row>
    <row r="39" ht="15.75" customHeight="1">
      <c r="A39" s="12"/>
      <c r="B39" s="12"/>
      <c r="C39" s="12"/>
      <c r="D39" s="12"/>
      <c r="E39" s="12"/>
    </row>
    <row r="40" ht="15.75" customHeight="1">
      <c r="A40" s="12"/>
      <c r="B40" s="12"/>
      <c r="C40" s="12"/>
      <c r="D40" s="12"/>
      <c r="E40" s="12"/>
    </row>
    <row r="41" ht="15.75" customHeight="1">
      <c r="A41" s="12"/>
      <c r="B41" s="12"/>
      <c r="C41" s="12"/>
      <c r="D41" s="12"/>
      <c r="E41" s="12"/>
    </row>
    <row r="42" ht="15.75" customHeight="1">
      <c r="A42" s="12"/>
      <c r="B42" s="12"/>
      <c r="C42" s="12"/>
      <c r="D42" s="12"/>
      <c r="E42" s="12"/>
    </row>
    <row r="43" ht="15.75" customHeight="1">
      <c r="A43" s="12"/>
      <c r="B43" s="12"/>
      <c r="C43" s="12"/>
      <c r="D43" s="12"/>
      <c r="E43" s="12"/>
    </row>
    <row r="44" ht="15.75" customHeight="1">
      <c r="A44" s="12"/>
      <c r="B44" s="12"/>
      <c r="C44" s="12"/>
      <c r="D44" s="12"/>
      <c r="E44" s="12"/>
    </row>
    <row r="45" ht="15.75" customHeight="1">
      <c r="A45" s="12"/>
      <c r="B45" s="12"/>
      <c r="C45" s="12"/>
      <c r="D45" s="12"/>
      <c r="E45" s="12"/>
    </row>
    <row r="46" ht="15.75" customHeight="1">
      <c r="A46" s="12"/>
      <c r="B46" s="12"/>
      <c r="C46" s="12"/>
      <c r="D46" s="12"/>
      <c r="E46" s="12"/>
    </row>
    <row r="47" ht="15.75" customHeight="1">
      <c r="A47" s="12"/>
      <c r="B47" s="12"/>
      <c r="C47" s="12"/>
      <c r="D47" s="12"/>
      <c r="E47" s="12"/>
    </row>
    <row r="48" ht="15.75" customHeight="1">
      <c r="A48" s="12"/>
      <c r="B48" s="12"/>
      <c r="C48" s="12"/>
      <c r="D48" s="12"/>
      <c r="E48" s="12"/>
    </row>
    <row r="49" ht="15.75" customHeight="1">
      <c r="A49" s="12"/>
      <c r="B49" s="12"/>
      <c r="C49" s="12"/>
      <c r="D49" s="12"/>
      <c r="E49" s="12"/>
    </row>
    <row r="50" ht="15.75" customHeight="1">
      <c r="A50" s="12"/>
      <c r="B50" s="12"/>
      <c r="C50" s="12"/>
      <c r="D50" s="12"/>
      <c r="E50" s="12"/>
    </row>
    <row r="51" ht="15.75" customHeight="1">
      <c r="A51" s="12"/>
      <c r="B51" s="12"/>
      <c r="C51" s="12"/>
      <c r="D51" s="12"/>
      <c r="E51" s="12"/>
    </row>
    <row r="52" ht="15.75" customHeight="1">
      <c r="A52" s="12"/>
      <c r="B52" s="12"/>
      <c r="C52" s="12"/>
      <c r="D52" s="12"/>
      <c r="E52" s="12"/>
    </row>
    <row r="53" ht="15.75" customHeight="1">
      <c r="A53" s="12"/>
      <c r="B53" s="12"/>
      <c r="C53" s="12"/>
      <c r="D53" s="12"/>
      <c r="E53" s="12"/>
    </row>
    <row r="54" ht="15.75" customHeight="1">
      <c r="A54" s="12"/>
      <c r="B54" s="12"/>
      <c r="C54" s="12"/>
      <c r="D54" s="12"/>
      <c r="E54" s="12"/>
    </row>
    <row r="55" ht="15.75" customHeight="1">
      <c r="A55" s="12"/>
      <c r="B55" s="12"/>
      <c r="C55" s="12"/>
      <c r="D55" s="12"/>
      <c r="E55" s="12"/>
    </row>
    <row r="56" ht="15.75" customHeight="1">
      <c r="A56" s="12"/>
      <c r="B56" s="12"/>
      <c r="C56" s="12"/>
      <c r="D56" s="12"/>
      <c r="E56" s="12"/>
    </row>
    <row r="57" ht="15.75" customHeight="1">
      <c r="A57" s="12"/>
      <c r="B57" s="12"/>
      <c r="C57" s="12"/>
      <c r="D57" s="12"/>
      <c r="E57" s="12"/>
    </row>
    <row r="58" ht="15.75" customHeight="1">
      <c r="A58" s="12"/>
      <c r="B58" s="12"/>
      <c r="C58" s="12"/>
      <c r="D58" s="12"/>
      <c r="E58" s="12"/>
    </row>
    <row r="59" ht="15.75" customHeight="1">
      <c r="A59" s="12"/>
      <c r="B59" s="12"/>
      <c r="C59" s="12"/>
      <c r="D59" s="12"/>
      <c r="E59" s="12"/>
    </row>
    <row r="60" ht="15.75" customHeight="1">
      <c r="A60" s="12"/>
      <c r="B60" s="12"/>
      <c r="C60" s="12"/>
      <c r="D60" s="12"/>
      <c r="E60" s="12"/>
    </row>
    <row r="61" ht="15.75" customHeight="1">
      <c r="A61" s="12"/>
      <c r="B61" s="12"/>
      <c r="C61" s="12"/>
      <c r="D61" s="12"/>
      <c r="E61" s="12"/>
    </row>
    <row r="62" ht="15.75" customHeight="1">
      <c r="A62" s="12"/>
      <c r="B62" s="12"/>
      <c r="C62" s="12"/>
      <c r="D62" s="12"/>
      <c r="E62" s="12"/>
    </row>
    <row r="63" ht="15.75" customHeight="1">
      <c r="A63" s="12"/>
      <c r="B63" s="12"/>
      <c r="C63" s="12"/>
      <c r="D63" s="12"/>
      <c r="E63" s="12"/>
    </row>
    <row r="64" ht="15.75" customHeight="1">
      <c r="A64" s="12"/>
      <c r="B64" s="12"/>
      <c r="C64" s="12"/>
      <c r="D64" s="12"/>
      <c r="E64" s="12"/>
    </row>
    <row r="65" ht="15.75" customHeight="1">
      <c r="A65" s="12"/>
      <c r="B65" s="12"/>
      <c r="C65" s="12"/>
      <c r="D65" s="12"/>
      <c r="E65" s="12"/>
    </row>
    <row r="66" ht="15.75" customHeight="1">
      <c r="A66" s="12"/>
      <c r="B66" s="12"/>
      <c r="C66" s="12"/>
      <c r="D66" s="12"/>
      <c r="E66" s="12"/>
    </row>
    <row r="67" ht="15.75" customHeight="1">
      <c r="A67" s="12"/>
      <c r="B67" s="12"/>
      <c r="C67" s="12"/>
      <c r="D67" s="12"/>
      <c r="E67" s="12"/>
    </row>
    <row r="68" ht="15.75" customHeight="1">
      <c r="A68" s="12"/>
      <c r="B68" s="12"/>
      <c r="C68" s="12"/>
      <c r="D68" s="12"/>
      <c r="E68" s="12"/>
    </row>
    <row r="69" ht="15.75" customHeight="1">
      <c r="A69" s="12"/>
      <c r="B69" s="12"/>
      <c r="C69" s="12"/>
      <c r="D69" s="12"/>
      <c r="E69" s="12"/>
    </row>
    <row r="70" ht="15.75" customHeight="1">
      <c r="A70" s="12"/>
      <c r="B70" s="12"/>
      <c r="C70" s="12"/>
      <c r="D70" s="12"/>
      <c r="E70" s="12"/>
    </row>
    <row r="71" ht="15.75" customHeight="1">
      <c r="A71" s="12"/>
      <c r="B71" s="12"/>
      <c r="C71" s="12"/>
      <c r="D71" s="12"/>
      <c r="E71" s="12"/>
    </row>
    <row r="72" ht="15.75" customHeight="1">
      <c r="A72" s="12"/>
      <c r="B72" s="12"/>
      <c r="C72" s="12"/>
      <c r="D72" s="12"/>
      <c r="E72" s="12"/>
    </row>
    <row r="73" ht="15.75" customHeight="1">
      <c r="A73" s="12"/>
      <c r="B73" s="12"/>
      <c r="C73" s="12"/>
      <c r="D73" s="12"/>
      <c r="E73" s="12"/>
    </row>
    <row r="74" ht="15.75" customHeight="1">
      <c r="A74" s="12"/>
      <c r="B74" s="12"/>
      <c r="C74" s="12"/>
      <c r="D74" s="12"/>
      <c r="E74" s="12"/>
    </row>
    <row r="75" ht="15.75" customHeight="1">
      <c r="A75" s="12"/>
      <c r="B75" s="12"/>
      <c r="C75" s="12"/>
      <c r="D75" s="12"/>
      <c r="E75" s="12"/>
    </row>
    <row r="76" ht="15.75" customHeight="1">
      <c r="A76" s="12"/>
      <c r="B76" s="12"/>
      <c r="C76" s="12"/>
      <c r="D76" s="12"/>
      <c r="E76" s="12"/>
    </row>
    <row r="77" ht="15.75" customHeight="1">
      <c r="A77" s="12"/>
      <c r="B77" s="12"/>
      <c r="C77" s="12"/>
      <c r="D77" s="12"/>
      <c r="E77" s="12"/>
    </row>
    <row r="78" ht="15.75" customHeight="1">
      <c r="A78" s="12"/>
      <c r="B78" s="12"/>
      <c r="C78" s="12"/>
      <c r="D78" s="12"/>
      <c r="E78" s="12"/>
    </row>
    <row r="79" ht="15.75" customHeight="1">
      <c r="A79" s="12"/>
      <c r="B79" s="12"/>
      <c r="C79" s="12"/>
      <c r="D79" s="12"/>
      <c r="E79" s="12"/>
    </row>
    <row r="80" ht="15.75" customHeight="1">
      <c r="A80" s="12"/>
      <c r="B80" s="12"/>
      <c r="C80" s="12"/>
      <c r="D80" s="12"/>
      <c r="E80" s="12"/>
    </row>
    <row r="81" ht="15.75" customHeight="1">
      <c r="A81" s="12"/>
      <c r="B81" s="12"/>
      <c r="C81" s="12"/>
      <c r="D81" s="12"/>
      <c r="E81" s="12"/>
    </row>
    <row r="82" ht="15.75" customHeight="1">
      <c r="A82" s="12"/>
      <c r="B82" s="12"/>
      <c r="C82" s="12"/>
      <c r="D82" s="12"/>
      <c r="E82" s="12"/>
    </row>
    <row r="83" ht="15.75" customHeight="1">
      <c r="A83" s="12"/>
      <c r="B83" s="12"/>
      <c r="C83" s="12"/>
      <c r="D83" s="12"/>
      <c r="E83" s="12"/>
    </row>
    <row r="84" ht="15.75" customHeight="1">
      <c r="A84" s="12"/>
      <c r="B84" s="12"/>
      <c r="C84" s="12"/>
      <c r="D84" s="12"/>
      <c r="E84" s="12"/>
    </row>
    <row r="85" ht="15.75" customHeight="1">
      <c r="A85" s="12"/>
      <c r="B85" s="12"/>
      <c r="C85" s="12"/>
      <c r="D85" s="12"/>
      <c r="E85" s="12"/>
    </row>
    <row r="86" ht="15.75" customHeight="1">
      <c r="A86" s="12"/>
      <c r="B86" s="12"/>
      <c r="C86" s="12"/>
      <c r="D86" s="12"/>
      <c r="E86" s="12"/>
    </row>
    <row r="87" ht="15.75" customHeight="1">
      <c r="A87" s="12"/>
      <c r="B87" s="12"/>
      <c r="C87" s="12"/>
      <c r="D87" s="12"/>
      <c r="E87" s="12"/>
    </row>
    <row r="88" ht="15.75" customHeight="1">
      <c r="A88" s="12"/>
      <c r="B88" s="12"/>
      <c r="C88" s="12"/>
      <c r="D88" s="12"/>
      <c r="E88" s="12"/>
    </row>
    <row r="89" ht="15.75" customHeight="1">
      <c r="A89" s="12"/>
      <c r="B89" s="12"/>
      <c r="C89" s="12"/>
      <c r="D89" s="12"/>
      <c r="E89" s="12"/>
    </row>
    <row r="90" ht="15.75" customHeight="1">
      <c r="A90" s="12"/>
      <c r="B90" s="12"/>
      <c r="C90" s="12"/>
      <c r="D90" s="12"/>
      <c r="E90" s="12"/>
    </row>
    <row r="91" ht="15.75" customHeight="1">
      <c r="A91" s="12"/>
      <c r="B91" s="12"/>
      <c r="C91" s="12"/>
      <c r="D91" s="12"/>
      <c r="E91" s="12"/>
    </row>
    <row r="92" ht="15.75" customHeight="1">
      <c r="A92" s="12"/>
      <c r="B92" s="12"/>
      <c r="C92" s="12"/>
      <c r="D92" s="12"/>
      <c r="E92" s="12"/>
    </row>
    <row r="93" ht="15.75" customHeight="1">
      <c r="A93" s="12"/>
      <c r="B93" s="12"/>
      <c r="C93" s="12"/>
      <c r="D93" s="12"/>
      <c r="E93" s="12"/>
    </row>
    <row r="94" ht="15.75" customHeight="1">
      <c r="A94" s="12"/>
      <c r="B94" s="12"/>
      <c r="C94" s="12"/>
      <c r="D94" s="12"/>
      <c r="E94" s="12"/>
    </row>
    <row r="95" ht="15.75" customHeight="1">
      <c r="A95" s="12"/>
      <c r="B95" s="12"/>
      <c r="C95" s="12"/>
      <c r="D95" s="12"/>
      <c r="E95" s="12"/>
    </row>
    <row r="96" ht="15.75" customHeight="1">
      <c r="A96" s="12"/>
      <c r="B96" s="12"/>
      <c r="C96" s="12"/>
      <c r="D96" s="12"/>
      <c r="E96" s="12"/>
    </row>
    <row r="97" ht="15.75" customHeight="1">
      <c r="A97" s="12"/>
      <c r="B97" s="12"/>
      <c r="C97" s="12"/>
      <c r="D97" s="12"/>
      <c r="E97" s="12"/>
    </row>
    <row r="98" ht="15.75" customHeight="1">
      <c r="A98" s="12"/>
      <c r="B98" s="12"/>
      <c r="C98" s="12"/>
      <c r="D98" s="12"/>
      <c r="E98" s="12"/>
    </row>
    <row r="99" ht="15.75" customHeight="1">
      <c r="A99" s="12"/>
      <c r="B99" s="12"/>
      <c r="C99" s="12"/>
      <c r="D99" s="12"/>
      <c r="E99" s="12"/>
    </row>
    <row r="100" ht="15.75" customHeight="1">
      <c r="A100" s="12"/>
      <c r="B100" s="12"/>
      <c r="C100" s="12"/>
      <c r="D100" s="12"/>
      <c r="E100" s="12"/>
    </row>
    <row r="101" ht="15.75" customHeight="1">
      <c r="A101" s="12"/>
      <c r="B101" s="12"/>
      <c r="C101" s="12"/>
      <c r="D101" s="12"/>
      <c r="E101" s="12"/>
    </row>
    <row r="102" ht="15.75" customHeight="1">
      <c r="A102" s="12"/>
      <c r="B102" s="12"/>
      <c r="C102" s="12"/>
      <c r="D102" s="12"/>
      <c r="E102" s="12"/>
    </row>
    <row r="103" ht="15.75" customHeight="1">
      <c r="A103" s="12"/>
      <c r="B103" s="12"/>
      <c r="C103" s="12"/>
      <c r="D103" s="12"/>
      <c r="E103" s="12"/>
    </row>
    <row r="104" ht="15.75" customHeight="1">
      <c r="A104" s="12"/>
      <c r="B104" s="12"/>
      <c r="C104" s="12"/>
      <c r="D104" s="12"/>
      <c r="E104" s="12"/>
    </row>
    <row r="105" ht="15.75" customHeight="1">
      <c r="A105" s="12"/>
      <c r="B105" s="12"/>
      <c r="C105" s="12"/>
      <c r="D105" s="12"/>
      <c r="E105" s="12"/>
    </row>
    <row r="106" ht="15.75" customHeight="1">
      <c r="A106" s="12"/>
      <c r="B106" s="12"/>
      <c r="C106" s="12"/>
      <c r="D106" s="12"/>
      <c r="E106" s="12"/>
    </row>
    <row r="107" ht="15.75" customHeight="1">
      <c r="A107" s="12"/>
      <c r="B107" s="12"/>
      <c r="C107" s="12"/>
      <c r="D107" s="12"/>
      <c r="E107" s="12"/>
    </row>
    <row r="108" ht="15.75" customHeight="1">
      <c r="A108" s="12"/>
      <c r="B108" s="12"/>
      <c r="C108" s="12"/>
      <c r="D108" s="12"/>
      <c r="E108" s="12"/>
    </row>
    <row r="109" ht="15.75" customHeight="1">
      <c r="A109" s="12"/>
      <c r="B109" s="12"/>
      <c r="C109" s="12"/>
      <c r="D109" s="12"/>
      <c r="E109" s="12"/>
    </row>
    <row r="110" ht="15.75" customHeight="1">
      <c r="A110" s="12"/>
      <c r="B110" s="12"/>
      <c r="C110" s="12"/>
      <c r="D110" s="12"/>
      <c r="E110" s="12"/>
    </row>
    <row r="111" ht="15.75" customHeight="1">
      <c r="A111" s="12"/>
      <c r="B111" s="12"/>
      <c r="C111" s="12"/>
      <c r="D111" s="12"/>
      <c r="E111" s="12"/>
    </row>
    <row r="112" ht="15.75" customHeight="1">
      <c r="A112" s="12"/>
      <c r="B112" s="12"/>
      <c r="C112" s="12"/>
      <c r="D112" s="12"/>
      <c r="E112" s="12"/>
    </row>
    <row r="113" ht="15.75" customHeight="1">
      <c r="A113" s="12"/>
      <c r="B113" s="12"/>
      <c r="C113" s="12"/>
      <c r="D113" s="12"/>
      <c r="E113" s="12"/>
    </row>
    <row r="114" ht="15.75" customHeight="1">
      <c r="A114" s="12"/>
      <c r="B114" s="12"/>
      <c r="C114" s="12"/>
      <c r="D114" s="12"/>
      <c r="E114" s="12"/>
    </row>
    <row r="115" ht="15.75" customHeight="1">
      <c r="A115" s="12"/>
      <c r="B115" s="12"/>
      <c r="C115" s="12"/>
      <c r="D115" s="12"/>
      <c r="E115" s="12"/>
    </row>
    <row r="116" ht="15.75" customHeight="1">
      <c r="A116" s="12"/>
      <c r="B116" s="12"/>
      <c r="C116" s="12"/>
      <c r="D116" s="12"/>
      <c r="E116" s="12"/>
    </row>
    <row r="117" ht="15.75" customHeight="1">
      <c r="A117" s="12"/>
      <c r="B117" s="12"/>
      <c r="C117" s="12"/>
      <c r="D117" s="12"/>
      <c r="E117" s="12"/>
    </row>
    <row r="118" ht="15.75" customHeight="1">
      <c r="A118" s="12"/>
      <c r="B118" s="12"/>
      <c r="C118" s="12"/>
      <c r="D118" s="12"/>
      <c r="E118" s="12"/>
    </row>
    <row r="119" ht="15.75" customHeight="1">
      <c r="A119" s="12"/>
      <c r="B119" s="12"/>
      <c r="C119" s="12"/>
      <c r="D119" s="12"/>
      <c r="E119" s="12"/>
    </row>
    <row r="120" ht="15.75" customHeight="1">
      <c r="A120" s="12"/>
      <c r="B120" s="12"/>
      <c r="C120" s="12"/>
      <c r="D120" s="12"/>
      <c r="E120" s="12"/>
    </row>
    <row r="121" ht="15.75" customHeight="1">
      <c r="A121" s="12"/>
      <c r="B121" s="12"/>
      <c r="C121" s="12"/>
      <c r="D121" s="12"/>
      <c r="E121" s="12"/>
    </row>
    <row r="122" ht="15.75" customHeight="1">
      <c r="A122" s="12"/>
      <c r="B122" s="12"/>
      <c r="C122" s="12"/>
      <c r="D122" s="12"/>
      <c r="E122" s="12"/>
    </row>
    <row r="123" ht="15.75" customHeight="1">
      <c r="A123" s="12"/>
      <c r="B123" s="12"/>
      <c r="C123" s="12"/>
      <c r="D123" s="12"/>
      <c r="E123" s="12"/>
    </row>
    <row r="124" ht="15.75" customHeight="1">
      <c r="A124" s="12"/>
      <c r="B124" s="12"/>
      <c r="C124" s="12"/>
      <c r="D124" s="12"/>
      <c r="E124" s="12"/>
    </row>
    <row r="125" ht="15.75" customHeight="1">
      <c r="A125" s="12"/>
      <c r="B125" s="12"/>
      <c r="C125" s="12"/>
      <c r="D125" s="12"/>
      <c r="E125" s="12"/>
    </row>
    <row r="126" ht="15.75" customHeight="1">
      <c r="A126" s="12"/>
      <c r="B126" s="12"/>
      <c r="C126" s="12"/>
      <c r="D126" s="12"/>
      <c r="E126" s="12"/>
    </row>
    <row r="127" ht="15.75" customHeight="1">
      <c r="A127" s="12"/>
      <c r="B127" s="12"/>
      <c r="C127" s="12"/>
      <c r="D127" s="12"/>
      <c r="E127" s="12"/>
    </row>
    <row r="128" ht="15.75" customHeight="1">
      <c r="A128" s="12"/>
      <c r="B128" s="12"/>
      <c r="C128" s="12"/>
      <c r="D128" s="12"/>
      <c r="E128" s="12"/>
    </row>
    <row r="129" ht="15.75" customHeight="1">
      <c r="A129" s="12"/>
      <c r="B129" s="12"/>
      <c r="C129" s="12"/>
      <c r="D129" s="12"/>
      <c r="E129" s="12"/>
    </row>
    <row r="130" ht="15.75" customHeight="1">
      <c r="A130" s="12"/>
      <c r="B130" s="12"/>
      <c r="C130" s="12"/>
      <c r="D130" s="12"/>
      <c r="E130" s="12"/>
    </row>
    <row r="131" ht="15.75" customHeight="1">
      <c r="A131" s="12"/>
      <c r="B131" s="12"/>
      <c r="C131" s="12"/>
      <c r="D131" s="12"/>
      <c r="E131" s="12"/>
    </row>
    <row r="132" ht="15.75" customHeight="1">
      <c r="A132" s="12"/>
      <c r="B132" s="12"/>
      <c r="C132" s="12"/>
      <c r="D132" s="12"/>
      <c r="E132" s="12"/>
    </row>
    <row r="133" ht="15.75" customHeight="1">
      <c r="A133" s="12"/>
      <c r="B133" s="12"/>
      <c r="C133" s="12"/>
      <c r="D133" s="12"/>
      <c r="E133" s="12"/>
    </row>
    <row r="134" ht="15.75" customHeight="1">
      <c r="A134" s="12"/>
      <c r="B134" s="12"/>
      <c r="C134" s="12"/>
      <c r="D134" s="12"/>
      <c r="E134" s="12"/>
    </row>
    <row r="135" ht="15.75" customHeight="1">
      <c r="A135" s="12"/>
      <c r="B135" s="12"/>
      <c r="C135" s="12"/>
      <c r="D135" s="12"/>
      <c r="E135" s="12"/>
    </row>
    <row r="136" ht="15.75" customHeight="1">
      <c r="A136" s="12"/>
      <c r="B136" s="12"/>
      <c r="C136" s="12"/>
      <c r="D136" s="12"/>
      <c r="E136" s="12"/>
    </row>
    <row r="137" ht="15.75" customHeight="1">
      <c r="A137" s="12"/>
      <c r="B137" s="12"/>
      <c r="C137" s="12"/>
      <c r="D137" s="12"/>
      <c r="E137" s="12"/>
    </row>
    <row r="138" ht="15.75" customHeight="1">
      <c r="A138" s="12"/>
      <c r="B138" s="12"/>
      <c r="C138" s="12"/>
      <c r="D138" s="12"/>
      <c r="E138" s="12"/>
    </row>
    <row r="139" ht="15.75" customHeight="1">
      <c r="A139" s="12"/>
      <c r="B139" s="12"/>
      <c r="C139" s="12"/>
      <c r="D139" s="12"/>
      <c r="E139" s="12"/>
    </row>
    <row r="140" ht="15.75" customHeight="1">
      <c r="A140" s="12"/>
      <c r="B140" s="12"/>
      <c r="C140" s="12"/>
      <c r="D140" s="12"/>
      <c r="E140" s="12"/>
    </row>
    <row r="141" ht="15.75" customHeight="1">
      <c r="A141" s="12"/>
      <c r="B141" s="12"/>
      <c r="C141" s="12"/>
      <c r="D141" s="12"/>
      <c r="E141" s="12"/>
    </row>
    <row r="142" ht="15.75" customHeight="1">
      <c r="A142" s="12"/>
      <c r="B142" s="12"/>
      <c r="C142" s="12"/>
      <c r="D142" s="12"/>
      <c r="E142" s="12"/>
    </row>
    <row r="143" ht="15.75" customHeight="1">
      <c r="A143" s="12"/>
      <c r="B143" s="12"/>
      <c r="C143" s="12"/>
      <c r="D143" s="12"/>
      <c r="E143" s="12"/>
    </row>
    <row r="144" ht="15.75" customHeight="1">
      <c r="A144" s="12"/>
      <c r="B144" s="12"/>
      <c r="C144" s="12"/>
      <c r="D144" s="12"/>
      <c r="E144" s="12"/>
    </row>
    <row r="145" ht="15.75" customHeight="1">
      <c r="A145" s="12"/>
      <c r="B145" s="12"/>
      <c r="C145" s="12"/>
      <c r="D145" s="12"/>
      <c r="E145" s="12"/>
    </row>
    <row r="146" ht="15.75" customHeight="1">
      <c r="A146" s="12"/>
      <c r="B146" s="12"/>
      <c r="C146" s="12"/>
      <c r="D146" s="12"/>
      <c r="E146" s="12"/>
    </row>
    <row r="147" ht="15.75" customHeight="1">
      <c r="A147" s="12"/>
      <c r="B147" s="12"/>
      <c r="C147" s="12"/>
      <c r="D147" s="12"/>
      <c r="E147" s="12"/>
    </row>
    <row r="148" ht="15.75" customHeight="1">
      <c r="A148" s="12"/>
      <c r="B148" s="12"/>
      <c r="C148" s="12"/>
      <c r="D148" s="12"/>
      <c r="E148" s="12"/>
    </row>
    <row r="149" ht="15.75" customHeight="1">
      <c r="A149" s="12"/>
      <c r="B149" s="12"/>
      <c r="C149" s="12"/>
      <c r="D149" s="12"/>
      <c r="E149" s="12"/>
    </row>
    <row r="150" ht="15.75" customHeight="1">
      <c r="A150" s="12"/>
      <c r="B150" s="12"/>
      <c r="C150" s="12"/>
      <c r="D150" s="12"/>
      <c r="E150" s="12"/>
    </row>
    <row r="151" ht="15.75" customHeight="1">
      <c r="A151" s="12"/>
      <c r="B151" s="12"/>
      <c r="C151" s="12"/>
      <c r="D151" s="12"/>
      <c r="E151" s="12"/>
    </row>
    <row r="152" ht="15.75" customHeight="1">
      <c r="A152" s="12"/>
      <c r="B152" s="12"/>
      <c r="C152" s="12"/>
      <c r="D152" s="12"/>
      <c r="E152" s="12"/>
    </row>
    <row r="153" ht="15.75" customHeight="1">
      <c r="A153" s="12"/>
      <c r="B153" s="12"/>
      <c r="C153" s="12"/>
      <c r="D153" s="12"/>
      <c r="E153" s="12"/>
    </row>
    <row r="154" ht="15.75" customHeight="1">
      <c r="A154" s="12"/>
      <c r="B154" s="12"/>
      <c r="C154" s="12"/>
      <c r="D154" s="12"/>
      <c r="E154" s="12"/>
    </row>
    <row r="155" ht="15.75" customHeight="1">
      <c r="A155" s="12"/>
      <c r="B155" s="12"/>
      <c r="C155" s="12"/>
      <c r="D155" s="12"/>
      <c r="E155" s="12"/>
    </row>
    <row r="156" ht="15.75" customHeight="1">
      <c r="A156" s="12"/>
      <c r="B156" s="12"/>
      <c r="C156" s="12"/>
      <c r="D156" s="12"/>
      <c r="E156" s="12"/>
    </row>
    <row r="157" ht="15.75" customHeight="1">
      <c r="A157" s="12"/>
      <c r="B157" s="12"/>
      <c r="C157" s="12"/>
      <c r="D157" s="12"/>
      <c r="E157" s="12"/>
    </row>
    <row r="158" ht="15.75" customHeight="1">
      <c r="A158" s="12"/>
      <c r="B158" s="12"/>
      <c r="C158" s="12"/>
      <c r="D158" s="12"/>
      <c r="E158" s="12"/>
    </row>
    <row r="159" ht="15.75" customHeight="1">
      <c r="A159" s="12"/>
      <c r="B159" s="12"/>
      <c r="C159" s="12"/>
      <c r="D159" s="12"/>
      <c r="E159" s="12"/>
    </row>
    <row r="160" ht="15.75" customHeight="1">
      <c r="A160" s="12"/>
      <c r="B160" s="12"/>
      <c r="C160" s="12"/>
      <c r="D160" s="12"/>
      <c r="E160" s="12"/>
    </row>
    <row r="161" ht="15.75" customHeight="1">
      <c r="A161" s="12"/>
      <c r="B161" s="12"/>
      <c r="C161" s="12"/>
      <c r="D161" s="12"/>
      <c r="E161" s="12"/>
    </row>
    <row r="162" ht="15.75" customHeight="1">
      <c r="A162" s="12"/>
      <c r="B162" s="12"/>
      <c r="C162" s="12"/>
      <c r="D162" s="12"/>
      <c r="E162" s="12"/>
    </row>
    <row r="163" ht="15.75" customHeight="1">
      <c r="A163" s="12"/>
      <c r="B163" s="12"/>
      <c r="C163" s="12"/>
      <c r="D163" s="12"/>
      <c r="E163" s="12"/>
    </row>
    <row r="164" ht="15.75" customHeight="1">
      <c r="A164" s="12"/>
      <c r="B164" s="12"/>
      <c r="C164" s="12"/>
      <c r="D164" s="12"/>
      <c r="E164" s="12"/>
    </row>
    <row r="165" ht="15.75" customHeight="1">
      <c r="A165" s="12"/>
      <c r="B165" s="12"/>
      <c r="C165" s="12"/>
      <c r="D165" s="12"/>
      <c r="E165" s="12"/>
    </row>
    <row r="166" ht="15.75" customHeight="1">
      <c r="A166" s="12"/>
      <c r="B166" s="12"/>
      <c r="C166" s="12"/>
      <c r="D166" s="12"/>
      <c r="E166" s="12"/>
    </row>
    <row r="167" ht="15.75" customHeight="1">
      <c r="A167" s="12"/>
      <c r="B167" s="12"/>
      <c r="C167" s="12"/>
      <c r="D167" s="12"/>
      <c r="E167" s="12"/>
    </row>
    <row r="168" ht="15.75" customHeight="1">
      <c r="A168" s="12"/>
      <c r="B168" s="12"/>
      <c r="C168" s="12"/>
      <c r="D168" s="12"/>
      <c r="E168" s="12"/>
    </row>
    <row r="169" ht="15.75" customHeight="1">
      <c r="A169" s="12"/>
      <c r="B169" s="12"/>
      <c r="C169" s="12"/>
      <c r="D169" s="12"/>
      <c r="E169" s="12"/>
    </row>
    <row r="170" ht="15.75" customHeight="1">
      <c r="A170" s="12"/>
      <c r="B170" s="12"/>
      <c r="C170" s="12"/>
      <c r="D170" s="12"/>
      <c r="E170" s="12"/>
    </row>
    <row r="171" ht="15.75" customHeight="1">
      <c r="A171" s="12"/>
      <c r="B171" s="12"/>
      <c r="C171" s="12"/>
      <c r="D171" s="12"/>
      <c r="E171" s="12"/>
    </row>
    <row r="172" ht="15.75" customHeight="1">
      <c r="A172" s="12"/>
      <c r="B172" s="12"/>
      <c r="C172" s="12"/>
      <c r="D172" s="12"/>
      <c r="E172" s="12"/>
    </row>
    <row r="173" ht="15.75" customHeight="1">
      <c r="A173" s="12"/>
      <c r="B173" s="12"/>
      <c r="C173" s="12"/>
      <c r="D173" s="12"/>
      <c r="E173" s="12"/>
    </row>
    <row r="174" ht="15.75" customHeight="1">
      <c r="A174" s="12"/>
      <c r="B174" s="12"/>
      <c r="C174" s="12"/>
      <c r="D174" s="12"/>
      <c r="E174" s="12"/>
    </row>
    <row r="175" ht="15.75" customHeight="1">
      <c r="A175" s="12"/>
      <c r="B175" s="12"/>
      <c r="C175" s="12"/>
      <c r="D175" s="12"/>
      <c r="E175" s="12"/>
    </row>
    <row r="176" ht="15.75" customHeight="1">
      <c r="A176" s="12"/>
      <c r="B176" s="12"/>
      <c r="C176" s="12"/>
      <c r="D176" s="12"/>
      <c r="E176" s="12"/>
    </row>
    <row r="177" ht="15.75" customHeight="1">
      <c r="A177" s="12"/>
      <c r="B177" s="12"/>
      <c r="C177" s="12"/>
      <c r="D177" s="12"/>
      <c r="E177" s="12"/>
    </row>
    <row r="178" ht="15.75" customHeight="1">
      <c r="A178" s="12"/>
      <c r="B178" s="12"/>
      <c r="C178" s="12"/>
      <c r="D178" s="12"/>
      <c r="E178" s="12"/>
    </row>
    <row r="179" ht="15.75" customHeight="1">
      <c r="A179" s="12"/>
      <c r="B179" s="12"/>
      <c r="C179" s="12"/>
      <c r="D179" s="12"/>
      <c r="E179" s="12"/>
    </row>
    <row r="180" ht="15.75" customHeight="1">
      <c r="A180" s="12"/>
      <c r="B180" s="12"/>
      <c r="C180" s="12"/>
      <c r="D180" s="12"/>
      <c r="E180" s="12"/>
    </row>
    <row r="181" ht="15.75" customHeight="1">
      <c r="A181" s="12"/>
      <c r="B181" s="12"/>
      <c r="C181" s="12"/>
      <c r="D181" s="12"/>
      <c r="E181" s="12"/>
    </row>
    <row r="182" ht="15.75" customHeight="1">
      <c r="A182" s="12"/>
      <c r="B182" s="12"/>
      <c r="C182" s="12"/>
      <c r="D182" s="12"/>
      <c r="E182" s="12"/>
    </row>
    <row r="183" ht="15.75" customHeight="1">
      <c r="A183" s="12"/>
      <c r="B183" s="12"/>
      <c r="C183" s="12"/>
      <c r="D183" s="12"/>
      <c r="E183" s="12"/>
    </row>
    <row r="184" ht="15.75" customHeight="1">
      <c r="A184" s="12"/>
      <c r="B184" s="12"/>
      <c r="C184" s="12"/>
      <c r="D184" s="12"/>
      <c r="E184" s="12"/>
    </row>
    <row r="185" ht="15.75" customHeight="1">
      <c r="A185" s="12"/>
      <c r="B185" s="12"/>
      <c r="C185" s="12"/>
      <c r="D185" s="12"/>
      <c r="E185" s="12"/>
    </row>
    <row r="186" ht="15.75" customHeight="1">
      <c r="A186" s="12"/>
      <c r="B186" s="12"/>
      <c r="C186" s="12"/>
      <c r="D186" s="12"/>
      <c r="E186" s="12"/>
    </row>
    <row r="187" ht="15.75" customHeight="1">
      <c r="A187" s="12"/>
      <c r="B187" s="12"/>
      <c r="C187" s="12"/>
      <c r="D187" s="12"/>
      <c r="E187" s="12"/>
    </row>
    <row r="188" ht="15.75" customHeight="1">
      <c r="A188" s="12"/>
      <c r="B188" s="12"/>
      <c r="C188" s="12"/>
      <c r="D188" s="12"/>
      <c r="E188" s="12"/>
    </row>
    <row r="189" ht="15.75" customHeight="1">
      <c r="A189" s="12"/>
      <c r="B189" s="12"/>
      <c r="C189" s="12"/>
      <c r="D189" s="12"/>
      <c r="E189" s="12"/>
    </row>
    <row r="190" ht="15.75" customHeight="1">
      <c r="A190" s="12"/>
      <c r="B190" s="12"/>
      <c r="C190" s="12"/>
      <c r="D190" s="12"/>
      <c r="E190" s="12"/>
    </row>
    <row r="191" ht="15.75" customHeight="1">
      <c r="A191" s="12"/>
      <c r="B191" s="12"/>
      <c r="C191" s="12"/>
      <c r="D191" s="12"/>
      <c r="E191" s="12"/>
    </row>
    <row r="192" ht="15.75" customHeight="1">
      <c r="A192" s="12"/>
      <c r="B192" s="12"/>
      <c r="C192" s="12"/>
      <c r="D192" s="12"/>
      <c r="E192" s="12"/>
    </row>
    <row r="193" ht="15.75" customHeight="1">
      <c r="A193" s="12"/>
      <c r="B193" s="12"/>
      <c r="C193" s="12"/>
      <c r="D193" s="12"/>
      <c r="E193" s="12"/>
    </row>
    <row r="194" ht="15.75" customHeight="1">
      <c r="A194" s="12"/>
      <c r="B194" s="12"/>
      <c r="C194" s="12"/>
      <c r="D194" s="12"/>
      <c r="E194" s="12"/>
    </row>
    <row r="195" ht="15.75" customHeight="1">
      <c r="A195" s="12"/>
      <c r="B195" s="12"/>
      <c r="C195" s="12"/>
      <c r="D195" s="12"/>
      <c r="E195" s="12"/>
    </row>
    <row r="196" ht="15.75" customHeight="1">
      <c r="A196" s="12"/>
      <c r="B196" s="12"/>
      <c r="C196" s="12"/>
      <c r="D196" s="12"/>
      <c r="E196" s="12"/>
    </row>
    <row r="197" ht="15.75" customHeight="1">
      <c r="A197" s="12"/>
      <c r="B197" s="12"/>
      <c r="C197" s="12"/>
      <c r="D197" s="12"/>
      <c r="E197" s="12"/>
    </row>
    <row r="198" ht="15.75" customHeight="1">
      <c r="A198" s="12"/>
      <c r="B198" s="12"/>
      <c r="C198" s="12"/>
      <c r="D198" s="12"/>
      <c r="E198" s="12"/>
    </row>
    <row r="199" ht="15.75" customHeight="1">
      <c r="A199" s="12"/>
      <c r="B199" s="12"/>
      <c r="C199" s="12"/>
      <c r="D199" s="12"/>
      <c r="E199" s="12"/>
    </row>
    <row r="200" ht="15.75" customHeight="1">
      <c r="A200" s="12"/>
      <c r="B200" s="12"/>
      <c r="C200" s="12"/>
      <c r="D200" s="12"/>
      <c r="E200" s="12"/>
    </row>
    <row r="201" ht="15.75" customHeight="1">
      <c r="A201" s="12"/>
      <c r="B201" s="12"/>
      <c r="C201" s="12"/>
      <c r="D201" s="12"/>
      <c r="E201" s="12"/>
    </row>
    <row r="202" ht="15.75" customHeight="1">
      <c r="A202" s="12"/>
      <c r="B202" s="12"/>
      <c r="C202" s="12"/>
      <c r="D202" s="12"/>
      <c r="E202" s="12"/>
    </row>
    <row r="203" ht="15.75" customHeight="1">
      <c r="A203" s="12"/>
      <c r="B203" s="12"/>
      <c r="C203" s="12"/>
      <c r="D203" s="12"/>
      <c r="E203" s="12"/>
    </row>
    <row r="204" ht="15.75" customHeight="1">
      <c r="A204" s="12"/>
      <c r="B204" s="12"/>
      <c r="C204" s="12"/>
      <c r="D204" s="12"/>
      <c r="E204" s="12"/>
    </row>
    <row r="205" ht="15.75" customHeight="1">
      <c r="A205" s="12"/>
      <c r="B205" s="12"/>
      <c r="C205" s="12"/>
      <c r="D205" s="12"/>
      <c r="E205" s="12"/>
    </row>
    <row r="206" ht="15.75" customHeight="1">
      <c r="A206" s="12"/>
      <c r="B206" s="12"/>
      <c r="C206" s="12"/>
      <c r="D206" s="12"/>
      <c r="E206" s="12"/>
    </row>
    <row r="207" ht="15.75" customHeight="1">
      <c r="A207" s="12"/>
      <c r="B207" s="12"/>
      <c r="C207" s="12"/>
      <c r="D207" s="12"/>
      <c r="E207" s="12"/>
    </row>
    <row r="208" ht="15.75" customHeight="1">
      <c r="A208" s="12"/>
      <c r="B208" s="12"/>
      <c r="C208" s="12"/>
      <c r="D208" s="12"/>
      <c r="E208" s="12"/>
    </row>
    <row r="209" ht="15.75" customHeight="1">
      <c r="A209" s="12"/>
      <c r="B209" s="12"/>
      <c r="C209" s="12"/>
      <c r="D209" s="12"/>
      <c r="E209" s="12"/>
    </row>
    <row r="210" ht="15.75" customHeight="1">
      <c r="A210" s="12"/>
      <c r="B210" s="12"/>
      <c r="C210" s="12"/>
      <c r="D210" s="12"/>
      <c r="E210" s="12"/>
    </row>
    <row r="211" ht="15.75" customHeight="1">
      <c r="A211" s="12"/>
      <c r="B211" s="12"/>
      <c r="C211" s="12"/>
      <c r="D211" s="12"/>
      <c r="E211" s="12"/>
    </row>
    <row r="212" ht="15.75" customHeight="1">
      <c r="A212" s="12"/>
      <c r="B212" s="12"/>
      <c r="C212" s="12"/>
      <c r="D212" s="12"/>
      <c r="E212" s="12"/>
    </row>
    <row r="213" ht="15.75" customHeight="1">
      <c r="A213" s="12"/>
      <c r="B213" s="12"/>
      <c r="C213" s="12"/>
      <c r="D213" s="12"/>
      <c r="E213" s="12"/>
    </row>
    <row r="214" ht="15.75" customHeight="1">
      <c r="A214" s="12"/>
      <c r="B214" s="12"/>
      <c r="C214" s="12"/>
      <c r="D214" s="12"/>
      <c r="E214" s="12"/>
    </row>
    <row r="215" ht="15.75" customHeight="1">
      <c r="A215" s="12"/>
      <c r="B215" s="12"/>
      <c r="C215" s="12"/>
      <c r="D215" s="12"/>
      <c r="E215" s="12"/>
    </row>
    <row r="216" ht="15.75" customHeight="1">
      <c r="A216" s="12"/>
      <c r="B216" s="12"/>
      <c r="C216" s="12"/>
      <c r="D216" s="12"/>
      <c r="E216" s="12"/>
    </row>
    <row r="217" ht="15.75" customHeight="1">
      <c r="A217" s="12"/>
      <c r="B217" s="12"/>
      <c r="C217" s="12"/>
      <c r="D217" s="12"/>
      <c r="E217" s="12"/>
    </row>
    <row r="218" ht="15.75" customHeight="1">
      <c r="A218" s="12"/>
      <c r="B218" s="12"/>
      <c r="C218" s="12"/>
      <c r="D218" s="12"/>
      <c r="E218" s="12"/>
    </row>
    <row r="219" ht="15.75" customHeight="1">
      <c r="A219" s="12"/>
      <c r="B219" s="12"/>
      <c r="C219" s="12"/>
      <c r="D219" s="12"/>
      <c r="E219" s="12"/>
    </row>
    <row r="220" ht="15.75" customHeight="1">
      <c r="A220" s="12"/>
      <c r="B220" s="12"/>
      <c r="C220" s="12"/>
      <c r="D220" s="12"/>
      <c r="E220" s="1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0"/>
    <col customWidth="1" min="2" max="2" width="52.0"/>
    <col customWidth="1" min="3" max="3" width="10.0"/>
    <col customWidth="1" min="4" max="6" width="8.71"/>
  </cols>
  <sheetData>
    <row r="1" ht="21.75" customHeight="1">
      <c r="A1" s="1" t="s">
        <v>207</v>
      </c>
      <c r="B1" s="2"/>
      <c r="C1" s="3"/>
    </row>
    <row r="2" ht="15.0" customHeight="1">
      <c r="A2" s="15" t="s">
        <v>208</v>
      </c>
      <c r="B2" s="12"/>
      <c r="C2" s="12"/>
    </row>
    <row r="3">
      <c r="A3" s="12"/>
      <c r="B3" s="12"/>
      <c r="C3" s="12"/>
    </row>
    <row r="4" ht="18.0" customHeight="1">
      <c r="A4" s="16" t="s">
        <v>209</v>
      </c>
    </row>
    <row r="5" ht="15.0" customHeight="1">
      <c r="A5" s="5" t="s">
        <v>210</v>
      </c>
      <c r="B5" s="5" t="s">
        <v>211</v>
      </c>
      <c r="C5" s="5" t="s">
        <v>212</v>
      </c>
    </row>
    <row r="6" ht="15.0" customHeight="1">
      <c r="A6" s="17" t="s">
        <v>213</v>
      </c>
      <c r="B6" s="10" t="s">
        <v>214</v>
      </c>
      <c r="C6" s="18">
        <v>0.25</v>
      </c>
    </row>
    <row r="7" ht="15.0" customHeight="1">
      <c r="A7" s="17" t="s">
        <v>215</v>
      </c>
      <c r="B7" s="10" t="s">
        <v>216</v>
      </c>
      <c r="C7" s="18">
        <v>0.15</v>
      </c>
    </row>
    <row r="8" ht="15.0" customHeight="1">
      <c r="A8" s="17" t="s">
        <v>217</v>
      </c>
      <c r="B8" s="10" t="s">
        <v>218</v>
      </c>
      <c r="C8" s="18">
        <v>0.15</v>
      </c>
    </row>
    <row r="9" ht="15.0" customHeight="1">
      <c r="A9" s="17" t="s">
        <v>219</v>
      </c>
      <c r="B9" s="10" t="s">
        <v>220</v>
      </c>
      <c r="C9" s="18">
        <v>0.15</v>
      </c>
    </row>
    <row r="10" ht="15.0" customHeight="1">
      <c r="A10" s="17" t="s">
        <v>221</v>
      </c>
      <c r="B10" s="10" t="s">
        <v>222</v>
      </c>
      <c r="C10" s="18">
        <v>0.15</v>
      </c>
    </row>
    <row r="11" ht="15.0" customHeight="1">
      <c r="A11" s="17" t="s">
        <v>11</v>
      </c>
      <c r="B11" s="10" t="s">
        <v>223</v>
      </c>
      <c r="C11" s="18">
        <v>0.15</v>
      </c>
    </row>
    <row r="12" ht="15.0" customHeight="1">
      <c r="A12" s="13" t="s">
        <v>224</v>
      </c>
      <c r="B12" s="19"/>
      <c r="C12" s="20">
        <f>SUM(C6:C11)</f>
        <v>1</v>
      </c>
    </row>
    <row r="13">
      <c r="A13" s="12"/>
      <c r="B13" s="12"/>
      <c r="C13" s="12"/>
    </row>
    <row r="14" ht="18.0" customHeight="1">
      <c r="A14" s="16" t="s">
        <v>225</v>
      </c>
    </row>
    <row r="15" ht="15.0" customHeight="1">
      <c r="A15" s="21" t="s">
        <v>12</v>
      </c>
      <c r="B15" s="10" t="s">
        <v>226</v>
      </c>
      <c r="C15" s="22"/>
    </row>
    <row r="16" ht="15.0" customHeight="1">
      <c r="A16" s="21" t="s">
        <v>227</v>
      </c>
      <c r="B16" s="10" t="s">
        <v>228</v>
      </c>
      <c r="C16" s="23">
        <v>45.0</v>
      </c>
    </row>
    <row r="17" ht="15.0" customHeight="1">
      <c r="A17" s="21" t="s">
        <v>229</v>
      </c>
      <c r="B17" s="10" t="s">
        <v>228</v>
      </c>
      <c r="C17" s="23">
        <v>65.0</v>
      </c>
    </row>
    <row r="18" ht="32.25" customHeight="1">
      <c r="A18" s="21" t="s">
        <v>230</v>
      </c>
      <c r="B18" s="10" t="s">
        <v>231</v>
      </c>
      <c r="C18" s="22"/>
    </row>
    <row r="19">
      <c r="A19" s="12"/>
      <c r="B19" s="12"/>
      <c r="C19" s="12"/>
    </row>
    <row r="20" ht="18.0" customHeight="1">
      <c r="A20" s="16" t="s">
        <v>232</v>
      </c>
    </row>
    <row r="21" ht="15.0" customHeight="1">
      <c r="A21" s="5" t="s">
        <v>14</v>
      </c>
      <c r="B21" s="5" t="s">
        <v>233</v>
      </c>
      <c r="C21" s="12"/>
    </row>
    <row r="22" ht="21.75" customHeight="1">
      <c r="A22" s="10" t="s">
        <v>234</v>
      </c>
      <c r="B22" s="10" t="s">
        <v>21</v>
      </c>
      <c r="C22" s="12"/>
    </row>
    <row r="23" ht="21.75" customHeight="1">
      <c r="A23" s="10" t="s">
        <v>235</v>
      </c>
      <c r="B23" s="10" t="s">
        <v>25</v>
      </c>
      <c r="C23" s="12"/>
    </row>
    <row r="24" ht="21.75" customHeight="1">
      <c r="A24" s="10" t="s">
        <v>236</v>
      </c>
      <c r="B24" s="10" t="s">
        <v>31</v>
      </c>
      <c r="C24" s="12"/>
    </row>
    <row r="25" ht="21.75" customHeight="1">
      <c r="A25" s="10" t="s">
        <v>237</v>
      </c>
      <c r="B25" s="10" t="s">
        <v>37</v>
      </c>
      <c r="C25" s="12"/>
    </row>
    <row r="26" ht="15.75" customHeight="1">
      <c r="A26" s="12"/>
      <c r="B26" s="12"/>
      <c r="C26" s="12"/>
    </row>
    <row r="27" ht="18.0" customHeight="1">
      <c r="A27" s="16" t="s">
        <v>238</v>
      </c>
    </row>
    <row r="28" ht="27.75" customHeight="1">
      <c r="A28" s="24" t="s">
        <v>239</v>
      </c>
    </row>
    <row r="29" ht="27.75" customHeight="1">
      <c r="A29" s="24" t="s">
        <v>240</v>
      </c>
    </row>
    <row r="30" ht="27.75" customHeight="1">
      <c r="A30" s="24" t="s">
        <v>241</v>
      </c>
    </row>
    <row r="31" ht="27.75" customHeight="1">
      <c r="A31" s="24" t="s">
        <v>242</v>
      </c>
    </row>
    <row r="32" ht="27.75" customHeight="1">
      <c r="A32" s="24" t="s">
        <v>243</v>
      </c>
    </row>
    <row r="33" ht="27.75" customHeight="1">
      <c r="A33" s="24" t="s">
        <v>244</v>
      </c>
    </row>
    <row r="34" ht="15.75" customHeight="1">
      <c r="A34" s="12"/>
      <c r="B34" s="12"/>
      <c r="C34" s="12"/>
    </row>
    <row r="35" ht="15.0" customHeight="1">
      <c r="A35" s="16" t="s">
        <v>245</v>
      </c>
    </row>
    <row r="36" ht="42.0" customHeight="1">
      <c r="A36" s="24" t="s">
        <v>246</v>
      </c>
    </row>
    <row r="37" ht="42.0" customHeight="1">
      <c r="A37" s="24" t="s">
        <v>247</v>
      </c>
    </row>
    <row r="38" ht="15.75" customHeight="1">
      <c r="A38" s="12"/>
      <c r="B38" s="12"/>
      <c r="C38" s="12"/>
    </row>
    <row r="39" ht="15.75" customHeight="1">
      <c r="A39" s="12"/>
      <c r="B39" s="12"/>
      <c r="C39" s="12"/>
    </row>
    <row r="40" ht="15.75" customHeight="1">
      <c r="A40" s="12"/>
      <c r="B40" s="12"/>
      <c r="C40" s="12"/>
    </row>
    <row r="41" ht="15.75" customHeight="1">
      <c r="A41" s="12"/>
      <c r="B41" s="12"/>
      <c r="C41" s="12"/>
    </row>
    <row r="42" ht="15.75" customHeight="1">
      <c r="A42" s="12"/>
      <c r="B42" s="12"/>
      <c r="C42" s="12"/>
    </row>
    <row r="43" ht="15.75" customHeight="1">
      <c r="A43" s="12"/>
      <c r="B43" s="12"/>
      <c r="C43" s="12"/>
    </row>
    <row r="44" ht="15.75" customHeight="1">
      <c r="A44" s="12"/>
      <c r="B44" s="12"/>
      <c r="C44" s="12"/>
    </row>
    <row r="45" ht="15.75" customHeight="1">
      <c r="A45" s="12"/>
      <c r="B45" s="12"/>
      <c r="C45" s="12"/>
    </row>
    <row r="46" ht="15.75" customHeight="1">
      <c r="A46" s="12"/>
      <c r="B46" s="12"/>
      <c r="C46" s="12"/>
    </row>
    <row r="47" ht="15.75" customHeight="1">
      <c r="A47" s="12"/>
      <c r="B47" s="12"/>
      <c r="C47" s="12"/>
    </row>
    <row r="48" ht="15.75" customHeight="1">
      <c r="A48" s="12"/>
      <c r="B48" s="12"/>
      <c r="C48" s="12"/>
    </row>
    <row r="49" ht="15.75" customHeight="1">
      <c r="A49" s="12"/>
      <c r="B49" s="12"/>
      <c r="C49" s="12"/>
    </row>
    <row r="50" ht="15.75" customHeight="1">
      <c r="A50" s="12"/>
      <c r="B50" s="12"/>
      <c r="C50" s="12"/>
    </row>
    <row r="51" ht="15.75" customHeight="1">
      <c r="A51" s="12"/>
      <c r="B51" s="12"/>
      <c r="C51" s="12"/>
    </row>
    <row r="52" ht="15.75" customHeight="1">
      <c r="A52" s="12"/>
      <c r="B52" s="12"/>
      <c r="C52" s="12"/>
    </row>
    <row r="53" ht="15.75" customHeight="1">
      <c r="A53" s="12"/>
      <c r="B53" s="12"/>
      <c r="C53" s="12"/>
    </row>
    <row r="54" ht="15.75" customHeight="1">
      <c r="A54" s="12"/>
      <c r="B54" s="12"/>
      <c r="C54" s="12"/>
    </row>
    <row r="55" ht="15.75" customHeight="1">
      <c r="A55" s="12"/>
      <c r="B55" s="12"/>
      <c r="C55" s="12"/>
    </row>
    <row r="56" ht="15.75" customHeight="1">
      <c r="A56" s="12"/>
      <c r="B56" s="12"/>
      <c r="C56" s="12"/>
    </row>
    <row r="57" ht="15.75" customHeight="1">
      <c r="A57" s="12"/>
      <c r="B57" s="12"/>
      <c r="C57" s="12"/>
    </row>
    <row r="58" ht="15.75" customHeight="1">
      <c r="A58" s="12"/>
      <c r="B58" s="12"/>
      <c r="C58" s="12"/>
    </row>
    <row r="59" ht="15.75" customHeight="1">
      <c r="A59" s="12"/>
      <c r="B59" s="12"/>
      <c r="C59" s="12"/>
    </row>
    <row r="60" ht="15.75" customHeight="1">
      <c r="A60" s="12"/>
      <c r="B60" s="12"/>
      <c r="C60" s="12"/>
    </row>
    <row r="61" ht="15.75" customHeight="1">
      <c r="A61" s="12"/>
      <c r="B61" s="12"/>
      <c r="C61" s="12"/>
    </row>
    <row r="62" ht="15.75" customHeight="1">
      <c r="A62" s="12"/>
      <c r="B62" s="12"/>
      <c r="C62" s="12"/>
    </row>
    <row r="63" ht="15.75" customHeight="1">
      <c r="A63" s="12"/>
      <c r="B63" s="12"/>
      <c r="C63" s="12"/>
    </row>
    <row r="64" ht="15.75" customHeight="1">
      <c r="A64" s="12"/>
      <c r="B64" s="12"/>
      <c r="C64" s="12"/>
    </row>
    <row r="65" ht="15.75" customHeight="1">
      <c r="A65" s="12"/>
      <c r="B65" s="12"/>
      <c r="C65" s="12"/>
    </row>
    <row r="66" ht="15.75" customHeight="1">
      <c r="A66" s="12"/>
      <c r="B66" s="12"/>
      <c r="C66" s="12"/>
    </row>
    <row r="67" ht="15.75" customHeight="1">
      <c r="A67" s="12"/>
      <c r="B67" s="12"/>
      <c r="C67" s="12"/>
    </row>
    <row r="68" ht="15.75" customHeight="1">
      <c r="A68" s="12"/>
      <c r="B68" s="12"/>
      <c r="C68" s="12"/>
    </row>
    <row r="69" ht="15.75" customHeight="1">
      <c r="A69" s="12"/>
      <c r="B69" s="12"/>
      <c r="C69" s="12"/>
    </row>
    <row r="70" ht="15.75" customHeight="1">
      <c r="A70" s="12"/>
      <c r="B70" s="12"/>
      <c r="C70" s="12"/>
    </row>
    <row r="71" ht="15.75" customHeight="1">
      <c r="A71" s="12"/>
      <c r="B71" s="12"/>
      <c r="C71" s="12"/>
    </row>
    <row r="72" ht="15.75" customHeight="1">
      <c r="A72" s="12"/>
      <c r="B72" s="12"/>
      <c r="C72" s="12"/>
    </row>
    <row r="73" ht="15.75" customHeight="1">
      <c r="A73" s="12"/>
      <c r="B73" s="12"/>
      <c r="C73" s="12"/>
    </row>
    <row r="74" ht="15.75" customHeight="1">
      <c r="A74" s="12"/>
      <c r="B74" s="12"/>
      <c r="C74" s="12"/>
    </row>
    <row r="75" ht="15.75" customHeight="1">
      <c r="A75" s="12"/>
      <c r="B75" s="12"/>
      <c r="C75" s="12"/>
    </row>
    <row r="76" ht="15.75" customHeight="1">
      <c r="A76" s="12"/>
      <c r="B76" s="12"/>
      <c r="C76" s="12"/>
    </row>
    <row r="77" ht="15.75" customHeight="1">
      <c r="A77" s="12"/>
      <c r="B77" s="12"/>
      <c r="C77" s="12"/>
    </row>
    <row r="78" ht="15.75" customHeight="1">
      <c r="A78" s="12"/>
      <c r="B78" s="12"/>
      <c r="C78" s="12"/>
    </row>
    <row r="79" ht="15.75" customHeight="1">
      <c r="A79" s="12"/>
      <c r="B79" s="12"/>
      <c r="C79" s="12"/>
    </row>
    <row r="80" ht="15.75" customHeight="1">
      <c r="A80" s="12"/>
      <c r="B80" s="12"/>
      <c r="C80" s="12"/>
    </row>
    <row r="81" ht="15.75" customHeight="1">
      <c r="A81" s="12"/>
      <c r="B81" s="12"/>
      <c r="C81" s="12"/>
    </row>
    <row r="82" ht="15.75" customHeight="1">
      <c r="A82" s="12"/>
      <c r="B82" s="12"/>
      <c r="C82" s="12"/>
    </row>
    <row r="83" ht="15.75" customHeight="1">
      <c r="A83" s="12"/>
      <c r="B83" s="12"/>
      <c r="C83" s="12"/>
    </row>
    <row r="84" ht="15.75" customHeight="1">
      <c r="A84" s="12"/>
      <c r="B84" s="12"/>
      <c r="C84" s="12"/>
    </row>
    <row r="85" ht="15.75" customHeight="1">
      <c r="A85" s="12"/>
      <c r="B85" s="12"/>
      <c r="C85" s="12"/>
    </row>
    <row r="86" ht="15.75" customHeight="1">
      <c r="A86" s="12"/>
      <c r="B86" s="12"/>
      <c r="C86" s="12"/>
    </row>
    <row r="87" ht="15.75" customHeight="1">
      <c r="A87" s="12"/>
      <c r="B87" s="12"/>
      <c r="C87" s="12"/>
    </row>
    <row r="88" ht="15.75" customHeight="1">
      <c r="A88" s="12"/>
      <c r="B88" s="12"/>
      <c r="C88" s="12"/>
    </row>
    <row r="89" ht="15.75" customHeight="1">
      <c r="A89" s="12"/>
      <c r="B89" s="12"/>
      <c r="C89" s="12"/>
    </row>
    <row r="90" ht="15.75" customHeight="1">
      <c r="A90" s="12"/>
      <c r="B90" s="12"/>
      <c r="C90" s="12"/>
    </row>
    <row r="91" ht="15.75" customHeight="1">
      <c r="A91" s="12"/>
      <c r="B91" s="12"/>
      <c r="C91" s="12"/>
    </row>
    <row r="92" ht="15.75" customHeight="1">
      <c r="A92" s="12"/>
      <c r="B92" s="12"/>
      <c r="C92" s="12"/>
    </row>
    <row r="93" ht="15.75" customHeight="1">
      <c r="A93" s="12"/>
      <c r="B93" s="12"/>
      <c r="C93" s="12"/>
    </row>
    <row r="94" ht="15.75" customHeight="1">
      <c r="A94" s="12"/>
      <c r="B94" s="12"/>
      <c r="C94" s="12"/>
    </row>
    <row r="95" ht="15.75" customHeight="1">
      <c r="A95" s="12"/>
      <c r="B95" s="12"/>
      <c r="C95" s="12"/>
    </row>
    <row r="96" ht="15.75" customHeight="1">
      <c r="A96" s="12"/>
      <c r="B96" s="12"/>
      <c r="C96" s="12"/>
    </row>
    <row r="97" ht="15.75" customHeight="1">
      <c r="A97" s="12"/>
      <c r="B97" s="12"/>
      <c r="C97" s="12"/>
    </row>
    <row r="98" ht="15.75" customHeight="1">
      <c r="A98" s="12"/>
      <c r="B98" s="12"/>
      <c r="C98" s="12"/>
    </row>
    <row r="99" ht="15.75" customHeight="1">
      <c r="A99" s="12"/>
      <c r="B99" s="12"/>
      <c r="C99" s="12"/>
    </row>
    <row r="100" ht="15.75" customHeight="1">
      <c r="A100" s="12"/>
      <c r="B100" s="12"/>
      <c r="C100" s="12"/>
    </row>
    <row r="101" ht="15.75" customHeight="1">
      <c r="A101" s="12"/>
      <c r="B101" s="12"/>
      <c r="C101" s="12"/>
    </row>
    <row r="102" ht="15.75" customHeight="1">
      <c r="A102" s="12"/>
      <c r="B102" s="12"/>
      <c r="C102" s="12"/>
    </row>
    <row r="103" ht="15.75" customHeight="1">
      <c r="A103" s="12"/>
      <c r="B103" s="12"/>
      <c r="C103" s="12"/>
    </row>
    <row r="104" ht="15.75" customHeight="1">
      <c r="A104" s="12"/>
      <c r="B104" s="12"/>
      <c r="C104" s="12"/>
    </row>
    <row r="105" ht="15.75" customHeight="1">
      <c r="A105" s="12"/>
      <c r="B105" s="12"/>
      <c r="C105" s="12"/>
    </row>
    <row r="106" ht="15.75" customHeight="1">
      <c r="A106" s="12"/>
      <c r="B106" s="12"/>
      <c r="C106" s="12"/>
    </row>
    <row r="107" ht="15.75" customHeight="1">
      <c r="A107" s="12"/>
      <c r="B107" s="12"/>
      <c r="C107" s="12"/>
    </row>
    <row r="108" ht="15.75" customHeight="1">
      <c r="A108" s="12"/>
      <c r="B108" s="12"/>
      <c r="C108" s="12"/>
    </row>
    <row r="109" ht="15.75" customHeight="1">
      <c r="A109" s="12"/>
      <c r="B109" s="12"/>
      <c r="C109" s="12"/>
    </row>
    <row r="110" ht="15.75" customHeight="1">
      <c r="A110" s="12"/>
      <c r="B110" s="12"/>
      <c r="C110" s="12"/>
    </row>
    <row r="111" ht="15.75" customHeight="1">
      <c r="A111" s="12"/>
      <c r="B111" s="12"/>
      <c r="C111" s="12"/>
    </row>
    <row r="112" ht="15.75" customHeight="1">
      <c r="A112" s="12"/>
      <c r="B112" s="12"/>
      <c r="C112" s="12"/>
    </row>
    <row r="113" ht="15.75" customHeight="1">
      <c r="A113" s="12"/>
      <c r="B113" s="12"/>
      <c r="C113" s="12"/>
    </row>
    <row r="114" ht="15.75" customHeight="1">
      <c r="A114" s="12"/>
      <c r="B114" s="12"/>
      <c r="C114" s="12"/>
    </row>
    <row r="115" ht="15.75" customHeight="1">
      <c r="A115" s="12"/>
      <c r="B115" s="12"/>
      <c r="C115" s="12"/>
    </row>
    <row r="116" ht="15.75" customHeight="1">
      <c r="A116" s="12"/>
      <c r="B116" s="12"/>
      <c r="C116" s="12"/>
    </row>
    <row r="117" ht="15.75" customHeight="1">
      <c r="A117" s="12"/>
      <c r="B117" s="12"/>
      <c r="C117" s="12"/>
    </row>
    <row r="118" ht="15.75" customHeight="1">
      <c r="A118" s="12"/>
      <c r="B118" s="12"/>
      <c r="C118" s="12"/>
    </row>
    <row r="119" ht="15.75" customHeight="1">
      <c r="A119" s="12"/>
      <c r="B119" s="12"/>
      <c r="C119" s="12"/>
    </row>
    <row r="120" ht="15.75" customHeight="1">
      <c r="A120" s="12"/>
      <c r="B120" s="12"/>
      <c r="C120" s="12"/>
    </row>
    <row r="121" ht="15.75" customHeight="1">
      <c r="A121" s="12"/>
      <c r="B121" s="12"/>
      <c r="C121" s="12"/>
    </row>
    <row r="122" ht="15.75" customHeight="1">
      <c r="A122" s="12"/>
      <c r="B122" s="12"/>
      <c r="C122" s="12"/>
    </row>
    <row r="123" ht="15.75" customHeight="1">
      <c r="A123" s="12"/>
      <c r="B123" s="12"/>
      <c r="C123" s="12"/>
    </row>
    <row r="124" ht="15.75" customHeight="1">
      <c r="A124" s="12"/>
      <c r="B124" s="12"/>
      <c r="C124" s="12"/>
    </row>
    <row r="125" ht="15.75" customHeight="1">
      <c r="A125" s="12"/>
      <c r="B125" s="12"/>
      <c r="C125" s="12"/>
    </row>
    <row r="126" ht="15.75" customHeight="1">
      <c r="A126" s="12"/>
      <c r="B126" s="12"/>
      <c r="C126" s="12"/>
    </row>
    <row r="127" ht="15.75" customHeight="1">
      <c r="A127" s="12"/>
      <c r="B127" s="12"/>
      <c r="C127" s="12"/>
    </row>
    <row r="128" ht="15.75" customHeight="1">
      <c r="A128" s="12"/>
      <c r="B128" s="12"/>
      <c r="C128" s="12"/>
    </row>
    <row r="129" ht="15.75" customHeight="1">
      <c r="A129" s="12"/>
      <c r="B129" s="12"/>
      <c r="C129" s="12"/>
    </row>
    <row r="130" ht="15.75" customHeight="1">
      <c r="A130" s="12"/>
      <c r="B130" s="12"/>
      <c r="C130" s="12"/>
    </row>
    <row r="131" ht="15.75" customHeight="1">
      <c r="A131" s="12"/>
      <c r="B131" s="12"/>
      <c r="C131" s="12"/>
    </row>
    <row r="132" ht="15.75" customHeight="1">
      <c r="A132" s="12"/>
      <c r="B132" s="12"/>
      <c r="C132" s="12"/>
    </row>
    <row r="133" ht="15.75" customHeight="1">
      <c r="A133" s="12"/>
      <c r="B133" s="12"/>
      <c r="C133" s="12"/>
    </row>
    <row r="134" ht="15.75" customHeight="1">
      <c r="A134" s="12"/>
      <c r="B134" s="12"/>
      <c r="C134" s="12"/>
    </row>
    <row r="135" ht="15.75" customHeight="1">
      <c r="A135" s="12"/>
      <c r="B135" s="12"/>
      <c r="C135" s="12"/>
    </row>
    <row r="136" ht="15.75" customHeight="1">
      <c r="A136" s="12"/>
      <c r="B136" s="12"/>
      <c r="C136" s="12"/>
    </row>
    <row r="137" ht="15.75" customHeight="1">
      <c r="A137" s="12"/>
      <c r="B137" s="12"/>
      <c r="C137" s="12"/>
    </row>
    <row r="138" ht="15.75" customHeight="1">
      <c r="A138" s="12"/>
      <c r="B138" s="12"/>
      <c r="C138" s="12"/>
    </row>
    <row r="139" ht="15.75" customHeight="1">
      <c r="A139" s="12"/>
      <c r="B139" s="12"/>
      <c r="C139" s="12"/>
    </row>
    <row r="140" ht="15.75" customHeight="1">
      <c r="A140" s="12"/>
      <c r="B140" s="12"/>
      <c r="C140" s="12"/>
    </row>
    <row r="141" ht="15.75" customHeight="1">
      <c r="A141" s="12"/>
      <c r="B141" s="12"/>
      <c r="C141" s="12"/>
    </row>
    <row r="142" ht="15.75" customHeight="1">
      <c r="A142" s="12"/>
      <c r="B142" s="12"/>
      <c r="C142" s="12"/>
    </row>
    <row r="143" ht="15.75" customHeight="1">
      <c r="A143" s="12"/>
      <c r="B143" s="12"/>
      <c r="C143" s="12"/>
    </row>
    <row r="144" ht="15.75" customHeight="1">
      <c r="A144" s="12"/>
      <c r="B144" s="12"/>
      <c r="C144" s="12"/>
    </row>
    <row r="145" ht="15.75" customHeight="1">
      <c r="A145" s="12"/>
      <c r="B145" s="12"/>
      <c r="C145" s="12"/>
    </row>
    <row r="146" ht="15.75" customHeight="1">
      <c r="A146" s="12"/>
      <c r="B146" s="12"/>
      <c r="C146" s="12"/>
    </row>
    <row r="147" ht="15.75" customHeight="1">
      <c r="A147" s="12"/>
      <c r="B147" s="12"/>
      <c r="C147" s="12"/>
    </row>
    <row r="148" ht="15.75" customHeight="1">
      <c r="A148" s="12"/>
      <c r="B148" s="12"/>
      <c r="C148" s="12"/>
    </row>
    <row r="149" ht="15.75" customHeight="1">
      <c r="A149" s="12"/>
      <c r="B149" s="12"/>
      <c r="C149" s="12"/>
    </row>
    <row r="150" ht="15.75" customHeight="1">
      <c r="A150" s="12"/>
      <c r="B150" s="12"/>
      <c r="C150" s="12"/>
    </row>
    <row r="151" ht="15.75" customHeight="1">
      <c r="A151" s="12"/>
      <c r="B151" s="12"/>
      <c r="C151" s="12"/>
    </row>
    <row r="152" ht="15.75" customHeight="1">
      <c r="A152" s="12"/>
      <c r="B152" s="12"/>
      <c r="C152" s="12"/>
    </row>
    <row r="153" ht="15.75" customHeight="1">
      <c r="A153" s="12"/>
      <c r="B153" s="12"/>
      <c r="C153" s="12"/>
    </row>
    <row r="154" ht="15.75" customHeight="1">
      <c r="A154" s="12"/>
      <c r="B154" s="12"/>
      <c r="C154" s="12"/>
    </row>
    <row r="155" ht="15.75" customHeight="1">
      <c r="A155" s="12"/>
      <c r="B155" s="12"/>
      <c r="C155" s="12"/>
    </row>
    <row r="156" ht="15.75" customHeight="1">
      <c r="A156" s="12"/>
      <c r="B156" s="12"/>
      <c r="C156" s="12"/>
    </row>
    <row r="157" ht="15.75" customHeight="1">
      <c r="A157" s="12"/>
      <c r="B157" s="12"/>
      <c r="C157" s="12"/>
    </row>
    <row r="158" ht="15.75" customHeight="1">
      <c r="A158" s="12"/>
      <c r="B158" s="12"/>
      <c r="C158" s="12"/>
    </row>
    <row r="159" ht="15.75" customHeight="1">
      <c r="A159" s="12"/>
      <c r="B159" s="12"/>
      <c r="C159" s="12"/>
    </row>
    <row r="160" ht="15.75" customHeight="1">
      <c r="A160" s="12"/>
      <c r="B160" s="12"/>
      <c r="C160" s="12"/>
    </row>
    <row r="161" ht="15.75" customHeight="1">
      <c r="A161" s="12"/>
      <c r="B161" s="12"/>
      <c r="C161" s="12"/>
    </row>
    <row r="162" ht="15.75" customHeight="1">
      <c r="A162" s="12"/>
      <c r="B162" s="12"/>
      <c r="C162" s="12"/>
    </row>
    <row r="163" ht="15.75" customHeight="1">
      <c r="A163" s="12"/>
      <c r="B163" s="12"/>
      <c r="C163" s="12"/>
    </row>
    <row r="164" ht="15.75" customHeight="1">
      <c r="A164" s="12"/>
      <c r="B164" s="12"/>
      <c r="C164" s="12"/>
    </row>
    <row r="165" ht="15.75" customHeight="1">
      <c r="A165" s="12"/>
      <c r="B165" s="12"/>
      <c r="C165" s="12"/>
    </row>
    <row r="166" ht="15.75" customHeight="1">
      <c r="A166" s="12"/>
      <c r="B166" s="12"/>
      <c r="C166" s="12"/>
    </row>
    <row r="167" ht="15.75" customHeight="1">
      <c r="A167" s="12"/>
      <c r="B167" s="12"/>
      <c r="C167" s="12"/>
    </row>
    <row r="168" ht="15.75" customHeight="1">
      <c r="A168" s="12"/>
      <c r="B168" s="12"/>
      <c r="C168" s="12"/>
    </row>
    <row r="169" ht="15.75" customHeight="1">
      <c r="A169" s="12"/>
      <c r="B169" s="12"/>
      <c r="C169" s="12"/>
    </row>
    <row r="170" ht="15.75" customHeight="1">
      <c r="A170" s="12"/>
      <c r="B170" s="12"/>
      <c r="C170" s="12"/>
    </row>
    <row r="171" ht="15.75" customHeight="1">
      <c r="A171" s="12"/>
      <c r="B171" s="12"/>
      <c r="C171" s="12"/>
    </row>
    <row r="172" ht="15.75" customHeight="1">
      <c r="A172" s="12"/>
      <c r="B172" s="12"/>
      <c r="C172" s="12"/>
    </row>
    <row r="173" ht="15.75" customHeight="1">
      <c r="A173" s="12"/>
      <c r="B173" s="12"/>
      <c r="C173" s="12"/>
    </row>
    <row r="174" ht="15.75" customHeight="1">
      <c r="A174" s="12"/>
      <c r="B174" s="12"/>
      <c r="C174" s="12"/>
    </row>
    <row r="175" ht="15.75" customHeight="1">
      <c r="A175" s="12"/>
      <c r="B175" s="12"/>
      <c r="C175" s="12"/>
    </row>
    <row r="176" ht="15.75" customHeight="1">
      <c r="A176" s="12"/>
      <c r="B176" s="12"/>
      <c r="C176" s="12"/>
    </row>
    <row r="177" ht="15.75" customHeight="1">
      <c r="A177" s="12"/>
      <c r="B177" s="12"/>
      <c r="C177" s="12"/>
    </row>
    <row r="178" ht="15.75" customHeight="1">
      <c r="A178" s="12"/>
      <c r="B178" s="12"/>
      <c r="C178" s="12"/>
    </row>
    <row r="179" ht="15.75" customHeight="1">
      <c r="A179" s="12"/>
      <c r="B179" s="12"/>
      <c r="C179" s="12"/>
    </row>
    <row r="180" ht="15.75" customHeight="1">
      <c r="A180" s="12"/>
      <c r="B180" s="12"/>
      <c r="C180" s="12"/>
    </row>
    <row r="181" ht="15.75" customHeight="1">
      <c r="A181" s="12"/>
      <c r="B181" s="12"/>
      <c r="C181" s="12"/>
    </row>
    <row r="182" ht="15.75" customHeight="1">
      <c r="A182" s="12"/>
      <c r="B182" s="12"/>
      <c r="C182" s="12"/>
    </row>
    <row r="183" ht="15.75" customHeight="1">
      <c r="A183" s="12"/>
      <c r="B183" s="12"/>
      <c r="C183" s="12"/>
    </row>
    <row r="184" ht="15.75" customHeight="1">
      <c r="A184" s="12"/>
      <c r="B184" s="12"/>
      <c r="C184" s="12"/>
    </row>
    <row r="185" ht="15.75" customHeight="1">
      <c r="A185" s="12"/>
      <c r="B185" s="12"/>
      <c r="C185" s="12"/>
    </row>
    <row r="186" ht="15.75" customHeight="1">
      <c r="A186" s="12"/>
      <c r="B186" s="12"/>
      <c r="C186" s="12"/>
    </row>
    <row r="187" ht="15.75" customHeight="1">
      <c r="A187" s="12"/>
      <c r="B187" s="12"/>
      <c r="C187" s="12"/>
    </row>
    <row r="188" ht="15.75" customHeight="1">
      <c r="A188" s="12"/>
      <c r="B188" s="12"/>
      <c r="C188" s="12"/>
    </row>
    <row r="189" ht="15.75" customHeight="1">
      <c r="A189" s="12"/>
      <c r="B189" s="12"/>
      <c r="C189" s="12"/>
    </row>
    <row r="190" ht="15.75" customHeight="1">
      <c r="A190" s="12"/>
      <c r="B190" s="12"/>
      <c r="C190" s="12"/>
    </row>
    <row r="191" ht="15.75" customHeight="1">
      <c r="A191" s="12"/>
      <c r="B191" s="12"/>
      <c r="C191" s="12"/>
    </row>
    <row r="192" ht="15.75" customHeight="1">
      <c r="A192" s="12"/>
      <c r="B192" s="12"/>
      <c r="C192" s="12"/>
    </row>
    <row r="193" ht="15.75" customHeight="1">
      <c r="A193" s="12"/>
      <c r="B193" s="12"/>
      <c r="C193" s="12"/>
    </row>
    <row r="194" ht="15.75" customHeight="1">
      <c r="A194" s="12"/>
      <c r="B194" s="12"/>
      <c r="C194" s="12"/>
    </row>
    <row r="195" ht="15.75" customHeight="1">
      <c r="A195" s="12"/>
      <c r="B195" s="12"/>
      <c r="C195" s="12"/>
    </row>
    <row r="196" ht="15.75" customHeight="1">
      <c r="A196" s="12"/>
      <c r="B196" s="12"/>
      <c r="C196" s="12"/>
    </row>
    <row r="197" ht="15.75" customHeight="1">
      <c r="A197" s="12"/>
      <c r="B197" s="12"/>
      <c r="C197" s="12"/>
    </row>
    <row r="198" ht="15.75" customHeight="1">
      <c r="A198" s="12"/>
      <c r="B198" s="12"/>
      <c r="C198" s="12"/>
    </row>
    <row r="199" ht="15.75" customHeight="1">
      <c r="A199" s="12"/>
      <c r="B199" s="12"/>
      <c r="C199" s="12"/>
    </row>
    <row r="200" ht="15.75" customHeight="1">
      <c r="A200" s="12"/>
      <c r="B200" s="12"/>
      <c r="C200" s="12"/>
    </row>
    <row r="201" ht="15.75" customHeight="1">
      <c r="A201" s="12"/>
      <c r="B201" s="12"/>
      <c r="C201" s="12"/>
    </row>
    <row r="202" ht="15.75" customHeight="1">
      <c r="A202" s="12"/>
      <c r="B202" s="12"/>
      <c r="C202" s="12"/>
    </row>
    <row r="203" ht="15.75" customHeight="1">
      <c r="A203" s="12"/>
      <c r="B203" s="12"/>
      <c r="C203" s="12"/>
    </row>
    <row r="204" ht="15.75" customHeight="1">
      <c r="A204" s="12"/>
      <c r="B204" s="12"/>
      <c r="C204" s="12"/>
    </row>
    <row r="205" ht="15.75" customHeight="1">
      <c r="A205" s="12"/>
      <c r="B205" s="12"/>
      <c r="C205" s="12"/>
    </row>
    <row r="206" ht="15.75" customHeight="1">
      <c r="A206" s="12"/>
      <c r="B206" s="12"/>
      <c r="C206" s="12"/>
    </row>
    <row r="207" ht="15.75" customHeight="1">
      <c r="A207" s="12"/>
      <c r="B207" s="12"/>
      <c r="C207" s="12"/>
    </row>
    <row r="208" ht="15.75" customHeight="1">
      <c r="A208" s="12"/>
      <c r="B208" s="12"/>
      <c r="C208" s="12"/>
    </row>
    <row r="209" ht="15.75" customHeight="1">
      <c r="A209" s="12"/>
      <c r="B209" s="12"/>
      <c r="C209" s="12"/>
    </row>
    <row r="210" ht="15.75" customHeight="1">
      <c r="A210" s="12"/>
      <c r="B210" s="12"/>
      <c r="C210" s="12"/>
    </row>
    <row r="211" ht="15.75" customHeight="1">
      <c r="A211" s="12"/>
      <c r="B211" s="12"/>
      <c r="C211" s="12"/>
    </row>
    <row r="212" ht="15.75" customHeight="1">
      <c r="A212" s="12"/>
      <c r="B212" s="12"/>
      <c r="C212" s="12"/>
    </row>
    <row r="213" ht="15.75" customHeight="1">
      <c r="A213" s="12"/>
      <c r="B213" s="12"/>
      <c r="C213" s="12"/>
    </row>
    <row r="214" ht="15.75" customHeight="1">
      <c r="A214" s="12"/>
      <c r="B214" s="12"/>
      <c r="C214" s="12"/>
    </row>
    <row r="215" ht="15.75" customHeight="1">
      <c r="A215" s="12"/>
      <c r="B215" s="12"/>
      <c r="C215" s="12"/>
    </row>
    <row r="216" ht="15.75" customHeight="1">
      <c r="A216" s="12"/>
      <c r="B216" s="12"/>
      <c r="C216" s="12"/>
    </row>
    <row r="217" ht="15.75" customHeight="1">
      <c r="A217" s="12"/>
      <c r="B217" s="12"/>
      <c r="C217" s="12"/>
    </row>
    <row r="218" ht="15.75" customHeight="1">
      <c r="A218" s="12"/>
      <c r="B218" s="12"/>
      <c r="C218" s="12"/>
    </row>
    <row r="219" ht="15.75" customHeight="1">
      <c r="A219" s="12"/>
      <c r="B219" s="12"/>
      <c r="C219" s="12"/>
    </row>
    <row r="220" ht="15.75" customHeight="1">
      <c r="A220" s="12"/>
      <c r="B220" s="12"/>
      <c r="C220" s="12"/>
    </row>
    <row r="221" ht="15.75" customHeight="1">
      <c r="A221" s="12"/>
      <c r="B221" s="12"/>
      <c r="C221" s="12"/>
    </row>
    <row r="222" ht="15.75" customHeight="1">
      <c r="A222" s="12"/>
      <c r="B222" s="12"/>
      <c r="C222" s="12"/>
    </row>
    <row r="223" ht="15.75" customHeight="1">
      <c r="A223" s="12"/>
      <c r="B223" s="12"/>
      <c r="C223" s="12"/>
    </row>
    <row r="224" ht="15.75" customHeight="1">
      <c r="A224" s="12"/>
      <c r="B224" s="12"/>
      <c r="C224" s="12"/>
    </row>
    <row r="225" ht="15.75" customHeight="1">
      <c r="A225" s="12"/>
      <c r="B225" s="12"/>
      <c r="C225" s="12"/>
    </row>
    <row r="226" ht="15.75" customHeight="1">
      <c r="A226" s="12"/>
      <c r="B226" s="12"/>
      <c r="C226" s="12"/>
    </row>
    <row r="227" ht="15.75" customHeight="1">
      <c r="A227" s="12"/>
      <c r="B227" s="12"/>
      <c r="C227" s="12"/>
    </row>
    <row r="228" ht="15.75" customHeight="1">
      <c r="A228" s="12"/>
      <c r="B228" s="12"/>
      <c r="C228" s="12"/>
    </row>
    <row r="229" ht="15.75" customHeight="1">
      <c r="A229" s="12"/>
      <c r="B229" s="12"/>
      <c r="C229" s="12"/>
    </row>
    <row r="230" ht="15.75" customHeight="1">
      <c r="A230" s="12"/>
      <c r="B230" s="12"/>
      <c r="C230" s="12"/>
    </row>
    <row r="231" ht="15.75" customHeight="1">
      <c r="A231" s="12"/>
      <c r="B231" s="12"/>
      <c r="C231" s="12"/>
    </row>
    <row r="232" ht="15.75" customHeight="1">
      <c r="A232" s="12"/>
      <c r="B232" s="12"/>
      <c r="C232" s="12"/>
    </row>
    <row r="233" ht="15.75" customHeight="1">
      <c r="A233" s="12"/>
      <c r="B233" s="12"/>
      <c r="C233" s="12"/>
    </row>
    <row r="234" ht="15.75" customHeight="1">
      <c r="A234" s="12"/>
      <c r="B234" s="12"/>
      <c r="C234" s="12"/>
    </row>
    <row r="235" ht="15.75" customHeight="1">
      <c r="A235" s="12"/>
      <c r="B235" s="12"/>
      <c r="C235" s="12"/>
    </row>
    <row r="236" ht="15.75" customHeight="1">
      <c r="A236" s="12"/>
      <c r="B236" s="12"/>
      <c r="C236" s="12"/>
    </row>
    <row r="237" ht="15.75" customHeight="1">
      <c r="A237" s="12"/>
      <c r="B237" s="12"/>
      <c r="C237" s="12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30:C30"/>
    <mergeCell ref="A31:C31"/>
    <mergeCell ref="A32:C32"/>
    <mergeCell ref="A33:C33"/>
    <mergeCell ref="A35:C35"/>
    <mergeCell ref="A36:C36"/>
    <mergeCell ref="A37:C37"/>
    <mergeCell ref="A1:C1"/>
    <mergeCell ref="A4:C4"/>
    <mergeCell ref="A14:C14"/>
    <mergeCell ref="A20:C20"/>
    <mergeCell ref="A27:C27"/>
    <mergeCell ref="A28:C28"/>
    <mergeCell ref="A29:C29"/>
  </mergeCells>
  <printOptions/>
  <pageMargins bottom="1.0" footer="0.0" header="0.0" left="0.75" right="0.75" top="1.0"/>
  <pageSetup paperSize="9" orientation="portrait"/>
  <drawing r:id="rId1"/>
</worksheet>
</file>