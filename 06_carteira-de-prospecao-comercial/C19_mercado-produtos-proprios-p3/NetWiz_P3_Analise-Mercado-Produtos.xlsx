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Course Match (ensino)" sheetId="2" r:id="rId6"/>
    <sheet state="visible" name="TalentHub (recrutamento)" sheetId="3" r:id="rId7"/>
    <sheet state="visible" name="Dimensão de mercado" sheetId="4" r:id="rId8"/>
  </sheets>
  <definedNames>
    <definedName hidden="1" localSheetId="1" name="_xlnm._FilterDatabase">'Course Match (ensino)'!$A$4:$I$48</definedName>
    <definedName hidden="1" localSheetId="2" name="_xlnm._FilterDatabase">'TalentHub (recrutamento)'!$A$4:$I$37</definedName>
  </definedNames>
  <calcPr/>
</workbook>
</file>

<file path=xl/sharedStrings.xml><?xml version="1.0" encoding="utf-8"?>
<sst xmlns="http://schemas.openxmlformats.org/spreadsheetml/2006/main" count="738" uniqueCount="359">
  <si>
    <t>NetWiz — P3 | Mercado dos produtos próprios</t>
  </si>
  <si>
    <t>Dois segmentos, duas listas verificadas e a dimensão de cada mercado. Detalhe nas abas seguintes.</t>
  </si>
  <si>
    <t>Produto próprio</t>
  </si>
  <si>
    <t>Segmento (resumo)</t>
  </si>
  <si>
    <t>Alvos na lista</t>
  </si>
  <si>
    <t>Prioridade</t>
  </si>
  <si>
    <t>Netwiz Course Match</t>
  </si>
  <si>
    <t>Instituições de ensino com oferta ampla, onde o aluno escolhe o curso.</t>
  </si>
  <si>
    <t>Alta</t>
  </si>
  <si>
    <t>Segmento</t>
  </si>
  <si>
    <t>Portugal</t>
  </si>
  <si>
    <t>Espanha</t>
  </si>
  <si>
    <t>Netwiz TalentHub</t>
  </si>
  <si>
    <t>Empresas que recrutam de forma recorrente e ainda sem ferramenta dedicada.</t>
  </si>
  <si>
    <t>Média-alta</t>
  </si>
  <si>
    <t>Course Match</t>
  </si>
  <si>
    <t>Por onde começar</t>
  </si>
  <si>
    <t>1.  Course Match nas instituições de ensino — mercado concentrado e fácil de contactar.</t>
  </si>
  <si>
    <t>2.  TalentHub nos setores de rotação alta (BPO, hotelaria, retalho, tech em crescimento).</t>
  </si>
  <si>
    <t>3.  NeuroDigital como diagnóstico de entrada para qualificar qualquer lead.</t>
  </si>
  <si>
    <t>Course Match — instituições de ensino</t>
  </si>
  <si>
    <t>44 alvos (mínimo pedido: 30). Base qualificada na P1, toda de fontes públicas verificadas.</t>
  </si>
  <si>
    <t>N.º</t>
  </si>
  <si>
    <t>País</t>
  </si>
  <si>
    <t>Instituição</t>
  </si>
  <si>
    <t>Cidade</t>
  </si>
  <si>
    <t>Subsetor</t>
  </si>
  <si>
    <t>Website</t>
  </si>
  <si>
    <t>Contacto público</t>
  </si>
  <si>
    <t>Fit</t>
  </si>
  <si>
    <t>Origem / Estado</t>
  </si>
  <si>
    <t>EPET - Escola Profissional de Estudos Técnicos</t>
  </si>
  <si>
    <t>Lisboa</t>
  </si>
  <si>
    <t>Educação, ensino profissional e formação</t>
  </si>
  <si>
    <t>epet.pt</t>
  </si>
  <si>
    <t>+351 217 609 287</t>
  </si>
  <si>
    <t>Confirmado - verificação web (Exa, jul/2026)</t>
  </si>
  <si>
    <t>Escola do Saber</t>
  </si>
  <si>
    <t>Leiria</t>
  </si>
  <si>
    <t>escoladosaber.pt</t>
  </si>
  <si>
    <t>+351 244 097 542</t>
  </si>
  <si>
    <t>EPDRG - Escola Profissional de Desenvolvimento Rural de Grândola</t>
  </si>
  <si>
    <t>Grândola</t>
  </si>
  <si>
    <t>epdrgrandola.pt</t>
  </si>
  <si>
    <t>+351 269 441 222</t>
  </si>
  <si>
    <t>FEPS - Fundação Escola Profissional de Setúbal</t>
  </si>
  <si>
    <t>Setúbal</t>
  </si>
  <si>
    <t>eps.pt</t>
  </si>
  <si>
    <t>+351 265 729 900</t>
  </si>
  <si>
    <t>CENFIC / CICCOPN - Academia Lisboa</t>
  </si>
  <si>
    <t>Loures</t>
  </si>
  <si>
    <t>cenfic.pt</t>
  </si>
  <si>
    <t>+351 219 406 300</t>
  </si>
  <si>
    <t>CEAC Corporate - Formação Online</t>
  </si>
  <si>
    <t>ceac-corporate.pt</t>
  </si>
  <si>
    <t>Formulario no site</t>
  </si>
  <si>
    <t>Escola Profissional de Torres Vedras</t>
  </si>
  <si>
    <t>Torres Vedras</t>
  </si>
  <si>
    <t>Via CM Torres Vedras</t>
  </si>
  <si>
    <t>Site municipal</t>
  </si>
  <si>
    <t>Validado por análise - fonte pública (justificação estrutural), jul/2026</t>
  </si>
  <si>
    <t>Escola Profissional de Braga (EPB)</t>
  </si>
  <si>
    <t>Braga</t>
  </si>
  <si>
    <t>epb.pt</t>
  </si>
  <si>
    <t>+351 253 254 540</t>
  </si>
  <si>
    <t>Média</t>
  </si>
  <si>
    <t>Insignare - EPO Escola Profissional de Ourém</t>
  </si>
  <si>
    <t>Ourém</t>
  </si>
  <si>
    <t>insignare.pt</t>
  </si>
  <si>
    <t>+351 249 540 390</t>
  </si>
  <si>
    <t>EPRAL - Escola Profissional da Região Alentejo</t>
  </si>
  <si>
    <t>Portalegre</t>
  </si>
  <si>
    <t>epral.pt</t>
  </si>
  <si>
    <t>+351 245 339 190</t>
  </si>
  <si>
    <t>Escola Profissional Bento de Jesus Caraca</t>
  </si>
  <si>
    <t>epbjc.pt</t>
  </si>
  <si>
    <t>+351 211 945 915</t>
  </si>
  <si>
    <t>Escola Profissional de Salvaterra de Magos</t>
  </si>
  <si>
    <t>Salvaterra de Magos</t>
  </si>
  <si>
    <t>epsm.pt</t>
  </si>
  <si>
    <t>+351 263 500 300</t>
  </si>
  <si>
    <t>Escola Profissional de Almada</t>
  </si>
  <si>
    <t>Almada</t>
  </si>
  <si>
    <t>epalmada.pt</t>
  </si>
  <si>
    <t>+351 212 739 280</t>
  </si>
  <si>
    <t>Escola Profissional Ruiz Costa</t>
  </si>
  <si>
    <t>Matosinhos</t>
  </si>
  <si>
    <t>ruizcosta.edu.pt</t>
  </si>
  <si>
    <t>+351 229 957 735</t>
  </si>
  <si>
    <t>Escola Profissional de Comércio Externo</t>
  </si>
  <si>
    <t>Porto</t>
  </si>
  <si>
    <t>epce.pt</t>
  </si>
  <si>
    <t>Escola Profissional de Gaia (EPG)</t>
  </si>
  <si>
    <t>Vila Nova de Gaia</t>
  </si>
  <si>
    <t>epg.pt</t>
  </si>
  <si>
    <t>+351 223 747 160 · epg@epg.pt</t>
  </si>
  <si>
    <t>Escola de Comércio do Porto</t>
  </si>
  <si>
    <t>ecpescolacomercioporto.pt</t>
  </si>
  <si>
    <t>Profitecla - Escola Profissional</t>
  </si>
  <si>
    <t>profitecla.pt</t>
  </si>
  <si>
    <t>+351 222 047 530</t>
  </si>
  <si>
    <t>Escola Profissional Infante D. Henrique</t>
  </si>
  <si>
    <t>escprofinfantedhenrique.com.pt</t>
  </si>
  <si>
    <t>Escola Profissional de Campanhã</t>
  </si>
  <si>
    <t>epcampanha.pt</t>
  </si>
  <si>
    <t>+351 225 101 010</t>
  </si>
  <si>
    <t>Escola Profissional Gustave Eiffel</t>
  </si>
  <si>
    <t>gustaveeiffel.pt</t>
  </si>
  <si>
    <t>+351 213 240 900</t>
  </si>
  <si>
    <t>INETE - Instituto de Educação Técnica</t>
  </si>
  <si>
    <t>inete.pt</t>
  </si>
  <si>
    <t>+351 213 611 200</t>
  </si>
  <si>
    <t>Academia Maestre</t>
  </si>
  <si>
    <t>Fuente del Maestre</t>
  </si>
  <si>
    <t>Educação e formação profissional aplicada (hotelaria, turismo, artes)</t>
  </si>
  <si>
    <t>academiamaestre.es</t>
  </si>
  <si>
    <t>Escuela de Arte de Badajoz - Adelardo Covarsí</t>
  </si>
  <si>
    <t>Badajoz</t>
  </si>
  <si>
    <t>escueladeartebadajoz.com</t>
  </si>
  <si>
    <t>CIFP Hostelería y Turismo Gijón</t>
  </si>
  <si>
    <t>Gijón</t>
  </si>
  <si>
    <t>cifphosteleriayturismo.es</t>
  </si>
  <si>
    <t>Escuela de Hostelería España</t>
  </si>
  <si>
    <t>Madrid</t>
  </si>
  <si>
    <t>escuelahosteleriaespana.es</t>
  </si>
  <si>
    <t>ESHTM - Escuela Superior de Hostelería y Turismo de Madrid</t>
  </si>
  <si>
    <t>eshtm.es</t>
  </si>
  <si>
    <t>EASS - Escuela de Arte y Superior de Conservación y Restauración de BC de Salamanca</t>
  </si>
  <si>
    <t>Salamanca</t>
  </si>
  <si>
    <t>eassalamanca.es</t>
  </si>
  <si>
    <t>Portal regional</t>
  </si>
  <si>
    <t>CIFP Río Tormes</t>
  </si>
  <si>
    <t>riotormes.com</t>
  </si>
  <si>
    <t>SAFA Úbeda - Escuelas Profesionales de la Sagrada Familia</t>
  </si>
  <si>
    <t>Úbeda</t>
  </si>
  <si>
    <t>ubeda.safa.edu</t>
  </si>
  <si>
    <t>Instituto Hemingway</t>
  </si>
  <si>
    <t>Bilbao</t>
  </si>
  <si>
    <t>institutohemingway.com</t>
  </si>
  <si>
    <t>Email</t>
  </si>
  <si>
    <t>Escuela de Comercio de Badajoz</t>
  </si>
  <si>
    <t>unex.es (adscrita)</t>
  </si>
  <si>
    <t>Portal universitario</t>
  </si>
  <si>
    <t>Validado por análise - fonte pública (dependência de portal), jul/2026</t>
  </si>
  <si>
    <t>CIFP A Farixa</t>
  </si>
  <si>
    <t>Ourense</t>
  </si>
  <si>
    <t>farixa.gal</t>
  </si>
  <si>
    <t>CIFP Fontecarmoa</t>
  </si>
  <si>
    <t>Vilagarcía de Arousa</t>
  </si>
  <si>
    <t>cifpfontecarmoa.gal</t>
  </si>
  <si>
    <t>+34 886 151 956 · cifp.fontecarmoa@edu.xunta.gal</t>
  </si>
  <si>
    <t>CIFP Rodolfo Ucha Piñeiro</t>
  </si>
  <si>
    <t>Ferrol</t>
  </si>
  <si>
    <t>cifprodolfoucha.es</t>
  </si>
  <si>
    <t>CIFP de Cantería de Galicia</t>
  </si>
  <si>
    <t>Poio</t>
  </si>
  <si>
    <t>cifpcanteria.gal</t>
  </si>
  <si>
    <t>CIFP César Manrique</t>
  </si>
  <si>
    <t>Santa Cruz de Tenerife</t>
  </si>
  <si>
    <t>cifpcesarmanrique.es</t>
  </si>
  <si>
    <t>CIFP Felipe VI</t>
  </si>
  <si>
    <t>Segovia</t>
  </si>
  <si>
    <t>cifpfelipevi.centros.educa.jcyl.es</t>
  </si>
  <si>
    <t>CIFP Juan de Colonia</t>
  </si>
  <si>
    <t>Burgos</t>
  </si>
  <si>
    <t>juandecolonia.es</t>
  </si>
  <si>
    <t>CIFP La Flora</t>
  </si>
  <si>
    <t>cifplaflora.centros.educa.jcyl.es</t>
  </si>
  <si>
    <t>CIFP Pico Frentes</t>
  </si>
  <si>
    <t>Soria</t>
  </si>
  <si>
    <t>cifppicofrentes.centros.educa.jcyl.es</t>
  </si>
  <si>
    <t>CIFP José Luis Garci</t>
  </si>
  <si>
    <t>Alcobendas</t>
  </si>
  <si>
    <t>cifpjoseluisgarci.com</t>
  </si>
  <si>
    <t>CIFP Compostela</t>
  </si>
  <si>
    <t>Santiago de Compostela</t>
  </si>
  <si>
    <t>cifpcompostela.gal</t>
  </si>
  <si>
    <t>Formulário no site</t>
  </si>
  <si>
    <t>CIFP Ciudad de Béjar</t>
  </si>
  <si>
    <t>Béjar</t>
  </si>
  <si>
    <t>cifpbejar.centros.educa.jcyl.es</t>
  </si>
  <si>
    <t>TalentHub — empresas com recrutamento ativo</t>
  </si>
  <si>
    <t>33 empresas (mínimo pedido: 30), com vagas abertas comprovadas. ‘Como recruta’ mostra se já têm ferramenta própria (menos encaixe).</t>
  </si>
  <si>
    <t>Empresa</t>
  </si>
  <si>
    <t>Sede / cidade</t>
  </si>
  <si>
    <t>Setor</t>
  </si>
  <si>
    <t>Website de carreiras</t>
  </si>
  <si>
    <t>Como recruta</t>
  </si>
  <si>
    <t>Teleperformance Portugal</t>
  </si>
  <si>
    <t>Lisboa / Porto / Covilhã</t>
  </si>
  <si>
    <t>BPO / Contact center</t>
  </si>
  <si>
    <t>jobs.teleperformance.pt</t>
  </si>
  <si>
    <t>Portal próprio de carreiras</t>
  </si>
  <si>
    <t>Confirmado – página de carreiras (jul/2026)</t>
  </si>
  <si>
    <t>Concentrix Portugal</t>
  </si>
  <si>
    <t>jobs.concentrix.com/portugal</t>
  </si>
  <si>
    <t>ATS global próprio</t>
  </si>
  <si>
    <t>Feedzai</t>
  </si>
  <si>
    <t>Lisboa / Coimbra</t>
  </si>
  <si>
    <t>Tecnologia / Fintech</t>
  </si>
  <si>
    <t>careers.feedzai.com</t>
  </si>
  <si>
    <t>Página de carreiras própria</t>
  </si>
  <si>
    <t>OutSystems</t>
  </si>
  <si>
    <t>Tecnologia / Low-code</t>
  </si>
  <si>
    <t>outsystems.com/careers</t>
  </si>
  <si>
    <t>Noesis</t>
  </si>
  <si>
    <t>Consultoria TI</t>
  </si>
  <si>
    <t>opportunities.noesis.pt/jobs</t>
  </si>
  <si>
    <t>Portal de recrutamento próprio</t>
  </si>
  <si>
    <t>Critical Software</t>
  </si>
  <si>
    <t>Coimbra / Lisboa / Porto / Viseu</t>
  </si>
  <si>
    <t>Tecnologia / Software crítico</t>
  </si>
  <si>
    <t>critical-software.breezy.hr</t>
  </si>
  <si>
    <t>Breezy HR (ATS de mercado)</t>
  </si>
  <si>
    <t>Talkdesk</t>
  </si>
  <si>
    <t>Tecnologia / SaaS (CCaaS)</t>
  </si>
  <si>
    <t>careers.talkdesk.com</t>
  </si>
  <si>
    <t>Greenhouse (ATS de mercado)</t>
  </si>
  <si>
    <t>Jerónimo Martins / Pingo Doce</t>
  </si>
  <si>
    <t>Lisboa (nacional)</t>
  </si>
  <si>
    <t>Retalho alimentar</t>
  </si>
  <si>
    <t>careers.jeronimomartins.com</t>
  </si>
  <si>
    <t>Portal corporativo próprio</t>
  </si>
  <si>
    <t>Sonae MC</t>
  </si>
  <si>
    <t>Maia (nacional)</t>
  </si>
  <si>
    <t>Retalho alimentar / não-alimentar</t>
  </si>
  <si>
    <t>recrutamento.sonae.pt</t>
  </si>
  <si>
    <t>Continental (Continental Mabor)</t>
  </si>
  <si>
    <t>Lousado (V. N. Famalicão)</t>
  </si>
  <si>
    <t>Indústria / Componentes automóvel</t>
  </si>
  <si>
    <t>continental.com/pt-pt</t>
  </si>
  <si>
    <t>Portal corporativo + agências</t>
  </si>
  <si>
    <t>Volkswagen Autoeuropa</t>
  </si>
  <si>
    <t>Palmela</t>
  </si>
  <si>
    <t>Indústria automóvel</t>
  </si>
  <si>
    <t>volkswagenautoeuropa.pt/carreiras</t>
  </si>
  <si>
    <t>Portal próprio + formulário</t>
  </si>
  <si>
    <t>Vila Galé Hotéis</t>
  </si>
  <si>
    <t>Lisboa (PT + Brasil)</t>
  </si>
  <si>
    <t>Hotelaria / Turismo</t>
  </si>
  <si>
    <t>recrutamento.vilagale.com</t>
  </si>
  <si>
    <t>Pestana Hotel Group</t>
  </si>
  <si>
    <t>Lisboa/Funchal (internacional)</t>
  </si>
  <si>
    <t>careers.pestanagroup.com</t>
  </si>
  <si>
    <t>Lidl Portugal</t>
  </si>
  <si>
    <t>Sintra (nacional)</t>
  </si>
  <si>
    <t>Retalho alimentar (discount)</t>
  </si>
  <si>
    <t>empregos.lidl.pt</t>
  </si>
  <si>
    <t>SuccessFactors (ATS enterprise)</t>
  </si>
  <si>
    <t>Baixa</t>
  </si>
  <si>
    <t>Randstad Portugal</t>
  </si>
  <si>
    <t>Recursos humanos / Trabalho temporário</t>
  </si>
  <si>
    <t>randstad.pt</t>
  </si>
  <si>
    <t>Portal próprio + job boards</t>
  </si>
  <si>
    <t>Natixis in Portugal</t>
  </si>
  <si>
    <t>Porto / Lisboa</t>
  </si>
  <si>
    <t>Banca / Centro de competências TI</t>
  </si>
  <si>
    <t>careers.smartrecruiters.com/natixisinportugal</t>
  </si>
  <si>
    <t>SmartRecruiters (ATS de mercado)</t>
  </si>
  <si>
    <t>Cofidis Portugal</t>
  </si>
  <si>
    <t>Serviços financeiros / Crédito</t>
  </si>
  <si>
    <t>recrutamento.cofidis.pt</t>
  </si>
  <si>
    <t>Portal próprio (Apply with LinkedIn)</t>
  </si>
  <si>
    <t>Inditex (Zara)</t>
  </si>
  <si>
    <t>Arteixo (A Coruña) / nacional</t>
  </si>
  <si>
    <t>Retalho / Moda</t>
  </si>
  <si>
    <t>zara.com/trabaja-con-nosotros</t>
  </si>
  <si>
    <t>Mercadona</t>
  </si>
  <si>
    <t>Valência (nacional)</t>
  </si>
  <si>
    <t>mercadona.avature.net</t>
  </si>
  <si>
    <t>Avature (ATS enterprise)</t>
  </si>
  <si>
    <t>El Corte Inglés</t>
  </si>
  <si>
    <t>Madrid (nacional)</t>
  </si>
  <si>
    <t>Retalho / Grandes armazéns</t>
  </si>
  <si>
    <t>empleo.elcorteingles.es</t>
  </si>
  <si>
    <t>Telefónica</t>
  </si>
  <si>
    <t>Telecomunicações</t>
  </si>
  <si>
    <t>jobs.telefonica.com</t>
  </si>
  <si>
    <t>Naturgy</t>
  </si>
  <si>
    <t>Energia</t>
  </si>
  <si>
    <t>naturgy.com/trabaja-con-nosotros</t>
  </si>
  <si>
    <t>Repsol</t>
  </si>
  <si>
    <t>repsol.com/es/empleo</t>
  </si>
  <si>
    <t>Iberia</t>
  </si>
  <si>
    <t>Aviação / Transporte</t>
  </si>
  <si>
    <t>trabajaconnosotros.iberia.es</t>
  </si>
  <si>
    <t>Amadeus IT Group</t>
  </si>
  <si>
    <t>Tecnologia / Travel tech</t>
  </si>
  <si>
    <t>amadeus.com/careers</t>
  </si>
  <si>
    <t>Indra / Minsait</t>
  </si>
  <si>
    <t>Madrid / Barcelona (nacional)</t>
  </si>
  <si>
    <t>Consultoria TI / Tecnologia</t>
  </si>
  <si>
    <t>careers.indragroup.com</t>
  </si>
  <si>
    <t>NTT Data Spain</t>
  </si>
  <si>
    <t>Madrid / Barcelona / múltiplas</t>
  </si>
  <si>
    <t>careers.emeal.nttdata.com</t>
  </si>
  <si>
    <t>Accenture España</t>
  </si>
  <si>
    <t>Consultoria / Tecnologia</t>
  </si>
  <si>
    <t>accenture.com/es-es/careers</t>
  </si>
  <si>
    <t>Glovo</t>
  </si>
  <si>
    <t>Barcelona</t>
  </si>
  <si>
    <t>Tecnologia / Delivery</t>
  </si>
  <si>
    <t>careers.glovoapp.com</t>
  </si>
  <si>
    <t>Cabify</t>
  </si>
  <si>
    <t>Tecnologia / Mobilidade</t>
  </si>
  <si>
    <t>cabify.careers</t>
  </si>
  <si>
    <t>Konecta</t>
  </si>
  <si>
    <t>konecta.com/es/unete-a-nosotros</t>
  </si>
  <si>
    <t>Portal próprio</t>
  </si>
  <si>
    <t>Meliá Hotels International</t>
  </si>
  <si>
    <t>Palma de Maiorca (internacional)</t>
  </si>
  <si>
    <t>careers.melia.com</t>
  </si>
  <si>
    <t>NH Hotel Group (Minor Hotels EU)</t>
  </si>
  <si>
    <t>nh-hotels.com/careers</t>
  </si>
  <si>
    <t>Dimensão de mercado por segmento</t>
  </si>
  <si>
    <t>Indicadores oficiais (INE, DGEEC, Ministerio de Educación). N/D quando não há número público direto.</t>
  </si>
  <si>
    <t>Indicador</t>
  </si>
  <si>
    <t>Valor</t>
  </si>
  <si>
    <t>Estado</t>
  </si>
  <si>
    <t>Fonte</t>
  </si>
  <si>
    <t>Escolas profissionais</t>
  </si>
  <si>
    <t>265</t>
  </si>
  <si>
    <t>Confirmado</t>
  </si>
  <si>
    <t>DGEEC – Estatísticas da Educação 2023/24 (estabelecimentos)</t>
  </si>
  <si>
    <t>Escolas secundárias e básicas/secundárias (c/ oferta de cursos)</t>
  </si>
  <si>
    <t>708</t>
  </si>
  <si>
    <t>DGEEC – Estatísticas da Educação 2023/24</t>
  </si>
  <si>
    <t>Instituições de ensino superior</t>
  </si>
  <si>
    <t>288</t>
  </si>
  <si>
    <t>Total de estabelecimentos de ensino</t>
  </si>
  <si>
    <t>8 346</t>
  </si>
  <si>
    <t>Centros que lecionam Formação Profissional (FP)</t>
  </si>
  <si>
    <t>4 022</t>
  </si>
  <si>
    <t>Ministerio de Educación y FP – Estadística FP, curso 2022/23</t>
  </si>
  <si>
    <t>Universidades</t>
  </si>
  <si>
    <t>≈ 90</t>
  </si>
  <si>
    <t>Estimativa</t>
  </si>
  <si>
    <t>Aproximação (Ministerio/CRUE)</t>
  </si>
  <si>
    <t>TalentHub — empresas com recrutamento</t>
  </si>
  <si>
    <t>Empresas ativas</t>
  </si>
  <si>
    <t>1 593 415</t>
  </si>
  <si>
    <t>INE – Demografia de Empresas, 2024</t>
  </si>
  <si>
    <t>Sociedades não financeiras</t>
  </si>
  <si>
    <t>532 174</t>
  </si>
  <si>
    <t>INE – Empresas em Portugal, 2024</t>
  </si>
  <si>
    <t>Empresas nascidas no ano (fluxo)</t>
  </si>
  <si>
    <t>246 589</t>
  </si>
  <si>
    <t>Empresas com recrutamento ativo (agora)</t>
  </si>
  <si>
    <t>N/D</t>
  </si>
  <si>
    <t>N/D / Estimativa</t>
  </si>
  <si>
    <t>Sem fonte pública direta</t>
  </si>
  <si>
    <t>Empresas económicamente activas</t>
  </si>
  <si>
    <t>3 255 276</t>
  </si>
  <si>
    <t>INE – DIRCE, 1 jan 2024</t>
  </si>
  <si>
    <t>Empresas com assalariados</t>
  </si>
  <si>
    <t>≈ 1 410 000</t>
  </si>
  <si>
    <t>INE – DIRCE, 1 jan 2024 (cálculo)</t>
  </si>
  <si>
    <t>N/D: não há estatística pública de empresas ‘a recrutar’ num dado momento; usa-se como aproximação o universo de empresas com trabalhadores. O alvo imediato do TalentHub é só uma fatia — as PME que recrutam sem ferramenta própria.</t>
  </si>
  <si>
    <t>Empresas ativas (milhões)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</si>
</sst>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555555"/>
      <name val="Arial"/>
    </font>
    <font>
      <b/>
      <sz val="9.0"/>
      <color rgb="FFFFFFFF"/>
      <name val="Arial"/>
    </font>
    <font>
      <b/>
      <sz val="9.0"/>
      <color rgb="FF1F3864"/>
      <name val="Arial"/>
    </font>
    <font>
      <sz val="9.0"/>
      <color theme="1"/>
      <name val="Arial"/>
    </font>
    <font>
      <b/>
      <sz val="11.0"/>
      <color theme="1"/>
      <name val="Arial"/>
    </font>
    <font>
      <sz val="8.0"/>
      <color rgb="FF999999"/>
      <name val="Arial"/>
    </font>
    <font>
      <b/>
      <sz val="10.0"/>
      <color rgb="FF1F3864"/>
      <name val="Arial"/>
    </font>
    <font>
      <b/>
      <sz val="10.0"/>
      <color rgb="FFFFFFFF"/>
      <name val="Arial"/>
    </font>
    <font>
      <i/>
      <sz val="8.0"/>
      <color rgb="FF555555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5496"/>
        <bgColor rgb="FF2E5496"/>
      </patternFill>
    </fill>
    <fill>
      <patternFill patternType="solid">
        <fgColor rgb="FFC6301F"/>
        <bgColor rgb="FFC6301F"/>
      </patternFill>
    </fill>
    <fill>
      <patternFill patternType="solid">
        <fgColor rgb="FFE8A33D"/>
        <bgColor rgb="FFE8A33D"/>
      </patternFill>
    </fill>
    <fill>
      <patternFill patternType="solid">
        <fgColor rgb="FF7F9C4A"/>
        <bgColor rgb="FF7F9C4A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4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2" fillId="0" fontId="2" numFmtId="0" xfId="0" applyBorder="1" applyFont="1"/>
    <xf borderId="0" fillId="0" fontId="3" numFmtId="0" xfId="0" applyAlignment="1" applyFont="1">
      <alignment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3" fillId="0" fontId="5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4" fontId="4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shrinkToFit="0" vertical="bottom" wrapText="0"/>
    </xf>
    <xf borderId="3" fillId="5" fontId="4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shrinkToFit="0" vertical="bottom" wrapText="0"/>
    </xf>
    <xf borderId="0" fillId="0" fontId="6" numFmtId="0" xfId="0" applyAlignment="1" applyFont="1">
      <alignment shrinkToFit="0" vertical="center" wrapText="0"/>
    </xf>
    <xf borderId="3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shrinkToFit="0" vertical="top" wrapText="1"/>
    </xf>
    <xf borderId="3" fillId="6" fontId="4" numFmtId="0" xfId="0" applyAlignment="1" applyBorder="1" applyFill="1" applyFont="1">
      <alignment horizontal="center" shrinkToFit="0" vertical="center" wrapText="1"/>
    </xf>
    <xf borderId="1" fillId="2" fontId="10" numFmtId="0" xfId="0" applyAlignment="1" applyBorder="1" applyFont="1">
      <alignment shrinkToFit="0" vertical="center" wrapText="0"/>
    </xf>
    <xf borderId="3" fillId="7" fontId="6" numFmtId="0" xfId="0" applyAlignment="1" applyBorder="1" applyFill="1" applyFont="1">
      <alignment horizontal="center" shrinkToFit="0" vertical="center" wrapText="1"/>
    </xf>
    <xf borderId="3" fillId="8" fontId="6" numFmtId="0" xfId="0" applyAlignment="1" applyBorder="1" applyFill="1" applyFont="1">
      <alignment horizontal="center" shrinkToFit="0" vertical="center" wrapText="1"/>
    </xf>
    <xf borderId="3" fillId="9" fontId="6" numFmtId="0" xfId="0" applyAlignment="1" applyBorder="1" applyFill="1" applyFont="1">
      <alignment horizontal="center" shrinkToFit="0" vertical="center" wrapText="1"/>
    </xf>
    <xf borderId="0" fillId="0" fontId="1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Alvos por segmento e país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Portugal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Resumo!$H$6</c:f>
            </c:strRef>
          </c:cat>
          <c:val>
            <c:numRef>
              <c:f>Resumo!$I$6</c:f>
              <c:numCache/>
            </c:numRef>
          </c:val>
        </c:ser>
        <c:ser>
          <c:idx val="1"/>
          <c:order val="1"/>
          <c:tx>
            <c:v>Espanha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Resumo!$H$6</c:f>
            </c:strRef>
          </c:cat>
          <c:val>
            <c:numRef>
              <c:f>Resumo!$J$6</c:f>
              <c:numCache/>
            </c:numRef>
          </c:val>
        </c:ser>
        <c:axId val="962929923"/>
        <c:axId val="567348591"/>
      </c:barChart>
      <c:catAx>
        <c:axId val="9629299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67348591"/>
      </c:catAx>
      <c:valAx>
        <c:axId val="5673485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62929923"/>
      </c:valAx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Empresas ativas por país (milhões)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Empresas ativas (milhões)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'Dimensão de mercado'!$H$25:$H$26</c:f>
            </c:strRef>
          </c:cat>
          <c:val>
            <c:numRef>
              <c:f>'Dimensão de mercado'!$I$25:$I$26</c:f>
              <c:numCache/>
            </c:numRef>
          </c:val>
        </c:ser>
        <c:axId val="1818424615"/>
        <c:axId val="88885474"/>
      </c:barChart>
      <c:catAx>
        <c:axId val="1818424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8885474"/>
      </c:catAx>
      <c:valAx>
        <c:axId val="888854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18424615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0</xdr:rowOff>
    </xdr:from>
    <xdr:ext cx="4591050" cy="2638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0</xdr:rowOff>
    </xdr:from>
    <xdr:ext cx="3838575" cy="24479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52.0"/>
    <col customWidth="1" min="3" max="4" width="14.0"/>
    <col customWidth="1" min="5" max="10" width="8.71"/>
  </cols>
  <sheetData>
    <row r="1" ht="27.75" customHeight="1">
      <c r="A1" s="1" t="s">
        <v>0</v>
      </c>
      <c r="B1" s="2"/>
      <c r="C1" s="2"/>
      <c r="D1" s="2"/>
      <c r="E1" s="2"/>
      <c r="F1" s="2"/>
    </row>
    <row r="2" ht="21.75" customHeight="1">
      <c r="A2" s="3" t="s">
        <v>1</v>
      </c>
    </row>
    <row r="4" ht="24.0" customHeight="1">
      <c r="A4" s="4" t="s">
        <v>2</v>
      </c>
      <c r="B4" s="4" t="s">
        <v>3</v>
      </c>
      <c r="C4" s="4" t="s">
        <v>4</v>
      </c>
      <c r="D4" s="4" t="s">
        <v>5</v>
      </c>
    </row>
    <row r="5" ht="30.0" customHeight="1">
      <c r="A5" s="5" t="s">
        <v>6</v>
      </c>
      <c r="B5" s="6" t="s">
        <v>7</v>
      </c>
      <c r="C5" s="7">
        <f>COUNTA('Course Match (ensino)'!C5:C48)</f>
        <v>44</v>
      </c>
      <c r="D5" s="8" t="s">
        <v>8</v>
      </c>
      <c r="H5" s="9" t="s">
        <v>9</v>
      </c>
      <c r="I5" s="9" t="s">
        <v>10</v>
      </c>
      <c r="J5" s="9" t="s">
        <v>11</v>
      </c>
    </row>
    <row r="6" ht="30.0" customHeight="1">
      <c r="A6" s="5" t="s">
        <v>12</v>
      </c>
      <c r="B6" s="6" t="s">
        <v>13</v>
      </c>
      <c r="C6" s="7">
        <f>COUNTA('TalentHub (recrutamento)'!C5:C37)</f>
        <v>33</v>
      </c>
      <c r="D6" s="10" t="s">
        <v>14</v>
      </c>
      <c r="H6" s="9" t="s">
        <v>15</v>
      </c>
      <c r="I6" s="9">
        <f>COUNTIFS('Course Match (ensino)'!B5:B48,"Portugal")</f>
        <v>22</v>
      </c>
      <c r="J6" s="9">
        <f>COUNTIFS('Course Match (ensino)'!B5:B48,"Espanha")</f>
        <v>22</v>
      </c>
    </row>
    <row r="8">
      <c r="A8" s="11" t="s">
        <v>16</v>
      </c>
    </row>
    <row r="9" ht="18.0" customHeight="1">
      <c r="A9" s="12" t="s">
        <v>17</v>
      </c>
    </row>
    <row r="10" ht="18.0" customHeight="1">
      <c r="A10" s="12" t="s">
        <v>18</v>
      </c>
    </row>
    <row r="11" ht="18.0" customHeight="1">
      <c r="A11" s="12" t="s">
        <v>19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2:F2"/>
    <mergeCell ref="A9:F9"/>
    <mergeCell ref="A10:F10"/>
    <mergeCell ref="A11:F1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71"/>
    <col customWidth="1" min="2" max="2" width="10.0"/>
    <col customWidth="1" min="3" max="3" width="39.57"/>
    <col customWidth="1" min="4" max="4" width="16.0"/>
    <col customWidth="1" min="5" max="5" width="22.0"/>
    <col customWidth="1" min="6" max="6" width="26.0"/>
    <col customWidth="1" min="7" max="7" width="28.71"/>
    <col customWidth="1" min="8" max="8" width="10.86"/>
    <col customWidth="1" min="9" max="9" width="26.0"/>
  </cols>
  <sheetData>
    <row r="1" ht="27.75" customHeight="1">
      <c r="A1" s="1" t="s">
        <v>20</v>
      </c>
      <c r="B1" s="2"/>
      <c r="C1" s="2"/>
      <c r="D1" s="2"/>
      <c r="E1" s="2"/>
      <c r="F1" s="2"/>
      <c r="G1" s="2"/>
      <c r="H1" s="2"/>
      <c r="I1" s="2"/>
    </row>
    <row r="2" ht="21.75" customHeight="1">
      <c r="A2" s="3" t="s">
        <v>21</v>
      </c>
    </row>
    <row r="4" ht="25.5" customHeight="1">
      <c r="A4" s="4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4" t="s">
        <v>30</v>
      </c>
    </row>
    <row r="5">
      <c r="A5" s="13">
        <v>1.0</v>
      </c>
      <c r="B5" s="13" t="s">
        <v>10</v>
      </c>
      <c r="C5" s="14" t="s">
        <v>31</v>
      </c>
      <c r="D5" s="14" t="s">
        <v>32</v>
      </c>
      <c r="E5" s="14" t="s">
        <v>33</v>
      </c>
      <c r="F5" s="14" t="s">
        <v>34</v>
      </c>
      <c r="G5" s="14" t="s">
        <v>35</v>
      </c>
      <c r="H5" s="8" t="s">
        <v>8</v>
      </c>
      <c r="I5" s="14" t="s">
        <v>36</v>
      </c>
    </row>
    <row r="6">
      <c r="A6" s="13">
        <v>2.0</v>
      </c>
      <c r="B6" s="13" t="s">
        <v>10</v>
      </c>
      <c r="C6" s="14" t="s">
        <v>37</v>
      </c>
      <c r="D6" s="14" t="s">
        <v>38</v>
      </c>
      <c r="E6" s="14" t="s">
        <v>33</v>
      </c>
      <c r="F6" s="14" t="s">
        <v>39</v>
      </c>
      <c r="G6" s="14" t="s">
        <v>40</v>
      </c>
      <c r="H6" s="8" t="s">
        <v>8</v>
      </c>
      <c r="I6" s="14" t="s">
        <v>36</v>
      </c>
    </row>
    <row r="7">
      <c r="A7" s="13">
        <v>3.0</v>
      </c>
      <c r="B7" s="13" t="s">
        <v>10</v>
      </c>
      <c r="C7" s="14" t="s">
        <v>41</v>
      </c>
      <c r="D7" s="14" t="s">
        <v>42</v>
      </c>
      <c r="E7" s="14" t="s">
        <v>33</v>
      </c>
      <c r="F7" s="14" t="s">
        <v>43</v>
      </c>
      <c r="G7" s="14" t="s">
        <v>44</v>
      </c>
      <c r="H7" s="8" t="s">
        <v>8</v>
      </c>
      <c r="I7" s="14" t="s">
        <v>36</v>
      </c>
    </row>
    <row r="8">
      <c r="A8" s="13">
        <v>4.0</v>
      </c>
      <c r="B8" s="13" t="s">
        <v>10</v>
      </c>
      <c r="C8" s="14" t="s">
        <v>45</v>
      </c>
      <c r="D8" s="14" t="s">
        <v>46</v>
      </c>
      <c r="E8" s="14" t="s">
        <v>33</v>
      </c>
      <c r="F8" s="14" t="s">
        <v>47</v>
      </c>
      <c r="G8" s="14" t="s">
        <v>48</v>
      </c>
      <c r="H8" s="8" t="s">
        <v>8</v>
      </c>
      <c r="I8" s="14" t="s">
        <v>36</v>
      </c>
    </row>
    <row r="9">
      <c r="A9" s="13">
        <v>5.0</v>
      </c>
      <c r="B9" s="13" t="s">
        <v>10</v>
      </c>
      <c r="C9" s="14" t="s">
        <v>49</v>
      </c>
      <c r="D9" s="14" t="s">
        <v>50</v>
      </c>
      <c r="E9" s="14" t="s">
        <v>33</v>
      </c>
      <c r="F9" s="14" t="s">
        <v>51</v>
      </c>
      <c r="G9" s="14" t="s">
        <v>52</v>
      </c>
      <c r="H9" s="8" t="s">
        <v>8</v>
      </c>
      <c r="I9" s="14" t="s">
        <v>36</v>
      </c>
    </row>
    <row r="10">
      <c r="A10" s="13">
        <v>6.0</v>
      </c>
      <c r="B10" s="13" t="s">
        <v>10</v>
      </c>
      <c r="C10" s="14" t="s">
        <v>53</v>
      </c>
      <c r="D10" s="14" t="s">
        <v>32</v>
      </c>
      <c r="E10" s="14" t="s">
        <v>33</v>
      </c>
      <c r="F10" s="14" t="s">
        <v>54</v>
      </c>
      <c r="G10" s="14" t="s">
        <v>55</v>
      </c>
      <c r="H10" s="8" t="s">
        <v>8</v>
      </c>
      <c r="I10" s="14" t="s">
        <v>36</v>
      </c>
    </row>
    <row r="11">
      <c r="A11" s="13">
        <v>7.0</v>
      </c>
      <c r="B11" s="13" t="s">
        <v>10</v>
      </c>
      <c r="C11" s="14" t="s">
        <v>56</v>
      </c>
      <c r="D11" s="14" t="s">
        <v>57</v>
      </c>
      <c r="E11" s="14" t="s">
        <v>33</v>
      </c>
      <c r="F11" s="14" t="s">
        <v>58</v>
      </c>
      <c r="G11" s="14" t="s">
        <v>59</v>
      </c>
      <c r="H11" s="8" t="s">
        <v>8</v>
      </c>
      <c r="I11" s="14" t="s">
        <v>60</v>
      </c>
    </row>
    <row r="12">
      <c r="A12" s="13">
        <v>8.0</v>
      </c>
      <c r="B12" s="13" t="s">
        <v>10</v>
      </c>
      <c r="C12" s="14" t="s">
        <v>61</v>
      </c>
      <c r="D12" s="14" t="s">
        <v>62</v>
      </c>
      <c r="E12" s="14" t="s">
        <v>33</v>
      </c>
      <c r="F12" s="14" t="s">
        <v>63</v>
      </c>
      <c r="G12" s="14" t="s">
        <v>64</v>
      </c>
      <c r="H12" s="10" t="s">
        <v>65</v>
      </c>
      <c r="I12" s="14" t="s">
        <v>36</v>
      </c>
    </row>
    <row r="13">
      <c r="A13" s="13">
        <v>9.0</v>
      </c>
      <c r="B13" s="13" t="s">
        <v>10</v>
      </c>
      <c r="C13" s="14" t="s">
        <v>66</v>
      </c>
      <c r="D13" s="14" t="s">
        <v>67</v>
      </c>
      <c r="E13" s="14" t="s">
        <v>33</v>
      </c>
      <c r="F13" s="14" t="s">
        <v>68</v>
      </c>
      <c r="G13" s="14" t="s">
        <v>69</v>
      </c>
      <c r="H13" s="8" t="s">
        <v>8</v>
      </c>
      <c r="I13" s="14" t="s">
        <v>36</v>
      </c>
    </row>
    <row r="14">
      <c r="A14" s="13">
        <v>10.0</v>
      </c>
      <c r="B14" s="13" t="s">
        <v>10</v>
      </c>
      <c r="C14" s="14" t="s">
        <v>70</v>
      </c>
      <c r="D14" s="14" t="s">
        <v>71</v>
      </c>
      <c r="E14" s="14" t="s">
        <v>33</v>
      </c>
      <c r="F14" s="14" t="s">
        <v>72</v>
      </c>
      <c r="G14" s="14" t="s">
        <v>73</v>
      </c>
      <c r="H14" s="8" t="s">
        <v>8</v>
      </c>
      <c r="I14" s="14" t="s">
        <v>36</v>
      </c>
    </row>
    <row r="15">
      <c r="A15" s="13">
        <v>11.0</v>
      </c>
      <c r="B15" s="13" t="s">
        <v>10</v>
      </c>
      <c r="C15" s="14" t="s">
        <v>74</v>
      </c>
      <c r="D15" s="14" t="s">
        <v>32</v>
      </c>
      <c r="E15" s="14" t="s">
        <v>33</v>
      </c>
      <c r="F15" s="14" t="s">
        <v>75</v>
      </c>
      <c r="G15" s="14" t="s">
        <v>76</v>
      </c>
      <c r="H15" s="8" t="s">
        <v>8</v>
      </c>
      <c r="I15" s="14" t="s">
        <v>36</v>
      </c>
    </row>
    <row r="16">
      <c r="A16" s="13">
        <v>12.0</v>
      </c>
      <c r="B16" s="13" t="s">
        <v>10</v>
      </c>
      <c r="C16" s="14" t="s">
        <v>77</v>
      </c>
      <c r="D16" s="14" t="s">
        <v>78</v>
      </c>
      <c r="E16" s="14" t="s">
        <v>33</v>
      </c>
      <c r="F16" s="14" t="s">
        <v>79</v>
      </c>
      <c r="G16" s="14" t="s">
        <v>80</v>
      </c>
      <c r="H16" s="8" t="s">
        <v>8</v>
      </c>
      <c r="I16" s="14" t="s">
        <v>36</v>
      </c>
    </row>
    <row r="17">
      <c r="A17" s="13">
        <v>13.0</v>
      </c>
      <c r="B17" s="13" t="s">
        <v>10</v>
      </c>
      <c r="C17" s="14" t="s">
        <v>81</v>
      </c>
      <c r="D17" s="14" t="s">
        <v>82</v>
      </c>
      <c r="E17" s="14" t="s">
        <v>33</v>
      </c>
      <c r="F17" s="14" t="s">
        <v>83</v>
      </c>
      <c r="G17" s="14" t="s">
        <v>84</v>
      </c>
      <c r="H17" s="8" t="s">
        <v>8</v>
      </c>
      <c r="I17" s="14" t="s">
        <v>36</v>
      </c>
    </row>
    <row r="18">
      <c r="A18" s="13">
        <v>14.0</v>
      </c>
      <c r="B18" s="13" t="s">
        <v>10</v>
      </c>
      <c r="C18" s="14" t="s">
        <v>85</v>
      </c>
      <c r="D18" s="14" t="s">
        <v>86</v>
      </c>
      <c r="E18" s="14" t="s">
        <v>33</v>
      </c>
      <c r="F18" s="14" t="s">
        <v>87</v>
      </c>
      <c r="G18" s="14" t="s">
        <v>88</v>
      </c>
      <c r="H18" s="8" t="s">
        <v>8</v>
      </c>
      <c r="I18" s="14" t="s">
        <v>36</v>
      </c>
    </row>
    <row r="19">
      <c r="A19" s="13">
        <v>15.0</v>
      </c>
      <c r="B19" s="13" t="s">
        <v>10</v>
      </c>
      <c r="C19" s="14" t="s">
        <v>89</v>
      </c>
      <c r="D19" s="14" t="s">
        <v>90</v>
      </c>
      <c r="E19" s="14" t="s">
        <v>33</v>
      </c>
      <c r="F19" s="14" t="s">
        <v>91</v>
      </c>
      <c r="G19" s="14" t="s">
        <v>55</v>
      </c>
      <c r="H19" s="8" t="s">
        <v>8</v>
      </c>
      <c r="I19" s="14" t="s">
        <v>36</v>
      </c>
    </row>
    <row r="20">
      <c r="A20" s="13">
        <v>16.0</v>
      </c>
      <c r="B20" s="13" t="s">
        <v>10</v>
      </c>
      <c r="C20" s="14" t="s">
        <v>92</v>
      </c>
      <c r="D20" s="14" t="s">
        <v>93</v>
      </c>
      <c r="E20" s="14" t="s">
        <v>33</v>
      </c>
      <c r="F20" s="14" t="s">
        <v>94</v>
      </c>
      <c r="G20" s="14" t="s">
        <v>95</v>
      </c>
      <c r="H20" s="8" t="s">
        <v>8</v>
      </c>
      <c r="I20" s="14" t="s">
        <v>36</v>
      </c>
    </row>
    <row r="21" ht="15.75" customHeight="1">
      <c r="A21" s="13">
        <v>17.0</v>
      </c>
      <c r="B21" s="13" t="s">
        <v>10</v>
      </c>
      <c r="C21" s="14" t="s">
        <v>96</v>
      </c>
      <c r="D21" s="14" t="s">
        <v>90</v>
      </c>
      <c r="E21" s="14" t="s">
        <v>33</v>
      </c>
      <c r="F21" s="14" t="s">
        <v>97</v>
      </c>
      <c r="G21" s="14" t="s">
        <v>55</v>
      </c>
      <c r="H21" s="8" t="s">
        <v>8</v>
      </c>
      <c r="I21" s="14" t="s">
        <v>36</v>
      </c>
    </row>
    <row r="22" ht="15.75" customHeight="1">
      <c r="A22" s="13">
        <v>18.0</v>
      </c>
      <c r="B22" s="13" t="s">
        <v>10</v>
      </c>
      <c r="C22" s="14" t="s">
        <v>98</v>
      </c>
      <c r="D22" s="14" t="s">
        <v>90</v>
      </c>
      <c r="E22" s="14" t="s">
        <v>33</v>
      </c>
      <c r="F22" s="14" t="s">
        <v>99</v>
      </c>
      <c r="G22" s="14" t="s">
        <v>100</v>
      </c>
      <c r="H22" s="8" t="s">
        <v>8</v>
      </c>
      <c r="I22" s="14" t="s">
        <v>36</v>
      </c>
    </row>
    <row r="23" ht="15.75" customHeight="1">
      <c r="A23" s="13">
        <v>19.0</v>
      </c>
      <c r="B23" s="13" t="s">
        <v>10</v>
      </c>
      <c r="C23" s="14" t="s">
        <v>101</v>
      </c>
      <c r="D23" s="14" t="s">
        <v>90</v>
      </c>
      <c r="E23" s="14" t="s">
        <v>33</v>
      </c>
      <c r="F23" s="14" t="s">
        <v>102</v>
      </c>
      <c r="G23" s="14" t="s">
        <v>55</v>
      </c>
      <c r="H23" s="8" t="s">
        <v>8</v>
      </c>
      <c r="I23" s="14" t="s">
        <v>36</v>
      </c>
    </row>
    <row r="24" ht="15.75" customHeight="1">
      <c r="A24" s="13">
        <v>20.0</v>
      </c>
      <c r="B24" s="13" t="s">
        <v>10</v>
      </c>
      <c r="C24" s="14" t="s">
        <v>103</v>
      </c>
      <c r="D24" s="14" t="s">
        <v>90</v>
      </c>
      <c r="E24" s="14" t="s">
        <v>33</v>
      </c>
      <c r="F24" s="14" t="s">
        <v>104</v>
      </c>
      <c r="G24" s="14" t="s">
        <v>105</v>
      </c>
      <c r="H24" s="8" t="s">
        <v>8</v>
      </c>
      <c r="I24" s="14" t="s">
        <v>36</v>
      </c>
    </row>
    <row r="25" ht="15.75" customHeight="1">
      <c r="A25" s="13">
        <v>21.0</v>
      </c>
      <c r="B25" s="13" t="s">
        <v>10</v>
      </c>
      <c r="C25" s="14" t="s">
        <v>106</v>
      </c>
      <c r="D25" s="14" t="s">
        <v>32</v>
      </c>
      <c r="E25" s="14" t="s">
        <v>33</v>
      </c>
      <c r="F25" s="14" t="s">
        <v>107</v>
      </c>
      <c r="G25" s="14" t="s">
        <v>108</v>
      </c>
      <c r="H25" s="8" t="s">
        <v>8</v>
      </c>
      <c r="I25" s="14" t="s">
        <v>36</v>
      </c>
    </row>
    <row r="26" ht="15.75" customHeight="1">
      <c r="A26" s="13">
        <v>22.0</v>
      </c>
      <c r="B26" s="13" t="s">
        <v>10</v>
      </c>
      <c r="C26" s="14" t="s">
        <v>109</v>
      </c>
      <c r="D26" s="14" t="s">
        <v>32</v>
      </c>
      <c r="E26" s="14" t="s">
        <v>33</v>
      </c>
      <c r="F26" s="14" t="s">
        <v>110</v>
      </c>
      <c r="G26" s="14" t="s">
        <v>111</v>
      </c>
      <c r="H26" s="8" t="s">
        <v>8</v>
      </c>
      <c r="I26" s="14" t="s">
        <v>36</v>
      </c>
    </row>
    <row r="27" ht="15.75" customHeight="1">
      <c r="A27" s="13">
        <v>23.0</v>
      </c>
      <c r="B27" s="13" t="s">
        <v>11</v>
      </c>
      <c r="C27" s="14" t="s">
        <v>112</v>
      </c>
      <c r="D27" s="14" t="s">
        <v>113</v>
      </c>
      <c r="E27" s="14" t="s">
        <v>114</v>
      </c>
      <c r="F27" s="14" t="s">
        <v>115</v>
      </c>
      <c r="G27" s="14" t="s">
        <v>55</v>
      </c>
      <c r="H27" s="8" t="s">
        <v>8</v>
      </c>
      <c r="I27" s="14" t="s">
        <v>36</v>
      </c>
    </row>
    <row r="28" ht="15.75" customHeight="1">
      <c r="A28" s="13">
        <v>24.0</v>
      </c>
      <c r="B28" s="13" t="s">
        <v>11</v>
      </c>
      <c r="C28" s="14" t="s">
        <v>116</v>
      </c>
      <c r="D28" s="14" t="s">
        <v>117</v>
      </c>
      <c r="E28" s="14" t="s">
        <v>114</v>
      </c>
      <c r="F28" s="14" t="s">
        <v>118</v>
      </c>
      <c r="G28" s="14" t="s">
        <v>55</v>
      </c>
      <c r="H28" s="8" t="s">
        <v>8</v>
      </c>
      <c r="I28" s="14" t="s">
        <v>36</v>
      </c>
    </row>
    <row r="29" ht="15.75" customHeight="1">
      <c r="A29" s="13">
        <v>25.0</v>
      </c>
      <c r="B29" s="13" t="s">
        <v>11</v>
      </c>
      <c r="C29" s="14" t="s">
        <v>119</v>
      </c>
      <c r="D29" s="14" t="s">
        <v>120</v>
      </c>
      <c r="E29" s="14" t="s">
        <v>114</v>
      </c>
      <c r="F29" s="14" t="s">
        <v>121</v>
      </c>
      <c r="G29" s="14" t="s">
        <v>55</v>
      </c>
      <c r="H29" s="8" t="s">
        <v>8</v>
      </c>
      <c r="I29" s="14" t="s">
        <v>36</v>
      </c>
    </row>
    <row r="30" ht="15.75" customHeight="1">
      <c r="A30" s="13">
        <v>26.0</v>
      </c>
      <c r="B30" s="13" t="s">
        <v>11</v>
      </c>
      <c r="C30" s="14" t="s">
        <v>122</v>
      </c>
      <c r="D30" s="14" t="s">
        <v>123</v>
      </c>
      <c r="E30" s="14" t="s">
        <v>114</v>
      </c>
      <c r="F30" s="14" t="s">
        <v>124</v>
      </c>
      <c r="G30" s="14" t="s">
        <v>55</v>
      </c>
      <c r="H30" s="8" t="s">
        <v>8</v>
      </c>
      <c r="I30" s="14" t="s">
        <v>36</v>
      </c>
    </row>
    <row r="31" ht="15.75" customHeight="1">
      <c r="A31" s="13">
        <v>27.0</v>
      </c>
      <c r="B31" s="13" t="s">
        <v>11</v>
      </c>
      <c r="C31" s="14" t="s">
        <v>125</v>
      </c>
      <c r="D31" s="14" t="s">
        <v>123</v>
      </c>
      <c r="E31" s="14" t="s">
        <v>114</v>
      </c>
      <c r="F31" s="14" t="s">
        <v>126</v>
      </c>
      <c r="G31" s="14" t="s">
        <v>55</v>
      </c>
      <c r="H31" s="10" t="s">
        <v>65</v>
      </c>
      <c r="I31" s="14" t="s">
        <v>36</v>
      </c>
    </row>
    <row r="32" ht="15.75" customHeight="1">
      <c r="A32" s="13">
        <v>28.0</v>
      </c>
      <c r="B32" s="13" t="s">
        <v>11</v>
      </c>
      <c r="C32" s="14" t="s">
        <v>127</v>
      </c>
      <c r="D32" s="14" t="s">
        <v>128</v>
      </c>
      <c r="E32" s="14" t="s">
        <v>114</v>
      </c>
      <c r="F32" s="14" t="s">
        <v>129</v>
      </c>
      <c r="G32" s="14" t="s">
        <v>130</v>
      </c>
      <c r="H32" s="8" t="s">
        <v>8</v>
      </c>
      <c r="I32" s="14" t="s">
        <v>36</v>
      </c>
    </row>
    <row r="33" ht="15.75" customHeight="1">
      <c r="A33" s="13">
        <v>29.0</v>
      </c>
      <c r="B33" s="13" t="s">
        <v>11</v>
      </c>
      <c r="C33" s="14" t="s">
        <v>131</v>
      </c>
      <c r="D33" s="14" t="s">
        <v>128</v>
      </c>
      <c r="E33" s="14" t="s">
        <v>114</v>
      </c>
      <c r="F33" s="14" t="s">
        <v>132</v>
      </c>
      <c r="G33" s="14" t="s">
        <v>55</v>
      </c>
      <c r="H33" s="8" t="s">
        <v>8</v>
      </c>
      <c r="I33" s="14" t="s">
        <v>36</v>
      </c>
    </row>
    <row r="34" ht="15.75" customHeight="1">
      <c r="A34" s="13">
        <v>30.0</v>
      </c>
      <c r="B34" s="13" t="s">
        <v>11</v>
      </c>
      <c r="C34" s="14" t="s">
        <v>133</v>
      </c>
      <c r="D34" s="14" t="s">
        <v>134</v>
      </c>
      <c r="E34" s="14" t="s">
        <v>114</v>
      </c>
      <c r="F34" s="14" t="s">
        <v>135</v>
      </c>
      <c r="G34" s="14" t="s">
        <v>55</v>
      </c>
      <c r="H34" s="8" t="s">
        <v>8</v>
      </c>
      <c r="I34" s="14" t="s">
        <v>36</v>
      </c>
    </row>
    <row r="35" ht="15.75" customHeight="1">
      <c r="A35" s="13">
        <v>31.0</v>
      </c>
      <c r="B35" s="13" t="s">
        <v>11</v>
      </c>
      <c r="C35" s="14" t="s">
        <v>136</v>
      </c>
      <c r="D35" s="14" t="s">
        <v>137</v>
      </c>
      <c r="E35" s="14" t="s">
        <v>114</v>
      </c>
      <c r="F35" s="14" t="s">
        <v>138</v>
      </c>
      <c r="G35" s="14" t="s">
        <v>139</v>
      </c>
      <c r="H35" s="10" t="s">
        <v>65</v>
      </c>
      <c r="I35" s="14" t="s">
        <v>36</v>
      </c>
    </row>
    <row r="36" ht="15.75" customHeight="1">
      <c r="A36" s="13">
        <v>32.0</v>
      </c>
      <c r="B36" s="13" t="s">
        <v>11</v>
      </c>
      <c r="C36" s="14" t="s">
        <v>140</v>
      </c>
      <c r="D36" s="14" t="s">
        <v>117</v>
      </c>
      <c r="E36" s="14" t="s">
        <v>114</v>
      </c>
      <c r="F36" s="14" t="s">
        <v>141</v>
      </c>
      <c r="G36" s="14" t="s">
        <v>142</v>
      </c>
      <c r="H36" s="8" t="s">
        <v>8</v>
      </c>
      <c r="I36" s="14" t="s">
        <v>143</v>
      </c>
    </row>
    <row r="37" ht="15.75" customHeight="1">
      <c r="A37" s="13">
        <v>33.0</v>
      </c>
      <c r="B37" s="13" t="s">
        <v>11</v>
      </c>
      <c r="C37" s="14" t="s">
        <v>144</v>
      </c>
      <c r="D37" s="14" t="s">
        <v>145</v>
      </c>
      <c r="E37" s="14" t="s">
        <v>114</v>
      </c>
      <c r="F37" s="14" t="s">
        <v>146</v>
      </c>
      <c r="G37" s="14" t="s">
        <v>130</v>
      </c>
      <c r="H37" s="8" t="s">
        <v>8</v>
      </c>
      <c r="I37" s="14" t="s">
        <v>36</v>
      </c>
    </row>
    <row r="38" ht="15.75" customHeight="1">
      <c r="A38" s="13">
        <v>34.0</v>
      </c>
      <c r="B38" s="13" t="s">
        <v>11</v>
      </c>
      <c r="C38" s="14" t="s">
        <v>147</v>
      </c>
      <c r="D38" s="14" t="s">
        <v>148</v>
      </c>
      <c r="E38" s="14" t="s">
        <v>114</v>
      </c>
      <c r="F38" s="14" t="s">
        <v>149</v>
      </c>
      <c r="G38" s="14" t="s">
        <v>150</v>
      </c>
      <c r="H38" s="8" t="s">
        <v>8</v>
      </c>
      <c r="I38" s="14" t="s">
        <v>36</v>
      </c>
    </row>
    <row r="39" ht="15.75" customHeight="1">
      <c r="A39" s="13">
        <v>35.0</v>
      </c>
      <c r="B39" s="13" t="s">
        <v>11</v>
      </c>
      <c r="C39" s="14" t="s">
        <v>151</v>
      </c>
      <c r="D39" s="14" t="s">
        <v>152</v>
      </c>
      <c r="E39" s="14" t="s">
        <v>114</v>
      </c>
      <c r="F39" s="14" t="s">
        <v>153</v>
      </c>
      <c r="G39" s="14" t="s">
        <v>55</v>
      </c>
      <c r="H39" s="8" t="s">
        <v>8</v>
      </c>
      <c r="I39" s="14" t="s">
        <v>36</v>
      </c>
    </row>
    <row r="40" ht="15.75" customHeight="1">
      <c r="A40" s="13">
        <v>36.0</v>
      </c>
      <c r="B40" s="13" t="s">
        <v>11</v>
      </c>
      <c r="C40" s="14" t="s">
        <v>154</v>
      </c>
      <c r="D40" s="14" t="s">
        <v>155</v>
      </c>
      <c r="E40" s="14" t="s">
        <v>114</v>
      </c>
      <c r="F40" s="14" t="s">
        <v>156</v>
      </c>
      <c r="G40" s="14" t="s">
        <v>55</v>
      </c>
      <c r="H40" s="8" t="s">
        <v>8</v>
      </c>
      <c r="I40" s="14" t="s">
        <v>36</v>
      </c>
    </row>
    <row r="41" ht="15.75" customHeight="1">
      <c r="A41" s="13">
        <v>37.0</v>
      </c>
      <c r="B41" s="13" t="s">
        <v>11</v>
      </c>
      <c r="C41" s="14" t="s">
        <v>157</v>
      </c>
      <c r="D41" s="14" t="s">
        <v>158</v>
      </c>
      <c r="E41" s="14" t="s">
        <v>114</v>
      </c>
      <c r="F41" s="14" t="s">
        <v>159</v>
      </c>
      <c r="G41" s="14" t="s">
        <v>130</v>
      </c>
      <c r="H41" s="8" t="s">
        <v>8</v>
      </c>
      <c r="I41" s="14" t="s">
        <v>36</v>
      </c>
    </row>
    <row r="42" ht="15.75" customHeight="1">
      <c r="A42" s="13">
        <v>38.0</v>
      </c>
      <c r="B42" s="13" t="s">
        <v>11</v>
      </c>
      <c r="C42" s="14" t="s">
        <v>160</v>
      </c>
      <c r="D42" s="14" t="s">
        <v>161</v>
      </c>
      <c r="E42" s="14" t="s">
        <v>114</v>
      </c>
      <c r="F42" s="14" t="s">
        <v>162</v>
      </c>
      <c r="G42" s="14" t="s">
        <v>130</v>
      </c>
      <c r="H42" s="8" t="s">
        <v>8</v>
      </c>
      <c r="I42" s="14" t="s">
        <v>36</v>
      </c>
    </row>
    <row r="43" ht="15.75" customHeight="1">
      <c r="A43" s="13">
        <v>39.0</v>
      </c>
      <c r="B43" s="13" t="s">
        <v>11</v>
      </c>
      <c r="C43" s="14" t="s">
        <v>163</v>
      </c>
      <c r="D43" s="14" t="s">
        <v>164</v>
      </c>
      <c r="E43" s="14" t="s">
        <v>114</v>
      </c>
      <c r="F43" s="14" t="s">
        <v>165</v>
      </c>
      <c r="G43" s="14" t="s">
        <v>130</v>
      </c>
      <c r="H43" s="8" t="s">
        <v>8</v>
      </c>
      <c r="I43" s="14" t="s">
        <v>36</v>
      </c>
    </row>
    <row r="44" ht="15.75" customHeight="1">
      <c r="A44" s="13">
        <v>40.0</v>
      </c>
      <c r="B44" s="13" t="s">
        <v>11</v>
      </c>
      <c r="C44" s="14" t="s">
        <v>166</v>
      </c>
      <c r="D44" s="14" t="s">
        <v>164</v>
      </c>
      <c r="E44" s="14" t="s">
        <v>114</v>
      </c>
      <c r="F44" s="14" t="s">
        <v>167</v>
      </c>
      <c r="G44" s="14" t="s">
        <v>130</v>
      </c>
      <c r="H44" s="8" t="s">
        <v>8</v>
      </c>
      <c r="I44" s="14" t="s">
        <v>60</v>
      </c>
    </row>
    <row r="45" ht="15.75" customHeight="1">
      <c r="A45" s="13">
        <v>41.0</v>
      </c>
      <c r="B45" s="13" t="s">
        <v>11</v>
      </c>
      <c r="C45" s="14" t="s">
        <v>168</v>
      </c>
      <c r="D45" s="14" t="s">
        <v>169</v>
      </c>
      <c r="E45" s="14" t="s">
        <v>114</v>
      </c>
      <c r="F45" s="14" t="s">
        <v>170</v>
      </c>
      <c r="G45" s="14" t="s">
        <v>130</v>
      </c>
      <c r="H45" s="8" t="s">
        <v>8</v>
      </c>
      <c r="I45" s="14" t="s">
        <v>36</v>
      </c>
    </row>
    <row r="46" ht="15.75" customHeight="1">
      <c r="A46" s="13">
        <v>42.0</v>
      </c>
      <c r="B46" s="13" t="s">
        <v>11</v>
      </c>
      <c r="C46" s="14" t="s">
        <v>171</v>
      </c>
      <c r="D46" s="14" t="s">
        <v>172</v>
      </c>
      <c r="E46" s="14" t="s">
        <v>114</v>
      </c>
      <c r="F46" s="14" t="s">
        <v>173</v>
      </c>
      <c r="G46" s="14" t="s">
        <v>130</v>
      </c>
      <c r="H46" s="8" t="s">
        <v>8</v>
      </c>
      <c r="I46" s="14" t="s">
        <v>36</v>
      </c>
    </row>
    <row r="47" ht="15.75" customHeight="1">
      <c r="A47" s="13">
        <v>43.0</v>
      </c>
      <c r="B47" s="13" t="s">
        <v>11</v>
      </c>
      <c r="C47" s="14" t="s">
        <v>174</v>
      </c>
      <c r="D47" s="14" t="s">
        <v>175</v>
      </c>
      <c r="E47" s="14" t="s">
        <v>114</v>
      </c>
      <c r="F47" s="14" t="s">
        <v>176</v>
      </c>
      <c r="G47" s="14" t="s">
        <v>177</v>
      </c>
      <c r="H47" s="8" t="s">
        <v>8</v>
      </c>
      <c r="I47" s="14" t="s">
        <v>36</v>
      </c>
    </row>
    <row r="48" ht="15.75" customHeight="1">
      <c r="A48" s="13">
        <v>44.0</v>
      </c>
      <c r="B48" s="13" t="s">
        <v>11</v>
      </c>
      <c r="C48" s="14" t="s">
        <v>178</v>
      </c>
      <c r="D48" s="14" t="s">
        <v>179</v>
      </c>
      <c r="E48" s="14" t="s">
        <v>114</v>
      </c>
      <c r="F48" s="14" t="s">
        <v>180</v>
      </c>
      <c r="G48" s="14" t="s">
        <v>130</v>
      </c>
      <c r="H48" s="8" t="s">
        <v>8</v>
      </c>
      <c r="I48" s="14" t="s">
        <v>60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I$48"/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10.0"/>
    <col customWidth="1" min="3" max="3" width="26.0"/>
    <col customWidth="1" min="4" max="4" width="22.0"/>
    <col customWidth="1" min="5" max="5" width="26.0"/>
    <col customWidth="1" min="6" max="6" width="28.0"/>
    <col customWidth="1" min="7" max="7" width="24.0"/>
    <col customWidth="1" min="8" max="8" width="10.0"/>
    <col customWidth="1" min="9" max="9" width="26.0"/>
    <col customWidth="1" min="10" max="10" width="8.71"/>
  </cols>
  <sheetData>
    <row r="1" ht="27.75" customHeight="1">
      <c r="A1" s="1" t="s">
        <v>181</v>
      </c>
      <c r="B1" s="2"/>
      <c r="C1" s="2"/>
      <c r="D1" s="2"/>
      <c r="E1" s="2"/>
      <c r="F1" s="2"/>
      <c r="G1" s="2"/>
      <c r="H1" s="2"/>
      <c r="I1" s="2"/>
      <c r="J1" s="2"/>
    </row>
    <row r="2" ht="21.75" customHeight="1">
      <c r="A2" s="3" t="s">
        <v>182</v>
      </c>
    </row>
    <row r="4" ht="25.5" customHeight="1">
      <c r="A4" s="4" t="s">
        <v>22</v>
      </c>
      <c r="B4" s="4" t="s">
        <v>23</v>
      </c>
      <c r="C4" s="4" t="s">
        <v>183</v>
      </c>
      <c r="D4" s="4" t="s">
        <v>184</v>
      </c>
      <c r="E4" s="4" t="s">
        <v>185</v>
      </c>
      <c r="F4" s="4" t="s">
        <v>186</v>
      </c>
      <c r="G4" s="4" t="s">
        <v>187</v>
      </c>
      <c r="H4" s="4" t="s">
        <v>29</v>
      </c>
      <c r="I4" s="4" t="s">
        <v>30</v>
      </c>
    </row>
    <row r="5">
      <c r="A5" s="13">
        <v>1.0</v>
      </c>
      <c r="B5" s="13" t="s">
        <v>10</v>
      </c>
      <c r="C5" s="14" t="s">
        <v>188</v>
      </c>
      <c r="D5" s="14" t="s">
        <v>189</v>
      </c>
      <c r="E5" s="14" t="s">
        <v>190</v>
      </c>
      <c r="F5" s="14" t="s">
        <v>191</v>
      </c>
      <c r="G5" s="14" t="s">
        <v>192</v>
      </c>
      <c r="H5" s="10" t="s">
        <v>65</v>
      </c>
      <c r="I5" s="14" t="s">
        <v>193</v>
      </c>
    </row>
    <row r="6">
      <c r="A6" s="13">
        <v>2.0</v>
      </c>
      <c r="B6" s="13" t="s">
        <v>10</v>
      </c>
      <c r="C6" s="14" t="s">
        <v>194</v>
      </c>
      <c r="D6" s="14" t="s">
        <v>32</v>
      </c>
      <c r="E6" s="14" t="s">
        <v>190</v>
      </c>
      <c r="F6" s="14" t="s">
        <v>195</v>
      </c>
      <c r="G6" s="14" t="s">
        <v>196</v>
      </c>
      <c r="H6" s="10" t="s">
        <v>65</v>
      </c>
      <c r="I6" s="14" t="s">
        <v>193</v>
      </c>
    </row>
    <row r="7">
      <c r="A7" s="13">
        <v>3.0</v>
      </c>
      <c r="B7" s="13" t="s">
        <v>10</v>
      </c>
      <c r="C7" s="14" t="s">
        <v>197</v>
      </c>
      <c r="D7" s="14" t="s">
        <v>198</v>
      </c>
      <c r="E7" s="14" t="s">
        <v>199</v>
      </c>
      <c r="F7" s="14" t="s">
        <v>200</v>
      </c>
      <c r="G7" s="14" t="s">
        <v>201</v>
      </c>
      <c r="H7" s="8" t="s">
        <v>8</v>
      </c>
      <c r="I7" s="14" t="s">
        <v>193</v>
      </c>
    </row>
    <row r="8">
      <c r="A8" s="13">
        <v>4.0</v>
      </c>
      <c r="B8" s="13" t="s">
        <v>10</v>
      </c>
      <c r="C8" s="14" t="s">
        <v>202</v>
      </c>
      <c r="D8" s="14" t="s">
        <v>32</v>
      </c>
      <c r="E8" s="14" t="s">
        <v>203</v>
      </c>
      <c r="F8" s="14" t="s">
        <v>204</v>
      </c>
      <c r="G8" s="14" t="s">
        <v>201</v>
      </c>
      <c r="H8" s="8" t="s">
        <v>8</v>
      </c>
      <c r="I8" s="14" t="s">
        <v>193</v>
      </c>
    </row>
    <row r="9">
      <c r="A9" s="13">
        <v>5.0</v>
      </c>
      <c r="B9" s="13" t="s">
        <v>10</v>
      </c>
      <c r="C9" s="14" t="s">
        <v>205</v>
      </c>
      <c r="D9" s="14" t="s">
        <v>32</v>
      </c>
      <c r="E9" s="14" t="s">
        <v>206</v>
      </c>
      <c r="F9" s="14" t="s">
        <v>207</v>
      </c>
      <c r="G9" s="14" t="s">
        <v>208</v>
      </c>
      <c r="H9" s="8" t="s">
        <v>8</v>
      </c>
      <c r="I9" s="14" t="s">
        <v>193</v>
      </c>
    </row>
    <row r="10">
      <c r="A10" s="13">
        <v>6.0</v>
      </c>
      <c r="B10" s="13" t="s">
        <v>10</v>
      </c>
      <c r="C10" s="14" t="s">
        <v>209</v>
      </c>
      <c r="D10" s="14" t="s">
        <v>210</v>
      </c>
      <c r="E10" s="14" t="s">
        <v>211</v>
      </c>
      <c r="F10" s="14" t="s">
        <v>212</v>
      </c>
      <c r="G10" s="14" t="s">
        <v>213</v>
      </c>
      <c r="H10" s="8" t="s">
        <v>8</v>
      </c>
      <c r="I10" s="14" t="s">
        <v>193</v>
      </c>
    </row>
    <row r="11">
      <c r="A11" s="13">
        <v>7.0</v>
      </c>
      <c r="B11" s="13" t="s">
        <v>10</v>
      </c>
      <c r="C11" s="14" t="s">
        <v>214</v>
      </c>
      <c r="D11" s="14" t="s">
        <v>32</v>
      </c>
      <c r="E11" s="14" t="s">
        <v>215</v>
      </c>
      <c r="F11" s="14" t="s">
        <v>216</v>
      </c>
      <c r="G11" s="14" t="s">
        <v>217</v>
      </c>
      <c r="H11" s="8" t="s">
        <v>8</v>
      </c>
      <c r="I11" s="14" t="s">
        <v>193</v>
      </c>
    </row>
    <row r="12">
      <c r="A12" s="13">
        <v>8.0</v>
      </c>
      <c r="B12" s="13" t="s">
        <v>10</v>
      </c>
      <c r="C12" s="14" t="s">
        <v>218</v>
      </c>
      <c r="D12" s="14" t="s">
        <v>219</v>
      </c>
      <c r="E12" s="14" t="s">
        <v>220</v>
      </c>
      <c r="F12" s="14" t="s">
        <v>221</v>
      </c>
      <c r="G12" s="14" t="s">
        <v>222</v>
      </c>
      <c r="H12" s="10" t="s">
        <v>65</v>
      </c>
      <c r="I12" s="14" t="s">
        <v>193</v>
      </c>
    </row>
    <row r="13">
      <c r="A13" s="13">
        <v>9.0</v>
      </c>
      <c r="B13" s="13" t="s">
        <v>10</v>
      </c>
      <c r="C13" s="14" t="s">
        <v>223</v>
      </c>
      <c r="D13" s="14" t="s">
        <v>224</v>
      </c>
      <c r="E13" s="14" t="s">
        <v>225</v>
      </c>
      <c r="F13" s="14" t="s">
        <v>226</v>
      </c>
      <c r="G13" s="14" t="s">
        <v>222</v>
      </c>
      <c r="H13" s="10" t="s">
        <v>65</v>
      </c>
      <c r="I13" s="14" t="s">
        <v>193</v>
      </c>
    </row>
    <row r="14">
      <c r="A14" s="13">
        <v>10.0</v>
      </c>
      <c r="B14" s="13" t="s">
        <v>10</v>
      </c>
      <c r="C14" s="14" t="s">
        <v>227</v>
      </c>
      <c r="D14" s="14" t="s">
        <v>228</v>
      </c>
      <c r="E14" s="14" t="s">
        <v>229</v>
      </c>
      <c r="F14" s="14" t="s">
        <v>230</v>
      </c>
      <c r="G14" s="14" t="s">
        <v>231</v>
      </c>
      <c r="H14" s="10" t="s">
        <v>65</v>
      </c>
      <c r="I14" s="14" t="s">
        <v>193</v>
      </c>
    </row>
    <row r="15">
      <c r="A15" s="13">
        <v>11.0</v>
      </c>
      <c r="B15" s="13" t="s">
        <v>10</v>
      </c>
      <c r="C15" s="14" t="s">
        <v>232</v>
      </c>
      <c r="D15" s="14" t="s">
        <v>233</v>
      </c>
      <c r="E15" s="14" t="s">
        <v>234</v>
      </c>
      <c r="F15" s="14" t="s">
        <v>235</v>
      </c>
      <c r="G15" s="14" t="s">
        <v>236</v>
      </c>
      <c r="H15" s="10" t="s">
        <v>65</v>
      </c>
      <c r="I15" s="14" t="s">
        <v>193</v>
      </c>
    </row>
    <row r="16">
      <c r="A16" s="13">
        <v>12.0</v>
      </c>
      <c r="B16" s="13" t="s">
        <v>10</v>
      </c>
      <c r="C16" s="14" t="s">
        <v>237</v>
      </c>
      <c r="D16" s="14" t="s">
        <v>238</v>
      </c>
      <c r="E16" s="14" t="s">
        <v>239</v>
      </c>
      <c r="F16" s="14" t="s">
        <v>240</v>
      </c>
      <c r="G16" s="14" t="s">
        <v>208</v>
      </c>
      <c r="H16" s="8" t="s">
        <v>8</v>
      </c>
      <c r="I16" s="14" t="s">
        <v>193</v>
      </c>
    </row>
    <row r="17">
      <c r="A17" s="13">
        <v>13.0</v>
      </c>
      <c r="B17" s="13" t="s">
        <v>10</v>
      </c>
      <c r="C17" s="14" t="s">
        <v>241</v>
      </c>
      <c r="D17" s="14" t="s">
        <v>242</v>
      </c>
      <c r="E17" s="14" t="s">
        <v>239</v>
      </c>
      <c r="F17" s="14" t="s">
        <v>243</v>
      </c>
      <c r="G17" s="14" t="s">
        <v>222</v>
      </c>
      <c r="H17" s="8" t="s">
        <v>8</v>
      </c>
      <c r="I17" s="14" t="s">
        <v>193</v>
      </c>
    </row>
    <row r="18">
      <c r="A18" s="13">
        <v>14.0</v>
      </c>
      <c r="B18" s="13" t="s">
        <v>10</v>
      </c>
      <c r="C18" s="14" t="s">
        <v>244</v>
      </c>
      <c r="D18" s="14" t="s">
        <v>245</v>
      </c>
      <c r="E18" s="14" t="s">
        <v>246</v>
      </c>
      <c r="F18" s="14" t="s">
        <v>247</v>
      </c>
      <c r="G18" s="14" t="s">
        <v>248</v>
      </c>
      <c r="H18" s="15" t="s">
        <v>249</v>
      </c>
      <c r="I18" s="14" t="s">
        <v>193</v>
      </c>
    </row>
    <row r="19">
      <c r="A19" s="13">
        <v>15.0</v>
      </c>
      <c r="B19" s="13" t="s">
        <v>10</v>
      </c>
      <c r="C19" s="14" t="s">
        <v>250</v>
      </c>
      <c r="D19" s="14" t="s">
        <v>219</v>
      </c>
      <c r="E19" s="14" t="s">
        <v>251</v>
      </c>
      <c r="F19" s="14" t="s">
        <v>252</v>
      </c>
      <c r="G19" s="14" t="s">
        <v>253</v>
      </c>
      <c r="H19" s="10" t="s">
        <v>65</v>
      </c>
      <c r="I19" s="14" t="s">
        <v>193</v>
      </c>
    </row>
    <row r="20">
      <c r="A20" s="13">
        <v>16.0</v>
      </c>
      <c r="B20" s="13" t="s">
        <v>10</v>
      </c>
      <c r="C20" s="14" t="s">
        <v>254</v>
      </c>
      <c r="D20" s="14" t="s">
        <v>255</v>
      </c>
      <c r="E20" s="14" t="s">
        <v>256</v>
      </c>
      <c r="F20" s="14" t="s">
        <v>257</v>
      </c>
      <c r="G20" s="14" t="s">
        <v>258</v>
      </c>
      <c r="H20" s="10" t="s">
        <v>65</v>
      </c>
      <c r="I20" s="14" t="s">
        <v>193</v>
      </c>
    </row>
    <row r="21" ht="15.75" customHeight="1">
      <c r="A21" s="13">
        <v>17.0</v>
      </c>
      <c r="B21" s="13" t="s">
        <v>10</v>
      </c>
      <c r="C21" s="14" t="s">
        <v>259</v>
      </c>
      <c r="D21" s="14" t="s">
        <v>32</v>
      </c>
      <c r="E21" s="14" t="s">
        <v>260</v>
      </c>
      <c r="F21" s="14" t="s">
        <v>261</v>
      </c>
      <c r="G21" s="14" t="s">
        <v>262</v>
      </c>
      <c r="H21" s="10" t="s">
        <v>65</v>
      </c>
      <c r="I21" s="14" t="s">
        <v>193</v>
      </c>
    </row>
    <row r="22" ht="15.75" customHeight="1">
      <c r="A22" s="13">
        <v>18.0</v>
      </c>
      <c r="B22" s="13" t="s">
        <v>11</v>
      </c>
      <c r="C22" s="14" t="s">
        <v>263</v>
      </c>
      <c r="D22" s="14" t="s">
        <v>264</v>
      </c>
      <c r="E22" s="14" t="s">
        <v>265</v>
      </c>
      <c r="F22" s="14" t="s">
        <v>266</v>
      </c>
      <c r="G22" s="14" t="s">
        <v>222</v>
      </c>
      <c r="H22" s="15" t="s">
        <v>249</v>
      </c>
      <c r="I22" s="14" t="s">
        <v>193</v>
      </c>
    </row>
    <row r="23" ht="15.75" customHeight="1">
      <c r="A23" s="13">
        <v>19.0</v>
      </c>
      <c r="B23" s="13" t="s">
        <v>11</v>
      </c>
      <c r="C23" s="14" t="s">
        <v>267</v>
      </c>
      <c r="D23" s="14" t="s">
        <v>268</v>
      </c>
      <c r="E23" s="14" t="s">
        <v>220</v>
      </c>
      <c r="F23" s="14" t="s">
        <v>269</v>
      </c>
      <c r="G23" s="14" t="s">
        <v>270</v>
      </c>
      <c r="H23" s="15" t="s">
        <v>249</v>
      </c>
      <c r="I23" s="14" t="s">
        <v>193</v>
      </c>
    </row>
    <row r="24" ht="15.75" customHeight="1">
      <c r="A24" s="13">
        <v>20.0</v>
      </c>
      <c r="B24" s="13" t="s">
        <v>11</v>
      </c>
      <c r="C24" s="14" t="s">
        <v>271</v>
      </c>
      <c r="D24" s="14" t="s">
        <v>272</v>
      </c>
      <c r="E24" s="14" t="s">
        <v>273</v>
      </c>
      <c r="F24" s="14" t="s">
        <v>274</v>
      </c>
      <c r="G24" s="14" t="s">
        <v>222</v>
      </c>
      <c r="H24" s="15" t="s">
        <v>249</v>
      </c>
      <c r="I24" s="14" t="s">
        <v>193</v>
      </c>
    </row>
    <row r="25" ht="15.75" customHeight="1">
      <c r="A25" s="13">
        <v>21.0</v>
      </c>
      <c r="B25" s="13" t="s">
        <v>11</v>
      </c>
      <c r="C25" s="14" t="s">
        <v>275</v>
      </c>
      <c r="D25" s="14" t="s">
        <v>272</v>
      </c>
      <c r="E25" s="14" t="s">
        <v>276</v>
      </c>
      <c r="F25" s="14" t="s">
        <v>277</v>
      </c>
      <c r="G25" s="14" t="s">
        <v>222</v>
      </c>
      <c r="H25" s="15" t="s">
        <v>249</v>
      </c>
      <c r="I25" s="14" t="s">
        <v>193</v>
      </c>
    </row>
    <row r="26" ht="15.75" customHeight="1">
      <c r="A26" s="13">
        <v>22.0</v>
      </c>
      <c r="B26" s="13" t="s">
        <v>11</v>
      </c>
      <c r="C26" s="14" t="s">
        <v>278</v>
      </c>
      <c r="D26" s="14" t="s">
        <v>272</v>
      </c>
      <c r="E26" s="14" t="s">
        <v>279</v>
      </c>
      <c r="F26" s="14" t="s">
        <v>280</v>
      </c>
      <c r="G26" s="14" t="s">
        <v>248</v>
      </c>
      <c r="H26" s="15" t="s">
        <v>249</v>
      </c>
      <c r="I26" s="14" t="s">
        <v>193</v>
      </c>
    </row>
    <row r="27" ht="15.75" customHeight="1">
      <c r="A27" s="13">
        <v>23.0</v>
      </c>
      <c r="B27" s="13" t="s">
        <v>11</v>
      </c>
      <c r="C27" s="14" t="s">
        <v>281</v>
      </c>
      <c r="D27" s="14" t="s">
        <v>272</v>
      </c>
      <c r="E27" s="14" t="s">
        <v>279</v>
      </c>
      <c r="F27" s="14" t="s">
        <v>282</v>
      </c>
      <c r="G27" s="14" t="s">
        <v>222</v>
      </c>
      <c r="H27" s="15" t="s">
        <v>249</v>
      </c>
      <c r="I27" s="14" t="s">
        <v>193</v>
      </c>
    </row>
    <row r="28" ht="15.75" customHeight="1">
      <c r="A28" s="13">
        <v>24.0</v>
      </c>
      <c r="B28" s="13" t="s">
        <v>11</v>
      </c>
      <c r="C28" s="14" t="s">
        <v>283</v>
      </c>
      <c r="D28" s="14" t="s">
        <v>123</v>
      </c>
      <c r="E28" s="14" t="s">
        <v>284</v>
      </c>
      <c r="F28" s="14" t="s">
        <v>285</v>
      </c>
      <c r="G28" s="14" t="s">
        <v>222</v>
      </c>
      <c r="H28" s="10" t="s">
        <v>65</v>
      </c>
      <c r="I28" s="14" t="s">
        <v>193</v>
      </c>
    </row>
    <row r="29" ht="15.75" customHeight="1">
      <c r="A29" s="13">
        <v>25.0</v>
      </c>
      <c r="B29" s="13" t="s">
        <v>11</v>
      </c>
      <c r="C29" s="14" t="s">
        <v>286</v>
      </c>
      <c r="D29" s="14" t="s">
        <v>123</v>
      </c>
      <c r="E29" s="14" t="s">
        <v>287</v>
      </c>
      <c r="F29" s="14" t="s">
        <v>288</v>
      </c>
      <c r="G29" s="14" t="s">
        <v>222</v>
      </c>
      <c r="H29" s="10" t="s">
        <v>65</v>
      </c>
      <c r="I29" s="14" t="s">
        <v>193</v>
      </c>
    </row>
    <row r="30" ht="15.75" customHeight="1">
      <c r="A30" s="13">
        <v>26.0</v>
      </c>
      <c r="B30" s="13" t="s">
        <v>11</v>
      </c>
      <c r="C30" s="14" t="s">
        <v>289</v>
      </c>
      <c r="D30" s="14" t="s">
        <v>290</v>
      </c>
      <c r="E30" s="14" t="s">
        <v>291</v>
      </c>
      <c r="F30" s="14" t="s">
        <v>292</v>
      </c>
      <c r="G30" s="14" t="s">
        <v>248</v>
      </c>
      <c r="H30" s="10" t="s">
        <v>65</v>
      </c>
      <c r="I30" s="14" t="s">
        <v>193</v>
      </c>
    </row>
    <row r="31" ht="15.75" customHeight="1">
      <c r="A31" s="13">
        <v>27.0</v>
      </c>
      <c r="B31" s="13" t="s">
        <v>11</v>
      </c>
      <c r="C31" s="14" t="s">
        <v>293</v>
      </c>
      <c r="D31" s="14" t="s">
        <v>294</v>
      </c>
      <c r="E31" s="14" t="s">
        <v>291</v>
      </c>
      <c r="F31" s="14" t="s">
        <v>295</v>
      </c>
      <c r="G31" s="14" t="s">
        <v>222</v>
      </c>
      <c r="H31" s="10" t="s">
        <v>65</v>
      </c>
      <c r="I31" s="14" t="s">
        <v>193</v>
      </c>
    </row>
    <row r="32" ht="15.75" customHeight="1">
      <c r="A32" s="13">
        <v>28.0</v>
      </c>
      <c r="B32" s="13" t="s">
        <v>11</v>
      </c>
      <c r="C32" s="14" t="s">
        <v>296</v>
      </c>
      <c r="D32" s="14" t="s">
        <v>272</v>
      </c>
      <c r="E32" s="14" t="s">
        <v>297</v>
      </c>
      <c r="F32" s="14" t="s">
        <v>298</v>
      </c>
      <c r="G32" s="14" t="s">
        <v>222</v>
      </c>
      <c r="H32" s="10" t="s">
        <v>65</v>
      </c>
      <c r="I32" s="14" t="s">
        <v>193</v>
      </c>
    </row>
    <row r="33" ht="15.75" customHeight="1">
      <c r="A33" s="13">
        <v>29.0</v>
      </c>
      <c r="B33" s="13" t="s">
        <v>11</v>
      </c>
      <c r="C33" s="14" t="s">
        <v>299</v>
      </c>
      <c r="D33" s="14" t="s">
        <v>300</v>
      </c>
      <c r="E33" s="14" t="s">
        <v>301</v>
      </c>
      <c r="F33" s="14" t="s">
        <v>302</v>
      </c>
      <c r="G33" s="14" t="s">
        <v>201</v>
      </c>
      <c r="H33" s="8" t="s">
        <v>8</v>
      </c>
      <c r="I33" s="14" t="s">
        <v>193</v>
      </c>
    </row>
    <row r="34" ht="15.75" customHeight="1">
      <c r="A34" s="13">
        <v>30.0</v>
      </c>
      <c r="B34" s="13" t="s">
        <v>11</v>
      </c>
      <c r="C34" s="14" t="s">
        <v>303</v>
      </c>
      <c r="D34" s="14" t="s">
        <v>123</v>
      </c>
      <c r="E34" s="14" t="s">
        <v>304</v>
      </c>
      <c r="F34" s="14" t="s">
        <v>305</v>
      </c>
      <c r="G34" s="14" t="s">
        <v>217</v>
      </c>
      <c r="H34" s="8" t="s">
        <v>8</v>
      </c>
      <c r="I34" s="14" t="s">
        <v>193</v>
      </c>
    </row>
    <row r="35" ht="15.75" customHeight="1">
      <c r="A35" s="13">
        <v>31.0</v>
      </c>
      <c r="B35" s="13" t="s">
        <v>11</v>
      </c>
      <c r="C35" s="14" t="s">
        <v>306</v>
      </c>
      <c r="D35" s="14" t="s">
        <v>272</v>
      </c>
      <c r="E35" s="14" t="s">
        <v>190</v>
      </c>
      <c r="F35" s="14" t="s">
        <v>307</v>
      </c>
      <c r="G35" s="14" t="s">
        <v>308</v>
      </c>
      <c r="H35" s="8" t="s">
        <v>8</v>
      </c>
      <c r="I35" s="14" t="s">
        <v>193</v>
      </c>
    </row>
    <row r="36" ht="15.75" customHeight="1">
      <c r="A36" s="13">
        <v>32.0</v>
      </c>
      <c r="B36" s="13" t="s">
        <v>11</v>
      </c>
      <c r="C36" s="14" t="s">
        <v>309</v>
      </c>
      <c r="D36" s="14" t="s">
        <v>310</v>
      </c>
      <c r="E36" s="14" t="s">
        <v>239</v>
      </c>
      <c r="F36" s="14" t="s">
        <v>311</v>
      </c>
      <c r="G36" s="14" t="s">
        <v>222</v>
      </c>
      <c r="H36" s="8" t="s">
        <v>8</v>
      </c>
      <c r="I36" s="14" t="s">
        <v>193</v>
      </c>
    </row>
    <row r="37" ht="15.75" customHeight="1">
      <c r="A37" s="13">
        <v>33.0</v>
      </c>
      <c r="B37" s="13" t="s">
        <v>11</v>
      </c>
      <c r="C37" s="14" t="s">
        <v>312</v>
      </c>
      <c r="D37" s="14" t="s">
        <v>123</v>
      </c>
      <c r="E37" s="14" t="s">
        <v>239</v>
      </c>
      <c r="F37" s="14" t="s">
        <v>313</v>
      </c>
      <c r="G37" s="14" t="s">
        <v>222</v>
      </c>
      <c r="H37" s="8" t="s">
        <v>8</v>
      </c>
      <c r="I37" s="14" t="s">
        <v>193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I$37"/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12.0"/>
    <col customWidth="1" min="3" max="3" width="42.0"/>
    <col customWidth="1" min="4" max="4" width="16.0"/>
    <col customWidth="1" min="5" max="5" width="18.0"/>
    <col customWidth="1" min="6" max="6" width="44.0"/>
    <col customWidth="1" min="7" max="9" width="8.71"/>
  </cols>
  <sheetData>
    <row r="1" ht="27.75" customHeight="1">
      <c r="A1" s="1" t="s">
        <v>314</v>
      </c>
      <c r="B1" s="2"/>
      <c r="C1" s="2"/>
      <c r="D1" s="2"/>
      <c r="E1" s="2"/>
      <c r="F1" s="2"/>
    </row>
    <row r="2" ht="21.75" customHeight="1">
      <c r="A2" s="3" t="s">
        <v>315</v>
      </c>
    </row>
    <row r="4" ht="25.5" customHeight="1">
      <c r="A4" s="4" t="s">
        <v>9</v>
      </c>
      <c r="B4" s="4" t="s">
        <v>23</v>
      </c>
      <c r="C4" s="4" t="s">
        <v>316</v>
      </c>
      <c r="D4" s="4" t="s">
        <v>317</v>
      </c>
      <c r="E4" s="4" t="s">
        <v>318</v>
      </c>
      <c r="F4" s="4" t="s">
        <v>319</v>
      </c>
    </row>
    <row r="5" ht="19.5" customHeight="1">
      <c r="A5" s="16" t="s">
        <v>20</v>
      </c>
      <c r="B5" s="2"/>
      <c r="C5" s="2"/>
      <c r="D5" s="2"/>
      <c r="E5" s="2"/>
      <c r="F5" s="2"/>
    </row>
    <row r="6">
      <c r="A6" s="13"/>
      <c r="B6" s="13" t="s">
        <v>10</v>
      </c>
      <c r="C6" s="14" t="s">
        <v>320</v>
      </c>
      <c r="D6" s="13" t="s">
        <v>321</v>
      </c>
      <c r="E6" s="17" t="s">
        <v>322</v>
      </c>
      <c r="F6" s="14" t="s">
        <v>323</v>
      </c>
    </row>
    <row r="7">
      <c r="A7" s="13"/>
      <c r="B7" s="13" t="s">
        <v>10</v>
      </c>
      <c r="C7" s="14" t="s">
        <v>324</v>
      </c>
      <c r="D7" s="13" t="s">
        <v>325</v>
      </c>
      <c r="E7" s="17" t="s">
        <v>322</v>
      </c>
      <c r="F7" s="14" t="s">
        <v>326</v>
      </c>
    </row>
    <row r="8">
      <c r="A8" s="13"/>
      <c r="B8" s="13" t="s">
        <v>10</v>
      </c>
      <c r="C8" s="14" t="s">
        <v>327</v>
      </c>
      <c r="D8" s="13" t="s">
        <v>328</v>
      </c>
      <c r="E8" s="17" t="s">
        <v>322</v>
      </c>
      <c r="F8" s="14" t="s">
        <v>326</v>
      </c>
    </row>
    <row r="9">
      <c r="A9" s="13"/>
      <c r="B9" s="13" t="s">
        <v>10</v>
      </c>
      <c r="C9" s="14" t="s">
        <v>329</v>
      </c>
      <c r="D9" s="13" t="s">
        <v>330</v>
      </c>
      <c r="E9" s="17" t="s">
        <v>322</v>
      </c>
      <c r="F9" s="14" t="s">
        <v>326</v>
      </c>
    </row>
    <row r="10">
      <c r="A10" s="13"/>
      <c r="B10" s="13" t="s">
        <v>11</v>
      </c>
      <c r="C10" s="14" t="s">
        <v>331</v>
      </c>
      <c r="D10" s="13" t="s">
        <v>332</v>
      </c>
      <c r="E10" s="17" t="s">
        <v>322</v>
      </c>
      <c r="F10" s="14" t="s">
        <v>333</v>
      </c>
    </row>
    <row r="11">
      <c r="A11" s="13"/>
      <c r="B11" s="13" t="s">
        <v>11</v>
      </c>
      <c r="C11" s="14" t="s">
        <v>334</v>
      </c>
      <c r="D11" s="13" t="s">
        <v>335</v>
      </c>
      <c r="E11" s="18" t="s">
        <v>336</v>
      </c>
      <c r="F11" s="14" t="s">
        <v>337</v>
      </c>
    </row>
    <row r="13" ht="19.5" customHeight="1">
      <c r="A13" s="16" t="s">
        <v>338</v>
      </c>
      <c r="B13" s="2"/>
      <c r="C13" s="2"/>
      <c r="D13" s="2"/>
      <c r="E13" s="2"/>
      <c r="F13" s="2"/>
    </row>
    <row r="14">
      <c r="A14" s="13"/>
      <c r="B14" s="13" t="s">
        <v>10</v>
      </c>
      <c r="C14" s="14" t="s">
        <v>339</v>
      </c>
      <c r="D14" s="13" t="s">
        <v>340</v>
      </c>
      <c r="E14" s="17" t="s">
        <v>322</v>
      </c>
      <c r="F14" s="14" t="s">
        <v>341</v>
      </c>
    </row>
    <row r="15">
      <c r="A15" s="13"/>
      <c r="B15" s="13" t="s">
        <v>10</v>
      </c>
      <c r="C15" s="14" t="s">
        <v>342</v>
      </c>
      <c r="D15" s="13" t="s">
        <v>343</v>
      </c>
      <c r="E15" s="17" t="s">
        <v>322</v>
      </c>
      <c r="F15" s="14" t="s">
        <v>344</v>
      </c>
    </row>
    <row r="16">
      <c r="A16" s="13"/>
      <c r="B16" s="13" t="s">
        <v>10</v>
      </c>
      <c r="C16" s="14" t="s">
        <v>345</v>
      </c>
      <c r="D16" s="13" t="s">
        <v>346</v>
      </c>
      <c r="E16" s="17" t="s">
        <v>322</v>
      </c>
      <c r="F16" s="14" t="s">
        <v>341</v>
      </c>
    </row>
    <row r="17">
      <c r="A17" s="13"/>
      <c r="B17" s="13" t="s">
        <v>10</v>
      </c>
      <c r="C17" s="14" t="s">
        <v>347</v>
      </c>
      <c r="D17" s="13" t="s">
        <v>348</v>
      </c>
      <c r="E17" s="19" t="s">
        <v>349</v>
      </c>
      <c r="F17" s="14" t="s">
        <v>350</v>
      </c>
    </row>
    <row r="18">
      <c r="A18" s="13"/>
      <c r="B18" s="13" t="s">
        <v>11</v>
      </c>
      <c r="C18" s="14" t="s">
        <v>351</v>
      </c>
      <c r="D18" s="13" t="s">
        <v>352</v>
      </c>
      <c r="E18" s="17" t="s">
        <v>322</v>
      </c>
      <c r="F18" s="14" t="s">
        <v>353</v>
      </c>
    </row>
    <row r="19">
      <c r="A19" s="13"/>
      <c r="B19" s="13" t="s">
        <v>11</v>
      </c>
      <c r="C19" s="14" t="s">
        <v>354</v>
      </c>
      <c r="D19" s="13" t="s">
        <v>355</v>
      </c>
      <c r="E19" s="18" t="s">
        <v>336</v>
      </c>
      <c r="F19" s="14" t="s">
        <v>356</v>
      </c>
    </row>
    <row r="20">
      <c r="A20" s="13"/>
      <c r="B20" s="13" t="s">
        <v>11</v>
      </c>
      <c r="C20" s="14" t="s">
        <v>347</v>
      </c>
      <c r="D20" s="13" t="s">
        <v>348</v>
      </c>
      <c r="E20" s="19" t="s">
        <v>349</v>
      </c>
      <c r="F20" s="14" t="s">
        <v>350</v>
      </c>
    </row>
    <row r="21" ht="15.75" customHeight="1"/>
    <row r="22" ht="39.75" customHeight="1">
      <c r="A22" s="20" t="s">
        <v>357</v>
      </c>
    </row>
    <row r="23" ht="15.75" customHeight="1"/>
    <row r="24" ht="15.75" customHeight="1">
      <c r="H24" s="9" t="s">
        <v>23</v>
      </c>
      <c r="I24" s="9" t="s">
        <v>358</v>
      </c>
    </row>
    <row r="25" ht="15.75" customHeight="1">
      <c r="H25" s="9" t="s">
        <v>10</v>
      </c>
      <c r="I25" s="9">
        <v>1.59</v>
      </c>
    </row>
    <row r="26" ht="15.75" customHeight="1">
      <c r="H26" s="9" t="s">
        <v>11</v>
      </c>
      <c r="I26" s="9">
        <v>3.26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2:F2"/>
    <mergeCell ref="A5:F5"/>
    <mergeCell ref="A13:F13"/>
    <mergeCell ref="A22:F22"/>
  </mergeCells>
  <printOptions/>
  <pageMargins bottom="1.0" footer="0.0" header="0.0" left="0.75" right="0.75" top="1.0"/>
  <pageSetup paperSize="9" orientation="portrait"/>
  <drawing r:id="rId1"/>
</worksheet>
</file>