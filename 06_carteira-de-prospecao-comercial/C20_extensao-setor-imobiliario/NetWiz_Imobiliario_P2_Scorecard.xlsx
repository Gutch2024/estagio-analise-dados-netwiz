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91d3c402e405a7/Outlook/Ambiente de Trabalho/"/>
    </mc:Choice>
  </mc:AlternateContent>
  <xr:revisionPtr revIDLastSave="6" documentId="11_45453A8E7BB68ADAF3D51DA9EFFC901B04561DE3" xr6:coauthVersionLast="47" xr6:coauthVersionMax="47" xr10:uidLastSave="{E16263A7-EDB6-40B7-91A2-A39E137958DF}"/>
  <bookViews>
    <workbookView xWindow="-108" yWindow="-108" windowWidth="23256" windowHeight="12456" activeTab="1" xr2:uid="{00000000-000D-0000-FFFF-FFFF00000000}"/>
  </bookViews>
  <sheets>
    <sheet name="Scorecard" sheetId="1" r:id="rId1"/>
    <sheet name="Metodologia P2" sheetId="2" r:id="rId2"/>
  </sheets>
  <definedNames>
    <definedName name="_xlnm._FilterDatabase" localSheetId="0" hidden="1">Scorecard!$A$4:$P$24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<sst xmlns="http://schemas.openxmlformats.org/spreadsheetml/2006/main" count="211" uniqueCount="96">
  <si>
    <t>NetWiz — P2 | Scorecard: imobiliário independente</t>
  </si>
  <si>
    <t>20 agências pontuadas 0-100 por maturidade digital, com bloqueio principal, serviço recomendado e prioridade. Critérios, pesos e limiares na aba 'Metodologia P2'.</t>
  </si>
  <si>
    <t>ÂMBITO: extensão setorial solicitada, aplicando ao setor imobiliário o mesmo método das tarefas P1, P2 e P3. O mapeamento A4 fixa oito setores (educação e formação, associações empresariais e câmaras, mercados municipais e comércio local e organismos públicos de emprego em PT; educação e formação, associações e câmaras, mercados municipais e centrais de abastecimento e economia social e artesanato em ES) e o imobiliário não consta desse conjunto — este anexo acresce a esse âmbito, não o substitui. A base que cumpre os mínimos da P1 (150 a 250 empresas, 4+4 setores do A4) é a principal, com 166 empresas. Método aqui replicado: apenas fontes públicas; distinção entre dado confirmado e inferido; registo da origem e data de cada dado; tratamento de dados de empresa e não de pessoas singulares, ao abrigo do interesse legítimo para prospeção B2B (RGPD).</t>
  </si>
  <si>
    <t>N.º</t>
  </si>
  <si>
    <t>País</t>
  </si>
  <si>
    <t>Empresa</t>
  </si>
  <si>
    <t>Setor</t>
  </si>
  <si>
    <t>Website</t>
  </si>
  <si>
    <t>E-commerce / Listagens</t>
  </si>
  <si>
    <t>Redes</t>
  </si>
  <si>
    <t>SEO</t>
  </si>
  <si>
    <t>Google</t>
  </si>
  <si>
    <t>CTA</t>
  </si>
  <si>
    <t>Pontuação (0-100)</t>
  </si>
  <si>
    <t>Nível</t>
  </si>
  <si>
    <t>Bloqueio principal</t>
  </si>
  <si>
    <t>Serviço recomendado</t>
  </si>
  <si>
    <t>Prioridade</t>
  </si>
  <si>
    <t>Evidência (fonte pública)</t>
  </si>
  <si>
    <t>Portugal</t>
  </si>
  <si>
    <t>Habita</t>
  </si>
  <si>
    <t>Imobiliário / Mediação imobiliária (agências independentes)</t>
  </si>
  <si>
    <t>Média</t>
  </si>
  <si>
    <t>Operacional</t>
  </si>
  <si>
    <t>Automação + LeadDesk</t>
  </si>
  <si>
    <t>SITE OFICIAL (contactos): geral@habita.pt, 210 953 236, 969 828 295; entidade M2 - Sociedade de Mediação Imobiliária, Lda, AMI 278. FICHA DE EMPRESA: 21 colaboradores, fundada 2013, 6 escritórios, LinkedIn /habita-imobiliaria com 1.450 seguidores.</t>
  </si>
  <si>
    <t>REILAR</t>
  </si>
  <si>
    <t>Baixa</t>
  </si>
  <si>
    <t>Conversão</t>
  </si>
  <si>
    <t>Website + Comunicação digital</t>
  </si>
  <si>
    <t>Alta</t>
  </si>
  <si>
    <t>SITE OFICIAL (contactos): info@reilar.pt e 219 441 155, Rua António Pedro de Carvalho 14, Moscavide; entidade REILAR - Sociedade de Mediação Imobiliária, Lda, AMI 2092. FICHA DE EMPRESA: comercial@reilar.pt e 936 660 222, 6 colaboradores, fundada 1997, LinkedIn /reilar. NOTA: a página de contactos mostra 'AMI: 123456789', valor por defeito do template — o AMI real (2092) está no rodapé.</t>
  </si>
  <si>
    <t>Casa10 Real Estate</t>
  </si>
  <si>
    <t>SITE OFICIAL (contactos): geral@casa10.pt, evora@casa10.pt, 214 056 000, 266 744 069; QUATRO escritórios — Av. do Atlântico 16, 8.11, Parque das Nações, 1990-019 Lisboa; Av. 25 de Abril 29, 1º Esq., Esc. B5, 2870-150 Montijo; Rua Alcárcova de Baixo 54, 1º, 7000-841 Évora; Largo da Revolução de 1910 nº 9, 2890-027 Alcochete. AMI 9616. REGISTO COMERCIAL: CASA10 - Mediação Imobiliária, Lda, NIF 510562400, sede social no Montijo, constituída há 13 anos (2013). DIVERGÊNCIA RESOLVIDA: a sociedade foi constituída em 2013; os 'desde 2006' que o site declara referem-se à atividade no mercado, anterior à constituição desta sociedade. As duas afirmações são compatíveis.</t>
  </si>
  <si>
    <t>N Propriedades</t>
  </si>
  <si>
    <t>Sem presença</t>
  </si>
  <si>
    <t>Website + Marketing digital</t>
  </si>
  <si>
    <t>SITE OFICIAL: apenas formulário; AMI 1028 no rodapé; entidade N Propriedades - Sociedade de Mediação Imobiliária, Lda, Rua de Ceuta 4D, 2795-056 Linda-a-Velha. FICHA DE EMPRESA: 2 colaboradores, fundada 1995, LinkedIn /npropriedades com 142 seguidores. Nenhum email publicado em qualquer fonte.</t>
  </si>
  <si>
    <t>Predimed Portus</t>
  </si>
  <si>
    <t>PÁGINA OFICIAL DA AGÊNCIA (predimed.pt/portus/empresa): portus@predimed.pt e +351 914 422 210, Rua de Domingos Sequeira 234, Porto; página de equipa lista cerca de 12 consultores. FICHA DE EMPRESA: 4 colaboradores diretos, fundada 2004, LinkedIn /predimed-portus-imobiliaria-porto com 2.363 seguidores, telefone 221 179 852. Ambos os telefones estão confirmados. A diferença 4 vs 12 é entre colaboradores diretos e consultores da rede.</t>
  </si>
  <si>
    <t>Vila Mais</t>
  </si>
  <si>
    <t>SITE OFICIAL (contactos): fixo 224 211 121 e telemóvel 913 050 087, Rua Dr. Eduardo Santos Silva 30, Paranhos, Porto; entidade Vila Mais - Sociedade Mediação Imobiliária, Lda, AMI 13523. REGISTO DE MARCA (Portal da Queixa): geral@vilamais.pt e segundo escritório na Rua Rainha Santa Isabel 87, 4440-569 Valongo — o email NÃO consta de nenhuma página do site, apenas do registo da marca, o que em si é sintoma. REGISTO COMERCIAL: constituída em 2001, sede em Paranhos. DIVERGÊNCIA RESOLVIDA: existem duas páginas LinkedIn; a ATIVA é /vila-mais-sociedade-de-mediação-imobiliária, confirmada por ser a que os próprios colaboradores (Manuel Fernando, Rui Barros) associam ao seu percurso profissional. A página /vila-mais é duplicado abandonado — a duplicação é, em si, sintoma da gestão digital descuidada que motiva a classificação. Segundo escritório em Valongo segundo a ficha de empresa.</t>
  </si>
  <si>
    <t>Dignus Domus</t>
  </si>
  <si>
    <t>SITE OFICIAL (contactos): geral@dignusdomus.pt, +351 229 381 298 e +351 926 730 370, Rua da Boavista 34, 4050-102 Porto; entidade DIGNUS DOMUS - Mediação Imobiliária, Lda, AMI 15630; página 'Quem Somos' lista cerca de 18 consultores com email e telemóvel próprios; cobertura declarada: Porto, Vila Nova de Gaia, Maia e Matosinhos. FICHA DE EMPRESA: telefone 222 081 582 (também válido). O URL do LinkedIn tem acentos codificados em percent-encoding — é assim que funciona.</t>
  </si>
  <si>
    <t>URB / Redeurb</t>
  </si>
  <si>
    <t>SITE OFICIAL (urb.pt/agencia): geral@redeurb.pt, +351 253 084 270 e +351 913 888 846, Rua Bernardo Sequeira 12, S. Victor, Braga; entidade Redeurb - Mediação e Gestão, Lda, AMI 11036. FICHA DE EMPRESA: fundada em 2014, LinkedIn /redeurb com 22 seguidores. NOTA: os '15 anos de experiência' que o site refere são a experiência acumulada dos fundadores, não a idade da empresa.</t>
  </si>
  <si>
    <t>Janela Imobiliária</t>
  </si>
  <si>
    <t>SITE OFICIAL (contactos): geral@janela.pt, 289 802 074 e 917 069 800, Rua Francisco Barreto 10, Faro; entidade Janela Algarvia - Mediação Imobiliária, Lda, AMI 6110, fundada em 2004. FICHA DE EMPRESA: 6 colaboradores, LinkedIn /janela-imobiliaria, 4 escritórios (Faro, MAR Shopping Algarve em Loulé, Lisboa). NOTA: 'AMI: 123456789' na página de contactos é valor por defeito do template. NOTA 2: a ficha lista o alias 'Janela Digital, S.A.' — é outra empresa (software imobiliário) e não deve ser confundida.</t>
  </si>
  <si>
    <t>APA Imobiliária / Rede Real</t>
  </si>
  <si>
    <t>SITE OFICIAL redereal.com (contactos): faro@redereal.com e +351 289 393 666, Rua 1º de Maio 8, Faro. FICHA DE EMPRESA: 9 colaboradores, fundada 1987, três emails por escritório (faro, albufeira, loule), três telefones, LinkedIn /apa-imobiliária com 96 seguidores. APA - Imobiliária detém a AMI 418; o portal redereal.com é operado pela ALBUREAL - Mediação Imobiliária, Unipessoal, Lda, AMI 5583 — duas entidades associadas sob a mesma operação comercial.</t>
  </si>
  <si>
    <t>Espanha</t>
  </si>
  <si>
    <t>JS Gestión Inmobiliaria</t>
  </si>
  <si>
    <t>ANÚNCIOS PUBLICADOS PELA PRÓPRIA AGÊNCIA (portais imobiliários): 'JS Gestión Inmobiliaria — C/ Reina, 7 Local, 28004 Madrid'. Mesma morada e telefones (91 782 55 58 e 689 826 257) em três diretórios independentes. SITE OFICIAL: apenas formulário; declara especialização em Centro, Chamberí, Retiro, Salamanca e Argüelles. FICHA DE EMPRESA: 13 colaboradores, fundada 2010, LinkedIn /js-gestión-inmobiliaria com 81 seguidores. DIVERGÊNCIA RESOLVIDA: as entradas 'Duque de Sesto 27' e 'Moncloa-Aravaca' de outros diretórios não se confirmam em nenhuma fonte ligada à empresa e foram descartadas.</t>
  </si>
  <si>
    <t>Salamanca Gestión Inmobiliaria</t>
  </si>
  <si>
    <t>DIRETÓRIO SETORIAL E FICHA DE EMPRESA: Calle General Díaz Porlier 45, 28001 Madrid, telefone 913 54 92 57, LinkedIn /salamanca-gestión-inmobiliaria com 13 seguidores. AVISO IMPORTANTE: o domínio mobiliagestion.es NÃO pertence a esta agência — é a plataforma de CRM imobiliário da SOLUCIONES IP HISPANAS, S.L. (Fausto Culebras 4, Cuenca, CIF B-16208167, tel. 969 234 875). Fichas de empresa atribuem erradamente esse email e telefone à agência. O site da agência é o subdomínio salamanca.mobiliagestion.es, ou seja, está alojado na plataforma desse fornecedor e a agência não tem domínio próprio. NÃO está confirmado que a agência utilize o CRM da Mobilia — o que se confirma é apenas o alojamento do site.</t>
  </si>
  <si>
    <t>La Agencia del Barrio</t>
  </si>
  <si>
    <t>SITE OFICIAL (contacto e aviso legal): laagenciadelbarriomoratalaz@gmail.com e +34 919 40 06 51; entidade LA AGENCIA DEL BARRIO GESTIÓN Y ADMINISTRACIÓN DE LA PROPIEDAD, S.L., C/ Encomienda de Palacios 224, 28030 Madrid. FICHA DE EMPRESA: 2 colaboradores, LinkedIn /la-agencia-del-barrio. Email e telefone coincidem nas duas fontes.</t>
  </si>
  <si>
    <t>Punto Habitat</t>
  </si>
  <si>
    <t>SITE OFICIAL (contacto, versões ES/EN/CA): info@puntohabitat.es, 93 455 85 35 e 93 539 14 10; escritórios em Passeig de Sant Joan 150 e Carrer de la Indústria 137, Barcelona. FICHA DE EMPRESA: 4 colaboradores, fundada 1995, LinkedIn /punto-habitat com 619 seguidores. Os dados coincidem nas duas fontes.</t>
  </si>
  <si>
    <t>LASOSE Real Estate</t>
  </si>
  <si>
    <t>SITE OFICIAL (contacto, versões EN/ES/CA): info@lasose.com, +34 93 525 46 88 e +34 603 486 670, Rambla de Catalunya 61, 3-1, 08007 Barcelona. FICHA DE EMPRESA: entidade LASOSE Real Estate, S.L., 8 colaboradores, LinkedIn /lasose com 2.091 seguidores, presença declarada em Países Baixos e França. Publicação de recrutamento de associado imobiliário no LinkedIn datada de 18/08/2025.</t>
  </si>
  <si>
    <t>Naranja Inmobiliaria</t>
  </si>
  <si>
    <t>SITE OFICIAL: escritórios em Passatge Sedó 2, local 1, Singuerlín (Santa Coloma de Gramenet) e Carrer del Turó de la Trinitat 59, local 1 (Barcelona), com 930 093 362 e 931 370 992 respetivamente. FICHA DE EMPRESA: 3 colaboradores, LinkedIn /naranjainmobiliaria com 43 seguidores, emails singuerlin@ e trinitatvella@naranjainmobiliaria.com. Os emails não estão em texto legível no site (surgem ofuscados) mas constam da ficha de empresa.</t>
  </si>
  <si>
    <t>Found Valencia Property</t>
  </si>
  <si>
    <t>SITE OFICIAL (contacto): welcome@foundvalencia.com e +34 96 344 77 74. AVISO LEGAL: FOUND VALENCIA PROPERTY, S.L.U., CIF B98307283, C/ Grabador Esteve 22, bajo, 46004 Valência, email office@foundvalencia.com. FICHA DE EMPRESA: 5 colaboradores, fundada 2010, LinkedIn /found-valencia com 1.213 seguidores. Página de equipa lista 5 pessoas; segundo escritório em Bocairent.</t>
  </si>
  <si>
    <t>Malaga Oak Real Estate</t>
  </si>
  <si>
    <t>SITE OFICIAL (página de contacto, rodapé): info@malagaoak.com, 952 33 19 40 e 689 813 534 para chamada e WhatsApp, Paseo de Sancha 60, Málaga-Este 29016; redes próprias em Instagram (@malagaoakrealestate) e Facebook. O próprio site declara 'agencia inmobiliaria independiente fundada en 2022' e a abertura de escritório em El Limonar em novembro de 2024. POLÍTICA DE PRIVACIDADE: responsável Joaquín Viñals Sastrón, NIF 52363894R, Calle Profesor Jesús Marín 2 — empresário individual, não sociedade. FICHA DE EMPRESA: 2 colaboradores, LinkedIn /malaga-oak com 31 seguidores, primeira publicação em 24/03/2025. Site construído em Wix.</t>
  </si>
  <si>
    <t>Alquirelax</t>
  </si>
  <si>
    <t>Processos dispersos</t>
  </si>
  <si>
    <t>Software à medida + CRM</t>
  </si>
  <si>
    <t>SITE OFICIAL (contacto e equipa): info@alquirelax.com, 954 086 200 e 636 158 928, Calle Juan Sebastián Elcano 30, 1ºA, 41011 Sevilha; pertença ao Grupo Urbanarte, S.L. declarada na página de equipa. REGISTO COMERCIAL: Alquirelax, S.L., NIF B67687475. FICHA DE EMPRESA: 3 colaboradores, fundada 2021, LinkedIn /alquirelax com 142 seguidores. Todos os campos coincidem nas três fontes.</t>
  </si>
  <si>
    <t>Inmoselo</t>
  </si>
  <si>
    <t>AVISO LEGAL DO SITE OFICIAL: info@inmoseloinmobiliarias.com e 954530542; entidade Segura &amp; Lora, S.L., CIF B91508804, C/ Arroyo 86, local 1A, 41008 Sevilha. FICHA DE EMPRESA: 2 colaboradores, fundada 2004, LinkedIn /inmoselo com 135 seguidores. O catálogo de imóveis está em propiedades.inmoseloinmobiliarias.com, subdomínio cujo rodapé identifica a Inmovilla como autora do software. Não foi possível apurar em fonte pública os termos dessa relação comercial.</t>
  </si>
  <si>
    <t>P2 (Imobiliário independente) — Nota metodológica</t>
  </si>
  <si>
    <t>1. Critérios e pesos</t>
  </si>
  <si>
    <t>Critério</t>
  </si>
  <si>
    <t>O que avalia</t>
  </si>
  <si>
    <t>Peso</t>
  </si>
  <si>
    <t>Website (existência e estado)</t>
  </si>
  <si>
    <t>Site próprio, atual e funcional</t>
  </si>
  <si>
    <t>E-commerce / Listagens online</t>
  </si>
  <si>
    <t>Critério 'e-commerce' do enunciado, adaptado ao setor: no imobiliário a transação não se fecha online, pelo que se avalia a carteira de imóveis própria no site face à dependência de portais de terceiros</t>
  </si>
  <si>
    <t>Atividade em redes sociais</t>
  </si>
  <si>
    <t>Presença e atividade nas redes e LinkedIn</t>
  </si>
  <si>
    <t>SEO / velocidade básica</t>
  </si>
  <si>
    <t>Posicionamento orgânico local</t>
  </si>
  <si>
    <t>Presença no Google</t>
  </si>
  <si>
    <t>Google Business e pesquisa de marca</t>
  </si>
  <si>
    <t>Formulário / CTA</t>
  </si>
  <si>
    <t>Capta e converte contactos</t>
  </si>
  <si>
    <t>Total</t>
  </si>
  <si>
    <t>Limiar prioridade Alta</t>
  </si>
  <si>
    <t>Pontuação menor ou igual a:</t>
  </si>
  <si>
    <t>Limiar prioridade Média</t>
  </si>
  <si>
    <t>Mapeamento bloqueio → serviço</t>
  </si>
  <si>
    <t>Contraste com o anexo das grandes redes: aquelas davam média de 70,3 e zero casos de 'sem presença'. Estas independentes dão uma média muito inferior e vários casos de ausência de presença digital — é aqui que a oferta base da NetWiz (website e marketing) tem procura real. As pontuações são estimativas por observação pública e devem ser revalidadas com auditoria a cada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</si>
</sst>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9"/>
      <color rgb="FF555555"/>
      <name val="Arial"/>
      <family val="2"/>
    </font>
    <font>
      <sz val="8"/>
      <color rgb="FF7F6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3"/>
      <color rgb="FF1F3864"/>
      <name val="Arial"/>
      <family val="2"/>
    </font>
    <font>
      <b/>
      <sz val="10"/>
      <color rgb="FF1F3864"/>
      <name val="Arial"/>
      <family val="2"/>
    </font>
    <font>
      <b/>
      <sz val="9"/>
      <color theme="1"/>
      <name val="Arial"/>
      <family val="2"/>
    </font>
    <font>
      <i/>
      <sz val="8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rgb="FFE8A33D"/>
        <bgColor rgb="FFE8A33D"/>
      </patternFill>
    </fill>
    <fill>
      <patternFill patternType="solid">
        <fgColor rgb="FFC6301F"/>
        <bgColor rgb="FFC6301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8" fillId="0" borderId="0" xfId="0" applyFont="1"/>
    <xf numFmtId="0" fontId="5" fillId="4" borderId="4" xfId="0" applyFont="1" applyFill="1" applyBorder="1"/>
    <xf numFmtId="0" fontId="9" fillId="3" borderId="4" xfId="0" applyFont="1" applyFill="1" applyBorder="1" applyAlignment="1">
      <alignment vertical="top" wrapText="1"/>
    </xf>
    <xf numFmtId="0" fontId="9" fillId="0" borderId="0" xfId="0" applyFont="1"/>
    <xf numFmtId="0" fontId="9" fillId="0" borderId="4" xfId="0" applyFont="1" applyBorder="1"/>
    <xf numFmtId="0" fontId="6" fillId="0" borderId="0" xfId="0" applyFont="1"/>
    <xf numFmtId="0" fontId="9" fillId="3" borderId="4" xfId="0" applyFont="1" applyFill="1" applyBorder="1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 wrapText="1"/>
    </xf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7" fillId="0" borderId="0" xfId="0" applyFont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showGridLines="0" workbookViewId="0">
      <selection activeCell="A3" sqref="A3:P3"/>
    </sheetView>
  </sheetViews>
  <sheetFormatPr defaultColWidth="14.44140625" defaultRowHeight="15" customHeight="1" x14ac:dyDescent="0.3"/>
  <cols>
    <col min="1" max="1" width="5" customWidth="1"/>
    <col min="2" max="2" width="10" customWidth="1"/>
    <col min="3" max="3" width="30" customWidth="1"/>
    <col min="4" max="4" width="26" customWidth="1"/>
    <col min="5" max="5" width="10" customWidth="1"/>
    <col min="6" max="6" width="11" customWidth="1"/>
    <col min="7" max="7" width="9" customWidth="1"/>
    <col min="8" max="8" width="8" customWidth="1"/>
    <col min="9" max="9" width="9" customWidth="1"/>
    <col min="10" max="10" width="8" customWidth="1"/>
    <col min="11" max="11" width="14" customWidth="1"/>
    <col min="12" max="12" width="10" customWidth="1"/>
    <col min="13" max="13" width="19" customWidth="1"/>
    <col min="14" max="14" width="26" customWidth="1"/>
    <col min="15" max="15" width="12" customWidth="1"/>
    <col min="16" max="16" width="50" customWidth="1"/>
    <col min="17" max="26" width="8.6640625" customWidth="1"/>
  </cols>
  <sheetData>
    <row r="1" spans="1:16" ht="27.7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1:16" ht="30" customHeigh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39.75" customHeight="1" x14ac:dyDescent="0.3">
      <c r="A3" s="18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ht="31.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 spans="1:16" ht="45.6" x14ac:dyDescent="0.3">
      <c r="A5" s="2">
        <v>1</v>
      </c>
      <c r="B5" s="2" t="s">
        <v>19</v>
      </c>
      <c r="C5" s="3" t="s">
        <v>20</v>
      </c>
      <c r="D5" s="3" t="s">
        <v>21</v>
      </c>
      <c r="E5" s="2">
        <v>65</v>
      </c>
      <c r="F5" s="2">
        <v>55</v>
      </c>
      <c r="G5" s="2">
        <v>60</v>
      </c>
      <c r="H5" s="2">
        <v>55</v>
      </c>
      <c r="I5" s="2">
        <v>62</v>
      </c>
      <c r="J5" s="2">
        <v>55</v>
      </c>
      <c r="K5" s="2">
        <v>59</v>
      </c>
      <c r="L5" s="2" t="s">
        <v>22</v>
      </c>
      <c r="M5" s="3" t="s">
        <v>23</v>
      </c>
      <c r="N5" s="3" t="s">
        <v>24</v>
      </c>
      <c r="O5" s="4" t="s">
        <v>22</v>
      </c>
      <c r="P5" s="3" t="s">
        <v>25</v>
      </c>
    </row>
    <row r="6" spans="1:16" ht="79.8" x14ac:dyDescent="0.3">
      <c r="A6" s="2">
        <v>2</v>
      </c>
      <c r="B6" s="2" t="s">
        <v>19</v>
      </c>
      <c r="C6" s="3" t="s">
        <v>26</v>
      </c>
      <c r="D6" s="3" t="s">
        <v>21</v>
      </c>
      <c r="E6" s="2">
        <v>50</v>
      </c>
      <c r="F6" s="2">
        <v>42</v>
      </c>
      <c r="G6" s="2">
        <v>35</v>
      </c>
      <c r="H6" s="2">
        <v>38</v>
      </c>
      <c r="I6" s="2">
        <v>55</v>
      </c>
      <c r="J6" s="2">
        <v>45</v>
      </c>
      <c r="K6" s="2">
        <v>45</v>
      </c>
      <c r="L6" s="2" t="s">
        <v>27</v>
      </c>
      <c r="M6" s="3" t="s">
        <v>28</v>
      </c>
      <c r="N6" s="3" t="s">
        <v>29</v>
      </c>
      <c r="O6" s="5" t="s">
        <v>30</v>
      </c>
      <c r="P6" s="3" t="s">
        <v>31</v>
      </c>
    </row>
    <row r="7" spans="1:16" ht="125.4" x14ac:dyDescent="0.3">
      <c r="A7" s="2">
        <v>3</v>
      </c>
      <c r="B7" s="2" t="s">
        <v>19</v>
      </c>
      <c r="C7" s="3" t="s">
        <v>32</v>
      </c>
      <c r="D7" s="3" t="s">
        <v>21</v>
      </c>
      <c r="E7" s="2">
        <v>58</v>
      </c>
      <c r="F7" s="2">
        <v>48</v>
      </c>
      <c r="G7" s="2">
        <v>45</v>
      </c>
      <c r="H7" s="2">
        <v>45</v>
      </c>
      <c r="I7" s="2">
        <v>58</v>
      </c>
      <c r="J7" s="2">
        <v>48</v>
      </c>
      <c r="K7" s="2">
        <v>51</v>
      </c>
      <c r="L7" s="2" t="s">
        <v>22</v>
      </c>
      <c r="M7" s="3" t="s">
        <v>28</v>
      </c>
      <c r="N7" s="3" t="s">
        <v>29</v>
      </c>
      <c r="O7" s="4" t="s">
        <v>22</v>
      </c>
      <c r="P7" s="3" t="s">
        <v>33</v>
      </c>
    </row>
    <row r="8" spans="1:16" ht="57" x14ac:dyDescent="0.3">
      <c r="A8" s="2">
        <v>4</v>
      </c>
      <c r="B8" s="2" t="s">
        <v>19</v>
      </c>
      <c r="C8" s="3" t="s">
        <v>34</v>
      </c>
      <c r="D8" s="3" t="s">
        <v>21</v>
      </c>
      <c r="E8" s="2">
        <v>48</v>
      </c>
      <c r="F8" s="2">
        <v>40</v>
      </c>
      <c r="G8" s="2">
        <v>35</v>
      </c>
      <c r="H8" s="2">
        <v>35</v>
      </c>
      <c r="I8" s="2">
        <v>52</v>
      </c>
      <c r="J8" s="2">
        <v>40</v>
      </c>
      <c r="K8" s="2">
        <v>42</v>
      </c>
      <c r="L8" s="2" t="s">
        <v>27</v>
      </c>
      <c r="M8" s="3" t="s">
        <v>35</v>
      </c>
      <c r="N8" s="3" t="s">
        <v>36</v>
      </c>
      <c r="O8" s="5" t="s">
        <v>30</v>
      </c>
      <c r="P8" s="3" t="s">
        <v>37</v>
      </c>
    </row>
    <row r="9" spans="1:16" ht="91.2" x14ac:dyDescent="0.3">
      <c r="A9" s="2">
        <v>5</v>
      </c>
      <c r="B9" s="2" t="s">
        <v>19</v>
      </c>
      <c r="C9" s="3" t="s">
        <v>38</v>
      </c>
      <c r="D9" s="3" t="s">
        <v>21</v>
      </c>
      <c r="E9" s="2">
        <v>55</v>
      </c>
      <c r="F9" s="2">
        <v>48</v>
      </c>
      <c r="G9" s="2">
        <v>62</v>
      </c>
      <c r="H9" s="2">
        <v>42</v>
      </c>
      <c r="I9" s="2">
        <v>55</v>
      </c>
      <c r="J9" s="2">
        <v>48</v>
      </c>
      <c r="K9" s="2">
        <v>52</v>
      </c>
      <c r="L9" s="2" t="s">
        <v>22</v>
      </c>
      <c r="M9" s="3" t="s">
        <v>28</v>
      </c>
      <c r="N9" s="3" t="s">
        <v>29</v>
      </c>
      <c r="O9" s="4" t="s">
        <v>22</v>
      </c>
      <c r="P9" s="3" t="s">
        <v>39</v>
      </c>
    </row>
    <row r="10" spans="1:16" ht="171" x14ac:dyDescent="0.3">
      <c r="A10" s="2">
        <v>6</v>
      </c>
      <c r="B10" s="2" t="s">
        <v>19</v>
      </c>
      <c r="C10" s="3" t="s">
        <v>40</v>
      </c>
      <c r="D10" s="3" t="s">
        <v>21</v>
      </c>
      <c r="E10" s="2">
        <v>42</v>
      </c>
      <c r="F10" s="2">
        <v>35</v>
      </c>
      <c r="G10" s="2">
        <v>30</v>
      </c>
      <c r="H10" s="2">
        <v>32</v>
      </c>
      <c r="I10" s="2">
        <v>50</v>
      </c>
      <c r="J10" s="2">
        <v>35</v>
      </c>
      <c r="K10" s="2">
        <v>38</v>
      </c>
      <c r="L10" s="2" t="s">
        <v>27</v>
      </c>
      <c r="M10" s="3" t="s">
        <v>35</v>
      </c>
      <c r="N10" s="3" t="s">
        <v>36</v>
      </c>
      <c r="O10" s="5" t="s">
        <v>30</v>
      </c>
      <c r="P10" s="3" t="s">
        <v>41</v>
      </c>
    </row>
    <row r="11" spans="1:16" ht="91.2" x14ac:dyDescent="0.3">
      <c r="A11" s="2">
        <v>7</v>
      </c>
      <c r="B11" s="2" t="s">
        <v>19</v>
      </c>
      <c r="C11" s="3" t="s">
        <v>42</v>
      </c>
      <c r="D11" s="3" t="s">
        <v>21</v>
      </c>
      <c r="E11" s="2">
        <v>58</v>
      </c>
      <c r="F11" s="2">
        <v>50</v>
      </c>
      <c r="G11" s="2">
        <v>40</v>
      </c>
      <c r="H11" s="2">
        <v>45</v>
      </c>
      <c r="I11" s="2">
        <v>58</v>
      </c>
      <c r="J11" s="2">
        <v>50</v>
      </c>
      <c r="K11" s="2">
        <v>51</v>
      </c>
      <c r="L11" s="2" t="s">
        <v>22</v>
      </c>
      <c r="M11" s="3" t="s">
        <v>28</v>
      </c>
      <c r="N11" s="3" t="s">
        <v>29</v>
      </c>
      <c r="O11" s="4" t="s">
        <v>22</v>
      </c>
      <c r="P11" s="3" t="s">
        <v>43</v>
      </c>
    </row>
    <row r="12" spans="1:16" ht="79.8" x14ac:dyDescent="0.3">
      <c r="A12" s="2">
        <v>8</v>
      </c>
      <c r="B12" s="2" t="s">
        <v>19</v>
      </c>
      <c r="C12" s="3" t="s">
        <v>44</v>
      </c>
      <c r="D12" s="3" t="s">
        <v>21</v>
      </c>
      <c r="E12" s="2">
        <v>55</v>
      </c>
      <c r="F12" s="2">
        <v>45</v>
      </c>
      <c r="G12" s="2">
        <v>32</v>
      </c>
      <c r="H12" s="2">
        <v>42</v>
      </c>
      <c r="I12" s="2">
        <v>55</v>
      </c>
      <c r="J12" s="2">
        <v>45</v>
      </c>
      <c r="K12" s="2">
        <v>47</v>
      </c>
      <c r="L12" s="2" t="s">
        <v>22</v>
      </c>
      <c r="M12" s="3" t="s">
        <v>28</v>
      </c>
      <c r="N12" s="3" t="s">
        <v>29</v>
      </c>
      <c r="O12" s="4" t="s">
        <v>22</v>
      </c>
      <c r="P12" s="3" t="s">
        <v>45</v>
      </c>
    </row>
    <row r="13" spans="1:16" ht="91.2" x14ac:dyDescent="0.3">
      <c r="A13" s="2">
        <v>9</v>
      </c>
      <c r="B13" s="2" t="s">
        <v>19</v>
      </c>
      <c r="C13" s="3" t="s">
        <v>46</v>
      </c>
      <c r="D13" s="3" t="s">
        <v>21</v>
      </c>
      <c r="E13" s="2">
        <v>55</v>
      </c>
      <c r="F13" s="2">
        <v>48</v>
      </c>
      <c r="G13" s="2">
        <v>45</v>
      </c>
      <c r="H13" s="2">
        <v>45</v>
      </c>
      <c r="I13" s="2">
        <v>58</v>
      </c>
      <c r="J13" s="2">
        <v>50</v>
      </c>
      <c r="K13" s="2">
        <v>51</v>
      </c>
      <c r="L13" s="2" t="s">
        <v>22</v>
      </c>
      <c r="M13" s="3" t="s">
        <v>23</v>
      </c>
      <c r="N13" s="3" t="s">
        <v>24</v>
      </c>
      <c r="O13" s="4" t="s">
        <v>22</v>
      </c>
      <c r="P13" s="3" t="s">
        <v>47</v>
      </c>
    </row>
    <row r="14" spans="1:16" ht="91.2" x14ac:dyDescent="0.3">
      <c r="A14" s="2">
        <v>10</v>
      </c>
      <c r="B14" s="2" t="s">
        <v>19</v>
      </c>
      <c r="C14" s="3" t="s">
        <v>48</v>
      </c>
      <c r="D14" s="3" t="s">
        <v>21</v>
      </c>
      <c r="E14" s="2">
        <v>52</v>
      </c>
      <c r="F14" s="2">
        <v>45</v>
      </c>
      <c r="G14" s="2">
        <v>35</v>
      </c>
      <c r="H14" s="2">
        <v>40</v>
      </c>
      <c r="I14" s="2">
        <v>55</v>
      </c>
      <c r="J14" s="2">
        <v>45</v>
      </c>
      <c r="K14" s="2">
        <v>46</v>
      </c>
      <c r="L14" s="2" t="s">
        <v>22</v>
      </c>
      <c r="M14" s="3" t="s">
        <v>28</v>
      </c>
      <c r="N14" s="3" t="s">
        <v>29</v>
      </c>
      <c r="O14" s="4" t="s">
        <v>22</v>
      </c>
      <c r="P14" s="3" t="s">
        <v>49</v>
      </c>
    </row>
    <row r="15" spans="1:16" ht="114" x14ac:dyDescent="0.3">
      <c r="A15" s="2">
        <v>11</v>
      </c>
      <c r="B15" s="2" t="s">
        <v>50</v>
      </c>
      <c r="C15" s="3" t="s">
        <v>51</v>
      </c>
      <c r="D15" s="3" t="s">
        <v>21</v>
      </c>
      <c r="E15" s="2">
        <v>55</v>
      </c>
      <c r="F15" s="2">
        <v>48</v>
      </c>
      <c r="G15" s="2">
        <v>38</v>
      </c>
      <c r="H15" s="2">
        <v>45</v>
      </c>
      <c r="I15" s="2">
        <v>58</v>
      </c>
      <c r="J15" s="2">
        <v>48</v>
      </c>
      <c r="K15" s="2">
        <v>49</v>
      </c>
      <c r="L15" s="2" t="s">
        <v>22</v>
      </c>
      <c r="M15" s="3" t="s">
        <v>28</v>
      </c>
      <c r="N15" s="3" t="s">
        <v>29</v>
      </c>
      <c r="O15" s="4" t="s">
        <v>22</v>
      </c>
      <c r="P15" s="3" t="s">
        <v>52</v>
      </c>
    </row>
    <row r="16" spans="1:16" ht="136.80000000000001" x14ac:dyDescent="0.3">
      <c r="A16" s="2">
        <v>12</v>
      </c>
      <c r="B16" s="2" t="s">
        <v>50</v>
      </c>
      <c r="C16" s="3" t="s">
        <v>53</v>
      </c>
      <c r="D16" s="3" t="s">
        <v>21</v>
      </c>
      <c r="E16" s="2">
        <v>38</v>
      </c>
      <c r="F16" s="2">
        <v>45</v>
      </c>
      <c r="G16" s="2">
        <v>28</v>
      </c>
      <c r="H16" s="2">
        <v>32</v>
      </c>
      <c r="I16" s="2">
        <v>48</v>
      </c>
      <c r="J16" s="2">
        <v>40</v>
      </c>
      <c r="K16" s="2">
        <v>38</v>
      </c>
      <c r="L16" s="2" t="s">
        <v>27</v>
      </c>
      <c r="M16" s="3" t="s">
        <v>35</v>
      </c>
      <c r="N16" s="3" t="s">
        <v>36</v>
      </c>
      <c r="O16" s="5" t="s">
        <v>30</v>
      </c>
      <c r="P16" s="3" t="s">
        <v>54</v>
      </c>
    </row>
    <row r="17" spans="1:16" ht="79.8" x14ac:dyDescent="0.3">
      <c r="A17" s="2">
        <v>13</v>
      </c>
      <c r="B17" s="2" t="s">
        <v>50</v>
      </c>
      <c r="C17" s="3" t="s">
        <v>55</v>
      </c>
      <c r="D17" s="3" t="s">
        <v>21</v>
      </c>
      <c r="E17" s="2">
        <v>35</v>
      </c>
      <c r="F17" s="2">
        <v>30</v>
      </c>
      <c r="G17" s="2">
        <v>30</v>
      </c>
      <c r="H17" s="2">
        <v>28</v>
      </c>
      <c r="I17" s="2">
        <v>48</v>
      </c>
      <c r="J17" s="2">
        <v>32</v>
      </c>
      <c r="K17" s="2">
        <v>34</v>
      </c>
      <c r="L17" s="2" t="s">
        <v>27</v>
      </c>
      <c r="M17" s="3" t="s">
        <v>35</v>
      </c>
      <c r="N17" s="3" t="s">
        <v>36</v>
      </c>
      <c r="O17" s="5" t="s">
        <v>30</v>
      </c>
      <c r="P17" s="3" t="s">
        <v>56</v>
      </c>
    </row>
    <row r="18" spans="1:16" ht="68.400000000000006" x14ac:dyDescent="0.3">
      <c r="A18" s="2">
        <v>14</v>
      </c>
      <c r="B18" s="2" t="s">
        <v>50</v>
      </c>
      <c r="C18" s="3" t="s">
        <v>57</v>
      </c>
      <c r="D18" s="3" t="s">
        <v>21</v>
      </c>
      <c r="E18" s="2">
        <v>58</v>
      </c>
      <c r="F18" s="2">
        <v>50</v>
      </c>
      <c r="G18" s="2">
        <v>48</v>
      </c>
      <c r="H18" s="2">
        <v>45</v>
      </c>
      <c r="I18" s="2">
        <v>58</v>
      </c>
      <c r="J18" s="2">
        <v>50</v>
      </c>
      <c r="K18" s="2">
        <v>52</v>
      </c>
      <c r="L18" s="2" t="s">
        <v>22</v>
      </c>
      <c r="M18" s="3" t="s">
        <v>28</v>
      </c>
      <c r="N18" s="3" t="s">
        <v>29</v>
      </c>
      <c r="O18" s="4" t="s">
        <v>22</v>
      </c>
      <c r="P18" s="3" t="s">
        <v>58</v>
      </c>
    </row>
    <row r="19" spans="1:16" ht="79.8" x14ac:dyDescent="0.3">
      <c r="A19" s="2">
        <v>15</v>
      </c>
      <c r="B19" s="2" t="s">
        <v>50</v>
      </c>
      <c r="C19" s="3" t="s">
        <v>59</v>
      </c>
      <c r="D19" s="3" t="s">
        <v>21</v>
      </c>
      <c r="E19" s="2">
        <v>62</v>
      </c>
      <c r="F19" s="2">
        <v>55</v>
      </c>
      <c r="G19" s="2">
        <v>55</v>
      </c>
      <c r="H19" s="2">
        <v>50</v>
      </c>
      <c r="I19" s="2">
        <v>60</v>
      </c>
      <c r="J19" s="2">
        <v>52</v>
      </c>
      <c r="K19" s="2">
        <v>56</v>
      </c>
      <c r="L19" s="2" t="s">
        <v>22</v>
      </c>
      <c r="M19" s="3" t="s">
        <v>23</v>
      </c>
      <c r="N19" s="3" t="s">
        <v>24</v>
      </c>
      <c r="O19" s="4" t="s">
        <v>22</v>
      </c>
      <c r="P19" s="3" t="s">
        <v>60</v>
      </c>
    </row>
    <row r="20" spans="1:16" ht="91.2" x14ac:dyDescent="0.3">
      <c r="A20" s="2">
        <v>16</v>
      </c>
      <c r="B20" s="2" t="s">
        <v>50</v>
      </c>
      <c r="C20" s="3" t="s">
        <v>61</v>
      </c>
      <c r="D20" s="3" t="s">
        <v>21</v>
      </c>
      <c r="E20" s="2">
        <v>45</v>
      </c>
      <c r="F20" s="2">
        <v>38</v>
      </c>
      <c r="G20" s="2">
        <v>32</v>
      </c>
      <c r="H20" s="2">
        <v>35</v>
      </c>
      <c r="I20" s="2">
        <v>52</v>
      </c>
      <c r="J20" s="2">
        <v>40</v>
      </c>
      <c r="K20" s="2">
        <v>41</v>
      </c>
      <c r="L20" s="2" t="s">
        <v>27</v>
      </c>
      <c r="M20" s="3" t="s">
        <v>35</v>
      </c>
      <c r="N20" s="3" t="s">
        <v>36</v>
      </c>
      <c r="O20" s="5" t="s">
        <v>30</v>
      </c>
      <c r="P20" s="3" t="s">
        <v>62</v>
      </c>
    </row>
    <row r="21" spans="1:16" ht="79.8" x14ac:dyDescent="0.3">
      <c r="A21" s="2">
        <v>17</v>
      </c>
      <c r="B21" s="2" t="s">
        <v>50</v>
      </c>
      <c r="C21" s="3" t="s">
        <v>63</v>
      </c>
      <c r="D21" s="3" t="s">
        <v>21</v>
      </c>
      <c r="E21" s="2">
        <v>65</v>
      </c>
      <c r="F21" s="2">
        <v>55</v>
      </c>
      <c r="G21" s="2">
        <v>52</v>
      </c>
      <c r="H21" s="2">
        <v>55</v>
      </c>
      <c r="I21" s="2">
        <v>62</v>
      </c>
      <c r="J21" s="2">
        <v>55</v>
      </c>
      <c r="K21" s="2">
        <v>58</v>
      </c>
      <c r="L21" s="2" t="s">
        <v>22</v>
      </c>
      <c r="M21" s="3" t="s">
        <v>23</v>
      </c>
      <c r="N21" s="3" t="s">
        <v>24</v>
      </c>
      <c r="O21" s="4" t="s">
        <v>22</v>
      </c>
      <c r="P21" s="3" t="s">
        <v>64</v>
      </c>
    </row>
    <row r="22" spans="1:16" ht="125.4" x14ac:dyDescent="0.3">
      <c r="A22" s="2">
        <v>18</v>
      </c>
      <c r="B22" s="2" t="s">
        <v>50</v>
      </c>
      <c r="C22" s="3" t="s">
        <v>65</v>
      </c>
      <c r="D22" s="3" t="s">
        <v>21</v>
      </c>
      <c r="E22" s="2">
        <v>52</v>
      </c>
      <c r="F22" s="2">
        <v>42</v>
      </c>
      <c r="G22" s="2">
        <v>35</v>
      </c>
      <c r="H22" s="2">
        <v>40</v>
      </c>
      <c r="I22" s="2">
        <v>54</v>
      </c>
      <c r="J22" s="2">
        <v>45</v>
      </c>
      <c r="K22" s="2">
        <v>45</v>
      </c>
      <c r="L22" s="2" t="s">
        <v>27</v>
      </c>
      <c r="M22" s="3" t="s">
        <v>35</v>
      </c>
      <c r="N22" s="3" t="s">
        <v>36</v>
      </c>
      <c r="O22" s="5" t="s">
        <v>30</v>
      </c>
      <c r="P22" s="3" t="s">
        <v>66</v>
      </c>
    </row>
    <row r="23" spans="1:16" ht="79.8" x14ac:dyDescent="0.3">
      <c r="A23" s="2">
        <v>19</v>
      </c>
      <c r="B23" s="2" t="s">
        <v>50</v>
      </c>
      <c r="C23" s="3" t="s">
        <v>67</v>
      </c>
      <c r="D23" s="3" t="s">
        <v>21</v>
      </c>
      <c r="E23" s="2">
        <v>55</v>
      </c>
      <c r="F23" s="2">
        <v>45</v>
      </c>
      <c r="G23" s="2">
        <v>42</v>
      </c>
      <c r="H23" s="2">
        <v>42</v>
      </c>
      <c r="I23" s="2">
        <v>55</v>
      </c>
      <c r="J23" s="2">
        <v>48</v>
      </c>
      <c r="K23" s="2">
        <v>49</v>
      </c>
      <c r="L23" s="2" t="s">
        <v>22</v>
      </c>
      <c r="M23" s="3" t="s">
        <v>68</v>
      </c>
      <c r="N23" s="3" t="s">
        <v>69</v>
      </c>
      <c r="O23" s="4" t="s">
        <v>22</v>
      </c>
      <c r="P23" s="3" t="s">
        <v>70</v>
      </c>
    </row>
    <row r="24" spans="1:16" ht="91.2" x14ac:dyDescent="0.3">
      <c r="A24" s="2">
        <v>20</v>
      </c>
      <c r="B24" s="2" t="s">
        <v>50</v>
      </c>
      <c r="C24" s="3" t="s">
        <v>71</v>
      </c>
      <c r="D24" s="3" t="s">
        <v>21</v>
      </c>
      <c r="E24" s="2">
        <v>52</v>
      </c>
      <c r="F24" s="2">
        <v>45</v>
      </c>
      <c r="G24" s="2">
        <v>40</v>
      </c>
      <c r="H24" s="2">
        <v>38</v>
      </c>
      <c r="I24" s="2">
        <v>54</v>
      </c>
      <c r="J24" s="2">
        <v>45</v>
      </c>
      <c r="K24" s="2">
        <v>46</v>
      </c>
      <c r="L24" s="2" t="s">
        <v>22</v>
      </c>
      <c r="M24" s="3" t="s">
        <v>28</v>
      </c>
      <c r="N24" s="3" t="s">
        <v>29</v>
      </c>
      <c r="O24" s="4" t="s">
        <v>22</v>
      </c>
      <c r="P24" s="3" t="s">
        <v>72</v>
      </c>
    </row>
    <row r="25" spans="1:16" ht="15.75" customHeight="1" x14ac:dyDescent="0.3"/>
    <row r="26" spans="1:16" ht="15.75" customHeight="1" x14ac:dyDescent="0.3"/>
    <row r="27" spans="1:16" ht="15.75" customHeight="1" x14ac:dyDescent="0.3"/>
    <row r="28" spans="1:16" ht="15.75" customHeight="1" x14ac:dyDescent="0.3"/>
    <row r="29" spans="1:16" ht="15.75" customHeight="1" x14ac:dyDescent="0.3"/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P24" xr:uid="{00000000-0009-0000-0000-000000000000}"/>
  <mergeCells count="3">
    <mergeCell ref="A1:P1"/>
    <mergeCell ref="A2:P2"/>
    <mergeCell ref="A3:P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tabSelected="1" workbookViewId="0">
      <selection sqref="A1:C1"/>
    </sheetView>
  </sheetViews>
  <sheetFormatPr defaultColWidth="14.44140625" defaultRowHeight="15" customHeight="1" x14ac:dyDescent="0.3"/>
  <cols>
    <col min="1" max="1" width="30" customWidth="1"/>
    <col min="2" max="2" width="62" customWidth="1"/>
    <col min="3" max="3" width="10" customWidth="1"/>
    <col min="4" max="26" width="8.6640625" customWidth="1"/>
  </cols>
  <sheetData>
    <row r="1" spans="1:3" ht="16.8" x14ac:dyDescent="0.3">
      <c r="A1" s="19" t="s">
        <v>73</v>
      </c>
      <c r="B1" s="17"/>
      <c r="C1" s="17"/>
    </row>
    <row r="3" spans="1:3" ht="14.4" x14ac:dyDescent="0.3">
      <c r="A3" s="6" t="s">
        <v>74</v>
      </c>
    </row>
    <row r="4" spans="1:3" ht="14.4" x14ac:dyDescent="0.3">
      <c r="A4" s="7" t="s">
        <v>75</v>
      </c>
      <c r="B4" s="7" t="s">
        <v>76</v>
      </c>
      <c r="C4" s="7" t="s">
        <v>77</v>
      </c>
    </row>
    <row r="5" spans="1:3" ht="14.4" x14ac:dyDescent="0.3">
      <c r="A5" s="3" t="s">
        <v>78</v>
      </c>
      <c r="B5" s="3" t="s">
        <v>79</v>
      </c>
      <c r="C5" s="8">
        <v>0.25</v>
      </c>
    </row>
    <row r="6" spans="1:3" ht="34.200000000000003" x14ac:dyDescent="0.3">
      <c r="A6" s="3" t="s">
        <v>80</v>
      </c>
      <c r="B6" s="3" t="s">
        <v>81</v>
      </c>
      <c r="C6" s="8">
        <v>0.15</v>
      </c>
    </row>
    <row r="7" spans="1:3" ht="14.4" x14ac:dyDescent="0.3">
      <c r="A7" s="3" t="s">
        <v>82</v>
      </c>
      <c r="B7" s="3" t="s">
        <v>83</v>
      </c>
      <c r="C7" s="8">
        <v>0.15</v>
      </c>
    </row>
    <row r="8" spans="1:3" ht="14.4" x14ac:dyDescent="0.3">
      <c r="A8" s="3" t="s">
        <v>84</v>
      </c>
      <c r="B8" s="3" t="s">
        <v>85</v>
      </c>
      <c r="C8" s="8">
        <v>0.15</v>
      </c>
    </row>
    <row r="9" spans="1:3" ht="14.4" x14ac:dyDescent="0.3">
      <c r="A9" s="3" t="s">
        <v>86</v>
      </c>
      <c r="B9" s="3" t="s">
        <v>87</v>
      </c>
      <c r="C9" s="8">
        <v>0.15</v>
      </c>
    </row>
    <row r="10" spans="1:3" ht="14.4" x14ac:dyDescent="0.3">
      <c r="A10" s="3" t="s">
        <v>88</v>
      </c>
      <c r="B10" s="3" t="s">
        <v>89</v>
      </c>
      <c r="C10" s="8">
        <v>0.15</v>
      </c>
    </row>
    <row r="11" spans="1:3" ht="14.4" x14ac:dyDescent="0.3">
      <c r="A11" s="9" t="s">
        <v>90</v>
      </c>
      <c r="C11" s="10">
        <f>SUM(C5:C10)</f>
        <v>1</v>
      </c>
    </row>
    <row r="13" spans="1:3" ht="14.4" x14ac:dyDescent="0.3">
      <c r="A13" s="11" t="s">
        <v>91</v>
      </c>
      <c r="B13" s="11" t="s">
        <v>92</v>
      </c>
      <c r="C13" s="12">
        <v>45</v>
      </c>
    </row>
    <row r="14" spans="1:3" ht="14.4" x14ac:dyDescent="0.3">
      <c r="A14" s="11" t="s">
        <v>93</v>
      </c>
      <c r="B14" s="11" t="s">
        <v>92</v>
      </c>
      <c r="C14" s="12">
        <v>65</v>
      </c>
    </row>
    <row r="16" spans="1:3" ht="14.4" x14ac:dyDescent="0.3">
      <c r="A16" s="6" t="s">
        <v>94</v>
      </c>
    </row>
    <row r="17" spans="1:3" ht="14.4" x14ac:dyDescent="0.3">
      <c r="A17" s="9" t="s">
        <v>28</v>
      </c>
      <c r="B17" s="11" t="s">
        <v>29</v>
      </c>
    </row>
    <row r="18" spans="1:3" ht="14.4" x14ac:dyDescent="0.3">
      <c r="A18" s="9" t="s">
        <v>23</v>
      </c>
      <c r="B18" s="11" t="s">
        <v>24</v>
      </c>
    </row>
    <row r="19" spans="1:3" ht="14.4" x14ac:dyDescent="0.3">
      <c r="A19" s="9" t="s">
        <v>68</v>
      </c>
      <c r="B19" s="11" t="s">
        <v>69</v>
      </c>
    </row>
    <row r="20" spans="1:3" ht="14.4" x14ac:dyDescent="0.3">
      <c r="A20" s="9" t="s">
        <v>35</v>
      </c>
      <c r="B20" s="11" t="s">
        <v>36</v>
      </c>
    </row>
    <row r="21" spans="1:3" ht="15.75" customHeight="1" x14ac:dyDescent="0.3"/>
    <row r="22" spans="1:3" ht="49.5" customHeight="1" x14ac:dyDescent="0.3">
      <c r="A22" s="20" t="s">
        <v>95</v>
      </c>
      <c r="B22" s="17"/>
      <c r="C22" s="17"/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C1"/>
    <mergeCell ref="A22:C2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Scorecard</vt:lpstr>
      <vt:lpstr>Metodologia 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Ferreira</cp:lastModifiedBy>
  <dcterms:modified xsi:type="dcterms:W3CDTF">2026-07-20T16:27:14Z</dcterms:modified>
</cp:coreProperties>
</file>