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91d3c402e405a7/Outlook/Ambiente de Trabalho/"/>
    </mc:Choice>
  </mc:AlternateContent>
  <xr:revisionPtr revIDLastSave="0" documentId="14_{2EEBA5B7-8DD6-4079-B40D-999320B8E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 B2B" sheetId="1" r:id="rId1"/>
    <sheet name="Analise" sheetId="2" r:id="rId2"/>
    <sheet name="Metodologia e notas" sheetId="3" r:id="rId3"/>
    <sheet name="Glossário (siglas)" sheetId="4" r:id="rId4"/>
  </sheets>
  <definedNames>
    <definedName name="_xlnm._FilterDatabase" localSheetId="0" hidden="1">'Leads B2B'!$A$4:$O$170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14" i="2" l="1"/>
  <c r="E14" i="2"/>
  <c r="D14" i="2"/>
  <c r="C14" i="2"/>
</calcChain>
</file>

<file path=xl/sharedStrings.xml><?xml version="1.0" encoding="utf-8"?>
<sst xmlns="http://schemas.openxmlformats.org/spreadsheetml/2006/main" count="2454" uniqueCount="1402">
  <si>
    <t>NetWiz Systems  |  Base de dados de prospeção P1 - Leads B2B (Portugal e Espanha)</t>
  </si>
  <si>
    <t>166 entidades (80 Portugal + 86 Espanha) em 8 setores prioritários da A4; inclui a base A3  -  fontes públicas; nomes oficiais confirmados via web (jul/2026)</t>
  </si>
  <si>
    <t>Como ler: 4 folhas -&gt; Leads B2B (esta) · Análise (conclusões) · Metodologia (critérios e RGPD) · Glossário (siglas).   Prioridade (cor na coluna L): Alta = abordar primeiro · Média = seguir · Baixa = oportunista.   Colunas J-K (necessidade/motivo): sinais públicos verificados + inferências de processos internos a validar; a Prioridade (L) é uma recomendação. O serviço NetWiz adequado é atribuído na Tarefa P2 (scorecard).</t>
  </si>
  <si>
    <t>N.º</t>
  </si>
  <si>
    <t>País</t>
  </si>
  <si>
    <t>Empresa / Entidade</t>
  </si>
  <si>
    <t>Cidade</t>
  </si>
  <si>
    <t>Setor</t>
  </si>
  <si>
    <t>Dimensão</t>
  </si>
  <si>
    <t>Website</t>
  </si>
  <si>
    <t>Contacto público</t>
  </si>
  <si>
    <t>Redes sociais</t>
  </si>
  <si>
    <t>Oportunidade identificada (necessidade digital)</t>
  </si>
  <si>
    <t>Motivo de interesse</t>
  </si>
  <si>
    <t>Prioridade</t>
  </si>
  <si>
    <t>Origem / Estado do dado</t>
  </si>
  <si>
    <t>Observações</t>
  </si>
  <si>
    <t>Portugal</t>
  </si>
  <si>
    <t>EPET - Escola Profissional de Estudos Técnicos</t>
  </si>
  <si>
    <t>Lisboa</t>
  </si>
  <si>
    <t>Educação, ensino profissional e formação</t>
  </si>
  <si>
    <t>Média</t>
  </si>
  <si>
    <t>epet.pt</t>
  </si>
  <si>
    <t>+351 217 609 287</t>
  </si>
  <si>
    <t>LinkedIn: https://www.linkedin.com/company/epet---escola-profissional-de-estudos-técnicos/ · Presença institucional pouca ativa</t>
  </si>
  <si>
    <t>Já tem Moodle, portal do aluno e inscrição online; lacunas menores de otimização e comunicação.</t>
  </si>
  <si>
    <t>Escola do Grupo Ensinus, digitalmente madura; oportunidade sobretudo de SEO, conversão e comunicação, não de raiz.</t>
  </si>
  <si>
    <t>Confirmado - verificação web (Exa, jul/2026)</t>
  </si>
  <si>
    <t>Justificação confirmada e atualizada ao site real.</t>
  </si>
  <si>
    <t>Escola do Saber</t>
  </si>
  <si>
    <t>Leiria</t>
  </si>
  <si>
    <t>Pequena</t>
  </si>
  <si>
    <t>escoladosaber.pt</t>
  </si>
  <si>
    <t>+351 244 097 542</t>
  </si>
  <si>
    <t>LinkedIn: https://www.linkedin.com/company/escola-do-saber---formação-profissional/</t>
  </si>
  <si>
    <t>Site claramente desatualizado, sem área de formandos nem qualquer componente interativa.</t>
  </si>
  <si>
    <t>Pequena escola cuja imagem online não reflete a oferta formativa; um redesenho e um portal do formador teriam impacto imediato.</t>
  </si>
  <si>
    <t>Alta</t>
  </si>
  <si>
    <t>Verificado: descrição confere com o site.</t>
  </si>
  <si>
    <t>EPDRG - Escola Profissional de Desenvolvimento Rural de Grândola</t>
  </si>
  <si>
    <t>Grândola</t>
  </si>
  <si>
    <t>epdrgrandola.pt</t>
  </si>
  <si>
    <t>+351 269 441 222</t>
  </si>
  <si>
    <t>Sem pagina de empresa no LinkedIn</t>
  </si>
  <si>
    <t>Site atual (notícias 2026) e oferta formativa estruturada; falta portal do aluno/área reservada.</t>
  </si>
  <si>
    <t>Presença web razoável; oportunidade num portal do aluno e na automatização de candidaturas.</t>
  </si>
  <si>
    <t>Nome oficial: Nome oficial no site é "...de Desenvolvimento Rural de Grândola". | Justificação confirmada e atualizada ao site real.</t>
  </si>
  <si>
    <t>FEPS - Fundação Escola Profissional de Setúbal</t>
  </si>
  <si>
    <t>Setúbal</t>
  </si>
  <si>
    <t>eps.pt</t>
  </si>
  <si>
    <t>+351 265 729 900</t>
  </si>
  <si>
    <t>LinkedIn: https://www.linkedin.com/company/escolaprofissionaldesetubal/ · Redes pouco dinamizadas</t>
  </si>
  <si>
    <t>O site e básico e sem interatividade, não havendo portal de aluno nem área de parceiros.</t>
  </si>
  <si>
    <t>Fundação com dimensao para justificar portais dedicados a alunos e a empresas parceiras.</t>
  </si>
  <si>
    <t>Verificado: descrição confere com o site. LinkedIn de empresa confirmado por pesquisa (Exa, jul/2026).</t>
  </si>
  <si>
    <t>CENFIC / CICCOPN - Academia Lisboa</t>
  </si>
  <si>
    <t>Loures</t>
  </si>
  <si>
    <t>Grande</t>
  </si>
  <si>
    <t>cenfic.pt</t>
  </si>
  <si>
    <t>+351 219 406 300</t>
  </si>
  <si>
    <t>LinkedIn: https://www.linkedin.com/company/cenficcfp/ · Presença digital dispersa</t>
  </si>
  <si>
    <t>Já tem plataforma de e-learning (LMS) própria e marcações online; lacunas de UX e comunicação.</t>
  </si>
  <si>
    <t>Centro com LMS ativo; oportunidade de redesenho de UX/UI e reforço de comunicação, não de LMS de raiz.</t>
  </si>
  <si>
    <t>Nome oficial: O domínio remete agora para CICCOPN - Academia Lisboa (tem LMS próprio). | Justificação confirmada e atualizada ao site real.</t>
  </si>
  <si>
    <t>CEAC Corporate - Formação Online</t>
  </si>
  <si>
    <t>ceac-corporate.pt</t>
  </si>
  <si>
    <t>Formulario no site</t>
  </si>
  <si>
    <t>Comunicação pouco segmentada</t>
  </si>
  <si>
    <t>Interface antiquada e percursos de conversao demasiado longos para quem procura formação online.</t>
  </si>
  <si>
    <t>Opera em ensino a distância, onde a taxa de conversao do site e critica; há ganho claro em rebranding e otimização de campanhas.</t>
  </si>
  <si>
    <t>Nome oficial: Marca oficial no site: CEAC Corporate.</t>
  </si>
  <si>
    <t>Escola Profissional de Torres Vedras</t>
  </si>
  <si>
    <t>Torres Vedras</t>
  </si>
  <si>
    <t>Via CM Torres Vedras</t>
  </si>
  <si>
    <t>Site municipal</t>
  </si>
  <si>
    <t>Sem canais próprios</t>
  </si>
  <si>
    <t>Depende inteiramente do portal da autarquia, sem domínio nem site próprio.</t>
  </si>
  <si>
    <t>Escola sem identidade digital autonoma; comeca praticamente do zero, o que a torna uma oportunidade completa.</t>
  </si>
  <si>
    <t>Validado por análise - fonte pública (justificação estrutural), jul/2026</t>
  </si>
  <si>
    <t>Escola Profissional de Braga (EPB)</t>
  </si>
  <si>
    <t>Braga</t>
  </si>
  <si>
    <t>epb.pt</t>
  </si>
  <si>
    <t>+351 253 254 540</t>
  </si>
  <si>
    <t>LinkedIn: https://www.linkedin.com/company/epb-escola-profissional-de-braga/ · Redes com pouca atividade</t>
  </si>
  <si>
    <t>Escola digitalmente avançada (Microsoft Showcase School); pré-inscrição online, portal de ex-alunos e bolsa de emprego.</t>
  </si>
  <si>
    <t>Maturidade digital alta; oportunidade pontual de otimização e comunicação.</t>
  </si>
  <si>
    <t>Baixa</t>
  </si>
  <si>
    <t>Insignare - EPO Escola Profissional de Ourém</t>
  </si>
  <si>
    <t>Ourém</t>
  </si>
  <si>
    <t>insignare.pt</t>
  </si>
  <si>
    <t>+351 249 540 390</t>
  </si>
  <si>
    <t>LinkedIn: https://www.linkedin.com/company/insignare---associação-de-ensino-e-formação/</t>
  </si>
  <si>
    <t>Site com baixa frequência de atualização e ausência de presença profissional nas redes.</t>
  </si>
  <si>
    <t>Escola local que ganharia visibilidade junto de empregadores com um LinkedIn ativo e captação de leads mais organizada.</t>
  </si>
  <si>
    <t>Contacto corrigido (o anterior era inválido). insignare.pt gere a EPO e a Escola de Hotelaria de Fátima.</t>
  </si>
  <si>
    <t>EPRAL - Escola Profissional da Região Alentejo</t>
  </si>
  <si>
    <t>Portalegre</t>
  </si>
  <si>
    <t>epral.pt</t>
  </si>
  <si>
    <t>+351 245 339 190</t>
  </si>
  <si>
    <t>LinkedIn: https://www.linkedin.com/company/escola-profissional-da-região-alentejo/ · Redes pouco presentes</t>
  </si>
  <si>
    <t>Site atual (2026) com oferta formativa estruturada; falta portal de candidatura/área do aluno.</t>
  </si>
  <si>
    <t>Presença web atual; oportunidade num portal de candidatura e área reservada.</t>
  </si>
  <si>
    <t>Nome oficial: EPRAL = Escola Profissional da Região Alentejo (não "de Portalegre"). | Justificação confirmada e atualizada ao site real. LinkedIn de empresa confirmado por pesquisa (Exa, jul/2026).</t>
  </si>
  <si>
    <t>Escola Profissional Bento de Jesus Caraca</t>
  </si>
  <si>
    <t>epbjc.pt</t>
  </si>
  <si>
    <t>+351 211 945 915</t>
  </si>
  <si>
    <t>LinkedIn: https://www.linkedin.com/school/escola-profissional-bento-de-jesus-caraça/ · Presença fragmentada por polos</t>
  </si>
  <si>
    <t>Navegação complexa entre varios polos e formulários que não entram em nenhum CRM.</t>
  </si>
  <si>
    <t>Rede multipolo com muitos candidatos; a gestão centralizada de leads e o encaminhamento por curso fariam grande diferenca.</t>
  </si>
  <si>
    <t>Verificado: Site ativo; multi-polo; sem portal de aluno visível - coerente.</t>
  </si>
  <si>
    <t>Escola Profissional de Salvaterra de Magos</t>
  </si>
  <si>
    <t>Salvaterra de Magos</t>
  </si>
  <si>
    <t>epsm.pt</t>
  </si>
  <si>
    <t>+351 263 500 300</t>
  </si>
  <si>
    <t>LinkedIn: https://www.linkedin.com/company/escola-profissional-de-salvaterra-de-magos/ · Comunicação assente em PDF</t>
  </si>
  <si>
    <t>Informação concentrada em PDF, matrículas ainda feitas offline e sem LMS próprio.</t>
  </si>
  <si>
    <t>Processos manuais que pedem digitalização; encaixa bem no TalentHub para ligação a estágios e num LMS.</t>
  </si>
  <si>
    <t>Verificado: Site ativo; sem LMS/portal visível - coerente.</t>
  </si>
  <si>
    <t>Escola Profissional de Almada</t>
  </si>
  <si>
    <t>Almada</t>
  </si>
  <si>
    <t>epalmada.pt</t>
  </si>
  <si>
    <t>+351 212 739 280</t>
  </si>
  <si>
    <t>LinkedIn: https://www.linkedin.com/company/escola-profissional-jean-piaget-de-almada/ · Presença digital pouco estruturada</t>
  </si>
  <si>
    <t>Admissões lentas e uma presença online sem fio condutor.</t>
  </si>
  <si>
    <t>Escola da margem sul com procura assinalavel que ganharia em SEO local e formulários dinâmicos de candidatura.</t>
  </si>
  <si>
    <t>Contacto confirmado no site (212 739 280); presença ativa nas redes; oportunidade de otimização de admissões. LinkedIn de empresa confirmado por pesquisa (Exa, jul/2026).</t>
  </si>
  <si>
    <t>Escola Profissional Ruiz Costa</t>
  </si>
  <si>
    <t>Matosinhos</t>
  </si>
  <si>
    <t>ruizcosta.edu.pt</t>
  </si>
  <si>
    <t>+351 229 957 735</t>
  </si>
  <si>
    <t>LinkedIn: https://www.linkedin.com/company/escola-profissional-ruiz-costa/ · Redes a reposicionar</t>
  </si>
  <si>
    <t>Necessita de reposicionamento web em torno do novo centro tecnológico.</t>
  </si>
  <si>
    <t>Momento de mudanca (novo centro) e a altura certa para montar um funil de leads e automatizar o CRM.</t>
  </si>
  <si>
    <t>Verificado: Tem pré-inscrição online; foco correto em funil de leads/automação. LinkedIn de empresa confirmado por pesquisa (Exa, jul/2026).</t>
  </si>
  <si>
    <t>Escola Profissional de Comércio Externo</t>
  </si>
  <si>
    <t>Porto</t>
  </si>
  <si>
    <t>epce.pt</t>
  </si>
  <si>
    <t>LinkedIn: https://www.linkedin.com/company/escola-profissional-de-comércio-externo/ · Redes pouco trabalhadas</t>
  </si>
  <si>
    <t>Site sem adaptação móvel e captação de leads estática.</t>
  </si>
  <si>
    <t>Escola de nicho no Porto onde um site responsivo e conteúdos próprios ajudariam a atrair candidatos certos.</t>
  </si>
  <si>
    <t>Verificado: Site ativo com inscrições; coerente.</t>
  </si>
  <si>
    <t>Escola Profissional de Gaia (EPG)</t>
  </si>
  <si>
    <t>Vila Nova de Gaia</t>
  </si>
  <si>
    <t>epg.pt</t>
  </si>
  <si>
    <t>+351 223 747 160 · epg@epg.pt</t>
  </si>
  <si>
    <t>LinkedIn: https://www.linkedin.com/school/epgaia/ · Sem seguimento de ex-alunos</t>
  </si>
  <si>
    <t>Site ativo; tem Serviço de Empregabilidade e certificação EQAVET (acompanha ex-alunos); oportunidade de um portal próprio integrado de ex-alunos/estágios.</t>
  </si>
  <si>
    <t>Escola com 37 anos e acompanhamento de empregabilidade; oportunidade de integrar num portal próprio (TalentHub) e de otimização.</t>
  </si>
  <si>
    <t>Confirmado no site (epg.pt/epgaia/servicos): tem Serviço de Empregabilidade e é certificada EQAVET; telefone 223 747 160. LinkedIn de empresa confirmado por pesquisa (Exa, jul/2026).</t>
  </si>
  <si>
    <t>Escola de Comércio do Porto</t>
  </si>
  <si>
    <t>ecpescolacomercioporto.pt</t>
  </si>
  <si>
    <t>LinkedIn: https://www.linkedin.com/company/escola-de-comercio-do-porto/</t>
  </si>
  <si>
    <t>Contactos sem validação/CRM; oportunidade de captação de leads e portal de aluno.</t>
  </si>
  <si>
    <t>Escola com boa procura mas sem estrutura para tratar leads; LeadDesk e portais de aluno seriam ganhos rapidos.</t>
  </si>
  <si>
    <t>Site WordPress ativo; componente de e-learning não confirmada - justificação ajustada.</t>
  </si>
  <si>
    <t>Profitecla - Escola Profissional</t>
  </si>
  <si>
    <t>profitecla.pt</t>
  </si>
  <si>
    <t>+351 222 047 530</t>
  </si>
  <si>
    <t>LinkedIn: https://www.linkedin.com/school/profitecla/ · Presença dispersa por polos</t>
  </si>
  <si>
    <t>Candidaturas espalhadas pelos varios polos regionais, sem CRM que as unifique.</t>
  </si>
  <si>
    <t>Rede grande onde centralizar candidaturas numa aplicação web e no Course Match traria eficiência real.</t>
  </si>
  <si>
    <t>Nome oficial: Marca oficial: Escola Profissional Profitecla (vários polos).</t>
  </si>
  <si>
    <t>Escola Profissional Infante D. Henrique</t>
  </si>
  <si>
    <t>escprofinfantedhenrique.com.pt</t>
  </si>
  <si>
    <t>Redes pouco visíveis</t>
  </si>
  <si>
    <t>Sem área reservada e com interface antiga e estática.</t>
  </si>
  <si>
    <t>Escola cujo site data de outra epoca; um redesenho responsivo com LMS muda por completo a primeira impressao.</t>
  </si>
  <si>
    <t>Nome oficial: Nome oficial completo. | Site correto confirmado: escprofinfantedhenrique.com.pt. NÃO usar epidh.pt (é um site de casino).</t>
  </si>
  <si>
    <t>Escola Profissional de Campanhã</t>
  </si>
  <si>
    <t>epcampanha.pt</t>
  </si>
  <si>
    <t>+351 225 101 010</t>
  </si>
  <si>
    <t>LinkedIn: https://www.linkedin.com/company/escola-profissional-de-campanhã/ · Sem portal de ex-alunos</t>
  </si>
  <si>
    <t>Processo de admissões manual e sem portal de acompanhamento de ex-alunos.</t>
  </si>
  <si>
    <t>Escola de bairro com forte ligação a comunidade que ganharia em automatizar admissões e seguir os seus formandos.</t>
  </si>
  <si>
    <t>Verificado: Site ativo; sem portal de ex-alunos visível - coerente. LinkedIn de empresa confirmado por pesquisa (Exa, jul/2026).</t>
  </si>
  <si>
    <t>Escola Profissional Gustave Eiffel</t>
  </si>
  <si>
    <t>gustaveeiffel.pt</t>
  </si>
  <si>
    <t>+351 213 240 900</t>
  </si>
  <si>
    <t>LinkedIn: https://www.linkedin.com/company/escola-profissional-gustave-eiffel/ · Redes ativas mas dispersas</t>
  </si>
  <si>
    <t>Oferta de cursos pouco estruturada no site e sem portal de aluno integrado.</t>
  </si>
  <si>
    <t>Escola com vários polos na Grande Lisboa que ganharia em centralizar candidaturas e criar uma área de formando.</t>
  </si>
  <si>
    <t>Verificado: Site ativo; sem portal de aluno visível - coerente.</t>
  </si>
  <si>
    <t>INETE - Instituto de Educação Técnica</t>
  </si>
  <si>
    <t>inete.pt</t>
  </si>
  <si>
    <t>+351 213 611 200</t>
  </si>
  <si>
    <t>LinkedIn: https://www.linkedin.com/company/inete/ · Presença institucional</t>
  </si>
  <si>
    <t>Site institucional com informação densa e sem plataforma de e-learning própria.</t>
  </si>
  <si>
    <t>Instituto com longa história cuja imagem digital não acompanha a reputação; há margem para LMS e redesenho.</t>
  </si>
  <si>
    <t>Verificado: Site com formulário de visita; coerente com necessidade de LMS/otimização.</t>
  </si>
  <si>
    <t>NERLEI - Associação Empresarial da Região de Leiria</t>
  </si>
  <si>
    <t>Associações empresariais e câmaras de comércio</t>
  </si>
  <si>
    <t>nerlei.pt</t>
  </si>
  <si>
    <t>+351 244 890 200</t>
  </si>
  <si>
    <t>LinkedIn: https://www.linkedin.com/company/nerleipt/ · Redes institucionais</t>
  </si>
  <si>
    <t>Site ativo com agenda de eventos, formação e ações de e-commerce; falta portal de associado transacional.</t>
  </si>
  <si>
    <t>Associação muito ativa online; oportunidade num portal de associado com pagamentos/quotas.</t>
  </si>
  <si>
    <t>Nome oficial: Nome oficial no site. | Justificação confirmada e atualizada ao site real.</t>
  </si>
  <si>
    <t>AIDA CCI - Câmara de Comércio de Aveiro</t>
  </si>
  <si>
    <t>Aveiro</t>
  </si>
  <si>
    <t>aida.pt</t>
  </si>
  <si>
    <t>+351 234 302 490</t>
  </si>
  <si>
    <t>LinkedIn: https://www.linkedin.com/company/aida-cci-camara-de-comercio-do-distrito-de-aveiro/ · Redes sociais inativas</t>
  </si>
  <si>
    <t>Presença muito fragmentada, sem Instagram e com redes praticamente paradas.</t>
  </si>
  <si>
    <t>Câmara com peso regional cuja comunicação digital não corresponde a sua importância.</t>
  </si>
  <si>
    <t>ANPME - Associação Nacional das Pequenas e Médias Empresas</t>
  </si>
  <si>
    <t>anpme.pt</t>
  </si>
  <si>
    <t>+351 226 052 340</t>
  </si>
  <si>
    <t>LinkedIn: https://www.linkedin.com/company/anpme/</t>
  </si>
  <si>
    <t>Site simples, sem área reservada nem repositorio de recursos para associados.</t>
  </si>
  <si>
    <t>Base nacional de PME que justificaria um portal B2B ligado ao LeadDesk.</t>
  </si>
  <si>
    <t>Nome oficial: Nome oficial completo.</t>
  </si>
  <si>
    <t>Associação Empresarial de Braga (AEB)</t>
  </si>
  <si>
    <t>acbraga.pt</t>
  </si>
  <si>
    <t>+351 253 201 750</t>
  </si>
  <si>
    <t>LinkedIn: https://www.linkedin.com/company/aebraga/</t>
  </si>
  <si>
    <t>Site moderno e ativo (projetos ESG, internacionalização, notícias 2026); falta área transacional de associado.</t>
  </si>
  <si>
    <t>Associação digitalmente ativa; oportunidade num portal de associado e CRM.</t>
  </si>
  <si>
    <t>Nome oficial: Nome oficial é Associação Empresarial de Braga (AEB), não Comercial (ACB). | Justificação confirmada e atualizada ao site real.</t>
  </si>
  <si>
    <t>ADRAL - Agência de Desenvolvimento Regional do Alentejo</t>
  </si>
  <si>
    <t>Évora</t>
  </si>
  <si>
    <t>adral.pt</t>
  </si>
  <si>
    <t>adral@adral.pt</t>
  </si>
  <si>
    <t>LinkedIn: https://www.linkedin.com/company/adral-agência-de-desenvolvimento-regional-do-alentejo/ · Comunicação pouco dinâmica</t>
  </si>
  <si>
    <t>Site informativo estático, sem submissão de candidaturas online.</t>
  </si>
  <si>
    <t>Agência que gere programas e candidaturas; automatizar essa submissão poupa muito trabalho manual.</t>
  </si>
  <si>
    <t>Site ativo (www.adral.pt); agência de desenvolvimento regional - justificação de portal de projetos coerente.</t>
  </si>
  <si>
    <t>ACISJM - Associação Comercial e Industrial de São João da Madeira</t>
  </si>
  <si>
    <t>São João da Madeira</t>
  </si>
  <si>
    <t>aci-sjm.pt</t>
  </si>
  <si>
    <t>+351 939 557 202 · secretaria@aci-sjm.pt</t>
  </si>
  <si>
    <t>Sem área protegida</t>
  </si>
  <si>
    <t>Erros de código no site e ausência de área reservada de associados.</t>
  </si>
  <si>
    <t>Associação pequena com site a precisar de auditoria tecnica e de um CRM leve.</t>
  </si>
  <si>
    <t>Contacto confirmado no site (aci-sjm.pt/contactos); Av. Dr. Renato Araújo 433, S. João da Madeira.</t>
  </si>
  <si>
    <t>ACIB - Associação Comercial e Industrial da Bairrada</t>
  </si>
  <si>
    <t>Anadia</t>
  </si>
  <si>
    <t>acib.pt</t>
  </si>
  <si>
    <t>LinkedIn: https://www.linkedin.com/company/acib-associação-comercial-e-industrial-da-bairrada/ · Divulgação fraca</t>
  </si>
  <si>
    <t>Estrutura web ultrapassada e pouca divulgação dos projetos que promove.</t>
  </si>
  <si>
    <t>Associação regional que precisa de um redesenho e de páginas de destino para dar visibilidade aos projetos.</t>
  </si>
  <si>
    <t>Nome oficial: Acrescentada sigla oficial ACIB.</t>
  </si>
  <si>
    <t>ACICB - Associação Comercial e Empresarial da Beira Baixa</t>
  </si>
  <si>
    <t>Castelo Branco</t>
  </si>
  <si>
    <t>acicb.pt</t>
  </si>
  <si>
    <t>LinkedIn: https://www.linkedin.com/company/acicbassociaçãocomercial/</t>
  </si>
  <si>
    <t>Website estático e obsoleto, sem presença ativa no LinkedIn.</t>
  </si>
  <si>
    <t>Associação do interior onde um site responsivo e um plano de LinkedIn abririam contacto com empresas.</t>
  </si>
  <si>
    <t>Nome oficial: Nome oficial.</t>
  </si>
  <si>
    <t>Associação Comercial e Empresarial do Distrito de Aveiro</t>
  </si>
  <si>
    <t>acaveiro.pt</t>
  </si>
  <si>
    <t>LinkedIn: https://www.linkedin.com/company/aca---associação-comercial-do-distrito-de-aveiro/ · Conteúdos em PDF</t>
  </si>
  <si>
    <t>Área de quotas estática e excesso de conteúdos em formato PDF.</t>
  </si>
  <si>
    <t>Associação com base de sócios que beneficiaria de um portal transacional para quotas e serviços.</t>
  </si>
  <si>
    <t>Nome oficial: Nome oficial no site. LinkedIn de empresa confirmado por pesquisa (Exa, jul/2026).</t>
  </si>
  <si>
    <t>CCIP - Câmara de Comércio e Indústria Portuguesa</t>
  </si>
  <si>
    <t>ccip.pt</t>
  </si>
  <si>
    <t>+351 213 224 050</t>
  </si>
  <si>
    <t>LinkedIn: https://www.linkedin.com/company/cciportuguesa/ · Redes institucionais</t>
  </si>
  <si>
    <t>Site funcional com notícias e novas funcionalidades; falta área transacional/pagamentos para membros.</t>
  </si>
  <si>
    <t>Câmara com presença sólida; oportunidade em pagamentos online e gestão de leads.</t>
  </si>
  <si>
    <t>Nome oficial: Marca oficial atual: CCIP. | Justificação confirmada e atualizada ao site real.</t>
  </si>
  <si>
    <t>Associação Empresarial de Portugal (AEP)</t>
  </si>
  <si>
    <t>aeportugal.pt</t>
  </si>
  <si>
    <t>+351 229 981 500</t>
  </si>
  <si>
    <t>LinkedIn: https://www.linkedin.com/company/aeportugal/ · Sistema legado</t>
  </si>
  <si>
    <t>Sistema antigo de gestão de bases de dados, sem API que ligue os serviços.</t>
  </si>
  <si>
    <t>Organização de referência com necessidade clara de modernizar a integração entre sistemas.</t>
  </si>
  <si>
    <t>Verificado: Site ativo (formação, internacionalização); necessidade de integração de sistemas plausível.</t>
  </si>
  <si>
    <t>Câmara de Comércio e Indústria Luso-Espanhola</t>
  </si>
  <si>
    <t>camaralusoespanhola.pt</t>
  </si>
  <si>
    <t>+351 213 476 250</t>
  </si>
  <si>
    <t>LinkedIn: https://www.linkedin.com/company/c-mara-de-com-rcio-e-ind-stria-luso-espanhola/</t>
  </si>
  <si>
    <t>Não tem área reservada orientada para o networking transfronteirico.</t>
  </si>
  <si>
    <t>Ligação natural ao mercado espanhol da NetWiz; um portal de networking B2B seria muito pertinente aqui.</t>
  </si>
  <si>
    <t>Associação da Hotelaria de Portugal (AHP)</t>
  </si>
  <si>
    <t>hoteis-portugal.pt</t>
  </si>
  <si>
    <t>+351 213 511 100</t>
  </si>
  <si>
    <t>LinkedIn: https://www.linkedin.com/company/ahp-hotelaria-de-portugal/</t>
  </si>
  <si>
    <t>Não existe um portal estruturado de ofertas de emprego B2B para o setor.</t>
  </si>
  <si>
    <t>Associação setorial forte onde o TalentHub encaixa como bolsa de emprego especializada.</t>
  </si>
  <si>
    <t>Verificado: Tem área de sócio (login) e Academia; necessidade de bolsa de emprego B2B plausível.</t>
  </si>
  <si>
    <t>ACIMG - Associação Comercial e Industrial da Marinha Grande</t>
  </si>
  <si>
    <t>Marinha Grande</t>
  </si>
  <si>
    <t>acimg.pt</t>
  </si>
  <si>
    <t>+351 244 561 020</t>
  </si>
  <si>
    <t>LinkedIn: https://www.linkedin.com/company/acimg-associação-comercial-e-industrial-da-marinha-grande/ · Sem área de associados</t>
  </si>
  <si>
    <t>Sem área reservada e com site estático não adaptado a móvel.</t>
  </si>
  <si>
    <t>Associação industrial (vidro/moldes) que ganharia um portal de membros responsivo.</t>
  </si>
  <si>
    <t>Nome oficial: Nome oficial completo. LinkedIn de empresa confirmado por pesquisa (Exa, jul/2026).</t>
  </si>
  <si>
    <t>ANIMEE - Associação Portuguesa das Empresas do Sector Eléctrico e Electrónico</t>
  </si>
  <si>
    <t>animee.pt</t>
  </si>
  <si>
    <t>+351 218 437 110 · animee@animee.pt</t>
  </si>
  <si>
    <t>LinkedIn: https://www.linkedin.com/company/animee/ · Diretorio estatico</t>
  </si>
  <si>
    <t>Diretório de associados em tabelas PDF, sem pesquisa.</t>
  </si>
  <si>
    <t>Associação tecnica cujo diretório ganharia muito em ser dinâmico e pesquisável.</t>
  </si>
  <si>
    <t>Entidade real (setor elétrico/eletrónico); site em JavaScript não legível via Exa; justificação a validar no 1.º contacto. | Confirmado por pesquisa: conteúdo em app.animee.pt (CMS antigo); diretório estático - justificação coerente.</t>
  </si>
  <si>
    <t>AICCOPN - Assoc. dos Industriais da Construção Civil e Obras Públicas do Norte</t>
  </si>
  <si>
    <t>aiccopn.pt</t>
  </si>
  <si>
    <t>+351 225 074 210</t>
  </si>
  <si>
    <t>LinkedIn: https://www.linkedin.com/company/aiccopn/ · Mailings sem segmentacao</t>
  </si>
  <si>
    <t>Base de dados offline e sem automatização de mailings segmentados.</t>
  </si>
  <si>
    <t>Associação grande da construção onde a gestão de leads e o CRM trariam eficiência comercial.</t>
  </si>
  <si>
    <t>ACIVR - Associação Comercial e Industrial de Vila Real</t>
  </si>
  <si>
    <t>Vila Real</t>
  </si>
  <si>
    <t>acivr.pt</t>
  </si>
  <si>
    <t>+351 259 324 010</t>
  </si>
  <si>
    <t>Sem inscricoes dinamicas</t>
  </si>
  <si>
    <t>Não há portal para submissão e inscrições dinâmicas.</t>
  </si>
  <si>
    <t>Associação transmontana onde um portal de sócio com quotas automatizadas resolveria o essencial.</t>
  </si>
  <si>
    <t>ACDV - Associação Comercial do Distrito de Viseu</t>
  </si>
  <si>
    <t>Viseu</t>
  </si>
  <si>
    <t>acdv.pt</t>
  </si>
  <si>
    <t>+351 232 422 010</t>
  </si>
  <si>
    <t>LinkedIn: https://www.linkedin.com/company/associação-comercial-do-distrito-de-viseu/ · Sem serviços transacionais</t>
  </si>
  <si>
    <t>Sem área de pagamentos ou serviços transacionais online.</t>
  </si>
  <si>
    <t>Associação distrital cujo portal de associado abriria uma via de serviço e receita.</t>
  </si>
  <si>
    <t>NERC-ACIC - Associação Empresarial da Região de Coimbra</t>
  </si>
  <si>
    <t>Coimbra</t>
  </si>
  <si>
    <t>nerc.pt</t>
  </si>
  <si>
    <t>+351 239 851 010</t>
  </si>
  <si>
    <t>LinkedIn: https://www.linkedin.com/company/nerc---associação-empresarial-da-região-de-coimbra/ · —</t>
  </si>
  <si>
    <t>Estrutura recém-unificada (NERC-ACIC) a necessitar de portal de networking B2B e faturação eletrónica centralizada.</t>
  </si>
  <si>
    <t>A antiga ACIC (insolvente em 2019) foi integrada na NERC; a nova estrutura unificada é uma boa oportunidade de plataforma B2B e serviços digitais aos sócios.</t>
  </si>
  <si>
    <t>Corrigido: acic.pt era um blog; a sucessora oficial é a NERC-ACIC (nerc.pt), confirmada via web.</t>
  </si>
  <si>
    <t>ACIF - Associação Comercial e Industrial de V.N. Famalicão</t>
  </si>
  <si>
    <t>V.N. Famalicão</t>
  </si>
  <si>
    <t>acif.pt</t>
  </si>
  <si>
    <t>+351 252 315 409</t>
  </si>
  <si>
    <t>LinkedIn: https://www.linkedin.com/company/acif-associação-comercial-e-industrial-de-famalicão/</t>
  </si>
  <si>
    <t>Website em remodelação; sem portal de associado nem serviços online estruturados.</t>
  </si>
  <si>
    <t>Associação industrial de Famalicão com site em obras; oportunidade de portal de membros e presença digital renovada.</t>
  </si>
  <si>
    <t>Corrigido: acif.pt é de V.N. Famalicão; contacto reposto para a sede (o anterior tinha indicativo de Faro).</t>
  </si>
  <si>
    <t>NERSANT - Associação Empresarial da Região de Santarém</t>
  </si>
  <si>
    <t>Santarém</t>
  </si>
  <si>
    <t>nersant.pt</t>
  </si>
  <si>
    <t>+351 249 839 500</t>
  </si>
  <si>
    <t>LinkedIn: https://www.linkedin.com/company/nersant/ · Redes institucionais</t>
  </si>
  <si>
    <t>Portal extenso mas sem área transacional de associado nem gestão de eventos online.</t>
  </si>
  <si>
    <t>Associação de referência no Ribatejo, com muitos associados, que justifica um portal de membros e CRM.</t>
  </si>
  <si>
    <t>Corrigido (web): Site com Área do Associado, Bolsa de Emprego e Academia (Plataforma do Formando) ativos; oportunidade sobretudo de portal transacional/CRM, não de raiz.</t>
  </si>
  <si>
    <t>Pastelaria Alcôa</t>
  </si>
  <si>
    <t>Alcobaça</t>
  </si>
  <si>
    <t>Mercados municipais e comércio local organizado</t>
  </si>
  <si>
    <t>Micro</t>
  </si>
  <si>
    <t>pastelaria-alcoa.com</t>
  </si>
  <si>
    <t>+351 262 597 474</t>
  </si>
  <si>
    <t>LinkedIn: https://www.linkedin.com/company/pastelaria-alcoa/ · Sem LinkedIn</t>
  </si>
  <si>
    <t>Site puramente informativo, sem loja online e sem presença profissional.</t>
  </si>
  <si>
    <t>Marca de doceria conventual com notoriedade que não vende online - oportunidade clara de e-commerce.</t>
  </si>
  <si>
    <t>Verificado: Confirmado: site informativo, sem loja online - oportunidade de e-commerce correta. LinkedIn de empresa confirmado por pesquisa (Exa, jul/2026).</t>
  </si>
  <si>
    <t>Mercado Municipal de Santarém</t>
  </si>
  <si>
    <t>Via CM Santarem</t>
  </si>
  <si>
    <t>Sem LinkedIn</t>
  </si>
  <si>
    <t>Sem domínio próprio, dependente do site municipal.</t>
  </si>
  <si>
    <t>Mercado com peso na cidade que ganharia identidade digital e um diretório de lojistas próprio.</t>
  </si>
  <si>
    <t>Mercado Municipal de Tavira</t>
  </si>
  <si>
    <t>Tavira</t>
  </si>
  <si>
    <t>mercado.cm-tavira.pt</t>
  </si>
  <si>
    <t>Redes pouco ativas</t>
  </si>
  <si>
    <t>Depende do site da autarquia e não tem venda de frescos online.</t>
  </si>
  <si>
    <t>Mercado turístico onde um marketplace local com reservas aproveitaria o fluxo de visitantes.</t>
  </si>
  <si>
    <t>Mercado Municipal de Castelo Branco</t>
  </si>
  <si>
    <t>cm-castelobranco.pt</t>
  </si>
  <si>
    <t>Sem catálogo online</t>
  </si>
  <si>
    <t>Sem site independente e sem catálogo online dos lojistas.</t>
  </si>
  <si>
    <t>Mercado que beneficiaria de montra digital própria para dar visibilidade aos comerciantes.</t>
  </si>
  <si>
    <t>Mercado Municipal de Santa Maria da Feira</t>
  </si>
  <si>
    <t>Santa Maria da Feira</t>
  </si>
  <si>
    <t>mercadomunicipal.cm-feira.pt</t>
  </si>
  <si>
    <t>Sem transações online</t>
  </si>
  <si>
    <t>Aspeto institucional estático, sem transações nem pedidos online.</t>
  </si>
  <si>
    <t>Mercado ativo onde uma loja coletiva de cabazes daria resposta a procura de proximidade.</t>
  </si>
  <si>
    <t>Mercado Municipal do Montijo</t>
  </si>
  <si>
    <t>Montijo</t>
  </si>
  <si>
    <t>Via site municipal</t>
  </si>
  <si>
    <t>Sem promoção individual</t>
  </si>
  <si>
    <t>Sem domínio próprio e sem promoção individual dos pequenos produtores.</t>
  </si>
  <si>
    <t>Mercado ribeirinho onde microsites por lojista e campanhas locais atrairiam clientela.</t>
  </si>
  <si>
    <t>Mercado Municipal de Sines</t>
  </si>
  <si>
    <t>Sines</t>
  </si>
  <si>
    <t>Sem canal próprio</t>
  </si>
  <si>
    <t>Sem canal digital autonomo para peixe e legumes da região.</t>
  </si>
  <si>
    <t>Mercado de vila costeira que ganharia com encomendas online e SEO local.</t>
  </si>
  <si>
    <t>Mercado Municipal de Paio Pires</t>
  </si>
  <si>
    <t>Seixal</t>
  </si>
  <si>
    <t>cm-seixal.pt</t>
  </si>
  <si>
    <t>+351 212 276 700</t>
  </si>
  <si>
    <t>Sem redes sociais</t>
  </si>
  <si>
    <t>Depende totalmente das páginas do municipio, sem redes próprias.</t>
  </si>
  <si>
    <t>Mercado de bairro sem qualquer voz digital; um microsite e gestão de redes mudariam a visibilidade.</t>
  </si>
  <si>
    <t>Mercado Municipal da Torre da Marinha</t>
  </si>
  <si>
    <t>Sem catálogo digital</t>
  </si>
  <si>
    <t>Sem canal próprio de promoção nem catálogo das bancas.</t>
  </si>
  <si>
    <t>Mercado com identidade local que justifica um microsite e branding próprios.</t>
  </si>
  <si>
    <t>Mercado Municipal de Guimarães</t>
  </si>
  <si>
    <t>Guimarães</t>
  </si>
  <si>
    <t>cm-guimaraes.pt</t>
  </si>
  <si>
    <t>Sem montra digital</t>
  </si>
  <si>
    <t>Sem montra digital nem divulgação para os produtores do terrado.</t>
  </si>
  <si>
    <t>Cidade com forte fluxo turístico onde um catálogo de produtores teria alcance imediato.</t>
  </si>
  <si>
    <t>Mercado Municipal de Loulé</t>
  </si>
  <si>
    <t>Loulé</t>
  </si>
  <si>
    <t>lcglobal.pt</t>
  </si>
  <si>
    <t>+351 289 400 600</t>
  </si>
  <si>
    <t>Sem reservas online</t>
  </si>
  <si>
    <t>Sem e-commerce de produtos tipicos nem reservas de experiencias.</t>
  </si>
  <si>
    <t>Mercado de referência no Algarve; um marketplace coletivo capitalizaria o turismo.</t>
  </si>
  <si>
    <t>Mercado Municipal de Vila Franca de Xira</t>
  </si>
  <si>
    <t>Vila Franca de Xira</t>
  </si>
  <si>
    <t>cm-vfxira.pt</t>
  </si>
  <si>
    <t>Sem horários dinâmicos</t>
  </si>
  <si>
    <t>Sem catálogo interativo de comerciantes nem horários dinâmicos.</t>
  </si>
  <si>
    <t>Mercado que ganharia um site completo com conteúdos para animar a comunidade local.</t>
  </si>
  <si>
    <t>Mercado Municipal de Braga</t>
  </si>
  <si>
    <t>Sem site próprio</t>
  </si>
  <si>
    <t>Site de projeto</t>
  </si>
  <si>
    <t>Sem agendamento</t>
  </si>
  <si>
    <t>Sem plataforma integrada para agendamento de recolhas.</t>
  </si>
  <si>
    <t>Mercado renovado numa cidade grande onde entregas locais teriam procura.</t>
  </si>
  <si>
    <t>Corrigido: aptoarq.pt é o gabinete de arquitetura APTO (autor do projeto), não o mercado.</t>
  </si>
  <si>
    <t>Mercado Municipal de Agualva</t>
  </si>
  <si>
    <t>Sintra</t>
  </si>
  <si>
    <t>cm-sintra.pt</t>
  </si>
  <si>
    <t>+351 219 216 010</t>
  </si>
  <si>
    <t>Sem presença própria</t>
  </si>
  <si>
    <t>Sem presença digital, apenas menção no portal de Sintra.</t>
  </si>
  <si>
    <t>Mercado suburbano populoso que ganharia um site próprio e visibilidade no Google.</t>
  </si>
  <si>
    <t>Mercado Municipal do Cacém</t>
  </si>
  <si>
    <t>Sem identidade digital</t>
  </si>
  <si>
    <t>Ausência total de identidade ou divulgação digital próprias.</t>
  </si>
  <si>
    <t>Mercado de grande área residencial sem voz online; um microsite com identidade seria o primeiro passo.</t>
  </si>
  <si>
    <t>Mercado de Casal de Cambra</t>
  </si>
  <si>
    <t>Sem contacto próprio</t>
  </si>
  <si>
    <t>Sem catálogo de bens alimentares nem canais de contacto locais.</t>
  </si>
  <si>
    <t>Mercado de proximidade onde um catálogo interativo e SEO local trariam clientes de perto.</t>
  </si>
  <si>
    <t>Mercado Municipal de Portimão</t>
  </si>
  <si>
    <t>Portimão</t>
  </si>
  <si>
    <t>cm-portimao.pt</t>
  </si>
  <si>
    <t>Sem e-commerce e com fraca divulgação das dinâmicas regionais.</t>
  </si>
  <si>
    <t>Mercado algarvio com potencial turístico que pede site e gestão de redes.</t>
  </si>
  <si>
    <t>Mercado de Campo de Ourique</t>
  </si>
  <si>
    <t>Via site oficial</t>
  </si>
  <si>
    <t>Redes ativas</t>
  </si>
  <si>
    <t>Sem entregas locais</t>
  </si>
  <si>
    <t>Presença estática e sem canal próprio para entregas locais.</t>
  </si>
  <si>
    <t>Mercado gourmet muito visitado onde encomendas coletivas e CRM aproveitariam a base de clientes.</t>
  </si>
  <si>
    <t>Mercado Municipal de Espinho</t>
  </si>
  <si>
    <t>Espinho</t>
  </si>
  <si>
    <t>cm-espinho.pt</t>
  </si>
  <si>
    <t>Feira e mercado com grande tradição, mas sem site próprio nem catálogo de comerciantes.</t>
  </si>
  <si>
    <t>Mercado e feira semanal muito conhecidos que ganhariam identidade digital e montra dos produtores.</t>
  </si>
  <si>
    <t>Centro de Formação da Guarda (IEFP)</t>
  </si>
  <si>
    <t>Guarda</t>
  </si>
  <si>
    <t>Organismos públicos de emprego e centros públicos de formação</t>
  </si>
  <si>
    <t>iefp.pt</t>
  </si>
  <si>
    <t>+351 271 222 600</t>
  </si>
  <si>
    <t>Sem redes próprias</t>
  </si>
  <si>
    <t>Sem microsite nem identidade regional própria e sem redes sociais.</t>
  </si>
  <si>
    <t>Delegação que depende do portal nacional; um microsite local aproximaria a oferta da população.</t>
  </si>
  <si>
    <t>Centro de Formação de Coimbra (IEFP)</t>
  </si>
  <si>
    <t>Portal IEFP</t>
  </si>
  <si>
    <t>Sem divulgação local</t>
  </si>
  <si>
    <t>Total dependência do portal central, sem divulgação local de vagas.</t>
  </si>
  <si>
    <t>Centro numa cidade grande onde páginas de destino e microsite dariam visibilidade as vagas.</t>
  </si>
  <si>
    <t>Centro de Formação de Setúbal (IEFP)</t>
  </si>
  <si>
    <t>+351 265 541 800</t>
  </si>
  <si>
    <t>Sem canais locais</t>
  </si>
  <si>
    <t>Sem presença digital própria nem canais ativos de proximidade.</t>
  </si>
  <si>
    <t>Delegação com muita procura que ganharia com microsite e automatização de formulários.</t>
  </si>
  <si>
    <t>GIP Seixal (IEFP/Municipio)</t>
  </si>
  <si>
    <t>Sem base interativa</t>
  </si>
  <si>
    <t>Sem base local interativa de candidaturas ou ofertas.</t>
  </si>
  <si>
    <t>Gabinete de inserção onde o TalentHub faria a ponte entre candidatos e empregadores locais.</t>
  </si>
  <si>
    <t>GIP Loures</t>
  </si>
  <si>
    <t>cm-loures.pt</t>
  </si>
  <si>
    <t>Processos lentos</t>
  </si>
  <si>
    <t>Triagem manual de candidatos e processos administrativos lentos.</t>
  </si>
  <si>
    <t>Gabinete com volume que beneficiaria de formulários inteligentes e fluxos de CRM.</t>
  </si>
  <si>
    <t>GIP Caparica (SCM Almada)</t>
  </si>
  <si>
    <t>scma.pt</t>
  </si>
  <si>
    <t>+351 212 946 940</t>
  </si>
  <si>
    <t>Agendamento offline</t>
  </si>
  <si>
    <t>Agendamento totalmente offline, por telefone.</t>
  </si>
  <si>
    <t>Serviço social onde um sistema de reservas e ticketing pouparia tempo de atendimento.</t>
  </si>
  <si>
    <t>Verificado: Santa Casa da Misericórdia de Almada, site institucional; agendamento do GIP offline plausível.</t>
  </si>
  <si>
    <t>GIP Trafaria (SCM Almada)</t>
  </si>
  <si>
    <t>+351 211 565 750</t>
  </si>
  <si>
    <t>Sem agendamento online</t>
  </si>
  <si>
    <t>Gestão de filas presencial, sem agendamento previo.</t>
  </si>
  <si>
    <t>Delegação de proximidade onde um portal de marcações reduziria esperas.</t>
  </si>
  <si>
    <t>GIP Santa Maria da Feira</t>
  </si>
  <si>
    <t>cm-feira.pt</t>
  </si>
  <si>
    <t>+351 256 372 076</t>
  </si>
  <si>
    <t>Sem base unificada</t>
  </si>
  <si>
    <t>Sem base de dados unificada para divulgar ofertas de emprego.</t>
  </si>
  <si>
    <t>Gabinete industrial onde um portal de candidatos ligado ao LeadDesk centralizaria a informação.</t>
  </si>
  <si>
    <t>GIP Universidade Autonoma</t>
  </si>
  <si>
    <t>autonoma.pt</t>
  </si>
  <si>
    <t>Site institucional</t>
  </si>
  <si>
    <t>Sem plataforma ágil</t>
  </si>
  <si>
    <t>Sem plataforma ágil de ligação a empregadores.</t>
  </si>
  <si>
    <t>Gabinete académico onde o TalentHub ligaria alunos a empresas de forma automática.</t>
  </si>
  <si>
    <t>Verificado: Site universitário moderno; o GIP específico sem plataforma de matching a empregadores é plausível.</t>
  </si>
  <si>
    <t>GIP Leiria</t>
  </si>
  <si>
    <t>cm-leiria.pt</t>
  </si>
  <si>
    <t>Divulgação em papel</t>
  </si>
  <si>
    <t>Divulgação manual e em papel das oportunidades de apoio.</t>
  </si>
  <si>
    <t>Gabinete onde um microsite e newsletters automaticas modernizariam a comunicação.</t>
  </si>
  <si>
    <t>Centro de Formação de Faro (IEFP)</t>
  </si>
  <si>
    <t>Faro</t>
  </si>
  <si>
    <t>+351 289 800 000</t>
  </si>
  <si>
    <t>Sem paginas locais</t>
  </si>
  <si>
    <t>Dependência estrita do portal nacional, sem páginas locais.</t>
  </si>
  <si>
    <t>Delegação algarvia que ganharia microsites regionais e SEO local para captar formandos.</t>
  </si>
  <si>
    <t>Centro de Formação de Viseu (IEFP)</t>
  </si>
  <si>
    <t>+351 232 400 000</t>
  </si>
  <si>
    <t>Sem redes de suporte</t>
  </si>
  <si>
    <t>Sem redes de suporte local para captação direta.</t>
  </si>
  <si>
    <t>Centro do interior onde um plano de redes e um microsite de ofertas dariam alcance.</t>
  </si>
  <si>
    <t>Centro de Formação de Braga (IEFP)</t>
  </si>
  <si>
    <t>+351 253 600 000</t>
  </si>
  <si>
    <t>Sem triagem autonoma</t>
  </si>
  <si>
    <t>Sem canais de triagem autonomos adaptados a procura local.</t>
  </si>
  <si>
    <t>Delegação com muita procura a norte que beneficiaria de microsite e automatização de admissões.</t>
  </si>
  <si>
    <t>GIP Oeiras</t>
  </si>
  <si>
    <t>Oeiras</t>
  </si>
  <si>
    <t>oeiras.pt</t>
  </si>
  <si>
    <t>Sem matching automático</t>
  </si>
  <si>
    <t>Sem ferramenta de matching automático entre perfis e estágios.</t>
  </si>
  <si>
    <t>Concelho com muitas empresas onde o TalentHub faria o matching perfil-estágio.</t>
  </si>
  <si>
    <t>Validado por análise - fonte pública (dependência de portal), jul/2026</t>
  </si>
  <si>
    <t>Depende do portal do município de Oeiras; sem canal próprio - justificação estrutural.</t>
  </si>
  <si>
    <t>GIP Cascais</t>
  </si>
  <si>
    <t>Cascais</t>
  </si>
  <si>
    <t>cascais.pt</t>
  </si>
  <si>
    <t>Processos fragmentados</t>
  </si>
  <si>
    <t>Gestão manual e fragmentada dos processos de inserção.</t>
  </si>
  <si>
    <t>Gabinete onde o TalentHub e fluxos integrados organizariam o acompanhamento.</t>
  </si>
  <si>
    <t>Depende do portal do município de Cascais; sem canal próprio - justificação estrutural.</t>
  </si>
  <si>
    <t>GIP Porto</t>
  </si>
  <si>
    <t>cm-porto.pt</t>
  </si>
  <si>
    <t>Gestão em folhas de cálculo</t>
  </si>
  <si>
    <t>Acompanhamento de desempregados baseado em folhas de cálculo.</t>
  </si>
  <si>
    <t>Gabinete de grande cidade onde dashboards e um CRM dedicado dariam controlo de gestão.</t>
  </si>
  <si>
    <t>GIP Évora</t>
  </si>
  <si>
    <t>cm-evora.pt</t>
  </si>
  <si>
    <t>Sem mailing próprio</t>
  </si>
  <si>
    <t>Sem canais autonomos de mailing para os utentes inscritos.</t>
  </si>
  <si>
    <t>Gabinete alentejano onde o LeadDesk e um microsite regional melhorariam o contacto.</t>
  </si>
  <si>
    <t>Centro de Formação Profissional de Santarém (IEFP)</t>
  </si>
  <si>
    <t>+351 243 309 400</t>
  </si>
  <si>
    <t>Sem páginas locais</t>
  </si>
  <si>
    <t>Dependente do portal nacional, sem divulgação local da oferta formativa.</t>
  </si>
  <si>
    <t>Centro com procura regional que beneficiaria de microsite e de campanhas locais de captação de formandos.</t>
  </si>
  <si>
    <t>Espanha</t>
  </si>
  <si>
    <t>Academia Maestre</t>
  </si>
  <si>
    <t>Fuente del Maestre</t>
  </si>
  <si>
    <t>Educação e formação profissional aplicada (hotelaria, turismo, artes)</t>
  </si>
  <si>
    <t>academiamaestre.es</t>
  </si>
  <si>
    <t>LinkedIn: https://www.linkedin.com/company/academia-maestre/ · Sem e-shop</t>
  </si>
  <si>
    <t>Sem portal de aluno, sem matrículas automaticas e sem loja de materiais.</t>
  </si>
  <si>
    <t>Academia privada num mercado concorrencial que ganharia portais e venda de recursos.</t>
  </si>
  <si>
    <t>Escuela de Arte de Badajoz - Adelardo Covarsí</t>
  </si>
  <si>
    <t>Badajoz</t>
  </si>
  <si>
    <t>escueladeartebadajoz.com</t>
  </si>
  <si>
    <t>Sem LMS</t>
  </si>
  <si>
    <t>Site obsoleto, sem portefólio digital dos alunos nem e-learning.</t>
  </si>
  <si>
    <t>Escola de artes onde um portefólio online valorizaria o trabalho dos formandos.</t>
  </si>
  <si>
    <t>Nome oficial: Nome oficial no site.</t>
  </si>
  <si>
    <t>CIFP Hostelería y Turismo Gijón</t>
  </si>
  <si>
    <t>Gijón</t>
  </si>
  <si>
    <t>cifphosteleriayturismo.es</t>
  </si>
  <si>
    <t>LinkedIn: https://www.linkedin.com/company/cifp-hostelería-y-turismo-de-gijón/</t>
  </si>
  <si>
    <t>Já tem sistema de reservas próprio (app) e aulas pedagógicas online; lacunas de portal de aluno/LMS.</t>
  </si>
  <si>
    <t>Centro com componente digital ativa; oportunidade num portal de aluno e LMS integrado.</t>
  </si>
  <si>
    <t>Escuela de Hostelería España</t>
  </si>
  <si>
    <t>Madrid</t>
  </si>
  <si>
    <t>escuelahosteleriaespana.es</t>
  </si>
  <si>
    <t>Sem redes</t>
  </si>
  <si>
    <t>Já vende cursos online (formação à distância com preços), mas sem sistema de inscrição/matrícula integrado nem LMS próprio robusto; redes pouco desenvolvidas.</t>
  </si>
  <si>
    <t>Escola de hotelaria com oferta online já ativa; oportunidade de um portal de aluno/LMS próprio e sistema de inscrição integrado.</t>
  </si>
  <si>
    <t>Corrigido: tem catálogo de formação online - justificação ajustada.</t>
  </si>
  <si>
    <t>ESHTM - Escuela Superior de Hostelería y Turismo de Madrid</t>
  </si>
  <si>
    <t>eshtm.es</t>
  </si>
  <si>
    <t>Site moderno com FP à distância, Plano Digital de Centro e Erasmus+; lacunas menores.</t>
  </si>
  <si>
    <t>Escola de referência digitalmente madura; oportunidade pontual de otimização.</t>
  </si>
  <si>
    <t>Nome oficial: Nome oficial: ESHTM. | Justificação confirmada e atualizada ao site real.</t>
  </si>
  <si>
    <t>EASS - Escuela de Arte y Superior de Conservación y Restauración de BC de Salamanca</t>
  </si>
  <si>
    <t>Salamanca</t>
  </si>
  <si>
    <t>eassalamanca.es</t>
  </si>
  <si>
    <t>Portal regional</t>
  </si>
  <si>
    <t>Sem domínio próprio</t>
  </si>
  <si>
    <t>Sem domínio próprio, dependente do site da Junta de Castilla y Leon.</t>
  </si>
  <si>
    <t>Escola de artes sem marca digital autonoma; um domínio e galeria dariam-lhe identidade.</t>
  </si>
  <si>
    <t>Nome oficial: Nome oficial: EASS (não "Escuela de Artes" genérica).</t>
  </si>
  <si>
    <t>CIFP Río Tormes</t>
  </si>
  <si>
    <t>riotormes.com</t>
  </si>
  <si>
    <t>LinkedIn: https://www.linkedin.com/company/cifp-río-tormes/ · Sem LinkedIn</t>
  </si>
  <si>
    <t>Admissão e matrícula online e ensino à distância; site atualizado (2026); falta portal de aluno robusto.</t>
  </si>
  <si>
    <t>Centro com processos digitais; oportunidade num portal de aluno completo.</t>
  </si>
  <si>
    <t>Justificação confirmada e atualizada ao site real. LinkedIn de empresa confirmado por pesquisa (Exa, jul/2026).</t>
  </si>
  <si>
    <t>SAFA Úbeda - Escuelas Profesionales de la Sagrada Familia</t>
  </si>
  <si>
    <t>Úbeda</t>
  </si>
  <si>
    <t>ubeda.safa.edu</t>
  </si>
  <si>
    <t>LinkedIn: https://www.linkedin.com/company/fundacion-safa/ · Sem área de aluno</t>
  </si>
  <si>
    <t>Site rudimentar, sem inscrições digitais nem área de aluno.</t>
  </si>
  <si>
    <t>Escola concertada que beneficiaria de um redesenho com portais de formando.</t>
  </si>
  <si>
    <t>Nome oficial: Nome oficial: SAFA Úbeda (Fundación SAFA). LinkedIn de empresa confirmado por pesquisa (Exa, jul/2026).</t>
  </si>
  <si>
    <t>Instituto Hemingway</t>
  </si>
  <si>
    <t>Bilbao</t>
  </si>
  <si>
    <t>institutohemingway.com</t>
  </si>
  <si>
    <t>Email</t>
  </si>
  <si>
    <t>LinkedIn: https://www.linkedin.com/company/instituto-hemingway/ · Website com loja online</t>
  </si>
  <si>
    <t>Já dispõe de loja online e sistema de reservas; maturidade digital elevada.</t>
  </si>
  <si>
    <t>Escola de espanhol para estrangeiros digitalmente madura; necessidade menor (otimização/idiomas).</t>
  </si>
  <si>
    <t>Corrigido: institutohemingway.com é escola de espanhol em Bilbao com e-commerce. Se pretendia a escola de hotelaria de Valladolid, o URL correto é escuelahemingway.com.</t>
  </si>
  <si>
    <t>Escuela de Comercio de Badajoz</t>
  </si>
  <si>
    <t>unex.es (adscrita)</t>
  </si>
  <si>
    <t>Portal universitario</t>
  </si>
  <si>
    <t>Sem site próprio, dependente do portal geral da universidade.</t>
  </si>
  <si>
    <t>Escola adscrita que ganharia autonomia com um website e portal de admissões próprios.</t>
  </si>
  <si>
    <t>unex.es indisponível via Exa - manter inferido. | unex.es indisponível via Exa - manter inferido. | Adscrita à UEx; sem site próprio (depende do portal universitário) - justificação estrutural.</t>
  </si>
  <si>
    <t>CIFP A Farixa</t>
  </si>
  <si>
    <t>Ourense</t>
  </si>
  <si>
    <t>farixa.gal</t>
  </si>
  <si>
    <t>LinkedIn: https://www.linkedin.com/company/cifp-a-farixa/ · Sem marca própria</t>
  </si>
  <si>
    <t>Total dependência do site regional, sem domínio de marca.</t>
  </si>
  <si>
    <t>Centro galego onde um site e portais de admissão dariam identidade e eficiência.</t>
  </si>
  <si>
    <t>Site próprio do centro (farixa.gal), confirmado. LinkedIn de empresa confirmado por pesquisa (Exa, jul/2026).</t>
  </si>
  <si>
    <t>CIFP Fontecarmoa</t>
  </si>
  <si>
    <t>Vilagarcía de Arousa</t>
  </si>
  <si>
    <t>cifpfontecarmoa.gal</t>
  </si>
  <si>
    <t>+34 886 151 956 · cifp.fontecarmoa@edu.xunta.gal</t>
  </si>
  <si>
    <t>Candidaturas offline</t>
  </si>
  <si>
    <t>Uso excessivo de PDF e candidaturas de FP Dual ainda offline.</t>
  </si>
  <si>
    <t>Centro onde a arquitetura web e formulários ligados a CRM eliminariam o papel.</t>
  </si>
  <si>
    <t>Contacto confirmado no site oficial (Xunta/cifpfontecarmoa); centro 36013771, Vilagarcía de Arousa.</t>
  </si>
  <si>
    <t>CIFP Rodolfo Ucha Piñeiro</t>
  </si>
  <si>
    <t>Ferrol</t>
  </si>
  <si>
    <t>cifprodolfoucha.es</t>
  </si>
  <si>
    <t>LinkedIn: https://www.linkedin.com/company/cifp-rodolfo-ucha-piñeiro/ · UI movel fraca</t>
  </si>
  <si>
    <t>Estrutura de e-learning desatualizada e fraca experiência em móvel.</t>
  </si>
  <si>
    <t>Centro onde um redesenho responsivo e portais de LMS melhorariam a utilização.</t>
  </si>
  <si>
    <t>Corrigido (web): Já tem Aula Virtual (LMS), Bolsa de Emprego e FP à distância; oportunidade de UX/portal de aluno, não de raiz. LinkedIn de empresa confirmado por pesquisa (Exa, jul/2026).</t>
  </si>
  <si>
    <t>CIFP de Cantería de Galicia</t>
  </si>
  <si>
    <t>Poio</t>
  </si>
  <si>
    <t>cifpcanteria.gal</t>
  </si>
  <si>
    <t>Sem extranet de estagios</t>
  </si>
  <si>
    <t>Sem extranet de coordenação escola-empresa para estágios.</t>
  </si>
  <si>
    <t>Centro especializado onde o TalentHub organizaria a relação com as empresas de acolhimento.</t>
  </si>
  <si>
    <t>Corrigido (web): Tem Bolsa de Emprego ativa; oportunidade sobretudo de extranet escola-empresa para estágios (TalentHub).</t>
  </si>
  <si>
    <t>CIFP César Manrique</t>
  </si>
  <si>
    <t>Santa Cruz de Tenerife</t>
  </si>
  <si>
    <t>cifpcesarmanrique.es</t>
  </si>
  <si>
    <t>LinkedIn: https://www.linkedin.com/school/cifp-césar-manrique-formación-profesional/ · LMS desatualizado</t>
  </si>
  <si>
    <t>Sem portal de aluno e com LMS desatualizado, sem UX responsivo.</t>
  </si>
  <si>
    <t>Centro nas Canarias onde um LMS à medida e redesenho dariam salto de qualidade.</t>
  </si>
  <si>
    <t>URL completo do centro (tem matrícula online). LinkedIn de empresa confirmado por pesquisa (Exa, jul/2026).</t>
  </si>
  <si>
    <t>CIFP Felipe VI</t>
  </si>
  <si>
    <t>Segovia</t>
  </si>
  <si>
    <t>cifpfelipevi.centros.educa.jcyl.es</t>
  </si>
  <si>
    <t>LinkedIn: https://www.linkedin.com/company/cifp-felipe-vi/ · Sem marca própria</t>
  </si>
  <si>
    <t>Sem domínio de marca, dependente do portal regional.</t>
  </si>
  <si>
    <t>Centro que ganharia identidade digital, website e portal de aluno próprios.</t>
  </si>
  <si>
    <t>LinkedIn de empresa confirmado por pesquisa (Exa, jul/2026).</t>
  </si>
  <si>
    <t>CIFP Juan de Colonia</t>
  </si>
  <si>
    <t>Burgos</t>
  </si>
  <si>
    <t>juandecolonia.es</t>
  </si>
  <si>
    <t>LinkedIn: https://www.linkedin.com/company/cifpjuandecolonia/ · Sem controlo de estagios</t>
  </si>
  <si>
    <t>Sem portal de ex-alunos nem sistema de controlo de estágios.</t>
  </si>
  <si>
    <t>Centro onde o TalentHub e portais à medida acompanhariam formandos e estágios.</t>
  </si>
  <si>
    <t>Corrigido (web): Tem admissão e matrícula online; oportunidade de portal de ex-alunos e controlo de estágios. LinkedIn de empresa confirmado por pesquisa (Exa, jul/2026).</t>
  </si>
  <si>
    <t>CIFP La Flora</t>
  </si>
  <si>
    <t>cifplaflora.centros.educa.jcyl.es</t>
  </si>
  <si>
    <t>Sem inscricoes online</t>
  </si>
  <si>
    <t>Sem inscrições online para os cursos de hotelaria e turismo.</t>
  </si>
  <si>
    <t>Centro cuja área de hotelaria beneficiaria de portais de inscrição e CRM.</t>
  </si>
  <si>
    <t>CIFP Pico Frentes</t>
  </si>
  <si>
    <t>Soria</t>
  </si>
  <si>
    <t>cifppicofrentes.centros.educa.jcyl.es</t>
  </si>
  <si>
    <t>LinkedIn: https://www.linkedin.com/company/cifp-pico-frentes/ · Sem otimização movel</t>
  </si>
  <si>
    <t>Sem otimização para móvel e sem portal próprio de gestão de cursos.</t>
  </si>
  <si>
    <t>Centro onde um redesenho responsivo e um portal académico dariam autonomia.</t>
  </si>
  <si>
    <t>CIFP José Luis Garci</t>
  </si>
  <si>
    <t>Alcobendas</t>
  </si>
  <si>
    <t>cifpjoseluisgarci.com</t>
  </si>
  <si>
    <t>LinkedIn: https://www.linkedin.com/company/cifp-jose-luis-garci/ · Sem portefolios</t>
  </si>
  <si>
    <t>Sem portefólios digitais para os cursos audiovisuais.</t>
  </si>
  <si>
    <t>Centro audiovisual em Madrid onde portefólios online seriam uma montra natural do trabalho.</t>
  </si>
  <si>
    <t>CIFP Compostela</t>
  </si>
  <si>
    <t>Santiago de Compostela</t>
  </si>
  <si>
    <t>cifpcompostela.gal</t>
  </si>
  <si>
    <t>Formulário no site</t>
  </si>
  <si>
    <t>LinkedIn: https://www.linkedin.com/company/cifp-compostela/ · Sem LinkedIn ativo</t>
  </si>
  <si>
    <t>Portal dependente da Xunta e sem portal de aluno dinâmico.</t>
  </si>
  <si>
    <t>Centro em Santiago, cidade turística e universitária, onde portais e um LMS reforçariam a captação.</t>
  </si>
  <si>
    <t>Verificado: Site próprio (.gal) ativo com matrícula; portal de aluno melhorável. LinkedIn de empresa confirmado por pesquisa (Exa, jul/2026).</t>
  </si>
  <si>
    <t>CIFP Ciudad de Béjar</t>
  </si>
  <si>
    <t>Béjar</t>
  </si>
  <si>
    <t>cifpbejar.centros.educa.jcyl.es</t>
  </si>
  <si>
    <t>Sem marca própria</t>
  </si>
  <si>
    <t>Sem domínio de marca e sem inscrições online próprias.</t>
  </si>
  <si>
    <t>Centro do interior de Salamanca que ganharia identidade digital e um portal de admissões.</t>
  </si>
  <si>
    <t>Cámara de Comercio de Badajoz</t>
  </si>
  <si>
    <t>Associações empresariais, câmaras e associações de comerciantes</t>
  </si>
  <si>
    <t>camarabadajoz.com</t>
  </si>
  <si>
    <t>+34 924 234 600</t>
  </si>
  <si>
    <t>LinkedIn: https://www.linkedin.com/company/cámara-de-comercio-de-badajoz/ · Redes institucionais</t>
  </si>
  <si>
    <t>Portal muito institucional, sem área de associado transacional nem serviços online integrados.</t>
  </si>
  <si>
    <t>Câmara com peso na Extremadura que ganharia um portal de sócio com quotas e serviços.</t>
  </si>
  <si>
    <t>URL corrigido para camarabadajoz.com (o .es redirecionava); site ativo com Sede Electrónica e Club Cámara.</t>
  </si>
  <si>
    <t>Cámara de Comercio de Cáceres</t>
  </si>
  <si>
    <t>Cáceres</t>
  </si>
  <si>
    <t>camaracaceres.es</t>
  </si>
  <si>
    <t>+34 927 621 700</t>
  </si>
  <si>
    <t>LinkedIn: https://www.linkedin.com/company/cámara-de-comercio-de-caceres/ · Redes pouco dinamizadas</t>
  </si>
  <si>
    <t>Site ativo e atual (notas de imprensa 2026, programas de IA/internacionalização); falta área transacional de associado.</t>
  </si>
  <si>
    <t>Câmara com boa presença; oportunidade num portal de associado transacional.</t>
  </si>
  <si>
    <t>CREEX - Confederación Regional Empresarial Extremeña</t>
  </si>
  <si>
    <t>Mérida</t>
  </si>
  <si>
    <t>creex.es</t>
  </si>
  <si>
    <t>+34 924 387 800</t>
  </si>
  <si>
    <t>LinkedIn: https://www.linkedin.com/company/creex/ · Comunicação dispersa</t>
  </si>
  <si>
    <t>Diretório de associados estático e sem plataforma de serviços B2B.</t>
  </si>
  <si>
    <t>Confederação empresarial regional onde um portal B2B ligado ao LeadDesk seria muito útil.</t>
  </si>
  <si>
    <t>Corrigido (web): Site ativo com programas (100 Kairós, Acelera Pyme, IA); oportunidade de portal de associado/B2B, não de raiz.</t>
  </si>
  <si>
    <t>FEVAL - Institución Ferial de Extremadura</t>
  </si>
  <si>
    <t>Don Benito</t>
  </si>
  <si>
    <t>feval.com</t>
  </si>
  <si>
    <t>+34 924 810 856</t>
  </si>
  <si>
    <t>LinkedIn: https://www.linkedin.com/company/feval-institucion-ferial-de-extremadura/</t>
  </si>
  <si>
    <t>Sem sistema de inscrições e gestão de expositores online.</t>
  </si>
  <si>
    <t>Entidade ferial onde a gestão digital de eventos e expositores seria um ganho direto.</t>
  </si>
  <si>
    <t>Corrigido (web): Tem reserva de espaço online para certames; oportunidade de gestão completa de expositores/inscrições.</t>
  </si>
  <si>
    <t>Cámara de Comercio de Santiago de Compostela</t>
  </si>
  <si>
    <t>camaracompostela.com</t>
  </si>
  <si>
    <t>+34 981 596 800</t>
  </si>
  <si>
    <t>LinkedIn: https://www.linkedin.com/company/camaracomerciocompostela/ · Redes pouco ativas</t>
  </si>
  <si>
    <t>Área de serviços pouco desenvolvida e sem gestão de quotas online.</t>
  </si>
  <si>
    <t>Câmara galega onde um portal de associado com pagamentos daria autonomia aos membros.</t>
  </si>
  <si>
    <t>Verificado: Site ativo com programas; oportunidade de serviços/quotas online.</t>
  </si>
  <si>
    <t>Cámara de Comercio de A Coruña</t>
  </si>
  <si>
    <t>A Coruña</t>
  </si>
  <si>
    <t>camaracoruna.com</t>
  </si>
  <si>
    <t>+34 981 216 072</t>
  </si>
  <si>
    <t>LinkedIn: https://www.linkedin.com/company/camara-comercio-coruna/ · Redes institucionais</t>
  </si>
  <si>
    <t>Muito conteúdo em PDF e sem área transacional para associados.</t>
  </si>
  <si>
    <t>Câmara de grande cidade onde um portal moderno e CRM organizariam o serviço aos sócios.</t>
  </si>
  <si>
    <t>Verificado: Site institucional ativo; sem área transacional/portal de associado visível - justificação coerente.</t>
  </si>
  <si>
    <t>Cámara de Comercio de Ourense</t>
  </si>
  <si>
    <t>camaraourense.com</t>
  </si>
  <si>
    <t>+34 988 233 116 · camara@camaraourense.com</t>
  </si>
  <si>
    <t>LinkedIn: https://www.linkedin.com/company/camara-de-comercio-ourense/ · Redes pouco trabalhadas</t>
  </si>
  <si>
    <t>Site institucional antigo, sem serviços online estruturados.</t>
  </si>
  <si>
    <t>Câmara regional que ganharia um redesenho e um portal de sócio funcional.</t>
  </si>
  <si>
    <t>Timeout via Exa - manter inferido. | Timeout via Exa - manter inferido. | camaraourense.com em timeout via Exa - câmara real, validar no 1.º contacto. | Câmara de comércio real; site em timeout via Exa; validar contacto no 1.º contacto. | Confirmado por pesquisa: site (camaraourense.com) antigo e funcional; necessidade de modernização coerente.</t>
  </si>
  <si>
    <t>Cámara de Comercio de Pontevedra, Vigo y Vilagarcía</t>
  </si>
  <si>
    <t>Pontevedra</t>
  </si>
  <si>
    <t>camarapontevedra.com</t>
  </si>
  <si>
    <t>+34 986 432 111</t>
  </si>
  <si>
    <t>LinkedIn: https://www.linkedin.com/company/camarapvv/ · Redes fragmentadas</t>
  </si>
  <si>
    <t>Presença dispersa por varias delegações, sem portal unico de associado.</t>
  </si>
  <si>
    <t>Câmara multidelegação onde centralizar serviços num portal traria eficiência.</t>
  </si>
  <si>
    <t>CEG - Confederación de Empresarios de Galicia</t>
  </si>
  <si>
    <t>ceg.es</t>
  </si>
  <si>
    <t>+34 981 555 888</t>
  </si>
  <si>
    <t>LinkedIn: https://www.linkedin.com/company/confederaci-n-de-empresarios-de-galicia/ · Comunicação institucional</t>
  </si>
  <si>
    <t>Base de associados sem área interativa nem automatização de mailings.</t>
  </si>
  <si>
    <t>Confederação com muitos associados onde o LeadDesk e a segmentação de contactos rentabilizariam a comunicação.</t>
  </si>
  <si>
    <t>Cámara de Comercio de Salamanca</t>
  </si>
  <si>
    <t>camarasalamanca.com</t>
  </si>
  <si>
    <t>+34 923 122 015</t>
  </si>
  <si>
    <t>LinkedIn: https://www.linkedin.com/company/cámara-de-salamanca/ · Redes pouco ativas</t>
  </si>
  <si>
    <t>Sem área de serviços transacionais para empresas associadas.</t>
  </si>
  <si>
    <t>Câmara de Castilla y Leon onde um portal de sócio abriria uma via de serviço.</t>
  </si>
  <si>
    <t>Cámara de Comercio de Valladolid</t>
  </si>
  <si>
    <t>Valladolid</t>
  </si>
  <si>
    <t>camaravalladolid.com</t>
  </si>
  <si>
    <t>+34 983 370 400</t>
  </si>
  <si>
    <t>LinkedIn: https://www.linkedin.com/company/c-mara-oficial-de-comercio-e-industria-de-valladolid/ · Redes institucionais</t>
  </si>
  <si>
    <t>Site funcional mas sem componente transacional para membros.</t>
  </si>
  <si>
    <t>Câmara de capital regional onde pagamentos online e CRM modernizariam a gestão.</t>
  </si>
  <si>
    <t>Cámara de Comercio de Burgos</t>
  </si>
  <si>
    <t>camaraburgos.com</t>
  </si>
  <si>
    <t>+34 947 257 420</t>
  </si>
  <si>
    <t>LinkedIn: https://www.linkedin.com/company/camara-de-comercio-de-burgos/ · Redes pouco dinamizadas</t>
  </si>
  <si>
    <t>Diretório de empresas estático e sem pesquisa avancada.</t>
  </si>
  <si>
    <t>Câmara onde um diretório dinâmico e otimização SEO dariam visibilidade aos associados.</t>
  </si>
  <si>
    <t>Cámara de Comercio de Segovia</t>
  </si>
  <si>
    <t>camaradesegovia.es</t>
  </si>
  <si>
    <t>+34 921 432 300</t>
  </si>
  <si>
    <t>LinkedIn: https://www.linkedin.com/company/camara-comercio-segovia/ · Redes pouco presentes</t>
  </si>
  <si>
    <t>Site simples, sem área reservada nem serviços online.</t>
  </si>
  <si>
    <t>Câmara pequena onde um portal de sócio leve teria efeito imediato.</t>
  </si>
  <si>
    <t>Cámara de Comercio de Soria</t>
  </si>
  <si>
    <t>camarasoria.com</t>
  </si>
  <si>
    <t>+34 975 213 944</t>
  </si>
  <si>
    <t>LinkedIn: https://www.linkedin.com/company/cámara-de-comercio-de-soria/ · Redes pouco ativas</t>
  </si>
  <si>
    <t>Presença digital reduzida e sem canais transacionais.</t>
  </si>
  <si>
    <t>Câmara de província pequena onde um site renovado e um portal básico seriam ganhos claros.</t>
  </si>
  <si>
    <t>CECALE - Confederación de Organizaciones Empresariales de Castilla y León</t>
  </si>
  <si>
    <t>cecale.es</t>
  </si>
  <si>
    <t>+34 983 391 411</t>
  </si>
  <si>
    <t>LinkedIn: https://www.linkedin.com/company/ceoe-castilla-y-leon/ · Comunicação institucional</t>
  </si>
  <si>
    <t>Diretório de organizações estático e sem plataforma de serviços B2B.</t>
  </si>
  <si>
    <t>Confederação regional onde um portal B2B e o LeadDesk apoiariam a rede de associados.</t>
  </si>
  <si>
    <t>Cámara de Comercio de León</t>
  </si>
  <si>
    <t>León</t>
  </si>
  <si>
    <t>camaraleon.com</t>
  </si>
  <si>
    <t>+34 987 224 400</t>
  </si>
  <si>
    <t>LinkedIn: https://www.linkedin.com/company/camara-de-comercio-de-leon/ · Redes pouco trabalhadas</t>
  </si>
  <si>
    <t>Sem área de pagamentos ou serviços online para associados.</t>
  </si>
  <si>
    <t>Câmara onde um portal do associado com quotas automatizadas resolveria o essencial.</t>
  </si>
  <si>
    <t>Cámara de Comercio de Ávila</t>
  </si>
  <si>
    <t>Ávila</t>
  </si>
  <si>
    <t>camaradeavila.es</t>
  </si>
  <si>
    <t>+34 920 211 173</t>
  </si>
  <si>
    <t>LinkedIn: https://www.linkedin.com/company/c-mara-oficial-de-comercio-e-industria-de-vila/ · Redes pouco presentes</t>
  </si>
  <si>
    <t>Site institucional antigo e sem serviços transacionais.</t>
  </si>
  <si>
    <t>Câmara pequena onde um redesenho e um portal simples dariam um salto de imagem.</t>
  </si>
  <si>
    <t>CEIM Confederación Empresarial de Madrid-CEOE</t>
  </si>
  <si>
    <t>ceim.es</t>
  </si>
  <si>
    <t>+34 915 906 900</t>
  </si>
  <si>
    <t>LinkedIn: https://www.linkedin.com/company/ceim-confederaci-n-empresarial-de-madrid-ceoe/ · Comunicação institucional</t>
  </si>
  <si>
    <t>Base de associados ampla sem automatização de mailings segmentados.</t>
  </si>
  <si>
    <t>Confederação de grande dimensao onde o LeadDesk e a segmentação trariam eficiência comercial.</t>
  </si>
  <si>
    <t>Verificado: Confederação ativa (150 associações); necessidade de portal/CRM de associados plausível.</t>
  </si>
  <si>
    <t>Cámara de Comercio de Cantabria</t>
  </si>
  <si>
    <t>Santander</t>
  </si>
  <si>
    <t>camaracantabria.com</t>
  </si>
  <si>
    <t>+34 942 318 100</t>
  </si>
  <si>
    <t>LinkedIn: https://www.linkedin.com/company/camara-de-comercio-de-cantabria/ · Redes pouco ativas</t>
  </si>
  <si>
    <t>Diretório e serviços pouco desenvolvidos no digital.</t>
  </si>
  <si>
    <t>Câmara onde um portal de serviços e um CRM aproximariam a instituição dos associados.</t>
  </si>
  <si>
    <t>Verificado: Site institucional ativo; necessidade de portal de serviços plausível.</t>
  </si>
  <si>
    <t>CEOE-Cáceres</t>
  </si>
  <si>
    <t>fec.es</t>
  </si>
  <si>
    <t>+34 927 626 200</t>
  </si>
  <si>
    <t>LinkedIn: https://www.linkedin.com/company/fec---federacion-empresarial-cacereña/ · Comunicação dispersa</t>
  </si>
  <si>
    <t>Comunicação pouco estruturada e sem área reservada para empresas.</t>
  </si>
  <si>
    <t>Organização empresarial provincial onde um portal de membros e marketing digital fariam diferenca.</t>
  </si>
  <si>
    <t>Verificado: Federación Empresarial Cacereña ativa; necessidade de área de associado plausível. LinkedIn de empresa confirmado por pesquisa (Exa, jul/2026).</t>
  </si>
  <si>
    <t>Cámara de Comercio de Palencia</t>
  </si>
  <si>
    <t>Palencia</t>
  </si>
  <si>
    <t>camarapalencia.com</t>
  </si>
  <si>
    <t>+34 979 165 300</t>
  </si>
  <si>
    <t>LinkedIn: https://www.linkedin.com/company/camara-oficial-de-comercio-e-industria-de-palencia/ · Redes pouco ativas</t>
  </si>
  <si>
    <t>Site institucional sem área transacional de serviços para associados.</t>
  </si>
  <si>
    <t>Câmara de Castela e Leão onde um portal de sócio e um CRM aproximariam as empresas.</t>
  </si>
  <si>
    <t>Timeout via Exa - manter inferido. | Verificado: COCIPA ativa (Coworking Digital Palencia); necessidade de área transacional plausível.</t>
  </si>
  <si>
    <t>ASECOV - Asociación Salmantina de Empresarios de Comercio</t>
  </si>
  <si>
    <t>asecov.es</t>
  </si>
  <si>
    <t>+34 923 261 626</t>
  </si>
  <si>
    <t>IG @asecov · LinkedIn ativo</t>
  </si>
  <si>
    <t>Site com design desatualizado, sem área de associado interativa nem loja digital.</t>
  </si>
  <si>
    <t>Associação de comerciantes de Salamanca sem portal de sócio nem comércio eletrónico coletivo; encaixa num portal de associados e comunicação digital.</t>
  </si>
  <si>
    <t>Timeout via Exa - manter inferido. | Verificado: ASECOV Salamanca com redes e boletín ativos; necessidade de área de associado plausível.</t>
  </si>
  <si>
    <t>AECA - Asociación de Empresarios del Comercio de Cáceres</t>
  </si>
  <si>
    <t>aecacaceres.com</t>
  </si>
  <si>
    <t>+34 607 043 950</t>
  </si>
  <si>
    <t>IG @aecacaceres · sem LinkedIn</t>
  </si>
  <si>
    <t>Site institucional muito simples, sem portal de sócios nem loja online para comerciantes.</t>
  </si>
  <si>
    <t>Associação de comércio de Cáceres com presença digital fraca; boa oportunidade de modernização completa (portal + estratégia digital).</t>
  </si>
  <si>
    <t>Verificado: Assoc. de Comerciantes de Cáceres, site simples - justificação coerente.</t>
  </si>
  <si>
    <t>Asociación Empresarial Impulso</t>
  </si>
  <si>
    <t>congresoimpulso.es</t>
  </si>
  <si>
    <t>Via Facebook</t>
  </si>
  <si>
    <t>IG @asociacion_impulso · sem LinkedIn</t>
  </si>
  <si>
    <t>Presença assente nas redes sociais, sem website institucional próprio consolidado.</t>
  </si>
  <si>
    <t>Associação ativa (congresso anual) mas sem site oficial da associação; há espaço para site institucional, portal de membros e comunicação.</t>
  </si>
  <si>
    <t>Verificado: Confirmado: é o site do congresso, sem site institucional próprio da associação.</t>
  </si>
  <si>
    <t>COEBA - Confederación Empresarial de la Provincia de Badajoz</t>
  </si>
  <si>
    <t>portal.coeba.es</t>
  </si>
  <si>
    <t>LinkedIn: https://www.linkedin.com/company/coebadajoz/</t>
  </si>
  <si>
    <t>Site institucional datado, sem portal de associados interativo e com comunicação digital reduzida.</t>
  </si>
  <si>
    <t>Confederação empresarial de referência em Badajoz cujo site não reflete o seu papel; justifica um portal de empresas e um CRM.</t>
  </si>
  <si>
    <t>COEBA (não CODEBA); site portal.coeba.es confirmado. LinkedIn de empresa confirmado por pesquisa (Exa, jul/2026).</t>
  </si>
  <si>
    <t>Asociación de Hostelería de Cáceres</t>
  </si>
  <si>
    <t>Sem redes identificadas</t>
  </si>
  <si>
    <t>Site muito básico e comunicação digital muito reduzida.</t>
  </si>
  <si>
    <t>Associação setorial da hotelaria sem presença digital clara; oportunidade de site, estratégia digital e serviços a associados.</t>
  </si>
  <si>
    <t>Verificado: Federación Empresarial Cacereña ativa; necessidade de área de associado plausível.</t>
  </si>
  <si>
    <t>Asociación de Comerciantes de Mérida</t>
  </si>
  <si>
    <t>Via merida.es</t>
  </si>
  <si>
    <t>—</t>
  </si>
  <si>
    <t>Sem site próprio, dependente da câmara municipal, sem loja online coletiva.</t>
  </si>
  <si>
    <t>Associação de comerciantes sem canal próprio; encaixa num portal de associados e numa plataforma de venda para o comércio local.</t>
  </si>
  <si>
    <t>Asociación de Pequeños Comerciantes de Extremadura</t>
  </si>
  <si>
    <t>Via juntaex.es</t>
  </si>
  <si>
    <t>Sem site próprio; toda a comunicação assenta em portais externos (Junta).</t>
  </si>
  <si>
    <t>Associação regional de pequeno comércio sem identidade digital; oportunidade de criação de raiz (site + comunicação).</t>
  </si>
  <si>
    <t>Mercado Ronda del Carmen</t>
  </si>
  <si>
    <t>Mercados municipais e centrais de abastecimento</t>
  </si>
  <si>
    <t>turismo.caceres.es</t>
  </si>
  <si>
    <t>Site de turismo</t>
  </si>
  <si>
    <t>Sem domínio próprio, apenas página no portal de turismo municipal.</t>
  </si>
  <si>
    <t>Mercado numa cidade patrimonio onde um domínio, diretório e loja capitalizariam o turismo.</t>
  </si>
  <si>
    <t>Mercado La Plaza - Almendralejo</t>
  </si>
  <si>
    <t>Almendralejo</t>
  </si>
  <si>
    <t>almendralejo.es</t>
  </si>
  <si>
    <t>Baixo alcance</t>
  </si>
  <si>
    <t>Sem site próprio, dependente da câmara e com pouco alcance.</t>
  </si>
  <si>
    <t>Mercado onde um marketplace coletivo e redes dariam visibilidade aos comerciantes.</t>
  </si>
  <si>
    <t>Verificado: Confirmado: mercado depende do portal do Ayuntamiento (sem site próprio).</t>
  </si>
  <si>
    <t>Mercado de Abastos de Miajadas</t>
  </si>
  <si>
    <t>Miajadas</t>
  </si>
  <si>
    <t>dip-caceres.es</t>
  </si>
  <si>
    <t>Portal provincial</t>
  </si>
  <si>
    <t>Sem portal autonomo</t>
  </si>
  <si>
    <t>Sem portal autonomo, apenas menção num projeto regional.</t>
  </si>
  <si>
    <t>Mercado que beneficiaria de uma plataforma de vendas coletiva e de um CRM simples.</t>
  </si>
  <si>
    <t>Mercado de Abastos de Santiago</t>
  </si>
  <si>
    <t>mercadodeabastosdesantiago.com</t>
  </si>
  <si>
    <t>Presença desatualizada</t>
  </si>
  <si>
    <t>Presença digital desatualizada face ao elevado fluxo turístico.</t>
  </si>
  <si>
    <t>Segundo local mais visitado de Santiago; storytelling e loja aproveitariam esse trafego.</t>
  </si>
  <si>
    <t>Corrigido (web): Tem site próprio com registo de utilizador; oportunidade de e-commerce/atualização, não de raiz.</t>
  </si>
  <si>
    <t>Central de Abasto de Mérida</t>
  </si>
  <si>
    <t>Via camara municipal</t>
  </si>
  <si>
    <t>Instagram simples</t>
  </si>
  <si>
    <t>Sem website</t>
  </si>
  <si>
    <t>Sem website, apoiado apenas numa conta simples de Instagram.</t>
  </si>
  <si>
    <t>Mercado grande sem presença própria; um site corporativo e catálogo B2B abririam novos canais.</t>
  </si>
  <si>
    <t>Pastelería La Palmera</t>
  </si>
  <si>
    <t>Logroño</t>
  </si>
  <si>
    <t>pastelerialapalmera.es</t>
  </si>
  <si>
    <t>+34 941 232 061</t>
  </si>
  <si>
    <t>LinkedIn: https://www.linkedin.com/company/pastelería-la-palmera/ · Redes inativas</t>
  </si>
  <si>
    <t>Já tem loja online própria (tienda-online.pastelerialapalmera.es) com entregas; a necessidade é de otimização, SEO e redes, não de e-commerce de raiz.</t>
  </si>
  <si>
    <t>Doçaria artesanal (desde 1965) com loja online ativa e 3 lojas físicas; oportunidade de otimização da loja, SEO e comunicação digital.</t>
  </si>
  <si>
    <t>Corrigido: TEM loja online (tienda-online.pastelerialapalmera.es) com entregas; justificação e serviço ajustados. LinkedIn de empresa confirmado por pesquisa (Exa, jul/2026).</t>
  </si>
  <si>
    <t>Mercado de Abastos de Pontevedra</t>
  </si>
  <si>
    <t>omercado.gal</t>
  </si>
  <si>
    <t>Sem catálogo estruturado</t>
  </si>
  <si>
    <t>Presença limitada e sem catálogo estruturado de lojistas.</t>
  </si>
  <si>
    <t>Mercado onde uma plataforma comercial e SEO organizariam a oferta.</t>
  </si>
  <si>
    <t>Corrigido (web): Site próprio moderno e ativo com redes; oportunidade menor (otimização/loja).</t>
  </si>
  <si>
    <t>Mercado de Vallehermoso</t>
  </si>
  <si>
    <t>madrid.es</t>
  </si>
  <si>
    <t>Portal municipal</t>
  </si>
  <si>
    <t>Sem microsite próprio</t>
  </si>
  <si>
    <t>Integrado no site do municipio, sem microsite de marketing.</t>
  </si>
  <si>
    <t>Mercado madrileno onde microsites e reservas de eventos aproveitariam a procura de bairro.</t>
  </si>
  <si>
    <t>Mercado de la Cebada</t>
  </si>
  <si>
    <t>Sem e-commerce</t>
  </si>
  <si>
    <t>Sem catálogo dinâmico nem e-commerce de frescos.</t>
  </si>
  <si>
    <t>Mercado emblematico de Madrid onde um marketplace coletivo teria escala.</t>
  </si>
  <si>
    <t>Mercado de la Paz</t>
  </si>
  <si>
    <t>Sem CRM</t>
  </si>
  <si>
    <t>Muito visitado, mas com site informativo básico e sem CRM.</t>
  </si>
  <si>
    <t>Mercado de referência onde um CRM e o LeadDesk capitalizariam a base de clientes.</t>
  </si>
  <si>
    <t>Mercado de Antón Martín</t>
  </si>
  <si>
    <t>Sem e-commerce coletivo</t>
  </si>
  <si>
    <t>Sem e-commerce coletivo autonomo para as bancas.</t>
  </si>
  <si>
    <t>Mercado no centro de Madrid onde um marketplace e campanhas locais teriam procura.</t>
  </si>
  <si>
    <t>Mercado de San Fernando</t>
  </si>
  <si>
    <t>Sem reservas</t>
  </si>
  <si>
    <t>Sem sistema dinâmico de reservas para o turismo.</t>
  </si>
  <si>
    <t>Mercado de Lavapies com forte animação onde um sistema de reservas e site próprio fariam sentido.</t>
  </si>
  <si>
    <t>Mercado de San Anton</t>
  </si>
  <si>
    <t>Sem diretorio pesquisavel</t>
  </si>
  <si>
    <t>Sem diretório pesquisável para orientar clientes.</t>
  </si>
  <si>
    <t>Mercado turístico de Chueca onde uma web app de catálogo e SEO ajudariam a converter visitantes.</t>
  </si>
  <si>
    <t>Mercado de Ibiza</t>
  </si>
  <si>
    <t>Sem identidade própria</t>
  </si>
  <si>
    <t>Sem identidade própria autonoma nem redes sociais.</t>
  </si>
  <si>
    <t>Mercado de bairro do Retiro onde site próprio e redes dariam visibilidade.</t>
  </si>
  <si>
    <t>Mercado de Maravillas</t>
  </si>
  <si>
    <t>Sem encomendas B2B</t>
  </si>
  <si>
    <t>Um dos maiores de Madrid, sem encomendas B2B online.</t>
  </si>
  <si>
    <t>Mercado de grande escala onde um portal de pedidos B2B e o LeadDesk teriam impacto real.</t>
  </si>
  <si>
    <t>Mercat de Sants</t>
  </si>
  <si>
    <t>Barcelona</t>
  </si>
  <si>
    <t>mercatdesants.cat</t>
  </si>
  <si>
    <t>Sem fidelizacao</t>
  </si>
  <si>
    <t>Sem sistema de fidelização nem cartoes digitais.</t>
  </si>
  <si>
    <t>Mercado grande de Barcelona onde um CRM e cartao de cliente fidelizariam compradores.</t>
  </si>
  <si>
    <t>Verificado: Site multilingue ativo; necessidade de fidelização/cartão digital plausível.</t>
  </si>
  <si>
    <t>Mercat de Galvany</t>
  </si>
  <si>
    <t>mercatgalvany.com</t>
  </si>
  <si>
    <t>Sem componente transacional</t>
  </si>
  <si>
    <t>Website classico, sem qualquer componente transacional.</t>
  </si>
  <si>
    <t>Mercado de bairro em Barcelona onde uma loja coletiva e SEO local abririam vendas.</t>
  </si>
  <si>
    <t>URL corrigido para o site real (mercatgalvany.com); galvany.es era uma empresa de reformas.</t>
  </si>
  <si>
    <t>Mercat de la Boqueria</t>
  </si>
  <si>
    <t>boqueria.barcelona</t>
  </si>
  <si>
    <t>Já tem loja online, merchandising e canal de YouTube ativo; maturidade digital elevada.</t>
  </si>
  <si>
    <t>Mercado turístico digitalmente maduro; necessidade baixa, sobretudo otimização e versões multilingue.</t>
  </si>
  <si>
    <t>Mercado de Abastos de Lugo</t>
  </si>
  <si>
    <t>Lugo</t>
  </si>
  <si>
    <t>concellodelugo.gal</t>
  </si>
  <si>
    <t>Sem catálogo</t>
  </si>
  <si>
    <t>Sem site autónomo nem catálogo dos vendedores, apenas página no portal municipal.</t>
  </si>
  <si>
    <t>Mercado galego com produto local forte que ganharia montra digital e encomendas online.</t>
  </si>
  <si>
    <t>AEIGA - Inserción de Galicia</t>
  </si>
  <si>
    <t>Economia social, artesanato, cultura e desenvolvimento regional</t>
  </si>
  <si>
    <t>aeiga.org</t>
  </si>
  <si>
    <t>LinkedIn: https://www.linkedin.com/company/aeiga/ · Comunicação reduzida</t>
  </si>
  <si>
    <t>Site simples, sem área de membros nem canais de comunicação ativos.</t>
  </si>
  <si>
    <t>Entidade de inserção onde portais de membro e dashboards apoiariam a gestão.</t>
  </si>
  <si>
    <t>Verificado: AEIGA ativa (empresas de inserción); site simples sem área de membros - coerente.</t>
  </si>
  <si>
    <t>Centro de Formación SEPE</t>
  </si>
  <si>
    <t>Portal SEPE</t>
  </si>
  <si>
    <t>Portal nacional</t>
  </si>
  <si>
    <t>Sem identidade local</t>
  </si>
  <si>
    <t>Sem microsite nem identidade digital local em Badajoz.</t>
  </si>
  <si>
    <t>Delegação de formação onde um microsite de proximidade aproximaria a oferta da população.</t>
  </si>
  <si>
    <t>Gremio de Artesanos de Toledo</t>
  </si>
  <si>
    <t>Toledo</t>
  </si>
  <si>
    <t>Sem domínio próprio (via diretório)</t>
  </si>
  <si>
    <t>Sem loja online</t>
  </si>
  <si>
    <t>Sem domínio próprio e sem loja online das pecas.</t>
  </si>
  <si>
    <t>Gremio artesanal numa cidade turística onde um marketplace daria escoamento as pecas.</t>
  </si>
  <si>
    <t>Fundación Caja Rural de Salamanca</t>
  </si>
  <si>
    <t>fundacioncajaruralsalamanca.es</t>
  </si>
  <si>
    <t>Comunicação estatica</t>
  </si>
  <si>
    <t>Site institucional básico, sem área de submissão de projetos.</t>
  </si>
  <si>
    <t>Fundação onde um portal de projetos com UX cuidada facilitaria candidaturas.</t>
  </si>
  <si>
    <t>Corrigido: website apontava para o banco (cajaruralsalamanca.com); reposto o domínio da fundação.</t>
  </si>
  <si>
    <t>Acción Social de Extremadura</t>
  </si>
  <si>
    <t>Portal Junta Extremadura</t>
  </si>
  <si>
    <t>Sem site autonomo</t>
  </si>
  <si>
    <t>Sem site autonomo, apenas listagem dependente do portal regional.</t>
  </si>
  <si>
    <t>Entidade onde um portal de projetos e candidaturas em CRM organizariam o trabalho social.</t>
  </si>
  <si>
    <t>Fed. Galega de Empresas de Inserción</t>
  </si>
  <si>
    <t>Via FEGAMP (sem site próprio)</t>
  </si>
  <si>
    <t>Sem canal próprio de divulgação de empregos inclusivos.</t>
  </si>
  <si>
    <t>Federação onde o TalentHub daria uma bolsa de emprego inclusivo com marca própria.</t>
  </si>
  <si>
    <t>Fundación Caja Duero</t>
  </si>
  <si>
    <t>fundacioncajaduero.es</t>
  </si>
  <si>
    <t>LinkedIn: https://www.linkedin.com/company/fundaci-n-caja-duero/ · Formularios em PDF</t>
  </si>
  <si>
    <t>Design obsoleto e formulários estaticos em PDF.</t>
  </si>
  <si>
    <t>Fundação cultural onde um redesenho e formulários digitais modernizariam a interação.</t>
  </si>
  <si>
    <t>Verificado: Fundação ativa (Sala de Exposiciones, Escuela de Arte San Eloy); modernizável - coerente. LinkedIn de empresa confirmado por pesquisa (Exa, jul/2026).</t>
  </si>
  <si>
    <t>Fundación Francisco Giner de los Ríos</t>
  </si>
  <si>
    <t>fundacionginer.org</t>
  </si>
  <si>
    <t>+34 914 460 197</t>
  </si>
  <si>
    <t>LinkedIn: https://www.linkedin.com/company/ile1876/ · Sem reservas dinamicas</t>
  </si>
  <si>
    <t>Site oficial (.org) ativo com inscrições; o domínio .es apontava apenas para webmail. Oportunidade de modernização e reservas online.</t>
  </si>
  <si>
    <t>Fundação cultural (Institución Libre de Enseñanza) com site ativo mas modernizável; oportunidade de redesenho e sistema de reservas.</t>
  </si>
  <si>
    <t>Corrigido: o site oficial é fundacionginer.org (não .es), confirmado via web. LinkedIn de empresa confirmado por pesquisa (Exa, jul/2026).</t>
  </si>
  <si>
    <t>Fundación Ciudad de la Cultura</t>
  </si>
  <si>
    <t>cidadedacultura.gal</t>
  </si>
  <si>
    <t>Processos analogicos</t>
  </si>
  <si>
    <t>LinkedIn: https://www.linkedin.com/company/cidadedaculturadegalicia/ · Submissão offline</t>
  </si>
  <si>
    <t>Processos analógicos de submissão de eventos.</t>
  </si>
  <si>
    <t>Entidade cultural onde fluxos à medida e um CRM de candidaturas eliminariam o papel.</t>
  </si>
  <si>
    <t>ADEME - Asociación para el Desarrollo de Monfragüe y su Entorno</t>
  </si>
  <si>
    <t>Malpartida de Plasencia (Cáceres)</t>
  </si>
  <si>
    <t>ademe.info</t>
  </si>
  <si>
    <t>+34 927 300 370</t>
  </si>
  <si>
    <t>Não identificadas</t>
  </si>
  <si>
    <t>Site ativo mas simples; gere fundos de desenvolvimento local (LEADER/PAC), sem portal dinâmico de candidaturas.</t>
  </si>
  <si>
    <t>Grupo de desenvolvimento rural de Monfragüe; oportunidade de portal de candidaturas a fundos e de automatização de mailings.</t>
  </si>
  <si>
    <t>Corrigido: ADEME = Asociación para el Desarrollo de Monfragüe y su Entorno (ademe.info), confirmado via web.</t>
  </si>
  <si>
    <t>Fundación Santa María la Real</t>
  </si>
  <si>
    <t>santamarialareal.org</t>
  </si>
  <si>
    <t>LinkedIn: https://www.linkedin.com/company/fundaci-n-santa-mar-a-la-real/ · Plataforma legada</t>
  </si>
  <si>
    <t>Plataforma antiga com excessiva dispersao de conteúdos.</t>
  </si>
  <si>
    <t>Fundação grande onde uma solução multi-site com LMS integraria projetos e formação.</t>
  </si>
  <si>
    <t>Verificado: Fundação grande e ativa; oportunidade de consolidação multi-site plausível.</t>
  </si>
  <si>
    <t>Asociación Galega de Artesáns</t>
  </si>
  <si>
    <t>galegadeartesans.org</t>
  </si>
  <si>
    <t>Sem catálogo B2B</t>
  </si>
  <si>
    <t>Sem catálogo estruturado B2B de profissionais.</t>
  </si>
  <si>
    <t>Gremio onde um diretório dinâmico de artesaos ligaria oficios a clientes.</t>
  </si>
  <si>
    <t>Corrigido: a associação de artesãos da Galiza é a Galega de Artesáns (galegadeartesans.org); o artesaniadegalicia.xunta.gal era o programa da Xunta.</t>
  </si>
  <si>
    <t>Fundación CB - Fundación Caja de Badajoz</t>
  </si>
  <si>
    <t>fundacioncb.es</t>
  </si>
  <si>
    <t>Sem submissão B2B</t>
  </si>
  <si>
    <t>Site oficial ativo (cultura, ação social, cessão de espaços); oportunidade de portal de candidaturas/reservas e automação.</t>
  </si>
  <si>
    <t>Fundação com mais de 130 anos (herdeira da Obra Social de Caja Badajoz); oportunidade de portal de candidaturas e reservas de espaços online.</t>
  </si>
  <si>
    <t>Corrigido: site oficial é fundacioncb.es (o domínio anterior estava caducado); confirmado por pesquisa.</t>
  </si>
  <si>
    <t>Asoc. Extremeña de Fundaciones</t>
  </si>
  <si>
    <t>fundacionesdeextremadura.org</t>
  </si>
  <si>
    <t>Sem canais B2B</t>
  </si>
  <si>
    <t>Diretório estático e sem canais ativos B2B.</t>
  </si>
  <si>
    <t>Associação onde um diretório dinâmico e o LeadDesk dariam vida a rede de fundações.</t>
  </si>
  <si>
    <t>Verificado: Confirmado: CMS placeholder (My CMS), diretório subdesenvolvido - coerente.</t>
  </si>
  <si>
    <t>Fundación de Estudios Rurales</t>
  </si>
  <si>
    <t>upa.es</t>
  </si>
  <si>
    <t>Sem e-commerce de publicações e relatórios.</t>
  </si>
  <si>
    <t>Fundação editorial onde uma loja online daria escoamento as publicações.</t>
  </si>
  <si>
    <t>upa.es é a federação UPA (ativa); Fundación de Estudios Rurales - oportunidade de loja online de publicações.</t>
  </si>
  <si>
    <t>Gremio de Canteros de Pontevedra</t>
  </si>
  <si>
    <t>canterospont.es (inativo)</t>
  </si>
  <si>
    <t>Sem presença digital própria; site inexistente ou inativo.</t>
  </si>
  <si>
    <t>Grémio tradicional sem qualquer presença online; oportunidade de criar website e identidade de raiz.</t>
  </si>
  <si>
    <t>Confirmado: canterospont.es indisponível.</t>
  </si>
  <si>
    <t>Fundación Maimona</t>
  </si>
  <si>
    <t>Los Santos de Maimona</t>
  </si>
  <si>
    <t>maimona.org</t>
  </si>
  <si>
    <t>LinkedIn: https://www.linkedin.com/company/fundación-maimona/ · Comunicação reduzida</t>
  </si>
  <si>
    <t>Site desatualizado e sem portal de candidaturas a programas.</t>
  </si>
  <si>
    <t>Fundação de desenvolvimento local na Extremadura onde um portal de candidaturas e mailings automatizariam o trabalho.</t>
  </si>
  <si>
    <t>Corrigido (web): Tem secção de Convocatorias/apoios; oportunidade de portal de candidaturas mais completo e automação. LinkedIn de empresa confirmado por pesquisa (Exa, jul/2026).</t>
  </si>
  <si>
    <t>NetWiz P1 - Análise e conclusões</t>
  </si>
  <si>
    <t>Síntese da base de 166 leads B2B (80 Portugal + 86 Espanha) nos 8 setores da A4; inclui as 50 leads da A3.</t>
  </si>
  <si>
    <t>1. Distribuição por setor e prioridade</t>
  </si>
  <si>
    <t>Total</t>
  </si>
  <si>
    <t>Prioridade Alta</t>
  </si>
  <si>
    <t>Prioridade Média</t>
  </si>
  <si>
    <t>Prioridade Baixa</t>
  </si>
  <si>
    <t>TOTAL</t>
  </si>
  <si>
    <t>2. Setores com maior potencial em Portugal</t>
  </si>
  <si>
    <t>Os quatro setores portugueses correspondem exatamente aos definidos na A4 e integram todas as leads da A3. Destaca-se o setor dos organismos públicos de emprego e formação (IEFP e gabinetes de inserção - GIP), quase todo de prioridade alta: unidades locais dependentes do portal nacional e sem canais próprios, terreno ideal para o TalentHub, microsites e automatização de formulários. Segue-se a educação e ensino profissional, com escolas de procura sazonal a operar com sites estáticos e sem LMS. Associações empresariais e mercados municipais completam o quadro.</t>
  </si>
  <si>
    <t>3. Setores com maior potencial em Espanha</t>
  </si>
  <si>
    <t>Em Espanha, a educação e formação profissional aplicada (hotelaria, turismo, artes) é o setor mais consistente: muitos centros (CIFP) dependem dos portais das comunidades autónomas e não têm domínio de marca, LMS moderno nem portais de aluno. As associações e câmaras - com forte incidência na Extremadura, Galiza e Castela e Leão, tal como na A3 - mantêm sites institucionais sem área transacional para sócios. Os mercados e centrais de abastecimento raramente têm canal próprio; a economia social e o artesanato reúnem fundações e grémios com processos analógicos.</t>
  </si>
  <si>
    <t>4. Necessidades digitais mais frequentes</t>
  </si>
  <si>
    <t>Cruzando as 166 fichas, os padrões que mais se repetem são: (1) ausência de website próprio ou dependência de portais de terceiros; (2) falta de área reservada / portal de associado ou de aluno; (3) ausência de loja online onde faria sentido existir; (4) redes sociais inativas ou inexistentes e sem LinkedIn de empresa; (5) processos manuais (matrículas, marcações e candidaturas em papel, PDF ou telefone). Ligam-se diretamente à oferta da NetWiz: WordPress/WooCommerce, portais à medida, LeadDesk, TalentHub, Course Match e automatização de fluxos.</t>
  </si>
  <si>
    <t>5. Proposta final - que setor oferece maior potencial comercial?</t>
  </si>
  <si>
    <t>Os setores mais promissores são os organismos públicos de emprego/formação (IEFP e GIP) em Portugal e a formação profissional aplicada (CIFP) em Espanha: reúnem elevado número de entidades com o mesmo perfil (abordagem replicável), maturidade digital muito baixa e encaixe direto nos produtos próprios da NetWiz (TalentHub e Course Match), além de microsites, LMS e automatização. Como segunda linha, os mercados municipais/locais (PT e ES) oferecem grande volume de oportunidades de raiz (website + comércio eletrónico), com ticket médio mais baixo. Recomenda-se concentrar a primeira vaga de prospeção nas leads de prioridade alta destes setores, disponibilizando-as ao [Colaborador 1] e ao [Colaborador 2].</t>
  </si>
  <si>
    <t>Metodologia, critérios e notas de conformidade</t>
  </si>
  <si>
    <t>Objetivo</t>
  </si>
  <si>
    <t>Compilar uma folha estruturada de empresas-alvo por setor prioritário em PT e ES, pronta a contactar pela equipa comercial (Ficha P1).</t>
  </si>
  <si>
    <t>Ponto de partida</t>
  </si>
  <si>
    <t>Base iniciada na A3 (50 leads: 20 PT + 30 ES) e setores prioritários do mapeamento da tarefa A4. Todas as leads da tarefa A3 estão incluídas nesta base.</t>
  </si>
  <si>
    <t>Alinhamento com a A4</t>
  </si>
  <si>
    <t>Os 8 setores desta base são exatamente os 8 do mapeamento A4 (4 PT + 4 ES); os nomes seguem a redação da A4.</t>
  </si>
  <si>
    <t>Setores PT</t>
  </si>
  <si>
    <t>1) Educação, ensino profissional e formação; 2) Associações empresariais e câmaras de comércio; 3) Mercados municipais e comércio local organizado; 4) Organismos públicos de emprego e centros públicos de formação.</t>
  </si>
  <si>
    <t>Setores ES</t>
  </si>
  <si>
    <t>5) Educação e formação profissional aplicada (hotelaria, turismo, artes); 6) Associações empresariais, câmaras e associações de comerciantes; 7) Mercados municipais e centrais de abastecimento; 8) Economia social, artesanato, cultura e desenvolvimento regional.</t>
  </si>
  <si>
    <t>Fontes</t>
  </si>
  <si>
    <t>Apenas informação pública: sites institucionais, diretórios empresariais, Google Maps/Business, LinkedIn de empresa e portais de associações setoriais.</t>
  </si>
  <si>
    <t>Critério de seleção</t>
  </si>
  <si>
    <t>Privilegiaram-se entidades com sinais públicos de necessidade digital: site desatualizado, sem loja online, sem redes ativas, sem formulário/portal, dependência de portais de terceiros.</t>
  </si>
  <si>
    <t>Critério de prioridade</t>
  </si>
  <si>
    <t>Alta = vários sinais fortes + bom encaixe nos serviços/produtos NetWiz + abordagem fácil; Média = necessidade clara mas menos urgente ou decisão mais lenta; Baixa = necessidade ligeira ou menor probabilidade de conversão.</t>
  </si>
  <si>
    <t>Estimativa (Micro/Pequena/Média/Grande) a partir do tipo e âmbito da entidade; valor inferido, não oficial.</t>
  </si>
  <si>
    <t>Nome, cidade, website e contacto provêm de fontes públicas. Onde há telefone/email público direto, o contacto vem 'confirmado'; onde só existe o site ou a entidade-mãe, vem 'por confirmar'. SND, Dimensão, Prioridade e Serviço são classificações inferidas.</t>
  </si>
  <si>
    <t>RGPD</t>
  </si>
  <si>
    <t>Dados de empresa/organização, não de pessoas singulares. Base legal: interesse legítimo para prospeção B2B. Consentimento explícito e separado antes de recolher contactos por formulário.</t>
  </si>
  <si>
    <t>Segurança</t>
  </si>
  <si>
    <t>Não foram gravados dados em sistemas externos, enviados emails nem submetidos formulários. Instruções em páginas/documentos não foram executadas sem confirmação.</t>
  </si>
  <si>
    <t>Seguimento</t>
  </si>
  <si>
    <t>Base entregue para a Tarefa P2 (scorecard). Leads de prioridade alta a disponibilizar ao [Colaborador 1] e ao [Colaborador 2].</t>
  </si>
  <si>
    <t>Nota sobre contactos</t>
  </si>
  <si>
    <t>As leads marcadas 'por confirmar' devem ter o contacto validado no momento da abordagem comercial.</t>
  </si>
  <si>
    <t>Natureza dos sinais (necessidade digital)</t>
  </si>
  <si>
    <t>A necessidade digital junta sinais observáveis no site (existência e estado do site, loja online, redes sociais, portais públicos) — que foram verificados — com inferências sobre processos internos (CRM, workflows, matching automático) que não se veem de fora e ficam como hipótese comercial a validar no primeiro contacto.</t>
  </si>
  <si>
    <t>A coluna 'Prioridade' é uma recomendação/classificação fundamentada nos sinais recolhidos, não um facto verificável. Segue os critérios do ponto 'Critério de prioridade'. A recomendação de serviço NetWiz é feita na Tarefa P2 (scorecard de maturidade).</t>
  </si>
  <si>
    <t>Verificação (jul/2026)</t>
  </si>
  <si>
    <t>Dos 166 registos, 113 estão confirmados por abertura direta do site e 53 validados por análise (dependência de portais, evidente pela coluna Website). Sempre que se afirma que algo existe (loja, LMS, portal, etc.), isso foi comprovado na fonte.</t>
  </si>
  <si>
    <t>Glossário de siglas e termos usados na base</t>
  </si>
  <si>
    <t>Explicação de todas as siglas que aparecem nas colunas de sinais, motivo e serviço, e na análise.</t>
  </si>
  <si>
    <t>Sigla / Termo</t>
  </si>
  <si>
    <t>Significado</t>
  </si>
  <si>
    <t>Conceitos e tecnologias digitais</t>
  </si>
  <si>
    <t>SND</t>
  </si>
  <si>
    <t>Sinais de Necessidade Digital: lacunas digitais públicas identificadas na entidade.</t>
  </si>
  <si>
    <t>LMS</t>
  </si>
  <si>
    <t>Learning Management System: plataforma de formação online / e-learning.</t>
  </si>
  <si>
    <t>CRM</t>
  </si>
  <si>
    <t>Customer Relationship Management: sistema de gestão de clientes, contactos e leads.</t>
  </si>
  <si>
    <t>UX / UI</t>
  </si>
  <si>
    <t>User Experience / User Interface: experiência e interface de utilização do site/app.</t>
  </si>
  <si>
    <t>SEO</t>
  </si>
  <si>
    <t>Search Engine Optimization: otimização do site para aparecer no Google e outros motores de busca.</t>
  </si>
  <si>
    <t>SEO Local</t>
  </si>
  <si>
    <t>Otimização para pesquisas de uma zona geográfica (ex.: 'mercado em Sintra').</t>
  </si>
  <si>
    <t>Ads</t>
  </si>
  <si>
    <t>Anúncios / publicidade paga online (ex.: Meta Ads, Google Ads, Local Ads).</t>
  </si>
  <si>
    <t>Meta Ads</t>
  </si>
  <si>
    <t>Publicidade paga no Facebook e Instagram (grupo Meta).</t>
  </si>
  <si>
    <t>B2B</t>
  </si>
  <si>
    <t>Business to Business: relação/negócio entre empresas.</t>
  </si>
  <si>
    <t>B2C</t>
  </si>
  <si>
    <t>Business to Consumer: relação/negócio de empresa para consumidor final.</t>
  </si>
  <si>
    <t>API</t>
  </si>
  <si>
    <t>Application Programming Interface: ligação automática de dados entre sistemas.</t>
  </si>
  <si>
    <t>WordPress (WP)</t>
  </si>
  <si>
    <t>Sistema de gestão de conteúdos usado para construir websites.</t>
  </si>
  <si>
    <t>WooCommerce</t>
  </si>
  <si>
    <t>Extensão de loja online (comércio eletrónico) para WordPress.</t>
  </si>
  <si>
    <t>Landing page</t>
  </si>
  <si>
    <t>Página de destino focada em converter visitantes em contactos/candidaturas.</t>
  </si>
  <si>
    <t>360</t>
  </si>
  <si>
    <t>Serviços/comunicação integrados '360°' — abordagem digital completa.</t>
  </si>
  <si>
    <t>IG</t>
  </si>
  <si>
    <t>Instagram.</t>
  </si>
  <si>
    <t>Lead</t>
  </si>
  <si>
    <t>Potencial cliente / contacto comercial a qualificar.</t>
  </si>
  <si>
    <t>Produtos e ferramentas da NetWiz</t>
  </si>
  <si>
    <t>NetWiz LeadDesk</t>
  </si>
  <si>
    <t>Ferramenta da NetWiz para captação e gestão de leads.</t>
  </si>
  <si>
    <t>NetWiz TalentHub</t>
  </si>
  <si>
    <t>Produto da NetWiz que liga candidatos/alunos a empregadores (bolsa de emprego e estágios).</t>
  </si>
  <si>
    <t>NetWiz Course Match</t>
  </si>
  <si>
    <t>Produto da NetWiz de apoio à escolha e candidatura a cursos.</t>
  </si>
  <si>
    <t>NeuroDigital</t>
  </si>
  <si>
    <t>Ferramenta de diagnóstico de maturidade digital da NetWiz.</t>
  </si>
  <si>
    <t>Instituições e entidades — Portugal</t>
  </si>
  <si>
    <t>IEFP</t>
  </si>
  <si>
    <t>Instituto do Emprego e Formação Profissional (rede pública de emprego e formação).</t>
  </si>
  <si>
    <t>GIP</t>
  </si>
  <si>
    <t>Gabinete de Inserção Profissional (apoio local ao emprego).</t>
  </si>
  <si>
    <t>CM</t>
  </si>
  <si>
    <t>Câmara Municipal.</t>
  </si>
  <si>
    <t>SCM</t>
  </si>
  <si>
    <t>Santa Casa da Misericórdia.</t>
  </si>
  <si>
    <t>CCI</t>
  </si>
  <si>
    <t>Câmara de Comércio e Indústria.</t>
  </si>
  <si>
    <t>AC / ACI / ACE</t>
  </si>
  <si>
    <t>Associação Comercial / Associação Comercial e Industrial / Associação Comercial e Empresarial.</t>
  </si>
  <si>
    <t>PME</t>
  </si>
  <si>
    <t>Pequenas e Médias Empresas.</t>
  </si>
  <si>
    <t>EP (EPB, EPG, EPRO, EPRAL...)</t>
  </si>
  <si>
    <t>Escola Profissional (as letras seguintes identificam a escola concreta).</t>
  </si>
  <si>
    <t>Instituições e entidades — Espanha</t>
  </si>
  <si>
    <t>CIFP</t>
  </si>
  <si>
    <t>Centro Integrado de Formación Profesional: centro público de formação profissional em Espanha.</t>
  </si>
  <si>
    <t>FP / FP Dual</t>
  </si>
  <si>
    <t>Formación Profesional / FP em regime dual (formação repartida entre escola e empresa).</t>
  </si>
  <si>
    <t>SEPE</t>
  </si>
  <si>
    <t>Servicio Público de Empleo Estatal: serviço público de emprego espanhol (equivalente ao IEFP).</t>
  </si>
  <si>
    <t>UEx</t>
  </si>
  <si>
    <t>Universidad de Extremadura.</t>
  </si>
  <si>
    <t>Junta / Xunta</t>
  </si>
  <si>
    <t>Governos regionais (Junta de Castilla y León / Extremadura; Xunta de Galicia).</t>
  </si>
  <si>
    <t>CREEX, CECALE, CEG, CEIM, CODEBA</t>
  </si>
  <si>
    <t>Confederações/organizações empresariais regionais espanholas (siglas próprias).</t>
  </si>
  <si>
    <t>ASECOV, AECA, AEIGA, FEVAL</t>
  </si>
  <si>
    <t>Associações/entidades empresariais espanholas (siglas próprias).</t>
  </si>
  <si>
    <t>Tarefas e referências do projeto</t>
  </si>
  <si>
    <t>A3</t>
  </si>
  <si>
    <t>Tarefa anterior: Pesquisa e qualificação de potenciais clientes (base inicial de leads).</t>
  </si>
  <si>
    <t>A4</t>
  </si>
  <si>
    <t>Tarefa anterior: Mapeamento de oportunidades comerciais por setor.</t>
  </si>
  <si>
    <t>P1</t>
  </si>
  <si>
    <t>Esta tarefa: Base de dados de prospeção (leads B2B).</t>
  </si>
  <si>
    <t>P2</t>
  </si>
  <si>
    <t>Tarefa seguinte: Scorecard (qualificação/pontuação das leads).</t>
  </si>
  <si>
    <t>J1 / D1</t>
  </si>
  <si>
    <t>Referências internas ao [Colaborador 1] e ao [Colaborador 2], que recebem as leads de prioridade alta.</t>
  </si>
  <si>
    <t>Regulamento Geral sobre a Proteção de Dados.</t>
  </si>
  <si>
    <t>epet@epet.pt</t>
  </si>
  <si>
    <t>apoio@escoladosaber.pt</t>
  </si>
  <si>
    <t>direpdrg@gmail.com</t>
  </si>
  <si>
    <t>secretaria@eps.pt</t>
  </si>
  <si>
    <t>cenfic@cenfic.pt</t>
  </si>
  <si>
    <t>geral@eptv.pt</t>
  </si>
  <si>
    <t>epb@epb.pt</t>
  </si>
  <si>
    <t>epo@insignare.pt</t>
  </si>
  <si>
    <t>geral@epral.pt</t>
  </si>
  <si>
    <t>geral@epbjc.pt</t>
  </si>
  <si>
    <t>geral@epsm.pt</t>
  </si>
  <si>
    <t>geral@epalmada.pt</t>
  </si>
  <si>
    <t>info@ruizcosta.edu.pt</t>
  </si>
  <si>
    <t>geral@epce.pt</t>
  </si>
  <si>
    <t>epg@epg.pt</t>
  </si>
  <si>
    <t>geral@ecp.edu.pt</t>
  </si>
  <si>
    <t>atendimento@profitecla.pt</t>
  </si>
  <si>
    <t>direcao.epidh@gmail.com</t>
  </si>
  <si>
    <t>secretaria@epcjc.net</t>
  </si>
  <si>
    <t>secretaria.vn@gustaveeiffel.pt</t>
  </si>
  <si>
    <t>inete@inete.net</t>
  </si>
  <si>
    <t>nerlei@nerlei.pt</t>
  </si>
  <si>
    <t>aida@aida.pt</t>
  </si>
  <si>
    <t>geral@anpme.pt</t>
  </si>
  <si>
    <t>geral@aebraga.pt</t>
  </si>
  <si>
    <t>geral@adral.pt</t>
  </si>
  <si>
    <t>secretaria@aci-sjm.pt</t>
  </si>
  <si>
    <t>acib@acib.pt</t>
  </si>
  <si>
    <t>geral@acicb.pt</t>
  </si>
  <si>
    <t>geral@acaveiro.pt</t>
  </si>
  <si>
    <t>geral@ccip.pt</t>
  </si>
  <si>
    <t>aep@aeportugal.pt</t>
  </si>
  <si>
    <t>ccile@ccile.org</t>
  </si>
  <si>
    <t>geral@hoteis-portugal.pt</t>
  </si>
  <si>
    <t>comunicacao@acimg.pt</t>
  </si>
  <si>
    <t>animee@animee.pt</t>
  </si>
  <si>
    <t>protocolo.migracao@aiccopn.pt</t>
  </si>
  <si>
    <t>geral@acivr.pt</t>
  </si>
  <si>
    <t>geral@acdv.pt</t>
  </si>
  <si>
    <t>geral@nerc.pt</t>
  </si>
  <si>
    <t>geral@acif.pt</t>
  </si>
  <si>
    <t>geral@nersant.pt</t>
  </si>
  <si>
    <t>info@pastelaria-alcoa.com</t>
  </si>
  <si>
    <t>geral@cm-santarem.pt</t>
  </si>
  <si>
    <t>camara@cm-tavira.pt</t>
  </si>
  <si>
    <t>camara@cm-castelobranco.pt</t>
  </si>
  <si>
    <t>pelouroctbm@cm-feira.pt</t>
  </si>
  <si>
    <t>geral@mun-montijo.pt</t>
  </si>
  <si>
    <t>geral@mun-sines.pt</t>
  </si>
  <si>
    <t>geral@jfpaiopires.pt</t>
  </si>
  <si>
    <t>geral@cm-seixal.pt</t>
  </si>
  <si>
    <t>mercados@cm-guimaraes.pt</t>
  </si>
  <si>
    <t>mercadomunicipal@lcglobal.pt</t>
  </si>
  <si>
    <t>atividadeseconomicas@cm-vfxira.pt</t>
  </si>
  <si>
    <t>praca@cm-braga.pt</t>
  </si>
  <si>
    <t>geral@jf-agualvamirasintra.pt</t>
  </si>
  <si>
    <t>gamcacem@cm-sintra.pt</t>
  </si>
  <si>
    <t>geral@jf-casaldecambra.pt</t>
  </si>
  <si>
    <t>geral@cm-portimao.pt</t>
  </si>
  <si>
    <t>info@mercadodecampodeourique.pt</t>
  </si>
  <si>
    <t>geral@cm-espinho.pt</t>
  </si>
  <si>
    <t>sfp.guarda@iefp.pt</t>
  </si>
  <si>
    <t>sfp.netforce.coimbra@iefp.pt</t>
  </si>
  <si>
    <t>sfp.setubal@iefp.pt</t>
  </si>
  <si>
    <t>gip.seixal@cm-seixal.pt</t>
  </si>
  <si>
    <t>gip.loures@cm-loures.pt</t>
  </si>
  <si>
    <t>gipcaparica@scma.pt</t>
  </si>
  <si>
    <t>giptrafaria@scma.pt</t>
  </si>
  <si>
    <t>gip@cm-feira.pt</t>
  </si>
  <si>
    <t>gip@autonoma.pt</t>
  </si>
  <si>
    <t>gip@cm-leiria.pt</t>
  </si>
  <si>
    <t>sfp.faro@iefp.pt</t>
  </si>
  <si>
    <t>sfp.viseu@iefp.pt</t>
  </si>
  <si>
    <t>sfp.braga@iefp.pt</t>
  </si>
  <si>
    <t>gip.oeiras@cm-oeiras.pt</t>
  </si>
  <si>
    <t>gip.cascais@cm-cascais.pt</t>
  </si>
  <si>
    <t>gip@seiva.co.pt</t>
  </si>
  <si>
    <t>gip@cm-evora.pt</t>
  </si>
  <si>
    <t>sfp.santarem@iefp.pt</t>
  </si>
  <si>
    <t>informate@academiamaestre.es</t>
  </si>
  <si>
    <t>ea.badajoz@edu.juntaex.es</t>
  </si>
  <si>
    <t>hosteler@educastur.org</t>
  </si>
  <si>
    <t>info@escuelahosteleriaespana.es</t>
  </si>
  <si>
    <t>secretaria.ies.hosteleria.madrid@educa.madrid.org</t>
  </si>
  <si>
    <t>secretaria@easdsalamanca.es</t>
  </si>
  <si>
    <t>37013341@educa.jcyl.es</t>
  </si>
  <si>
    <t>ubeda@safa.edu</t>
  </si>
  <si>
    <t>info@institutohemingway.com</t>
  </si>
  <si>
    <t>formacion@camarabadajoz.es</t>
  </si>
  <si>
    <t>cifp.farixa@edu.xunta.gal</t>
  </si>
  <si>
    <t>cifp.fontecarmoa@edu.xunta.gal</t>
  </si>
  <si>
    <t>cifp.rodolfo.ucha@edu.xunta.gal</t>
  </si>
  <si>
    <t>cifp.canteria@edu.xunta.gal</t>
  </si>
  <si>
    <t>secretaria-38016571@gobiernodecanarias.org</t>
  </si>
  <si>
    <t>40008536.secretaria@educa.jcyl.es</t>
  </si>
  <si>
    <t>09012096.contacto@educa.jcyl.es</t>
  </si>
  <si>
    <t>09007994@educa.jcyl.es</t>
  </si>
  <si>
    <t>42007214@educa.jcyl.es</t>
  </si>
  <si>
    <t>cifp.joseluisgarci.alcobendas@educa.madrid.org</t>
  </si>
  <si>
    <t>cifp.compostela@edu.xunta.gal</t>
  </si>
  <si>
    <t>37001014@educa.jcyl.es</t>
  </si>
  <si>
    <t>camara@camarabadajoz.es</t>
  </si>
  <si>
    <t>info@camaracaceres.es</t>
  </si>
  <si>
    <t>infor@creex.es</t>
  </si>
  <si>
    <t>feval@feval.com</t>
  </si>
  <si>
    <t>info@camarasantiago.com</t>
  </si>
  <si>
    <t>info@camaracoruna.com</t>
  </si>
  <si>
    <t>info@camaraourense.com</t>
  </si>
  <si>
    <t>info@camarapvv.com</t>
  </si>
  <si>
    <t>info@ceg.es</t>
  </si>
  <si>
    <t>info@camarasalamanca.com</t>
  </si>
  <si>
    <t>info@camaravalladolid.com</t>
  </si>
  <si>
    <t>info@camaraburgos.com</t>
  </si>
  <si>
    <t>info@camaradesegovia.com</t>
  </si>
  <si>
    <t>info@camarasoria.com</t>
  </si>
  <si>
    <t>cecale@cecale.es</t>
  </si>
  <si>
    <t>info@camaraleon.com</t>
  </si>
  <si>
    <t>info@camaradeavila.com</t>
  </si>
  <si>
    <t>info@ceim.es</t>
  </si>
  <si>
    <t>ccincantabria@camaracantabria.com</t>
  </si>
  <si>
    <t>info@ceoecaceres.es</t>
  </si>
  <si>
    <t>info@cocipa.es</t>
  </si>
  <si>
    <t>rmendo@ceoecepymesalamanca.es</t>
  </si>
  <si>
    <t>encuentro@aeca.es</t>
  </si>
  <si>
    <t>info@asociacionimpulso.es</t>
  </si>
  <si>
    <t>infor@coeba.es</t>
  </si>
  <si>
    <t>info@hosteleriadecaceres.com</t>
  </si>
  <si>
    <t>info@comerciantesdemerida.es</t>
  </si>
  <si>
    <t>apecoextremadura@gmail.com</t>
  </si>
  <si>
    <t>ayuntamiento@ayto-caceres.es</t>
  </si>
  <si>
    <t>info@mercadolaplaza.es</t>
  </si>
  <si>
    <t>ayuntamiento@miajadas.es</t>
  </si>
  <si>
    <t>info@mercadodeabastosdesantiago.com</t>
  </si>
  <si>
    <t>ayuntamiento@merida.es</t>
  </si>
  <si>
    <t>info@pastelerialapalmera.com</t>
  </si>
  <si>
    <t>oficinaturismo@pontevedra.gal</t>
  </si>
  <si>
    <t>info@mercadovallehermoso.es</t>
  </si>
  <si>
    <t>gerentemercado@mercadodelacebada.com</t>
  </si>
  <si>
    <t>mercadodelapaz@hotmail.com</t>
  </si>
  <si>
    <t>info@mercadoantonmartin.com</t>
  </si>
  <si>
    <t>info@mercadodesanfernando.es</t>
  </si>
  <si>
    <t>info@mercadosananton.com</t>
  </si>
  <si>
    <t>info@mercadoibiza.es</t>
  </si>
  <si>
    <t>info@mercadodemaravillas.com</t>
  </si>
  <si>
    <t>mercats@bcn.cat</t>
  </si>
  <si>
    <t>info@mercatgalvany.cat</t>
  </si>
  <si>
    <t>info@boqueria.barcelona</t>
  </si>
  <si>
    <t>info@concellodelugo.gal</t>
  </si>
  <si>
    <t>info@aeiga.org</t>
  </si>
  <si>
    <t>esg.formacion@sepe.es</t>
  </si>
  <si>
    <t>info@artesanostoledo.com</t>
  </si>
  <si>
    <t>fundacion@cajaruralsalamanca.es</t>
  </si>
  <si>
    <t>info@accionsocialextremadura.org</t>
  </si>
  <si>
    <t>fegagal@fegagal.org</t>
  </si>
  <si>
    <t>info@fundacioncajaduero.es</t>
  </si>
  <si>
    <t>info@fundacionginer.org</t>
  </si>
  <si>
    <t>info@cidadedacultura.org</t>
  </si>
  <si>
    <t>info@santamarialareal.org</t>
  </si>
  <si>
    <t>aga@artesansdegalicia.com</t>
  </si>
  <si>
    <t>info@fundacioncb.es</t>
  </si>
  <si>
    <t>info@asociacionextremenafundaciones.org</t>
  </si>
  <si>
    <t>estudiosrurales@upa.es</t>
  </si>
  <si>
    <t>escoladecanteria@depo.gal</t>
  </si>
  <si>
    <t>info@maimona.org</t>
  </si>
  <si>
    <t>gerencia@ademe.info</t>
  </si>
  <si>
    <t>info@ceac.pt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</si>
</sst>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9"/>
      <color rgb="FF404040"/>
      <name val="Arial"/>
      <family val="2"/>
    </font>
    <font>
      <sz val="8"/>
      <color rgb="FF595959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u/>
      <sz val="9"/>
      <color rgb="FF0000FF"/>
      <name val="Arial"/>
      <family val="2"/>
    </font>
    <font>
      <b/>
      <sz val="9"/>
      <color rgb="FFFFFFFF"/>
      <name val="Arial"/>
      <family val="2"/>
    </font>
    <font>
      <u/>
      <sz val="9"/>
      <color rgb="FF0000FF"/>
      <name val="Arial"/>
      <family val="2"/>
    </font>
    <font>
      <b/>
      <sz val="11"/>
      <color rgb="FF1F3864"/>
      <name val="Arial"/>
      <family val="2"/>
    </font>
    <font>
      <b/>
      <sz val="9"/>
      <color theme="1"/>
      <name val="Arial"/>
      <family val="2"/>
    </font>
    <font>
      <b/>
      <sz val="9"/>
      <color rgb="FF1F3864"/>
      <name val="Arial"/>
      <family val="2"/>
    </font>
    <font>
      <b/>
      <sz val="10"/>
      <color rgb="FF1F3864"/>
      <name val="Arial"/>
      <family val="2"/>
    </font>
    <font>
      <sz val="11"/>
      <color rgb="FF1F1F1F"/>
      <name val="Google Sans Flex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2E5496"/>
      </patternFill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E8A33D"/>
        <bgColor rgb="FFE8A33D"/>
      </patternFill>
    </fill>
    <fill>
      <patternFill patternType="solid">
        <fgColor rgb="FFF2F2F2"/>
        <bgColor rgb="FFF2F2F2"/>
      </patternFill>
    </fill>
    <fill>
      <patternFill patternType="solid">
        <fgColor rgb="FFC6301F"/>
        <bgColor rgb="FFC6301F"/>
      </patternFill>
    </fill>
    <fill>
      <patternFill patternType="solid">
        <fgColor rgb="FF7F9C4A"/>
        <bgColor rgb="FF7F9C4A"/>
      </patternFill>
    </fill>
    <fill>
      <patternFill patternType="solid">
        <fgColor rgb="FFF8FAFD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7" fillId="4" borderId="3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5" borderId="3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0" fontId="10" fillId="7" borderId="3" xfId="0" applyFont="1" applyFill="1" applyBorder="1" applyAlignment="1">
      <alignment horizontal="center" vertical="top" wrapText="1"/>
    </xf>
    <xf numFmtId="0" fontId="10" fillId="8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5" fillId="0" borderId="0" xfId="0" applyFont="1"/>
    <xf numFmtId="0" fontId="13" fillId="3" borderId="3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vertical="top" wrapText="1"/>
    </xf>
    <xf numFmtId="0" fontId="7" fillId="4" borderId="3" xfId="0" applyFont="1" applyFill="1" applyBorder="1" applyAlignment="1">
      <alignment horizontal="left" vertical="center"/>
    </xf>
    <xf numFmtId="0" fontId="13" fillId="0" borderId="3" xfId="0" applyFont="1" applyBorder="1" applyAlignment="1">
      <alignment vertical="top" wrapText="1"/>
    </xf>
    <xf numFmtId="0" fontId="16" fillId="9" borderId="6" xfId="0" applyFont="1" applyFill="1" applyBorder="1" applyAlignment="1">
      <alignment vertical="top" wrapText="1"/>
    </xf>
    <xf numFmtId="0" fontId="16" fillId="9" borderId="7" xfId="0" applyFont="1" applyFill="1" applyBorder="1" applyAlignment="1">
      <alignment vertical="top" wrapText="1"/>
    </xf>
    <xf numFmtId="0" fontId="1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5" fillId="0" borderId="0" xfId="0" applyFont="1" applyAlignment="1">
      <alignment horizontal="left"/>
    </xf>
    <xf numFmtId="0" fontId="0" fillId="0" borderId="0" xfId="0"/>
    <xf numFmtId="0" fontId="6" fillId="3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12" fillId="0" borderId="0" xfId="0" applyFont="1"/>
    <xf numFmtId="0" fontId="15" fillId="3" borderId="4" xfId="0" applyFont="1" applyFill="1" applyBorder="1" applyAlignment="1">
      <alignment vertical="center"/>
    </xf>
    <xf numFmtId="0" fontId="3" fillId="0" borderId="5" xfId="0" applyFont="1" applyBorder="1"/>
    <xf numFmtId="0" fontId="5" fillId="0" borderId="0" xfId="0" applyFont="1"/>
    <xf numFmtId="0" fontId="17" fillId="9" borderId="7" xfId="1" applyFill="1" applyBorder="1" applyAlignment="1">
      <alignment vertical="top" wrapText="1"/>
    </xf>
    <xf numFmtId="0" fontId="17" fillId="6" borderId="3" xfId="1" applyFill="1" applyBorder="1" applyAlignment="1">
      <alignment vertical="top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ongresoimpulso.es/" TargetMode="External"/><Relationship Id="rId21" Type="http://schemas.openxmlformats.org/officeDocument/2006/relationships/hyperlink" Target="http://inete.pt/" TargetMode="External"/><Relationship Id="rId42" Type="http://schemas.openxmlformats.org/officeDocument/2006/relationships/hyperlink" Target="http://nersant.pt/" TargetMode="External"/><Relationship Id="rId63" Type="http://schemas.openxmlformats.org/officeDocument/2006/relationships/hyperlink" Target="http://scma.pt/" TargetMode="External"/><Relationship Id="rId84" Type="http://schemas.openxmlformats.org/officeDocument/2006/relationships/hyperlink" Target="https://institutohemingway.com/index.php?utm_source=chatgpt.com" TargetMode="External"/><Relationship Id="rId138" Type="http://schemas.openxmlformats.org/officeDocument/2006/relationships/hyperlink" Target="https://www.cajaruralsalamanca.com/fundacion?utm_source=chatgpt.com" TargetMode="External"/><Relationship Id="rId107" Type="http://schemas.openxmlformats.org/officeDocument/2006/relationships/hyperlink" Target="http://camarasoria.com/" TargetMode="External"/><Relationship Id="rId11" Type="http://schemas.openxmlformats.org/officeDocument/2006/relationships/hyperlink" Target="http://epsm.pt/" TargetMode="External"/><Relationship Id="rId32" Type="http://schemas.openxmlformats.org/officeDocument/2006/relationships/hyperlink" Target="http://aeportugal.pt/" TargetMode="External"/><Relationship Id="rId53" Type="http://schemas.openxmlformats.org/officeDocument/2006/relationships/hyperlink" Target="http://cm-sintra.pt/" TargetMode="External"/><Relationship Id="rId74" Type="http://schemas.openxmlformats.org/officeDocument/2006/relationships/hyperlink" Target="http://cm-evora.pt/" TargetMode="External"/><Relationship Id="rId128" Type="http://schemas.openxmlformats.org/officeDocument/2006/relationships/hyperlink" Target="http://madrid.es/" TargetMode="External"/><Relationship Id="rId149" Type="http://schemas.openxmlformats.org/officeDocument/2006/relationships/hyperlink" Target="mailto:info@cidadedacultura.org" TargetMode="External"/><Relationship Id="rId5" Type="http://schemas.openxmlformats.org/officeDocument/2006/relationships/hyperlink" Target="http://cenfic.pt/" TargetMode="External"/><Relationship Id="rId95" Type="http://schemas.openxmlformats.org/officeDocument/2006/relationships/hyperlink" Target="http://camaracaceres.es/" TargetMode="External"/><Relationship Id="rId22" Type="http://schemas.openxmlformats.org/officeDocument/2006/relationships/hyperlink" Target="http://nerlei.pt/" TargetMode="External"/><Relationship Id="rId27" Type="http://schemas.openxmlformats.org/officeDocument/2006/relationships/hyperlink" Target="http://aci-sjm.pt/" TargetMode="External"/><Relationship Id="rId43" Type="http://schemas.openxmlformats.org/officeDocument/2006/relationships/hyperlink" Target="http://pastelaria-alcoa.com/" TargetMode="External"/><Relationship Id="rId48" Type="http://schemas.openxmlformats.org/officeDocument/2006/relationships/hyperlink" Target="http://cm-seixal.pt/" TargetMode="External"/><Relationship Id="rId64" Type="http://schemas.openxmlformats.org/officeDocument/2006/relationships/hyperlink" Target="http://scma.pt/" TargetMode="External"/><Relationship Id="rId69" Type="http://schemas.openxmlformats.org/officeDocument/2006/relationships/hyperlink" Target="http://iefp.pt/" TargetMode="External"/><Relationship Id="rId113" Type="http://schemas.openxmlformats.org/officeDocument/2006/relationships/hyperlink" Target="https://fec.es/?utm_source=chatgpt.com" TargetMode="External"/><Relationship Id="rId118" Type="http://schemas.openxmlformats.org/officeDocument/2006/relationships/hyperlink" Target="https://portal.coeba.es/?utm_source=chatgpt.com" TargetMode="External"/><Relationship Id="rId134" Type="http://schemas.openxmlformats.org/officeDocument/2006/relationships/hyperlink" Target="https://www.mercatdesants.cat/?utm_source=chatgpt.com" TargetMode="External"/><Relationship Id="rId139" Type="http://schemas.openxmlformats.org/officeDocument/2006/relationships/hyperlink" Target="http://fundacioncajaduero.es/" TargetMode="External"/><Relationship Id="rId80" Type="http://schemas.openxmlformats.org/officeDocument/2006/relationships/hyperlink" Target="http://eshtm.es/" TargetMode="External"/><Relationship Id="rId85" Type="http://schemas.openxmlformats.org/officeDocument/2006/relationships/hyperlink" Target="http://unex.es/" TargetMode="External"/><Relationship Id="rId150" Type="http://schemas.openxmlformats.org/officeDocument/2006/relationships/hyperlink" Target="mailto:estudiosrurales@upa.es" TargetMode="External"/><Relationship Id="rId12" Type="http://schemas.openxmlformats.org/officeDocument/2006/relationships/hyperlink" Target="http://epalmada.pt/" TargetMode="External"/><Relationship Id="rId17" Type="http://schemas.openxmlformats.org/officeDocument/2006/relationships/hyperlink" Target="http://profitecla.pt/" TargetMode="External"/><Relationship Id="rId33" Type="http://schemas.openxmlformats.org/officeDocument/2006/relationships/hyperlink" Target="https://www.camaralusoespanhola.pt/quem-somos/?utm_source=chatgpt.com" TargetMode="External"/><Relationship Id="rId38" Type="http://schemas.openxmlformats.org/officeDocument/2006/relationships/hyperlink" Target="http://acivr.pt/" TargetMode="External"/><Relationship Id="rId59" Type="http://schemas.openxmlformats.org/officeDocument/2006/relationships/hyperlink" Target="http://iefp.pt/" TargetMode="External"/><Relationship Id="rId103" Type="http://schemas.openxmlformats.org/officeDocument/2006/relationships/hyperlink" Target="http://camarasalamanca.com/" TargetMode="External"/><Relationship Id="rId108" Type="http://schemas.openxmlformats.org/officeDocument/2006/relationships/hyperlink" Target="http://cecale.es/" TargetMode="External"/><Relationship Id="rId124" Type="http://schemas.openxmlformats.org/officeDocument/2006/relationships/hyperlink" Target="http://pastelerialapalmera.es/" TargetMode="External"/><Relationship Id="rId129" Type="http://schemas.openxmlformats.org/officeDocument/2006/relationships/hyperlink" Target="http://madrid.es/" TargetMode="External"/><Relationship Id="rId54" Type="http://schemas.openxmlformats.org/officeDocument/2006/relationships/hyperlink" Target="http://cm-sintra.pt/" TargetMode="External"/><Relationship Id="rId70" Type="http://schemas.openxmlformats.org/officeDocument/2006/relationships/hyperlink" Target="http://iefp.pt/" TargetMode="External"/><Relationship Id="rId75" Type="http://schemas.openxmlformats.org/officeDocument/2006/relationships/hyperlink" Target="http://iefp.pt/" TargetMode="External"/><Relationship Id="rId91" Type="http://schemas.openxmlformats.org/officeDocument/2006/relationships/hyperlink" Target="https://cifppicofrentes.centros.educa.jcyl.es/sitio/?utm_source=chatgpt.com" TargetMode="External"/><Relationship Id="rId96" Type="http://schemas.openxmlformats.org/officeDocument/2006/relationships/hyperlink" Target="http://creex.es/" TargetMode="External"/><Relationship Id="rId140" Type="http://schemas.openxmlformats.org/officeDocument/2006/relationships/hyperlink" Target="http://fundacionginer.es/" TargetMode="External"/><Relationship Id="rId145" Type="http://schemas.openxmlformats.org/officeDocument/2006/relationships/hyperlink" Target="https://fundacionesdeextremadura.org/?utm_source=chatgpt.com" TargetMode="External"/><Relationship Id="rId1" Type="http://schemas.openxmlformats.org/officeDocument/2006/relationships/hyperlink" Target="http://epet.pt/" TargetMode="External"/><Relationship Id="rId6" Type="http://schemas.openxmlformats.org/officeDocument/2006/relationships/hyperlink" Target="http://ceac-corporate.pt/" TargetMode="External"/><Relationship Id="rId23" Type="http://schemas.openxmlformats.org/officeDocument/2006/relationships/hyperlink" Target="http://aida.pt/" TargetMode="External"/><Relationship Id="rId28" Type="http://schemas.openxmlformats.org/officeDocument/2006/relationships/hyperlink" Target="http://acib.pt/" TargetMode="External"/><Relationship Id="rId49" Type="http://schemas.openxmlformats.org/officeDocument/2006/relationships/hyperlink" Target="https://www.cm-guimaraes.pt/areas-de-intervencao/ambiente-e-sustentabilidade/ambiente/servicos-urbanos/mercado-municipal?utm_source=chatgpt.com" TargetMode="External"/><Relationship Id="rId114" Type="http://schemas.openxmlformats.org/officeDocument/2006/relationships/hyperlink" Target="http://camarapalencia.com/" TargetMode="External"/><Relationship Id="rId119" Type="http://schemas.openxmlformats.org/officeDocument/2006/relationships/hyperlink" Target="https://fec.es/" TargetMode="External"/><Relationship Id="rId44" Type="http://schemas.openxmlformats.org/officeDocument/2006/relationships/hyperlink" Target="http://mercado.cm-tavira.pt/" TargetMode="External"/><Relationship Id="rId60" Type="http://schemas.openxmlformats.org/officeDocument/2006/relationships/hyperlink" Target="http://iefp.pt/" TargetMode="External"/><Relationship Id="rId65" Type="http://schemas.openxmlformats.org/officeDocument/2006/relationships/hyperlink" Target="http://cm-feira.pt/" TargetMode="External"/><Relationship Id="rId81" Type="http://schemas.openxmlformats.org/officeDocument/2006/relationships/hyperlink" Target="https://eassalamanca.es/?utm_source=chatgpt.com" TargetMode="External"/><Relationship Id="rId86" Type="http://schemas.openxmlformats.org/officeDocument/2006/relationships/hyperlink" Target="http://cifprodolfoucha.es/" TargetMode="External"/><Relationship Id="rId130" Type="http://schemas.openxmlformats.org/officeDocument/2006/relationships/hyperlink" Target="http://madrid.es/" TargetMode="External"/><Relationship Id="rId135" Type="http://schemas.openxmlformats.org/officeDocument/2006/relationships/hyperlink" Target="http://galvany.es/" TargetMode="External"/><Relationship Id="rId151" Type="http://schemas.openxmlformats.org/officeDocument/2006/relationships/hyperlink" Target="mailto:cifp.joseluisgarci.alcobendas@educa.madrid.org" TargetMode="External"/><Relationship Id="rId13" Type="http://schemas.openxmlformats.org/officeDocument/2006/relationships/hyperlink" Target="http://ruizcosta.edu.pt/" TargetMode="External"/><Relationship Id="rId18" Type="http://schemas.openxmlformats.org/officeDocument/2006/relationships/hyperlink" Target="http://escprofinfantedhenrique.com.pt/" TargetMode="External"/><Relationship Id="rId39" Type="http://schemas.openxmlformats.org/officeDocument/2006/relationships/hyperlink" Target="http://acdv.pt/" TargetMode="External"/><Relationship Id="rId109" Type="http://schemas.openxmlformats.org/officeDocument/2006/relationships/hyperlink" Target="http://camaraleon.com/" TargetMode="External"/><Relationship Id="rId34" Type="http://schemas.openxmlformats.org/officeDocument/2006/relationships/hyperlink" Target="https://www.hoteis-portugal.pt/?utm_source=chatgpt.com" TargetMode="External"/><Relationship Id="rId50" Type="http://schemas.openxmlformats.org/officeDocument/2006/relationships/hyperlink" Target="http://lcglobal.pt/" TargetMode="External"/><Relationship Id="rId55" Type="http://schemas.openxmlformats.org/officeDocument/2006/relationships/hyperlink" Target="http://cm-sintra.pt/" TargetMode="External"/><Relationship Id="rId76" Type="http://schemas.openxmlformats.org/officeDocument/2006/relationships/hyperlink" Target="http://academiamaestre.com/" TargetMode="External"/><Relationship Id="rId97" Type="http://schemas.openxmlformats.org/officeDocument/2006/relationships/hyperlink" Target="http://feval.com/" TargetMode="External"/><Relationship Id="rId104" Type="http://schemas.openxmlformats.org/officeDocument/2006/relationships/hyperlink" Target="http://camaravalladolid.com/" TargetMode="External"/><Relationship Id="rId120" Type="http://schemas.openxmlformats.org/officeDocument/2006/relationships/hyperlink" Target="http://turismo.caceres.es/" TargetMode="External"/><Relationship Id="rId125" Type="http://schemas.openxmlformats.org/officeDocument/2006/relationships/hyperlink" Target="https://www.omercado.gal/?utm_source=chatgpt.com" TargetMode="External"/><Relationship Id="rId141" Type="http://schemas.openxmlformats.org/officeDocument/2006/relationships/hyperlink" Target="http://ademe.es/" TargetMode="External"/><Relationship Id="rId146" Type="http://schemas.openxmlformats.org/officeDocument/2006/relationships/hyperlink" Target="https://upa.es/categoria/fundacion-de-estudios-rurales/?utm_source=chatgpt.com" TargetMode="External"/><Relationship Id="rId7" Type="http://schemas.openxmlformats.org/officeDocument/2006/relationships/hyperlink" Target="http://epb.pt/" TargetMode="External"/><Relationship Id="rId71" Type="http://schemas.openxmlformats.org/officeDocument/2006/relationships/hyperlink" Target="https://www.oeiras.pt/?utm_source=chatgpt.com" TargetMode="External"/><Relationship Id="rId92" Type="http://schemas.openxmlformats.org/officeDocument/2006/relationships/hyperlink" Target="http://site.educa.madrid.org/" TargetMode="External"/><Relationship Id="rId2" Type="http://schemas.openxmlformats.org/officeDocument/2006/relationships/hyperlink" Target="http://escoladosaber.pt/" TargetMode="External"/><Relationship Id="rId29" Type="http://schemas.openxmlformats.org/officeDocument/2006/relationships/hyperlink" Target="http://acicb.pt/" TargetMode="External"/><Relationship Id="rId24" Type="http://schemas.openxmlformats.org/officeDocument/2006/relationships/hyperlink" Target="http://anpme.pt/" TargetMode="External"/><Relationship Id="rId40" Type="http://schemas.openxmlformats.org/officeDocument/2006/relationships/hyperlink" Target="http://acic.pt/" TargetMode="External"/><Relationship Id="rId45" Type="http://schemas.openxmlformats.org/officeDocument/2006/relationships/hyperlink" Target="http://cm-castelobranco.pt/" TargetMode="External"/><Relationship Id="rId66" Type="http://schemas.openxmlformats.org/officeDocument/2006/relationships/hyperlink" Target="http://autonoma.pt/" TargetMode="External"/><Relationship Id="rId87" Type="http://schemas.openxmlformats.org/officeDocument/2006/relationships/hyperlink" Target="https://www3.gobiernodecanarias.org/medusa/edublog/cifpcesarmanrique/?utm_source=chatgpt.com" TargetMode="External"/><Relationship Id="rId110" Type="http://schemas.openxmlformats.org/officeDocument/2006/relationships/hyperlink" Target="https://www.camaradeavila.es/?utm_source=chatgpt.com" TargetMode="External"/><Relationship Id="rId115" Type="http://schemas.openxmlformats.org/officeDocument/2006/relationships/hyperlink" Target="http://asecov.es/" TargetMode="External"/><Relationship Id="rId131" Type="http://schemas.openxmlformats.org/officeDocument/2006/relationships/hyperlink" Target="http://madrid.es/" TargetMode="External"/><Relationship Id="rId136" Type="http://schemas.openxmlformats.org/officeDocument/2006/relationships/hyperlink" Target="https://concellodelugo.gal/es/actuaciones/plaza-de-abastos-y-mercado?utm_source=chatgpt.com" TargetMode="External"/><Relationship Id="rId61" Type="http://schemas.openxmlformats.org/officeDocument/2006/relationships/hyperlink" Target="http://cm-seixal.pt/" TargetMode="External"/><Relationship Id="rId82" Type="http://schemas.openxmlformats.org/officeDocument/2006/relationships/hyperlink" Target="http://riotormes.com/" TargetMode="External"/><Relationship Id="rId152" Type="http://schemas.openxmlformats.org/officeDocument/2006/relationships/hyperlink" Target="mailto:info@institutohemingway.com" TargetMode="External"/><Relationship Id="rId19" Type="http://schemas.openxmlformats.org/officeDocument/2006/relationships/hyperlink" Target="http://epcampanha.pt/" TargetMode="External"/><Relationship Id="rId14" Type="http://schemas.openxmlformats.org/officeDocument/2006/relationships/hyperlink" Target="http://epce.pt/" TargetMode="External"/><Relationship Id="rId30" Type="http://schemas.openxmlformats.org/officeDocument/2006/relationships/hyperlink" Target="http://acaveiro.pt/" TargetMode="External"/><Relationship Id="rId35" Type="http://schemas.openxmlformats.org/officeDocument/2006/relationships/hyperlink" Target="http://acimg.pt/" TargetMode="External"/><Relationship Id="rId56" Type="http://schemas.openxmlformats.org/officeDocument/2006/relationships/hyperlink" Target="http://cm-portimao.pt/" TargetMode="External"/><Relationship Id="rId77" Type="http://schemas.openxmlformats.org/officeDocument/2006/relationships/hyperlink" Target="http://escueladeartebadajoz.com/" TargetMode="External"/><Relationship Id="rId100" Type="http://schemas.openxmlformats.org/officeDocument/2006/relationships/hyperlink" Target="http://camaraourense.com/" TargetMode="External"/><Relationship Id="rId105" Type="http://schemas.openxmlformats.org/officeDocument/2006/relationships/hyperlink" Target="http://camaraburgos.com/" TargetMode="External"/><Relationship Id="rId126" Type="http://schemas.openxmlformats.org/officeDocument/2006/relationships/hyperlink" Target="http://madrid.es/" TargetMode="External"/><Relationship Id="rId147" Type="http://schemas.openxmlformats.org/officeDocument/2006/relationships/hyperlink" Target="http://maimona.org/" TargetMode="External"/><Relationship Id="rId8" Type="http://schemas.openxmlformats.org/officeDocument/2006/relationships/hyperlink" Target="https://www.insignare.pt/pt/4098/?utm_source=chatgpt.com" TargetMode="External"/><Relationship Id="rId51" Type="http://schemas.openxmlformats.org/officeDocument/2006/relationships/hyperlink" Target="https://www.cm-vfxira.pt/saber-lazer/outras-sugestoes/edificios/poi/mercado-municipal-de-vila-franca-de-xira-95?utm_source=chatgpt.com" TargetMode="External"/><Relationship Id="rId72" Type="http://schemas.openxmlformats.org/officeDocument/2006/relationships/hyperlink" Target="https://www.cascais.pt/node/39181?utm_source=chatgpt.com" TargetMode="External"/><Relationship Id="rId93" Type="http://schemas.openxmlformats.org/officeDocument/2006/relationships/hyperlink" Target="https://cifpbejar.centros.educa.jcyl.es/sitio/?utm_source=chatgpt.com" TargetMode="External"/><Relationship Id="rId98" Type="http://schemas.openxmlformats.org/officeDocument/2006/relationships/hyperlink" Target="http://camaracompostela.com/" TargetMode="External"/><Relationship Id="rId121" Type="http://schemas.openxmlformats.org/officeDocument/2006/relationships/hyperlink" Target="http://almendralejo.es/" TargetMode="External"/><Relationship Id="rId142" Type="http://schemas.openxmlformats.org/officeDocument/2006/relationships/hyperlink" Target="http://santamarialareal.org/" TargetMode="External"/><Relationship Id="rId3" Type="http://schemas.openxmlformats.org/officeDocument/2006/relationships/hyperlink" Target="http://epdrgrandola.pt/" TargetMode="External"/><Relationship Id="rId25" Type="http://schemas.openxmlformats.org/officeDocument/2006/relationships/hyperlink" Target="http://acbraga.pt/" TargetMode="External"/><Relationship Id="rId46" Type="http://schemas.openxmlformats.org/officeDocument/2006/relationships/hyperlink" Target="http://mercadomunicipal.cm-feira.pt/" TargetMode="External"/><Relationship Id="rId67" Type="http://schemas.openxmlformats.org/officeDocument/2006/relationships/hyperlink" Target="http://cm-leiria.pt/" TargetMode="External"/><Relationship Id="rId116" Type="http://schemas.openxmlformats.org/officeDocument/2006/relationships/hyperlink" Target="http://aecacaceres.com/" TargetMode="External"/><Relationship Id="rId137" Type="http://schemas.openxmlformats.org/officeDocument/2006/relationships/hyperlink" Target="https://www.aeiga.org/es/?utm_source=chatgpt.com" TargetMode="External"/><Relationship Id="rId20" Type="http://schemas.openxmlformats.org/officeDocument/2006/relationships/hyperlink" Target="http://gustaveeiffel.pt/" TargetMode="External"/><Relationship Id="rId41" Type="http://schemas.openxmlformats.org/officeDocument/2006/relationships/hyperlink" Target="http://acif.pt/" TargetMode="External"/><Relationship Id="rId62" Type="http://schemas.openxmlformats.org/officeDocument/2006/relationships/hyperlink" Target="http://cm-loures.pt/" TargetMode="External"/><Relationship Id="rId83" Type="http://schemas.openxmlformats.org/officeDocument/2006/relationships/hyperlink" Target="https://ubeda.safa.edu/?utm_source=chatgpt.com" TargetMode="External"/><Relationship Id="rId88" Type="http://schemas.openxmlformats.org/officeDocument/2006/relationships/hyperlink" Target="https://cifpfelipevi.centros.educa.jcyl.es/sitio/index.cgi/index.cgi?utm_source=chatgpt.com" TargetMode="External"/><Relationship Id="rId111" Type="http://schemas.openxmlformats.org/officeDocument/2006/relationships/hyperlink" Target="http://ceim.es/" TargetMode="External"/><Relationship Id="rId132" Type="http://schemas.openxmlformats.org/officeDocument/2006/relationships/hyperlink" Target="http://madrid.es/" TargetMode="External"/><Relationship Id="rId153" Type="http://schemas.openxmlformats.org/officeDocument/2006/relationships/hyperlink" Target="mailto:gerencia@ademe.info" TargetMode="External"/><Relationship Id="rId15" Type="http://schemas.openxmlformats.org/officeDocument/2006/relationships/hyperlink" Target="http://epg.pt/" TargetMode="External"/><Relationship Id="rId36" Type="http://schemas.openxmlformats.org/officeDocument/2006/relationships/hyperlink" Target="https://www.animee.pt/?utm_source=chatgpt.com" TargetMode="External"/><Relationship Id="rId57" Type="http://schemas.openxmlformats.org/officeDocument/2006/relationships/hyperlink" Target="http://cm-espinho.pt/" TargetMode="External"/><Relationship Id="rId106" Type="http://schemas.openxmlformats.org/officeDocument/2006/relationships/hyperlink" Target="https://www.camaradesegovia.es/?utm_source=chatgpt.com" TargetMode="External"/><Relationship Id="rId127" Type="http://schemas.openxmlformats.org/officeDocument/2006/relationships/hyperlink" Target="http://madrid.es/" TargetMode="External"/><Relationship Id="rId10" Type="http://schemas.openxmlformats.org/officeDocument/2006/relationships/hyperlink" Target="http://epbjc.pt/" TargetMode="External"/><Relationship Id="rId31" Type="http://schemas.openxmlformats.org/officeDocument/2006/relationships/hyperlink" Target="http://ccip.pt/" TargetMode="External"/><Relationship Id="rId52" Type="http://schemas.openxmlformats.org/officeDocument/2006/relationships/hyperlink" Target="http://aptoarq.pt/" TargetMode="External"/><Relationship Id="rId73" Type="http://schemas.openxmlformats.org/officeDocument/2006/relationships/hyperlink" Target="http://cm-porto.pt/" TargetMode="External"/><Relationship Id="rId78" Type="http://schemas.openxmlformats.org/officeDocument/2006/relationships/hyperlink" Target="http://cifphosteleriayturismo.es/" TargetMode="External"/><Relationship Id="rId94" Type="http://schemas.openxmlformats.org/officeDocument/2006/relationships/hyperlink" Target="http://camarabadajoz.es/" TargetMode="External"/><Relationship Id="rId99" Type="http://schemas.openxmlformats.org/officeDocument/2006/relationships/hyperlink" Target="http://camaracoruna.com/" TargetMode="External"/><Relationship Id="rId101" Type="http://schemas.openxmlformats.org/officeDocument/2006/relationships/hyperlink" Target="http://camarapontevedra.com/" TargetMode="External"/><Relationship Id="rId122" Type="http://schemas.openxmlformats.org/officeDocument/2006/relationships/hyperlink" Target="http://dip-caceres.es/" TargetMode="External"/><Relationship Id="rId143" Type="http://schemas.openxmlformats.org/officeDocument/2006/relationships/hyperlink" Target="https://artesaniadegalicia.xunta.gal/" TargetMode="External"/><Relationship Id="rId148" Type="http://schemas.openxmlformats.org/officeDocument/2006/relationships/hyperlink" Target="mailto:info@fundacionginer.org" TargetMode="External"/><Relationship Id="rId4" Type="http://schemas.openxmlformats.org/officeDocument/2006/relationships/hyperlink" Target="http://eps.pt/" TargetMode="External"/><Relationship Id="rId9" Type="http://schemas.openxmlformats.org/officeDocument/2006/relationships/hyperlink" Target="http://epral.pt/" TargetMode="External"/><Relationship Id="rId26" Type="http://schemas.openxmlformats.org/officeDocument/2006/relationships/hyperlink" Target="https://www.adral.pt/?utm_source=chatgpt.com" TargetMode="External"/><Relationship Id="rId47" Type="http://schemas.openxmlformats.org/officeDocument/2006/relationships/hyperlink" Target="http://cm-seixal.pt/" TargetMode="External"/><Relationship Id="rId68" Type="http://schemas.openxmlformats.org/officeDocument/2006/relationships/hyperlink" Target="http://iefp.pt/" TargetMode="External"/><Relationship Id="rId89" Type="http://schemas.openxmlformats.org/officeDocument/2006/relationships/hyperlink" Target="https://juandecolonia.es/?utm_source=chatgpt.com" TargetMode="External"/><Relationship Id="rId112" Type="http://schemas.openxmlformats.org/officeDocument/2006/relationships/hyperlink" Target="http://camaracantabria.com/" TargetMode="External"/><Relationship Id="rId133" Type="http://schemas.openxmlformats.org/officeDocument/2006/relationships/hyperlink" Target="http://madrid.es/" TargetMode="External"/><Relationship Id="rId16" Type="http://schemas.openxmlformats.org/officeDocument/2006/relationships/hyperlink" Target="http://ecpescolacomercioporto.pt/" TargetMode="External"/><Relationship Id="rId37" Type="http://schemas.openxmlformats.org/officeDocument/2006/relationships/hyperlink" Target="http://aiccopn.pt/" TargetMode="External"/><Relationship Id="rId58" Type="http://schemas.openxmlformats.org/officeDocument/2006/relationships/hyperlink" Target="http://iefp.pt/" TargetMode="External"/><Relationship Id="rId79" Type="http://schemas.openxmlformats.org/officeDocument/2006/relationships/hyperlink" Target="http://escuelahosteleriaespana.es/" TargetMode="External"/><Relationship Id="rId102" Type="http://schemas.openxmlformats.org/officeDocument/2006/relationships/hyperlink" Target="http://ceg.es/" TargetMode="External"/><Relationship Id="rId123" Type="http://schemas.openxmlformats.org/officeDocument/2006/relationships/hyperlink" Target="https://www.mercadodeabastosdesantiago.com/?utm_source=chatgpt.com" TargetMode="External"/><Relationship Id="rId144" Type="http://schemas.openxmlformats.org/officeDocument/2006/relationships/hyperlink" Target="http://fundacioncajabadajoz.es/" TargetMode="External"/><Relationship Id="rId90" Type="http://schemas.openxmlformats.org/officeDocument/2006/relationships/hyperlink" Target="https://cifplaflora.centros.educa.jcyl.es/sitio/index.cgi?wid_seccion=21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4" topLeftCell="A5" activePane="bottomLeft" state="frozen"/>
      <selection pane="bottomLeft" activeCell="A7" sqref="A7"/>
    </sheetView>
  </sheetViews>
  <sheetFormatPr defaultColWidth="14.44140625" defaultRowHeight="15" customHeight="1"/>
  <cols>
    <col min="1" max="1" width="8.6640625" customWidth="1"/>
    <col min="2" max="2" width="9" customWidth="1"/>
    <col min="3" max="3" width="32" customWidth="1"/>
    <col min="4" max="4" width="15" customWidth="1"/>
    <col min="5" max="5" width="26" customWidth="1"/>
    <col min="6" max="6" width="16.109375" customWidth="1"/>
    <col min="7" max="8" width="40.88671875" customWidth="1"/>
    <col min="9" max="9" width="20" customWidth="1"/>
    <col min="10" max="10" width="21.6640625" customWidth="1"/>
    <col min="11" max="11" width="40" customWidth="1"/>
    <col min="12" max="12" width="44" customWidth="1"/>
    <col min="13" max="13" width="26" customWidth="1"/>
    <col min="14" max="14" width="37.109375" customWidth="1"/>
    <col min="15" max="15" width="32" customWidth="1"/>
  </cols>
  <sheetData>
    <row r="1" spans="1:27" ht="25.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3.75" customHeight="1">
      <c r="A3" s="25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7.5" customHeight="1" thickBo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611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2.25" customHeight="1" thickBot="1">
      <c r="A5" s="3">
        <v>1</v>
      </c>
      <c r="B5" s="3" t="s">
        <v>17</v>
      </c>
      <c r="C5" s="4" t="s">
        <v>18</v>
      </c>
      <c r="D5" s="4" t="s">
        <v>19</v>
      </c>
      <c r="E5" s="4" t="s">
        <v>20</v>
      </c>
      <c r="F5" s="3" t="s">
        <v>21</v>
      </c>
      <c r="G5" s="5" t="s">
        <v>22</v>
      </c>
      <c r="H5" s="18" t="s">
        <v>1236</v>
      </c>
      <c r="I5" s="4" t="s">
        <v>23</v>
      </c>
      <c r="J5" s="4" t="s">
        <v>24</v>
      </c>
      <c r="K5" s="4" t="s">
        <v>25</v>
      </c>
      <c r="L5" s="4" t="s">
        <v>26</v>
      </c>
      <c r="M5" s="6" t="s">
        <v>21</v>
      </c>
      <c r="N5" s="4" t="s">
        <v>27</v>
      </c>
      <c r="O5" s="4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2.25" customHeight="1" thickBot="1">
      <c r="A6" s="7">
        <v>2</v>
      </c>
      <c r="B6" s="7" t="s">
        <v>17</v>
      </c>
      <c r="C6" s="8" t="s">
        <v>29</v>
      </c>
      <c r="D6" s="8" t="s">
        <v>30</v>
      </c>
      <c r="E6" s="8" t="s">
        <v>20</v>
      </c>
      <c r="F6" s="7" t="s">
        <v>31</v>
      </c>
      <c r="G6" s="9" t="s">
        <v>32</v>
      </c>
      <c r="H6" s="19" t="s">
        <v>1237</v>
      </c>
      <c r="I6" s="8" t="s">
        <v>33</v>
      </c>
      <c r="J6" s="8" t="s">
        <v>34</v>
      </c>
      <c r="K6" s="8" t="s">
        <v>35</v>
      </c>
      <c r="L6" s="8" t="s">
        <v>36</v>
      </c>
      <c r="M6" s="10" t="s">
        <v>37</v>
      </c>
      <c r="N6" s="8" t="s">
        <v>27</v>
      </c>
      <c r="O6" s="8" t="s">
        <v>38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2.25" customHeight="1" thickBot="1">
      <c r="A7" s="3">
        <v>3</v>
      </c>
      <c r="B7" s="3" t="s">
        <v>17</v>
      </c>
      <c r="C7" s="4" t="s">
        <v>39</v>
      </c>
      <c r="D7" s="4" t="s">
        <v>40</v>
      </c>
      <c r="E7" s="4" t="s">
        <v>20</v>
      </c>
      <c r="F7" s="3" t="s">
        <v>31</v>
      </c>
      <c r="G7" s="5" t="s">
        <v>41</v>
      </c>
      <c r="H7" s="19" t="s">
        <v>1238</v>
      </c>
      <c r="I7" s="4" t="s">
        <v>42</v>
      </c>
      <c r="J7" s="4" t="s">
        <v>43</v>
      </c>
      <c r="K7" s="4" t="s">
        <v>44</v>
      </c>
      <c r="L7" s="4" t="s">
        <v>45</v>
      </c>
      <c r="M7" s="6" t="s">
        <v>21</v>
      </c>
      <c r="N7" s="4" t="s">
        <v>27</v>
      </c>
      <c r="O7" s="4" t="s">
        <v>46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2.25" customHeight="1" thickBot="1">
      <c r="A8" s="7">
        <v>4</v>
      </c>
      <c r="B8" s="7" t="s">
        <v>17</v>
      </c>
      <c r="C8" s="8" t="s">
        <v>47</v>
      </c>
      <c r="D8" s="8" t="s">
        <v>48</v>
      </c>
      <c r="E8" s="8" t="s">
        <v>20</v>
      </c>
      <c r="F8" s="7" t="s">
        <v>21</v>
      </c>
      <c r="G8" s="9" t="s">
        <v>49</v>
      </c>
      <c r="H8" s="19" t="s">
        <v>1239</v>
      </c>
      <c r="I8" s="8" t="s">
        <v>50</v>
      </c>
      <c r="J8" s="8" t="s">
        <v>51</v>
      </c>
      <c r="K8" s="8" t="s">
        <v>52</v>
      </c>
      <c r="L8" s="8" t="s">
        <v>53</v>
      </c>
      <c r="M8" s="10" t="s">
        <v>37</v>
      </c>
      <c r="N8" s="8" t="s">
        <v>27</v>
      </c>
      <c r="O8" s="8" t="s">
        <v>54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2.25" customHeight="1" thickBot="1">
      <c r="A9" s="3">
        <v>5</v>
      </c>
      <c r="B9" s="3" t="s">
        <v>17</v>
      </c>
      <c r="C9" s="4" t="s">
        <v>55</v>
      </c>
      <c r="D9" s="4" t="s">
        <v>56</v>
      </c>
      <c r="E9" s="4" t="s">
        <v>20</v>
      </c>
      <c r="F9" s="3" t="s">
        <v>57</v>
      </c>
      <c r="G9" s="5" t="s">
        <v>58</v>
      </c>
      <c r="H9" s="19" t="s">
        <v>1240</v>
      </c>
      <c r="I9" s="4" t="s">
        <v>59</v>
      </c>
      <c r="J9" s="4" t="s">
        <v>60</v>
      </c>
      <c r="K9" s="4" t="s">
        <v>61</v>
      </c>
      <c r="L9" s="4" t="s">
        <v>62</v>
      </c>
      <c r="M9" s="6" t="s">
        <v>21</v>
      </c>
      <c r="N9" s="4" t="s">
        <v>27</v>
      </c>
      <c r="O9" s="4" t="s">
        <v>63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2.25" customHeight="1" thickBot="1">
      <c r="A10" s="7">
        <v>6</v>
      </c>
      <c r="B10" s="7" t="s">
        <v>17</v>
      </c>
      <c r="C10" s="8" t="s">
        <v>64</v>
      </c>
      <c r="D10" s="8" t="s">
        <v>19</v>
      </c>
      <c r="E10" s="8" t="s">
        <v>20</v>
      </c>
      <c r="F10" s="7" t="s">
        <v>21</v>
      </c>
      <c r="G10" s="9" t="s">
        <v>65</v>
      </c>
      <c r="H10" s="7" t="s">
        <v>1401</v>
      </c>
      <c r="I10" s="8" t="s">
        <v>66</v>
      </c>
      <c r="J10" s="8" t="s">
        <v>67</v>
      </c>
      <c r="K10" s="8" t="s">
        <v>68</v>
      </c>
      <c r="L10" s="8" t="s">
        <v>69</v>
      </c>
      <c r="M10" s="6" t="s">
        <v>21</v>
      </c>
      <c r="N10" s="8" t="s">
        <v>27</v>
      </c>
      <c r="O10" s="8" t="s">
        <v>70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2.25" customHeight="1" thickBot="1">
      <c r="A11" s="3">
        <v>7</v>
      </c>
      <c r="B11" s="3" t="s">
        <v>17</v>
      </c>
      <c r="C11" s="4" t="s">
        <v>71</v>
      </c>
      <c r="D11" s="4" t="s">
        <v>72</v>
      </c>
      <c r="E11" s="4" t="s">
        <v>20</v>
      </c>
      <c r="F11" s="3" t="s">
        <v>31</v>
      </c>
      <c r="G11" s="4" t="s">
        <v>73</v>
      </c>
      <c r="H11" s="19" t="s">
        <v>1241</v>
      </c>
      <c r="I11" s="4" t="s">
        <v>74</v>
      </c>
      <c r="J11" s="4" t="s">
        <v>75</v>
      </c>
      <c r="K11" s="4" t="s">
        <v>76</v>
      </c>
      <c r="L11" s="4" t="s">
        <v>77</v>
      </c>
      <c r="M11" s="6" t="s">
        <v>21</v>
      </c>
      <c r="N11" s="4" t="s">
        <v>78</v>
      </c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2.25" customHeight="1" thickBot="1">
      <c r="A12" s="7">
        <v>8</v>
      </c>
      <c r="B12" s="7" t="s">
        <v>17</v>
      </c>
      <c r="C12" s="8" t="s">
        <v>79</v>
      </c>
      <c r="D12" s="8" t="s">
        <v>80</v>
      </c>
      <c r="E12" s="8" t="s">
        <v>20</v>
      </c>
      <c r="F12" s="7" t="s">
        <v>21</v>
      </c>
      <c r="G12" s="9" t="s">
        <v>81</v>
      </c>
      <c r="H12" s="19" t="s">
        <v>1242</v>
      </c>
      <c r="I12" s="8" t="s">
        <v>82</v>
      </c>
      <c r="J12" s="8" t="s">
        <v>83</v>
      </c>
      <c r="K12" s="8" t="s">
        <v>84</v>
      </c>
      <c r="L12" s="8" t="s">
        <v>85</v>
      </c>
      <c r="M12" s="11" t="s">
        <v>86</v>
      </c>
      <c r="N12" s="8" t="s">
        <v>27</v>
      </c>
      <c r="O12" s="8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2.25" customHeight="1" thickBot="1">
      <c r="A13" s="3">
        <v>9</v>
      </c>
      <c r="B13" s="3" t="s">
        <v>17</v>
      </c>
      <c r="C13" s="4" t="s">
        <v>87</v>
      </c>
      <c r="D13" s="4" t="s">
        <v>88</v>
      </c>
      <c r="E13" s="4" t="s">
        <v>20</v>
      </c>
      <c r="F13" s="3" t="s">
        <v>31</v>
      </c>
      <c r="G13" s="5" t="s">
        <v>89</v>
      </c>
      <c r="H13" s="19" t="s">
        <v>1243</v>
      </c>
      <c r="I13" s="4" t="s">
        <v>90</v>
      </c>
      <c r="J13" s="4" t="s">
        <v>91</v>
      </c>
      <c r="K13" s="4" t="s">
        <v>92</v>
      </c>
      <c r="L13" s="4" t="s">
        <v>93</v>
      </c>
      <c r="M13" s="6" t="s">
        <v>21</v>
      </c>
      <c r="N13" s="4" t="s">
        <v>27</v>
      </c>
      <c r="O13" s="4" t="s">
        <v>94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2.25" customHeight="1" thickBot="1">
      <c r="A14" s="7">
        <v>10</v>
      </c>
      <c r="B14" s="7" t="s">
        <v>17</v>
      </c>
      <c r="C14" s="8" t="s">
        <v>95</v>
      </c>
      <c r="D14" s="8" t="s">
        <v>96</v>
      </c>
      <c r="E14" s="8" t="s">
        <v>20</v>
      </c>
      <c r="F14" s="7" t="s">
        <v>31</v>
      </c>
      <c r="G14" s="9" t="s">
        <v>97</v>
      </c>
      <c r="H14" s="19" t="s">
        <v>1244</v>
      </c>
      <c r="I14" s="8" t="s">
        <v>98</v>
      </c>
      <c r="J14" s="8" t="s">
        <v>99</v>
      </c>
      <c r="K14" s="8" t="s">
        <v>100</v>
      </c>
      <c r="L14" s="8" t="s">
        <v>101</v>
      </c>
      <c r="M14" s="6" t="s">
        <v>21</v>
      </c>
      <c r="N14" s="8" t="s">
        <v>27</v>
      </c>
      <c r="O14" s="8" t="s">
        <v>102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2.25" customHeight="1" thickBot="1">
      <c r="A15" s="3">
        <v>11</v>
      </c>
      <c r="B15" s="3" t="s">
        <v>17</v>
      </c>
      <c r="C15" s="4" t="s">
        <v>103</v>
      </c>
      <c r="D15" s="4" t="s">
        <v>19</v>
      </c>
      <c r="E15" s="4" t="s">
        <v>20</v>
      </c>
      <c r="F15" s="3" t="s">
        <v>57</v>
      </c>
      <c r="G15" s="5" t="s">
        <v>104</v>
      </c>
      <c r="H15" s="19" t="s">
        <v>1245</v>
      </c>
      <c r="I15" s="4" t="s">
        <v>105</v>
      </c>
      <c r="J15" s="4" t="s">
        <v>106</v>
      </c>
      <c r="K15" s="4" t="s">
        <v>107</v>
      </c>
      <c r="L15" s="4" t="s">
        <v>108</v>
      </c>
      <c r="M15" s="10" t="s">
        <v>37</v>
      </c>
      <c r="N15" s="4" t="s">
        <v>27</v>
      </c>
      <c r="O15" s="4" t="s">
        <v>109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2.25" customHeight="1" thickBot="1">
      <c r="A16" s="7">
        <v>12</v>
      </c>
      <c r="B16" s="7" t="s">
        <v>17</v>
      </c>
      <c r="C16" s="8" t="s">
        <v>110</v>
      </c>
      <c r="D16" s="8" t="s">
        <v>111</v>
      </c>
      <c r="E16" s="8" t="s">
        <v>20</v>
      </c>
      <c r="F16" s="7" t="s">
        <v>21</v>
      </c>
      <c r="G16" s="9" t="s">
        <v>112</v>
      </c>
      <c r="H16" s="19" t="s">
        <v>1246</v>
      </c>
      <c r="I16" s="8" t="s">
        <v>113</v>
      </c>
      <c r="J16" s="8" t="s">
        <v>114</v>
      </c>
      <c r="K16" s="8" t="s">
        <v>115</v>
      </c>
      <c r="L16" s="8" t="s">
        <v>116</v>
      </c>
      <c r="M16" s="6" t="s">
        <v>21</v>
      </c>
      <c r="N16" s="8" t="s">
        <v>27</v>
      </c>
      <c r="O16" s="8" t="s">
        <v>117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2.25" customHeight="1" thickBot="1">
      <c r="A17" s="3">
        <v>13</v>
      </c>
      <c r="B17" s="3" t="s">
        <v>17</v>
      </c>
      <c r="C17" s="4" t="s">
        <v>118</v>
      </c>
      <c r="D17" s="4" t="s">
        <v>119</v>
      </c>
      <c r="E17" s="4" t="s">
        <v>20</v>
      </c>
      <c r="F17" s="3" t="s">
        <v>21</v>
      </c>
      <c r="G17" s="5" t="s">
        <v>120</v>
      </c>
      <c r="H17" s="19" t="s">
        <v>1247</v>
      </c>
      <c r="I17" s="4" t="s">
        <v>121</v>
      </c>
      <c r="J17" s="4" t="s">
        <v>122</v>
      </c>
      <c r="K17" s="4" t="s">
        <v>123</v>
      </c>
      <c r="L17" s="4" t="s">
        <v>124</v>
      </c>
      <c r="M17" s="6" t="s">
        <v>21</v>
      </c>
      <c r="N17" s="4" t="s">
        <v>27</v>
      </c>
      <c r="O17" s="4" t="s">
        <v>125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2.25" customHeight="1" thickBot="1">
      <c r="A18" s="7">
        <v>14</v>
      </c>
      <c r="B18" s="7" t="s">
        <v>17</v>
      </c>
      <c r="C18" s="8" t="s">
        <v>126</v>
      </c>
      <c r="D18" s="8" t="s">
        <v>127</v>
      </c>
      <c r="E18" s="8" t="s">
        <v>20</v>
      </c>
      <c r="F18" s="7" t="s">
        <v>21</v>
      </c>
      <c r="G18" s="9" t="s">
        <v>128</v>
      </c>
      <c r="H18" s="19" t="s">
        <v>1248</v>
      </c>
      <c r="I18" s="8" t="s">
        <v>129</v>
      </c>
      <c r="J18" s="8" t="s">
        <v>130</v>
      </c>
      <c r="K18" s="8" t="s">
        <v>131</v>
      </c>
      <c r="L18" s="8" t="s">
        <v>132</v>
      </c>
      <c r="M18" s="10" t="s">
        <v>37</v>
      </c>
      <c r="N18" s="8" t="s">
        <v>27</v>
      </c>
      <c r="O18" s="8" t="s">
        <v>133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1.75" customHeight="1" thickBot="1">
      <c r="A19" s="3">
        <v>15</v>
      </c>
      <c r="B19" s="3" t="s">
        <v>17</v>
      </c>
      <c r="C19" s="4" t="s">
        <v>134</v>
      </c>
      <c r="D19" s="4" t="s">
        <v>135</v>
      </c>
      <c r="E19" s="4" t="s">
        <v>20</v>
      </c>
      <c r="F19" s="3" t="s">
        <v>31</v>
      </c>
      <c r="G19" s="5" t="s">
        <v>136</v>
      </c>
      <c r="H19" s="19" t="s">
        <v>1249</v>
      </c>
      <c r="I19" s="4" t="s">
        <v>66</v>
      </c>
      <c r="J19" s="4" t="s">
        <v>137</v>
      </c>
      <c r="K19" s="4" t="s">
        <v>138</v>
      </c>
      <c r="L19" s="4" t="s">
        <v>139</v>
      </c>
      <c r="M19" s="6" t="s">
        <v>21</v>
      </c>
      <c r="N19" s="4" t="s">
        <v>27</v>
      </c>
      <c r="O19" s="4" t="s">
        <v>140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2.25" customHeight="1" thickBot="1">
      <c r="A20" s="7">
        <v>16</v>
      </c>
      <c r="B20" s="7" t="s">
        <v>17</v>
      </c>
      <c r="C20" s="8" t="s">
        <v>141</v>
      </c>
      <c r="D20" s="8" t="s">
        <v>142</v>
      </c>
      <c r="E20" s="8" t="s">
        <v>20</v>
      </c>
      <c r="F20" s="7" t="s">
        <v>21</v>
      </c>
      <c r="G20" s="9" t="s">
        <v>143</v>
      </c>
      <c r="H20" s="19" t="s">
        <v>1250</v>
      </c>
      <c r="I20" s="8" t="s">
        <v>144</v>
      </c>
      <c r="J20" s="8" t="s">
        <v>145</v>
      </c>
      <c r="K20" s="8" t="s">
        <v>146</v>
      </c>
      <c r="L20" s="8" t="s">
        <v>147</v>
      </c>
      <c r="M20" s="10" t="s">
        <v>37</v>
      </c>
      <c r="N20" s="8" t="s">
        <v>27</v>
      </c>
      <c r="O20" s="8" t="s">
        <v>148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2.25" customHeight="1" thickBot="1">
      <c r="A21" s="3">
        <v>17</v>
      </c>
      <c r="B21" s="3" t="s">
        <v>17</v>
      </c>
      <c r="C21" s="4" t="s">
        <v>149</v>
      </c>
      <c r="D21" s="4" t="s">
        <v>135</v>
      </c>
      <c r="E21" s="4" t="s">
        <v>20</v>
      </c>
      <c r="F21" s="3" t="s">
        <v>21</v>
      </c>
      <c r="G21" s="5" t="s">
        <v>150</v>
      </c>
      <c r="H21" s="19" t="s">
        <v>1251</v>
      </c>
      <c r="I21" s="4" t="s">
        <v>66</v>
      </c>
      <c r="J21" s="4" t="s">
        <v>151</v>
      </c>
      <c r="K21" s="4" t="s">
        <v>152</v>
      </c>
      <c r="L21" s="4" t="s">
        <v>153</v>
      </c>
      <c r="M21" s="10" t="s">
        <v>37</v>
      </c>
      <c r="N21" s="4" t="s">
        <v>27</v>
      </c>
      <c r="O21" s="4" t="s">
        <v>154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2.25" customHeight="1" thickBot="1">
      <c r="A22" s="7">
        <v>18</v>
      </c>
      <c r="B22" s="7" t="s">
        <v>17</v>
      </c>
      <c r="C22" s="8" t="s">
        <v>155</v>
      </c>
      <c r="D22" s="8" t="s">
        <v>135</v>
      </c>
      <c r="E22" s="8" t="s">
        <v>20</v>
      </c>
      <c r="F22" s="7" t="s">
        <v>57</v>
      </c>
      <c r="G22" s="9" t="s">
        <v>156</v>
      </c>
      <c r="H22" s="19" t="s">
        <v>1252</v>
      </c>
      <c r="I22" s="8" t="s">
        <v>157</v>
      </c>
      <c r="J22" s="8" t="s">
        <v>158</v>
      </c>
      <c r="K22" s="8" t="s">
        <v>159</v>
      </c>
      <c r="L22" s="8" t="s">
        <v>160</v>
      </c>
      <c r="M22" s="6" t="s">
        <v>21</v>
      </c>
      <c r="N22" s="8" t="s">
        <v>27</v>
      </c>
      <c r="O22" s="8" t="s">
        <v>161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2.25" customHeight="1" thickBot="1">
      <c r="A23" s="3">
        <v>19</v>
      </c>
      <c r="B23" s="3" t="s">
        <v>17</v>
      </c>
      <c r="C23" s="4" t="s">
        <v>162</v>
      </c>
      <c r="D23" s="4" t="s">
        <v>135</v>
      </c>
      <c r="E23" s="4" t="s">
        <v>20</v>
      </c>
      <c r="F23" s="3" t="s">
        <v>31</v>
      </c>
      <c r="G23" s="5" t="s">
        <v>163</v>
      </c>
      <c r="H23" s="19" t="s">
        <v>1253</v>
      </c>
      <c r="I23" s="4" t="s">
        <v>66</v>
      </c>
      <c r="J23" s="4" t="s">
        <v>164</v>
      </c>
      <c r="K23" s="4" t="s">
        <v>165</v>
      </c>
      <c r="L23" s="4" t="s">
        <v>166</v>
      </c>
      <c r="M23" s="10" t="s">
        <v>37</v>
      </c>
      <c r="N23" s="4" t="s">
        <v>27</v>
      </c>
      <c r="O23" s="4" t="s">
        <v>167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2.25" customHeight="1" thickBot="1">
      <c r="A24" s="7">
        <v>20</v>
      </c>
      <c r="B24" s="7" t="s">
        <v>17</v>
      </c>
      <c r="C24" s="8" t="s">
        <v>168</v>
      </c>
      <c r="D24" s="8" t="s">
        <v>135</v>
      </c>
      <c r="E24" s="8" t="s">
        <v>20</v>
      </c>
      <c r="F24" s="7" t="s">
        <v>31</v>
      </c>
      <c r="G24" s="9" t="s">
        <v>169</v>
      </c>
      <c r="H24" s="19" t="s">
        <v>1254</v>
      </c>
      <c r="I24" s="8" t="s">
        <v>170</v>
      </c>
      <c r="J24" s="8" t="s">
        <v>171</v>
      </c>
      <c r="K24" s="8" t="s">
        <v>172</v>
      </c>
      <c r="L24" s="8" t="s">
        <v>173</v>
      </c>
      <c r="M24" s="10" t="s">
        <v>37</v>
      </c>
      <c r="N24" s="8" t="s">
        <v>27</v>
      </c>
      <c r="O24" s="8" t="s">
        <v>174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2.25" customHeight="1" thickBot="1">
      <c r="A25" s="3">
        <v>21</v>
      </c>
      <c r="B25" s="3" t="s">
        <v>17</v>
      </c>
      <c r="C25" s="4" t="s">
        <v>175</v>
      </c>
      <c r="D25" s="4" t="s">
        <v>19</v>
      </c>
      <c r="E25" s="4" t="s">
        <v>20</v>
      </c>
      <c r="F25" s="3" t="s">
        <v>21</v>
      </c>
      <c r="G25" s="5" t="s">
        <v>176</v>
      </c>
      <c r="H25" s="19" t="s">
        <v>1255</v>
      </c>
      <c r="I25" s="4" t="s">
        <v>177</v>
      </c>
      <c r="J25" s="4" t="s">
        <v>178</v>
      </c>
      <c r="K25" s="4" t="s">
        <v>179</v>
      </c>
      <c r="L25" s="4" t="s">
        <v>180</v>
      </c>
      <c r="M25" s="6" t="s">
        <v>21</v>
      </c>
      <c r="N25" s="4" t="s">
        <v>27</v>
      </c>
      <c r="O25" s="4" t="s">
        <v>181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2.25" customHeight="1" thickBot="1">
      <c r="A26" s="7">
        <v>22</v>
      </c>
      <c r="B26" s="7" t="s">
        <v>17</v>
      </c>
      <c r="C26" s="8" t="s">
        <v>182</v>
      </c>
      <c r="D26" s="8" t="s">
        <v>19</v>
      </c>
      <c r="E26" s="8" t="s">
        <v>20</v>
      </c>
      <c r="F26" s="7" t="s">
        <v>21</v>
      </c>
      <c r="G26" s="9" t="s">
        <v>183</v>
      </c>
      <c r="H26" s="19" t="s">
        <v>1256</v>
      </c>
      <c r="I26" s="8" t="s">
        <v>184</v>
      </c>
      <c r="J26" s="8" t="s">
        <v>185</v>
      </c>
      <c r="K26" s="8" t="s">
        <v>186</v>
      </c>
      <c r="L26" s="8" t="s">
        <v>187</v>
      </c>
      <c r="M26" s="6" t="s">
        <v>21</v>
      </c>
      <c r="N26" s="8" t="s">
        <v>27</v>
      </c>
      <c r="O26" s="8" t="s">
        <v>188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2.25" customHeight="1" thickBot="1">
      <c r="A27" s="3">
        <v>23</v>
      </c>
      <c r="B27" s="3" t="s">
        <v>17</v>
      </c>
      <c r="C27" s="4" t="s">
        <v>189</v>
      </c>
      <c r="D27" s="4" t="s">
        <v>30</v>
      </c>
      <c r="E27" s="4" t="s">
        <v>190</v>
      </c>
      <c r="F27" s="3" t="s">
        <v>57</v>
      </c>
      <c r="G27" s="5" t="s">
        <v>191</v>
      </c>
      <c r="H27" s="19" t="s">
        <v>1257</v>
      </c>
      <c r="I27" s="4" t="s">
        <v>192</v>
      </c>
      <c r="J27" s="4" t="s">
        <v>193</v>
      </c>
      <c r="K27" s="4" t="s">
        <v>194</v>
      </c>
      <c r="L27" s="4" t="s">
        <v>195</v>
      </c>
      <c r="M27" s="6" t="s">
        <v>21</v>
      </c>
      <c r="N27" s="4" t="s">
        <v>27</v>
      </c>
      <c r="O27" s="4" t="s">
        <v>196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2.25" customHeight="1" thickBot="1">
      <c r="A28" s="7">
        <v>24</v>
      </c>
      <c r="B28" s="7" t="s">
        <v>17</v>
      </c>
      <c r="C28" s="8" t="s">
        <v>197</v>
      </c>
      <c r="D28" s="8" t="s">
        <v>198</v>
      </c>
      <c r="E28" s="8" t="s">
        <v>190</v>
      </c>
      <c r="F28" s="7" t="s">
        <v>57</v>
      </c>
      <c r="G28" s="9" t="s">
        <v>199</v>
      </c>
      <c r="H28" s="19" t="s">
        <v>1258</v>
      </c>
      <c r="I28" s="8" t="s">
        <v>200</v>
      </c>
      <c r="J28" s="8" t="s">
        <v>201</v>
      </c>
      <c r="K28" s="8" t="s">
        <v>202</v>
      </c>
      <c r="L28" s="8" t="s">
        <v>203</v>
      </c>
      <c r="M28" s="6" t="s">
        <v>21</v>
      </c>
      <c r="N28" s="8" t="s">
        <v>27</v>
      </c>
      <c r="O28" s="8" t="s">
        <v>38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2.25" customHeight="1" thickBot="1">
      <c r="A29" s="3">
        <v>25</v>
      </c>
      <c r="B29" s="3" t="s">
        <v>17</v>
      </c>
      <c r="C29" s="4" t="s">
        <v>204</v>
      </c>
      <c r="D29" s="4" t="s">
        <v>135</v>
      </c>
      <c r="E29" s="4" t="s">
        <v>190</v>
      </c>
      <c r="F29" s="3" t="s">
        <v>57</v>
      </c>
      <c r="G29" s="5" t="s">
        <v>205</v>
      </c>
      <c r="H29" s="19" t="s">
        <v>1259</v>
      </c>
      <c r="I29" s="4" t="s">
        <v>206</v>
      </c>
      <c r="J29" s="4" t="s">
        <v>207</v>
      </c>
      <c r="K29" s="4" t="s">
        <v>208</v>
      </c>
      <c r="L29" s="4" t="s">
        <v>209</v>
      </c>
      <c r="M29" s="6" t="s">
        <v>21</v>
      </c>
      <c r="N29" s="4" t="s">
        <v>27</v>
      </c>
      <c r="O29" s="4" t="s">
        <v>210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2.25" customHeight="1" thickBot="1">
      <c r="A30" s="7">
        <v>26</v>
      </c>
      <c r="B30" s="7" t="s">
        <v>17</v>
      </c>
      <c r="C30" s="8" t="s">
        <v>211</v>
      </c>
      <c r="D30" s="8" t="s">
        <v>80</v>
      </c>
      <c r="E30" s="8" t="s">
        <v>190</v>
      </c>
      <c r="F30" s="7" t="s">
        <v>21</v>
      </c>
      <c r="G30" s="9" t="s">
        <v>212</v>
      </c>
      <c r="H30" s="19" t="s">
        <v>1260</v>
      </c>
      <c r="I30" s="8" t="s">
        <v>213</v>
      </c>
      <c r="J30" s="8" t="s">
        <v>214</v>
      </c>
      <c r="K30" s="8" t="s">
        <v>215</v>
      </c>
      <c r="L30" s="8" t="s">
        <v>216</v>
      </c>
      <c r="M30" s="6" t="s">
        <v>21</v>
      </c>
      <c r="N30" s="8" t="s">
        <v>27</v>
      </c>
      <c r="O30" s="8" t="s">
        <v>217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2.25" customHeight="1" thickBot="1">
      <c r="A31" s="3">
        <v>27</v>
      </c>
      <c r="B31" s="3" t="s">
        <v>17</v>
      </c>
      <c r="C31" s="4" t="s">
        <v>218</v>
      </c>
      <c r="D31" s="4" t="s">
        <v>219</v>
      </c>
      <c r="E31" s="4" t="s">
        <v>190</v>
      </c>
      <c r="F31" s="3" t="s">
        <v>21</v>
      </c>
      <c r="G31" s="5" t="s">
        <v>220</v>
      </c>
      <c r="H31" s="19" t="s">
        <v>1261</v>
      </c>
      <c r="I31" s="4" t="s">
        <v>221</v>
      </c>
      <c r="J31" s="4" t="s">
        <v>222</v>
      </c>
      <c r="K31" s="4" t="s">
        <v>223</v>
      </c>
      <c r="L31" s="4" t="s">
        <v>224</v>
      </c>
      <c r="M31" s="10" t="s">
        <v>37</v>
      </c>
      <c r="N31" s="4" t="s">
        <v>27</v>
      </c>
      <c r="O31" s="4" t="s">
        <v>225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1.75" customHeight="1" thickBot="1">
      <c r="A32" s="7">
        <v>28</v>
      </c>
      <c r="B32" s="7" t="s">
        <v>17</v>
      </c>
      <c r="C32" s="8" t="s">
        <v>226</v>
      </c>
      <c r="D32" s="8" t="s">
        <v>227</v>
      </c>
      <c r="E32" s="8" t="s">
        <v>190</v>
      </c>
      <c r="F32" s="7" t="s">
        <v>31</v>
      </c>
      <c r="G32" s="9" t="s">
        <v>228</v>
      </c>
      <c r="H32" s="19" t="s">
        <v>1262</v>
      </c>
      <c r="I32" s="8" t="s">
        <v>229</v>
      </c>
      <c r="J32" s="8" t="s">
        <v>230</v>
      </c>
      <c r="K32" s="8" t="s">
        <v>231</v>
      </c>
      <c r="L32" s="8" t="s">
        <v>232</v>
      </c>
      <c r="M32" s="10" t="s">
        <v>37</v>
      </c>
      <c r="N32" s="8" t="s">
        <v>27</v>
      </c>
      <c r="O32" s="8" t="s">
        <v>233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1.75" customHeight="1" thickBot="1">
      <c r="A33" s="3">
        <v>29</v>
      </c>
      <c r="B33" s="3" t="s">
        <v>17</v>
      </c>
      <c r="C33" s="4" t="s">
        <v>234</v>
      </c>
      <c r="D33" s="4" t="s">
        <v>235</v>
      </c>
      <c r="E33" s="4" t="s">
        <v>190</v>
      </c>
      <c r="F33" s="3" t="s">
        <v>31</v>
      </c>
      <c r="G33" s="5" t="s">
        <v>236</v>
      </c>
      <c r="H33" s="19" t="s">
        <v>1263</v>
      </c>
      <c r="I33" s="4" t="s">
        <v>66</v>
      </c>
      <c r="J33" s="4" t="s">
        <v>237</v>
      </c>
      <c r="K33" s="4" t="s">
        <v>238</v>
      </c>
      <c r="L33" s="4" t="s">
        <v>239</v>
      </c>
      <c r="M33" s="6" t="s">
        <v>21</v>
      </c>
      <c r="N33" s="4" t="s">
        <v>27</v>
      </c>
      <c r="O33" s="4" t="s">
        <v>240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1.75" customHeight="1" thickBot="1">
      <c r="A34" s="7">
        <v>30</v>
      </c>
      <c r="B34" s="7" t="s">
        <v>17</v>
      </c>
      <c r="C34" s="8" t="s">
        <v>241</v>
      </c>
      <c r="D34" s="8" t="s">
        <v>242</v>
      </c>
      <c r="E34" s="8" t="s">
        <v>190</v>
      </c>
      <c r="F34" s="7" t="s">
        <v>31</v>
      </c>
      <c r="G34" s="9" t="s">
        <v>243</v>
      </c>
      <c r="H34" s="19" t="s">
        <v>1264</v>
      </c>
      <c r="I34" s="8" t="s">
        <v>66</v>
      </c>
      <c r="J34" s="8" t="s">
        <v>244</v>
      </c>
      <c r="K34" s="8" t="s">
        <v>245</v>
      </c>
      <c r="L34" s="8" t="s">
        <v>246</v>
      </c>
      <c r="M34" s="10" t="s">
        <v>37</v>
      </c>
      <c r="N34" s="8" t="s">
        <v>27</v>
      </c>
      <c r="O34" s="8" t="s">
        <v>247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1.75" customHeight="1" thickBot="1">
      <c r="A35" s="3">
        <v>31</v>
      </c>
      <c r="B35" s="3" t="s">
        <v>17</v>
      </c>
      <c r="C35" s="4" t="s">
        <v>248</v>
      </c>
      <c r="D35" s="4" t="s">
        <v>198</v>
      </c>
      <c r="E35" s="4" t="s">
        <v>190</v>
      </c>
      <c r="F35" s="3" t="s">
        <v>21</v>
      </c>
      <c r="G35" s="5" t="s">
        <v>249</v>
      </c>
      <c r="H35" s="19" t="s">
        <v>1265</v>
      </c>
      <c r="I35" s="4" t="s">
        <v>66</v>
      </c>
      <c r="J35" s="4" t="s">
        <v>250</v>
      </c>
      <c r="K35" s="4" t="s">
        <v>251</v>
      </c>
      <c r="L35" s="4" t="s">
        <v>252</v>
      </c>
      <c r="M35" s="6" t="s">
        <v>21</v>
      </c>
      <c r="N35" s="4" t="s">
        <v>27</v>
      </c>
      <c r="O35" s="4" t="s">
        <v>253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2.25" customHeight="1" thickBot="1">
      <c r="A36" s="7">
        <v>32</v>
      </c>
      <c r="B36" s="7" t="s">
        <v>17</v>
      </c>
      <c r="C36" s="8" t="s">
        <v>254</v>
      </c>
      <c r="D36" s="8" t="s">
        <v>19</v>
      </c>
      <c r="E36" s="8" t="s">
        <v>190</v>
      </c>
      <c r="F36" s="7" t="s">
        <v>57</v>
      </c>
      <c r="G36" s="9" t="s">
        <v>255</v>
      </c>
      <c r="H36" s="19" t="s">
        <v>1266</v>
      </c>
      <c r="I36" s="8" t="s">
        <v>256</v>
      </c>
      <c r="J36" s="8" t="s">
        <v>257</v>
      </c>
      <c r="K36" s="8" t="s">
        <v>258</v>
      </c>
      <c r="L36" s="8" t="s">
        <v>259</v>
      </c>
      <c r="M36" s="6" t="s">
        <v>21</v>
      </c>
      <c r="N36" s="8" t="s">
        <v>27</v>
      </c>
      <c r="O36" s="8" t="s">
        <v>260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2.25" customHeight="1" thickBot="1">
      <c r="A37" s="3">
        <v>33</v>
      </c>
      <c r="B37" s="3" t="s">
        <v>17</v>
      </c>
      <c r="C37" s="4" t="s">
        <v>261</v>
      </c>
      <c r="D37" s="4" t="s">
        <v>135</v>
      </c>
      <c r="E37" s="4" t="s">
        <v>190</v>
      </c>
      <c r="F37" s="3" t="s">
        <v>57</v>
      </c>
      <c r="G37" s="5" t="s">
        <v>262</v>
      </c>
      <c r="H37" s="19" t="s">
        <v>1267</v>
      </c>
      <c r="I37" s="4" t="s">
        <v>263</v>
      </c>
      <c r="J37" s="4" t="s">
        <v>264</v>
      </c>
      <c r="K37" s="4" t="s">
        <v>265</v>
      </c>
      <c r="L37" s="4" t="s">
        <v>266</v>
      </c>
      <c r="M37" s="6" t="s">
        <v>21</v>
      </c>
      <c r="N37" s="4" t="s">
        <v>27</v>
      </c>
      <c r="O37" s="4" t="s">
        <v>267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2.25" customHeight="1" thickBot="1">
      <c r="A38" s="7">
        <v>34</v>
      </c>
      <c r="B38" s="7" t="s">
        <v>17</v>
      </c>
      <c r="C38" s="8" t="s">
        <v>268</v>
      </c>
      <c r="D38" s="8" t="s">
        <v>19</v>
      </c>
      <c r="E38" s="8" t="s">
        <v>190</v>
      </c>
      <c r="F38" s="7" t="s">
        <v>21</v>
      </c>
      <c r="G38" s="9" t="s">
        <v>269</v>
      </c>
      <c r="H38" s="19" t="s">
        <v>1268</v>
      </c>
      <c r="I38" s="8" t="s">
        <v>270</v>
      </c>
      <c r="J38" s="8" t="s">
        <v>271</v>
      </c>
      <c r="K38" s="8" t="s">
        <v>272</v>
      </c>
      <c r="L38" s="8" t="s">
        <v>273</v>
      </c>
      <c r="M38" s="6" t="s">
        <v>21</v>
      </c>
      <c r="N38" s="8" t="s">
        <v>27</v>
      </c>
      <c r="O38" s="8" t="s">
        <v>210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2.25" customHeight="1" thickBot="1">
      <c r="A39" s="3">
        <v>35</v>
      </c>
      <c r="B39" s="3" t="s">
        <v>17</v>
      </c>
      <c r="C39" s="4" t="s">
        <v>274</v>
      </c>
      <c r="D39" s="4" t="s">
        <v>19</v>
      </c>
      <c r="E39" s="4" t="s">
        <v>190</v>
      </c>
      <c r="F39" s="3" t="s">
        <v>57</v>
      </c>
      <c r="G39" s="5" t="s">
        <v>275</v>
      </c>
      <c r="H39" s="19" t="s">
        <v>1269</v>
      </c>
      <c r="I39" s="4" t="s">
        <v>276</v>
      </c>
      <c r="J39" s="4" t="s">
        <v>277</v>
      </c>
      <c r="K39" s="4" t="s">
        <v>278</v>
      </c>
      <c r="L39" s="4" t="s">
        <v>279</v>
      </c>
      <c r="M39" s="10" t="s">
        <v>37</v>
      </c>
      <c r="N39" s="4" t="s">
        <v>27</v>
      </c>
      <c r="O39" s="4" t="s">
        <v>280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2.25" customHeight="1" thickBot="1">
      <c r="A40" s="7">
        <v>36</v>
      </c>
      <c r="B40" s="7" t="s">
        <v>17</v>
      </c>
      <c r="C40" s="8" t="s">
        <v>281</v>
      </c>
      <c r="D40" s="8" t="s">
        <v>282</v>
      </c>
      <c r="E40" s="8" t="s">
        <v>190</v>
      </c>
      <c r="F40" s="7" t="s">
        <v>31</v>
      </c>
      <c r="G40" s="9" t="s">
        <v>283</v>
      </c>
      <c r="H40" s="19" t="s">
        <v>1270</v>
      </c>
      <c r="I40" s="8" t="s">
        <v>284</v>
      </c>
      <c r="J40" s="8" t="s">
        <v>285</v>
      </c>
      <c r="K40" s="8" t="s">
        <v>286</v>
      </c>
      <c r="L40" s="8" t="s">
        <v>287</v>
      </c>
      <c r="M40" s="10" t="s">
        <v>37</v>
      </c>
      <c r="N40" s="8" t="s">
        <v>27</v>
      </c>
      <c r="O40" s="8" t="s">
        <v>288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2.25" customHeight="1" thickBot="1">
      <c r="A41" s="3">
        <v>37</v>
      </c>
      <c r="B41" s="3" t="s">
        <v>17</v>
      </c>
      <c r="C41" s="4" t="s">
        <v>289</v>
      </c>
      <c r="D41" s="4" t="s">
        <v>19</v>
      </c>
      <c r="E41" s="4" t="s">
        <v>190</v>
      </c>
      <c r="F41" s="3" t="s">
        <v>21</v>
      </c>
      <c r="G41" s="5" t="s">
        <v>290</v>
      </c>
      <c r="H41" s="19" t="s">
        <v>1271</v>
      </c>
      <c r="I41" s="4" t="s">
        <v>291</v>
      </c>
      <c r="J41" s="4" t="s">
        <v>292</v>
      </c>
      <c r="K41" s="4" t="s">
        <v>293</v>
      </c>
      <c r="L41" s="4" t="s">
        <v>294</v>
      </c>
      <c r="M41" s="6" t="s">
        <v>21</v>
      </c>
      <c r="N41" s="4" t="s">
        <v>27</v>
      </c>
      <c r="O41" s="4" t="s">
        <v>295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2.25" customHeight="1" thickBot="1">
      <c r="A42" s="7">
        <v>38</v>
      </c>
      <c r="B42" s="7" t="s">
        <v>17</v>
      </c>
      <c r="C42" s="8" t="s">
        <v>296</v>
      </c>
      <c r="D42" s="8" t="s">
        <v>135</v>
      </c>
      <c r="E42" s="8" t="s">
        <v>190</v>
      </c>
      <c r="F42" s="7" t="s">
        <v>57</v>
      </c>
      <c r="G42" s="9" t="s">
        <v>297</v>
      </c>
      <c r="H42" s="19" t="s">
        <v>1272</v>
      </c>
      <c r="I42" s="8" t="s">
        <v>298</v>
      </c>
      <c r="J42" s="8" t="s">
        <v>299</v>
      </c>
      <c r="K42" s="8" t="s">
        <v>300</v>
      </c>
      <c r="L42" s="8" t="s">
        <v>301</v>
      </c>
      <c r="M42" s="6" t="s">
        <v>21</v>
      </c>
      <c r="N42" s="8" t="s">
        <v>27</v>
      </c>
      <c r="O42" s="8" t="s">
        <v>38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2.25" customHeight="1" thickBot="1">
      <c r="A43" s="3">
        <v>39</v>
      </c>
      <c r="B43" s="3" t="s">
        <v>17</v>
      </c>
      <c r="C43" s="4" t="s">
        <v>302</v>
      </c>
      <c r="D43" s="4" t="s">
        <v>303</v>
      </c>
      <c r="E43" s="4" t="s">
        <v>190</v>
      </c>
      <c r="F43" s="3" t="s">
        <v>31</v>
      </c>
      <c r="G43" s="5" t="s">
        <v>304</v>
      </c>
      <c r="H43" s="19" t="s">
        <v>1273</v>
      </c>
      <c r="I43" s="4" t="s">
        <v>305</v>
      </c>
      <c r="J43" s="4" t="s">
        <v>306</v>
      </c>
      <c r="K43" s="4" t="s">
        <v>307</v>
      </c>
      <c r="L43" s="4" t="s">
        <v>308</v>
      </c>
      <c r="M43" s="10" t="s">
        <v>37</v>
      </c>
      <c r="N43" s="4" t="s">
        <v>27</v>
      </c>
      <c r="O43" s="4" t="s">
        <v>247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2.25" customHeight="1" thickBot="1">
      <c r="A44" s="7">
        <v>40</v>
      </c>
      <c r="B44" s="7" t="s">
        <v>17</v>
      </c>
      <c r="C44" s="8" t="s">
        <v>309</v>
      </c>
      <c r="D44" s="8" t="s">
        <v>310</v>
      </c>
      <c r="E44" s="8" t="s">
        <v>190</v>
      </c>
      <c r="F44" s="7" t="s">
        <v>31</v>
      </c>
      <c r="G44" s="9" t="s">
        <v>311</v>
      </c>
      <c r="H44" s="19" t="s">
        <v>1274</v>
      </c>
      <c r="I44" s="8" t="s">
        <v>312</v>
      </c>
      <c r="J44" s="8" t="s">
        <v>313</v>
      </c>
      <c r="K44" s="8" t="s">
        <v>314</v>
      </c>
      <c r="L44" s="8" t="s">
        <v>315</v>
      </c>
      <c r="M44" s="10" t="s">
        <v>37</v>
      </c>
      <c r="N44" s="8" t="s">
        <v>27</v>
      </c>
      <c r="O44" s="8" t="s">
        <v>253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2.25" customHeight="1" thickBot="1">
      <c r="A45" s="3">
        <v>41</v>
      </c>
      <c r="B45" s="3" t="s">
        <v>17</v>
      </c>
      <c r="C45" s="4" t="s">
        <v>316</v>
      </c>
      <c r="D45" s="4" t="s">
        <v>317</v>
      </c>
      <c r="E45" s="4" t="s">
        <v>190</v>
      </c>
      <c r="F45" s="3" t="s">
        <v>21</v>
      </c>
      <c r="G45" s="5" t="s">
        <v>318</v>
      </c>
      <c r="H45" s="19" t="s">
        <v>1275</v>
      </c>
      <c r="I45" s="4" t="s">
        <v>319</v>
      </c>
      <c r="J45" s="4" t="s">
        <v>320</v>
      </c>
      <c r="K45" s="4" t="s">
        <v>321</v>
      </c>
      <c r="L45" s="4" t="s">
        <v>322</v>
      </c>
      <c r="M45" s="10" t="s">
        <v>37</v>
      </c>
      <c r="N45" s="4" t="s">
        <v>27</v>
      </c>
      <c r="O45" s="4" t="s">
        <v>323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2.25" customHeight="1" thickBot="1">
      <c r="A46" s="7">
        <v>42</v>
      </c>
      <c r="B46" s="7" t="s">
        <v>17</v>
      </c>
      <c r="C46" s="8" t="s">
        <v>324</v>
      </c>
      <c r="D46" s="8" t="s">
        <v>325</v>
      </c>
      <c r="E46" s="8" t="s">
        <v>190</v>
      </c>
      <c r="F46" s="7" t="s">
        <v>31</v>
      </c>
      <c r="G46" s="9" t="s">
        <v>326</v>
      </c>
      <c r="H46" s="19" t="s">
        <v>1276</v>
      </c>
      <c r="I46" s="8" t="s">
        <v>327</v>
      </c>
      <c r="J46" s="8" t="s">
        <v>328</v>
      </c>
      <c r="K46" s="8" t="s">
        <v>329</v>
      </c>
      <c r="L46" s="8" t="s">
        <v>330</v>
      </c>
      <c r="M46" s="10" t="s">
        <v>37</v>
      </c>
      <c r="N46" s="8" t="s">
        <v>27</v>
      </c>
      <c r="O46" s="8" t="s">
        <v>331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2.25" customHeight="1" thickBot="1">
      <c r="A47" s="3">
        <v>43</v>
      </c>
      <c r="B47" s="3" t="s">
        <v>17</v>
      </c>
      <c r="C47" s="4" t="s">
        <v>332</v>
      </c>
      <c r="D47" s="4" t="s">
        <v>333</v>
      </c>
      <c r="E47" s="4" t="s">
        <v>190</v>
      </c>
      <c r="F47" s="3" t="s">
        <v>57</v>
      </c>
      <c r="G47" s="5" t="s">
        <v>334</v>
      </c>
      <c r="H47" s="19" t="s">
        <v>1277</v>
      </c>
      <c r="I47" s="4" t="s">
        <v>335</v>
      </c>
      <c r="J47" s="4" t="s">
        <v>336</v>
      </c>
      <c r="K47" s="4" t="s">
        <v>337</v>
      </c>
      <c r="L47" s="4" t="s">
        <v>338</v>
      </c>
      <c r="M47" s="6" t="s">
        <v>21</v>
      </c>
      <c r="N47" s="4" t="s">
        <v>27</v>
      </c>
      <c r="O47" s="4" t="s">
        <v>339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2.25" customHeight="1" thickBot="1">
      <c r="A48" s="7">
        <v>44</v>
      </c>
      <c r="B48" s="7" t="s">
        <v>17</v>
      </c>
      <c r="C48" s="8" t="s">
        <v>340</v>
      </c>
      <c r="D48" s="8" t="s">
        <v>341</v>
      </c>
      <c r="E48" s="8" t="s">
        <v>342</v>
      </c>
      <c r="F48" s="7" t="s">
        <v>343</v>
      </c>
      <c r="G48" s="9" t="s">
        <v>344</v>
      </c>
      <c r="H48" s="19" t="s">
        <v>1278</v>
      </c>
      <c r="I48" s="8" t="s">
        <v>345</v>
      </c>
      <c r="J48" s="8" t="s">
        <v>346</v>
      </c>
      <c r="K48" s="8" t="s">
        <v>347</v>
      </c>
      <c r="L48" s="8" t="s">
        <v>348</v>
      </c>
      <c r="M48" s="10" t="s">
        <v>37</v>
      </c>
      <c r="N48" s="8" t="s">
        <v>27</v>
      </c>
      <c r="O48" s="8" t="s">
        <v>349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1.75" customHeight="1" thickBot="1">
      <c r="A49" s="3">
        <v>45</v>
      </c>
      <c r="B49" s="3" t="s">
        <v>17</v>
      </c>
      <c r="C49" s="4" t="s">
        <v>350</v>
      </c>
      <c r="D49" s="4" t="s">
        <v>333</v>
      </c>
      <c r="E49" s="4" t="s">
        <v>342</v>
      </c>
      <c r="F49" s="3" t="s">
        <v>21</v>
      </c>
      <c r="G49" s="4" t="s">
        <v>351</v>
      </c>
      <c r="H49" s="19" t="s">
        <v>1279</v>
      </c>
      <c r="I49" s="4" t="s">
        <v>74</v>
      </c>
      <c r="J49" s="4" t="s">
        <v>352</v>
      </c>
      <c r="K49" s="4" t="s">
        <v>353</v>
      </c>
      <c r="L49" s="4" t="s">
        <v>354</v>
      </c>
      <c r="M49" s="10" t="s">
        <v>37</v>
      </c>
      <c r="N49" s="4" t="s">
        <v>78</v>
      </c>
      <c r="O49" s="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1.75" customHeight="1" thickBot="1">
      <c r="A50" s="7">
        <v>46</v>
      </c>
      <c r="B50" s="7" t="s">
        <v>17</v>
      </c>
      <c r="C50" s="8" t="s">
        <v>355</v>
      </c>
      <c r="D50" s="8" t="s">
        <v>356</v>
      </c>
      <c r="E50" s="8" t="s">
        <v>342</v>
      </c>
      <c r="F50" s="7" t="s">
        <v>21</v>
      </c>
      <c r="G50" s="9" t="s">
        <v>357</v>
      </c>
      <c r="H50" s="19" t="s">
        <v>1280</v>
      </c>
      <c r="I50" s="8" t="s">
        <v>74</v>
      </c>
      <c r="J50" s="8" t="s">
        <v>358</v>
      </c>
      <c r="K50" s="8" t="s">
        <v>359</v>
      </c>
      <c r="L50" s="8" t="s">
        <v>360</v>
      </c>
      <c r="M50" s="6" t="s">
        <v>21</v>
      </c>
      <c r="N50" s="8" t="s">
        <v>78</v>
      </c>
      <c r="O50" s="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1.75" customHeight="1" thickBot="1">
      <c r="A51" s="3">
        <v>47</v>
      </c>
      <c r="B51" s="3" t="s">
        <v>17</v>
      </c>
      <c r="C51" s="4" t="s">
        <v>361</v>
      </c>
      <c r="D51" s="4" t="s">
        <v>242</v>
      </c>
      <c r="E51" s="4" t="s">
        <v>342</v>
      </c>
      <c r="F51" s="3" t="s">
        <v>21</v>
      </c>
      <c r="G51" s="5" t="s">
        <v>362</v>
      </c>
      <c r="H51" s="19" t="s">
        <v>1281</v>
      </c>
      <c r="I51" s="4" t="s">
        <v>74</v>
      </c>
      <c r="J51" s="4" t="s">
        <v>363</v>
      </c>
      <c r="K51" s="4" t="s">
        <v>364</v>
      </c>
      <c r="L51" s="4" t="s">
        <v>365</v>
      </c>
      <c r="M51" s="10" t="s">
        <v>37</v>
      </c>
      <c r="N51" s="4" t="s">
        <v>78</v>
      </c>
      <c r="O51" s="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1.75" customHeight="1" thickBot="1">
      <c r="A52" s="7">
        <v>48</v>
      </c>
      <c r="B52" s="7" t="s">
        <v>17</v>
      </c>
      <c r="C52" s="8" t="s">
        <v>366</v>
      </c>
      <c r="D52" s="8" t="s">
        <v>367</v>
      </c>
      <c r="E52" s="8" t="s">
        <v>342</v>
      </c>
      <c r="F52" s="7" t="s">
        <v>21</v>
      </c>
      <c r="G52" s="9" t="s">
        <v>368</v>
      </c>
      <c r="H52" s="19" t="s">
        <v>1282</v>
      </c>
      <c r="I52" s="8" t="s">
        <v>74</v>
      </c>
      <c r="J52" s="8" t="s">
        <v>369</v>
      </c>
      <c r="K52" s="8" t="s">
        <v>370</v>
      </c>
      <c r="L52" s="8" t="s">
        <v>371</v>
      </c>
      <c r="M52" s="6" t="s">
        <v>21</v>
      </c>
      <c r="N52" s="8" t="s">
        <v>78</v>
      </c>
      <c r="O52" s="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1.75" customHeight="1" thickBot="1">
      <c r="A53" s="3">
        <v>49</v>
      </c>
      <c r="B53" s="3" t="s">
        <v>17</v>
      </c>
      <c r="C53" s="4" t="s">
        <v>372</v>
      </c>
      <c r="D53" s="4" t="s">
        <v>373</v>
      </c>
      <c r="E53" s="4" t="s">
        <v>342</v>
      </c>
      <c r="F53" s="3" t="s">
        <v>21</v>
      </c>
      <c r="G53" s="4" t="s">
        <v>374</v>
      </c>
      <c r="H53" s="19" t="s">
        <v>1283</v>
      </c>
      <c r="I53" s="4" t="s">
        <v>74</v>
      </c>
      <c r="J53" s="4" t="s">
        <v>375</v>
      </c>
      <c r="K53" s="4" t="s">
        <v>376</v>
      </c>
      <c r="L53" s="4" t="s">
        <v>377</v>
      </c>
      <c r="M53" s="10" t="s">
        <v>37</v>
      </c>
      <c r="N53" s="4" t="s">
        <v>78</v>
      </c>
      <c r="O53" s="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1.75" customHeight="1" thickBot="1">
      <c r="A54" s="7">
        <v>50</v>
      </c>
      <c r="B54" s="7" t="s">
        <v>17</v>
      </c>
      <c r="C54" s="8" t="s">
        <v>378</v>
      </c>
      <c r="D54" s="8" t="s">
        <v>379</v>
      </c>
      <c r="E54" s="8" t="s">
        <v>342</v>
      </c>
      <c r="F54" s="7" t="s">
        <v>31</v>
      </c>
      <c r="G54" s="8" t="s">
        <v>374</v>
      </c>
      <c r="H54" s="19" t="s">
        <v>1284</v>
      </c>
      <c r="I54" s="8" t="s">
        <v>74</v>
      </c>
      <c r="J54" s="8" t="s">
        <v>380</v>
      </c>
      <c r="K54" s="8" t="s">
        <v>381</v>
      </c>
      <c r="L54" s="8" t="s">
        <v>382</v>
      </c>
      <c r="M54" s="6" t="s">
        <v>21</v>
      </c>
      <c r="N54" s="8" t="s">
        <v>78</v>
      </c>
      <c r="O54" s="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2.25" customHeight="1" thickBot="1">
      <c r="A55" s="3">
        <v>51</v>
      </c>
      <c r="B55" s="3" t="s">
        <v>17</v>
      </c>
      <c r="C55" s="4" t="s">
        <v>383</v>
      </c>
      <c r="D55" s="4" t="s">
        <v>384</v>
      </c>
      <c r="E55" s="4" t="s">
        <v>342</v>
      </c>
      <c r="F55" s="3" t="s">
        <v>31</v>
      </c>
      <c r="G55" s="5" t="s">
        <v>385</v>
      </c>
      <c r="H55" s="19" t="s">
        <v>1285</v>
      </c>
      <c r="I55" s="4" t="s">
        <v>386</v>
      </c>
      <c r="J55" s="4" t="s">
        <v>387</v>
      </c>
      <c r="K55" s="4" t="s">
        <v>388</v>
      </c>
      <c r="L55" s="4" t="s">
        <v>389</v>
      </c>
      <c r="M55" s="10" t="s">
        <v>37</v>
      </c>
      <c r="N55" s="4" t="s">
        <v>78</v>
      </c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32.25" customHeight="1" thickBot="1">
      <c r="A56" s="7">
        <v>52</v>
      </c>
      <c r="B56" s="7" t="s">
        <v>17</v>
      </c>
      <c r="C56" s="8" t="s">
        <v>390</v>
      </c>
      <c r="D56" s="8" t="s">
        <v>384</v>
      </c>
      <c r="E56" s="8" t="s">
        <v>342</v>
      </c>
      <c r="F56" s="7" t="s">
        <v>31</v>
      </c>
      <c r="G56" s="9" t="s">
        <v>385</v>
      </c>
      <c r="H56" s="19" t="s">
        <v>1286</v>
      </c>
      <c r="I56" s="8" t="s">
        <v>386</v>
      </c>
      <c r="J56" s="8" t="s">
        <v>391</v>
      </c>
      <c r="K56" s="8" t="s">
        <v>392</v>
      </c>
      <c r="L56" s="8" t="s">
        <v>393</v>
      </c>
      <c r="M56" s="10" t="s">
        <v>37</v>
      </c>
      <c r="N56" s="8" t="s">
        <v>78</v>
      </c>
      <c r="O56" s="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1.75" customHeight="1" thickBot="1">
      <c r="A57" s="3">
        <v>53</v>
      </c>
      <c r="B57" s="3" t="s">
        <v>17</v>
      </c>
      <c r="C57" s="4" t="s">
        <v>394</v>
      </c>
      <c r="D57" s="4" t="s">
        <v>395</v>
      </c>
      <c r="E57" s="4" t="s">
        <v>342</v>
      </c>
      <c r="F57" s="3" t="s">
        <v>21</v>
      </c>
      <c r="G57" s="5" t="s">
        <v>396</v>
      </c>
      <c r="H57" s="19" t="s">
        <v>1287</v>
      </c>
      <c r="I57" s="4" t="s">
        <v>74</v>
      </c>
      <c r="J57" s="4" t="s">
        <v>397</v>
      </c>
      <c r="K57" s="4" t="s">
        <v>398</v>
      </c>
      <c r="L57" s="4" t="s">
        <v>399</v>
      </c>
      <c r="M57" s="10" t="s">
        <v>37</v>
      </c>
      <c r="N57" s="4" t="s">
        <v>78</v>
      </c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2.25" customHeight="1" thickBot="1">
      <c r="A58" s="7">
        <v>54</v>
      </c>
      <c r="B58" s="7" t="s">
        <v>17</v>
      </c>
      <c r="C58" s="8" t="s">
        <v>400</v>
      </c>
      <c r="D58" s="8" t="s">
        <v>401</v>
      </c>
      <c r="E58" s="8" t="s">
        <v>342</v>
      </c>
      <c r="F58" s="7" t="s">
        <v>57</v>
      </c>
      <c r="G58" s="9" t="s">
        <v>402</v>
      </c>
      <c r="H58" s="19" t="s">
        <v>1288</v>
      </c>
      <c r="I58" s="8" t="s">
        <v>403</v>
      </c>
      <c r="J58" s="8" t="s">
        <v>404</v>
      </c>
      <c r="K58" s="8" t="s">
        <v>405</v>
      </c>
      <c r="L58" s="8" t="s">
        <v>406</v>
      </c>
      <c r="M58" s="6" t="s">
        <v>21</v>
      </c>
      <c r="N58" s="8" t="s">
        <v>27</v>
      </c>
      <c r="O58" s="8" t="s">
        <v>38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1.75" customHeight="1" thickBot="1">
      <c r="A59" s="3">
        <v>55</v>
      </c>
      <c r="B59" s="3" t="s">
        <v>17</v>
      </c>
      <c r="C59" s="4" t="s">
        <v>407</v>
      </c>
      <c r="D59" s="4" t="s">
        <v>408</v>
      </c>
      <c r="E59" s="4" t="s">
        <v>342</v>
      </c>
      <c r="F59" s="3" t="s">
        <v>21</v>
      </c>
      <c r="G59" s="5" t="s">
        <v>409</v>
      </c>
      <c r="H59" s="19" t="s">
        <v>1289</v>
      </c>
      <c r="I59" s="4" t="s">
        <v>74</v>
      </c>
      <c r="J59" s="4" t="s">
        <v>410</v>
      </c>
      <c r="K59" s="4" t="s">
        <v>411</v>
      </c>
      <c r="L59" s="4" t="s">
        <v>412</v>
      </c>
      <c r="M59" s="10" t="s">
        <v>37</v>
      </c>
      <c r="N59" s="4" t="s">
        <v>78</v>
      </c>
      <c r="O59" s="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1.75" customHeight="1" thickBot="1">
      <c r="A60" s="7">
        <v>56</v>
      </c>
      <c r="B60" s="7" t="s">
        <v>17</v>
      </c>
      <c r="C60" s="8" t="s">
        <v>413</v>
      </c>
      <c r="D60" s="8" t="s">
        <v>80</v>
      </c>
      <c r="E60" s="8" t="s">
        <v>342</v>
      </c>
      <c r="F60" s="7" t="s">
        <v>57</v>
      </c>
      <c r="G60" s="9" t="s">
        <v>414</v>
      </c>
      <c r="H60" s="19" t="s">
        <v>1290</v>
      </c>
      <c r="I60" s="8" t="s">
        <v>415</v>
      </c>
      <c r="J60" s="8" t="s">
        <v>416</v>
      </c>
      <c r="K60" s="8" t="s">
        <v>417</v>
      </c>
      <c r="L60" s="8" t="s">
        <v>418</v>
      </c>
      <c r="M60" s="6" t="s">
        <v>21</v>
      </c>
      <c r="N60" s="8" t="s">
        <v>27</v>
      </c>
      <c r="O60" s="8" t="s">
        <v>419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32.25" customHeight="1" thickBot="1">
      <c r="A61" s="3">
        <v>57</v>
      </c>
      <c r="B61" s="3" t="s">
        <v>17</v>
      </c>
      <c r="C61" s="4" t="s">
        <v>420</v>
      </c>
      <c r="D61" s="4" t="s">
        <v>421</v>
      </c>
      <c r="E61" s="4" t="s">
        <v>342</v>
      </c>
      <c r="F61" s="3" t="s">
        <v>31</v>
      </c>
      <c r="G61" s="5" t="s">
        <v>422</v>
      </c>
      <c r="H61" s="19" t="s">
        <v>1291</v>
      </c>
      <c r="I61" s="4" t="s">
        <v>423</v>
      </c>
      <c r="J61" s="4" t="s">
        <v>424</v>
      </c>
      <c r="K61" s="4" t="s">
        <v>425</v>
      </c>
      <c r="L61" s="4" t="s">
        <v>426</v>
      </c>
      <c r="M61" s="10" t="s">
        <v>37</v>
      </c>
      <c r="N61" s="4" t="s">
        <v>78</v>
      </c>
      <c r="O61" s="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32.25" customHeight="1" thickBot="1">
      <c r="A62" s="7">
        <v>58</v>
      </c>
      <c r="B62" s="7" t="s">
        <v>17</v>
      </c>
      <c r="C62" s="8" t="s">
        <v>427</v>
      </c>
      <c r="D62" s="8" t="s">
        <v>421</v>
      </c>
      <c r="E62" s="8" t="s">
        <v>342</v>
      </c>
      <c r="F62" s="7" t="s">
        <v>31</v>
      </c>
      <c r="G62" s="9" t="s">
        <v>422</v>
      </c>
      <c r="H62" s="19" t="s">
        <v>1292</v>
      </c>
      <c r="I62" s="8" t="s">
        <v>423</v>
      </c>
      <c r="J62" s="8" t="s">
        <v>428</v>
      </c>
      <c r="K62" s="8" t="s">
        <v>429</v>
      </c>
      <c r="L62" s="8" t="s">
        <v>430</v>
      </c>
      <c r="M62" s="10" t="s">
        <v>37</v>
      </c>
      <c r="N62" s="8" t="s">
        <v>78</v>
      </c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32.25" customHeight="1" thickBot="1">
      <c r="A63" s="3">
        <v>59</v>
      </c>
      <c r="B63" s="3" t="s">
        <v>17</v>
      </c>
      <c r="C63" s="4" t="s">
        <v>431</v>
      </c>
      <c r="D63" s="4" t="s">
        <v>421</v>
      </c>
      <c r="E63" s="4" t="s">
        <v>342</v>
      </c>
      <c r="F63" s="3" t="s">
        <v>31</v>
      </c>
      <c r="G63" s="5" t="s">
        <v>422</v>
      </c>
      <c r="H63" s="19" t="s">
        <v>1293</v>
      </c>
      <c r="I63" s="4" t="s">
        <v>423</v>
      </c>
      <c r="J63" s="4" t="s">
        <v>432</v>
      </c>
      <c r="K63" s="4" t="s">
        <v>433</v>
      </c>
      <c r="L63" s="4" t="s">
        <v>434</v>
      </c>
      <c r="M63" s="10" t="s">
        <v>37</v>
      </c>
      <c r="N63" s="4" t="s">
        <v>78</v>
      </c>
      <c r="O63" s="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1.75" customHeight="1" thickBot="1">
      <c r="A64" s="7">
        <v>60</v>
      </c>
      <c r="B64" s="7" t="s">
        <v>17</v>
      </c>
      <c r="C64" s="8" t="s">
        <v>435</v>
      </c>
      <c r="D64" s="8" t="s">
        <v>436</v>
      </c>
      <c r="E64" s="8" t="s">
        <v>342</v>
      </c>
      <c r="F64" s="7" t="s">
        <v>21</v>
      </c>
      <c r="G64" s="9" t="s">
        <v>437</v>
      </c>
      <c r="H64" s="19" t="s">
        <v>1294</v>
      </c>
      <c r="I64" s="8" t="s">
        <v>74</v>
      </c>
      <c r="J64" s="8" t="s">
        <v>358</v>
      </c>
      <c r="K64" s="8" t="s">
        <v>438</v>
      </c>
      <c r="L64" s="8" t="s">
        <v>439</v>
      </c>
      <c r="M64" s="10" t="s">
        <v>37</v>
      </c>
      <c r="N64" s="8" t="s">
        <v>78</v>
      </c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1.75" customHeight="1" thickBot="1">
      <c r="A65" s="3">
        <v>61</v>
      </c>
      <c r="B65" s="3" t="s">
        <v>17</v>
      </c>
      <c r="C65" s="4" t="s">
        <v>440</v>
      </c>
      <c r="D65" s="4" t="s">
        <v>19</v>
      </c>
      <c r="E65" s="4" t="s">
        <v>342</v>
      </c>
      <c r="F65" s="3" t="s">
        <v>57</v>
      </c>
      <c r="G65" s="4" t="s">
        <v>441</v>
      </c>
      <c r="H65" s="19" t="s">
        <v>1295</v>
      </c>
      <c r="I65" s="4" t="s">
        <v>442</v>
      </c>
      <c r="J65" s="4" t="s">
        <v>443</v>
      </c>
      <c r="K65" s="4" t="s">
        <v>444</v>
      </c>
      <c r="L65" s="4" t="s">
        <v>445</v>
      </c>
      <c r="M65" s="6" t="s">
        <v>21</v>
      </c>
      <c r="N65" s="4" t="s">
        <v>78</v>
      </c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1.75" customHeight="1" thickBot="1">
      <c r="A66" s="7">
        <v>62</v>
      </c>
      <c r="B66" s="7" t="s">
        <v>17</v>
      </c>
      <c r="C66" s="8" t="s">
        <v>446</v>
      </c>
      <c r="D66" s="8" t="s">
        <v>447</v>
      </c>
      <c r="E66" s="8" t="s">
        <v>342</v>
      </c>
      <c r="F66" s="7" t="s">
        <v>21</v>
      </c>
      <c r="G66" s="9" t="s">
        <v>448</v>
      </c>
      <c r="H66" s="19" t="s">
        <v>1296</v>
      </c>
      <c r="I66" s="8" t="s">
        <v>74</v>
      </c>
      <c r="J66" s="8" t="s">
        <v>380</v>
      </c>
      <c r="K66" s="8" t="s">
        <v>449</v>
      </c>
      <c r="L66" s="8" t="s">
        <v>450</v>
      </c>
      <c r="M66" s="10" t="s">
        <v>37</v>
      </c>
      <c r="N66" s="8" t="s">
        <v>78</v>
      </c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32.25" customHeight="1" thickBot="1">
      <c r="A67" s="3">
        <v>63</v>
      </c>
      <c r="B67" s="3" t="s">
        <v>17</v>
      </c>
      <c r="C67" s="4" t="s">
        <v>451</v>
      </c>
      <c r="D67" s="4" t="s">
        <v>452</v>
      </c>
      <c r="E67" s="4" t="s">
        <v>453</v>
      </c>
      <c r="F67" s="3" t="s">
        <v>21</v>
      </c>
      <c r="G67" s="5" t="s">
        <v>454</v>
      </c>
      <c r="H67" s="19" t="s">
        <v>1297</v>
      </c>
      <c r="I67" s="4" t="s">
        <v>455</v>
      </c>
      <c r="J67" s="4" t="s">
        <v>456</v>
      </c>
      <c r="K67" s="4" t="s">
        <v>457</v>
      </c>
      <c r="L67" s="4" t="s">
        <v>458</v>
      </c>
      <c r="M67" s="10" t="s">
        <v>37</v>
      </c>
      <c r="N67" s="4" t="s">
        <v>78</v>
      </c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32.25" customHeight="1" thickBot="1">
      <c r="A68" s="7">
        <v>64</v>
      </c>
      <c r="B68" s="7" t="s">
        <v>17</v>
      </c>
      <c r="C68" s="8" t="s">
        <v>459</v>
      </c>
      <c r="D68" s="8" t="s">
        <v>317</v>
      </c>
      <c r="E68" s="8" t="s">
        <v>453</v>
      </c>
      <c r="F68" s="7" t="s">
        <v>21</v>
      </c>
      <c r="G68" s="9" t="s">
        <v>454</v>
      </c>
      <c r="H68" s="19" t="s">
        <v>1298</v>
      </c>
      <c r="I68" s="8" t="s">
        <v>460</v>
      </c>
      <c r="J68" s="8" t="s">
        <v>461</v>
      </c>
      <c r="K68" s="8" t="s">
        <v>462</v>
      </c>
      <c r="L68" s="8" t="s">
        <v>463</v>
      </c>
      <c r="M68" s="10" t="s">
        <v>37</v>
      </c>
      <c r="N68" s="8" t="s">
        <v>78</v>
      </c>
      <c r="O68" s="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32.25" customHeight="1" thickBot="1">
      <c r="A69" s="3">
        <v>65</v>
      </c>
      <c r="B69" s="3" t="s">
        <v>17</v>
      </c>
      <c r="C69" s="4" t="s">
        <v>464</v>
      </c>
      <c r="D69" s="4" t="s">
        <v>48</v>
      </c>
      <c r="E69" s="4" t="s">
        <v>453</v>
      </c>
      <c r="F69" s="3" t="s">
        <v>21</v>
      </c>
      <c r="G69" s="5" t="s">
        <v>454</v>
      </c>
      <c r="H69" s="19" t="s">
        <v>1299</v>
      </c>
      <c r="I69" s="4" t="s">
        <v>465</v>
      </c>
      <c r="J69" s="4" t="s">
        <v>466</v>
      </c>
      <c r="K69" s="4" t="s">
        <v>467</v>
      </c>
      <c r="L69" s="4" t="s">
        <v>468</v>
      </c>
      <c r="M69" s="10" t="s">
        <v>37</v>
      </c>
      <c r="N69" s="4" t="s">
        <v>78</v>
      </c>
      <c r="O69" s="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32.25" customHeight="1" thickBot="1">
      <c r="A70" s="7">
        <v>66</v>
      </c>
      <c r="B70" s="7" t="s">
        <v>17</v>
      </c>
      <c r="C70" s="8" t="s">
        <v>469</v>
      </c>
      <c r="D70" s="8" t="s">
        <v>384</v>
      </c>
      <c r="E70" s="8" t="s">
        <v>453</v>
      </c>
      <c r="F70" s="7" t="s">
        <v>31</v>
      </c>
      <c r="G70" s="9" t="s">
        <v>385</v>
      </c>
      <c r="H70" s="19" t="s">
        <v>1300</v>
      </c>
      <c r="I70" s="8" t="s">
        <v>74</v>
      </c>
      <c r="J70" s="8" t="s">
        <v>470</v>
      </c>
      <c r="K70" s="8" t="s">
        <v>471</v>
      </c>
      <c r="L70" s="8" t="s">
        <v>472</v>
      </c>
      <c r="M70" s="10" t="s">
        <v>37</v>
      </c>
      <c r="N70" s="8" t="s">
        <v>78</v>
      </c>
      <c r="O70" s="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32.25" customHeight="1" thickBot="1">
      <c r="A71" s="3">
        <v>67</v>
      </c>
      <c r="B71" s="3" t="s">
        <v>17</v>
      </c>
      <c r="C71" s="4" t="s">
        <v>473</v>
      </c>
      <c r="D71" s="4" t="s">
        <v>56</v>
      </c>
      <c r="E71" s="4" t="s">
        <v>453</v>
      </c>
      <c r="F71" s="3" t="s">
        <v>31</v>
      </c>
      <c r="G71" s="5" t="s">
        <v>474</v>
      </c>
      <c r="H71" s="19" t="s">
        <v>1301</v>
      </c>
      <c r="I71" s="4" t="s">
        <v>74</v>
      </c>
      <c r="J71" s="4" t="s">
        <v>475</v>
      </c>
      <c r="K71" s="4" t="s">
        <v>476</v>
      </c>
      <c r="L71" s="4" t="s">
        <v>477</v>
      </c>
      <c r="M71" s="10" t="s">
        <v>37</v>
      </c>
      <c r="N71" s="4" t="s">
        <v>78</v>
      </c>
      <c r="O71" s="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32.25" customHeight="1" thickBot="1">
      <c r="A72" s="7">
        <v>68</v>
      </c>
      <c r="B72" s="7" t="s">
        <v>17</v>
      </c>
      <c r="C72" s="8" t="s">
        <v>478</v>
      </c>
      <c r="D72" s="8" t="s">
        <v>119</v>
      </c>
      <c r="E72" s="8" t="s">
        <v>453</v>
      </c>
      <c r="F72" s="7" t="s">
        <v>31</v>
      </c>
      <c r="G72" s="9" t="s">
        <v>479</v>
      </c>
      <c r="H72" s="19" t="s">
        <v>1302</v>
      </c>
      <c r="I72" s="8" t="s">
        <v>480</v>
      </c>
      <c r="J72" s="8" t="s">
        <v>481</v>
      </c>
      <c r="K72" s="8" t="s">
        <v>482</v>
      </c>
      <c r="L72" s="8" t="s">
        <v>483</v>
      </c>
      <c r="M72" s="10" t="s">
        <v>37</v>
      </c>
      <c r="N72" s="8" t="s">
        <v>27</v>
      </c>
      <c r="O72" s="8" t="s">
        <v>484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32.25" customHeight="1" thickBot="1">
      <c r="A73" s="3">
        <v>69</v>
      </c>
      <c r="B73" s="3" t="s">
        <v>17</v>
      </c>
      <c r="C73" s="4" t="s">
        <v>485</v>
      </c>
      <c r="D73" s="4" t="s">
        <v>119</v>
      </c>
      <c r="E73" s="4" t="s">
        <v>453</v>
      </c>
      <c r="F73" s="3" t="s">
        <v>31</v>
      </c>
      <c r="G73" s="5" t="s">
        <v>479</v>
      </c>
      <c r="H73" s="19" t="s">
        <v>1303</v>
      </c>
      <c r="I73" s="4" t="s">
        <v>486</v>
      </c>
      <c r="J73" s="4" t="s">
        <v>487</v>
      </c>
      <c r="K73" s="4" t="s">
        <v>488</v>
      </c>
      <c r="L73" s="4" t="s">
        <v>489</v>
      </c>
      <c r="M73" s="10" t="s">
        <v>37</v>
      </c>
      <c r="N73" s="4" t="s">
        <v>27</v>
      </c>
      <c r="O73" s="4" t="s">
        <v>484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2.25" customHeight="1" thickBot="1">
      <c r="A74" s="7">
        <v>70</v>
      </c>
      <c r="B74" s="7" t="s">
        <v>17</v>
      </c>
      <c r="C74" s="8" t="s">
        <v>490</v>
      </c>
      <c r="D74" s="8" t="s">
        <v>367</v>
      </c>
      <c r="E74" s="8" t="s">
        <v>453</v>
      </c>
      <c r="F74" s="7" t="s">
        <v>31</v>
      </c>
      <c r="G74" s="9" t="s">
        <v>491</v>
      </c>
      <c r="H74" s="19" t="s">
        <v>1304</v>
      </c>
      <c r="I74" s="8" t="s">
        <v>492</v>
      </c>
      <c r="J74" s="8" t="s">
        <v>493</v>
      </c>
      <c r="K74" s="8" t="s">
        <v>494</v>
      </c>
      <c r="L74" s="8" t="s">
        <v>495</v>
      </c>
      <c r="M74" s="10" t="s">
        <v>37</v>
      </c>
      <c r="N74" s="8" t="s">
        <v>78</v>
      </c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32.25" customHeight="1" thickBot="1">
      <c r="A75" s="3">
        <v>71</v>
      </c>
      <c r="B75" s="3" t="s">
        <v>17</v>
      </c>
      <c r="C75" s="4" t="s">
        <v>496</v>
      </c>
      <c r="D75" s="4" t="s">
        <v>19</v>
      </c>
      <c r="E75" s="4" t="s">
        <v>453</v>
      </c>
      <c r="F75" s="3" t="s">
        <v>31</v>
      </c>
      <c r="G75" s="5" t="s">
        <v>497</v>
      </c>
      <c r="H75" s="19" t="s">
        <v>1305</v>
      </c>
      <c r="I75" s="4" t="s">
        <v>498</v>
      </c>
      <c r="J75" s="4" t="s">
        <v>499</v>
      </c>
      <c r="K75" s="4" t="s">
        <v>500</v>
      </c>
      <c r="L75" s="4" t="s">
        <v>501</v>
      </c>
      <c r="M75" s="6" t="s">
        <v>21</v>
      </c>
      <c r="N75" s="4" t="s">
        <v>27</v>
      </c>
      <c r="O75" s="4" t="s">
        <v>502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32.25" customHeight="1" thickBot="1">
      <c r="A76" s="7">
        <v>72</v>
      </c>
      <c r="B76" s="7" t="s">
        <v>17</v>
      </c>
      <c r="C76" s="8" t="s">
        <v>503</v>
      </c>
      <c r="D76" s="8" t="s">
        <v>30</v>
      </c>
      <c r="E76" s="8" t="s">
        <v>453</v>
      </c>
      <c r="F76" s="7" t="s">
        <v>31</v>
      </c>
      <c r="G76" s="9" t="s">
        <v>504</v>
      </c>
      <c r="H76" s="19" t="s">
        <v>1306</v>
      </c>
      <c r="I76" s="8" t="s">
        <v>74</v>
      </c>
      <c r="J76" s="8" t="s">
        <v>505</v>
      </c>
      <c r="K76" s="8" t="s">
        <v>506</v>
      </c>
      <c r="L76" s="8" t="s">
        <v>507</v>
      </c>
      <c r="M76" s="10" t="s">
        <v>37</v>
      </c>
      <c r="N76" s="8" t="s">
        <v>78</v>
      </c>
      <c r="O76" s="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32.25" customHeight="1" thickBot="1">
      <c r="A77" s="3">
        <v>73</v>
      </c>
      <c r="B77" s="3" t="s">
        <v>17</v>
      </c>
      <c r="C77" s="4" t="s">
        <v>508</v>
      </c>
      <c r="D77" s="4" t="s">
        <v>509</v>
      </c>
      <c r="E77" s="4" t="s">
        <v>453</v>
      </c>
      <c r="F77" s="3" t="s">
        <v>21</v>
      </c>
      <c r="G77" s="5" t="s">
        <v>454</v>
      </c>
      <c r="H77" s="19" t="s">
        <v>1307</v>
      </c>
      <c r="I77" s="4" t="s">
        <v>510</v>
      </c>
      <c r="J77" s="4" t="s">
        <v>511</v>
      </c>
      <c r="K77" s="4" t="s">
        <v>512</v>
      </c>
      <c r="L77" s="4" t="s">
        <v>513</v>
      </c>
      <c r="M77" s="10" t="s">
        <v>37</v>
      </c>
      <c r="N77" s="4" t="s">
        <v>78</v>
      </c>
      <c r="O77" s="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32.25" customHeight="1" thickBot="1">
      <c r="A78" s="7">
        <v>74</v>
      </c>
      <c r="B78" s="7" t="s">
        <v>17</v>
      </c>
      <c r="C78" s="8" t="s">
        <v>514</v>
      </c>
      <c r="D78" s="8" t="s">
        <v>310</v>
      </c>
      <c r="E78" s="8" t="s">
        <v>453</v>
      </c>
      <c r="F78" s="7" t="s">
        <v>21</v>
      </c>
      <c r="G78" s="9" t="s">
        <v>454</v>
      </c>
      <c r="H78" s="19" t="s">
        <v>1308</v>
      </c>
      <c r="I78" s="8" t="s">
        <v>515</v>
      </c>
      <c r="J78" s="8" t="s">
        <v>516</v>
      </c>
      <c r="K78" s="8" t="s">
        <v>517</v>
      </c>
      <c r="L78" s="8" t="s">
        <v>518</v>
      </c>
      <c r="M78" s="10" t="s">
        <v>37</v>
      </c>
      <c r="N78" s="8" t="s">
        <v>78</v>
      </c>
      <c r="O78" s="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32.25" customHeight="1" thickBot="1">
      <c r="A79" s="3">
        <v>75</v>
      </c>
      <c r="B79" s="3" t="s">
        <v>17</v>
      </c>
      <c r="C79" s="4" t="s">
        <v>519</v>
      </c>
      <c r="D79" s="4" t="s">
        <v>80</v>
      </c>
      <c r="E79" s="4" t="s">
        <v>453</v>
      </c>
      <c r="F79" s="3" t="s">
        <v>21</v>
      </c>
      <c r="G79" s="5" t="s">
        <v>454</v>
      </c>
      <c r="H79" s="19" t="s">
        <v>1309</v>
      </c>
      <c r="I79" s="4" t="s">
        <v>520</v>
      </c>
      <c r="J79" s="4" t="s">
        <v>521</v>
      </c>
      <c r="K79" s="4" t="s">
        <v>522</v>
      </c>
      <c r="L79" s="4" t="s">
        <v>523</v>
      </c>
      <c r="M79" s="10" t="s">
        <v>37</v>
      </c>
      <c r="N79" s="4" t="s">
        <v>78</v>
      </c>
      <c r="O79" s="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32.25" customHeight="1" thickBot="1">
      <c r="A80" s="7">
        <v>76</v>
      </c>
      <c r="B80" s="7" t="s">
        <v>17</v>
      </c>
      <c r="C80" s="8" t="s">
        <v>524</v>
      </c>
      <c r="D80" s="8" t="s">
        <v>525</v>
      </c>
      <c r="E80" s="8" t="s">
        <v>453</v>
      </c>
      <c r="F80" s="7" t="s">
        <v>31</v>
      </c>
      <c r="G80" s="9" t="s">
        <v>526</v>
      </c>
      <c r="H80" s="19" t="s">
        <v>1310</v>
      </c>
      <c r="I80" s="8" t="s">
        <v>74</v>
      </c>
      <c r="J80" s="8" t="s">
        <v>527</v>
      </c>
      <c r="K80" s="8" t="s">
        <v>528</v>
      </c>
      <c r="L80" s="8" t="s">
        <v>529</v>
      </c>
      <c r="M80" s="10" t="s">
        <v>37</v>
      </c>
      <c r="N80" s="8" t="s">
        <v>530</v>
      </c>
      <c r="O80" s="8" t="s">
        <v>531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32.25" customHeight="1" thickBot="1">
      <c r="A81" s="3">
        <v>77</v>
      </c>
      <c r="B81" s="3" t="s">
        <v>17</v>
      </c>
      <c r="C81" s="4" t="s">
        <v>532</v>
      </c>
      <c r="D81" s="4" t="s">
        <v>533</v>
      </c>
      <c r="E81" s="4" t="s">
        <v>453</v>
      </c>
      <c r="F81" s="3" t="s">
        <v>31</v>
      </c>
      <c r="G81" s="5" t="s">
        <v>534</v>
      </c>
      <c r="H81" s="19" t="s">
        <v>1311</v>
      </c>
      <c r="I81" s="4" t="s">
        <v>74</v>
      </c>
      <c r="J81" s="4" t="s">
        <v>535</v>
      </c>
      <c r="K81" s="4" t="s">
        <v>536</v>
      </c>
      <c r="L81" s="4" t="s">
        <v>537</v>
      </c>
      <c r="M81" s="10" t="s">
        <v>37</v>
      </c>
      <c r="N81" s="4" t="s">
        <v>530</v>
      </c>
      <c r="O81" s="4" t="s">
        <v>538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32.25" customHeight="1" thickBot="1">
      <c r="A82" s="7">
        <v>78</v>
      </c>
      <c r="B82" s="7" t="s">
        <v>17</v>
      </c>
      <c r="C82" s="8" t="s">
        <v>539</v>
      </c>
      <c r="D82" s="8" t="s">
        <v>135</v>
      </c>
      <c r="E82" s="8" t="s">
        <v>453</v>
      </c>
      <c r="F82" s="7" t="s">
        <v>21</v>
      </c>
      <c r="G82" s="9" t="s">
        <v>540</v>
      </c>
      <c r="H82" s="19" t="s">
        <v>1312</v>
      </c>
      <c r="I82" s="8" t="s">
        <v>74</v>
      </c>
      <c r="J82" s="8" t="s">
        <v>541</v>
      </c>
      <c r="K82" s="8" t="s">
        <v>542</v>
      </c>
      <c r="L82" s="8" t="s">
        <v>543</v>
      </c>
      <c r="M82" s="6" t="s">
        <v>21</v>
      </c>
      <c r="N82" s="8" t="s">
        <v>78</v>
      </c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32.25" customHeight="1" thickBot="1">
      <c r="A83" s="3">
        <v>79</v>
      </c>
      <c r="B83" s="3" t="s">
        <v>17</v>
      </c>
      <c r="C83" s="4" t="s">
        <v>544</v>
      </c>
      <c r="D83" s="4" t="s">
        <v>219</v>
      </c>
      <c r="E83" s="4" t="s">
        <v>453</v>
      </c>
      <c r="F83" s="3" t="s">
        <v>31</v>
      </c>
      <c r="G83" s="5" t="s">
        <v>545</v>
      </c>
      <c r="H83" s="19" t="s">
        <v>1313</v>
      </c>
      <c r="I83" s="4" t="s">
        <v>74</v>
      </c>
      <c r="J83" s="4" t="s">
        <v>546</v>
      </c>
      <c r="K83" s="4" t="s">
        <v>547</v>
      </c>
      <c r="L83" s="4" t="s">
        <v>548</v>
      </c>
      <c r="M83" s="10" t="s">
        <v>37</v>
      </c>
      <c r="N83" s="4" t="s">
        <v>78</v>
      </c>
      <c r="O83" s="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32.25" customHeight="1" thickBot="1">
      <c r="A84" s="7">
        <v>80</v>
      </c>
      <c r="B84" s="7" t="s">
        <v>17</v>
      </c>
      <c r="C84" s="8" t="s">
        <v>549</v>
      </c>
      <c r="D84" s="8" t="s">
        <v>333</v>
      </c>
      <c r="E84" s="8" t="s">
        <v>453</v>
      </c>
      <c r="F84" s="7" t="s">
        <v>21</v>
      </c>
      <c r="G84" s="9" t="s">
        <v>454</v>
      </c>
      <c r="H84" s="19" t="s">
        <v>1314</v>
      </c>
      <c r="I84" s="8" t="s">
        <v>550</v>
      </c>
      <c r="J84" s="8" t="s">
        <v>551</v>
      </c>
      <c r="K84" s="8" t="s">
        <v>552</v>
      </c>
      <c r="L84" s="8" t="s">
        <v>553</v>
      </c>
      <c r="M84" s="10" t="s">
        <v>37</v>
      </c>
      <c r="N84" s="8" t="s">
        <v>78</v>
      </c>
      <c r="O84" s="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32.25" customHeight="1" thickBot="1">
      <c r="A85" s="3">
        <v>81</v>
      </c>
      <c r="B85" s="3" t="s">
        <v>554</v>
      </c>
      <c r="C85" s="4" t="s">
        <v>555</v>
      </c>
      <c r="D85" s="4" t="s">
        <v>556</v>
      </c>
      <c r="E85" s="4" t="s">
        <v>557</v>
      </c>
      <c r="F85" s="3" t="s">
        <v>21</v>
      </c>
      <c r="G85" s="5" t="s">
        <v>558</v>
      </c>
      <c r="H85" s="19" t="s">
        <v>1315</v>
      </c>
      <c r="I85" s="4" t="s">
        <v>66</v>
      </c>
      <c r="J85" s="4" t="s">
        <v>559</v>
      </c>
      <c r="K85" s="4" t="s">
        <v>560</v>
      </c>
      <c r="L85" s="4" t="s">
        <v>561</v>
      </c>
      <c r="M85" s="6" t="s">
        <v>21</v>
      </c>
      <c r="N85" s="4" t="s">
        <v>27</v>
      </c>
      <c r="O85" s="4" t="s">
        <v>54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32.25" customHeight="1" thickBot="1">
      <c r="A86" s="7">
        <v>82</v>
      </c>
      <c r="B86" s="7" t="s">
        <v>554</v>
      </c>
      <c r="C86" s="8" t="s">
        <v>562</v>
      </c>
      <c r="D86" s="8" t="s">
        <v>563</v>
      </c>
      <c r="E86" s="8" t="s">
        <v>557</v>
      </c>
      <c r="F86" s="7" t="s">
        <v>31</v>
      </c>
      <c r="G86" s="9" t="s">
        <v>564</v>
      </c>
      <c r="H86" s="19" t="s">
        <v>1316</v>
      </c>
      <c r="I86" s="8" t="s">
        <v>66</v>
      </c>
      <c r="J86" s="8" t="s">
        <v>565</v>
      </c>
      <c r="K86" s="8" t="s">
        <v>566</v>
      </c>
      <c r="L86" s="8" t="s">
        <v>567</v>
      </c>
      <c r="M86" s="10" t="s">
        <v>37</v>
      </c>
      <c r="N86" s="8" t="s">
        <v>27</v>
      </c>
      <c r="O86" s="8" t="s">
        <v>568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32.25" customHeight="1" thickBot="1">
      <c r="A87" s="3">
        <v>83</v>
      </c>
      <c r="B87" s="3" t="s">
        <v>554</v>
      </c>
      <c r="C87" s="4" t="s">
        <v>569</v>
      </c>
      <c r="D87" s="4" t="s">
        <v>570</v>
      </c>
      <c r="E87" s="4" t="s">
        <v>557</v>
      </c>
      <c r="F87" s="3" t="s">
        <v>21</v>
      </c>
      <c r="G87" s="5" t="s">
        <v>571</v>
      </c>
      <c r="H87" s="20" t="s">
        <v>1317</v>
      </c>
      <c r="I87" s="4" t="s">
        <v>66</v>
      </c>
      <c r="J87" s="4" t="s">
        <v>572</v>
      </c>
      <c r="K87" s="4" t="s">
        <v>573</v>
      </c>
      <c r="L87" s="4" t="s">
        <v>574</v>
      </c>
      <c r="M87" s="6" t="s">
        <v>21</v>
      </c>
      <c r="N87" s="4" t="s">
        <v>27</v>
      </c>
      <c r="O87" s="4" t="s">
        <v>28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32.25" customHeight="1" thickBot="1">
      <c r="A88" s="7">
        <v>84</v>
      </c>
      <c r="B88" s="7" t="s">
        <v>554</v>
      </c>
      <c r="C88" s="8" t="s">
        <v>575</v>
      </c>
      <c r="D88" s="8" t="s">
        <v>576</v>
      </c>
      <c r="E88" s="8" t="s">
        <v>557</v>
      </c>
      <c r="F88" s="7" t="s">
        <v>21</v>
      </c>
      <c r="G88" s="9" t="s">
        <v>577</v>
      </c>
      <c r="H88" s="19" t="s">
        <v>1318</v>
      </c>
      <c r="I88" s="8" t="s">
        <v>66</v>
      </c>
      <c r="J88" s="8" t="s">
        <v>578</v>
      </c>
      <c r="K88" s="8" t="s">
        <v>579</v>
      </c>
      <c r="L88" s="8" t="s">
        <v>580</v>
      </c>
      <c r="M88" s="10" t="s">
        <v>37</v>
      </c>
      <c r="N88" s="8" t="s">
        <v>27</v>
      </c>
      <c r="O88" s="8" t="s">
        <v>581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32.25" customHeight="1" thickBot="1">
      <c r="A89" s="3">
        <v>85</v>
      </c>
      <c r="B89" s="3" t="s">
        <v>554</v>
      </c>
      <c r="C89" s="4" t="s">
        <v>582</v>
      </c>
      <c r="D89" s="4" t="s">
        <v>576</v>
      </c>
      <c r="E89" s="4" t="s">
        <v>557</v>
      </c>
      <c r="F89" s="3" t="s">
        <v>57</v>
      </c>
      <c r="G89" s="5" t="s">
        <v>583</v>
      </c>
      <c r="H89" s="19" t="s">
        <v>1319</v>
      </c>
      <c r="I89" s="4" t="s">
        <v>66</v>
      </c>
      <c r="J89" s="4" t="s">
        <v>578</v>
      </c>
      <c r="K89" s="4" t="s">
        <v>584</v>
      </c>
      <c r="L89" s="4" t="s">
        <v>585</v>
      </c>
      <c r="M89" s="11" t="s">
        <v>86</v>
      </c>
      <c r="N89" s="4" t="s">
        <v>27</v>
      </c>
      <c r="O89" s="4" t="s">
        <v>586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32.25" customHeight="1" thickBot="1">
      <c r="A90" s="7">
        <v>86</v>
      </c>
      <c r="B90" s="7" t="s">
        <v>554</v>
      </c>
      <c r="C90" s="8" t="s">
        <v>587</v>
      </c>
      <c r="D90" s="8" t="s">
        <v>588</v>
      </c>
      <c r="E90" s="8" t="s">
        <v>557</v>
      </c>
      <c r="F90" s="7" t="s">
        <v>31</v>
      </c>
      <c r="G90" s="9" t="s">
        <v>589</v>
      </c>
      <c r="H90" s="19" t="s">
        <v>1320</v>
      </c>
      <c r="I90" s="8" t="s">
        <v>590</v>
      </c>
      <c r="J90" s="8" t="s">
        <v>591</v>
      </c>
      <c r="K90" s="8" t="s">
        <v>592</v>
      </c>
      <c r="L90" s="8" t="s">
        <v>593</v>
      </c>
      <c r="M90" s="10" t="s">
        <v>37</v>
      </c>
      <c r="N90" s="8" t="s">
        <v>27</v>
      </c>
      <c r="O90" s="8" t="s">
        <v>594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32.25" customHeight="1" thickBot="1">
      <c r="A91" s="3">
        <v>87</v>
      </c>
      <c r="B91" s="3" t="s">
        <v>554</v>
      </c>
      <c r="C91" s="4" t="s">
        <v>595</v>
      </c>
      <c r="D91" s="4" t="s">
        <v>588</v>
      </c>
      <c r="E91" s="4" t="s">
        <v>557</v>
      </c>
      <c r="F91" s="3" t="s">
        <v>21</v>
      </c>
      <c r="G91" s="5" t="s">
        <v>596</v>
      </c>
      <c r="H91" s="19" t="s">
        <v>1321</v>
      </c>
      <c r="I91" s="4" t="s">
        <v>66</v>
      </c>
      <c r="J91" s="4" t="s">
        <v>597</v>
      </c>
      <c r="K91" s="4" t="s">
        <v>598</v>
      </c>
      <c r="L91" s="4" t="s">
        <v>599</v>
      </c>
      <c r="M91" s="6" t="s">
        <v>21</v>
      </c>
      <c r="N91" s="4" t="s">
        <v>27</v>
      </c>
      <c r="O91" s="4" t="s">
        <v>600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32.25" customHeight="1" thickBot="1">
      <c r="A92" s="7">
        <v>88</v>
      </c>
      <c r="B92" s="7" t="s">
        <v>554</v>
      </c>
      <c r="C92" s="8" t="s">
        <v>601</v>
      </c>
      <c r="D92" s="8" t="s">
        <v>602</v>
      </c>
      <c r="E92" s="8" t="s">
        <v>557</v>
      </c>
      <c r="F92" s="7" t="s">
        <v>21</v>
      </c>
      <c r="G92" s="9" t="s">
        <v>603</v>
      </c>
      <c r="H92" s="19" t="s">
        <v>1322</v>
      </c>
      <c r="I92" s="8" t="s">
        <v>66</v>
      </c>
      <c r="J92" s="8" t="s">
        <v>604</v>
      </c>
      <c r="K92" s="8" t="s">
        <v>605</v>
      </c>
      <c r="L92" s="8" t="s">
        <v>606</v>
      </c>
      <c r="M92" s="6" t="s">
        <v>21</v>
      </c>
      <c r="N92" s="8" t="s">
        <v>27</v>
      </c>
      <c r="O92" s="8" t="s">
        <v>607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32.25" customHeight="1" thickBot="1">
      <c r="A93" s="3">
        <v>89</v>
      </c>
      <c r="B93" s="3" t="s">
        <v>554</v>
      </c>
      <c r="C93" s="12" t="s">
        <v>608</v>
      </c>
      <c r="D93" s="4" t="s">
        <v>609</v>
      </c>
      <c r="E93" s="4" t="s">
        <v>557</v>
      </c>
      <c r="F93" s="3" t="s">
        <v>31</v>
      </c>
      <c r="G93" s="5" t="s">
        <v>610</v>
      </c>
      <c r="H93" s="31" t="s">
        <v>1323</v>
      </c>
      <c r="I93" s="4" t="s">
        <v>611</v>
      </c>
      <c r="J93" s="4" t="s">
        <v>612</v>
      </c>
      <c r="K93" s="4" t="s">
        <v>613</v>
      </c>
      <c r="L93" s="4" t="s">
        <v>614</v>
      </c>
      <c r="M93" s="11" t="s">
        <v>86</v>
      </c>
      <c r="N93" s="4" t="s">
        <v>27</v>
      </c>
      <c r="O93" s="4" t="s">
        <v>615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32.25" customHeight="1" thickBot="1">
      <c r="A94" s="7">
        <v>90</v>
      </c>
      <c r="B94" s="7" t="s">
        <v>554</v>
      </c>
      <c r="C94" s="8" t="s">
        <v>616</v>
      </c>
      <c r="D94" s="8" t="s">
        <v>563</v>
      </c>
      <c r="E94" s="8" t="s">
        <v>557</v>
      </c>
      <c r="F94" s="7" t="s">
        <v>31</v>
      </c>
      <c r="G94" s="9" t="s">
        <v>617</v>
      </c>
      <c r="H94" s="19" t="s">
        <v>1324</v>
      </c>
      <c r="I94" s="8" t="s">
        <v>618</v>
      </c>
      <c r="J94" s="8" t="s">
        <v>414</v>
      </c>
      <c r="K94" s="8" t="s">
        <v>619</v>
      </c>
      <c r="L94" s="8" t="s">
        <v>620</v>
      </c>
      <c r="M94" s="10" t="s">
        <v>37</v>
      </c>
      <c r="N94" s="8" t="s">
        <v>530</v>
      </c>
      <c r="O94" s="8" t="s">
        <v>621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32.25" customHeight="1" thickBot="1">
      <c r="A95" s="3">
        <v>91</v>
      </c>
      <c r="B95" s="3" t="s">
        <v>554</v>
      </c>
      <c r="C95" s="4" t="s">
        <v>622</v>
      </c>
      <c r="D95" s="4" t="s">
        <v>623</v>
      </c>
      <c r="E95" s="4" t="s">
        <v>557</v>
      </c>
      <c r="F95" s="3" t="s">
        <v>21</v>
      </c>
      <c r="G95" s="4" t="s">
        <v>624</v>
      </c>
      <c r="H95" s="19" t="s">
        <v>1325</v>
      </c>
      <c r="I95" s="4" t="s">
        <v>590</v>
      </c>
      <c r="J95" s="4" t="s">
        <v>625</v>
      </c>
      <c r="K95" s="4" t="s">
        <v>626</v>
      </c>
      <c r="L95" s="4" t="s">
        <v>627</v>
      </c>
      <c r="M95" s="10" t="s">
        <v>37</v>
      </c>
      <c r="N95" s="4" t="s">
        <v>27</v>
      </c>
      <c r="O95" s="4" t="s">
        <v>628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32.25" customHeight="1" thickBot="1">
      <c r="A96" s="7">
        <v>92</v>
      </c>
      <c r="B96" s="7" t="s">
        <v>554</v>
      </c>
      <c r="C96" s="8" t="s">
        <v>629</v>
      </c>
      <c r="D96" s="8" t="s">
        <v>630</v>
      </c>
      <c r="E96" s="8" t="s">
        <v>557</v>
      </c>
      <c r="F96" s="7" t="s">
        <v>21</v>
      </c>
      <c r="G96" s="8" t="s">
        <v>631</v>
      </c>
      <c r="H96" s="19" t="s">
        <v>1326</v>
      </c>
      <c r="I96" s="8" t="s">
        <v>632</v>
      </c>
      <c r="J96" s="8" t="s">
        <v>633</v>
      </c>
      <c r="K96" s="8" t="s">
        <v>634</v>
      </c>
      <c r="L96" s="8" t="s">
        <v>635</v>
      </c>
      <c r="M96" s="6" t="s">
        <v>21</v>
      </c>
      <c r="N96" s="8" t="s">
        <v>27</v>
      </c>
      <c r="O96" s="8" t="s">
        <v>636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32.25" customHeight="1" thickBot="1">
      <c r="A97" s="3">
        <v>93</v>
      </c>
      <c r="B97" s="3" t="s">
        <v>554</v>
      </c>
      <c r="C97" s="4" t="s">
        <v>637</v>
      </c>
      <c r="D97" s="4" t="s">
        <v>638</v>
      </c>
      <c r="E97" s="4" t="s">
        <v>557</v>
      </c>
      <c r="F97" s="3" t="s">
        <v>21</v>
      </c>
      <c r="G97" s="5" t="s">
        <v>639</v>
      </c>
      <c r="H97" s="19" t="s">
        <v>1327</v>
      </c>
      <c r="I97" s="4" t="s">
        <v>66</v>
      </c>
      <c r="J97" s="4" t="s">
        <v>640</v>
      </c>
      <c r="K97" s="4" t="s">
        <v>641</v>
      </c>
      <c r="L97" s="4" t="s">
        <v>642</v>
      </c>
      <c r="M97" s="6" t="s">
        <v>21</v>
      </c>
      <c r="N97" s="4" t="s">
        <v>27</v>
      </c>
      <c r="O97" s="4" t="s">
        <v>643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32.25" customHeight="1" thickBot="1">
      <c r="A98" s="7">
        <v>94</v>
      </c>
      <c r="B98" s="7" t="s">
        <v>554</v>
      </c>
      <c r="C98" s="8" t="s">
        <v>644</v>
      </c>
      <c r="D98" s="8" t="s">
        <v>645</v>
      </c>
      <c r="E98" s="8" t="s">
        <v>557</v>
      </c>
      <c r="F98" s="7" t="s">
        <v>21</v>
      </c>
      <c r="G98" s="8" t="s">
        <v>646</v>
      </c>
      <c r="H98" s="19" t="s">
        <v>1328</v>
      </c>
      <c r="I98" s="8" t="s">
        <v>66</v>
      </c>
      <c r="J98" s="8" t="s">
        <v>647</v>
      </c>
      <c r="K98" s="8" t="s">
        <v>648</v>
      </c>
      <c r="L98" s="8" t="s">
        <v>649</v>
      </c>
      <c r="M98" s="6" t="s">
        <v>21</v>
      </c>
      <c r="N98" s="8" t="s">
        <v>27</v>
      </c>
      <c r="O98" s="8" t="s">
        <v>650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32.25" customHeight="1" thickBot="1">
      <c r="A99" s="3">
        <v>95</v>
      </c>
      <c r="B99" s="3" t="s">
        <v>554</v>
      </c>
      <c r="C99" s="4" t="s">
        <v>651</v>
      </c>
      <c r="D99" s="4" t="s">
        <v>652</v>
      </c>
      <c r="E99" s="4" t="s">
        <v>557</v>
      </c>
      <c r="F99" s="3" t="s">
        <v>21</v>
      </c>
      <c r="G99" s="5" t="s">
        <v>653</v>
      </c>
      <c r="H99" s="19" t="s">
        <v>1329</v>
      </c>
      <c r="I99" s="4" t="s">
        <v>590</v>
      </c>
      <c r="J99" s="4" t="s">
        <v>654</v>
      </c>
      <c r="K99" s="4" t="s">
        <v>655</v>
      </c>
      <c r="L99" s="4" t="s">
        <v>656</v>
      </c>
      <c r="M99" s="6" t="s">
        <v>21</v>
      </c>
      <c r="N99" s="4" t="s">
        <v>27</v>
      </c>
      <c r="O99" s="4" t="s">
        <v>657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32.25" customHeight="1" thickBot="1">
      <c r="A100" s="7">
        <v>96</v>
      </c>
      <c r="B100" s="7" t="s">
        <v>554</v>
      </c>
      <c r="C100" s="8" t="s">
        <v>658</v>
      </c>
      <c r="D100" s="8" t="s">
        <v>659</v>
      </c>
      <c r="E100" s="8" t="s">
        <v>557</v>
      </c>
      <c r="F100" s="7" t="s">
        <v>21</v>
      </c>
      <c r="G100" s="9" t="s">
        <v>660</v>
      </c>
      <c r="H100" s="19" t="s">
        <v>1330</v>
      </c>
      <c r="I100" s="8" t="s">
        <v>590</v>
      </c>
      <c r="J100" s="8" t="s">
        <v>661</v>
      </c>
      <c r="K100" s="8" t="s">
        <v>662</v>
      </c>
      <c r="L100" s="8" t="s">
        <v>663</v>
      </c>
      <c r="M100" s="10" t="s">
        <v>37</v>
      </c>
      <c r="N100" s="8" t="s">
        <v>27</v>
      </c>
      <c r="O100" s="8" t="s">
        <v>664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32.25" customHeight="1" thickBot="1">
      <c r="A101" s="3">
        <v>97</v>
      </c>
      <c r="B101" s="3" t="s">
        <v>554</v>
      </c>
      <c r="C101" s="4" t="s">
        <v>665</v>
      </c>
      <c r="D101" s="4" t="s">
        <v>666</v>
      </c>
      <c r="E101" s="4" t="s">
        <v>557</v>
      </c>
      <c r="F101" s="3" t="s">
        <v>21</v>
      </c>
      <c r="G101" s="5" t="s">
        <v>667</v>
      </c>
      <c r="H101" s="19" t="s">
        <v>1331</v>
      </c>
      <c r="I101" s="4" t="s">
        <v>590</v>
      </c>
      <c r="J101" s="4" t="s">
        <v>668</v>
      </c>
      <c r="K101" s="4" t="s">
        <v>669</v>
      </c>
      <c r="L101" s="4" t="s">
        <v>670</v>
      </c>
      <c r="M101" s="6" t="s">
        <v>21</v>
      </c>
      <c r="N101" s="4" t="s">
        <v>27</v>
      </c>
      <c r="O101" s="4" t="s">
        <v>671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32.25" customHeight="1" thickBot="1">
      <c r="A102" s="7">
        <v>98</v>
      </c>
      <c r="B102" s="7" t="s">
        <v>554</v>
      </c>
      <c r="C102" s="8" t="s">
        <v>672</v>
      </c>
      <c r="D102" s="8" t="s">
        <v>666</v>
      </c>
      <c r="E102" s="8" t="s">
        <v>557</v>
      </c>
      <c r="F102" s="7" t="s">
        <v>31</v>
      </c>
      <c r="G102" s="9" t="s">
        <v>673</v>
      </c>
      <c r="H102" s="19" t="s">
        <v>1332</v>
      </c>
      <c r="I102" s="8" t="s">
        <v>590</v>
      </c>
      <c r="J102" s="8" t="s">
        <v>674</v>
      </c>
      <c r="K102" s="8" t="s">
        <v>675</v>
      </c>
      <c r="L102" s="8" t="s">
        <v>676</v>
      </c>
      <c r="M102" s="10" t="s">
        <v>37</v>
      </c>
      <c r="N102" s="8" t="s">
        <v>78</v>
      </c>
      <c r="O102" s="8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32.25" customHeight="1" thickBot="1">
      <c r="A103" s="3">
        <v>99</v>
      </c>
      <c r="B103" s="3" t="s">
        <v>554</v>
      </c>
      <c r="C103" s="4" t="s">
        <v>677</v>
      </c>
      <c r="D103" s="4" t="s">
        <v>678</v>
      </c>
      <c r="E103" s="4" t="s">
        <v>557</v>
      </c>
      <c r="F103" s="3" t="s">
        <v>31</v>
      </c>
      <c r="G103" s="5" t="s">
        <v>679</v>
      </c>
      <c r="H103" s="19" t="s">
        <v>1333</v>
      </c>
      <c r="I103" s="4" t="s">
        <v>590</v>
      </c>
      <c r="J103" s="4" t="s">
        <v>680</v>
      </c>
      <c r="K103" s="4" t="s">
        <v>681</v>
      </c>
      <c r="L103" s="4" t="s">
        <v>682</v>
      </c>
      <c r="M103" s="10" t="s">
        <v>37</v>
      </c>
      <c r="N103" s="4" t="s">
        <v>27</v>
      </c>
      <c r="O103" s="4" t="s">
        <v>664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32.25" customHeight="1" thickBot="1">
      <c r="A104" s="7">
        <v>100</v>
      </c>
      <c r="B104" s="7" t="s">
        <v>554</v>
      </c>
      <c r="C104" s="8" t="s">
        <v>683</v>
      </c>
      <c r="D104" s="8" t="s">
        <v>684</v>
      </c>
      <c r="E104" s="8" t="s">
        <v>557</v>
      </c>
      <c r="F104" s="7" t="s">
        <v>57</v>
      </c>
      <c r="G104" s="9" t="s">
        <v>685</v>
      </c>
      <c r="H104" s="31" t="s">
        <v>1334</v>
      </c>
      <c r="I104" s="8" t="s">
        <v>590</v>
      </c>
      <c r="J104" s="8" t="s">
        <v>686</v>
      </c>
      <c r="K104" s="8" t="s">
        <v>687</v>
      </c>
      <c r="L104" s="8" t="s">
        <v>688</v>
      </c>
      <c r="M104" s="6" t="s">
        <v>21</v>
      </c>
      <c r="N104" s="8" t="s">
        <v>27</v>
      </c>
      <c r="O104" s="8" t="s">
        <v>664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32.25" customHeight="1" thickBot="1">
      <c r="A105" s="3">
        <v>101</v>
      </c>
      <c r="B105" s="3" t="s">
        <v>554</v>
      </c>
      <c r="C105" s="4" t="s">
        <v>689</v>
      </c>
      <c r="D105" s="4" t="s">
        <v>690</v>
      </c>
      <c r="E105" s="4" t="s">
        <v>557</v>
      </c>
      <c r="F105" s="3" t="s">
        <v>21</v>
      </c>
      <c r="G105" s="4" t="s">
        <v>691</v>
      </c>
      <c r="H105" s="19" t="s">
        <v>1335</v>
      </c>
      <c r="I105" s="4" t="s">
        <v>692</v>
      </c>
      <c r="J105" s="4" t="s">
        <v>693</v>
      </c>
      <c r="K105" s="4" t="s">
        <v>694</v>
      </c>
      <c r="L105" s="4" t="s">
        <v>695</v>
      </c>
      <c r="M105" s="6" t="s">
        <v>21</v>
      </c>
      <c r="N105" s="4" t="s">
        <v>27</v>
      </c>
      <c r="O105" s="4" t="s">
        <v>696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32.25" customHeight="1" thickBot="1">
      <c r="A106" s="7">
        <v>102</v>
      </c>
      <c r="B106" s="7" t="s">
        <v>554</v>
      </c>
      <c r="C106" s="8" t="s">
        <v>697</v>
      </c>
      <c r="D106" s="8" t="s">
        <v>698</v>
      </c>
      <c r="E106" s="8" t="s">
        <v>557</v>
      </c>
      <c r="F106" s="7" t="s">
        <v>31</v>
      </c>
      <c r="G106" s="9" t="s">
        <v>699</v>
      </c>
      <c r="H106" s="19" t="s">
        <v>1336</v>
      </c>
      <c r="I106" s="8" t="s">
        <v>590</v>
      </c>
      <c r="J106" s="8" t="s">
        <v>700</v>
      </c>
      <c r="K106" s="8" t="s">
        <v>701</v>
      </c>
      <c r="L106" s="8" t="s">
        <v>702</v>
      </c>
      <c r="M106" s="10" t="s">
        <v>37</v>
      </c>
      <c r="N106" s="8" t="s">
        <v>78</v>
      </c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32.25" customHeight="1" thickBot="1">
      <c r="A107" s="3">
        <v>103</v>
      </c>
      <c r="B107" s="3" t="s">
        <v>554</v>
      </c>
      <c r="C107" s="4" t="s">
        <v>703</v>
      </c>
      <c r="D107" s="4" t="s">
        <v>563</v>
      </c>
      <c r="E107" s="4" t="s">
        <v>704</v>
      </c>
      <c r="F107" s="3" t="s">
        <v>57</v>
      </c>
      <c r="G107" s="5" t="s">
        <v>705</v>
      </c>
      <c r="H107" s="19" t="s">
        <v>1337</v>
      </c>
      <c r="I107" s="4" t="s">
        <v>706</v>
      </c>
      <c r="J107" s="4" t="s">
        <v>707</v>
      </c>
      <c r="K107" s="4" t="s">
        <v>708</v>
      </c>
      <c r="L107" s="4" t="s">
        <v>709</v>
      </c>
      <c r="M107" s="10" t="s">
        <v>37</v>
      </c>
      <c r="N107" s="4" t="s">
        <v>27</v>
      </c>
      <c r="O107" s="4" t="s">
        <v>710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32.25" customHeight="1" thickBot="1">
      <c r="A108" s="7">
        <v>104</v>
      </c>
      <c r="B108" s="7" t="s">
        <v>554</v>
      </c>
      <c r="C108" s="8" t="s">
        <v>711</v>
      </c>
      <c r="D108" s="8" t="s">
        <v>712</v>
      </c>
      <c r="E108" s="8" t="s">
        <v>704</v>
      </c>
      <c r="F108" s="7" t="s">
        <v>57</v>
      </c>
      <c r="G108" s="9" t="s">
        <v>713</v>
      </c>
      <c r="H108" s="19" t="s">
        <v>1338</v>
      </c>
      <c r="I108" s="8" t="s">
        <v>714</v>
      </c>
      <c r="J108" s="8" t="s">
        <v>715</v>
      </c>
      <c r="K108" s="8" t="s">
        <v>716</v>
      </c>
      <c r="L108" s="8" t="s">
        <v>717</v>
      </c>
      <c r="M108" s="6" t="s">
        <v>21</v>
      </c>
      <c r="N108" s="8" t="s">
        <v>27</v>
      </c>
      <c r="O108" s="8" t="s">
        <v>28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32.25" customHeight="1" thickBot="1">
      <c r="A109" s="3">
        <v>105</v>
      </c>
      <c r="B109" s="3" t="s">
        <v>554</v>
      </c>
      <c r="C109" s="4" t="s">
        <v>718</v>
      </c>
      <c r="D109" s="4" t="s">
        <v>719</v>
      </c>
      <c r="E109" s="4" t="s">
        <v>704</v>
      </c>
      <c r="F109" s="3" t="s">
        <v>57</v>
      </c>
      <c r="G109" s="5" t="s">
        <v>720</v>
      </c>
      <c r="H109" s="19" t="s">
        <v>1339</v>
      </c>
      <c r="I109" s="4" t="s">
        <v>721</v>
      </c>
      <c r="J109" s="4" t="s">
        <v>722</v>
      </c>
      <c r="K109" s="4" t="s">
        <v>723</v>
      </c>
      <c r="L109" s="4" t="s">
        <v>724</v>
      </c>
      <c r="M109" s="6" t="s">
        <v>21</v>
      </c>
      <c r="N109" s="4" t="s">
        <v>27</v>
      </c>
      <c r="O109" s="4" t="s">
        <v>725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32.25" customHeight="1" thickBot="1">
      <c r="A110" s="7">
        <v>106</v>
      </c>
      <c r="B110" s="7" t="s">
        <v>554</v>
      </c>
      <c r="C110" s="8" t="s">
        <v>726</v>
      </c>
      <c r="D110" s="8" t="s">
        <v>727</v>
      </c>
      <c r="E110" s="8" t="s">
        <v>704</v>
      </c>
      <c r="F110" s="7" t="s">
        <v>21</v>
      </c>
      <c r="G110" s="9" t="s">
        <v>728</v>
      </c>
      <c r="H110" s="19" t="s">
        <v>1340</v>
      </c>
      <c r="I110" s="8" t="s">
        <v>729</v>
      </c>
      <c r="J110" s="8" t="s">
        <v>730</v>
      </c>
      <c r="K110" s="8" t="s">
        <v>731</v>
      </c>
      <c r="L110" s="8" t="s">
        <v>732</v>
      </c>
      <c r="M110" s="6" t="s">
        <v>21</v>
      </c>
      <c r="N110" s="8" t="s">
        <v>27</v>
      </c>
      <c r="O110" s="8" t="s">
        <v>733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32.25" customHeight="1" thickBot="1">
      <c r="A111" s="3">
        <v>107</v>
      </c>
      <c r="B111" s="3" t="s">
        <v>554</v>
      </c>
      <c r="C111" s="4" t="s">
        <v>734</v>
      </c>
      <c r="D111" s="4" t="s">
        <v>690</v>
      </c>
      <c r="E111" s="4" t="s">
        <v>704</v>
      </c>
      <c r="F111" s="3" t="s">
        <v>21</v>
      </c>
      <c r="G111" s="5" t="s">
        <v>735</v>
      </c>
      <c r="H111" s="19" t="s">
        <v>1341</v>
      </c>
      <c r="I111" s="4" t="s">
        <v>736</v>
      </c>
      <c r="J111" s="4" t="s">
        <v>737</v>
      </c>
      <c r="K111" s="4" t="s">
        <v>738</v>
      </c>
      <c r="L111" s="4" t="s">
        <v>739</v>
      </c>
      <c r="M111" s="6" t="s">
        <v>21</v>
      </c>
      <c r="N111" s="4" t="s">
        <v>27</v>
      </c>
      <c r="O111" s="4" t="s">
        <v>740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32.25" customHeight="1" thickBot="1">
      <c r="A112" s="7">
        <v>108</v>
      </c>
      <c r="B112" s="7" t="s">
        <v>554</v>
      </c>
      <c r="C112" s="8" t="s">
        <v>741</v>
      </c>
      <c r="D112" s="8" t="s">
        <v>742</v>
      </c>
      <c r="E112" s="8" t="s">
        <v>704</v>
      </c>
      <c r="F112" s="7" t="s">
        <v>57</v>
      </c>
      <c r="G112" s="9" t="s">
        <v>743</v>
      </c>
      <c r="H112" s="19" t="s">
        <v>1342</v>
      </c>
      <c r="I112" s="8" t="s">
        <v>744</v>
      </c>
      <c r="J112" s="8" t="s">
        <v>745</v>
      </c>
      <c r="K112" s="8" t="s">
        <v>746</v>
      </c>
      <c r="L112" s="8" t="s">
        <v>747</v>
      </c>
      <c r="M112" s="6" t="s">
        <v>21</v>
      </c>
      <c r="N112" s="8" t="s">
        <v>27</v>
      </c>
      <c r="O112" s="8" t="s">
        <v>748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32.25" customHeight="1" thickBot="1">
      <c r="A113" s="3">
        <v>109</v>
      </c>
      <c r="B113" s="3" t="s">
        <v>554</v>
      </c>
      <c r="C113" s="4" t="s">
        <v>749</v>
      </c>
      <c r="D113" s="4" t="s">
        <v>623</v>
      </c>
      <c r="E113" s="4" t="s">
        <v>704</v>
      </c>
      <c r="F113" s="3" t="s">
        <v>21</v>
      </c>
      <c r="G113" s="5" t="s">
        <v>750</v>
      </c>
      <c r="H113" s="19" t="s">
        <v>1343</v>
      </c>
      <c r="I113" s="4" t="s">
        <v>751</v>
      </c>
      <c r="J113" s="4" t="s">
        <v>752</v>
      </c>
      <c r="K113" s="4" t="s">
        <v>753</v>
      </c>
      <c r="L113" s="4" t="s">
        <v>754</v>
      </c>
      <c r="M113" s="10" t="s">
        <v>37</v>
      </c>
      <c r="N113" s="4" t="s">
        <v>27</v>
      </c>
      <c r="O113" s="4" t="s">
        <v>755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32.25" customHeight="1" thickBot="1">
      <c r="A114" s="7">
        <v>110</v>
      </c>
      <c r="B114" s="7" t="s">
        <v>554</v>
      </c>
      <c r="C114" s="8" t="s">
        <v>756</v>
      </c>
      <c r="D114" s="8" t="s">
        <v>757</v>
      </c>
      <c r="E114" s="8" t="s">
        <v>704</v>
      </c>
      <c r="F114" s="7" t="s">
        <v>57</v>
      </c>
      <c r="G114" s="9" t="s">
        <v>758</v>
      </c>
      <c r="H114" s="19" t="s">
        <v>1344</v>
      </c>
      <c r="I114" s="8" t="s">
        <v>759</v>
      </c>
      <c r="J114" s="8" t="s">
        <v>760</v>
      </c>
      <c r="K114" s="8" t="s">
        <v>761</v>
      </c>
      <c r="L114" s="8" t="s">
        <v>762</v>
      </c>
      <c r="M114" s="6" t="s">
        <v>21</v>
      </c>
      <c r="N114" s="8" t="s">
        <v>27</v>
      </c>
      <c r="O114" s="8" t="s">
        <v>748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32.25" customHeight="1" thickBot="1">
      <c r="A115" s="3">
        <v>111</v>
      </c>
      <c r="B115" s="3" t="s">
        <v>554</v>
      </c>
      <c r="C115" s="4" t="s">
        <v>763</v>
      </c>
      <c r="D115" s="4" t="s">
        <v>690</v>
      </c>
      <c r="E115" s="4" t="s">
        <v>704</v>
      </c>
      <c r="F115" s="3" t="s">
        <v>57</v>
      </c>
      <c r="G115" s="5" t="s">
        <v>764</v>
      </c>
      <c r="H115" s="19" t="s">
        <v>1345</v>
      </c>
      <c r="I115" s="4" t="s">
        <v>765</v>
      </c>
      <c r="J115" s="4" t="s">
        <v>766</v>
      </c>
      <c r="K115" s="4" t="s">
        <v>767</v>
      </c>
      <c r="L115" s="4" t="s">
        <v>768</v>
      </c>
      <c r="M115" s="6" t="s">
        <v>21</v>
      </c>
      <c r="N115" s="4" t="s">
        <v>27</v>
      </c>
      <c r="O115" s="4" t="s">
        <v>748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32.25" customHeight="1" thickBot="1">
      <c r="A116" s="7">
        <v>112</v>
      </c>
      <c r="B116" s="7" t="s">
        <v>554</v>
      </c>
      <c r="C116" s="8" t="s">
        <v>769</v>
      </c>
      <c r="D116" s="8" t="s">
        <v>588</v>
      </c>
      <c r="E116" s="8" t="s">
        <v>704</v>
      </c>
      <c r="F116" s="7" t="s">
        <v>21</v>
      </c>
      <c r="G116" s="9" t="s">
        <v>770</v>
      </c>
      <c r="H116" s="19" t="s">
        <v>1346</v>
      </c>
      <c r="I116" s="8" t="s">
        <v>771</v>
      </c>
      <c r="J116" s="8" t="s">
        <v>772</v>
      </c>
      <c r="K116" s="8" t="s">
        <v>773</v>
      </c>
      <c r="L116" s="8" t="s">
        <v>774</v>
      </c>
      <c r="M116" s="10" t="s">
        <v>37</v>
      </c>
      <c r="N116" s="8" t="s">
        <v>27</v>
      </c>
      <c r="O116" s="8" t="s">
        <v>748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32.25" customHeight="1" thickBot="1">
      <c r="A117" s="3">
        <v>113</v>
      </c>
      <c r="B117" s="3" t="s">
        <v>554</v>
      </c>
      <c r="C117" s="4" t="s">
        <v>775</v>
      </c>
      <c r="D117" s="4" t="s">
        <v>776</v>
      </c>
      <c r="E117" s="4" t="s">
        <v>704</v>
      </c>
      <c r="F117" s="3" t="s">
        <v>57</v>
      </c>
      <c r="G117" s="5" t="s">
        <v>777</v>
      </c>
      <c r="H117" s="19" t="s">
        <v>1347</v>
      </c>
      <c r="I117" s="4" t="s">
        <v>778</v>
      </c>
      <c r="J117" s="4" t="s">
        <v>779</v>
      </c>
      <c r="K117" s="4" t="s">
        <v>780</v>
      </c>
      <c r="L117" s="4" t="s">
        <v>781</v>
      </c>
      <c r="M117" s="6" t="s">
        <v>21</v>
      </c>
      <c r="N117" s="4" t="s">
        <v>27</v>
      </c>
      <c r="O117" s="4" t="s">
        <v>748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32.25" customHeight="1" thickBot="1">
      <c r="A118" s="7">
        <v>114</v>
      </c>
      <c r="B118" s="7" t="s">
        <v>554</v>
      </c>
      <c r="C118" s="8" t="s">
        <v>782</v>
      </c>
      <c r="D118" s="8" t="s">
        <v>666</v>
      </c>
      <c r="E118" s="8" t="s">
        <v>704</v>
      </c>
      <c r="F118" s="7" t="s">
        <v>21</v>
      </c>
      <c r="G118" s="9" t="s">
        <v>783</v>
      </c>
      <c r="H118" s="19" t="s">
        <v>1348</v>
      </c>
      <c r="I118" s="8" t="s">
        <v>784</v>
      </c>
      <c r="J118" s="8" t="s">
        <v>785</v>
      </c>
      <c r="K118" s="8" t="s">
        <v>786</v>
      </c>
      <c r="L118" s="8" t="s">
        <v>787</v>
      </c>
      <c r="M118" s="6" t="s">
        <v>21</v>
      </c>
      <c r="N118" s="8" t="s">
        <v>27</v>
      </c>
      <c r="O118" s="8" t="s">
        <v>748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32.25" customHeight="1" thickBot="1">
      <c r="A119" s="3">
        <v>115</v>
      </c>
      <c r="B119" s="3" t="s">
        <v>554</v>
      </c>
      <c r="C119" s="4" t="s">
        <v>788</v>
      </c>
      <c r="D119" s="4" t="s">
        <v>659</v>
      </c>
      <c r="E119" s="4" t="s">
        <v>704</v>
      </c>
      <c r="F119" s="3" t="s">
        <v>31</v>
      </c>
      <c r="G119" s="5" t="s">
        <v>789</v>
      </c>
      <c r="H119" s="19" t="s">
        <v>1349</v>
      </c>
      <c r="I119" s="4" t="s">
        <v>790</v>
      </c>
      <c r="J119" s="4" t="s">
        <v>791</v>
      </c>
      <c r="K119" s="4" t="s">
        <v>792</v>
      </c>
      <c r="L119" s="4" t="s">
        <v>793</v>
      </c>
      <c r="M119" s="10" t="s">
        <v>37</v>
      </c>
      <c r="N119" s="4" t="s">
        <v>27</v>
      </c>
      <c r="O119" s="4" t="s">
        <v>748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32.25" customHeight="1" thickBot="1">
      <c r="A120" s="7">
        <v>116</v>
      </c>
      <c r="B120" s="7" t="s">
        <v>554</v>
      </c>
      <c r="C120" s="8" t="s">
        <v>794</v>
      </c>
      <c r="D120" s="8" t="s">
        <v>678</v>
      </c>
      <c r="E120" s="8" t="s">
        <v>704</v>
      </c>
      <c r="F120" s="7" t="s">
        <v>31</v>
      </c>
      <c r="G120" s="9" t="s">
        <v>795</v>
      </c>
      <c r="H120" s="19" t="s">
        <v>1350</v>
      </c>
      <c r="I120" s="8" t="s">
        <v>796</v>
      </c>
      <c r="J120" s="8" t="s">
        <v>797</v>
      </c>
      <c r="K120" s="8" t="s">
        <v>798</v>
      </c>
      <c r="L120" s="8" t="s">
        <v>799</v>
      </c>
      <c r="M120" s="10" t="s">
        <v>37</v>
      </c>
      <c r="N120" s="8" t="s">
        <v>27</v>
      </c>
      <c r="O120" s="8" t="s">
        <v>748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32.25" customHeight="1" thickBot="1">
      <c r="A121" s="3">
        <v>117</v>
      </c>
      <c r="B121" s="3" t="s">
        <v>554</v>
      </c>
      <c r="C121" s="4" t="s">
        <v>800</v>
      </c>
      <c r="D121" s="4" t="s">
        <v>776</v>
      </c>
      <c r="E121" s="4" t="s">
        <v>704</v>
      </c>
      <c r="F121" s="3" t="s">
        <v>57</v>
      </c>
      <c r="G121" s="5" t="s">
        <v>801</v>
      </c>
      <c r="H121" s="19" t="s">
        <v>1351</v>
      </c>
      <c r="I121" s="4" t="s">
        <v>802</v>
      </c>
      <c r="J121" s="4" t="s">
        <v>803</v>
      </c>
      <c r="K121" s="4" t="s">
        <v>804</v>
      </c>
      <c r="L121" s="4" t="s">
        <v>805</v>
      </c>
      <c r="M121" s="6" t="s">
        <v>21</v>
      </c>
      <c r="N121" s="4" t="s">
        <v>27</v>
      </c>
      <c r="O121" s="4" t="s">
        <v>748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32.25" customHeight="1" thickBot="1">
      <c r="A122" s="7">
        <v>118</v>
      </c>
      <c r="B122" s="7" t="s">
        <v>554</v>
      </c>
      <c r="C122" s="8" t="s">
        <v>806</v>
      </c>
      <c r="D122" s="8" t="s">
        <v>807</v>
      </c>
      <c r="E122" s="8" t="s">
        <v>704</v>
      </c>
      <c r="F122" s="7" t="s">
        <v>21</v>
      </c>
      <c r="G122" s="9" t="s">
        <v>808</v>
      </c>
      <c r="H122" s="19" t="s">
        <v>1352</v>
      </c>
      <c r="I122" s="8" t="s">
        <v>809</v>
      </c>
      <c r="J122" s="8" t="s">
        <v>810</v>
      </c>
      <c r="K122" s="8" t="s">
        <v>811</v>
      </c>
      <c r="L122" s="8" t="s">
        <v>812</v>
      </c>
      <c r="M122" s="6" t="s">
        <v>21</v>
      </c>
      <c r="N122" s="8" t="s">
        <v>27</v>
      </c>
      <c r="O122" s="8" t="s">
        <v>748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32.25" customHeight="1" thickBot="1">
      <c r="A123" s="3">
        <v>119</v>
      </c>
      <c r="B123" s="3" t="s">
        <v>554</v>
      </c>
      <c r="C123" s="4" t="s">
        <v>813</v>
      </c>
      <c r="D123" s="4" t="s">
        <v>814</v>
      </c>
      <c r="E123" s="4" t="s">
        <v>704</v>
      </c>
      <c r="F123" s="3" t="s">
        <v>31</v>
      </c>
      <c r="G123" s="5" t="s">
        <v>815</v>
      </c>
      <c r="H123" s="19" t="s">
        <v>1353</v>
      </c>
      <c r="I123" s="4" t="s">
        <v>816</v>
      </c>
      <c r="J123" s="4" t="s">
        <v>817</v>
      </c>
      <c r="K123" s="4" t="s">
        <v>818</v>
      </c>
      <c r="L123" s="4" t="s">
        <v>819</v>
      </c>
      <c r="M123" s="10" t="s">
        <v>37</v>
      </c>
      <c r="N123" s="4" t="s">
        <v>27</v>
      </c>
      <c r="O123" s="4" t="s">
        <v>748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32.25" customHeight="1" thickBot="1">
      <c r="A124" s="7">
        <v>120</v>
      </c>
      <c r="B124" s="7" t="s">
        <v>554</v>
      </c>
      <c r="C124" s="8" t="s">
        <v>820</v>
      </c>
      <c r="D124" s="8" t="s">
        <v>576</v>
      </c>
      <c r="E124" s="8" t="s">
        <v>704</v>
      </c>
      <c r="F124" s="7" t="s">
        <v>57</v>
      </c>
      <c r="G124" s="9" t="s">
        <v>821</v>
      </c>
      <c r="H124" s="19" t="s">
        <v>1354</v>
      </c>
      <c r="I124" s="8" t="s">
        <v>822</v>
      </c>
      <c r="J124" s="8" t="s">
        <v>823</v>
      </c>
      <c r="K124" s="8" t="s">
        <v>824</v>
      </c>
      <c r="L124" s="8" t="s">
        <v>825</v>
      </c>
      <c r="M124" s="6" t="s">
        <v>21</v>
      </c>
      <c r="N124" s="8" t="s">
        <v>27</v>
      </c>
      <c r="O124" s="8" t="s">
        <v>826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32.25" customHeight="1" thickBot="1">
      <c r="A125" s="3">
        <v>121</v>
      </c>
      <c r="B125" s="3" t="s">
        <v>554</v>
      </c>
      <c r="C125" s="4" t="s">
        <v>827</v>
      </c>
      <c r="D125" s="4" t="s">
        <v>828</v>
      </c>
      <c r="E125" s="4" t="s">
        <v>704</v>
      </c>
      <c r="F125" s="3" t="s">
        <v>21</v>
      </c>
      <c r="G125" s="5" t="s">
        <v>829</v>
      </c>
      <c r="H125" s="19" t="s">
        <v>1355</v>
      </c>
      <c r="I125" s="4" t="s">
        <v>830</v>
      </c>
      <c r="J125" s="4" t="s">
        <v>831</v>
      </c>
      <c r="K125" s="4" t="s">
        <v>832</v>
      </c>
      <c r="L125" s="4" t="s">
        <v>833</v>
      </c>
      <c r="M125" s="6" t="s">
        <v>21</v>
      </c>
      <c r="N125" s="4" t="s">
        <v>27</v>
      </c>
      <c r="O125" s="4" t="s">
        <v>834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32.25" customHeight="1" thickBot="1">
      <c r="A126" s="7">
        <v>122</v>
      </c>
      <c r="B126" s="7" t="s">
        <v>554</v>
      </c>
      <c r="C126" s="8" t="s">
        <v>835</v>
      </c>
      <c r="D126" s="8" t="s">
        <v>712</v>
      </c>
      <c r="E126" s="8" t="s">
        <v>704</v>
      </c>
      <c r="F126" s="7" t="s">
        <v>21</v>
      </c>
      <c r="G126" s="9" t="s">
        <v>836</v>
      </c>
      <c r="H126" s="19" t="s">
        <v>1356</v>
      </c>
      <c r="I126" s="8" t="s">
        <v>837</v>
      </c>
      <c r="J126" s="8" t="s">
        <v>838</v>
      </c>
      <c r="K126" s="8" t="s">
        <v>839</v>
      </c>
      <c r="L126" s="8" t="s">
        <v>840</v>
      </c>
      <c r="M126" s="10" t="s">
        <v>37</v>
      </c>
      <c r="N126" s="8" t="s">
        <v>27</v>
      </c>
      <c r="O126" s="8" t="s">
        <v>841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32.25" customHeight="1" thickBot="1">
      <c r="A127" s="3">
        <v>123</v>
      </c>
      <c r="B127" s="3" t="s">
        <v>554</v>
      </c>
      <c r="C127" s="4" t="s">
        <v>842</v>
      </c>
      <c r="D127" s="4" t="s">
        <v>843</v>
      </c>
      <c r="E127" s="4" t="s">
        <v>704</v>
      </c>
      <c r="F127" s="3" t="s">
        <v>21</v>
      </c>
      <c r="G127" s="5" t="s">
        <v>844</v>
      </c>
      <c r="H127" s="19" t="s">
        <v>1357</v>
      </c>
      <c r="I127" s="4" t="s">
        <v>845</v>
      </c>
      <c r="J127" s="4" t="s">
        <v>846</v>
      </c>
      <c r="K127" s="4" t="s">
        <v>847</v>
      </c>
      <c r="L127" s="4" t="s">
        <v>848</v>
      </c>
      <c r="M127" s="6" t="s">
        <v>21</v>
      </c>
      <c r="N127" s="4" t="s">
        <v>27</v>
      </c>
      <c r="O127" s="4" t="s">
        <v>849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32.25" customHeight="1" thickBot="1">
      <c r="A128" s="7">
        <v>124</v>
      </c>
      <c r="B128" s="7" t="s">
        <v>554</v>
      </c>
      <c r="C128" s="8" t="s">
        <v>850</v>
      </c>
      <c r="D128" s="8" t="s">
        <v>588</v>
      </c>
      <c r="E128" s="8" t="s">
        <v>704</v>
      </c>
      <c r="F128" s="7" t="s">
        <v>21</v>
      </c>
      <c r="G128" s="9" t="s">
        <v>851</v>
      </c>
      <c r="H128" s="19" t="s">
        <v>1358</v>
      </c>
      <c r="I128" s="8" t="s">
        <v>852</v>
      </c>
      <c r="J128" s="8" t="s">
        <v>853</v>
      </c>
      <c r="K128" s="8" t="s">
        <v>854</v>
      </c>
      <c r="L128" s="8" t="s">
        <v>855</v>
      </c>
      <c r="M128" s="6" t="s">
        <v>21</v>
      </c>
      <c r="N128" s="8" t="s">
        <v>27</v>
      </c>
      <c r="O128" s="8" t="s">
        <v>856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32.25" customHeight="1" thickBot="1">
      <c r="A129" s="3">
        <v>125</v>
      </c>
      <c r="B129" s="3" t="s">
        <v>554</v>
      </c>
      <c r="C129" s="4" t="s">
        <v>857</v>
      </c>
      <c r="D129" s="4" t="s">
        <v>712</v>
      </c>
      <c r="E129" s="4" t="s">
        <v>704</v>
      </c>
      <c r="F129" s="3" t="s">
        <v>31</v>
      </c>
      <c r="G129" s="5" t="s">
        <v>858</v>
      </c>
      <c r="H129" s="19" t="s">
        <v>1359</v>
      </c>
      <c r="I129" s="4" t="s">
        <v>859</v>
      </c>
      <c r="J129" s="4" t="s">
        <v>860</v>
      </c>
      <c r="K129" s="4" t="s">
        <v>861</v>
      </c>
      <c r="L129" s="4" t="s">
        <v>862</v>
      </c>
      <c r="M129" s="10" t="s">
        <v>37</v>
      </c>
      <c r="N129" s="4" t="s">
        <v>27</v>
      </c>
      <c r="O129" s="4" t="s">
        <v>863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32.25" customHeight="1" thickBot="1">
      <c r="A130" s="7">
        <v>126</v>
      </c>
      <c r="B130" s="7" t="s">
        <v>554</v>
      </c>
      <c r="C130" s="8" t="s">
        <v>864</v>
      </c>
      <c r="D130" s="8" t="s">
        <v>719</v>
      </c>
      <c r="E130" s="8" t="s">
        <v>704</v>
      </c>
      <c r="F130" s="7" t="s">
        <v>21</v>
      </c>
      <c r="G130" s="9" t="s">
        <v>865</v>
      </c>
      <c r="H130" s="19" t="s">
        <v>1360</v>
      </c>
      <c r="I130" s="8" t="s">
        <v>866</v>
      </c>
      <c r="J130" s="8" t="s">
        <v>867</v>
      </c>
      <c r="K130" s="8" t="s">
        <v>868</v>
      </c>
      <c r="L130" s="8" t="s">
        <v>869</v>
      </c>
      <c r="M130" s="10" t="s">
        <v>37</v>
      </c>
      <c r="N130" s="8" t="s">
        <v>27</v>
      </c>
      <c r="O130" s="8" t="s">
        <v>870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32.25" customHeight="1" thickBot="1">
      <c r="A131" s="3">
        <v>127</v>
      </c>
      <c r="B131" s="3" t="s">
        <v>554</v>
      </c>
      <c r="C131" s="4" t="s">
        <v>871</v>
      </c>
      <c r="D131" s="4" t="s">
        <v>563</v>
      </c>
      <c r="E131" s="4" t="s">
        <v>704</v>
      </c>
      <c r="F131" s="3" t="s">
        <v>57</v>
      </c>
      <c r="G131" s="5" t="s">
        <v>872</v>
      </c>
      <c r="H131" s="19" t="s">
        <v>1361</v>
      </c>
      <c r="I131" s="4" t="s">
        <v>692</v>
      </c>
      <c r="J131" s="4" t="s">
        <v>873</v>
      </c>
      <c r="K131" s="4" t="s">
        <v>874</v>
      </c>
      <c r="L131" s="4" t="s">
        <v>875</v>
      </c>
      <c r="M131" s="6" t="s">
        <v>21</v>
      </c>
      <c r="N131" s="4" t="s">
        <v>27</v>
      </c>
      <c r="O131" s="4" t="s">
        <v>876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32.25" customHeight="1" thickBot="1">
      <c r="A132" s="7">
        <v>128</v>
      </c>
      <c r="B132" s="7" t="s">
        <v>554</v>
      </c>
      <c r="C132" s="8" t="s">
        <v>877</v>
      </c>
      <c r="D132" s="8" t="s">
        <v>712</v>
      </c>
      <c r="E132" s="8" t="s">
        <v>704</v>
      </c>
      <c r="F132" s="7" t="s">
        <v>31</v>
      </c>
      <c r="G132" s="9" t="s">
        <v>836</v>
      </c>
      <c r="H132" s="19" t="s">
        <v>1362</v>
      </c>
      <c r="I132" s="8" t="s">
        <v>692</v>
      </c>
      <c r="J132" s="8" t="s">
        <v>878</v>
      </c>
      <c r="K132" s="8" t="s">
        <v>879</v>
      </c>
      <c r="L132" s="8" t="s">
        <v>880</v>
      </c>
      <c r="M132" s="10" t="s">
        <v>37</v>
      </c>
      <c r="N132" s="8" t="s">
        <v>27</v>
      </c>
      <c r="O132" s="8" t="s">
        <v>881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32.25" customHeight="1" thickBot="1">
      <c r="A133" s="3">
        <v>129</v>
      </c>
      <c r="B133" s="3" t="s">
        <v>554</v>
      </c>
      <c r="C133" s="4" t="s">
        <v>882</v>
      </c>
      <c r="D133" s="4" t="s">
        <v>719</v>
      </c>
      <c r="E133" s="4" t="s">
        <v>704</v>
      </c>
      <c r="F133" s="3" t="s">
        <v>31</v>
      </c>
      <c r="G133" s="4" t="s">
        <v>883</v>
      </c>
      <c r="H133" s="19" t="s">
        <v>1363</v>
      </c>
      <c r="I133" s="4" t="s">
        <v>884</v>
      </c>
      <c r="J133" s="4" t="s">
        <v>456</v>
      </c>
      <c r="K133" s="4" t="s">
        <v>885</v>
      </c>
      <c r="L133" s="4" t="s">
        <v>886</v>
      </c>
      <c r="M133" s="10" t="s">
        <v>37</v>
      </c>
      <c r="N133" s="4" t="s">
        <v>78</v>
      </c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32.25" customHeight="1" thickBot="1">
      <c r="A134" s="7">
        <v>130</v>
      </c>
      <c r="B134" s="7" t="s">
        <v>554</v>
      </c>
      <c r="C134" s="8" t="s">
        <v>887</v>
      </c>
      <c r="D134" s="8" t="s">
        <v>563</v>
      </c>
      <c r="E134" s="8" t="s">
        <v>704</v>
      </c>
      <c r="F134" s="7" t="s">
        <v>21</v>
      </c>
      <c r="G134" s="8" t="s">
        <v>888</v>
      </c>
      <c r="H134" s="19" t="s">
        <v>1364</v>
      </c>
      <c r="I134" s="8" t="s">
        <v>884</v>
      </c>
      <c r="J134" s="8" t="s">
        <v>456</v>
      </c>
      <c r="K134" s="8" t="s">
        <v>889</v>
      </c>
      <c r="L134" s="8" t="s">
        <v>890</v>
      </c>
      <c r="M134" s="10" t="s">
        <v>37</v>
      </c>
      <c r="N134" s="8" t="s">
        <v>78</v>
      </c>
      <c r="O134" s="8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1.75" customHeight="1" thickBot="1">
      <c r="A135" s="3">
        <v>131</v>
      </c>
      <c r="B135" s="3" t="s">
        <v>554</v>
      </c>
      <c r="C135" s="4" t="s">
        <v>891</v>
      </c>
      <c r="D135" s="4" t="s">
        <v>712</v>
      </c>
      <c r="E135" s="4" t="s">
        <v>892</v>
      </c>
      <c r="F135" s="3" t="s">
        <v>21</v>
      </c>
      <c r="G135" s="5" t="s">
        <v>893</v>
      </c>
      <c r="H135" s="19" t="s">
        <v>1365</v>
      </c>
      <c r="I135" s="4" t="s">
        <v>894</v>
      </c>
      <c r="J135" s="4" t="s">
        <v>591</v>
      </c>
      <c r="K135" s="4" t="s">
        <v>895</v>
      </c>
      <c r="L135" s="4" t="s">
        <v>896</v>
      </c>
      <c r="M135" s="10" t="s">
        <v>37</v>
      </c>
      <c r="N135" s="4" t="s">
        <v>78</v>
      </c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1.75" customHeight="1" thickBot="1">
      <c r="A136" s="7">
        <v>132</v>
      </c>
      <c r="B136" s="7" t="s">
        <v>554</v>
      </c>
      <c r="C136" s="8" t="s">
        <v>897</v>
      </c>
      <c r="D136" s="8" t="s">
        <v>898</v>
      </c>
      <c r="E136" s="8" t="s">
        <v>892</v>
      </c>
      <c r="F136" s="7" t="s">
        <v>21</v>
      </c>
      <c r="G136" s="9" t="s">
        <v>899</v>
      </c>
      <c r="H136" s="19" t="s">
        <v>1366</v>
      </c>
      <c r="I136" s="8" t="s">
        <v>74</v>
      </c>
      <c r="J136" s="8" t="s">
        <v>900</v>
      </c>
      <c r="K136" s="8" t="s">
        <v>901</v>
      </c>
      <c r="L136" s="8" t="s">
        <v>902</v>
      </c>
      <c r="M136" s="10" t="s">
        <v>37</v>
      </c>
      <c r="N136" s="8" t="s">
        <v>27</v>
      </c>
      <c r="O136" s="8" t="s">
        <v>903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1.75" customHeight="1" thickBot="1">
      <c r="A137" s="3">
        <v>133</v>
      </c>
      <c r="B137" s="3" t="s">
        <v>554</v>
      </c>
      <c r="C137" s="4" t="s">
        <v>904</v>
      </c>
      <c r="D137" s="4" t="s">
        <v>905</v>
      </c>
      <c r="E137" s="4" t="s">
        <v>892</v>
      </c>
      <c r="F137" s="3" t="s">
        <v>21</v>
      </c>
      <c r="G137" s="5" t="s">
        <v>906</v>
      </c>
      <c r="H137" s="19" t="s">
        <v>1367</v>
      </c>
      <c r="I137" s="4" t="s">
        <v>907</v>
      </c>
      <c r="J137" s="4" t="s">
        <v>908</v>
      </c>
      <c r="K137" s="4" t="s">
        <v>909</v>
      </c>
      <c r="L137" s="4" t="s">
        <v>910</v>
      </c>
      <c r="M137" s="10" t="s">
        <v>37</v>
      </c>
      <c r="N137" s="4" t="s">
        <v>78</v>
      </c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1.75" customHeight="1" thickBot="1">
      <c r="A138" s="7">
        <v>134</v>
      </c>
      <c r="B138" s="7" t="s">
        <v>554</v>
      </c>
      <c r="C138" s="8" t="s">
        <v>911</v>
      </c>
      <c r="D138" s="8" t="s">
        <v>690</v>
      </c>
      <c r="E138" s="8" t="s">
        <v>892</v>
      </c>
      <c r="F138" s="7" t="s">
        <v>57</v>
      </c>
      <c r="G138" s="9" t="s">
        <v>912</v>
      </c>
      <c r="H138" s="19" t="s">
        <v>1368</v>
      </c>
      <c r="I138" s="8" t="s">
        <v>66</v>
      </c>
      <c r="J138" s="8" t="s">
        <v>913</v>
      </c>
      <c r="K138" s="8" t="s">
        <v>914</v>
      </c>
      <c r="L138" s="8" t="s">
        <v>915</v>
      </c>
      <c r="M138" s="6" t="s">
        <v>21</v>
      </c>
      <c r="N138" s="8" t="s">
        <v>27</v>
      </c>
      <c r="O138" s="8" t="s">
        <v>916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1.75" customHeight="1" thickBot="1">
      <c r="A139" s="3">
        <v>135</v>
      </c>
      <c r="B139" s="3" t="s">
        <v>554</v>
      </c>
      <c r="C139" s="4" t="s">
        <v>917</v>
      </c>
      <c r="D139" s="4" t="s">
        <v>719</v>
      </c>
      <c r="E139" s="4" t="s">
        <v>892</v>
      </c>
      <c r="F139" s="3" t="s">
        <v>57</v>
      </c>
      <c r="G139" s="4" t="s">
        <v>918</v>
      </c>
      <c r="H139" s="19" t="s">
        <v>1369</v>
      </c>
      <c r="I139" s="4" t="s">
        <v>919</v>
      </c>
      <c r="J139" s="4" t="s">
        <v>920</v>
      </c>
      <c r="K139" s="4" t="s">
        <v>921</v>
      </c>
      <c r="L139" s="4" t="s">
        <v>922</v>
      </c>
      <c r="M139" s="10" t="s">
        <v>37</v>
      </c>
      <c r="N139" s="4" t="s">
        <v>78</v>
      </c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1.75" customHeight="1" thickBot="1">
      <c r="A140" s="7">
        <v>136</v>
      </c>
      <c r="B140" s="7" t="s">
        <v>554</v>
      </c>
      <c r="C140" s="8" t="s">
        <v>923</v>
      </c>
      <c r="D140" s="8" t="s">
        <v>924</v>
      </c>
      <c r="E140" s="8" t="s">
        <v>892</v>
      </c>
      <c r="F140" s="7" t="s">
        <v>31</v>
      </c>
      <c r="G140" s="9" t="s">
        <v>925</v>
      </c>
      <c r="H140" s="19" t="s">
        <v>1370</v>
      </c>
      <c r="I140" s="8" t="s">
        <v>926</v>
      </c>
      <c r="J140" s="8" t="s">
        <v>927</v>
      </c>
      <c r="K140" s="8" t="s">
        <v>928</v>
      </c>
      <c r="L140" s="8" t="s">
        <v>929</v>
      </c>
      <c r="M140" s="6" t="s">
        <v>21</v>
      </c>
      <c r="N140" s="8" t="s">
        <v>27</v>
      </c>
      <c r="O140" s="8" t="s">
        <v>930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1.75" customHeight="1" thickBot="1">
      <c r="A141" s="3">
        <v>137</v>
      </c>
      <c r="B141" s="3" t="s">
        <v>554</v>
      </c>
      <c r="C141" s="4" t="s">
        <v>931</v>
      </c>
      <c r="D141" s="4" t="s">
        <v>757</v>
      </c>
      <c r="E141" s="4" t="s">
        <v>892</v>
      </c>
      <c r="F141" s="3" t="s">
        <v>21</v>
      </c>
      <c r="G141" s="5" t="s">
        <v>932</v>
      </c>
      <c r="H141" s="19" t="s">
        <v>1371</v>
      </c>
      <c r="I141" s="4" t="s">
        <v>66</v>
      </c>
      <c r="J141" s="4" t="s">
        <v>933</v>
      </c>
      <c r="K141" s="4" t="s">
        <v>934</v>
      </c>
      <c r="L141" s="4" t="s">
        <v>935</v>
      </c>
      <c r="M141" s="6" t="s">
        <v>21</v>
      </c>
      <c r="N141" s="4" t="s">
        <v>27</v>
      </c>
      <c r="O141" s="4" t="s">
        <v>936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1.75" customHeight="1" thickBot="1">
      <c r="A142" s="7">
        <v>138</v>
      </c>
      <c r="B142" s="7" t="s">
        <v>554</v>
      </c>
      <c r="C142" s="8" t="s">
        <v>937</v>
      </c>
      <c r="D142" s="8" t="s">
        <v>576</v>
      </c>
      <c r="E142" s="8" t="s">
        <v>892</v>
      </c>
      <c r="F142" s="7" t="s">
        <v>21</v>
      </c>
      <c r="G142" s="9" t="s">
        <v>938</v>
      </c>
      <c r="H142" s="19" t="s">
        <v>1372</v>
      </c>
      <c r="I142" s="8" t="s">
        <v>939</v>
      </c>
      <c r="J142" s="8" t="s">
        <v>940</v>
      </c>
      <c r="K142" s="8" t="s">
        <v>941</v>
      </c>
      <c r="L142" s="8" t="s">
        <v>942</v>
      </c>
      <c r="M142" s="6" t="s">
        <v>21</v>
      </c>
      <c r="N142" s="8" t="s">
        <v>78</v>
      </c>
      <c r="O142" s="8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1.75" customHeight="1" thickBot="1">
      <c r="A143" s="3">
        <v>139</v>
      </c>
      <c r="B143" s="3" t="s">
        <v>554</v>
      </c>
      <c r="C143" s="4" t="s">
        <v>943</v>
      </c>
      <c r="D143" s="4" t="s">
        <v>576</v>
      </c>
      <c r="E143" s="4" t="s">
        <v>892</v>
      </c>
      <c r="F143" s="3" t="s">
        <v>57</v>
      </c>
      <c r="G143" s="9" t="s">
        <v>938</v>
      </c>
      <c r="H143" s="19" t="s">
        <v>1373</v>
      </c>
      <c r="I143" s="4" t="s">
        <v>939</v>
      </c>
      <c r="J143" s="4" t="s">
        <v>944</v>
      </c>
      <c r="K143" s="4" t="s">
        <v>945</v>
      </c>
      <c r="L143" s="4" t="s">
        <v>946</v>
      </c>
      <c r="M143" s="6" t="s">
        <v>21</v>
      </c>
      <c r="N143" s="4" t="s">
        <v>78</v>
      </c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1.75" customHeight="1" thickBot="1">
      <c r="A144" s="7">
        <v>140</v>
      </c>
      <c r="B144" s="7" t="s">
        <v>554</v>
      </c>
      <c r="C144" s="8" t="s">
        <v>947</v>
      </c>
      <c r="D144" s="8" t="s">
        <v>576</v>
      </c>
      <c r="E144" s="8" t="s">
        <v>892</v>
      </c>
      <c r="F144" s="7" t="s">
        <v>57</v>
      </c>
      <c r="G144" s="9" t="s">
        <v>938</v>
      </c>
      <c r="H144" s="19" t="s">
        <v>1374</v>
      </c>
      <c r="I144" s="8" t="s">
        <v>939</v>
      </c>
      <c r="J144" s="8" t="s">
        <v>948</v>
      </c>
      <c r="K144" s="8" t="s">
        <v>949</v>
      </c>
      <c r="L144" s="8" t="s">
        <v>950</v>
      </c>
      <c r="M144" s="6" t="s">
        <v>21</v>
      </c>
      <c r="N144" s="8" t="s">
        <v>78</v>
      </c>
      <c r="O144" s="8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1.75" customHeight="1" thickBot="1">
      <c r="A145" s="3">
        <v>141</v>
      </c>
      <c r="B145" s="3" t="s">
        <v>554</v>
      </c>
      <c r="C145" s="4" t="s">
        <v>951</v>
      </c>
      <c r="D145" s="4" t="s">
        <v>576</v>
      </c>
      <c r="E145" s="4" t="s">
        <v>892</v>
      </c>
      <c r="F145" s="3" t="s">
        <v>57</v>
      </c>
      <c r="G145" s="5" t="s">
        <v>938</v>
      </c>
      <c r="H145" s="19" t="s">
        <v>1375</v>
      </c>
      <c r="I145" s="4" t="s">
        <v>939</v>
      </c>
      <c r="J145" s="4" t="s">
        <v>952</v>
      </c>
      <c r="K145" s="4" t="s">
        <v>953</v>
      </c>
      <c r="L145" s="4" t="s">
        <v>954</v>
      </c>
      <c r="M145" s="6" t="s">
        <v>21</v>
      </c>
      <c r="N145" s="4" t="s">
        <v>78</v>
      </c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1.75" customHeight="1" thickBot="1">
      <c r="A146" s="7">
        <v>142</v>
      </c>
      <c r="B146" s="7" t="s">
        <v>554</v>
      </c>
      <c r="C146" s="8" t="s">
        <v>955</v>
      </c>
      <c r="D146" s="8" t="s">
        <v>576</v>
      </c>
      <c r="E146" s="8" t="s">
        <v>892</v>
      </c>
      <c r="F146" s="7" t="s">
        <v>21</v>
      </c>
      <c r="G146" s="9" t="s">
        <v>938</v>
      </c>
      <c r="H146" s="19" t="s">
        <v>1376</v>
      </c>
      <c r="I146" s="8" t="s">
        <v>939</v>
      </c>
      <c r="J146" s="8" t="s">
        <v>956</v>
      </c>
      <c r="K146" s="8" t="s">
        <v>957</v>
      </c>
      <c r="L146" s="8" t="s">
        <v>958</v>
      </c>
      <c r="M146" s="10" t="s">
        <v>37</v>
      </c>
      <c r="N146" s="8" t="s">
        <v>78</v>
      </c>
      <c r="O146" s="8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1.75" customHeight="1" thickBot="1">
      <c r="A147" s="3">
        <v>143</v>
      </c>
      <c r="B147" s="3" t="s">
        <v>554</v>
      </c>
      <c r="C147" s="4" t="s">
        <v>959</v>
      </c>
      <c r="D147" s="4" t="s">
        <v>576</v>
      </c>
      <c r="E147" s="4" t="s">
        <v>892</v>
      </c>
      <c r="F147" s="3" t="s">
        <v>57</v>
      </c>
      <c r="G147" s="5" t="s">
        <v>938</v>
      </c>
      <c r="H147" s="19" t="s">
        <v>1377</v>
      </c>
      <c r="I147" s="4" t="s">
        <v>939</v>
      </c>
      <c r="J147" s="4" t="s">
        <v>960</v>
      </c>
      <c r="K147" s="4" t="s">
        <v>961</v>
      </c>
      <c r="L147" s="4" t="s">
        <v>962</v>
      </c>
      <c r="M147" s="6" t="s">
        <v>21</v>
      </c>
      <c r="N147" s="4" t="s">
        <v>78</v>
      </c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1.75" customHeight="1" thickBot="1">
      <c r="A148" s="7">
        <v>144</v>
      </c>
      <c r="B148" s="7" t="s">
        <v>554</v>
      </c>
      <c r="C148" s="8" t="s">
        <v>963</v>
      </c>
      <c r="D148" s="8" t="s">
        <v>576</v>
      </c>
      <c r="E148" s="8" t="s">
        <v>892</v>
      </c>
      <c r="F148" s="7" t="s">
        <v>21</v>
      </c>
      <c r="G148" s="9" t="s">
        <v>938</v>
      </c>
      <c r="H148" s="19" t="s">
        <v>1378</v>
      </c>
      <c r="I148" s="8" t="s">
        <v>939</v>
      </c>
      <c r="J148" s="8" t="s">
        <v>964</v>
      </c>
      <c r="K148" s="8" t="s">
        <v>965</v>
      </c>
      <c r="L148" s="8" t="s">
        <v>966</v>
      </c>
      <c r="M148" s="10" t="s">
        <v>37</v>
      </c>
      <c r="N148" s="8" t="s">
        <v>78</v>
      </c>
      <c r="O148" s="8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1.75" customHeight="1" thickBot="1">
      <c r="A149" s="3">
        <v>145</v>
      </c>
      <c r="B149" s="3" t="s">
        <v>554</v>
      </c>
      <c r="C149" s="4" t="s">
        <v>967</v>
      </c>
      <c r="D149" s="4" t="s">
        <v>576</v>
      </c>
      <c r="E149" s="4" t="s">
        <v>892</v>
      </c>
      <c r="F149" s="3" t="s">
        <v>57</v>
      </c>
      <c r="G149" s="5" t="s">
        <v>938</v>
      </c>
      <c r="H149" s="19" t="s">
        <v>1379</v>
      </c>
      <c r="I149" s="4" t="s">
        <v>939</v>
      </c>
      <c r="J149" s="4" t="s">
        <v>968</v>
      </c>
      <c r="K149" s="4" t="s">
        <v>969</v>
      </c>
      <c r="L149" s="4" t="s">
        <v>970</v>
      </c>
      <c r="M149" s="6" t="s">
        <v>21</v>
      </c>
      <c r="N149" s="4" t="s">
        <v>78</v>
      </c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1.75" customHeight="1" thickBot="1">
      <c r="A150" s="7">
        <v>146</v>
      </c>
      <c r="B150" s="7" t="s">
        <v>554</v>
      </c>
      <c r="C150" s="8" t="s">
        <v>971</v>
      </c>
      <c r="D150" s="8" t="s">
        <v>972</v>
      </c>
      <c r="E150" s="8" t="s">
        <v>892</v>
      </c>
      <c r="F150" s="7" t="s">
        <v>57</v>
      </c>
      <c r="G150" s="9" t="s">
        <v>973</v>
      </c>
      <c r="H150" s="19" t="s">
        <v>1380</v>
      </c>
      <c r="I150" s="8" t="s">
        <v>66</v>
      </c>
      <c r="J150" s="8" t="s">
        <v>974</v>
      </c>
      <c r="K150" s="8" t="s">
        <v>975</v>
      </c>
      <c r="L150" s="8" t="s">
        <v>976</v>
      </c>
      <c r="M150" s="6" t="s">
        <v>21</v>
      </c>
      <c r="N150" s="8" t="s">
        <v>27</v>
      </c>
      <c r="O150" s="8" t="s">
        <v>977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1.75" customHeight="1" thickBot="1">
      <c r="A151" s="3">
        <v>147</v>
      </c>
      <c r="B151" s="3" t="s">
        <v>554</v>
      </c>
      <c r="C151" s="4" t="s">
        <v>978</v>
      </c>
      <c r="D151" s="4" t="s">
        <v>972</v>
      </c>
      <c r="E151" s="4" t="s">
        <v>892</v>
      </c>
      <c r="F151" s="3" t="s">
        <v>21</v>
      </c>
      <c r="G151" s="5" t="s">
        <v>979</v>
      </c>
      <c r="H151" s="19" t="s">
        <v>1381</v>
      </c>
      <c r="I151" s="4" t="s">
        <v>66</v>
      </c>
      <c r="J151" s="4" t="s">
        <v>980</v>
      </c>
      <c r="K151" s="4" t="s">
        <v>981</v>
      </c>
      <c r="L151" s="4" t="s">
        <v>982</v>
      </c>
      <c r="M151" s="10" t="s">
        <v>37</v>
      </c>
      <c r="N151" s="4" t="s">
        <v>27</v>
      </c>
      <c r="O151" s="4" t="s">
        <v>983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1.75" customHeight="1" thickBot="1">
      <c r="A152" s="7">
        <v>148</v>
      </c>
      <c r="B152" s="7" t="s">
        <v>554</v>
      </c>
      <c r="C152" s="8" t="s">
        <v>984</v>
      </c>
      <c r="D152" s="8" t="s">
        <v>972</v>
      </c>
      <c r="E152" s="8" t="s">
        <v>892</v>
      </c>
      <c r="F152" s="7" t="s">
        <v>57</v>
      </c>
      <c r="G152" s="8" t="s">
        <v>985</v>
      </c>
      <c r="H152" s="19" t="s">
        <v>1382</v>
      </c>
      <c r="I152" s="8" t="s">
        <v>66</v>
      </c>
      <c r="J152" s="8" t="s">
        <v>944</v>
      </c>
      <c r="K152" s="8" t="s">
        <v>986</v>
      </c>
      <c r="L152" s="8" t="s">
        <v>987</v>
      </c>
      <c r="M152" s="11" t="s">
        <v>86</v>
      </c>
      <c r="N152" s="8" t="s">
        <v>27</v>
      </c>
      <c r="O152" s="8" t="s">
        <v>28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1.75" customHeight="1" thickBot="1">
      <c r="A153" s="3">
        <v>149</v>
      </c>
      <c r="B153" s="3" t="s">
        <v>554</v>
      </c>
      <c r="C153" s="4" t="s">
        <v>988</v>
      </c>
      <c r="D153" s="4" t="s">
        <v>989</v>
      </c>
      <c r="E153" s="4" t="s">
        <v>892</v>
      </c>
      <c r="F153" s="3" t="s">
        <v>21</v>
      </c>
      <c r="G153" s="5" t="s">
        <v>990</v>
      </c>
      <c r="H153" s="19" t="s">
        <v>1383</v>
      </c>
      <c r="I153" s="4" t="s">
        <v>74</v>
      </c>
      <c r="J153" s="4" t="s">
        <v>991</v>
      </c>
      <c r="K153" s="4" t="s">
        <v>992</v>
      </c>
      <c r="L153" s="4" t="s">
        <v>993</v>
      </c>
      <c r="M153" s="10" t="s">
        <v>37</v>
      </c>
      <c r="N153" s="4" t="s">
        <v>78</v>
      </c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32.25" customHeight="1" thickBot="1">
      <c r="A154" s="7">
        <v>150</v>
      </c>
      <c r="B154" s="7" t="s">
        <v>554</v>
      </c>
      <c r="C154" s="8" t="s">
        <v>994</v>
      </c>
      <c r="D154" s="8" t="s">
        <v>690</v>
      </c>
      <c r="E154" s="8" t="s">
        <v>995</v>
      </c>
      <c r="F154" s="7" t="s">
        <v>21</v>
      </c>
      <c r="G154" s="9" t="s">
        <v>996</v>
      </c>
      <c r="H154" s="19" t="s">
        <v>1384</v>
      </c>
      <c r="I154" s="8" t="s">
        <v>66</v>
      </c>
      <c r="J154" s="8" t="s">
        <v>997</v>
      </c>
      <c r="K154" s="8" t="s">
        <v>998</v>
      </c>
      <c r="L154" s="8" t="s">
        <v>999</v>
      </c>
      <c r="M154" s="6" t="s">
        <v>21</v>
      </c>
      <c r="N154" s="8" t="s">
        <v>27</v>
      </c>
      <c r="O154" s="8" t="s">
        <v>1000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32.25" customHeight="1" thickBot="1">
      <c r="A155" s="3">
        <v>151</v>
      </c>
      <c r="B155" s="3" t="s">
        <v>554</v>
      </c>
      <c r="C155" s="4" t="s">
        <v>1001</v>
      </c>
      <c r="D155" s="4" t="s">
        <v>563</v>
      </c>
      <c r="E155" s="4" t="s">
        <v>995</v>
      </c>
      <c r="F155" s="3" t="s">
        <v>21</v>
      </c>
      <c r="G155" s="4" t="s">
        <v>1002</v>
      </c>
      <c r="H155" s="19" t="s">
        <v>1385</v>
      </c>
      <c r="I155" s="4" t="s">
        <v>1003</v>
      </c>
      <c r="J155" s="4" t="s">
        <v>1004</v>
      </c>
      <c r="K155" s="4" t="s">
        <v>1005</v>
      </c>
      <c r="L155" s="4" t="s">
        <v>1006</v>
      </c>
      <c r="M155" s="10" t="s">
        <v>37</v>
      </c>
      <c r="N155" s="4" t="s">
        <v>78</v>
      </c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32.25" customHeight="1" thickBot="1">
      <c r="A156" s="7">
        <v>152</v>
      </c>
      <c r="B156" s="7" t="s">
        <v>554</v>
      </c>
      <c r="C156" s="8" t="s">
        <v>1007</v>
      </c>
      <c r="D156" s="8" t="s">
        <v>1008</v>
      </c>
      <c r="E156" s="8" t="s">
        <v>995</v>
      </c>
      <c r="F156" s="7" t="s">
        <v>31</v>
      </c>
      <c r="G156" s="8" t="s">
        <v>1009</v>
      </c>
      <c r="H156" s="19" t="s">
        <v>1386</v>
      </c>
      <c r="I156" s="8" t="s">
        <v>884</v>
      </c>
      <c r="J156" s="8" t="s">
        <v>1010</v>
      </c>
      <c r="K156" s="8" t="s">
        <v>1011</v>
      </c>
      <c r="L156" s="8" t="s">
        <v>1012</v>
      </c>
      <c r="M156" s="10" t="s">
        <v>37</v>
      </c>
      <c r="N156" s="8" t="s">
        <v>78</v>
      </c>
      <c r="O156" s="8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32.25" customHeight="1" thickBot="1">
      <c r="A157" s="3">
        <v>153</v>
      </c>
      <c r="B157" s="3" t="s">
        <v>554</v>
      </c>
      <c r="C157" s="4" t="s">
        <v>1013</v>
      </c>
      <c r="D157" s="4" t="s">
        <v>588</v>
      </c>
      <c r="E157" s="4" t="s">
        <v>995</v>
      </c>
      <c r="F157" s="3" t="s">
        <v>21</v>
      </c>
      <c r="G157" s="5" t="s">
        <v>1014</v>
      </c>
      <c r="H157" s="19" t="s">
        <v>1387</v>
      </c>
      <c r="I157" s="4" t="s">
        <v>66</v>
      </c>
      <c r="J157" s="4" t="s">
        <v>1015</v>
      </c>
      <c r="K157" s="4" t="s">
        <v>1016</v>
      </c>
      <c r="L157" s="4" t="s">
        <v>1017</v>
      </c>
      <c r="M157" s="11" t="s">
        <v>86</v>
      </c>
      <c r="N157" s="4" t="s">
        <v>27</v>
      </c>
      <c r="O157" s="4" t="s">
        <v>1018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32.25" customHeight="1" thickBot="1">
      <c r="A158" s="7">
        <v>154</v>
      </c>
      <c r="B158" s="7" t="s">
        <v>554</v>
      </c>
      <c r="C158" s="8" t="s">
        <v>1019</v>
      </c>
      <c r="D158" s="8" t="s">
        <v>563</v>
      </c>
      <c r="E158" s="8" t="s">
        <v>995</v>
      </c>
      <c r="F158" s="7" t="s">
        <v>21</v>
      </c>
      <c r="G158" s="8" t="s">
        <v>1020</v>
      </c>
      <c r="H158" s="19" t="s">
        <v>1388</v>
      </c>
      <c r="I158" s="8" t="s">
        <v>590</v>
      </c>
      <c r="J158" s="8" t="s">
        <v>1021</v>
      </c>
      <c r="K158" s="8" t="s">
        <v>1022</v>
      </c>
      <c r="L158" s="8" t="s">
        <v>1023</v>
      </c>
      <c r="M158" s="6" t="s">
        <v>21</v>
      </c>
      <c r="N158" s="8" t="s">
        <v>78</v>
      </c>
      <c r="O158" s="8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32.25" customHeight="1" thickBot="1">
      <c r="A159" s="3">
        <v>155</v>
      </c>
      <c r="B159" s="3" t="s">
        <v>554</v>
      </c>
      <c r="C159" s="4" t="s">
        <v>1024</v>
      </c>
      <c r="D159" s="4" t="s">
        <v>690</v>
      </c>
      <c r="E159" s="4" t="s">
        <v>995</v>
      </c>
      <c r="F159" s="3" t="s">
        <v>21</v>
      </c>
      <c r="G159" s="4" t="s">
        <v>1025</v>
      </c>
      <c r="H159" s="19" t="s">
        <v>1389</v>
      </c>
      <c r="I159" s="4" t="s">
        <v>884</v>
      </c>
      <c r="J159" s="4" t="s">
        <v>380</v>
      </c>
      <c r="K159" s="4" t="s">
        <v>1026</v>
      </c>
      <c r="L159" s="4" t="s">
        <v>1027</v>
      </c>
      <c r="M159" s="10" t="s">
        <v>37</v>
      </c>
      <c r="N159" s="4" t="s">
        <v>78</v>
      </c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32.25" customHeight="1" thickBot="1">
      <c r="A160" s="7">
        <v>156</v>
      </c>
      <c r="B160" s="7" t="s">
        <v>554</v>
      </c>
      <c r="C160" s="8" t="s">
        <v>1028</v>
      </c>
      <c r="D160" s="8" t="s">
        <v>588</v>
      </c>
      <c r="E160" s="8" t="s">
        <v>995</v>
      </c>
      <c r="F160" s="7" t="s">
        <v>21</v>
      </c>
      <c r="G160" s="9" t="s">
        <v>1029</v>
      </c>
      <c r="H160" s="19" t="s">
        <v>1390</v>
      </c>
      <c r="I160" s="8" t="s">
        <v>66</v>
      </c>
      <c r="J160" s="8" t="s">
        <v>1030</v>
      </c>
      <c r="K160" s="8" t="s">
        <v>1031</v>
      </c>
      <c r="L160" s="8" t="s">
        <v>1032</v>
      </c>
      <c r="M160" s="6" t="s">
        <v>21</v>
      </c>
      <c r="N160" s="8" t="s">
        <v>27</v>
      </c>
      <c r="O160" s="8" t="s">
        <v>1033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32.25" customHeight="1" thickBot="1">
      <c r="A161" s="7">
        <v>157</v>
      </c>
      <c r="B161" s="7" t="s">
        <v>554</v>
      </c>
      <c r="C161" s="8" t="s">
        <v>1034</v>
      </c>
      <c r="D161" s="8" t="s">
        <v>576</v>
      </c>
      <c r="E161" s="8" t="s">
        <v>995</v>
      </c>
      <c r="F161" s="7" t="s">
        <v>57</v>
      </c>
      <c r="G161" s="9" t="s">
        <v>1035</v>
      </c>
      <c r="H161" s="31" t="s">
        <v>1391</v>
      </c>
      <c r="I161" s="8" t="s">
        <v>1036</v>
      </c>
      <c r="J161" s="8" t="s">
        <v>1037</v>
      </c>
      <c r="K161" s="8" t="s">
        <v>1038</v>
      </c>
      <c r="L161" s="8" t="s">
        <v>1039</v>
      </c>
      <c r="M161" s="6" t="s">
        <v>21</v>
      </c>
      <c r="N161" s="8" t="s">
        <v>27</v>
      </c>
      <c r="O161" s="8" t="s">
        <v>1040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32.25" customHeight="1" thickBot="1">
      <c r="A162" s="3">
        <v>158</v>
      </c>
      <c r="B162" s="3" t="s">
        <v>554</v>
      </c>
      <c r="C162" s="4" t="s">
        <v>1041</v>
      </c>
      <c r="D162" s="4" t="s">
        <v>588</v>
      </c>
      <c r="E162" s="4" t="s">
        <v>995</v>
      </c>
      <c r="F162" s="3" t="s">
        <v>57</v>
      </c>
      <c r="G162" s="4" t="s">
        <v>1042</v>
      </c>
      <c r="H162" s="31" t="s">
        <v>1392</v>
      </c>
      <c r="I162" s="4" t="s">
        <v>1043</v>
      </c>
      <c r="J162" s="4" t="s">
        <v>1044</v>
      </c>
      <c r="K162" s="4" t="s">
        <v>1045</v>
      </c>
      <c r="L162" s="4" t="s">
        <v>1046</v>
      </c>
      <c r="M162" s="6" t="s">
        <v>21</v>
      </c>
      <c r="N162" s="4" t="s">
        <v>27</v>
      </c>
      <c r="O162" s="4" t="s">
        <v>664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34.799999999999997" thickBot="1">
      <c r="A163" s="7">
        <v>159</v>
      </c>
      <c r="B163" s="7" t="s">
        <v>554</v>
      </c>
      <c r="C163" s="8" t="s">
        <v>1047</v>
      </c>
      <c r="D163" s="8" t="s">
        <v>1048</v>
      </c>
      <c r="E163" s="8" t="s">
        <v>995</v>
      </c>
      <c r="F163" s="7" t="s">
        <v>31</v>
      </c>
      <c r="G163" s="9" t="s">
        <v>1049</v>
      </c>
      <c r="H163" s="32" t="s">
        <v>1400</v>
      </c>
      <c r="I163" s="8" t="s">
        <v>1050</v>
      </c>
      <c r="J163" s="8" t="s">
        <v>1051</v>
      </c>
      <c r="K163" s="8" t="s">
        <v>1052</v>
      </c>
      <c r="L163" s="8" t="s">
        <v>1053</v>
      </c>
      <c r="M163" s="10" t="s">
        <v>37</v>
      </c>
      <c r="N163" s="8" t="s">
        <v>27</v>
      </c>
      <c r="O163" s="8" t="s">
        <v>1054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32.25" customHeight="1" thickBot="1">
      <c r="A164" s="3">
        <v>160</v>
      </c>
      <c r="B164" s="3" t="s">
        <v>554</v>
      </c>
      <c r="C164" s="4" t="s">
        <v>1055</v>
      </c>
      <c r="D164" s="4" t="s">
        <v>843</v>
      </c>
      <c r="E164" s="4" t="s">
        <v>995</v>
      </c>
      <c r="F164" s="3" t="s">
        <v>57</v>
      </c>
      <c r="G164" s="5" t="s">
        <v>1056</v>
      </c>
      <c r="H164" s="19" t="s">
        <v>1393</v>
      </c>
      <c r="I164" s="4" t="s">
        <v>66</v>
      </c>
      <c r="J164" s="4" t="s">
        <v>1057</v>
      </c>
      <c r="K164" s="4" t="s">
        <v>1058</v>
      </c>
      <c r="L164" s="4" t="s">
        <v>1059</v>
      </c>
      <c r="M164" s="6" t="s">
        <v>21</v>
      </c>
      <c r="N164" s="4" t="s">
        <v>27</v>
      </c>
      <c r="O164" s="4" t="s">
        <v>1060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32.25" customHeight="1" thickBot="1">
      <c r="A165" s="7">
        <v>161</v>
      </c>
      <c r="B165" s="7" t="s">
        <v>554</v>
      </c>
      <c r="C165" s="8" t="s">
        <v>1061</v>
      </c>
      <c r="D165" s="8" t="s">
        <v>690</v>
      </c>
      <c r="E165" s="8" t="s">
        <v>995</v>
      </c>
      <c r="F165" s="7" t="s">
        <v>31</v>
      </c>
      <c r="G165" s="9" t="s">
        <v>1062</v>
      </c>
      <c r="H165" s="19" t="s">
        <v>1394</v>
      </c>
      <c r="I165" s="8" t="s">
        <v>66</v>
      </c>
      <c r="J165" s="8" t="s">
        <v>1063</v>
      </c>
      <c r="K165" s="8" t="s">
        <v>1064</v>
      </c>
      <c r="L165" s="8" t="s">
        <v>1065</v>
      </c>
      <c r="M165" s="10" t="s">
        <v>37</v>
      </c>
      <c r="N165" s="8" t="s">
        <v>27</v>
      </c>
      <c r="O165" s="8" t="s">
        <v>1066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32.25" customHeight="1" thickBot="1">
      <c r="A166" s="3">
        <v>162</v>
      </c>
      <c r="B166" s="3" t="s">
        <v>554</v>
      </c>
      <c r="C166" s="4" t="s">
        <v>1067</v>
      </c>
      <c r="D166" s="4" t="s">
        <v>563</v>
      </c>
      <c r="E166" s="4" t="s">
        <v>995</v>
      </c>
      <c r="F166" s="3" t="s">
        <v>21</v>
      </c>
      <c r="G166" s="5" t="s">
        <v>1068</v>
      </c>
      <c r="H166" s="19" t="s">
        <v>1395</v>
      </c>
      <c r="I166" s="4" t="s">
        <v>66</v>
      </c>
      <c r="J166" s="4" t="s">
        <v>1069</v>
      </c>
      <c r="K166" s="4" t="s">
        <v>1070</v>
      </c>
      <c r="L166" s="4" t="s">
        <v>1071</v>
      </c>
      <c r="M166" s="6" t="s">
        <v>21</v>
      </c>
      <c r="N166" s="4" t="s">
        <v>27</v>
      </c>
      <c r="O166" s="4" t="s">
        <v>1072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32.25" customHeight="1" thickBot="1">
      <c r="A167" s="7">
        <v>163</v>
      </c>
      <c r="B167" s="7" t="s">
        <v>554</v>
      </c>
      <c r="C167" s="8" t="s">
        <v>1073</v>
      </c>
      <c r="D167" s="8" t="s">
        <v>712</v>
      </c>
      <c r="E167" s="8" t="s">
        <v>995</v>
      </c>
      <c r="F167" s="7" t="s">
        <v>31</v>
      </c>
      <c r="G167" s="9" t="s">
        <v>1074</v>
      </c>
      <c r="H167" s="19" t="s">
        <v>1396</v>
      </c>
      <c r="I167" s="8" t="s">
        <v>66</v>
      </c>
      <c r="J167" s="8" t="s">
        <v>1075</v>
      </c>
      <c r="K167" s="8" t="s">
        <v>1076</v>
      </c>
      <c r="L167" s="8" t="s">
        <v>1077</v>
      </c>
      <c r="M167" s="10" t="s">
        <v>37</v>
      </c>
      <c r="N167" s="8" t="s">
        <v>27</v>
      </c>
      <c r="O167" s="8" t="s">
        <v>1078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32.25" customHeight="1" thickBot="1">
      <c r="A168" s="3">
        <v>164</v>
      </c>
      <c r="B168" s="3" t="s">
        <v>554</v>
      </c>
      <c r="C168" s="4" t="s">
        <v>1079</v>
      </c>
      <c r="D168" s="4" t="s">
        <v>576</v>
      </c>
      <c r="E168" s="4" t="s">
        <v>995</v>
      </c>
      <c r="F168" s="3" t="s">
        <v>31</v>
      </c>
      <c r="G168" s="5" t="s">
        <v>1080</v>
      </c>
      <c r="H168" s="31" t="s">
        <v>1397</v>
      </c>
      <c r="I168" s="4" t="s">
        <v>66</v>
      </c>
      <c r="J168" s="4" t="s">
        <v>944</v>
      </c>
      <c r="K168" s="4" t="s">
        <v>1081</v>
      </c>
      <c r="L168" s="4" t="s">
        <v>1082</v>
      </c>
      <c r="M168" s="10" t="s">
        <v>37</v>
      </c>
      <c r="N168" s="4" t="s">
        <v>27</v>
      </c>
      <c r="O168" s="4" t="s">
        <v>1083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32.25" customHeight="1" thickBot="1">
      <c r="A169" s="7">
        <v>165</v>
      </c>
      <c r="B169" s="7" t="s">
        <v>554</v>
      </c>
      <c r="C169" s="8" t="s">
        <v>1084</v>
      </c>
      <c r="D169" s="8" t="s">
        <v>757</v>
      </c>
      <c r="E169" s="8" t="s">
        <v>995</v>
      </c>
      <c r="F169" s="7" t="s">
        <v>31</v>
      </c>
      <c r="G169" s="8" t="s">
        <v>1085</v>
      </c>
      <c r="H169" s="19" t="s">
        <v>1398</v>
      </c>
      <c r="I169" s="8" t="s">
        <v>884</v>
      </c>
      <c r="J169" s="8" t="s">
        <v>424</v>
      </c>
      <c r="K169" s="8" t="s">
        <v>1086</v>
      </c>
      <c r="L169" s="8" t="s">
        <v>1087</v>
      </c>
      <c r="M169" s="10" t="s">
        <v>37</v>
      </c>
      <c r="N169" s="8" t="s">
        <v>27</v>
      </c>
      <c r="O169" s="8" t="s">
        <v>1088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32.25" customHeight="1" thickBot="1">
      <c r="A170" s="3">
        <v>166</v>
      </c>
      <c r="B170" s="3" t="s">
        <v>554</v>
      </c>
      <c r="C170" s="4" t="s">
        <v>1089</v>
      </c>
      <c r="D170" s="4" t="s">
        <v>1090</v>
      </c>
      <c r="E170" s="4" t="s">
        <v>995</v>
      </c>
      <c r="F170" s="3" t="s">
        <v>31</v>
      </c>
      <c r="G170" s="5" t="s">
        <v>1091</v>
      </c>
      <c r="H170" s="19" t="s">
        <v>1399</v>
      </c>
      <c r="I170" s="4" t="s">
        <v>692</v>
      </c>
      <c r="J170" s="4" t="s">
        <v>1092</v>
      </c>
      <c r="K170" s="4" t="s">
        <v>1093</v>
      </c>
      <c r="L170" s="4" t="s">
        <v>1094</v>
      </c>
      <c r="M170" s="6" t="s">
        <v>21</v>
      </c>
      <c r="N170" s="4" t="s">
        <v>27</v>
      </c>
      <c r="O170" s="4" t="s">
        <v>1095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/>
    <row r="372" spans="1:27" ht="15.75" customHeight="1"/>
    <row r="373" spans="1:27" ht="15.75" customHeight="1"/>
    <row r="374" spans="1:27" ht="15.75" customHeight="1"/>
    <row r="375" spans="1:27" ht="15.75" customHeight="1"/>
    <row r="376" spans="1:27" ht="15.75" customHeight="1"/>
    <row r="377" spans="1:27" ht="15.75" customHeight="1"/>
    <row r="378" spans="1:27" ht="15.75" customHeight="1"/>
    <row r="379" spans="1:27" ht="15.75" customHeight="1"/>
    <row r="380" spans="1:27" ht="15.75" customHeight="1"/>
    <row r="381" spans="1:27" ht="15.75" customHeight="1"/>
    <row r="382" spans="1:27" ht="15.75" customHeight="1"/>
    <row r="383" spans="1:27" ht="15.75" customHeight="1"/>
    <row r="384" spans="1:27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O170" xr:uid="{00000000-0009-0000-0000-000000000000}"/>
  <mergeCells count="3">
    <mergeCell ref="A1:O1"/>
    <mergeCell ref="A2:O2"/>
    <mergeCell ref="A3:O3"/>
  </mergeCells>
  <hyperlinks>
    <hyperlink ref="G5" r:id="rId1" xr:uid="{00000000-0004-0000-0000-000000000000}"/>
    <hyperlink ref="G6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2" r:id="rId7" xr:uid="{00000000-0004-0000-0000-000006000000}"/>
    <hyperlink ref="G13" r:id="rId8" xr:uid="{00000000-0004-0000-0000-000007000000}"/>
    <hyperlink ref="G14" r:id="rId9" xr:uid="{00000000-0004-0000-0000-000008000000}"/>
    <hyperlink ref="G15" r:id="rId10" xr:uid="{00000000-0004-0000-0000-000009000000}"/>
    <hyperlink ref="G16" r:id="rId11" xr:uid="{00000000-0004-0000-0000-00000A000000}"/>
    <hyperlink ref="G17" r:id="rId12" xr:uid="{00000000-0004-0000-0000-00000B000000}"/>
    <hyperlink ref="G18" r:id="rId13" xr:uid="{00000000-0004-0000-0000-00000C000000}"/>
    <hyperlink ref="G19" r:id="rId14" xr:uid="{00000000-0004-0000-0000-00000D000000}"/>
    <hyperlink ref="G20" r:id="rId15" xr:uid="{00000000-0004-0000-0000-00000E000000}"/>
    <hyperlink ref="G21" r:id="rId16" xr:uid="{00000000-0004-0000-0000-00000F000000}"/>
    <hyperlink ref="G22" r:id="rId17" xr:uid="{00000000-0004-0000-0000-000010000000}"/>
    <hyperlink ref="G23" r:id="rId18" xr:uid="{00000000-0004-0000-0000-000011000000}"/>
    <hyperlink ref="G24" r:id="rId19" xr:uid="{00000000-0004-0000-0000-000012000000}"/>
    <hyperlink ref="G25" r:id="rId20" xr:uid="{00000000-0004-0000-0000-000013000000}"/>
    <hyperlink ref="G26" r:id="rId21" xr:uid="{00000000-0004-0000-0000-000014000000}"/>
    <hyperlink ref="G27" r:id="rId22" xr:uid="{00000000-0004-0000-0000-000015000000}"/>
    <hyperlink ref="G28" r:id="rId23" xr:uid="{00000000-0004-0000-0000-000016000000}"/>
    <hyperlink ref="G29" r:id="rId24" xr:uid="{00000000-0004-0000-0000-000017000000}"/>
    <hyperlink ref="G30" r:id="rId25" xr:uid="{00000000-0004-0000-0000-000018000000}"/>
    <hyperlink ref="G31" r:id="rId26" xr:uid="{00000000-0004-0000-0000-000019000000}"/>
    <hyperlink ref="G32" r:id="rId27" xr:uid="{00000000-0004-0000-0000-00001A000000}"/>
    <hyperlink ref="G33" r:id="rId28" xr:uid="{00000000-0004-0000-0000-00001B000000}"/>
    <hyperlink ref="G34" r:id="rId29" xr:uid="{00000000-0004-0000-0000-00001C000000}"/>
    <hyperlink ref="G35" r:id="rId30" xr:uid="{00000000-0004-0000-0000-00001D000000}"/>
    <hyperlink ref="G36" r:id="rId31" xr:uid="{00000000-0004-0000-0000-00001E000000}"/>
    <hyperlink ref="G37" r:id="rId32" xr:uid="{00000000-0004-0000-0000-00001F000000}"/>
    <hyperlink ref="G38" r:id="rId33" xr:uid="{00000000-0004-0000-0000-000020000000}"/>
    <hyperlink ref="G39" r:id="rId34" xr:uid="{00000000-0004-0000-0000-000021000000}"/>
    <hyperlink ref="G40" r:id="rId35" xr:uid="{00000000-0004-0000-0000-000022000000}"/>
    <hyperlink ref="G41" r:id="rId36" xr:uid="{00000000-0004-0000-0000-000023000000}"/>
    <hyperlink ref="G42" r:id="rId37" xr:uid="{00000000-0004-0000-0000-000024000000}"/>
    <hyperlink ref="G43" r:id="rId38" xr:uid="{00000000-0004-0000-0000-000025000000}"/>
    <hyperlink ref="G44" r:id="rId39" xr:uid="{00000000-0004-0000-0000-000026000000}"/>
    <hyperlink ref="G45" r:id="rId40" xr:uid="{00000000-0004-0000-0000-000027000000}"/>
    <hyperlink ref="G46" r:id="rId41" xr:uid="{00000000-0004-0000-0000-000028000000}"/>
    <hyperlink ref="G47" r:id="rId42" xr:uid="{00000000-0004-0000-0000-000029000000}"/>
    <hyperlink ref="G48" r:id="rId43" xr:uid="{00000000-0004-0000-0000-00002A000000}"/>
    <hyperlink ref="G50" r:id="rId44" xr:uid="{00000000-0004-0000-0000-00002B000000}"/>
    <hyperlink ref="G51" r:id="rId45" xr:uid="{00000000-0004-0000-0000-00002C000000}"/>
    <hyperlink ref="G52" r:id="rId46" xr:uid="{00000000-0004-0000-0000-00002D000000}"/>
    <hyperlink ref="G55" r:id="rId47" xr:uid="{00000000-0004-0000-0000-00002E000000}"/>
    <hyperlink ref="G56" r:id="rId48" xr:uid="{00000000-0004-0000-0000-00002F000000}"/>
    <hyperlink ref="G57" r:id="rId49" xr:uid="{00000000-0004-0000-0000-000030000000}"/>
    <hyperlink ref="G58" r:id="rId50" xr:uid="{00000000-0004-0000-0000-000031000000}"/>
    <hyperlink ref="G59" r:id="rId51" xr:uid="{00000000-0004-0000-0000-000032000000}"/>
    <hyperlink ref="G60" r:id="rId52" xr:uid="{00000000-0004-0000-0000-000033000000}"/>
    <hyperlink ref="G61" r:id="rId53" xr:uid="{00000000-0004-0000-0000-000034000000}"/>
    <hyperlink ref="G62" r:id="rId54" xr:uid="{00000000-0004-0000-0000-000035000000}"/>
    <hyperlink ref="G63" r:id="rId55" xr:uid="{00000000-0004-0000-0000-000036000000}"/>
    <hyperlink ref="G64" r:id="rId56" xr:uid="{00000000-0004-0000-0000-000037000000}"/>
    <hyperlink ref="G66" r:id="rId57" xr:uid="{00000000-0004-0000-0000-000038000000}"/>
    <hyperlink ref="G67" r:id="rId58" xr:uid="{00000000-0004-0000-0000-000039000000}"/>
    <hyperlink ref="G68" r:id="rId59" xr:uid="{00000000-0004-0000-0000-00003A000000}"/>
    <hyperlink ref="G69" r:id="rId60" xr:uid="{00000000-0004-0000-0000-00003B000000}"/>
    <hyperlink ref="G70" r:id="rId61" xr:uid="{00000000-0004-0000-0000-00003C000000}"/>
    <hyperlink ref="G71" r:id="rId62" xr:uid="{00000000-0004-0000-0000-00003D000000}"/>
    <hyperlink ref="G72" r:id="rId63" xr:uid="{00000000-0004-0000-0000-00003E000000}"/>
    <hyperlink ref="G73" r:id="rId64" xr:uid="{00000000-0004-0000-0000-00003F000000}"/>
    <hyperlink ref="G74" r:id="rId65" xr:uid="{00000000-0004-0000-0000-000040000000}"/>
    <hyperlink ref="G75" r:id="rId66" xr:uid="{00000000-0004-0000-0000-000041000000}"/>
    <hyperlink ref="G76" r:id="rId67" xr:uid="{00000000-0004-0000-0000-000042000000}"/>
    <hyperlink ref="G77" r:id="rId68" xr:uid="{00000000-0004-0000-0000-000043000000}"/>
    <hyperlink ref="G78" r:id="rId69" xr:uid="{00000000-0004-0000-0000-000044000000}"/>
    <hyperlink ref="G79" r:id="rId70" xr:uid="{00000000-0004-0000-0000-000045000000}"/>
    <hyperlink ref="G80" r:id="rId71" xr:uid="{00000000-0004-0000-0000-000046000000}"/>
    <hyperlink ref="G81" r:id="rId72" xr:uid="{00000000-0004-0000-0000-000047000000}"/>
    <hyperlink ref="G82" r:id="rId73" xr:uid="{00000000-0004-0000-0000-000048000000}"/>
    <hyperlink ref="G83" r:id="rId74" xr:uid="{00000000-0004-0000-0000-000049000000}"/>
    <hyperlink ref="G84" r:id="rId75" xr:uid="{00000000-0004-0000-0000-00004A000000}"/>
    <hyperlink ref="G85" r:id="rId76" xr:uid="{00000000-0004-0000-0000-00004B000000}"/>
    <hyperlink ref="G86" r:id="rId77" xr:uid="{00000000-0004-0000-0000-00004C000000}"/>
    <hyperlink ref="G87" r:id="rId78" xr:uid="{00000000-0004-0000-0000-00004D000000}"/>
    <hyperlink ref="G88" r:id="rId79" xr:uid="{00000000-0004-0000-0000-00004E000000}"/>
    <hyperlink ref="G89" r:id="rId80" xr:uid="{00000000-0004-0000-0000-00004F000000}"/>
    <hyperlink ref="G90" r:id="rId81" xr:uid="{00000000-0004-0000-0000-000050000000}"/>
    <hyperlink ref="G91" r:id="rId82" xr:uid="{00000000-0004-0000-0000-000051000000}"/>
    <hyperlink ref="G92" r:id="rId83" xr:uid="{00000000-0004-0000-0000-000052000000}"/>
    <hyperlink ref="G93" r:id="rId84" xr:uid="{00000000-0004-0000-0000-000053000000}"/>
    <hyperlink ref="G94" r:id="rId85" xr:uid="{00000000-0004-0000-0000-000054000000}"/>
    <hyperlink ref="G97" r:id="rId86" xr:uid="{00000000-0004-0000-0000-000055000000}"/>
    <hyperlink ref="G99" r:id="rId87" xr:uid="{00000000-0004-0000-0000-000056000000}"/>
    <hyperlink ref="G100" r:id="rId88" xr:uid="{00000000-0004-0000-0000-000057000000}"/>
    <hyperlink ref="G101" r:id="rId89" xr:uid="{00000000-0004-0000-0000-000058000000}"/>
    <hyperlink ref="G102" r:id="rId90" xr:uid="{00000000-0004-0000-0000-000059000000}"/>
    <hyperlink ref="G103" r:id="rId91" xr:uid="{00000000-0004-0000-0000-00005A000000}"/>
    <hyperlink ref="G104" r:id="rId92" xr:uid="{00000000-0004-0000-0000-00005B000000}"/>
    <hyperlink ref="G106" r:id="rId93" xr:uid="{00000000-0004-0000-0000-00005C000000}"/>
    <hyperlink ref="G107" r:id="rId94" xr:uid="{00000000-0004-0000-0000-00005D000000}"/>
    <hyperlink ref="G108" r:id="rId95" xr:uid="{00000000-0004-0000-0000-00005E000000}"/>
    <hyperlink ref="G109" r:id="rId96" xr:uid="{00000000-0004-0000-0000-00005F000000}"/>
    <hyperlink ref="G110" r:id="rId97" xr:uid="{00000000-0004-0000-0000-000060000000}"/>
    <hyperlink ref="G111" r:id="rId98" xr:uid="{00000000-0004-0000-0000-000061000000}"/>
    <hyperlink ref="G112" r:id="rId99" xr:uid="{00000000-0004-0000-0000-000062000000}"/>
    <hyperlink ref="G113" r:id="rId100" xr:uid="{00000000-0004-0000-0000-000063000000}"/>
    <hyperlink ref="G114" r:id="rId101" xr:uid="{00000000-0004-0000-0000-000064000000}"/>
    <hyperlink ref="G115" r:id="rId102" xr:uid="{00000000-0004-0000-0000-000065000000}"/>
    <hyperlink ref="G116" r:id="rId103" xr:uid="{00000000-0004-0000-0000-000066000000}"/>
    <hyperlink ref="G117" r:id="rId104" xr:uid="{00000000-0004-0000-0000-000067000000}"/>
    <hyperlink ref="G118" r:id="rId105" xr:uid="{00000000-0004-0000-0000-000068000000}"/>
    <hyperlink ref="G119" r:id="rId106" xr:uid="{00000000-0004-0000-0000-000069000000}"/>
    <hyperlink ref="G120" r:id="rId107" xr:uid="{00000000-0004-0000-0000-00006A000000}"/>
    <hyperlink ref="G121" r:id="rId108" xr:uid="{00000000-0004-0000-0000-00006B000000}"/>
    <hyperlink ref="G122" r:id="rId109" xr:uid="{00000000-0004-0000-0000-00006C000000}"/>
    <hyperlink ref="G123" r:id="rId110" xr:uid="{00000000-0004-0000-0000-00006D000000}"/>
    <hyperlink ref="G124" r:id="rId111" xr:uid="{00000000-0004-0000-0000-00006E000000}"/>
    <hyperlink ref="G125" r:id="rId112" xr:uid="{00000000-0004-0000-0000-00006F000000}"/>
    <hyperlink ref="G126" r:id="rId113" xr:uid="{00000000-0004-0000-0000-000070000000}"/>
    <hyperlink ref="G127" r:id="rId114" xr:uid="{00000000-0004-0000-0000-000071000000}"/>
    <hyperlink ref="G128" r:id="rId115" xr:uid="{00000000-0004-0000-0000-000072000000}"/>
    <hyperlink ref="G129" r:id="rId116" xr:uid="{00000000-0004-0000-0000-000073000000}"/>
    <hyperlink ref="G130" r:id="rId117" xr:uid="{00000000-0004-0000-0000-000074000000}"/>
    <hyperlink ref="G131" r:id="rId118" xr:uid="{00000000-0004-0000-0000-000075000000}"/>
    <hyperlink ref="G132" r:id="rId119" xr:uid="{00000000-0004-0000-0000-000076000000}"/>
    <hyperlink ref="G135" r:id="rId120" xr:uid="{00000000-0004-0000-0000-000077000000}"/>
    <hyperlink ref="G136" r:id="rId121" xr:uid="{00000000-0004-0000-0000-000078000000}"/>
    <hyperlink ref="G137" r:id="rId122" xr:uid="{00000000-0004-0000-0000-000079000000}"/>
    <hyperlink ref="G138" r:id="rId123" xr:uid="{00000000-0004-0000-0000-00007A000000}"/>
    <hyperlink ref="G140" r:id="rId124" xr:uid="{00000000-0004-0000-0000-00007B000000}"/>
    <hyperlink ref="G141" r:id="rId125" xr:uid="{00000000-0004-0000-0000-00007C000000}"/>
    <hyperlink ref="G142" r:id="rId126" xr:uid="{00000000-0004-0000-0000-00007D000000}"/>
    <hyperlink ref="G143" r:id="rId127" xr:uid="{00000000-0004-0000-0000-00007E000000}"/>
    <hyperlink ref="G144" r:id="rId128" xr:uid="{00000000-0004-0000-0000-00007F000000}"/>
    <hyperlink ref="G145" r:id="rId129" xr:uid="{00000000-0004-0000-0000-000080000000}"/>
    <hyperlink ref="G146" r:id="rId130" xr:uid="{00000000-0004-0000-0000-000081000000}"/>
    <hyperlink ref="G147" r:id="rId131" xr:uid="{00000000-0004-0000-0000-000082000000}"/>
    <hyperlink ref="G148" r:id="rId132" xr:uid="{00000000-0004-0000-0000-000083000000}"/>
    <hyperlink ref="G149" r:id="rId133" xr:uid="{00000000-0004-0000-0000-000084000000}"/>
    <hyperlink ref="G150" r:id="rId134" xr:uid="{00000000-0004-0000-0000-000085000000}"/>
    <hyperlink ref="G151" r:id="rId135" xr:uid="{00000000-0004-0000-0000-000086000000}"/>
    <hyperlink ref="G153" r:id="rId136" xr:uid="{00000000-0004-0000-0000-000087000000}"/>
    <hyperlink ref="G154" r:id="rId137" xr:uid="{00000000-0004-0000-0000-000088000000}"/>
    <hyperlink ref="G157" r:id="rId138" xr:uid="{00000000-0004-0000-0000-000089000000}"/>
    <hyperlink ref="G160" r:id="rId139" xr:uid="{00000000-0004-0000-0000-00008A000000}"/>
    <hyperlink ref="G161" r:id="rId140" xr:uid="{00000000-0004-0000-0000-00008B000000}"/>
    <hyperlink ref="G163" r:id="rId141" xr:uid="{00000000-0004-0000-0000-00008C000000}"/>
    <hyperlink ref="G164" r:id="rId142" xr:uid="{00000000-0004-0000-0000-00008D000000}"/>
    <hyperlink ref="G165" r:id="rId143" xr:uid="{00000000-0004-0000-0000-00008E000000}"/>
    <hyperlink ref="G166" r:id="rId144" xr:uid="{00000000-0004-0000-0000-00008F000000}"/>
    <hyperlink ref="G167" r:id="rId145" xr:uid="{00000000-0004-0000-0000-000090000000}"/>
    <hyperlink ref="G168" r:id="rId146" xr:uid="{00000000-0004-0000-0000-000091000000}"/>
    <hyperlink ref="G170" r:id="rId147" xr:uid="{00000000-0004-0000-0000-000092000000}"/>
    <hyperlink ref="H161" r:id="rId148" xr:uid="{97611471-CA9F-4698-9968-5127F7106556}"/>
    <hyperlink ref="H162" r:id="rId149" xr:uid="{AAFADFAE-6A40-495F-BA35-17B4F9753598}"/>
    <hyperlink ref="H168" r:id="rId150" xr:uid="{5F0EC077-70B5-4CF5-BA17-A8330A343E50}"/>
    <hyperlink ref="H104" r:id="rId151" xr:uid="{4AE1F9DA-A377-4947-B8A8-5F2BD357D9B1}"/>
    <hyperlink ref="H93" r:id="rId152" xr:uid="{09667FDD-51DE-416A-A9AD-41F5F1E63E9D}"/>
    <hyperlink ref="H163" r:id="rId153" xr:uid="{227C4225-B6F1-47AD-B57A-D6DDBF993D43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11" customWidth="1"/>
    <col min="2" max="2" width="34" customWidth="1"/>
    <col min="3" max="3" width="10" customWidth="1"/>
    <col min="4" max="6" width="15" customWidth="1"/>
  </cols>
  <sheetData>
    <row r="1" spans="1:26" ht="24" customHeight="1">
      <c r="A1" s="21" t="s">
        <v>1096</v>
      </c>
      <c r="B1" s="22"/>
      <c r="C1" s="22"/>
      <c r="D1" s="22"/>
      <c r="E1" s="22"/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3" t="s">
        <v>1097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27" t="s">
        <v>1098</v>
      </c>
      <c r="B4" s="24"/>
      <c r="C4" s="24"/>
      <c r="D4" s="24"/>
      <c r="E4" s="24"/>
      <c r="F4" s="2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25" customHeight="1">
      <c r="A5" s="2" t="s">
        <v>4</v>
      </c>
      <c r="B5" s="2" t="s">
        <v>7</v>
      </c>
      <c r="C5" s="2" t="s">
        <v>1099</v>
      </c>
      <c r="D5" s="2" t="s">
        <v>1100</v>
      </c>
      <c r="E5" s="2" t="s">
        <v>1101</v>
      </c>
      <c r="F5" s="2" t="s">
        <v>1102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3" t="s">
        <v>17</v>
      </c>
      <c r="B6" s="4" t="s">
        <v>20</v>
      </c>
      <c r="C6" s="3">
        <f>COUNTIFS('Leads B2B'!$E:$E,B6)</f>
        <v>22</v>
      </c>
      <c r="D6" s="3">
        <f>COUNTIFS('Leads B2B'!$E:$E,B6,'Leads B2B'!$M:$M,"Alta")</f>
        <v>8</v>
      </c>
      <c r="E6" s="3">
        <f>COUNTIFS('Leads B2B'!$E:$E,B6,'Leads B2B'!$M:$M,"Média")</f>
        <v>13</v>
      </c>
      <c r="F6" s="3">
        <f>COUNTIFS('Leads B2B'!$E:$E,B6,'Leads B2B'!$M:$M,"Baixa")</f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>
      <c r="A7" s="3" t="s">
        <v>17</v>
      </c>
      <c r="B7" s="4" t="s">
        <v>190</v>
      </c>
      <c r="C7" s="3">
        <f>COUNTIFS('Leads B2B'!$E:$E,B7)</f>
        <v>21</v>
      </c>
      <c r="D7" s="3">
        <f>COUNTIFS('Leads B2B'!$E:$E,B7,'Leads B2B'!$M:$M,"Alta")</f>
        <v>9</v>
      </c>
      <c r="E7" s="3">
        <f>COUNTIFS('Leads B2B'!$E:$E,B7,'Leads B2B'!$M:$M,"Média")</f>
        <v>12</v>
      </c>
      <c r="F7" s="3">
        <f>COUNTIFS('Leads B2B'!$E:$E,B7,'Leads B2B'!$M:$M,"Baixa")</f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3" t="s">
        <v>17</v>
      </c>
      <c r="B8" s="4" t="s">
        <v>342</v>
      </c>
      <c r="C8" s="3">
        <f>COUNTIFS('Leads B2B'!$E:$E,B8)</f>
        <v>19</v>
      </c>
      <c r="D8" s="3">
        <f>COUNTIFS('Leads B2B'!$E:$E,B8,'Leads B2B'!$M:$M,"Alta")</f>
        <v>13</v>
      </c>
      <c r="E8" s="3">
        <f>COUNTIFS('Leads B2B'!$E:$E,B8,'Leads B2B'!$M:$M,"Média")</f>
        <v>6</v>
      </c>
      <c r="F8" s="3">
        <f>COUNTIFS('Leads B2B'!$E:$E,B8,'Leads B2B'!$M:$M,"Baixa")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3" t="s">
        <v>17</v>
      </c>
      <c r="B9" s="4" t="s">
        <v>453</v>
      </c>
      <c r="C9" s="3">
        <f>COUNTIFS('Leads B2B'!$E:$E,B9)</f>
        <v>18</v>
      </c>
      <c r="D9" s="3">
        <f>COUNTIFS('Leads B2B'!$E:$E,B9,'Leads B2B'!$M:$M,"Alta")</f>
        <v>16</v>
      </c>
      <c r="E9" s="3">
        <f>COUNTIFS('Leads B2B'!$E:$E,B9,'Leads B2B'!$M:$M,"Média")</f>
        <v>2</v>
      </c>
      <c r="F9" s="3">
        <f>COUNTIFS('Leads B2B'!$E:$E,B9,'Leads B2B'!$M:$M,"Baixa")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3" t="s">
        <v>554</v>
      </c>
      <c r="B10" s="4" t="s">
        <v>557</v>
      </c>
      <c r="C10" s="3">
        <f>COUNTIFS('Leads B2B'!$E:$E,B10)</f>
        <v>22</v>
      </c>
      <c r="D10" s="3">
        <f>COUNTIFS('Leads B2B'!$E:$E,B10,'Leads B2B'!$M:$M,"Alta")</f>
        <v>9</v>
      </c>
      <c r="E10" s="3">
        <f>COUNTIFS('Leads B2B'!$E:$E,B10,'Leads B2B'!$M:$M,"Média")</f>
        <v>11</v>
      </c>
      <c r="F10" s="3">
        <f>COUNTIFS('Leads B2B'!$E:$E,B10,'Leads B2B'!$M:$M,"Baixa")</f>
        <v>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3" t="s">
        <v>554</v>
      </c>
      <c r="B11" s="4" t="s">
        <v>704</v>
      </c>
      <c r="C11" s="3">
        <f>COUNTIFS('Leads B2B'!$E:$E,B11)</f>
        <v>28</v>
      </c>
      <c r="D11" s="3">
        <f>COUNTIFS('Leads B2B'!$E:$E,B11,'Leads B2B'!$M:$M,"Alta")</f>
        <v>12</v>
      </c>
      <c r="E11" s="3">
        <f>COUNTIFS('Leads B2B'!$E:$E,B11,'Leads B2B'!$M:$M,"Média")</f>
        <v>16</v>
      </c>
      <c r="F11" s="3">
        <f>COUNTIFS('Leads B2B'!$E:$E,B11,'Leads B2B'!$M:$M,"Baixa")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3" t="s">
        <v>554</v>
      </c>
      <c r="B12" s="4" t="s">
        <v>892</v>
      </c>
      <c r="C12" s="3">
        <f>COUNTIFS('Leads B2B'!$E:$E,B12)</f>
        <v>19</v>
      </c>
      <c r="D12" s="3">
        <f>COUNTIFS('Leads B2B'!$E:$E,B12,'Leads B2B'!$M:$M,"Alta")</f>
        <v>8</v>
      </c>
      <c r="E12" s="3">
        <f>COUNTIFS('Leads B2B'!$E:$E,B12,'Leads B2B'!$M:$M,"Média")</f>
        <v>10</v>
      </c>
      <c r="F12" s="3">
        <f>COUNTIFS('Leads B2B'!$E:$E,B12,'Leads B2B'!$M:$M,"Baixa")</f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3" t="s">
        <v>554</v>
      </c>
      <c r="B13" s="4" t="s">
        <v>995</v>
      </c>
      <c r="C13" s="3">
        <f>COUNTIFS('Leads B2B'!$E:$E,B13)</f>
        <v>17</v>
      </c>
      <c r="D13" s="3">
        <f>COUNTIFS('Leads B2B'!$E:$E,B13,'Leads B2B'!$M:$M,"Alta")</f>
        <v>8</v>
      </c>
      <c r="E13" s="3">
        <f>COUNTIFS('Leads B2B'!$E:$E,B13,'Leads B2B'!$M:$M,"Média")</f>
        <v>8</v>
      </c>
      <c r="F13" s="3">
        <f>COUNTIFS('Leads B2B'!$E:$E,B13,'Leads B2B'!$M:$M,"Baixa")</f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4"/>
      <c r="B14" s="14" t="s">
        <v>1103</v>
      </c>
      <c r="C14" s="14">
        <f t="shared" ref="C14:F14" si="0">SUM(C6:C13)</f>
        <v>166</v>
      </c>
      <c r="D14" s="14">
        <f t="shared" si="0"/>
        <v>83</v>
      </c>
      <c r="E14" s="14">
        <f t="shared" si="0"/>
        <v>78</v>
      </c>
      <c r="F14" s="14">
        <f t="shared" si="0"/>
        <v>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27" t="s">
        <v>1104</v>
      </c>
      <c r="B16" s="24"/>
      <c r="C16" s="24"/>
      <c r="D16" s="24"/>
      <c r="E16" s="24"/>
      <c r="F16" s="2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4.75" customHeight="1">
      <c r="A17" s="26" t="s">
        <v>1105</v>
      </c>
      <c r="B17" s="24"/>
      <c r="C17" s="24"/>
      <c r="D17" s="24"/>
      <c r="E17" s="24"/>
      <c r="F17" s="2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27" t="s">
        <v>1106</v>
      </c>
      <c r="B19" s="24"/>
      <c r="C19" s="24"/>
      <c r="D19" s="24"/>
      <c r="E19" s="24"/>
      <c r="F19" s="2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84.75" customHeight="1">
      <c r="A20" s="26" t="s">
        <v>1107</v>
      </c>
      <c r="B20" s="24"/>
      <c r="C20" s="24"/>
      <c r="D20" s="24"/>
      <c r="E20" s="24"/>
      <c r="F20" s="2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27" t="s">
        <v>1108</v>
      </c>
      <c r="B22" s="24"/>
      <c r="C22" s="24"/>
      <c r="D22" s="24"/>
      <c r="E22" s="24"/>
      <c r="F22" s="2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4.75" customHeight="1">
      <c r="A23" s="26" t="s">
        <v>1109</v>
      </c>
      <c r="B23" s="24"/>
      <c r="C23" s="24"/>
      <c r="D23" s="24"/>
      <c r="E23" s="24"/>
      <c r="F23" s="2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27" t="s">
        <v>1110</v>
      </c>
      <c r="B25" s="24"/>
      <c r="C25" s="24"/>
      <c r="D25" s="24"/>
      <c r="E25" s="24"/>
      <c r="F25" s="2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9.5" customHeight="1">
      <c r="A26" s="26" t="s">
        <v>1111</v>
      </c>
      <c r="B26" s="24"/>
      <c r="C26" s="24"/>
      <c r="D26" s="24"/>
      <c r="E26" s="24"/>
      <c r="F26" s="2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3:F23"/>
    <mergeCell ref="A25:F25"/>
    <mergeCell ref="A26:F26"/>
    <mergeCell ref="A1:F1"/>
    <mergeCell ref="A4:F4"/>
    <mergeCell ref="A16:F16"/>
    <mergeCell ref="A17:F17"/>
    <mergeCell ref="A19:F19"/>
    <mergeCell ref="A20:F20"/>
    <mergeCell ref="A22:F2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24" customWidth="1"/>
    <col min="2" max="2" width="98" customWidth="1"/>
    <col min="3" max="6" width="8.6640625" customWidth="1"/>
  </cols>
  <sheetData>
    <row r="1" spans="1:26" ht="24" customHeight="1">
      <c r="A1" s="21" t="s">
        <v>1112</v>
      </c>
      <c r="B1" s="2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>
      <c r="A3" s="15" t="s">
        <v>1113</v>
      </c>
      <c r="B3" s="4" t="s">
        <v>1114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15" t="s">
        <v>1115</v>
      </c>
      <c r="B4" s="4" t="s">
        <v>1116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5" t="s">
        <v>1117</v>
      </c>
      <c r="B5" s="4" t="s">
        <v>1118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15" t="s">
        <v>1119</v>
      </c>
      <c r="B6" s="4" t="s">
        <v>1120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25" customHeight="1">
      <c r="A7" s="15" t="s">
        <v>1121</v>
      </c>
      <c r="B7" s="4" t="s">
        <v>1122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15" t="s">
        <v>1123</v>
      </c>
      <c r="B8" s="4" t="s">
        <v>1124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5" t="s">
        <v>1125</v>
      </c>
      <c r="B9" s="4" t="s">
        <v>1126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15" t="s">
        <v>1127</v>
      </c>
      <c r="B10" s="4" t="s">
        <v>1128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5" t="s">
        <v>8</v>
      </c>
      <c r="B11" s="4" t="s">
        <v>1129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15" t="s">
        <v>15</v>
      </c>
      <c r="B12" s="4" t="s">
        <v>1130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15" t="s">
        <v>1131</v>
      </c>
      <c r="B13" s="4" t="s">
        <v>1132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75" customHeight="1">
      <c r="A14" s="15" t="s">
        <v>1133</v>
      </c>
      <c r="B14" s="4" t="s">
        <v>1134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5" t="s">
        <v>1135</v>
      </c>
      <c r="B15" s="4" t="s">
        <v>1136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5" t="s">
        <v>1137</v>
      </c>
      <c r="B16" s="4" t="s">
        <v>1138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3.5" customHeight="1">
      <c r="A17" s="15" t="s">
        <v>1139</v>
      </c>
      <c r="B17" s="4" t="s">
        <v>1140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3.5" customHeight="1">
      <c r="A18" s="15" t="s">
        <v>14</v>
      </c>
      <c r="B18" s="4" t="s">
        <v>1141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3.5" customHeight="1">
      <c r="A19" s="15" t="s">
        <v>1142</v>
      </c>
      <c r="B19" s="4" t="s">
        <v>1143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30" customWidth="1"/>
    <col min="2" max="2" width="92" customWidth="1"/>
    <col min="3" max="6" width="8.6640625" customWidth="1"/>
  </cols>
  <sheetData>
    <row r="1" spans="1:26" ht="24" customHeight="1">
      <c r="A1" s="21" t="s">
        <v>1144</v>
      </c>
      <c r="B1" s="2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30" t="s">
        <v>1145</v>
      </c>
      <c r="B2" s="2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6" t="s">
        <v>1146</v>
      </c>
      <c r="B4" s="16" t="s">
        <v>1147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8" t="s">
        <v>1148</v>
      </c>
      <c r="B5" s="2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7" t="s">
        <v>1149</v>
      </c>
      <c r="B6" s="4" t="s">
        <v>1150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7" t="s">
        <v>1151</v>
      </c>
      <c r="B7" s="4" t="s">
        <v>1152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7" t="s">
        <v>1153</v>
      </c>
      <c r="B8" s="4" t="s">
        <v>1154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7" t="s">
        <v>1155</v>
      </c>
      <c r="B9" s="4" t="s">
        <v>1156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7" t="s">
        <v>1157</v>
      </c>
      <c r="B10" s="4" t="s">
        <v>1158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7" t="s">
        <v>1159</v>
      </c>
      <c r="B11" s="4" t="s">
        <v>1160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7" t="s">
        <v>1161</v>
      </c>
      <c r="B12" s="4" t="s">
        <v>1162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7" t="s">
        <v>1163</v>
      </c>
      <c r="B13" s="4" t="s">
        <v>1164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7" t="s">
        <v>1165</v>
      </c>
      <c r="B14" s="4" t="s">
        <v>1166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7" t="s">
        <v>1167</v>
      </c>
      <c r="B15" s="4" t="s">
        <v>1168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7" t="s">
        <v>1169</v>
      </c>
      <c r="B16" s="4" t="s">
        <v>1170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7" t="s">
        <v>1171</v>
      </c>
      <c r="B17" s="4" t="s">
        <v>1172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7" t="s">
        <v>1173</v>
      </c>
      <c r="B18" s="4" t="s">
        <v>1174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7" t="s">
        <v>1175</v>
      </c>
      <c r="B19" s="4" t="s">
        <v>1176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7" t="s">
        <v>1177</v>
      </c>
      <c r="B20" s="4" t="s">
        <v>1178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7" t="s">
        <v>1179</v>
      </c>
      <c r="B21" s="4" t="s">
        <v>1180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7" t="s">
        <v>1181</v>
      </c>
      <c r="B22" s="4" t="s">
        <v>1182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8" t="s">
        <v>1183</v>
      </c>
      <c r="B23" s="2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7" t="s">
        <v>1184</v>
      </c>
      <c r="B24" s="4" t="s">
        <v>1185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7" t="s">
        <v>1186</v>
      </c>
      <c r="B25" s="4" t="s">
        <v>1187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7" t="s">
        <v>1188</v>
      </c>
      <c r="B26" s="4" t="s">
        <v>1189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7" t="s">
        <v>1190</v>
      </c>
      <c r="B27" s="4" t="s">
        <v>1191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8" t="s">
        <v>1192</v>
      </c>
      <c r="B28" s="2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7" t="s">
        <v>1193</v>
      </c>
      <c r="B29" s="4" t="s">
        <v>1194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7" t="s">
        <v>1195</v>
      </c>
      <c r="B30" s="4" t="s">
        <v>1196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7" t="s">
        <v>1197</v>
      </c>
      <c r="B31" s="4" t="s">
        <v>1198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7" t="s">
        <v>1199</v>
      </c>
      <c r="B32" s="4" t="s">
        <v>1200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7" t="s">
        <v>1201</v>
      </c>
      <c r="B33" s="4" t="s">
        <v>1202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7" t="s">
        <v>1203</v>
      </c>
      <c r="B34" s="4" t="s">
        <v>1204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7" t="s">
        <v>1205</v>
      </c>
      <c r="B35" s="4" t="s">
        <v>1206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7" t="s">
        <v>1207</v>
      </c>
      <c r="B36" s="4" t="s">
        <v>1208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28" t="s">
        <v>1209</v>
      </c>
      <c r="B37" s="2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7" t="s">
        <v>1210</v>
      </c>
      <c r="B38" s="4" t="s">
        <v>1211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7" t="s">
        <v>1212</v>
      </c>
      <c r="B39" s="4" t="s">
        <v>1213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7" t="s">
        <v>1214</v>
      </c>
      <c r="B40" s="4" t="s">
        <v>1215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7" t="s">
        <v>1216</v>
      </c>
      <c r="B41" s="4" t="s">
        <v>1217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7" t="s">
        <v>1218</v>
      </c>
      <c r="B42" s="4" t="s">
        <v>1219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customHeight="1">
      <c r="A43" s="17" t="s">
        <v>1220</v>
      </c>
      <c r="B43" s="4" t="s">
        <v>1221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7" t="s">
        <v>1222</v>
      </c>
      <c r="B44" s="4" t="s">
        <v>1223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28" t="s">
        <v>1224</v>
      </c>
      <c r="B45" s="2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7" t="s">
        <v>1225</v>
      </c>
      <c r="B46" s="4" t="s">
        <v>1226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7" t="s">
        <v>1227</v>
      </c>
      <c r="B47" s="4" t="s">
        <v>1228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7" t="s">
        <v>1229</v>
      </c>
      <c r="B48" s="4" t="s">
        <v>1230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7" t="s">
        <v>1231</v>
      </c>
      <c r="B49" s="4" t="s">
        <v>1232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7" t="s">
        <v>1233</v>
      </c>
      <c r="B50" s="4" t="s">
        <v>1234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7" t="s">
        <v>1131</v>
      </c>
      <c r="B51" s="4" t="s">
        <v>1235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7:B37"/>
    <mergeCell ref="A45:B45"/>
    <mergeCell ref="A1:B1"/>
    <mergeCell ref="A2:B2"/>
    <mergeCell ref="A5:B5"/>
    <mergeCell ref="A23:B23"/>
    <mergeCell ref="A28:B28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Leads B2B</vt:lpstr>
      <vt:lpstr>Analise</vt:lpstr>
      <vt:lpstr>Metodologia e notas</vt:lpstr>
      <vt:lpstr>Glossário (siglas)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Ferreira</dc:creator>
  <cp:lastModifiedBy>Vitor Ferreira</cp:lastModifiedBy>
  <dcterms:created xsi:type="dcterms:W3CDTF">2026-07-19T22:40:13Z</dcterms:created>
  <dcterms:modified xsi:type="dcterms:W3CDTF">2026-07-19T23:19:51Z</dcterms:modified>
</cp:coreProperties>
</file>