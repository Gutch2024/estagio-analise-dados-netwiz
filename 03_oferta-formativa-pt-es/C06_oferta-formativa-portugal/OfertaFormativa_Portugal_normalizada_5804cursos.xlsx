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452AAFCF-C986-44BE-AC52-EFD3171F3CD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Oferta Formativa PT" sheetId="1" r:id="rId1"/>
    <sheet name="Análise" sheetId="2" r:id="rId2"/>
    <sheet name="Relatório" sheetId="3" r:id="rId3"/>
  </sheets>
  <definedNames>
    <definedName name="_xlnm._FilterDatabase" localSheetId="0" hidden="1">'Oferta Formativa PT'!$A$1:$N$5805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2" l="1"/>
  <c r="B49" i="2"/>
  <c r="B48" i="2"/>
  <c r="B47" i="2"/>
  <c r="B46" i="2"/>
  <c r="B45" i="2"/>
  <c r="B44" i="2"/>
  <c r="B43" i="2"/>
  <c r="B42" i="2"/>
  <c r="B41" i="2"/>
  <c r="B37" i="2"/>
  <c r="B36" i="2"/>
  <c r="B35" i="2"/>
  <c r="B34" i="2"/>
  <c r="B33" i="2"/>
  <c r="B32" i="2"/>
  <c r="B31" i="2"/>
  <c r="B30" i="2"/>
  <c r="B26" i="2"/>
  <c r="B25" i="2"/>
  <c r="B21" i="2"/>
  <c r="B20" i="2"/>
  <c r="B16" i="2"/>
  <c r="B15" i="2"/>
  <c r="B14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<sst xmlns="http://schemas.openxmlformats.org/spreadsheetml/2006/main" count="75917" uniqueCount="11067">
  <si>
    <t>Nome da Instituição</t>
  </si>
  <si>
    <t>País</t>
  </si>
  <si>
    <t>Cidade</t>
  </si>
  <si>
    <t>Tipo de Instituição (Pública/Privada)</t>
  </si>
  <si>
    <t>Tipologia do Curso</t>
  </si>
  <si>
    <t>Nome do Curso</t>
  </si>
  <si>
    <t>Área Científica</t>
  </si>
  <si>
    <t>Campus / Unidade / Faculdade</t>
  </si>
  <si>
    <t>Link Oficial do Curso</t>
  </si>
  <si>
    <t>Duração</t>
  </si>
  <si>
    <t>Modalidade</t>
  </si>
  <si>
    <t>Idioma</t>
  </si>
  <si>
    <t>Observações relevantes</t>
  </si>
  <si>
    <t>Região (análise)</t>
  </si>
  <si>
    <t>Atlântica – Instituto Universitário</t>
  </si>
  <si>
    <t>Portugal</t>
  </si>
  <si>
    <t>Oeiras</t>
  </si>
  <si>
    <t>Privada</t>
  </si>
  <si>
    <t>Licenciatura</t>
  </si>
  <si>
    <t>Ciências da Nutrição</t>
  </si>
  <si>
    <t>Terapia e Reabilitação</t>
  </si>
  <si>
    <t>Campus Atlântica, Fábrica da Pólvora de Barcarena</t>
  </si>
  <si>
    <t>https://www.google.com/search?q=site%3Auatlantica.pt%20Ci%C3%AAncias%20da%20Nutri%C3%A7%C3%A3o%20licenciatura</t>
  </si>
  <si>
    <t>4 ano(s) (240 ECTS)</t>
  </si>
  <si>
    <t>Presencial</t>
  </si>
  <si>
    <t>Português</t>
  </si>
  <si>
    <t>A.M. Lisboa</t>
  </si>
  <si>
    <t>Design UX/UI</t>
  </si>
  <si>
    <t>Design</t>
  </si>
  <si>
    <t>https://www.google.com/search?q=site%3Auatlantica.pt%20Design%20UX/UI%20licenciatura</t>
  </si>
  <si>
    <t>3 ano(s) (180 ECTS)</t>
  </si>
  <si>
    <t>Engenharia Aeronáutica</t>
  </si>
  <si>
    <t>Construção e Reparação de Veículos a Motor (aeronáutica)</t>
  </si>
  <si>
    <t>https://www.google.com/search?q=site%3Auatlantica.pt%20Engenharia%20Aeron%C3%A1utica%20licenciatura</t>
  </si>
  <si>
    <t>Engenharia Mecânica</t>
  </si>
  <si>
    <t>Metalurgia e Metalomecânica</t>
  </si>
  <si>
    <t>https://www.google.com/search?q=site%3Auatlantica.pt%20Engenharia%20Mec%C3%A2nica%20licenciatura</t>
  </si>
  <si>
    <t>Engenharia de Materiais</t>
  </si>
  <si>
    <t>https://www.google.com/search?q=site%3Auatlantica.pt%20Engenharia%20de%20Materiais%20licenciatura</t>
  </si>
  <si>
    <t>Em processo de extinção</t>
  </si>
  <si>
    <t>Gestão</t>
  </si>
  <si>
    <t>Gestão e Administração</t>
  </si>
  <si>
    <t>https://www.google.com/search?q=site%3Auatlantica.pt%20Gest%C3%A3o%20licenciatura</t>
  </si>
  <si>
    <t>Gestão da Segurança, Emergência e Proteção Civil</t>
  </si>
  <si>
    <t>Proteção de Pessoas e Bens</t>
  </si>
  <si>
    <t>https://www.google.com/search?q=site%3Auatlantica.pt%20Gest%C3%A3o%20da%20Seguran%C3%A7a%2C%20Emerg%C3%AAncia%20e%20Prote%C3%A7%C3%A3o%20Civil%20licenciatura</t>
  </si>
  <si>
    <t>Gestão de Sistemas e Computação</t>
  </si>
  <si>
    <t>Ciências Informáticas</t>
  </si>
  <si>
    <t>Campus Atlântica, Fábrica da Pólvora de Barcarena, 2730‑036 Barcarena, Oeiras</t>
  </si>
  <si>
    <t>https://www.google.com/search?q=site%3Auatlantica.pt%20Gest%C3%A3o%20de%20Sistemas%20e%20Computa%C3%A7%C3%A3o%20licenciatura</t>
  </si>
  <si>
    <t>Gestão do Transporte Aéreo</t>
  </si>
  <si>
    <t>Serviços de Transporte</t>
  </si>
  <si>
    <t>https://www.google.com/search?q=site%3Auatlantica.pt%20Gest%C3%A3o%20do%20Transporte%20A%C3%A9reo%20licenciatura</t>
  </si>
  <si>
    <t>Gestão em Saúde</t>
  </si>
  <si>
    <t>https://www.google.com/search?q=site%3Auatlantica.pt%20Gest%C3%A3o%20em%20Sa%C3%BAde%20licenciatura</t>
  </si>
  <si>
    <t>Mestrado</t>
  </si>
  <si>
    <t>Campus Atlântica, Barcarena</t>
  </si>
  <si>
    <t>https://www.google.com/search?q=site%3Auatlantica.pt%20Engenharia%20de%20Materiais%20mestrado</t>
  </si>
  <si>
    <t>2 ano(s) (120 ECTS)</t>
  </si>
  <si>
    <t>Engenharia e Gestão de Manutenção Aeronáutica</t>
  </si>
  <si>
    <t>Construção e Reparação de Veículos a Motor</t>
  </si>
  <si>
    <t>https://www.google.com/search?q=site%3Auatlantica.pt%20Engenharia%20e%20Gest%C3%A3o%20de%20Manuten%C3%A7%C3%A3o%20Aeron%C3%A1utica%20mestrado</t>
  </si>
  <si>
    <t>Engenharia e Gestão de Sistemas de Fabrico</t>
  </si>
  <si>
    <t>Engenharia e Técnicas Afins</t>
  </si>
  <si>
    <t>https://www.google.com/search?q=site%3Auatlantica.pt%20Engenharia%20e%20Gest%C3%A3o%20de%20Sistemas%20de%20Fabrico%20mestrado</t>
  </si>
  <si>
    <t>https://www.google.com/search?q=site%3Auatlantica.pt%20Gest%C3%A3o%20mestrado</t>
  </si>
  <si>
    <t>Gestão (registo antigo)</t>
  </si>
  <si>
    <t>https://www.google.com/search?q=site%3Auatlantica.pt%20Gest%C3%A3o%20%28registo%20antigo%29%20mestrado</t>
  </si>
  <si>
    <t>Gestão de Sistemas e Tecnologias de Informação</t>
  </si>
  <si>
    <t>Campus Atlântica, Fábrica da Pólvora de Barcarena, 2730‑036 Barcarena</t>
  </si>
  <si>
    <t>https://www.google.com/search?q=site%3Auatlantica.pt%20Gest%C3%A3o%20de%20Sistemas%20e%20Tecnologias%20de%20Informa%C3%A7%C3%A3o%20mestrado</t>
  </si>
  <si>
    <t>Segurança e Proteção Civil</t>
  </si>
  <si>
    <t>https://www.google.com/search?q=site%3Auatlantica.pt%20Seguran%C3%A7a%20e%20Prote%C3%A7%C3%A3o%20Civil%20mestrado</t>
  </si>
  <si>
    <t>1,5 ano(s) (90 ECTS)</t>
  </si>
  <si>
    <t>Pós-Graduação</t>
  </si>
  <si>
    <t>Curso de Especialista Europeu de Adesivos (EAS)</t>
  </si>
  <si>
    <t>Ciências Dentárias</t>
  </si>
  <si>
    <t>https://www.google.com/search?q=site%3Auatlantica.pt%20Curso%20de%20Especialista%20Europeu%20de%20Adesivos%20%28EAS%29%20p%C3%B3s-gradua%C3%A7%C3%A3o</t>
  </si>
  <si>
    <t>Tempo e créditos não indicados nas páginas de lista consultadas</t>
  </si>
  <si>
    <t>Pós-Graduação de Fitoterapia Clínica</t>
  </si>
  <si>
    <t>Ciências Farmacêuticas</t>
  </si>
  <si>
    <t>Atlântica – Instituto Universitário / área de Saúde</t>
  </si>
  <si>
    <t>https://www.google.com/search?q=site%3Auatlantica.pt%20P%C3%B3s-Gradua%C3%A7%C3%A3o%20de%20Fitoterapia%20Cl%C3%ADnica%20p%C3%B3s-gradua%C3%A7%C3%A3o</t>
  </si>
  <si>
    <t>Tempo e créditos não indicados na página de lista consultada</t>
  </si>
  <si>
    <t>Pós-Graduação em Auditoria Hospitalar e Gestão em Saúde</t>
  </si>
  <si>
    <t>Contabilidade e Fiscalidade</t>
  </si>
  <si>
    <t>https://www.google.com/search?q=site%3Auatlantica.pt%20P%C3%B3s-Gradua%C3%A7%C3%A3o%20em%20Auditoria%20Hospitalar%20e%20Gest%C3%A3o%20em%20Sa%C3%BAde%20p%C3%B3s-gradua%C3%A7%C3%A3o</t>
  </si>
  <si>
    <t>Pós-Graduação em Data Science (PGDS)</t>
  </si>
  <si>
    <t>Estatística</t>
  </si>
  <si>
    <t>https://www.google.com/search?q=site%3Auatlantica.pt%20P%C3%B3s-Gradua%C3%A7%C3%A3o%20em%20Data%20Science%20%28PGDS%29%20p%C3%B3s-gradua%C3%A7%C3%A3o</t>
  </si>
  <si>
    <t>13 fevereiro a 13 novembro 2025 (≈9 meses); ECTS não indicados</t>
  </si>
  <si>
    <t>Online</t>
  </si>
  <si>
    <t>Pós-Graduação em Gestão da Qualidade e Segurança em Saúde</t>
  </si>
  <si>
    <t>Enquadramento na Organização</t>
  </si>
  <si>
    <t>https://www.google.com/search?q=site%3Auatlantica.pt%20P%C3%B3s-Gradua%C3%A7%C3%A3o%20em%20Gest%C3%A3o%20da%20Qualidade%20e%20Seguran%C3%A7a%20em%20Sa%C3%BAde%20p%C3%B3s-gradua%C3%A7%C3%A3o</t>
  </si>
  <si>
    <t>Pós-Graduação em Gestão de Companhias Aéreas</t>
  </si>
  <si>
    <t>Atlântica – Instituto Universitário (parceria Aeroclass)</t>
  </si>
  <si>
    <t>https://www.google.com/search?q=site%3Auatlantica.pt%20P%C3%B3s-Gradua%C3%A7%C3%A3o%20em%20Gest%C3%A3o%20de%20Companhias%20A%C3%A9reas%20p%C3%B3s-gradua%C3%A7%C3%A3o</t>
  </si>
  <si>
    <t>0,8 ano(s) (45 ECTS)</t>
  </si>
  <si>
    <t>Pós-Graduação em Gestão e Liderança dos Serviços de Saúde</t>
  </si>
  <si>
    <t>Atlântica – Instituto Universitário / ESSATLA</t>
  </si>
  <si>
    <t>https://www.google.com/search?q=site%3Auatlantica.pt%20P%C3%B3s-Gradua%C3%A7%C3%A3o%20em%20Gest%C3%A3o%20e%20Lideran%C3%A7a%20dos%20Servi%C3%A7os%20de%20Sa%C3%BAde%20p%C3%B3s-gradua%C3%A7%C3%A3o</t>
  </si>
  <si>
    <t>Pós-Graduação em Materiais Compósitos</t>
  </si>
  <si>
    <t>https://www.google.com/search?q=site%3Auatlantica.pt%20P%C3%B3s-Gradua%C3%A7%C3%A3o%20em%20Materiais%20Comp%C3%B3sitos%20p%C3%B3s-gradua%C3%A7%C3%A3o</t>
  </si>
  <si>
    <t>Pós-Graduação em Novos Modelos de Negócio no Mercado Farmacêutico</t>
  </si>
  <si>
    <t>Atlântica – Instituto Universitário / área Farmacêutica</t>
  </si>
  <si>
    <t>https://www.google.com/search?q=site%3Auatlantica.pt%20P%C3%B3s-Gradua%C3%A7%C3%A3o%20em%20Novos%20Modelos%20de%20Neg%C3%B3cio%20no%20Mercado%20Farmac%C3%AAutico%20p%C3%B3s-gradua%C3%A7%C3%A3o</t>
  </si>
  <si>
    <t>Pós-Graduação em Sistemas Digitais, Inteligência Artificial e Liderança Tecnológica</t>
  </si>
  <si>
    <t>Atlântica – Instituto Universitário (parceria Rumos)</t>
  </si>
  <si>
    <t>https://www.google.com/search?q=site%3Auatlantica.pt%20P%C3%B3s-Gradua%C3%A7%C3%A3o%20em%20Sistemas%20Digitais%2C%20Intelig%C3%AAncia%20Artificial%20e%20Lideran%C3%A7a%20Tecnol%C3%B3gica%20p%C3%B3s-gradua%C3%A7%C3%A3o</t>
  </si>
  <si>
    <t>≈ 6 meses; 135 horas; créditos não indicados</t>
  </si>
  <si>
    <t>Pós-Graduação em UX/UI Design</t>
  </si>
  <si>
    <t>https://www.google.com/search?q=site%3Auatlantica.pt%20P%C3%B3s-Gradua%C3%A7%C3%A3o%20em%20UX/UI%20Design%20p%C3%B3s-gradua%C3%A7%C3%A3o</t>
  </si>
  <si>
    <t>Duração aproximada de 1 ano letivo; horas/ECTS não indicados claramente na ficha pública</t>
  </si>
  <si>
    <t>Escola Náutica Infante D. Henrique</t>
  </si>
  <si>
    <t>Oeiras (Paço de Arcos)</t>
  </si>
  <si>
    <t>Pública</t>
  </si>
  <si>
    <t>Curso Técnico Superior Profissional (CTeSP)</t>
  </si>
  <si>
    <t>Mecatrónica Naval</t>
  </si>
  <si>
    <t>Ciências Náuticas e Marítimas</t>
  </si>
  <si>
    <t>ENIDH</t>
  </si>
  <si>
    <t>https://www.google.com/search?q=site%3Aenautica.pt%20Mecatr%C3%B3nica%20Naval%20CTeSP</t>
  </si>
  <si>
    <t>Mecânica Naval</t>
  </si>
  <si>
    <t>https://www.google.com/search?q=site%3Aenautica.pt%20Mec%C3%A2nica%20Naval%20CTeSP</t>
  </si>
  <si>
    <t>Navegação de Recreio e Op. Marítimo-Turística</t>
  </si>
  <si>
    <t>https://www.google.com/search?q=site%3Aenautica.pt%20Navega%C3%A7%C3%A3o%20de%20Recreio%20e%20Op.%20Mar%C3%ADtimo-Tur%C3%ADstica%20CTeSP</t>
  </si>
  <si>
    <t>Navegação, Op. Marítimo-Portuárias e Pesca</t>
  </si>
  <si>
    <t>https://www.google.com/search?q=site%3Aenautica.pt%20Navega%C3%A7%C3%A3o%2C%20Op.%20Mar%C3%ADtimo-Portu%C3%A1rias%20e%20Pesca%20CTeSP</t>
  </si>
  <si>
    <t>Redes e Sistemas Informáticos</t>
  </si>
  <si>
    <t>https://www.google.com/search?q=site%3Aenautica.pt%20Redes%20e%20Sistemas%20Inform%C3%A1ticos%20CTeSP</t>
  </si>
  <si>
    <t>Robótica e Inteligência Artificial</t>
  </si>
  <si>
    <t>https://www.google.com/search?q=site%3Aenautica.pt%20Rob%C3%B3tica%20e%20Intelig%C3%AAncia%20Artificial%20CTeSP</t>
  </si>
  <si>
    <t>Sustentabilidade Energética e Climatização</t>
  </si>
  <si>
    <t>https://www.google.com/search?q=site%3Aenautica.pt%20Sustentabilidade%20Energ%C3%A9tica%20e%20Climatiza%C3%A7%C3%A3o%20CTeSP</t>
  </si>
  <si>
    <t>Engenharia Eletrotécnica Marítima</t>
  </si>
  <si>
    <t>https://www.google.com/search?q=site%3Aenautica.pt%20Engenharia%20Eletrot%C3%A9cnica%20Mar%C3%ADtima%20licenciatura</t>
  </si>
  <si>
    <t>Engenharia Informática e de Computadores</t>
  </si>
  <si>
    <t>https://www.google.com/search?q=site%3Aenautica.pt%20Engenharia%20Inform%C3%A1tica%20e%20de%20Computadores%20licenciatura</t>
  </si>
  <si>
    <t>Engenharia de Máquinas Marítimas</t>
  </si>
  <si>
    <t>https://www.google.com/search?q=site%3Aenautica.pt%20Engenharia%20de%20M%C3%A1quinas%20Mar%C3%ADtimas%20licenciatura</t>
  </si>
  <si>
    <t>Gestão Portuária</t>
  </si>
  <si>
    <t>https://www.google.com/search?q=site%3Aenautica.pt%20Gest%C3%A3o%20Portu%C3%A1ria%20licenciatura</t>
  </si>
  <si>
    <t>Gestão de Transportes e Logística</t>
  </si>
  <si>
    <t>https://www.google.com/search?q=site%3Aenautica.pt%20Gest%C3%A3o%20de%20Transportes%20e%20Log%C3%ADstica%20licenciatura</t>
  </si>
  <si>
    <t>Pilotagem</t>
  </si>
  <si>
    <t>https://www.google.com/search?q=site%3Aenautica.pt%20Pilotagem%20licenciatura</t>
  </si>
  <si>
    <t>https://www.google.com/search?q=site%3Aenautica.pt%20Engenharia%20de%20M%C3%A1quinas%20Mar%C3%ADtimas%20mestrado</t>
  </si>
  <si>
    <t>https://www.google.com/search?q=site%3Aenautica.pt%20Pilotagem%20mestrado</t>
  </si>
  <si>
    <t>Escola Superior Artística do Porto</t>
  </si>
  <si>
    <t>Porto</t>
  </si>
  <si>
    <t>Artes Plásticas e Intermédia</t>
  </si>
  <si>
    <t>Belas‑artes</t>
  </si>
  <si>
    <t>ESAP, Rua dos Navegantes, 51, 4000‑358 Porto</t>
  </si>
  <si>
    <t>https://www.google.com/search?q=site%3Aesap.pt%20Artes%20Pl%C3%A1sticas%20e%20Interm%C3%A9dia%20licenciatura</t>
  </si>
  <si>
    <t>Norte</t>
  </si>
  <si>
    <t>Artes Visuais – Fotografia</t>
  </si>
  <si>
    <t>https://www.google.com/search?q=site%3Aesap.pt%20Artes%20Visuais%20%E2%80%93%20Fotografia%20licenciatura</t>
  </si>
  <si>
    <t>Banda Desenhada e Narrativas Gráficas</t>
  </si>
  <si>
    <t>https://www.google.com/search?q=site%3Aesap.pt%20Banda%20Desenhada%20e%20Narrativas%20Gr%C3%A1ficas%20licenciatura</t>
  </si>
  <si>
    <t>Cinema e Audiovisual</t>
  </si>
  <si>
    <t>Audiovisuais e Produção dos Media</t>
  </si>
  <si>
    <t>https://www.google.com/search?q=site%3Aesap.pt%20Cinema%20e%20Audiovisual%20licenciatura</t>
  </si>
  <si>
    <t>Design de Comunicação</t>
  </si>
  <si>
    <t>https://www.google.com/search?q=site%3Aesap.pt%20Design%20de%20Comunica%C3%A7%C3%A3o%20licenciatura</t>
  </si>
  <si>
    <t>Teatro</t>
  </si>
  <si>
    <t>Música e Artes do Espetáculo</t>
  </si>
  <si>
    <t>https://www.google.com/search?q=site%3Aesap.pt%20Teatro%20licenciatura</t>
  </si>
  <si>
    <t>Artes Visuais. Práticas Artísticas e Investigação</t>
  </si>
  <si>
    <t>https://www.google.com/search?q=site%3Aesap.pt%20Artes%20Visuais.%20Pr%C3%A1ticas%20Art%C3%ADsticas%20e%20Investiga%C3%A7%C3%A3o%20mestrado</t>
  </si>
  <si>
    <t>Realização – Cinema e Televisão</t>
  </si>
  <si>
    <t>https://www.google.com/search?q=site%3Aesap.pt%20Realiza%C3%A7%C3%A3o%20%E2%80%93%20Cinema%20e%20Televis%C3%A3o%20mestrado</t>
  </si>
  <si>
    <t>Mestrado Integrado</t>
  </si>
  <si>
    <t>Arquitetura</t>
  </si>
  <si>
    <t>Arquitetura e Urbanismo</t>
  </si>
  <si>
    <t>https://www.google.com/search?q=site%3Aesap.pt%20Arquitetura%20mestrado%20integrado</t>
  </si>
  <si>
    <t>5 ano(s) (300 ECTS)</t>
  </si>
  <si>
    <t>Argumento para Cinema e Séries de Ficção</t>
  </si>
  <si>
    <t>ESAP – Porto</t>
  </si>
  <si>
    <t>https://www.google.com/search?q=site%3Aesap.pt%20Argumento%20para%20Cinema%20e%20S%C3%A9ries%20de%20Fic%C3%A7%C3%A3o%20p%C3%B3s-gradua%C3%A7%C3%A3o</t>
  </si>
  <si>
    <t>Não indicado na página pública consultada (tipicamente 1 ano letivo)</t>
  </si>
  <si>
    <t>Arquitetura Sustentável</t>
  </si>
  <si>
    <t>https://www.google.com/search?q=site%3Aesap.pt%20Arquitetura%20Sustent%C3%A1vel%20p%C3%B3s-gradua%C3%A7%C3%A3o</t>
  </si>
  <si>
    <t>Arte Contemporânea</t>
  </si>
  <si>
    <t>https://www.google.com/search?q=site%3Aesap.pt%20Arte%20Contempor%C3%A2nea%20p%C3%B3s-gradua%C3%A7%C3%A3o</t>
  </si>
  <si>
    <t>Arte Sonora e Media Arte</t>
  </si>
  <si>
    <t>https://www.google.com/search?q=site%3Aesap.pt%20Arte%20Sonora%20e%20Media%20Arte%20p%C3%B3s-gradua%C3%A7%C3%A3o</t>
  </si>
  <si>
    <t>Artes Digitais e Novos Media</t>
  </si>
  <si>
    <t>https://www.google.com/search?q=site%3Aesap.pt%20Artes%20Digitais%20e%20Novos%20Media%20p%C3%B3s-gradua%C3%A7%C3%A3o</t>
  </si>
  <si>
    <t>1 ano letivo; créditos definidos por regulamento próprio (indicada como especialização/pós‑graduação)</t>
  </si>
  <si>
    <t>Artes Visuais e Investigação</t>
  </si>
  <si>
    <t>https://www.google.com/search?q=site%3Aesap.pt%20Artes%20Visuais%20e%20Investiga%C3%A7%C3%A3o%20p%C3%B3s-gradua%C3%A7%C3%A3o</t>
  </si>
  <si>
    <t>Auto‑edição</t>
  </si>
  <si>
    <t>Línguas e Literaturas</t>
  </si>
  <si>
    <t>https://www.google.com/search?q=site%3Aesap.pt%20Auto%E2%80%91edi%C3%A7%C3%A3o%20p%C3%B3s-gradua%C3%A7%C3%A3o</t>
  </si>
  <si>
    <t>Banda Desenhada</t>
  </si>
  <si>
    <t>https://www.google.com/search?q=site%3Aesap.pt%20Banda%20Desenhada%20p%C3%B3s-gradua%C3%A7%C3%A3o</t>
  </si>
  <si>
    <t>Curadoria, Cultura Urbana e Práticas Espaciais</t>
  </si>
  <si>
    <t>História e Arqueologia</t>
  </si>
  <si>
    <t>https://www.google.com/search?q=site%3Aesap.pt%20Curadoria%2C%20Cultura%20Urbana%20e%20Pr%C3%A1ticas%20Espaciais%20p%C3%B3s-gradua%C3%A7%C3%A3o</t>
  </si>
  <si>
    <t>1 ano(s) (60 ECTS)</t>
  </si>
  <si>
    <t>Direção de Arte</t>
  </si>
  <si>
    <t>https://www.google.com/search?q=site%3Aesap.pt%20Dire%C3%A7%C3%A3o%20de%20Arte%20p%C3%B3s-gradua%C3%A7%C3%A3o</t>
  </si>
  <si>
    <t>Performance, Coreografia e Práticas Expandidas</t>
  </si>
  <si>
    <t>https://www.google.com/search?q=site%3Aesap.pt%20Performance%2C%20Coreografia%20e%20Pr%C3%A1ticas%20Expandidas%20p%C3%B3s-gradua%C3%A7%C3%A3o</t>
  </si>
  <si>
    <t>Produção Cinematográfica</t>
  </si>
  <si>
    <t>https://www.google.com/search?q=site%3Aesap.pt%20Produ%C3%A7%C3%A3o%20Cinematogr%C3%A1fica%20p%C3%B3s-gradua%C3%A7%C3%A3o</t>
  </si>
  <si>
    <t>Publicidade</t>
  </si>
  <si>
    <t>Marketing e Publicidade</t>
  </si>
  <si>
    <t>https://www.google.com/search?q=site%3Aesap.pt%20Publicidade%20p%C3%B3s-gradua%C3%A7%C3%A3o</t>
  </si>
  <si>
    <t>Escola Superior de Actividades Imobiliárias</t>
  </si>
  <si>
    <t>Lisboa</t>
  </si>
  <si>
    <t>Construção Civil</t>
  </si>
  <si>
    <t>Construção Civil e Engenharia Civil</t>
  </si>
  <si>
    <t>ESAI, Praça Eduardo Mondlane, 7C, 1950‑104 Lisboa</t>
  </si>
  <si>
    <t>https://www.google.com/search?q=site%3Aesai.pt%20Constru%C3%A7%C3%A3o%20Civil%20CTeSP</t>
  </si>
  <si>
    <t>Gestão de Condomínios e Edifícios</t>
  </si>
  <si>
    <t>ESAI – Escola Superior de Atividades Imobiliárias, Praça Eduardo Mondlane, 7C, 1950‑104 Lisboa</t>
  </si>
  <si>
    <t>https://www.google.com/search?q=site%3Aesai.pt%20Gest%C3%A3o%20de%20Condom%C3%ADnios%20e%20Edif%C3%ADcios%20CTeSP</t>
  </si>
  <si>
    <t>Mediação Imobiliária</t>
  </si>
  <si>
    <t>Comércio</t>
  </si>
  <si>
    <t>https://www.google.com/search?q=site%3Aesai.pt%20Media%C3%A7%C3%A3o%20Imobili%C3%A1ria%20CTeSP</t>
  </si>
  <si>
    <t>Engenharia Civil</t>
  </si>
  <si>
    <t>ESAI – Praça Eduardo Mondlane, 7C, 1950‑104 Lisboa</t>
  </si>
  <si>
    <t>https://www.google.com/search?q=site%3Aesai.pt%20Engenharia%20Civil%20licenciatura</t>
  </si>
  <si>
    <t>Gestão Imobiliária</t>
  </si>
  <si>
    <t>https://www.google.com/search?q=site%3Aesai.pt%20Gest%C3%A3o%20Imobili%C3%A1ria%20licenciatura</t>
  </si>
  <si>
    <t>Pós-Graduação Executiva</t>
  </si>
  <si>
    <t>Avaliação Imobiliária</t>
  </si>
  <si>
    <t>ESAI – Área de Imobiliário</t>
  </si>
  <si>
    <t>https://www.google.com/search?q=site%3Aesai.pt%20Avalia%C3%A7%C3%A3o%20Imobili%C3%A1ria%20p%C3%B3s-gradua%C3%A7%C3%A3o%20executiva</t>
  </si>
  <si>
    <t>Duração aproximada de 1 ano letivo; ECTS não indicados na síntese geral (MBA executivo)</t>
  </si>
  <si>
    <t>Gestão e Mediação Imobiliária</t>
  </si>
  <si>
    <t>https://www.google.com/search?q=site%3Aesai.pt%20Gest%C3%A3o%20e%20Media%C3%A7%C3%A3o%20Imobili%C3%A1ria%20p%C3%B3s-gradua%C3%A7%C3%A3o%20executiva</t>
  </si>
  <si>
    <t>Duração aproximada de 1 ano letivo; ECTS não indicados na página geral (MBA executivo)</t>
  </si>
  <si>
    <t>Escola Superior de Artes e Design</t>
  </si>
  <si>
    <t>Matosinhos (Porto)</t>
  </si>
  <si>
    <t>Design de Comunicação do Produto Alimentar</t>
  </si>
  <si>
    <t>Curso integrado na Blue Design Alliance, orientado para o setor agroalimentar, bebidas e restauração, na ESAD – Matosinhos</t>
  </si>
  <si>
    <t>https://www.google.com/search?q=site%3Aesad.pt%20Design%20de%20Comunica%C3%A7%C3%A3o%20do%20Produto%20Alimentar%20CTeSP</t>
  </si>
  <si>
    <t>Design de Interfaces e Multimédia</t>
  </si>
  <si>
    <t>CTeSP em Design de Interfaces e Multimédia, integrado na Blue Design Alliance, na ESAD – Matosinhos</t>
  </si>
  <si>
    <t>https://www.google.com/search?q=site%3Aesad.pt%20Design%20de%20Interfaces%20e%20Multim%C3%A9dia%20CTeSP</t>
  </si>
  <si>
    <t>Joalharia</t>
  </si>
  <si>
    <t>Artesanato</t>
  </si>
  <si>
    <t>CTeSP em Joalharia resulta de parceria entre a ESAD – Matosinhos e o CINDOR – Centro de Formação Profissional da Indústria de Ourivesaria e Relojoaria</t>
  </si>
  <si>
    <t>https://www.google.com/search?q=site%3Aesad.pt%20Joalharia%20CTeSP</t>
  </si>
  <si>
    <t>Artes Digitais e Multimédia</t>
  </si>
  <si>
    <t>ESAD – arte &amp; design, Matosinhos, instituição privada especializada em Design e Artes Digitais</t>
  </si>
  <si>
    <t>https://www.google.com/search?q=site%3Aesad.pt%20Artes%20Digitais%20e%20Multim%C3%A9dia%20licenciatura</t>
  </si>
  <si>
    <t>Design (ramos: Design de Comunicação, Design de Produto, Design de Interiores, Design de Moda)</t>
  </si>
  <si>
    <t>Design (com especializações em comunicação, produto, interiores, moda)</t>
  </si>
  <si>
    <t>ESAD – arte &amp; design, Matosinhos, instituição privada especializada em design e artes; o registo DGES R/A-Ef 89/2011/AL02 cobre a licenciatura em Design em todos estes ramos</t>
  </si>
  <si>
    <t>https://www.google.com/search?q=site%3Aesad.pt%20Design%20%28ramos%3A%20Design%20de%20Comunica%C3%A7%C3%A3o%2C%20Design%20de%20Produto%2C%20Design%20de%20Interiores%2C%20Design%20de%20Moda%29%20licenciatura</t>
  </si>
  <si>
    <t>Design (especializações: Design de Comunicação, Design de Interiores, Design de Produto)</t>
  </si>
  <si>
    <t>ESAD – arte &amp; design, Matosinhos, instituição privada especializada em design e artes; o registo DGES R/A-Ef 90/2011/AL01 cobre o mestrado em Design com estas especializações</t>
  </si>
  <si>
    <t>https://www.google.com/search?q=site%3Aesad.pt%20Design%20%28especializa%C3%A7%C3%B5es%3A%20Design%20de%20Comunica%C3%A7%C3%A3o%2C%20Design%20de%20Interiores%2C%20Design%20de%20Produto%29%20mestrado</t>
  </si>
  <si>
    <t>Design de Mobilidade</t>
  </si>
  <si>
    <t>ESAD Matosinhos</t>
  </si>
  <si>
    <t>https://www.google.com/search?q=site%3Aesad.pt%20Design%20de%20Mobilidade%20p%C3%B3s-gradua%C3%A7%C3%A3o</t>
  </si>
  <si>
    <t>Design de Mobiliário</t>
  </si>
  <si>
    <t>https://www.google.com/search?q=site%3Aesad.pt%20Design%20de%20Mobili%C3%A1rio%20p%C3%B3s-gradua%C3%A7%C3%A3o</t>
  </si>
  <si>
    <t>Escola Superior de Educação de João de Deus</t>
  </si>
  <si>
    <t>Animação Sociocultural Aplicada à Gerontologia</t>
  </si>
  <si>
    <t>Trabalho Social e Orientação</t>
  </si>
  <si>
    <t>https://www.google.com/search?q=site%3Ajoaodedeus.pt%20Anima%C3%A7%C3%A3o%20Sociocultural%20Aplicada%20%C3%A0%20Gerontologia%20CTeSP</t>
  </si>
  <si>
    <t>Multimédia e Recursos Educativos Digitais</t>
  </si>
  <si>
    <t>https://www.google.com/search?q=site%3Ajoaodedeus.pt%20Multim%C3%A9dia%20e%20Recursos%20Educativos%20Digitais%20CTeSP</t>
  </si>
  <si>
    <t>Promoção de Atividades Educativas, Sociais e Culturais</t>
  </si>
  <si>
    <t>https://www.google.com/search?q=site%3Ajoaodedeus.pt%20Promo%C3%A7%C3%A3o%20de%20Atividades%20Educativas%2C%20Sociais%20e%20Culturais%20CTeSP</t>
  </si>
  <si>
    <t>Práticas Administrativas e Comunicação na Escola</t>
  </si>
  <si>
    <t>Secretariado e Trabalho Administrativo</t>
  </si>
  <si>
    <t>https://www.google.com/search?q=site%3Ajoaodedeus.pt%20Pr%C3%A1ticas%20Administrativas%20e%20Comunica%C3%A7%C3%A3o%20na%20Escola%20CTeSP</t>
  </si>
  <si>
    <t>Educação Básica</t>
  </si>
  <si>
    <t>Ciências da Educação</t>
  </si>
  <si>
    <t>https://www.google.com/search?q=site%3Ajoaodedeus.pt%20Educa%C3%A7%C3%A3o%20B%C3%A1sica%20licenciatura</t>
  </si>
  <si>
    <t>Educação Pré-Escolar</t>
  </si>
  <si>
    <t>Formação de Professores de Educação de Infância</t>
  </si>
  <si>
    <t>https://www.google.com/search?q=site%3Ajoaodedeus.pt%20Educa%C3%A7%C3%A3o%20Pr%C3%A9-Escolar%20mestrado</t>
  </si>
  <si>
    <t>Educação Pré-Escolar e Ensino do 1.º Ciclo do Ensino Básico</t>
  </si>
  <si>
    <t>143</t>
  </si>
  <si>
    <t>https://www.google.com/search?q=site%3Ajoaodedeus.pt%20Educa%C3%A7%C3%A3o%20Pr%C3%A9-Escolar%20e%20Ensino%20do%201.%C2%BA%20Ciclo%20do%20Ensino%20B%C3%A1sico%20mestrado</t>
  </si>
  <si>
    <t>Ensino do 1.º Ciclo do Ensino Básico e de Matemática e Ciências Naturais no 2.º Ciclo do Ensino Básico</t>
  </si>
  <si>
    <t>Formação de Professores do Ensino Básico (1.º e 2.º Ciclos)</t>
  </si>
  <si>
    <t>https://www.google.com/search?q=site%3Ajoaodedeus.pt%20Ensino%20do%201.%C2%BA%20Ciclo%20do%20Ensino%20B%C3%A1sico%20e%20de%20Matem%C3%A1tica%20e%20Ci%C3%AAncias%20Naturais%20no%202.%C2%BA%20Ciclo%20do%20Ensino%20B%C3%A1sico%20mestrado</t>
  </si>
  <si>
    <t>Ensino do 1.º Ciclo do Ensino Básico e de Português e História e Geografia de Portugal no 2.º Ciclo do Ensino Básico</t>
  </si>
  <si>
    <t>https://www.google.com/search?q=site%3Ajoaodedeus.pt%20Ensino%20do%201.%C2%BA%20Ciclo%20do%20Ensino%20B%C3%A1sico%20e%20de%20Portugu%C3%AAs%20e%20Hist%C3%B3ria%20e%20Geografia%20de%20Portugal%20no%202.%C2%BA%20Ciclo%20do%20Ensino%20B%C3%A1sico%20mestrado</t>
  </si>
  <si>
    <t>Supervisão Pedagógica</t>
  </si>
  <si>
    <t>https://www.google.com/search?q=site%3Ajoaodedeus.pt%20Supervis%C3%A3o%20Pedag%C3%B3gica%20mestrado</t>
  </si>
  <si>
    <t>Lisboa / Belas (Sintra)</t>
  </si>
  <si>
    <t>A Cartilha Maternal e o Método de Leitura João de Deus – Um Método Intemporal</t>
  </si>
  <si>
    <t>ESE João de Deus</t>
  </si>
  <si>
    <t>https://www.google.com/search?q=site%3Ajoaodedeus.pt%20A%20Cartilha%20Maternal%20e%20o%20M%C3%A9todo%20de%20Leitura%20Jo%C3%A3o%20de%20Deus%20%E2%80%93%20Um%20M%C3%A9todo%20Intemporal%20p%C3%B3s-gradua%C3%A7%C3%A3o</t>
  </si>
  <si>
    <t>Início 22 setembro 2026; 50 horas; mínimo 10 alunos</t>
  </si>
  <si>
    <t>Híbrido</t>
  </si>
  <si>
    <t>Aprender em Movimento</t>
  </si>
  <si>
    <t>https://www.google.com/search?q=site%3Ajoaodedeus.pt%20Aprender%20em%20Movimento%20p%C3%B3s-gradua%C3%A7%C3%A3o</t>
  </si>
  <si>
    <t>Início 6 abril 2025; 50 horas; mínimo 7 alunos</t>
  </si>
  <si>
    <t>Comunicação em Língua Gestual Portuguesa</t>
  </si>
  <si>
    <t>Línguas e Literaturas Estrangeiras</t>
  </si>
  <si>
    <t>https://www.google.com/search?q=site%3Ajoaodedeus.pt%20Comunica%C3%A7%C3%A3o%20em%20L%C3%ADngua%20Gestual%20Portuguesa%20p%C3%B3s-gradua%C3%A7%C3%A3o</t>
  </si>
  <si>
    <t>Início 23 fevereiro 2026; 50 horas; mínimo 10 alunos</t>
  </si>
  <si>
    <t>Educação Artística e Criatividade na Educação Pré‑Escolar e 1.º CEB</t>
  </si>
  <si>
    <t>https://www.google.com/search?q=site%3Ajoaodedeus.pt%20Educa%C3%A7%C3%A3o%20Art%C3%ADstica%20e%20Criatividade%20na%20Educa%C3%A7%C3%A3o%20Pr%C3%A9%E2%80%91Escolar%20e%201.%C2%BA%20CEB%20p%C3%B3s-gradua%C3%A7%C3%A3o</t>
  </si>
  <si>
    <t>Início 28 abril 2026; 50 horas; mínimo 10 alunos</t>
  </si>
  <si>
    <t>Educação Especial e Educação Inclusiva: Domínio Cognitivo e Motor</t>
  </si>
  <si>
    <t>Educação</t>
  </si>
  <si>
    <t>https://www.google.com/search?q=site%3Ajoaodedeus.pt%20Educa%C3%A7%C3%A3o%20Especial%20e%20Educa%C3%A7%C3%A3o%20Inclusiva%3A%20Dom%C3%ADnio%20Cognitivo%20e%20Motor%20p%C3%B3s-gradua%C3%A7%C3%A3o</t>
  </si>
  <si>
    <t>Duração anual; ECTS não indicados</t>
  </si>
  <si>
    <t>Educação Para a Sustentabilidade</t>
  </si>
  <si>
    <t>https://www.google.com/search?q=site%3Ajoaodedeus.pt%20Educa%C3%A7%C3%A3o%20Para%20a%20Sustentabilidade%20p%C3%B3s-gradua%C3%A7%C3%A3o</t>
  </si>
  <si>
    <t>Início 4 fevereiro 2026; 50 horas; mínimo 7 alunos</t>
  </si>
  <si>
    <t>Gramática para os 1.º e 2.º CEB: do Conhecimento da Língua às Propostas Didáticas</t>
  </si>
  <si>
    <t>Língua e Literatura Materna</t>
  </si>
  <si>
    <t>https://www.google.com/search?q=site%3Ajoaodedeus.pt%20Gram%C3%A1tica%20para%20os%201.%C2%BA%20e%202.%C2%BA%20CEB%3A%20do%20Conhecimento%20da%20L%C3%ADngua%20%C3%A0s%20Propostas%20Did%C3%A1ticas%20p%C3%B3s-gradua%C3%A7%C3%A3o</t>
  </si>
  <si>
    <t>Início 13 fevereiro 2025; 50 horas; mínimo 10 alunos</t>
  </si>
  <si>
    <t>História e Geografia de Portugal no 1.º e 2.º CEB: Recursos e Desafios Educativos</t>
  </si>
  <si>
    <t>https://www.google.com/search?q=site%3Ajoaodedeus.pt%20Hist%C3%B3ria%20e%20Geografia%20de%20Portugal%20no%201.%C2%BA%20e%202.%C2%BA%20CEB%3A%20Recursos%20e%20Desafios%20Educativos%20p%C3%B3s-gradua%C3%A7%C3%A3o</t>
  </si>
  <si>
    <t>Início 9 janeiro 2026; 50 horas; mínimo 7 alunos</t>
  </si>
  <si>
    <t>Intervenção em Creche: Saúde, Bem‑Estar e Desenvolvimento</t>
  </si>
  <si>
    <t>https://www.google.com/search?q=site%3Ajoaodedeus.pt%20Interven%C3%A7%C3%A3o%20em%20Creche%3A%20Sa%C3%BAde%2C%20Bem%E2%80%91Estar%20e%20Desenvolvimento%20p%C3%B3s-gradua%C3%A7%C3%A3o</t>
  </si>
  <si>
    <t>Início 2 outubro 2026; 50 horas; mínimo 10 alunos</t>
  </si>
  <si>
    <t>Literatura Infantil na Educação Pré‑Escolar e 1.º CEB</t>
  </si>
  <si>
    <t>https://www.google.com/search?q=site%3Ajoaodedeus.pt%20Literatura%20Infantil%20na%20Educa%C3%A7%C3%A3o%20Pr%C3%A9%E2%80%91Escolar%20e%201.%C2%BA%20CEB%20p%C3%B3s-gradua%C3%A7%C3%A3o</t>
  </si>
  <si>
    <t>Início 5 janeiro 2026; 50 horas; mínimo 7 alunos</t>
  </si>
  <si>
    <t>Mediação da Aprendizagem em Crianças com Perturbação da Linguagem Oral/Escrita</t>
  </si>
  <si>
    <t>https://www.google.com/search?q=site%3Ajoaodedeus.pt%20Media%C3%A7%C3%A3o%20da%20Aprendizagem%20em%20Crian%C3%A7as%20com%20Perturba%C3%A7%C3%A3o%20da%20Linguagem%20Oral/Escrita%20p%C3%B3s-gradua%C3%A7%C3%A3o</t>
  </si>
  <si>
    <t>Início 22 fevereiro 2025; 50 horas; mínimo 7 alunos</t>
  </si>
  <si>
    <t>Mentoria na Formação de Professores</t>
  </si>
  <si>
    <t>https://www.google.com/search?q=site%3Ajoaodedeus.pt%20Mentoria%20na%20Forma%C3%A7%C3%A3o%20de%20Professores%20p%C3%B3s-gradua%C3%A7%C3%A3o</t>
  </si>
  <si>
    <t>Início 2 maio 2025; 50 horas; mínimo 10 alunos</t>
  </si>
  <si>
    <t>Metodologias de Investigação em Educação</t>
  </si>
  <si>
    <t>https://www.google.com/search?q=site%3Ajoaodedeus.pt%20Metodologias%20de%20Investiga%C3%A7%C3%A3o%20em%20Educa%C3%A7%C3%A3o%20p%C3%B3s-gradua%C3%A7%C3%A3o</t>
  </si>
  <si>
    <t>Início 6 outubro 2026; 200 horas; mínimo 3 alunos</t>
  </si>
  <si>
    <t>Os Materiais Manipuláveis e a Aprendizagem da Matemática</t>
  </si>
  <si>
    <t>https://www.google.com/search?q=site%3Ajoaodedeus.pt%20Os%20Materiais%20Manipul%C3%A1veis%20e%20a%20Aprendizagem%20da%20Matem%C3%A1tica%20p%C3%B3s-gradua%C3%A7%C3%A3o</t>
  </si>
  <si>
    <t>Início 6 novembro 2026; 50 horas; mínimo 7 alunos</t>
  </si>
  <si>
    <t>Perturbação do Espectro do Autismo</t>
  </si>
  <si>
    <t>https://www.google.com/search?q=site%3Ajoaodedeus.pt%20Perturba%C3%A7%C3%A3o%20do%20Espectro%20do%20Autismo%20p%C3%B3s-gradua%C3%A7%C3%A3o</t>
  </si>
  <si>
    <t>Início 6 junho 2025; 50 horas; mínimo 10 alunos</t>
  </si>
  <si>
    <t>Psicogerontologia: envelhecer com qualidade – uma perspetiva humanista</t>
  </si>
  <si>
    <t>Psicologia</t>
  </si>
  <si>
    <t>https://www.google.com/search?q=site%3Ajoaodedeus.pt%20Psicogerontologia%3A%20envelhecer%20com%20qualidade%20%E2%80%93%20uma%20perspetiva%20humanista%20p%C3%B3s-gradua%C3%A7%C3%A3o</t>
  </si>
  <si>
    <t>Início 12 março 2026; 50 horas; mínimo 10 alunos</t>
  </si>
  <si>
    <t>https://www.google.com/search?q=site%3Ajoaodedeus.pt%20Supervis%C3%A3o%20Pedag%C3%B3gica%20p%C3%B3s-gradua%C3%A7%C3%A3o</t>
  </si>
  <si>
    <t>Início 25 fevereiro 2025; 50 horas; mínimo 7 alunos</t>
  </si>
  <si>
    <t>Unir Laços, Multiplicar Saberes: A Família e a Escola em Ação!</t>
  </si>
  <si>
    <t>https://www.google.com/search?q=site%3Ajoaodedeus.pt%20Unir%20La%C3%A7os%2C%20Multiplicar%20Saberes%3A%20A%20Fam%C3%ADlia%20e%20a%20Escola%20em%20A%C3%A7%C3%A3o%21%20p%C3%B3s-gradua%C3%A7%C3%A3o</t>
  </si>
  <si>
    <t>Início 28 maio 2026; 50 horas; mínimo 10 alunos</t>
  </si>
  <si>
    <t>Escola Superior de Educação de Paula Frassinetti</t>
  </si>
  <si>
    <t>Comunicação Digital</t>
  </si>
  <si>
    <t>https://www.google.com/search?q=site%3Aesepf.pt%20Comunica%C3%A7%C3%A3o%20Digital%20CTeSP</t>
  </si>
  <si>
    <t>Design Educacional e Tecnologias Digitais</t>
  </si>
  <si>
    <t>https://www.google.com/search?q=site%3Aesepf.pt%20Design%20Educacional%20e%20Tecnologias%20Digitais%20CTeSP</t>
  </si>
  <si>
    <t>Intervenção Social e Comunitária</t>
  </si>
  <si>
    <t>https://www.google.com/search?q=site%3Aesepf.pt%20Interven%C3%A7%C3%A3o%20Social%20e%20Comunit%C3%A1ria%20CTeSP</t>
  </si>
  <si>
    <t>https://www.google.com/search?q=site%3Aesepf.pt%20Educa%C3%A7%C3%A3o%20B%C3%A1sica%20licenciatura</t>
  </si>
  <si>
    <t>Educação Social</t>
  </si>
  <si>
    <t>https://www.google.com/search?q=site%3Aesepf.pt%20Educa%C3%A7%C3%A3o%20Social%20licenciatura</t>
  </si>
  <si>
    <t>Ciências da Educação – área de especialização em Educação Especial</t>
  </si>
  <si>
    <t>https://www.google.com/search?q=site%3Aesepf.pt%20Ci%C3%AAncias%20da%20Educa%C3%A7%C3%A3o%20%E2%80%93%20%C3%A1rea%20de%20especializa%C3%A7%C3%A3o%20em%20Educa%C3%A7%C3%A3o%20Especial%20mestrado</t>
  </si>
  <si>
    <t>Ciências da Educação – área de especialização em Supervisão Pedagógica</t>
  </si>
  <si>
    <t>https://www.google.com/search?q=site%3Aesepf.pt%20Ci%C3%AAncias%20da%20Educa%C3%A7%C3%A3o%20%E2%80%93%20%C3%A1rea%20de%20especializa%C3%A7%C3%A3o%20em%20Supervis%C3%A3o%20Pedag%C3%B3gica%20mestrado</t>
  </si>
  <si>
    <t>https://www.google.com/search?q=site%3Aesepf.pt%20Educa%C3%A7%C3%A3o%20mestrado</t>
  </si>
  <si>
    <t>https://www.google.com/search?q=site%3Aesepf.pt%20Educa%C3%A7%C3%A3o%20Pr%C3%A9-Escolar%20mestrado</t>
  </si>
  <si>
    <t>https://www.google.com/search?q=site%3Aesepf.pt%20Educa%C3%A7%C3%A3o%20Pr%C3%A9-Escolar%20e%20Ensino%20do%201.%C2%BA%20Ciclo%20do%20Ensino%20B%C3%A1sico%20mestrado</t>
  </si>
  <si>
    <t>https://www.google.com/search?q=site%3Aesepf.pt%20Ensino%20do%201.%C2%BA%20Ciclo%20do%20Ensino%20B%C3%A1sico%20e%20de%20Matem%C3%A1tica%20e%20Ci%C3%AAncias%20Naturais%20no%202.%C2%BA%20Ciclo%20do%20Ensino%20B%C3%A1sico%20mestrado</t>
  </si>
  <si>
    <t>https://www.google.com/search?q=site%3Aesepf.pt%20Ensino%20do%201.%C2%BA%20Ciclo%20do%20Ensino%20B%C3%A1sico%20e%20de%20Portugu%C3%AAs%20e%20Hist%C3%B3ria%20e%20Geografia%20de%20Portugal%20no%202.%C2%BA%20Ciclo%20do%20Ensino%20B%C3%A1sico%20mestrado</t>
  </si>
  <si>
    <t>Intervenção Comunitária</t>
  </si>
  <si>
    <t>https://www.google.com/search?q=site%3Aesepf.pt%20Interven%C3%A7%C3%A3o%20Comunit%C3%A1ria%20mestrado</t>
  </si>
  <si>
    <t>Pós‑Graduação em Inovação e (Trans)Formação Educacional, Pedagogia e Tecnologias Digitais</t>
  </si>
  <si>
    <t>ESE Paula Frassinetti – Porto</t>
  </si>
  <si>
    <t>https://www.google.com/search?q=site%3Aesepf.pt%20P%C3%B3s%E2%80%91Gradua%C3%A7%C3%A3o%20em%20Inova%C3%A7%C3%A3o%20e%20%28Trans%29Forma%C3%A7%C3%A3o%20Educacional%2C%20Pedagogia%20e%20Tecnologias%20Digitais%20p%C3%B3s-gradua%C3%A7%C3%A3o</t>
  </si>
  <si>
    <t>Pós‑Graduação em Intervenção Psicossocial em Contexto Escolar</t>
  </si>
  <si>
    <t>ESE Paula Frassinetti</t>
  </si>
  <si>
    <t>https://www.google.com/search?q=site%3Aesepf.pt%20P%C3%B3s%E2%80%91Gradua%C3%A7%C3%A3o%20em%20Interven%C3%A7%C3%A3o%20Psicossocial%20em%20Contexto%20Escolar%20p%C3%B3s-gradua%C3%A7%C3%A3o</t>
  </si>
  <si>
    <t>1 ano; créditos não especificados no excerto (estrutura de pós‑graduação)</t>
  </si>
  <si>
    <t>Pós‑Graduação em Intervenção em Creche: Bem‑estar e Aprendizagem</t>
  </si>
  <si>
    <t>ESE Paula Frassinetti – Educação de Infância</t>
  </si>
  <si>
    <t>https://www.google.com/search?q=site%3Aesepf.pt%20P%C3%B3s%E2%80%91Gradua%C3%A7%C3%A3o%20em%20Interven%C3%A7%C3%A3o%20em%20Creche%3A%20Bem%E2%80%91estar%20e%20Aprendizagem%20p%C3%B3s-gradua%C3%A7%C3%A3o</t>
  </si>
  <si>
    <t>1 ano; créditos não especificados publicamente (pós‑graduação de curta duração)</t>
  </si>
  <si>
    <t>Escola Superior de Enfermagem São Francisco das Misericórdias</t>
  </si>
  <si>
    <t>Enfermagem</t>
  </si>
  <si>
    <t>https://www.google.com/search?q=site%3Aesesfm.pt%20Enfermagem%20licenciatura</t>
  </si>
  <si>
    <t>Enfermagem de Reabilitação</t>
  </si>
  <si>
    <t>https://www.google.com/search?q=site%3Aesesfm.pt%20Enfermagem%20de%20Reabilita%C3%A7%C3%A3o%20mestrado</t>
  </si>
  <si>
    <t>Enfermagem de Saúde Mental e Psiquiátrica</t>
  </si>
  <si>
    <t>https://www.google.com/search?q=site%3Aesesfm.pt%20Enfermagem%20de%20Sa%C3%BAde%20Mental%20e%20Psiqui%C3%A1trica%20mestrado</t>
  </si>
  <si>
    <t>Aleitamento Materno</t>
  </si>
  <si>
    <t>FCSE – Escola de Pós‑Graduação e Formação Avançada</t>
  </si>
  <si>
    <t>https://www.google.com/search?q=site%3Aesesfm.pt%20Aleitamento%20Materno%20p%C3%B3s-gradua%C3%A7%C3%A3o</t>
  </si>
  <si>
    <t>Duração aproximada de 1 ano; ECTS não visíveis na síntese</t>
  </si>
  <si>
    <t>Cuidados Paliativos</t>
  </si>
  <si>
    <t>ESESFM – Cursos Escola de Enfermagem</t>
  </si>
  <si>
    <t>https://www.google.com/search?q=site%3Aesesfm.pt%20Cuidados%20Paliativos%20p%C3%B3s-gradua%C3%A7%C3%A3o</t>
  </si>
  <si>
    <t>0,5 ano(s) (30 ECTS)</t>
  </si>
  <si>
    <t>Enfermagem Oftalmológica</t>
  </si>
  <si>
    <t>https://www.google.com/search?q=site%3Aesesfm.pt%20Enfermagem%20Oftalmol%C3%B3gica%20p%C3%B3s-gradua%C3%A7%C3%A3o</t>
  </si>
  <si>
    <t>12 meses; ECTS e horas não detalhados no excerto, indicado como pós‑graduação com prática especializada em segmento anterior</t>
  </si>
  <si>
    <t>Enfermagem de Endoscopia Digestiva</t>
  </si>
  <si>
    <t>https://www.google.com/search?q=site%3Aesesfm.pt%20Enfermagem%20de%20Endoscopia%20Digestiva%20p%C3%B3s-gradua%C3%A7%C3%A3o</t>
  </si>
  <si>
    <t>12 meses; ECTS não indicados na listagem</t>
  </si>
  <si>
    <t>Enfermagem de Neonatologia</t>
  </si>
  <si>
    <t>https://www.google.com/search?q=site%3Aesesfm.pt%20Enfermagem%20de%20Neonatologia%20p%C3%B3s-gradua%C3%A7%C3%A3o</t>
  </si>
  <si>
    <t>0,6 ano(s) (33 ECTS)</t>
  </si>
  <si>
    <t>Enfermagem de Saúde Familiar</t>
  </si>
  <si>
    <t>https://www.google.com/search?q=site%3Aesesfm.pt%20Enfermagem%20de%20Sa%C3%BAde%20Familiar%20p%C3%B3s-gradua%C3%A7%C3%A3o</t>
  </si>
  <si>
    <t>Enfermagem do Trabalho</t>
  </si>
  <si>
    <t>https://www.google.com/search?q=site%3Aesesfm.pt%20Enfermagem%20do%20Trabalho%20p%C3%B3s-gradua%C3%A7%C3%A3o</t>
  </si>
  <si>
    <t>Enfermagem em Situação Crítica (Intervenção à Pessoa em Situação Crítica)</t>
  </si>
  <si>
    <t>https://www.google.com/search?q=site%3Aesesfm.pt%20Enfermagem%20em%20Situa%C3%A7%C3%A3o%20Cr%C3%ADtica%20%28Interven%C3%A7%C3%A3o%20%C3%A0%20Pessoa%20em%20Situa%C3%A7%C3%A3o%20Cr%C3%ADtica%29%20p%C3%B3s-gradua%C3%A7%C3%A3o</t>
  </si>
  <si>
    <t>12 meses; ECTS não indicados; formação avançada em cuidados a doente crítico</t>
  </si>
  <si>
    <t>Enfermagem no Puerpério</t>
  </si>
  <si>
    <t>https://www.google.com/search?q=site%3Aesesfm.pt%20Enfermagem%20no%20Puerp%C3%A9rio%20p%C3%B3s-gradua%C3%A7%C3%A3o</t>
  </si>
  <si>
    <t>Duração anunciada como curso de pós‑graduação; ECTS/horas não indicados na síntese pública (curso recente)</t>
  </si>
  <si>
    <t>Enfermagem à Pessoa em Situação Perioperatória</t>
  </si>
  <si>
    <t>https://www.google.com/search?q=site%3Aesesfm.pt%20Enfermagem%20%C3%A0%20Pessoa%20em%20Situa%C3%A7%C3%A3o%20Perioperat%C3%B3ria%20p%C3%B3s-gradua%C3%A7%C3%A3o</t>
  </si>
  <si>
    <t>12 meses; ECTS não indicados na lista, pós‑graduação de prática avançada</t>
  </si>
  <si>
    <t>Gestão e Inovação em Saúde</t>
  </si>
  <si>
    <t>https://www.google.com/search?q=site%3Aesesfm.pt%20Gest%C3%A3o%20e%20Inova%C3%A7%C3%A3o%20em%20Sa%C3%BAde%20p%C3%B3s-gradua%C3%A7%C3%A3o</t>
  </si>
  <si>
    <t>Hospitalização Domiciliária</t>
  </si>
  <si>
    <t>https://www.google.com/search?q=site%3Aesesfm.pt%20Hospitaliza%C3%A7%C3%A3o%20Domicili%C3%A1ria%20p%C3%B3s-gradua%C3%A7%C3%A3o</t>
  </si>
  <si>
    <t>12 meses; ECTS não indicados na lista</t>
  </si>
  <si>
    <t>Neonatologia</t>
  </si>
  <si>
    <t>Medicina</t>
  </si>
  <si>
    <t>https://www.google.com/search?q=site%3Aesesfm.pt%20Neonatologia%20p%C3%B3s-gradua%C3%A7%C3%A3o</t>
  </si>
  <si>
    <t>Duração aproximada de 1 ano; ECTS não visíveis na síntese pública</t>
  </si>
  <si>
    <t>Prevenção e Tratamento de Feridas e Estomas</t>
  </si>
  <si>
    <t>https://www.google.com/search?q=site%3Aesesfm.pt%20Preven%C3%A7%C3%A3o%20e%20Tratamento%20de%20Feridas%20e%20Estomas%20p%C3%B3s-gradua%C3%A7%C3%A3o</t>
  </si>
  <si>
    <t>Pós‑Graduação em Instrumentação Cirúrgica</t>
  </si>
  <si>
    <t>Tecnologias de Diagnóstico e Terapêutica</t>
  </si>
  <si>
    <t>ESEL / ERISA – área de Saúde</t>
  </si>
  <si>
    <t>https://www.google.com/search?q=site%3Aesesfm.pt%20P%C3%B3s%E2%80%91Gradua%C3%A7%C3%A3o%20em%20Instrumenta%C3%A7%C3%A3o%20Cir%C3%BArgica%20p%C3%B3s-gradua%C3%A7%C3%A3o</t>
  </si>
  <si>
    <t>Saúde Mental Perinatal</t>
  </si>
  <si>
    <t>Ciências da Saúde</t>
  </si>
  <si>
    <t>https://www.google.com/search?q=site%3Aesesfm.pt%20Sa%C3%BAde%20Mental%20Perinatal%20p%C3%B3s-gradua%C3%A7%C3%A3o</t>
  </si>
  <si>
    <t>0,2 ano(s) (15 ECTS)</t>
  </si>
  <si>
    <t>Escola Superior de Enfermagem de Coimbra</t>
  </si>
  <si>
    <t>Faro</t>
  </si>
  <si>
    <t>Enfermagem em Emergência e Trauma – 18.ª edição</t>
  </si>
  <si>
    <t>https://www.google.com/search?q=site%3Aesenfc.pt%20Enfermagem%20em%20Emerg%C3%AAncia%20e%20Trauma%20%E2%80%93%2018.%C2%AA%20edi%C3%A7%C3%A3o%20p%C3%B3s-gradua%C3%A7%C3%A3o</t>
  </si>
  <si>
    <t>Duração não indicada</t>
  </si>
  <si>
    <t>Algarve</t>
  </si>
  <si>
    <t>Braga</t>
  </si>
  <si>
    <t>Supervisão Clínica em Enfermagem – 7.ª edição</t>
  </si>
  <si>
    <t>https://www.google.com/search?q=site%3Aesenfc.pt%20Supervis%C3%A3o%20Cl%C3%ADnica%20em%20Enfermagem%20%E2%80%93%207.%C2%AA%20edi%C3%A7%C3%A3o%20p%C3%B3s-gradua%C3%A7%C3%A3o</t>
  </si>
  <si>
    <t>Escola Superior de Enfermagem de Lisboa</t>
  </si>
  <si>
    <t>Cuidados de Enfermagem à Pessoa com Doença Inflamatória Intestinal</t>
  </si>
  <si>
    <t>Escola de Enfermagem (Porto)</t>
  </si>
  <si>
    <t>https://www.google.com/search?q=site%3Aesel.pt%20Cuidados%20de%20Enfermagem%20%C3%A0%20Pessoa%20com%20Doen%C3%A7a%20Inflamat%C3%B3ria%20Intestinal%20p%C3%B3s-gradua%C3%A7%C3%A3o</t>
  </si>
  <si>
    <t>1 ano letivo</t>
  </si>
  <si>
    <t>Cuidados à Pessoa com Dispositivos de Acesso Vascular</t>
  </si>
  <si>
    <t>Escola de Enfermagem (Lisboa)</t>
  </si>
  <si>
    <t>https://www.google.com/search?q=site%3Aesel.pt%20Cuidados%20%C3%A0%20Pessoa%20com%20Dispositivos%20de%20Acesso%20Vascular%20p%C3%B3s-gradua%C3%A7%C3%A3o</t>
  </si>
  <si>
    <t>Início março 2026; conclusão janeiro 2027; regime híbrido</t>
  </si>
  <si>
    <t>Enfermagem de Saúde Comunitária e de Saúde Familiar</t>
  </si>
  <si>
    <t>https://www.google.com/search?q=site%3Aesel.pt%20Enfermagem%20de%20Sa%C3%BAde%20Comunit%C3%A1ria%20e%20de%20Sa%C3%BAde%20Familiar%20p%C3%B3s-gradua%C3%A7%C3%A3o</t>
  </si>
  <si>
    <t>1 ano letivo; ECTS não explicitados na página de síntese (curso clínico avançado)</t>
  </si>
  <si>
    <t>Enfermagem de Saúde Comunitária e de Saúde Pública</t>
  </si>
  <si>
    <t>Escola de Enfermagem – Lisboa</t>
  </si>
  <si>
    <t>https://www.google.com/search?q=site%3Aesel.pt%20Enfermagem%20de%20Sa%C3%BAde%20Comunit%C3%A1ria%20e%20de%20Sa%C3%BAde%20P%C3%BAblica%20p%C3%B3s-gradua%C3%A7%C3%A3o</t>
  </si>
  <si>
    <t>1 ano; alinhado com o mestrado em Enfermagem Comunitária</t>
  </si>
  <si>
    <t>Enfermagem do Desporto</t>
  </si>
  <si>
    <t>https://www.google.com/search?q=site%3Aesel.pt%20Enfermagem%20do%20Desporto%20p%C3%B3s-gradua%C3%A7%C3%A3o</t>
  </si>
  <si>
    <t>1 ano; curso de especialização em enfermagem aplicada ao desporto</t>
  </si>
  <si>
    <t>https://www.google.com/search?q=site%3Aesel.pt%20Enfermagem%20do%20Trabalho%20p%C3%B3s-gradua%C3%A7%C3%A3o</t>
  </si>
  <si>
    <t>1 ano; ECTS não indicados na síntese</t>
  </si>
  <si>
    <t>Enfermagem à Pessoa em Situação Crítica</t>
  </si>
  <si>
    <t>https://www.google.com/search?q=site%3Aesel.pt%20Enfermagem%20%C3%A0%20Pessoa%20em%20Situa%C3%A7%C3%A3o%20Cr%C3%ADtica%20p%C3%B3s-gradua%C3%A7%C3%A3o</t>
  </si>
  <si>
    <t>1 ano; formação avançada em cuidados críticos</t>
  </si>
  <si>
    <t>Saúde da Criança e Cuidado Pediátrico</t>
  </si>
  <si>
    <t>https://www.google.com/search?q=site%3Aesel.pt%20Sa%C3%BAde%20da%20Crian%C3%A7a%20e%20Cuidado%20Pedi%C3%A1trico%20p%C3%B3s-gradua%C3%A7%C3%A3o</t>
  </si>
  <si>
    <t>1 ano; curso clínico em enfermagem pediátrica</t>
  </si>
  <si>
    <t>Supervisão Clínica em Enfermagem</t>
  </si>
  <si>
    <t>https://www.google.com/search?q=site%3Aesel.pt%20Supervis%C3%A3o%20Cl%C3%ADnica%20em%20Enfermagem%20p%C3%B3s-gradua%C3%A7%C3%A3o</t>
  </si>
  <si>
    <t>1 ano; pós‑graduação acreditada para supervisão clínica</t>
  </si>
  <si>
    <t>Escola Superior de Enfermagem de São José de Cluny</t>
  </si>
  <si>
    <t>Funchal (Madeira)</t>
  </si>
  <si>
    <t>Gerontologia e Cuidados de Longa Duração</t>
  </si>
  <si>
    <t>ESESJC – Escola Superior de Enfermagem de São José de Cluny, Rampa da Quinta de Sant'Ana n.º 22, 9050‑535 Funchal</t>
  </si>
  <si>
    <t>https://www.google.com/search?q=site%3Asjcluny.org%20Gerontologia%20e%20Cuidados%20de%20Longa%20Dura%C3%A7%C3%A3o%20CTeSP</t>
  </si>
  <si>
    <t>Madeira</t>
  </si>
  <si>
    <t>ESESJC – Escola Superior de Enfermagem de São José de Cluny, Rampa da Quinta de Sant'Ana n.º 22, 9050‑535 Funchal, Madeira</t>
  </si>
  <si>
    <t>https://www.google.com/search?q=site%3Asjcluny.org%20Enfermagem%20licenciatura</t>
  </si>
  <si>
    <t>Enfermagem Comunitária</t>
  </si>
  <si>
    <t>ESESJCluny, Funchal; mestrado em Enfermagem Comunitária/acesso a título de especialista</t>
  </si>
  <si>
    <t>https://www.google.com/search?q=site%3Asjcluny.org%20Enfermagem%20Comunit%C3%A1ria%20mestrado</t>
  </si>
  <si>
    <t>ESESJCluny, Funchal; mestrado em Enfermagem de Reabilitação, com provas públicas regulares</t>
  </si>
  <si>
    <t>https://www.google.com/search?q=site%3Asjcluny.org%20Enfermagem%20de%20Reabilita%C3%A7%C3%A3o%20mestrado</t>
  </si>
  <si>
    <t>Enfermagem de Saúde Infantil e Pediátrica</t>
  </si>
  <si>
    <t>ESESJCluny, Funchal; mestrado próprio, criado em 2020</t>
  </si>
  <si>
    <t>https://www.google.com/search?q=site%3Asjcluny.org%20Enfermagem%20de%20Sa%C3%BAde%20Infantil%20e%20Pedi%C3%A1trica%20mestrado</t>
  </si>
  <si>
    <t>ESESJCluny – Rampa da Quinta de Sant'Ana n.º 22, Funchal; mestrado próprio da escola</t>
  </si>
  <si>
    <t>https://www.google.com/search?q=site%3Asjcluny.org%20Enfermagem%20de%20Sa%C3%BAde%20Mental%20e%20Psiqui%C3%A1trica%20mestrado</t>
  </si>
  <si>
    <t>Bioética</t>
  </si>
  <si>
    <t>ESESJCluny</t>
  </si>
  <si>
    <t>https://www.google.com/search?q=site%3Asjcluny.org%20Bio%C3%A9tica%20p%C3%B3s-gradua%C3%A7%C3%A3o</t>
  </si>
  <si>
    <t>Cuidar para a Viabilidade Tecidular</t>
  </si>
  <si>
    <t>https://www.google.com/search?q=site%3Asjcluny.org%20Cuidar%20para%20a%20Viabilidade%20Tecidular%20p%C3%B3s-gradua%C3%A7%C3%A3o</t>
  </si>
  <si>
    <t>Emergência e Cuidados Intensivos (Emergência Extra‑Hospitalar e Cuidados Intensivos)</t>
  </si>
  <si>
    <t>https://www.google.com/search?q=site%3Asjcluny.org%20Emerg%C3%AAncia%20e%20Cuidados%20Intensivos%20%28Emerg%C3%AAncia%20Extra%E2%80%91Hospitalar%20e%20Cuidados%20Intensivos%29%20p%C3%B3s-gradua%C3%A7%C3%A3o</t>
  </si>
  <si>
    <t>1 ano letivo; plano de estudos próprio (ECTS não visíveis no excerto público)</t>
  </si>
  <si>
    <t>Gestão de Serviços de Saúde</t>
  </si>
  <si>
    <t>https://www.google.com/search?q=site%3Asjcluny.org%20Gest%C3%A3o%20de%20Servi%C3%A7os%20de%20Sa%C3%BAde%20p%C3%B3s-gradua%C3%A7%C3%A3o</t>
  </si>
  <si>
    <t>Supervisão Clínica</t>
  </si>
  <si>
    <t>https://www.google.com/search?q=site%3Asjcluny.org%20Supervis%C3%A3o%20Cl%C3%ADnica%20p%C3%B3s-gradua%C3%A7%C3%A3o</t>
  </si>
  <si>
    <t>Duração e ECTS não explicitados no excerto; indicada como pós‑graduação em regime pós‑laboral</t>
  </si>
  <si>
    <t>Escola Superior de Enfermagem do Porto</t>
  </si>
  <si>
    <t>ESEP</t>
  </si>
  <si>
    <t>https://www.google.com/search?q=site%3Aesenf.pt%20Enfermagem%20licenciatura</t>
  </si>
  <si>
    <t>Enfermagem Oncológica</t>
  </si>
  <si>
    <t>https://www.google.com/search?q=site%3Aesenf.pt%20Enfermagem%20Oncol%C3%B3gica%20p%C3%B3s-gradua%C3%A7%C3%A3o</t>
  </si>
  <si>
    <t>Enfermagem Perioperatória</t>
  </si>
  <si>
    <t>https://www.google.com/search?q=site%3Aesenf.pt%20Enfermagem%20Perioperat%C3%B3ria%20p%C3%B3s-gradua%C3%A7%C3%A3o</t>
  </si>
  <si>
    <t>Enfermagem de Cuidados Paliativos</t>
  </si>
  <si>
    <t>https://www.google.com/search?q=site%3Aesenf.pt%20Enfermagem%20de%20Cuidados%20Paliativos%20p%C3%B3s-gradua%C3%A7%C3%A3o</t>
  </si>
  <si>
    <t>https://www.google.com/search?q=site%3Aesenf.pt%20Enfermagem%20de%20Reabilita%C3%A7%C3%A3o%20p%C3%B3s-gradua%C3%A7%C3%A3o</t>
  </si>
  <si>
    <t>https://www.google.com/search?q=site%3Aesenf.pt%20Enfermagem%20de%20Sa%C3%BAde%20Familiar%20p%C3%B3s-gradua%C3%A7%C3%A3o</t>
  </si>
  <si>
    <t>Enfermagem de Saúde Infantil</t>
  </si>
  <si>
    <t>https://www.google.com/search?q=site%3Aesenf.pt%20Enfermagem%20de%20Sa%C3%BAde%20Infantil%20p%C3%B3s-gradua%C3%A7%C3%A3o</t>
  </si>
  <si>
    <t>Enfermagem de Saúde Materna e Obstétrica</t>
  </si>
  <si>
    <t>https://www.google.com/search?q=site%3Aesenf.pt%20Enfermagem%20de%20Sa%C3%BAde%20Materna%20e%20Obst%C3%A9trica%20p%C3%B3s-gradua%C3%A7%C3%A3o</t>
  </si>
  <si>
    <t>Enfermagem de Saúde Mental</t>
  </si>
  <si>
    <t>https://www.google.com/search?q=site%3Aesenf.pt%20Enfermagem%20de%20Sa%C3%BAde%20Mental%20p%C3%B3s-gradua%C3%A7%C3%A3o</t>
  </si>
  <si>
    <t>Enfermagem de Saúde Pública</t>
  </si>
  <si>
    <t>https://www.google.com/search?q=site%3Aesenf.pt%20Enfermagem%20de%20Sa%C3%BAde%20P%C3%BAblica%20p%C3%B3s-gradua%C3%A7%C3%A3o</t>
  </si>
  <si>
    <t>https://www.google.com/search?q=site%3Aesenf.pt%20Enfermagem%20do%20Trabalho%20p%C3%B3s-gradua%C3%A7%C3%A3o</t>
  </si>
  <si>
    <t>https://www.google.com/search?q=site%3Aesenf.pt%20Enfermagem%20%C3%A0%20Pessoa%20em%20Situa%C3%A7%C3%A3o%20Cr%C3%ADtica%20p%C3%B3s-gradua%C3%A7%C3%A3o</t>
  </si>
  <si>
    <t>Enfermagem à Pessoa em Situação Crónica</t>
  </si>
  <si>
    <t>https://www.google.com/search?q=site%3Aesenf.pt%20Enfermagem%20%C3%A0%20Pessoa%20em%20Situa%C3%A7%C3%A3o%20Cr%C3%B3nica%20p%C3%B3s-gradua%C3%A7%C3%A3o</t>
  </si>
  <si>
    <t>Gestão dos Serviços de Enfermagem</t>
  </si>
  <si>
    <t>https://www.google.com/search?q=site%3Aesenf.pt%20Gest%C3%A3o%20dos%20Servi%C3%A7os%20de%20Enfermagem%20p%C3%B3s-gradua%C3%A7%C3%A3o</t>
  </si>
  <si>
    <t>Sistemas de Informação em Enfermagem</t>
  </si>
  <si>
    <t>https://www.google.com/search?q=site%3Aesenf.pt%20Sistemas%20de%20Informa%C3%A7%C3%A3o%20em%20Enfermagem%20p%C3%B3s-gradua%C3%A7%C3%A3o</t>
  </si>
  <si>
    <t>https://www.google.com/search?q=site%3Aesenf.pt%20Supervis%C3%A3o%20Cl%C3%ADnica%20em%20Enfermagem%20p%C3%B3s-gradua%C3%A7%C3%A3o</t>
  </si>
  <si>
    <t>Escola Superior de Hotelaria e Turismo do Estoril</t>
  </si>
  <si>
    <t>Tour Guiding</t>
  </si>
  <si>
    <t>Turismo e Lazer</t>
  </si>
  <si>
    <t>Turismo</t>
  </si>
  <si>
    <t>https://www.google.com/search?q=site%3Aeshte.pt%20Tour%20Guiding%20p%C3%B3s-gradua%C3%A7%C3%A3o</t>
  </si>
  <si>
    <t>Estoril</t>
  </si>
  <si>
    <t>Turismo Literário (Online)</t>
  </si>
  <si>
    <t>ESHTE – Formação Avançada</t>
  </si>
  <si>
    <t>https://www.google.com/search?q=site%3Aeshte.pt%20Turismo%20Liter%C3%A1rio%20%28Online%29%20p%C3%B3s-gradua%C3%A7%C3%A3o</t>
  </si>
  <si>
    <t>1 ano letivo; componente letiva em 2 semestres; aulas 2.ª–4.ª das 18h00 às 21h50; 30 vagas</t>
  </si>
  <si>
    <t>Escola Superior de Negócios Atlântico</t>
  </si>
  <si>
    <t>Foz do Douro (Porto)</t>
  </si>
  <si>
    <t>Contabilidade e Fiscalidade para PME</t>
  </si>
  <si>
    <t>https://www.google.com/search?q=site%3Aesna.pt%20Contabilidade%20e%20Fiscalidade%20para%20PME%20CTeSP</t>
  </si>
  <si>
    <t>Economia Digital e Negócios na Internet para PME</t>
  </si>
  <si>
    <t>https://www.google.com/search?q=site%3Aesna.pt%20Economia%20Digital%20e%20Neg%C3%B3cios%20na%20Internet%20para%20PME%20CTeSP</t>
  </si>
  <si>
    <t>Estratégias e Práticas de Internacionalização para PME</t>
  </si>
  <si>
    <t>https://www.google.com/search?q=site%3Aesna.pt%20Estrat%C3%A9gias%20e%20Pr%C3%A1ticas%20de%20Internacionaliza%C3%A7%C3%A3o%20para%20PME%20CTeSP</t>
  </si>
  <si>
    <t>Gestão de Vendas e Marketing para PME</t>
  </si>
  <si>
    <t>https://www.google.com/search?q=site%3Aesna.pt%20Gest%C3%A3o%20de%20Vendas%20e%20Marketing%20para%20PME%20CTeSP</t>
  </si>
  <si>
    <t>Gestão e Negócios para PME</t>
  </si>
  <si>
    <t>https://www.google.com/search?q=site%3Aesna.pt%20Gest%C3%A3o%20e%20Neg%C3%B3cios%20para%20PME%20CTeSP</t>
  </si>
  <si>
    <t>Gestão Financeira e Fiscal</t>
  </si>
  <si>
    <t>https://www.google.com/search?q=site%3Aesna.pt%20Gest%C3%A3o%20Financeira%20e%20Fiscal%20licenciatura</t>
  </si>
  <si>
    <t>Gestão e Negócios</t>
  </si>
  <si>
    <t>https://www.google.com/search?q=site%3Aesna.pt%20Gest%C3%A3o%20e%20Neg%C3%B3cios%20licenciatura</t>
  </si>
  <si>
    <t>Gestão e Negócios (regime de ensino a distância)</t>
  </si>
  <si>
    <t>https://www.google.com/search?q=site%3Aesna.pt%20Gest%C3%A3o%20e%20Neg%C3%B3cios%20%28regime%20de%20ensino%20a%20dist%C3%A2ncia%29%20licenciatura</t>
  </si>
  <si>
    <t>Vila Nova de Gaia / Porto</t>
  </si>
  <si>
    <t>Pós‑Graduação em Controlo de Gestão e Finanças</t>
  </si>
  <si>
    <t>Finanças, Banca e Seguros</t>
  </si>
  <si>
    <t>Atlântico Business School – Formação Executiva</t>
  </si>
  <si>
    <t>https://www.google.com/search?q=site%3Aesna.pt%20P%C3%B3s%E2%80%91Gradua%C3%A7%C3%A3o%20em%20Controlo%20de%20Gest%C3%A3o%20e%20Finan%C3%A7as%20p%C3%B3s-gradua%C3%A7%C3%A3o</t>
  </si>
  <si>
    <t>0,7 ano(s) (42 ECTS)</t>
  </si>
  <si>
    <t>Pós‑Graduação em Gestão e Negócios – 100% online (MBA Gestão e Negócios)</t>
  </si>
  <si>
    <t>Atlântico Business School – Ensino a Distância</t>
  </si>
  <si>
    <t>https://www.google.com/search?q=site%3Aesna.pt%20P%C3%B3s%E2%80%91Gradua%C3%A7%C3%A3o%20em%20Gest%C3%A3o%20e%20Neg%C3%B3cios%20%E2%80%93%20100%25%20online%20%28MBA%20Gest%C3%A3o%20e%20Neg%C3%B3cios%29%20p%C3%B3s-gradua%C3%A7%C3%A3o%20executiva</t>
  </si>
  <si>
    <t>Escola Superior de Saúde Atlântica</t>
  </si>
  <si>
    <t>Gerontologia</t>
  </si>
  <si>
    <t>https://www.google.com/search?q=site%3Auatlantica.pt%20Gerontologia%20CTeSP</t>
  </si>
  <si>
    <t>https://www.google.com/search?q=site%3Auatlantica.pt%20Gest%C3%A3o%20de%20Servi%C3%A7os%20de%20Sa%C3%BAde%20CTeSP</t>
  </si>
  <si>
    <t>Serviço Familiar e Comunitário</t>
  </si>
  <si>
    <t>https://www.google.com/search?q=site%3Auatlantica.pt%20Servi%C3%A7o%20Familiar%20e%20Comunit%C3%A1rio%20CTeSP</t>
  </si>
  <si>
    <t>https://www.google.com/search?q=site%3Auatlantica.pt%20Enfermagem%20licenciatura</t>
  </si>
  <si>
    <t>Farmácia</t>
  </si>
  <si>
    <t>https://www.google.com/search?q=site%3Auatlantica.pt%20Farm%C3%A1cia%20licenciatura</t>
  </si>
  <si>
    <t>Fisioterapia</t>
  </si>
  <si>
    <t>https://www.google.com/search?q=site%3Auatlantica.pt%20Fisioterapia%20licenciatura</t>
  </si>
  <si>
    <t>Osteopatia</t>
  </si>
  <si>
    <t>https://www.google.com/search?q=site%3Auatlantica.pt%20Osteopatia%20licenciatura</t>
  </si>
  <si>
    <t>Enfermagem Comunitária na área de Enfermagem de Saúde Comunitária e de Saúde Pública</t>
  </si>
  <si>
    <t>https://www.google.com/search?q=site%3Auatlantica.pt%20Enfermagem%20Comunit%C3%A1ria%20na%20%C3%A1rea%20de%20Enfermagem%20de%20Sa%C3%BAde%20Comunit%C3%A1ria%20e%20de%20Sa%C3%BAde%20P%C3%BAblica%20mestrado</t>
  </si>
  <si>
    <t>Enfermagem Comunitária na área de Enfermagem de Saúde Familiar</t>
  </si>
  <si>
    <t>https://www.google.com/search?q=site%3Auatlantica.pt%20Enfermagem%20Comunit%C3%A1ria%20na%20%C3%A1rea%20de%20Enfermagem%20de%20Sa%C3%BAde%20Familiar%20mestrado</t>
  </si>
  <si>
    <t>Enfermagem Médico-Cirúrgica na Área de Enfermagem à Pessoa em Situação Crítica</t>
  </si>
  <si>
    <t>https://www.google.com/search?q=site%3Auatlantica.pt%20Enfermagem%20M%C3%A9dico-Cir%C3%BArgica%20na%20%C3%81rea%20de%20Enfermagem%20%C3%A0%20Pessoa%20em%20Situa%C3%A7%C3%A3o%20Cr%C3%ADtica%20mestrado</t>
  </si>
  <si>
    <t>Enfermagem Médico-Cirúrgica na Área de Enfermagem à Pessoa em Situação Crónica</t>
  </si>
  <si>
    <t>https://www.google.com/search?q=site%3Auatlantica.pt%20Enfermagem%20M%C3%A9dico-Cir%C3%BArgica%20na%20%C3%81rea%20de%20Enfermagem%20%C3%A0%20Pessoa%20em%20Situa%C3%A7%C3%A3o%20Cr%C3%B3nica%20mestrado</t>
  </si>
  <si>
    <t>https://www.google.com/search?q=site%3Auatlantica.pt%20Enfermagem%20de%20Reabilita%C3%A7%C3%A3o%20mestrado</t>
  </si>
  <si>
    <t>https://www.google.com/search?q=site%3Auatlantica.pt%20Fisioterapia%20mestrado</t>
  </si>
  <si>
    <t>https://www.google.com/search?q=site%3Auatlantica.pt%20Osteopatia%20mestrado</t>
  </si>
  <si>
    <t>Escola Superior de Saúde Cruz Vermelha Portuguesa – Alto Tâmega</t>
  </si>
  <si>
    <t>Chaves</t>
  </si>
  <si>
    <t>Escola Superior de Saúde Cruz Vermelha Portuguesa - Alto Tâmega</t>
  </si>
  <si>
    <t>https://www.google.com/search?q=site%3Aesscvp.eu%20Enfermagem%20licenciatura</t>
  </si>
  <si>
    <t>https://www.google.com/search?q=site%3Aesscvp.eu%20Fisioterapia%20licenciatura</t>
  </si>
  <si>
    <t>Pós‑Graduação em Prevenção e Controlo da Infeção</t>
  </si>
  <si>
    <t>ESSCVP Alto Tâmega</t>
  </si>
  <si>
    <t>https://www.google.com/search?q=site%3Aesscvp.eu%20P%C3%B3s%E2%80%91Gradua%C3%A7%C3%A3o%20em%20Preven%C3%A7%C3%A3o%20e%20Controlo%20da%20Infe%C3%A7%C3%A3o%20p%C3%B3s-gradua%C3%A7%C3%A3o</t>
  </si>
  <si>
    <t>Escola Superior de Saúde Egas Moniz</t>
  </si>
  <si>
    <t>Almada (Caparica)</t>
  </si>
  <si>
    <t>Análises Químicas e Bioquímicas</t>
  </si>
  <si>
    <t>Biologia e Bioquímica</t>
  </si>
  <si>
    <t>https://www.google.com/search?q=site%3Aegasmoniz.edu.pt%20An%C3%A1lises%20Qu%C3%ADmicas%20e%20Bioqu%C3%ADmicas%20CTeSP</t>
  </si>
  <si>
    <t>Apoio ao Consultório Médico e Dentário</t>
  </si>
  <si>
    <t>https://www.google.com/search?q=site%3Aegasmoniz.edu.pt%20Apoio%20ao%20Consult%C3%B3rio%20M%C3%A9dico%20e%20Dent%C3%A1rio%20CTeSP</t>
  </si>
  <si>
    <t>https://www.google.com/search?q=site%3Aegasmoniz.edu.pt%20Gerontologia%20CTeSP</t>
  </si>
  <si>
    <t>Microbiologia e Biologia Molecular</t>
  </si>
  <si>
    <t>https://www.google.com/search?q=site%3Aegasmoniz.edu.pt%20Microbiologia%20e%20Biologia%20Molecular%20CTeSP</t>
  </si>
  <si>
    <t>Ciências Biomédicas</t>
  </si>
  <si>
    <t>Instituto Universitário Egas Moniz</t>
  </si>
  <si>
    <t>https://www.google.com/search?q=site%3Aegasmoniz.edu.pt%20Ci%C3%AAncias%20Biom%C3%A9dicas%20licenciatura</t>
  </si>
  <si>
    <t>Ciências Biomédicas Laboratoriais</t>
  </si>
  <si>
    <t>https://www.google.com/search?q=site%3Aegasmoniz.edu.pt%20Ci%C3%AAncias%20Biom%C3%A9dicas%20Laboratoriais%20licenciatura</t>
  </si>
  <si>
    <t>Ciências Forenses e Criminais</t>
  </si>
  <si>
    <t>Direito</t>
  </si>
  <si>
    <t>https://www.google.com/search?q=site%3Aegasmoniz.edu.pt%20Ci%C3%AAncias%20Forenses%20e%20Criminais%20licenciatura</t>
  </si>
  <si>
    <t>Ciências da Saúde (Nutrição)</t>
  </si>
  <si>
    <t>https://www.google.com/search?q=site%3Aegasmoniz.edu.pt%20Ci%C3%AAncias%20da%20Nutri%C3%A7%C3%A3o%20licenciatura</t>
  </si>
  <si>
    <t>https://www.google.com/search?q=site%3Aegasmoniz.edu.pt%20Enfermagem%20licenciatura</t>
  </si>
  <si>
    <t>Enfermagem Veterinária</t>
  </si>
  <si>
    <t>Medicina Veterinária</t>
  </si>
  <si>
    <t>https://www.google.com/search?q=site%3Aegasmoniz.edu.pt%20Enfermagem%20Veterin%C3%A1ria%20licenciatura</t>
  </si>
  <si>
    <t>https://www.google.com/search?q=site%3Aegasmoniz.edu.pt%20Fisioterapia%20licenciatura</t>
  </si>
  <si>
    <t>Gastronomia</t>
  </si>
  <si>
    <t>Hotelaria, Restauração e Catering</t>
  </si>
  <si>
    <t>https://www.google.com/search?q=site%3Aegasmoniz.edu.pt%20Gastronomia%20licenciatura</t>
  </si>
  <si>
    <t>Prótese Dentária</t>
  </si>
  <si>
    <t>https://www.google.com/search?q=site%3Aegasmoniz.edu.pt%20Pr%C3%B3tese%20Dent%C3%A1ria%20licenciatura</t>
  </si>
  <si>
    <t>https://www.google.com/search?q=site%3Aegasmoniz.edu.pt%20Psicologia%20licenciatura</t>
  </si>
  <si>
    <t>Análises Clínicas</t>
  </si>
  <si>
    <t>https://www.google.com/search?q=site%3Aegasmoniz.edu.pt%20An%C3%A1lises%20Cl%C3%ADnicas%20mestrado</t>
  </si>
  <si>
    <t>Aquacultura Sustentável</t>
  </si>
  <si>
    <t>Agricultura, Silvicultura e Pescas</t>
  </si>
  <si>
    <t>https://www.google.com/search?q=site%3Aegasmoniz.edu.pt%20Aquacultura%20Sustent%C3%A1vel%20mestrado</t>
  </si>
  <si>
    <t>https://www.google.com/search?q=site%3Aegasmoniz.edu.pt%20Enfermagem%20Comunit%C3%A1ria%20na%20%C3%A1rea%20de%20Enfermagem%20de%20Sa%C3%BAde%20Familiar%20mestrado</t>
  </si>
  <si>
    <t>Enfermagem Comunitária, na área de Enfermagem de Saúde Comunitária e de Saúde Pública</t>
  </si>
  <si>
    <t>https://www.google.com/search?q=site%3Aegasmoniz.edu.pt%20Enfermagem%20Comunit%C3%A1ria%2C%20na%20%C3%A1rea%20de%20Enfermagem%20de%20Sa%C3%BAde%20Comunit%C3%A1ria%20e%20de%20Sa%C3%BAde%20P%C3%BAblica%20mestrado</t>
  </si>
  <si>
    <t>Enfermagem Médico‑Cirúrgica na área de Enfermagem à Pessoa em Situação Crítica</t>
  </si>
  <si>
    <t>https://www.google.com/search?q=site%3Aegasmoniz.edu.pt%20Enfermagem%20M%C3%A9dico%E2%80%91Cir%C3%BArgica%20na%20%C3%A1rea%20de%20Enfermagem%20%C3%A0%20Pessoa%20em%20Situa%C3%A7%C3%A3o%20Cr%C3%ADtica%20mestrado</t>
  </si>
  <si>
    <t>Enfermagem Médico‑Cirúrgica na área de Enfermagem à Pessoa em Situação Perioperatória</t>
  </si>
  <si>
    <t>https://www.google.com/search?q=site%3Aegasmoniz.edu.pt%20Enfermagem%20M%C3%A9dico%E2%80%91Cir%C3%BArgica%20na%20%C3%A1rea%20de%20Enfermagem%20%C3%A0%20Pessoa%20em%20Situa%C3%A7%C3%A3o%20Perioperat%C3%B3ria%20mestrado</t>
  </si>
  <si>
    <t>https://www.google.com/search?q=site%3Aegasmoniz.edu.pt%20Enfermagem%20de%20Reabilita%C3%A7%C3%A3o%20mestrado</t>
  </si>
  <si>
    <t>https://www.google.com/search?q=site%3Aegasmoniz.edu.pt%20Enfermagem%20de%20Sa%C3%BAde%20Mental%20e%20Psiqui%C3%A1trica%20mestrado</t>
  </si>
  <si>
    <t>https://www.google.com/search?q=site%3Aegasmoniz.edu.pt%20Fisioterapia%20mestrado</t>
  </si>
  <si>
    <t>Medicina Oral</t>
  </si>
  <si>
    <t>https://www.google.com/search?q=site%3Aegasmoniz.edu.pt%20Medicina%20Oral%20mestrado</t>
  </si>
  <si>
    <t>Nutrição Clínica</t>
  </si>
  <si>
    <t>https://www.google.com/search?q=site%3Aegasmoniz.edu.pt%20Nutri%C3%A7%C3%A3o%20Cl%C3%ADnica%20mestrado</t>
  </si>
  <si>
    <t>Nutrição Humana – Clínica e Investigação</t>
  </si>
  <si>
    <t>https://www.google.com/search?q=site%3Aegasmoniz.edu.pt%20Nutri%C3%A7%C3%A3o%20Humana%20%E2%80%93%20Cl%C3%ADnica%20e%20Investiga%C3%A7%C3%A3o%20mestrado</t>
  </si>
  <si>
    <t>Psicologia Clínica e da Saúde</t>
  </si>
  <si>
    <t>https://www.google.com/search?q=site%3Aegasmoniz.edu.pt%20Psicologia%20Cl%C3%ADnica%20e%20da%20Sa%C3%BAde%20mestrado</t>
  </si>
  <si>
    <t>Psicologia Forense e Criminal</t>
  </si>
  <si>
    <t>https://www.google.com/search?q=site%3Aegasmoniz.edu.pt%20Psicologia%20Forense%20e%20Criminal%20mestrado</t>
  </si>
  <si>
    <t>Reabilitação Oral</t>
  </si>
  <si>
    <t>https://www.google.com/search?q=site%3Aegasmoniz.edu.pt%20Reabilita%C3%A7%C3%A3o%20Oral%20mestrado</t>
  </si>
  <si>
    <t>Tecnologias Laboratoriais em Ciências Forenses (Erasmus Mundus)</t>
  </si>
  <si>
    <t>Instituto Universitário Egas Moniz (consórcio internacional)</t>
  </si>
  <si>
    <t>https://www.google.com/search?q=site%3Aegasmoniz.edu.pt%20Tecnologias%20Laboratoriais%20em%20Ci%C3%AAncias%20Forenses%20%28Erasmus%20Mundus%29%20mestrado</t>
  </si>
  <si>
    <t>Uma Só Saúde</t>
  </si>
  <si>
    <t>https://www.google.com/search?q=site%3Aegasmoniz.edu.pt%20Uma%20S%C3%B3%20Sa%C3%BAde%20mestrado</t>
  </si>
  <si>
    <t>https://www.google.com/search?q=site%3Aegasmoniz.edu.pt%20Ci%C3%AAncias%20Farmac%C3%AAuticas%20mestrado%20integrado</t>
  </si>
  <si>
    <t>Medicina Dentária</t>
  </si>
  <si>
    <t>https://www.google.com/search?q=site%3Aegasmoniz.edu.pt%20Medicina%20Dent%C3%A1ria%20mestrado%20integrado</t>
  </si>
  <si>
    <t>https://www.google.com/search?q=site%3Aegasmoniz.edu.pt%20Medicina%20Veterin%C3%A1ria%20mestrado%20integrado</t>
  </si>
  <si>
    <t>6 ano(s) (360 ECTS)</t>
  </si>
  <si>
    <t>Cirurgia Guiada em Medicina Dentária e Fluxo Digital</t>
  </si>
  <si>
    <t>Instituto Universitário Egas Moniz – Medicina Dentária</t>
  </si>
  <si>
    <t>https://www.google.com/search?q=site%3Aegasmoniz.edu.pt%20Cirurgia%20Guiada%20em%20Medicina%20Dent%C3%A1ria%20e%20Fluxo%20Digital%20p%C3%B3s-gradua%C3%A7%C3%A3o</t>
  </si>
  <si>
    <t>6 meses</t>
  </si>
  <si>
    <t>Cirurgia de Dentes Inclusos</t>
  </si>
  <si>
    <t>https://www.google.com/search?q=site%3Aegasmoniz.edu.pt%20Cirurgia%20de%20Dentes%20Inclusos%20p%C3%B3s-gradua%C3%A7%C3%A3o</t>
  </si>
  <si>
    <t>11 meses</t>
  </si>
  <si>
    <t>Dentisteria Estética e Reabilitação Oral</t>
  </si>
  <si>
    <t>https://www.google.com/search?q=site%3Aegasmoniz.edu.pt%20Dentisteria%20Est%C3%A9tica%20e%20Reabilita%C3%A7%C3%A3o%20Oral%20p%C3%B3s-gradua%C3%A7%C3%A3o</t>
  </si>
  <si>
    <t>4 meses</t>
  </si>
  <si>
    <t>Dor Orofacial e Disfunção Temporomandibular</t>
  </si>
  <si>
    <t>https://www.google.com/search?q=site%3Aegasmoniz.edu.pt%20Dor%20Orofacial%20e%20Disfun%C3%A7%C3%A3o%20Temporomandibular%20p%C3%B3s-gradua%C3%A7%C3%A3o</t>
  </si>
  <si>
    <t>Endodontia Clínica Internacional</t>
  </si>
  <si>
    <t>https://www.google.com/search?q=site%3Aegasmoniz.edu.pt%20Endodontia%20Cl%C3%ADnica%20Internacional%20p%C3%B3s-gradua%C3%A7%C3%A3o</t>
  </si>
  <si>
    <t>7 meses</t>
  </si>
  <si>
    <t>Implantologia</t>
  </si>
  <si>
    <t>https://www.google.com/search?q=site%3Aegasmoniz.edu.pt%20Implantologia%20p%C3%B3s-gradua%C3%A7%C3%A3o</t>
  </si>
  <si>
    <t>11 meses (página de lista) / 10 meses em divulgação recente</t>
  </si>
  <si>
    <t>Medicina Dentária Desportiva</t>
  </si>
  <si>
    <t>https://www.google.com/search?q=site%3Aegasmoniz.edu.pt%20Medicina%20Dent%C3%A1ria%20Desportiva%20p%C3%B3s-gradua%C3%A7%C3%A3o</t>
  </si>
  <si>
    <t>12 meses</t>
  </si>
  <si>
    <t>Medicina Oral e Patologia Oral</t>
  </si>
  <si>
    <t>https://www.google.com/search?q=site%3Aegasmoniz.edu.pt%20Medicina%20Oral%20e%20Patologia%20Oral%20p%C3%B3s-gradua%C3%A7%C3%A3o</t>
  </si>
  <si>
    <t>Ortodontia com Alinhadores</t>
  </si>
  <si>
    <t>https://www.google.com/search?q=site%3Aegasmoniz.edu.pt%20Ortodontia%20com%20Alinhadores%20p%C3%B3s-gradua%C3%A7%C3%A3o</t>
  </si>
  <si>
    <t>Ozonoterapia – Vertente Medicina Dentária</t>
  </si>
  <si>
    <t>https://www.google.com/search?q=site%3Aegasmoniz.edu.pt%20Ozonoterapia%20%E2%80%93%20Vertente%20Medicina%20Dent%C3%A1ria%20p%C3%B3s-gradua%C3%A7%C3%A3o</t>
  </si>
  <si>
    <t>50 horas</t>
  </si>
  <si>
    <t>Periodontologia Clínica Internacional</t>
  </si>
  <si>
    <t>https://www.google.com/search?q=site%3Aegasmoniz.edu.pt%20Periodontologia%20Cl%C3%ADnica%20Internacional%20p%C3%B3s-gradua%C3%A7%C3%A3o</t>
  </si>
  <si>
    <t>Pós‑Graduação de Especialização em Endodontia</t>
  </si>
  <si>
    <t>https://www.google.com/search?q=site%3Aegasmoniz.edu.pt%20P%C3%B3s%E2%80%91Gradua%C3%A7%C3%A3o%20de%20Especializa%C3%A7%C3%A3o%20em%20Endodontia%20p%C3%B3s-gradua%C3%A7%C3%A3o</t>
  </si>
  <si>
    <t>3 anos</t>
  </si>
  <si>
    <t>Pós‑Graduação de Especialização em Ortodontia</t>
  </si>
  <si>
    <t>https://www.google.com/search?q=site%3Aegasmoniz.edu.pt%20P%C3%B3s%E2%80%91Gradua%C3%A7%C3%A3o%20de%20Especializa%C3%A7%C3%A3o%20em%20Ortodontia%20p%C3%B3s-gradua%C3%A7%C3%A3o</t>
  </si>
  <si>
    <t>Pós‑Graduação de Especialização em Periodontologia</t>
  </si>
  <si>
    <t>https://www.google.com/search?q=site%3Aegasmoniz.edu.pt%20P%C3%B3s%E2%80%91Gradua%C3%A7%C3%A3o%20de%20Especializa%C3%A7%C3%A3o%20em%20Periodontologia%20p%C3%B3s-gradua%C3%A7%C3%A3o</t>
  </si>
  <si>
    <t>Reabilitação Oral Digital</t>
  </si>
  <si>
    <t>https://www.google.com/search?q=site%3Aegasmoniz.edu.pt%20Reabilita%C3%A7%C3%A3o%20Oral%20Digital%20p%C3%B3s-gradua%C3%A7%C3%A3o</t>
  </si>
  <si>
    <t>2 meses</t>
  </si>
  <si>
    <t>Saúde Orofacial na Primeira Infância – “EarlySmile”</t>
  </si>
  <si>
    <t>https://www.google.com/search?q=site%3Aegasmoniz.edu.pt%20Sa%C3%BAde%20Orofacial%20na%20Primeira%20Inf%C3%A2ncia%20%E2%80%93%20%E2%80%9CEarlySmile%E2%80%9D%20p%C3%B3s-gradua%C3%A7%C3%A3o</t>
  </si>
  <si>
    <t>8 meses</t>
  </si>
  <si>
    <t>Escola Superior de Saúde Norte da Cruz Vermelha Portuguesa</t>
  </si>
  <si>
    <t>Oliveira de Azeméis</t>
  </si>
  <si>
    <t>Gerontologia e Intervenção Comunitária</t>
  </si>
  <si>
    <t>https://www.google.com/search?q=site%3Aesscvp.eu%20Gerontologia%20e%20Interven%C3%A7%C3%A3o%20Comunit%C3%A1ria%20CTeSP</t>
  </si>
  <si>
    <t>Secretariado em Saúde</t>
  </si>
  <si>
    <t>https://www.google.com/search?q=site%3Aesscvp.eu%20Secretariado%20em%20Sa%C3%BAde%20CTeSP</t>
  </si>
  <si>
    <t>Termalismo e Bem-Estar</t>
  </si>
  <si>
    <t>https://www.google.com/search?q=site%3Aesscvp.eu%20Termalismo%20e%20Bem-Estar%20CTeSP</t>
  </si>
  <si>
    <t>Acupuntura</t>
  </si>
  <si>
    <t>https://www.google.com/search?q=site%3Aesscvp.eu%20Acupuntura%20licenciatura</t>
  </si>
  <si>
    <t>https://www.google.com/search?q=site%3Aesscvp.eu%20Osteopatia%20licenciatura</t>
  </si>
  <si>
    <t>https://www.google.com/search?q=site%3Aesscvp.eu%20Enfermagem%20Comunit%C3%A1ria%20na%20%C3%A1rea%20de%20Enfermagem%20de%20Sa%C3%BAde%20Familiar%20mestrado</t>
  </si>
  <si>
    <t>Enfermagem Médico-Cirúrgica</t>
  </si>
  <si>
    <t>https://www.google.com/search?q=site%3Aesscvp.eu%20Enfermagem%20M%C3%A9dico-Cir%C3%BArgica%20mestrado</t>
  </si>
  <si>
    <t>Enfermagem Médico-Cirúrgica na área de Enfermagem à Pessoa em Situação Crónica</t>
  </si>
  <si>
    <t>https://www.google.com/search?q=site%3Aesscvp.eu%20Enfermagem%20M%C3%A9dico-Cir%C3%BArgica%20na%20%C3%A1rea%20de%20Enfermagem%20%C3%A0%20Pessoa%20em%20Situa%C3%A7%C3%A3o%20Cr%C3%B3nica%20mestrado</t>
  </si>
  <si>
    <t>Enfermagem Médico-Cirúrgica na área de Enfermagem à Pessoa em Situação Paliativa</t>
  </si>
  <si>
    <t>https://www.google.com/search?q=site%3Aesscvp.eu%20Enfermagem%20M%C3%A9dico-Cir%C3%BArgica%20na%20%C3%A1rea%20de%20Enfermagem%20%C3%A0%20Pessoa%20em%20Situa%C3%A7%C3%A3o%20Paliativa%20mestrado</t>
  </si>
  <si>
    <t>https://www.google.com/search?q=site%3Aesscvp.eu%20Enfermagem%20de%20Reabilita%C3%A7%C3%A3o%20mestrado</t>
  </si>
  <si>
    <t>https://www.google.com/search?q=site%3Aesscvp.eu%20Enfermagem%20de%20Sa%C3%BAde%20Mental%20e%20Psiqui%C3%A1trica%20mestrado</t>
  </si>
  <si>
    <t>https://www.google.com/search?q=site%3Aesscvp.eu%20Gest%C3%A3o%20de%20Servi%C3%A7os%20de%20Sa%C3%BAde%20mestrado</t>
  </si>
  <si>
    <t>Oliveira de Azeméis / V. N. Famalicão</t>
  </si>
  <si>
    <t>Cuidados Intensivos e Emergência</t>
  </si>
  <si>
    <t>ESSNorteCVP</t>
  </si>
  <si>
    <t>https://www.google.com/search?q=site%3Aesscvp.eu%20Cuidados%20Intensivos%20e%20Emerg%C3%AAncia%20p%C3%B3s-gradua%C3%A7%C3%A3o</t>
  </si>
  <si>
    <t>Emergência Extra‑Hospitalar</t>
  </si>
  <si>
    <t>https://www.google.com/search?q=site%3Aesscvp.eu%20Emerg%C3%AAncia%20Extra%E2%80%91Hospitalar%20p%C3%B3s-gradua%C3%A7%C3%A3o</t>
  </si>
  <si>
    <t>Oliveira de Azeméis / Vila Nova de Famalicão</t>
  </si>
  <si>
    <t>Emergência em Ambientes Remotos – NOVO</t>
  </si>
  <si>
    <t>https://www.google.com/search?q=site%3Aesscvp.eu%20Emerg%C3%AAncia%20em%20Ambientes%20Remotos%20%E2%80%93%20NOVO%20p%C3%B3s-gradua%C3%A7%C3%A3o</t>
  </si>
  <si>
    <t>Enfermagem Avançada</t>
  </si>
  <si>
    <t>https://www.google.com/search?q=site%3Aesscvp.eu%20Enfermagem%20Avan%C3%A7ada%20p%C3%B3s-gradua%C3%A7%C3%A3o</t>
  </si>
  <si>
    <t>Enfermagem Gerontogeriátrica – NOVO</t>
  </si>
  <si>
    <t>https://www.google.com/search?q=site%3Aesscvp.eu%20Enfermagem%20Gerontogeri%C3%A1trica%20%E2%80%93%20NOVO%20p%C3%B3s-gradua%C3%A7%C3%A3o</t>
  </si>
  <si>
    <t>https://www.google.com/search?q=site%3Aesscvp.eu%20Enfermagem%20de%20Endoscopia%20Digestiva%20p%C3%B3s-gradua%C3%A7%C3%A3o</t>
  </si>
  <si>
    <t>Enfermagem de Reabilitação em Pediatria e Neonatologia</t>
  </si>
  <si>
    <t>https://www.google.com/search?q=site%3Aesscvp.eu%20Enfermagem%20de%20Reabilita%C3%A7%C3%A3o%20em%20Pediatria%20e%20Neonatologia%20p%C3%B3s-gradua%C3%A7%C3%A3o</t>
  </si>
  <si>
    <t>https://www.google.com/search?q=site%3Aesscvp.eu%20Enfermagem%20do%20Trabalho%20p%C3%B3s-gradua%C3%A7%C3%A3o</t>
  </si>
  <si>
    <t>Enfermagem em Diálise</t>
  </si>
  <si>
    <t>https://www.google.com/search?q=site%3Aesscvp.eu%20Enfermagem%20em%20Di%C3%A1lise%20p%C3%B3s-gradua%C3%A7%C3%A3o</t>
  </si>
  <si>
    <t>https://www.google.com/search?q=site%3Aesscvp.eu%20Gest%C3%A3o%20de%20Servi%C3%A7os%20de%20Sa%C3%BAde%20p%C3%B3s-gradua%C3%A7%C3%A3o</t>
  </si>
  <si>
    <t>Health Data Science</t>
  </si>
  <si>
    <t>https://www.google.com/search?q=site%3Aesscvp.eu%20Health%20Data%20Science%20p%C3%B3s-gradua%C3%A7%C3%A3o</t>
  </si>
  <si>
    <t>Prevenção e Controlo da Infeção Associada aos Cuidados de Saúde</t>
  </si>
  <si>
    <t>https://www.google.com/search?q=site%3Aesscvp.eu%20Preven%C3%A7%C3%A3o%20e%20Controlo%20da%20Infe%C3%A7%C3%A3o%20Associada%20aos%20Cuidados%20de%20Sa%C3%BAde%20p%C3%B3s-gradua%C3%A7%C3%A3o</t>
  </si>
  <si>
    <t>Saúde Mental da Infância e Adolescência – NOVO</t>
  </si>
  <si>
    <t>https://www.google.com/search?q=site%3Aesscvp.eu%20Sa%C3%BAde%20Mental%20da%20Inf%C3%A2ncia%20e%20Adolesc%C3%AAncia%20%E2%80%93%20NOVO%20p%C3%B3s-gradua%C3%A7%C3%A3o</t>
  </si>
  <si>
    <t>https://www.google.com/search?q=site%3Aesscvp.eu%20Supervis%C3%A3o%20Cl%C3%ADnica%20p%C3%B3s-gradua%C3%A7%C3%A3o</t>
  </si>
  <si>
    <t>Viabilidade Tecidular e Feridas</t>
  </si>
  <si>
    <t>https://www.google.com/search?q=site%3Aesscvp.eu%20Viabilidade%20Tecidular%20e%20Feridas%20p%C3%B3s-gradua%C3%A7%C3%A3o</t>
  </si>
  <si>
    <t>Escola Superior de Saúde da Cruz Vermelha Portuguesa – Lisboa</t>
  </si>
  <si>
    <t>Análises Laboratoriais</t>
  </si>
  <si>
    <t>ESS CVP Lisboa</t>
  </si>
  <si>
    <t>https://www.google.com/search?q=site%3Aesscvp.eu%20An%C3%A1lises%20Laboratoriais%20CTeSP</t>
  </si>
  <si>
    <t>Gestão Administrativa em Contexto Clínico</t>
  </si>
  <si>
    <t>https://www.google.com/search?q=site%3Aesscvp.eu%20Gest%C3%A3o%20Administrativa%20em%20Contexto%20Cl%C3%ADnico%20CTeSP</t>
  </si>
  <si>
    <t>Escola Superior de Saúde da Cruz Vermelha Portuguesa - Lisboa</t>
  </si>
  <si>
    <t>Cardiopneumologia</t>
  </si>
  <si>
    <t>https://www.google.com/search?q=site%3Aesscvp.eu%20Cardiopneumologia%20licenciatura</t>
  </si>
  <si>
    <t>https://www.google.com/search?q=site%3Aesscvp.eu%20Ci%C3%AAncias%20Biom%C3%A9dicas%20Laboratoriais%20licenciatura</t>
  </si>
  <si>
    <t>Imagem Médica e Radioterapia</t>
  </si>
  <si>
    <t>https://www.google.com/search?q=site%3Aesscvp.eu%20Imagem%20M%C3%A9dica%20e%20Radioterapia%20licenciatura</t>
  </si>
  <si>
    <t>Podologia</t>
  </si>
  <si>
    <t>https://www.google.com/search?q=site%3Aesscvp.eu%20Podologia%20licenciatura</t>
  </si>
  <si>
    <t>Terapia da Fala</t>
  </si>
  <si>
    <t>https://www.google.com/search?q=site%3Aesscvp.eu%20Terapia%20da%20Fala%20licenciatura</t>
  </si>
  <si>
    <t>Análises Laboratoriais Especializadas - Análises Biomédicas</t>
  </si>
  <si>
    <t>https://www.google.com/search?q=site%3Aesscvp.eu%20An%C3%A1lises%20Laboratoriais%20Especializadas%20-%20An%C3%A1lises%20Biom%C3%A9dicas%20mestrado</t>
  </si>
  <si>
    <t>Enfermagem Comunitária, na Área de Enfermagem de Saúde Comunitária e de Saúde Pública</t>
  </si>
  <si>
    <t>https://www.google.com/search?q=site%3Aesscvp.eu%20Enfermagem%20Comunit%C3%A1ria%2C%20na%20%C3%81rea%20de%20Enfermagem%20de%20Sa%C3%BAde%20Comunit%C3%A1ria%20e%20de%20Sa%C3%BAde%20P%C3%BAblica%20mestrado</t>
  </si>
  <si>
    <t>Enfermagem Comunitária, na Área de Enfermagem de Saúde Familiar</t>
  </si>
  <si>
    <t>https://www.google.com/search?q=site%3Aesscvp.eu%20Enfermagem%20Comunit%C3%A1ria%2C%20na%20%C3%81rea%20de%20Enfermagem%20de%20Sa%C3%BAde%20Familiar%20mestrado</t>
  </si>
  <si>
    <t>Enfermagem Médico-Cirúrgica, na área de Enfermagem à Pessoa em Situação Perioperatória</t>
  </si>
  <si>
    <t>https://www.google.com/search?q=site%3Aesscvp.eu%20Enfermagem%20M%C3%A9dico-Cir%C3%BArgica%2C%20na%20%C3%A1rea%20de%20Enfermagem%20%C3%A0%20Pessoa%20em%20Situa%C3%A7%C3%A3o%20Perioperat%C3%B3ria%20mestrado</t>
  </si>
  <si>
    <t>https://www.google.com/search?q=site%3Aesscvp.eu%20Enfermagem%20de%20Sa%C3%BAde%20Infantil%20e%20Pedi%C3%A1trica%20mestrado</t>
  </si>
  <si>
    <t>https://www.google.com/search?q=site%3Aesscvp.eu%20Enfermagem%20de%20Sa%C3%BAde%20Materna%20e%20Obst%C3%A9trica%20mestrado</t>
  </si>
  <si>
    <t>https://www.google.com/search?q=site%3Aesscvp.eu%20Fisioterapia%20mestrado</t>
  </si>
  <si>
    <t>Imagem Médica Avançada e Inteligência Artificial</t>
  </si>
  <si>
    <t>https://www.google.com/search?q=site%3Aesscvp.eu%20Imagem%20M%C3%A9dica%20Avan%C3%A7ada%20e%20Intelig%C3%AAncia%20Artificial%20mestrado</t>
  </si>
  <si>
    <t>Enfermagem Forense</t>
  </si>
  <si>
    <t>https://www.google.com/search?q=site%3Aesscvp.eu%20Enfermagem%20Forense%20p%C3%B3s-gradua%C3%A7%C3%A3o</t>
  </si>
  <si>
    <t>Enfermagem de Estomaterapia</t>
  </si>
  <si>
    <t>https://www.google.com/search?q=site%3Aesscvp.eu%20Enfermagem%20de%20Estomaterapia%20p%C3%B3s-gradua%C3%A7%C3%A3o</t>
  </si>
  <si>
    <t>Enfermagem em Viabilidade Tecidular e Feridas</t>
  </si>
  <si>
    <t>https://www.google.com/search?q=site%3Aesscvp.eu%20Enfermagem%20em%20Viabilidade%20Tecidular%20e%20Feridas%20p%C3%B3s-gradua%C3%A7%C3%A3o</t>
  </si>
  <si>
    <t>Enfermagem no Desporto</t>
  </si>
  <si>
    <t>https://www.google.com/search?q=site%3Aesscvp.eu%20Enfermagem%20no%20Desporto%20p%C3%B3s-gradua%C3%A7%C3%A3o</t>
  </si>
  <si>
    <t>https://www.google.com/search?q=site%3Aesscvp.eu%20Enfermagem%20%C3%A0%20Pessoa%20em%20Situa%C3%A7%C3%A3o%20Cr%C3%ADtica%20p%C3%B3s-gradua%C3%A7%C3%A3o</t>
  </si>
  <si>
    <t>Gestão de Saúde</t>
  </si>
  <si>
    <t>https://www.google.com/search?q=site%3Aesscvp.eu%20Gest%C3%A3o%20de%20Sa%C3%BAde%20p%C3%B3s-gradua%C3%A7%C3%A3o</t>
  </si>
  <si>
    <t>Covilhã</t>
  </si>
  <si>
    <t>Hidrologia Médica e Climatologia</t>
  </si>
  <si>
    <t>https://www.google.com/search?q=site%3Aesscvp.eu%20Hidrologia%20M%C3%A9dica%20e%20Climatologia%20p%C3%B3s-gradua%C3%A7%C3%A3o</t>
  </si>
  <si>
    <t>Centro</t>
  </si>
  <si>
    <t>Missões Humanitárias, Catástrofes e Conflitos</t>
  </si>
  <si>
    <t>https://www.google.com/search?q=site%3Aesscvp.eu%20Miss%C3%B5es%20Humanit%C3%A1rias%2C%20Cat%C3%A1strofes%20e%20Conflitos%20p%C3%B3s-gradua%C3%A7%C3%A3o</t>
  </si>
  <si>
    <t>Osteopatia Materno‑Infantil</t>
  </si>
  <si>
    <t>https://www.google.com/search?q=site%3Aesscvp.eu%20Osteopatia%20Materno%E2%80%91Infantil%20p%C3%B3s-gradua%C3%A7%C3%A3o</t>
  </si>
  <si>
    <t>Osteopatia Visceral</t>
  </si>
  <si>
    <t>https://www.google.com/search?q=site%3Aesscvp.eu%20Osteopatia%20Visceral%20p%C3%B3s-gradua%C3%A7%C3%A3o</t>
  </si>
  <si>
    <t>Prevenção e Controlo de Infeção</t>
  </si>
  <si>
    <t>https://www.google.com/search?q=site%3Aesscvp.eu%20Preven%C3%A7%C3%A3o%20e%20Controlo%20de%20Infe%C3%A7%C3%A3o%20p%C3%B3s-gradua%C3%A7%C3%A3o</t>
  </si>
  <si>
    <t>Beja</t>
  </si>
  <si>
    <t>Pós‑Graduação em Enfermagem de Estomaterapia</t>
  </si>
  <si>
    <t>ESSCVP Alto Tâmega (em articulação com ESSCVP Lisboa)</t>
  </si>
  <si>
    <t>https://www.google.com/search?q=site%3Aesscvp.eu%20P%C3%B3s%E2%80%91Gradua%C3%A7%C3%A3o%20em%20Enfermagem%20de%20Estomaterapia%20p%C3%B3s-gradua%C3%A7%C3%A3o</t>
  </si>
  <si>
    <t>Alentejo</t>
  </si>
  <si>
    <t>Supervisão Clínica para Enfermeiros</t>
  </si>
  <si>
    <t>https://www.google.com/search?q=site%3Aesscvp.eu%20Supervis%C3%A3o%20Cl%C3%ADnica%20para%20Enfermeiros%20p%C3%B3s-gradua%C3%A7%C3%A3o</t>
  </si>
  <si>
    <t>Técnicas e Tecnologias em Tomografia Computorizada e Ressonância Magnética</t>
  </si>
  <si>
    <t>https://www.google.com/search?q=site%3Aesscvp.eu%20T%C3%A9cnicas%20e%20Tecnologias%20em%20Tomografia%20Computorizada%20e%20Resson%C3%A2ncia%20Magn%C3%A9tica%20p%C3%B3s-gradua%C3%A7%C3%A3o</t>
  </si>
  <si>
    <t>Técnico Superior de Segurança no Trabalho</t>
  </si>
  <si>
    <t>Segurança e Higiene no Trabalho</t>
  </si>
  <si>
    <t>https://www.google.com/search?q=site%3Aesscvp.eu%20T%C3%A9cnico%20Superior%20de%20Seguran%C3%A7a%20no%20Trabalho%20p%C3%B3s-gradua%C3%A7%C3%A3o</t>
  </si>
  <si>
    <t>Escola Superior de Saúde da Fundação Fernando Pessoa</t>
  </si>
  <si>
    <t>Avaliação de Impacte em Saúde</t>
  </si>
  <si>
    <t>ESS</t>
  </si>
  <si>
    <t>https://www.google.com/search?q=site%3Aess.ufp.pt%20Avalia%C3%A7%C3%A3o%20de%20Impacte%20em%20Sa%C3%BAde%20p%C3%B3s-gradua%C3%A7%C3%A3o</t>
  </si>
  <si>
    <t>N/D</t>
  </si>
  <si>
    <t>Inovação Tecnológica da Saúde: Ressonância Magnética</t>
  </si>
  <si>
    <t>https://www.google.com/search?q=site%3Aess.ufp.pt%20Inova%C3%A7%C3%A3o%20Tecnol%C3%B3gica%20da%20Sa%C3%BAde%3A%20Resson%C3%A2ncia%20Magn%C3%A9tica%20p%C3%B3s-gradua%C3%A7%C3%A3o</t>
  </si>
  <si>
    <t>Inovação Tecnológica em Saúde: Biotecnologia Aplicada à Saúde</t>
  </si>
  <si>
    <t>https://www.google.com/search?q=site%3Aess.ufp.pt%20Inova%C3%A7%C3%A3o%20Tecnol%C3%B3gica%20em%20Sa%C3%BAde%3A%20Biotecnologia%20Aplicada%20%C3%A0%20Sa%C3%BAde%20p%C3%B3s-gradua%C3%A7%C3%A3o</t>
  </si>
  <si>
    <t>Inovação Tecnológica em Saúde: Citotecnologia</t>
  </si>
  <si>
    <t>https://www.google.com/search?q=site%3Aess.ufp.pt%20Inova%C3%A7%C3%A3o%20Tecnol%C3%B3gica%20em%20Sa%C3%BAde%3A%20Citotecnologia%20p%C3%B3s-gradua%C3%A7%C3%A3o</t>
  </si>
  <si>
    <t>Inovação Tecnológica em Saúde: Ciência de Dados em Saúde</t>
  </si>
  <si>
    <t>https://www.google.com/search?q=site%3Aess.ufp.pt%20Inova%C3%A7%C3%A3o%20Tecnol%C3%B3gica%20em%20Sa%C3%BAde%3A%20Ci%C3%AAncia%20de%20Dados%20em%20Sa%C3%BAde%20p%C3%B3s-gradua%C3%A7%C3%A3o</t>
  </si>
  <si>
    <t>Inovação Tecnológica em Saúde: Dermofarmácia e Cosmética</t>
  </si>
  <si>
    <t>https://www.google.com/search?q=site%3Aess.ufp.pt%20Inova%C3%A7%C3%A3o%20Tecnol%C3%B3gica%20em%20Sa%C3%BAde%3A%20Dermofarm%C3%A1cia%20e%20Cosm%C3%A9tica%20p%C3%B3s-gradua%C3%A7%C3%A3o</t>
  </si>
  <si>
    <t>Inovação Tecnológica em Saúde: Farmacoterapia</t>
  </si>
  <si>
    <t>https://www.google.com/search?q=site%3Aess.ufp.pt%20Inova%C3%A7%C3%A3o%20Tecnol%C3%B3gica%20em%20Sa%C3%BAde%3A%20Farmacoterapia%20p%C3%B3s-gradua%C3%A7%C3%A3o</t>
  </si>
  <si>
    <t>Inovação Tecnológica em Saúde: Instrumentação e Avaliação em Higiene Ocupacional e Ambiental</t>
  </si>
  <si>
    <t>https://www.google.com/search?q=site%3Aess.ufp.pt%20Inova%C3%A7%C3%A3o%20Tecnol%C3%B3gica%20em%20Sa%C3%BAde%3A%20Instrumenta%C3%A7%C3%A3o%20e%20Avalia%C3%A7%C3%A3o%20em%20Higiene%20Ocupacional%20e%20Ambiental%20p%C3%B3s-gradua%C3%A7%C3%A3o</t>
  </si>
  <si>
    <t>Inovação Tecnológica em Saúde: Medicina Transfusional e Transplantação</t>
  </si>
  <si>
    <t>https://www.google.com/search?q=site%3Aess.ufp.pt%20Inova%C3%A7%C3%A3o%20Tecnol%C3%B3gica%20em%20Sa%C3%BAde%3A%20Medicina%20Transfusional%20e%20Transplanta%C3%A7%C3%A3o%20p%C3%B3s-gradua%C3%A7%C3%A3o</t>
  </si>
  <si>
    <t>Inovação Tecnológica em Saúde: Novos Fármacos, Produtos de Saúde e Suplementos Alimentares</t>
  </si>
  <si>
    <t>https://www.google.com/search?q=site%3Aess.ufp.pt%20Inova%C3%A7%C3%A3o%20Tecnol%C3%B3gica%20em%20Sa%C3%BAde%3A%20Novos%20F%C3%A1rmacos%2C%20Produtos%20de%20Sa%C3%BAde%20e%20Suplementos%20Alimentares%20p%C3%B3s-gradua%C3%A7%C3%A3o</t>
  </si>
  <si>
    <t>Inovação Tecnológica em Saúde: Patologia Clínico-Laboratorial</t>
  </si>
  <si>
    <t>https://www.google.com/search?q=site%3Aess.ufp.pt%20Inova%C3%A7%C3%A3o%20Tecnol%C3%B3gica%20em%20Sa%C3%BAde%3A%20Patologia%20Cl%C3%ADnico-Laboratorial%20p%C3%B3s-gradua%C3%A7%C3%A3o</t>
  </si>
  <si>
    <t>Inovação Tecnológica em Saúde: Patologias Infecciosas Emergentes</t>
  </si>
  <si>
    <t>https://www.google.com/search?q=site%3Aess.ufp.pt%20Inova%C3%A7%C3%A3o%20Tecnol%C3%B3gica%20em%20Sa%C3%BAde%3A%20Patologias%20Infecciosas%20Emergentes%20p%C3%B3s-gradua%C3%A7%C3%A3o</t>
  </si>
  <si>
    <t>Inovação Tecnológica em Saúde: Saúde Geriátrica</t>
  </si>
  <si>
    <t>https://www.google.com/search?q=site%3Aess.ufp.pt%20Inova%C3%A7%C3%A3o%20Tecnol%C3%B3gica%20em%20Sa%C3%BAde%3A%20Sa%C3%BAde%20Geri%C3%A1trica%20p%C3%B3s-gradua%C3%A7%C3%A3o</t>
  </si>
  <si>
    <t>Inovação Tecnológica em Saúde: Tecnologia Biomolecular Avançada</t>
  </si>
  <si>
    <t>https://www.google.com/search?q=site%3Aess.ufp.pt%20Inova%C3%A7%C3%A3o%20Tecnol%C3%B3gica%20em%20Sa%C3%BAde%3A%20Tecnologia%20Biomolecular%20Avan%C3%A7ada%20p%C3%B3s-gradua%C3%A7%C3%A3o</t>
  </si>
  <si>
    <t>Inovação Tecnológica em Saúde: Tomografia Computorizada</t>
  </si>
  <si>
    <t>https://www.google.com/search?q=site%3Aess.ufp.pt%20Inova%C3%A7%C3%A3o%20Tecnol%C3%B3gica%20em%20Sa%C3%BAde%3A%20Tomografia%20Computorizada%20p%C3%B3s-gradua%C3%A7%C3%A3o</t>
  </si>
  <si>
    <t>Intervenções Percutâneas em Fisioterapia</t>
  </si>
  <si>
    <t>https://www.google.com/search?q=site%3Aess.ufp.pt%20Interven%C3%A7%C3%B5es%20Percut%C3%A2neas%20em%20Fisioterapia%20p%C3%B3s-gradua%C3%A7%C3%A3o</t>
  </si>
  <si>
    <t>Terapia da Mão</t>
  </si>
  <si>
    <t>https://www.google.com/search?q=site%3Aess.ufp.pt%20Terapia%20da%20M%C3%A3o%20p%C3%B3s-gradua%C3%A7%C3%A3o</t>
  </si>
  <si>
    <t>Escola Superior de Saúde de Santa Maria</t>
  </si>
  <si>
    <t>https://www.google.com/search?q=site%3Asantamaria.pt%20Design%20Educacional%20e%20Tecnologias%20Digitais%20CTeSP</t>
  </si>
  <si>
    <t>https://www.google.com/search?q=site%3Asantamaria.pt%20Gerontologia%20e%20Cuidados%20de%20Longa%20Dura%C3%A7%C3%A3o%20CTeSP</t>
  </si>
  <si>
    <t>Secretariado Clínico</t>
  </si>
  <si>
    <t>https://www.google.com/search?q=site%3Asantamaria.pt%20Secretariado%20Cl%C3%ADnico%20CTeSP</t>
  </si>
  <si>
    <t>https://www.google.com/search?q=site%3Asantamaria.pt%20Enfermagem%20licenciatura</t>
  </si>
  <si>
    <t>https://www.google.com/search?q=site%3Asantamaria.pt%20Fisioterapia%20licenciatura</t>
  </si>
  <si>
    <t>Gestão de Dados e Tecnologias em Saúde</t>
  </si>
  <si>
    <t>https://www.google.com/search?q=site%3Asantamaria.pt%20Gest%C3%A3o%20de%20Dados%20e%20Tecnologias%20em%20Sa%C3%BAde%20licenciatura</t>
  </si>
  <si>
    <t>Terapia Ocupacional</t>
  </si>
  <si>
    <t>https://www.google.com/search?q=site%3Asantamaria.pt%20Terapia%20Ocupacional%20licenciatura</t>
  </si>
  <si>
    <t>https://www.google.com/search?q=site%3Asantamaria.pt%20Enfermagem%20Comunit%C3%A1ria%20mestrado</t>
  </si>
  <si>
    <t>https://www.google.com/search?q=site%3Asantamaria.pt%20Enfermagem%20M%C3%A9dico-Cir%C3%BArgica%20mestrado</t>
  </si>
  <si>
    <t>https://www.google.com/search?q=site%3Asantamaria.pt%20Enfermagem%20de%20Reabilita%C3%A7%C3%A3o%20mestrado</t>
  </si>
  <si>
    <t>https://www.google.com/search?q=site%3Asantamaria.pt%20Enfermagem%20de%20Sa%C3%BAde%20Infantil%20e%20Pedi%C3%A1trica%20mestrado</t>
  </si>
  <si>
    <t>Fisioterapia em Condições Neuro-músculo-esqueleticas</t>
  </si>
  <si>
    <t>Santa Maria Health School, Travessa Antero de Quental, 173/175, 4049‑024 Porto</t>
  </si>
  <si>
    <t>https://www.google.com/search?q=site%3Asantamaria.pt%20Fisioterapia%20em%20Condi%C3%A7%C3%B5es%20Neuro-m%C3%BAsculo-esqueleticas%20mestrado</t>
  </si>
  <si>
    <t>Fisioterapia em Condições Neuro-músculo-esqueléticas</t>
  </si>
  <si>
    <t>https://www.google.com/search?q=site%3Asantamaria.pt%20Fisioterapia%20em%20Condi%C3%A7%C3%B5es%20Neuro-m%C3%BAsculo-esquel%C3%A9ticas%20mestrado</t>
  </si>
  <si>
    <t>Gestão Integrada dos Serviços de Saúde</t>
  </si>
  <si>
    <t>https://www.google.com/search?q=site%3Asantamaria.pt%20Gest%C3%A3o%20Integrada%20dos%20Servi%C3%A7os%20de%20Sa%C3%BAde%20mestrado</t>
  </si>
  <si>
    <t>Emergência, Trauma e Catástrofe (Enfermagem em Emergência Extra‑Hospitalar)</t>
  </si>
  <si>
    <t>https://www.google.com/search?q=site%3Asantamaria.pt%20Emerg%C3%AAncia%2C%20Trauma%20e%20Cat%C3%A1strofe%20%28Enfermagem%20em%20Emerg%C3%AAncia%20Extra%E2%80%91Hospitalar%29%20p%C3%B3s-gradua%C3%A7%C3%A3o</t>
  </si>
  <si>
    <t>10 meses; 30 ECTS; carga horária aproximada de 250–300 horas (conforme ficha de Enfermagem em Emergência)</t>
  </si>
  <si>
    <t>Gestão dos Serviços de Saúde</t>
  </si>
  <si>
    <t>https://www.google.com/search?q=site%3Asantamaria.pt%20Gest%C3%A3o%20dos%20Servi%C3%A7os%20de%20Sa%C3%BAde%20p%C3%B3s-gradua%C3%A7%C3%A3o</t>
  </si>
  <si>
    <t>Instrumentação Cirúrgica</t>
  </si>
  <si>
    <t>https://www.google.com/search?q=site%3Asantamaria.pt%20Instrumenta%C3%A7%C3%A3o%20Cir%C3%BArgica%20p%C3%B3s-gradua%C3%A7%C3%A3o</t>
  </si>
  <si>
    <t>0,6 ano(s) (36 ECTS)</t>
  </si>
  <si>
    <t>Pós‑Graduação em Emergência, Trauma e Catástrofe</t>
  </si>
  <si>
    <t>https://www.google.com/search?q=site%3Asantamaria.pt%20P%C3%B3s%E2%80%91Gradua%C3%A7%C3%A3o%20em%20Emerg%C3%AAncia%2C%20Trauma%20e%20Cat%C3%A1strofe%20p%C3%B3s-gradua%C3%A7%C3%A3o</t>
  </si>
  <si>
    <t>Duração e ECTS não indicados na ficha pública (curso de especialização avançada para enfermeiros)</t>
  </si>
  <si>
    <t>Pós‑Graduação em Gestão dos Serviços de Saúde</t>
  </si>
  <si>
    <t>https://www.google.com/search?q=site%3Asantamaria.pt%20P%C3%B3s%E2%80%91Gradua%C3%A7%C3%A3o%20em%20Gest%C3%A3o%20dos%20Servi%C3%A7os%20de%20Sa%C3%BAde%20p%C3%B3s-gradua%C3%A7%C3%A3o</t>
  </si>
  <si>
    <t>https://www.google.com/search?q=site%3Asantamaria.pt%20P%C3%B3s%E2%80%91Gradua%C3%A7%C3%A3o%20em%20Instrumenta%C3%A7%C3%A3o%20Cir%C3%BArgica%20p%C3%B3s-gradua%C3%A7%C3%A3o</t>
  </si>
  <si>
    <t>Escola Superior de Saúde do Alcoitão</t>
  </si>
  <si>
    <t>Cascais (Alcoitão)</t>
  </si>
  <si>
    <t>https://www.google.com/search?q=site%3Aessa.pt%20Fisioterapia%20licenciatura</t>
  </si>
  <si>
    <t>https://www.google.com/search?q=site%3Aessa.pt%20Terapia%20Ocupacional%20licenciatura</t>
  </si>
  <si>
    <t>https://www.google.com/search?q=site%3Aessa.pt%20Terapia%20da%20Fala%20licenciatura</t>
  </si>
  <si>
    <t>Abordagens na Criança em Contexto Educativo</t>
  </si>
  <si>
    <t>https://www.google.com/search?q=site%3Aessa.pt%20Abordagens%20na%20Crian%C3%A7a%20em%20Contexto%20Educativo%20mestrado</t>
  </si>
  <si>
    <t>https://www.google.com/search?q=site%3Aessa.pt%20Fisioterapia%20mestrado</t>
  </si>
  <si>
    <t>https://www.google.com/search?q=site%3Aessa.pt%20Terapia%20Ocupacional%20mestrado</t>
  </si>
  <si>
    <t>https://www.google.com/search?q=site%3Aessa.pt%20Terapia%20da%20Fala%20mestrado</t>
  </si>
  <si>
    <t>Alcabideche</t>
  </si>
  <si>
    <t>Nutrição em Contexto e Populações Específicas</t>
  </si>
  <si>
    <t>Indústrias Alimentares</t>
  </si>
  <si>
    <t>ESSAlcoitão</t>
  </si>
  <si>
    <t>https://www.google.com/search?q=site%3Aessa.pt%20Nutri%C3%A7%C3%A3o%20em%20Contexto%20e%20Popula%C3%A7%C3%B5es%20Espec%C3%ADficas%20p%C3%B3s-gradua%C3%A7%C3%A3o</t>
  </si>
  <si>
    <t>29 de outubro de 2022 a abril de 2023; ano letivo 2022/2023; PRR 2021/2026</t>
  </si>
  <si>
    <t>Escola Universitária Vasco da Gama</t>
  </si>
  <si>
    <t>Coimbra</t>
  </si>
  <si>
    <t>Medicina Felina</t>
  </si>
  <si>
    <t>Ciências Veterinárias</t>
  </si>
  <si>
    <t>EUVG</t>
  </si>
  <si>
    <t>https://www.google.com/search?q=site%3Aeuvg.pt%20Medicina%20Felina%20p%C3%B3s-gradua%C3%A7%C3%A3o</t>
  </si>
  <si>
    <t>Tempo total não explicitado na página de lista (pós‑graduação em inglês)</t>
  </si>
  <si>
    <t>Saúde Pública e One Health</t>
  </si>
  <si>
    <t>Saúde Pública</t>
  </si>
  <si>
    <t>https://www.google.com/search?q=site%3Aeuvg.pt%20Sa%C3%BAde%20P%C3%BAblica%20e%20One%20Health%20p%C3%B3s-gradua%C3%A7%C3%A3o</t>
  </si>
  <si>
    <t>Tempo e créditos não indicados na síntese (pós‑graduação avançada)</t>
  </si>
  <si>
    <t>IPLUSO – Instituto Politécnico da Lusofonia</t>
  </si>
  <si>
    <t>Automação e Segurança em Sistemas Informáticos</t>
  </si>
  <si>
    <t>Escola de Engenharia e Tecnologias (EET)</t>
  </si>
  <si>
    <t>https://www.google.com/search?q=site%3Aipluso.pt%20Automa%C3%A7%C3%A3o%20e%20Seguran%C3%A7a%20em%20Sistemas%20Inform%C3%A1ticos%20p%C3%B3s-gradua%C3%A7%C3%A3o</t>
  </si>
  <si>
    <t>Enfermagem Veterinária Clínica</t>
  </si>
  <si>
    <t>Escola Superior de Saúde / área de Veterinária</t>
  </si>
  <si>
    <t>https://www.google.com/search?q=site%3Aipluso.pt%20Enfermagem%20Veterin%C3%A1ria%20Cl%C3%ADnica%20p%C3%B3s-gradua%C3%A7%C3%A3o</t>
  </si>
  <si>
    <t>0,9 ano(s) (54 ECTS)</t>
  </si>
  <si>
    <t>Gestão Financeira e Fiscalidade</t>
  </si>
  <si>
    <t>ECIA / área de Gestão</t>
  </si>
  <si>
    <t>https://www.google.com/search?q=site%3Aipluso.pt%20Gest%C3%A3o%20Financeira%20e%20Fiscalidade%20p%C3%B3s-gradua%C3%A7%C3%A3o</t>
  </si>
  <si>
    <t>Gestão de Recursos Humanos na área Socioeducativa</t>
  </si>
  <si>
    <t>ESEL – Escola Superior de Educação da Lusofonia</t>
  </si>
  <si>
    <t>https://www.google.com/search?q=site%3Aipluso.pt%20Gest%C3%A3o%20de%20Recursos%20Humanos%20na%20%C3%A1rea%20Socioeducativa%20p%C3%B3s-gradua%C3%A7%C3%A3o</t>
  </si>
  <si>
    <t>Escola Superior de Saúde (ESPA/área de saúde)</t>
  </si>
  <si>
    <t>https://www.google.com/search?q=site%3Aipluso.pt%20Instrumenta%C3%A7%C3%A3o%20Cir%C3%BArgica%20p%C3%B3s-gradua%C3%A7%C3%A3o</t>
  </si>
  <si>
    <t>1 ano letivo; 30–36 ECTS (alinhado com PG de Instrumentação em outras escolas)</t>
  </si>
  <si>
    <t>Mandarim e Cultura Chinesa</t>
  </si>
  <si>
    <t>ESCAD / área de Línguas e Cultura</t>
  </si>
  <si>
    <t>https://www.google.com/search?q=site%3Aipluso.pt%20Mandarim%20e%20Cultura%20Chinesa%20p%C3%B3s-gradua%C3%A7%C3%A3o</t>
  </si>
  <si>
    <t>Osteopatia Estrutural no Desporto</t>
  </si>
  <si>
    <t>ERISA / área de Osteopatia</t>
  </si>
  <si>
    <t>https://www.google.com/search?q=site%3Aipluso.pt%20Osteopatia%20Estrutural%20no%20Desporto%20p%C3%B3s-gradua%C3%A7%C3%A3o</t>
  </si>
  <si>
    <t>Pós‑Graduação em Automação e Segurança em Sistemas Informáticos</t>
  </si>
  <si>
    <t>EET – Escola de Engenharia e Tecnologias (IPLUSO)</t>
  </si>
  <si>
    <t>https://www.google.com/search?q=site%3Aipluso.pt%20P%C3%B3s%E2%80%91Gradua%C3%A7%C3%A3o%20em%20Automa%C3%A7%C3%A3o%20e%20Seguran%C3%A7a%20em%20Sistemas%20Inform%C3%A1ticos%20p%C3%B3s-gradua%C3%A7%C3%A3o</t>
  </si>
  <si>
    <t>0,8 ano(s) (48 ECTS)</t>
  </si>
  <si>
    <t>Pós‑Graduação em Educação Especial: Domínio Cognitivo‑Motor</t>
  </si>
  <si>
    <t>ESE Paula Frassinetti – Educação Especial</t>
  </si>
  <si>
    <t>https://www.google.com/search?q=site%3Aipluso.pt%20P%C3%B3s%E2%80%91Gradua%C3%A7%C3%A3o%20em%20Educa%C3%A7%C3%A3o%20Especial%3A%20Dom%C3%ADnio%20Cognitivo%E2%80%91Motor%20p%C3%B3s-gradua%C3%A7%C3%A3o</t>
  </si>
  <si>
    <t>Pós‑Graduação em Educação Especial: Perturbação da Aprendizagem Específica</t>
  </si>
  <si>
    <t>ESE Paula Frassinetti – Departamento de Educação Especial</t>
  </si>
  <si>
    <t>https://www.google.com/search?q=site%3Aipluso.pt%20P%C3%B3s%E2%80%91Gradua%C3%A7%C3%A3o%20em%20Educa%C3%A7%C3%A3o%20Especial%3A%20Perturba%C3%A7%C3%A3o%20da%20Aprendizagem%20Espec%C3%ADfica%20p%C3%B3s-gradua%C3%A7%C3%A3o</t>
  </si>
  <si>
    <t>Pós‑Graduação em Enfermagem Veterinária Clínica</t>
  </si>
  <si>
    <t>ERISA / área de Saúde Animal (IPLUSO)</t>
  </si>
  <si>
    <t>https://www.google.com/search?q=site%3Aipluso.pt%20P%C3%B3s%E2%80%91Gradua%C3%A7%C3%A3o%20em%20Enfermagem%20Veterin%C3%A1ria%20Cl%C3%ADnica%20p%C3%B3s-gradua%C3%A7%C3%A3o</t>
  </si>
  <si>
    <t>Duração e ECTS não indicados na ficha de PG; ligada ao mestrado profissionalizante em Enfermagem Veterinária Clínica</t>
  </si>
  <si>
    <t>Recursos Gráficos e Visualização</t>
  </si>
  <si>
    <t>ECIA – Escola de Comunicação, Arquitetura, Artes e Tecnologias da Informação</t>
  </si>
  <si>
    <t>https://www.google.com/search?q=site%3Aipluso.pt%20Recursos%20Gr%C3%A1ficos%20e%20Visualiza%C3%A7%C3%A3o%20p%C3%B3s-gradua%C3%A7%C3%A3o</t>
  </si>
  <si>
    <t>ISAVE – Instituto Superior de Saúde</t>
  </si>
  <si>
    <t>Amares</t>
  </si>
  <si>
    <t>Alimentação Saudável</t>
  </si>
  <si>
    <t>ISAVE - Instituto Superior de Saúde</t>
  </si>
  <si>
    <t>https://www.google.com/search?q=site%3Aisave.pt%20Alimenta%C3%A7%C3%A3o%20Saud%C3%A1vel%20CTeSP</t>
  </si>
  <si>
    <t>Outras/Múltiplas</t>
  </si>
  <si>
    <t>Apoio em Cuidados Continuados Integrados</t>
  </si>
  <si>
    <t>https://www.google.com/search?q=site%3Aisave.pt%20Apoio%20em%20Cuidados%20Continuados%20Integrados%20CTeSP</t>
  </si>
  <si>
    <t>Bioanálises e Controlo</t>
  </si>
  <si>
    <t>https://www.google.com/search?q=site%3Aisave.pt%20Bioan%C3%A1lises%20e%20Controlo%20CTeSP</t>
  </si>
  <si>
    <t>Estética, Cosmética e Bem-estar</t>
  </si>
  <si>
    <t>Cuidados de Beleza</t>
  </si>
  <si>
    <t>https://www.google.com/search?q=site%3Aisave.pt%20Est%C3%A9tica%2C%20Cosm%C3%A9tica%20e%20Bem-estar%20CTeSP</t>
  </si>
  <si>
    <t>https://www.google.com/search?q=site%3Aisave.pt%20Gerontologia%20CTeSP</t>
  </si>
  <si>
    <t>Amares / Braga</t>
  </si>
  <si>
    <t>Proteção Civil e Socorro</t>
  </si>
  <si>
    <t>https://www.google.com/search?q=site%3Aisave.pt%20Prote%C3%A7%C3%A3o%20Civil%20e%20Socorro%20CTeSP</t>
  </si>
  <si>
    <t>https://www.google.com/search?q=site%3Aisave.pt%20Servi%C3%A7o%20Familiar%20e%20Comunit%C3%A1rio%20CTeSP</t>
  </si>
  <si>
    <t>https://www.google.com/search?q=site%3Aisave.pt%20Termalismo%20e%20Bem-Estar%20CTeSP</t>
  </si>
  <si>
    <t>Dietética e Nutrição</t>
  </si>
  <si>
    <t>https://www.google.com/search?q=site%3Aisave.pt%20Diet%C3%A9tica%20e%20Nutri%C3%A7%C3%A3o%20licenciatura</t>
  </si>
  <si>
    <t>https://www.google.com/search?q=site%3Aisave.pt%20Enfermagem%20licenciatura</t>
  </si>
  <si>
    <t>https://www.google.com/search?q=site%3Aisave.pt%20Fisioterapia%20licenciatura</t>
  </si>
  <si>
    <t>https://www.google.com/search?q=site%3Aisave.pt%20Enfermagem%20de%20Sa%C3%BAde%20Materna%20e%20Obst%C3%A9trica%20mestrado</t>
  </si>
  <si>
    <t>Fisioterapia Neuromusculoesquelética</t>
  </si>
  <si>
    <t>https://www.google.com/search?q=site%3Aisave.pt%20Fisioterapia%20Neuromusculoesquel%C3%A9tica%20mestrado</t>
  </si>
  <si>
    <t>Cuidados Continuados Paliativos – 2.ª edição // Chaves</t>
  </si>
  <si>
    <t>Saúde (programas não classificados noutra área)</t>
  </si>
  <si>
    <t>ISAVE – polo Chaves</t>
  </si>
  <si>
    <t>https://www.google.com/search?q=site%3Aisave.pt%20Cuidados%20Continuados%20Paliativos%20%E2%80%93%202.%C2%AA%20edi%C3%A7%C3%A3o%20//%20Chaves%20p%C3%B3s-gradua%C3%A7%C3%A3o</t>
  </si>
  <si>
    <t>Fisioterapia Desportiva</t>
  </si>
  <si>
    <t>https://www.google.com/search?q=site%3Aisave.pt%20Fisioterapia%20Desportiva%20p%C3%B3s-gradua%C3%A7%C3%A3o</t>
  </si>
  <si>
    <t>Fisioterapia Oncológica</t>
  </si>
  <si>
    <t>https://www.google.com/search?q=site%3Aisave.pt%20Fisioterapia%20Oncol%C3%B3gica%20p%C3%B3s-gradua%C3%A7%C3%A3o</t>
  </si>
  <si>
    <t>Gestão de Unidades de Saúde (2.ª edição)</t>
  </si>
  <si>
    <t>https://www.google.com/search?q=site%3Aisave.pt%20Gest%C3%A3o%20de%20Unidades%20de%20Sa%C3%BAde%20%282.%C2%AA%20edi%C3%A7%C3%A3o%29%20p%C3%B3s-gradua%C3%A7%C3%A3o</t>
  </si>
  <si>
    <t>Nutrição Comunitária em Países em Desenvolvimento</t>
  </si>
  <si>
    <t>https://www.google.com/search?q=site%3Aisave.pt%20Nutri%C3%A7%C3%A3o%20Comunit%C3%A1ria%20em%20Pa%C3%ADses%20em%20Desenvolvimento%20p%C3%B3s-gradua%C3%A7%C3%A3o</t>
  </si>
  <si>
    <t>Prevenção e Controlo de Infeção e Resistência aos Antimicrobianos (NOVO)</t>
  </si>
  <si>
    <t>https://www.google.com/search?q=site%3Aisave.pt%20Preven%C3%A7%C3%A3o%20e%20Controlo%20de%20Infe%C3%A7%C3%A3o%20e%20Resist%C3%AAncia%20aos%20Antimicrobianos%20%28NOVO%29%20p%C3%B3s-gradua%C3%A7%C3%A3o</t>
  </si>
  <si>
    <t>Sustentabilidade e Saúde Ambiental</t>
  </si>
  <si>
    <t>Ciências do Ambiente</t>
  </si>
  <si>
    <t>https://www.google.com/search?q=site%3Aisave.pt%20Sustentabilidade%20e%20Sa%C3%BAde%20Ambiental%20p%C3%B3s-gradua%C3%A7%C3%A3o</t>
  </si>
  <si>
    <t>Terapias Complementares e SPA</t>
  </si>
  <si>
    <t>Terapia e Reabilicação</t>
  </si>
  <si>
    <t>https://www.google.com/search?q=site%3Aisave.pt%20Terapias%20Complementares%20e%20SPA%20p%C3%B3s-gradua%C3%A7%C3%A3o</t>
  </si>
  <si>
    <t>ISCE – Instituto Superior de Lisboa e Vale do Tejo</t>
  </si>
  <si>
    <t>Odivelas</t>
  </si>
  <si>
    <t>Animação Sociocultural</t>
  </si>
  <si>
    <t>ISCE - Instituto Superior de Lisboa e Vale do Tejo</t>
  </si>
  <si>
    <t>https://www.google.com/search?q=site%3Aisce.pt%20Anima%C3%A7%C3%A3o%20Sociocultural%20licenciatura</t>
  </si>
  <si>
    <t>Desporto</t>
  </si>
  <si>
    <t>https://www.google.com/search?q=site%3Aisce.pt%20Desporto%20licenciatura</t>
  </si>
  <si>
    <t>https://www.google.com/search?q=site%3Aisce.pt%20Educa%C3%A7%C3%A3o%20B%C3%A1sica%20licenciatura</t>
  </si>
  <si>
    <t>https://www.google.com/search?q=site%3Aisce.pt%20Educa%C3%A7%C3%A3o%20Social%20licenciatura</t>
  </si>
  <si>
    <t>Gestão Turística</t>
  </si>
  <si>
    <t>https://www.google.com/search?q=site%3Aisce.pt%20Gest%C3%A3o%20Tur%C3%ADstica%20licenciatura</t>
  </si>
  <si>
    <t>Curso de Especialização em Educação Especial e Inclusiva: Domínio Cognitivo e Motor</t>
  </si>
  <si>
    <t>Educação Especial</t>
  </si>
  <si>
    <t>ISCE – área de Educação</t>
  </si>
  <si>
    <t>https://www.google.com/search?q=site%3Aisce.pt%20Curso%20de%20Especializa%C3%A7%C3%A3o%20em%20Educa%C3%A7%C3%A3o%20Especial%20e%20Inclusiva%3A%20Dom%C3%ADnio%20Cognitivo%20e%20Motor%20p%C3%B3s-gradua%C3%A7%C3%A3o</t>
  </si>
  <si>
    <t>1 ano letivo; carga horária e ECTS não detalhados na página de síntese (curso de especialização profissional)</t>
  </si>
  <si>
    <t>Educação ao Ar Livre (100% online)</t>
  </si>
  <si>
    <t>https://www.google.com/search?q=site%3Aisce.pt%20Educa%C3%A7%C3%A3o%20ao%20Ar%20Livre%20%28100%25%20online%29%20p%C3%B3s-gradua%C3%A7%C3%A3o</t>
  </si>
  <si>
    <t>6 meses; início outubro 2026; 150 h (125 h teórico‑práticas + 25 h trabalho autónomo/estágio)</t>
  </si>
  <si>
    <t>Gestão de Organizações Desportivas</t>
  </si>
  <si>
    <t>ISCE – área de Desporto e Gestão</t>
  </si>
  <si>
    <t>https://www.google.com/search?q=site%3Aisce.pt%20Gest%C3%A3o%20de%20Organiza%C3%A7%C3%B5es%20Desportivas%20p%C3%B3s-gradua%C3%A7%C3%A3o</t>
  </si>
  <si>
    <t>1 ano letivo; horas/ECTS não discriminados na página de listagem</t>
  </si>
  <si>
    <t>Informação Turística e Guia Intérprete da Cultura Portuguesa</t>
  </si>
  <si>
    <t>ISCE em parceria com SNATTI</t>
  </si>
  <si>
    <t>https://www.google.com/search?q=site%3Aisce.pt%20Informa%C3%A7%C3%A3o%20Tur%C3%ADstica%20e%20Guia%20Int%C3%A9rprete%20da%20Cultura%20Portuguesa%20p%C3%B3s-gradua%C3%A7%C3%A3o</t>
  </si>
  <si>
    <t>12 meses; cerca de 670 h de aprendizagem, incluindo &gt;100 h de circuitos e visitas turísticas</t>
  </si>
  <si>
    <t>Organização e Gestão de Eventos de Negócios, Desportivos e de Animação Turística (100% online)</t>
  </si>
  <si>
    <t>ISCE – área de Turismo/Eventos</t>
  </si>
  <si>
    <t>https://www.google.com/search?q=site%3Aisce.pt%20Organiza%C3%A7%C3%A3o%20e%20Gest%C3%A3o%20de%20Eventos%20de%20Neg%C3%B3cios%2C%20Desportivos%20e%20de%20Anima%C3%A7%C3%A3o%20Tur%C3%ADstica%20%28100%25%20online%29%20p%C3%B3s-gradua%C3%A7%C3%A3o</t>
  </si>
  <si>
    <t>1 ano letivo; curso integralmente online (100% online)</t>
  </si>
  <si>
    <t>Promoção da Igualdade de Género no Turismo</t>
  </si>
  <si>
    <t>ISCE – área de Turismo e Ciências Sociais</t>
  </si>
  <si>
    <t>https://www.google.com/search?q=site%3Aisce.pt%20Promo%C3%A7%C3%A3o%20da%20Igualdade%20de%20G%C3%A9nero%20no%20Turismo%20p%C3%B3s-gradua%C3%A7%C3%A3o</t>
  </si>
  <si>
    <t>1 ano letivo; horas/ECTS não indicados publicamente</t>
  </si>
  <si>
    <t>Executive Master em Gestão de Recursos Humanos</t>
  </si>
  <si>
    <t>ISCE – área de Gestão / RH</t>
  </si>
  <si>
    <t>https://www.google.com/search?q=site%3Aisce.pt%20Executive%20Master%20em%20Gest%C3%A3o%20de%20Recursos%20Humanos%20p%C3%B3s-gradua%C3%A7%C3%A3o%20executiva</t>
  </si>
  <si>
    <t>9 meses de duração total</t>
  </si>
  <si>
    <t>ISCTE – Instituto Universitário de Lisboa</t>
  </si>
  <si>
    <t>Antropologia</t>
  </si>
  <si>
    <t>Sociologia e Outros Estudos</t>
  </si>
  <si>
    <t>Escola de Ciências Sociais e Humanas</t>
  </si>
  <si>
    <t>https://www.google.com/search?q=site%3Aiscte-iul.pt%20Antropologia%20licenciatura</t>
  </si>
  <si>
    <t>Ciência Política</t>
  </si>
  <si>
    <t>Ciência Política e Cidadania</t>
  </si>
  <si>
    <t>https://www.google.com/search?q=site%3Aiscte-iul.pt%20Ci%C3%AAncia%20Pol%C3%ADtica%20licenciatura</t>
  </si>
  <si>
    <t>Ciência de Dados</t>
  </si>
  <si>
    <t>Iscte Business School / Escola de Tecnologias Digitais Aplicadas</t>
  </si>
  <si>
    <t>https://www.google.com/search?q=site%3Aiscte-iul.pt%20Ci%C3%AAncia%20de%20Dados%20licenciatura</t>
  </si>
  <si>
    <t>Desenvolvimento de Software e Aplicações</t>
  </si>
  <si>
    <t>Escola de Tecnologias Digitais Aplicadas (ISTA)</t>
  </si>
  <si>
    <t>https://www.google.com/search?q=site%3Aiscte-iul.pt%20Desenvolvimento%20de%20Software%20e%20Aplica%C3%A7%C3%B5es%20licenciatura</t>
  </si>
  <si>
    <t>Escola de Tecnologias e Arquitectura / Escola de Ciências Sociais e Humanas</t>
  </si>
  <si>
    <t>https://www.google.com/search?q=site%3Aiscte-iul.pt%20Direito%20licenciatura</t>
  </si>
  <si>
    <t>Economia</t>
  </si>
  <si>
    <t>Iscte Business School</t>
  </si>
  <si>
    <t>https://www.google.com/search?q=site%3Aiscte-iul.pt%20Economia%20licenciatura</t>
  </si>
  <si>
    <t>Engenharia Informática</t>
  </si>
  <si>
    <t>https://www.google.com/search?q=site%3Aiscte-iul.pt%20Engenharia%20Inform%C3%A1tica%20licenciatura</t>
  </si>
  <si>
    <t>Engenharia de Telecomunicações e Informática</t>
  </si>
  <si>
    <t>Eletrónica e Automação</t>
  </si>
  <si>
    <t>https://www.google.com/search?q=site%3Aiscte-iul.pt%20Engenharia%20de%20Telecomunica%C3%A7%C3%B5es%20e%20Inform%C3%A1tica%20licenciatura</t>
  </si>
  <si>
    <t>Estudos Internacionais</t>
  </si>
  <si>
    <t>https://www.google.com/search?q=site%3Aiscte-iul.pt%20Estudos%20Internacionais%20licenciatura</t>
  </si>
  <si>
    <t>Finanças e Contabilidade</t>
  </si>
  <si>
    <t>Por confirmar (faculdade/órgão não publicado na fonte oficial)</t>
  </si>
  <si>
    <t>https://www.google.com/search?q=site%3Aiscte-iul.pt%20Finan%C3%A7as%20e%20Contabilidade%20licenciatura</t>
  </si>
  <si>
    <t>https://ibs.iscte-iul.pt/curso/codigo/9147/licenciatura-gestao</t>
  </si>
  <si>
    <t>Confirmado + campus + link oficial (Tavily, iscte-iul.pt) — 2026-06-15</t>
  </si>
  <si>
    <t>Gestão Industrial e Logística</t>
  </si>
  <si>
    <t>https://www.google.com/search?q=site%3Aiscte-iul.pt%20Gest%C3%A3o%20Industrial%20e%20Log%C3%ADstica%20licenciatura</t>
  </si>
  <si>
    <t>Gestão de Marketing</t>
  </si>
  <si>
    <t>https://www.google.com/search?q=site%3Aiscte-iul.pt%20Gest%C3%A3o%20de%20Marketing%20licenciatura</t>
  </si>
  <si>
    <t>Gestão de Recursos Humanos</t>
  </si>
  <si>
    <t>https://www.google.com/search?q=site%3Aiscte-iul.pt%20Gest%C3%A3o%20de%20Recursos%20Humanos%20licenciatura</t>
  </si>
  <si>
    <t>História Moderna e Contemporânea</t>
  </si>
  <si>
    <t>https://www.google.com/search?q=site%3Aiscte-iul.pt%20Hist%C3%B3ria%20Moderna%20e%20Contempor%C3%A2nea%20licenciatura</t>
  </si>
  <si>
    <t>Informática e Gestão de Empresas</t>
  </si>
  <si>
    <t>https://www.google.com/search?q=site%3Aiscte-iul.pt%20Inform%C3%A1tica%20e%20Gest%C3%A3o%20de%20Empresas%20licenciatura</t>
  </si>
  <si>
    <t>Matemática Aplicada e Tecnologias Digitais</t>
  </si>
  <si>
    <t>Matemática</t>
  </si>
  <si>
    <t>https://www.google.com/search?q=site%3Aiscte-iul.pt%20Matem%C3%A1tica%20Aplicada%20e%20Tecnologias%20Digitais%20licenciatura</t>
  </si>
  <si>
    <t>Matemática Aplicada à Economia e às Finanças</t>
  </si>
  <si>
    <t>https://www.google.com/search?q=site%3Aiscte-iul.pt%20Matem%C3%A1tica%20Aplicada%20%C3%A0%20Economia%20e%20%C3%A0s%20Finan%C3%A7as%20licenciatura</t>
  </si>
  <si>
    <t>Política, Economia e Sociedade</t>
  </si>
  <si>
    <t>https://www.google.com/search?q=site%3Aiscte-iul.pt%20Pol%C3%ADtica%2C%20Economia%20e%20Sociedade%20licenciatura</t>
  </si>
  <si>
    <t>https://www.google.com/search?q=site%3Aiscte-iul.pt%20Psicologia%20licenciatura</t>
  </si>
  <si>
    <t>Serviço Social</t>
  </si>
  <si>
    <t>https://www.google.com/search?q=site%3Aiscte-iul.pt%20Servi%C3%A7o%20Social%20licenciatura</t>
  </si>
  <si>
    <t>Sociologia</t>
  </si>
  <si>
    <t>https://www.google.com/search?q=site%3Aiscte-iul.pt%20Sociologia%20licenciatura</t>
  </si>
  <si>
    <t>Tecnologias Digitais Educativas</t>
  </si>
  <si>
    <t>https://www.google.com/search?q=site%3Aiscte-iul.pt%20Tecnologias%20Digitais%20Educativas%20licenciatura</t>
  </si>
  <si>
    <t>Tecnologias Digitais e Automação</t>
  </si>
  <si>
    <t>https://www.google.com/search?q=site%3Aiscte-iul.pt%20Tecnologias%20Digitais%20e%20Automa%C3%A7%C3%A3o%20licenciatura</t>
  </si>
  <si>
    <t>Tecnologias Digitais e Gestão</t>
  </si>
  <si>
    <t>https://www.google.com/search?q=site%3Aiscte-iul.pt%20Tecnologias%20Digitais%20e%20Gest%C3%A3o%20licenciatura</t>
  </si>
  <si>
    <t>Tecnologias Digitais e Inteligência Artificial</t>
  </si>
  <si>
    <t>https://www.google.com/search?q=site%3Aiscte-iul.pt%20Tecnologias%20Digitais%20e%20Intelig%C3%AAncia%20Artificial%20licenciatura</t>
  </si>
  <si>
    <t>Tecnologias Digitais e Saúde</t>
  </si>
  <si>
    <t>https://www.google.com/search?q=site%3Aiscte-iul.pt%20Tecnologias%20Digitais%20e%20Sa%C3%BAde%20licenciatura</t>
  </si>
  <si>
    <t>Tecnologias Digitais e Segurança de Informação</t>
  </si>
  <si>
    <t>https://www.google.com/search?q=site%3Aiscte-iul.pt%20Tecnologias%20Digitais%20e%20Seguran%C3%A7a%20de%20Informa%C3%A7%C3%A3o%20licenciatura</t>
  </si>
  <si>
    <t>Tecnologias Digitais, Edifícios e Construção Sustentável</t>
  </si>
  <si>
    <t>Escola de Tecnologias e Arquitectura</t>
  </si>
  <si>
    <t>https://www.google.com/search?q=site%3Aiscte-iul.pt%20Tecnologias%20Digitais%2C%20Edif%C3%ADcios%20e%20Constru%C3%A7%C3%A3o%20Sustent%C3%A1vel%20licenciatura</t>
  </si>
  <si>
    <t>Análise de Dados em Ciências Sociais</t>
  </si>
  <si>
    <t>Iscte – Lisboa</t>
  </si>
  <si>
    <t>https://www.google.com/search?q=site%3Aiscte-iul.pt%20An%C3%A1lise%20de%20Dados%20em%20Ci%C3%AAncias%20Sociais%20p%C3%B3s-gradua%C3%A7%C3%A3o</t>
  </si>
  <si>
    <t>Sintra</t>
  </si>
  <si>
    <t>Aprendizagem Automática Aplicada</t>
  </si>
  <si>
    <t>Iscte – Sintra</t>
  </si>
  <si>
    <t>https://www.google.com/search?q=site%3Aiscte-iul.pt%20Aprendizagem%20Autom%C3%A1tica%20Aplicada%20p%C3%B3s-gradua%C3%A7%C3%A3o</t>
  </si>
  <si>
    <t>1 ano; ECTS não indicados</t>
  </si>
  <si>
    <t>Assessoria de Comunicação e Política</t>
  </si>
  <si>
    <t>Jornalismo e Comunicação</t>
  </si>
  <si>
    <t>https://www.google.com/search?q=site%3Aiscte-iul.pt%20Assessoria%20de%20Comunica%C3%A7%C3%A3o%20e%20Pol%C3%ADtica%20p%C3%B3s-gradua%C3%A7%C3%A3o</t>
  </si>
  <si>
    <t>1 ano; ECTS não indicados (pós em comunicação política)</t>
  </si>
  <si>
    <t>Avaliação de Políticas Públicas</t>
  </si>
  <si>
    <t>https://www.google.com/search?q=site%3Aiscte-iul.pt%20Avalia%C3%A7%C3%A3o%20de%20Pol%C3%ADticas%20P%C3%BAblicas%20p%C3%B3s-gradua%C3%A7%C3%A3o</t>
  </si>
  <si>
    <t>Comunicação Digital e Jornalismo</t>
  </si>
  <si>
    <t>Informação e Jornalismo</t>
  </si>
  <si>
    <t>https://www.google.com/search?q=site%3Aiscte-iul.pt%20Comunica%C3%A7%C3%A3o%20Digital%20e%20Jornalismo%20p%C3%B3s-gradua%C3%A7%C3%A3o</t>
  </si>
  <si>
    <t>Conservação e Reabilitação Sustentável</t>
  </si>
  <si>
    <t>https://www.google.com/search?q=site%3Aiscte-iul.pt%20Conserva%C3%A7%C3%A3o%20e%20Reabilita%C3%A7%C3%A3o%20Sustent%C3%A1vel%20p%C3%B3s-gradua%C3%A7%C3%A3o</t>
  </si>
  <si>
    <t>Desenvolvimento Comunitário</t>
  </si>
  <si>
    <t>https://www.google.com/search?q=site%3Aiscte-iul.pt%20Desenvolvimento%20Comunit%C3%A1rio%20p%C3%B3s-gradua%C3%A7%C3%A3o</t>
  </si>
  <si>
    <t>Desigualdades, Segurança Social e Solidariedades</t>
  </si>
  <si>
    <t>https://www.google.com/search?q=site%3Aiscte-iul.pt%20Desigualdades%2C%20Seguran%C3%A7a%20Social%20e%20Solidariedades%20p%C3%B3s-gradua%C3%A7%C3%A3o</t>
  </si>
  <si>
    <t>1 ano; formato a distância; ECTS não indicados</t>
  </si>
  <si>
    <t>Direção Comercial</t>
  </si>
  <si>
    <t>https://www.google.com/search?q=site%3Aiscte-iul.pt%20Dire%C3%A7%C3%A3o%20Comercial%20p%C3%B3s-gradua%C3%A7%C3%A3o</t>
  </si>
  <si>
    <t>Direção Intermédia na Administração Pública</t>
  </si>
  <si>
    <t>https://www.google.com/search?q=site%3Aiscte-iul.pt%20Dire%C3%A7%C3%A3o%20Interm%C3%A9dia%20na%20Administra%C3%A7%C3%A3o%20P%C3%BAblica%20p%C3%B3s-gradua%C3%A7%C3%A3o</t>
  </si>
  <si>
    <t>Economia Social e Solidária</t>
  </si>
  <si>
    <t>https://www.google.com/search?q=site%3Aiscte-iul.pt%20Economia%20Social%20e%20Solid%C3%A1ria%20p%C3%B3s-gradua%C3%A7%C3%A3o</t>
  </si>
  <si>
    <t>Economia e Regulação de Instituições Financeiras</t>
  </si>
  <si>
    <t>https://www.google.com/search?q=site%3Aiscte-iul.pt%20Economia%20e%20Regula%C3%A7%C3%A3o%20de%20Institui%C3%A7%C3%B5es%20Financeiras%20p%C3%B3s-gradua%C3%A7%C3%A3o</t>
  </si>
  <si>
    <t>Gestão Empresarial para Licenciados noutras Áreas</t>
  </si>
  <si>
    <t>Faculdade de Ciências Sociais – Departamento de Gestão e Economia (parceria Iscte Executive Education)</t>
  </si>
  <si>
    <t>https://www.google.com/search?q=site%3Aiscte-iul.pt%20Gest%C3%A3o%20Empresarial%20para%20Licenciados%20noutras%20%C3%81reas%20p%C3%B3s-gradua%C3%A7%C3%A3o</t>
  </si>
  <si>
    <t>1 ano letivo; programa executivo; 16–25 vagas</t>
  </si>
  <si>
    <t>Gestão Fiscal</t>
  </si>
  <si>
    <t>https://www.google.com/search?q=site%3Aiscte-iul.pt%20Gest%C3%A3o%20Fiscal%20p%C3%B3s-gradua%C3%A7%C3%A3o</t>
  </si>
  <si>
    <t>Gestão e Marketing do Desporto</t>
  </si>
  <si>
    <t>https://www.google.com/search?q=site%3Aiscte-iul.pt%20Gest%C3%A3o%20e%20Marketing%20do%20Desporto%20p%C3%B3s-gradua%C3%A7%C3%A3o</t>
  </si>
  <si>
    <t>Gestão para Profissionais da Saúde</t>
  </si>
  <si>
    <t>https://www.google.com/search?q=site%3Aiscte-iul.pt%20Gest%C3%A3o%20para%20Profissionais%20da%20Sa%C3%BAde%20p%C3%B3s-gradua%C3%A7%C3%A3o</t>
  </si>
  <si>
    <t>Informática Aplicada às Organizações</t>
  </si>
  <si>
    <t>https://www.google.com/search?q=site%3Aiscte-iul.pt%20Inform%C3%A1tica%20Aplicada%20%C3%A0s%20Organiza%C3%A7%C3%B5es%20p%C3%B3s-gradua%C3%A7%C3%A3o</t>
  </si>
  <si>
    <t>Inteligência Artificial para a Gestão</t>
  </si>
  <si>
    <t>Iscte Executive Education – Lisboa</t>
  </si>
  <si>
    <t>https://www.google.com/search?q=site%3Aiscte-iul.pt%20Intelig%C3%AAncia%20Artificial%20para%20a%20Gest%C3%A3o%20p%C3%B3s-gradua%C3%A7%C3%A3o</t>
  </si>
  <si>
    <t>Programa avançado; 6–9 meses; carga horária não pública (pós exec.)</t>
  </si>
  <si>
    <t>Mobilidade do Futuro</t>
  </si>
  <si>
    <t>https://www.google.com/search?q=site%3Aiscte-iul.pt%20Mobilidade%20do%20Futuro%20p%C3%B3s-gradua%C3%A7%C3%A3o</t>
  </si>
  <si>
    <t>Serviço Social na Saúde</t>
  </si>
  <si>
    <t>https://www.google.com/search?q=site%3Aiscte-iul.pt%20Servi%C3%A7o%20Social%20na%20Sa%C3%BAde%20p%C3%B3s-gradua%C3%A7%C3%A3o</t>
  </si>
  <si>
    <t>Soluções Analíticas para a Gestão</t>
  </si>
  <si>
    <t>https://www.google.com/search?q=site%3Aiscte-iul.pt%20Solu%C3%A7%C3%B5es%20Anal%C3%ADticas%20para%20a%20Gest%C3%A3o%20p%C3%B3s-gradua%C3%A7%C3%A3o</t>
  </si>
  <si>
    <t>Direcção Empresarial – Executive MBA</t>
  </si>
  <si>
    <t>https://www.google.com/search?q=site%3Aiscte-iul.pt%20Direc%C3%A7%C3%A3o%20Empresarial%20%E2%80%93%20Executive%20MBA%20p%C3%B3s-gradua%C3%A7%C3%A3o%20executiva</t>
  </si>
  <si>
    <t>1 ano letivo; ECTS não indicados (MBA executivo)</t>
  </si>
  <si>
    <t>Gestão Empresarial – Licenciados em Gestão ou afins</t>
  </si>
  <si>
    <t>https://www.google.com/search?q=site%3Aiscte-iul.pt%20Gest%C3%A3o%20Empresarial%20%E2%80%93%20Licenciados%20em%20Gest%C3%A3o%20ou%20afins%20p%C3%B3s-gradua%C3%A7%C3%A3o%20executiva</t>
  </si>
  <si>
    <t>Gestão Empresarial – Licenciados noutras áreas</t>
  </si>
  <si>
    <t>https://www.google.com/search?q=site%3Aiscte-iul.pt%20Gest%C3%A3o%20Empresarial%20%E2%80%93%20Licenciados%20noutras%20%C3%A1reas%20p%C3%B3s-gradua%C3%A7%C3%A3o%20executiva</t>
  </si>
  <si>
    <t>Gestão Estratégica de Pessoas e Liderança</t>
  </si>
  <si>
    <t>https://www.google.com/search?q=site%3Aiscte-iul.pt%20Gest%C3%A3o%20Estrat%C3%A9gica%20de%20Pessoas%20e%20Lideran%C3%A7a%20p%C3%B3s-gradua%C3%A7%C3%A3o%20executiva</t>
  </si>
  <si>
    <t>Gestão de Programas e Projetos</t>
  </si>
  <si>
    <t>https://www.google.com/search?q=site%3Aiscte-iul.pt%20Gest%C3%A3o%20de%20Programas%20e%20Projetos%20p%C3%B3s-gradua%C3%A7%C3%A3o%20executiva</t>
  </si>
  <si>
    <t>9–12 meses; formato executive</t>
  </si>
  <si>
    <t>https://www.google.com/search?q=site%3Aiscte-iul.pt%20Gest%C3%A3o%20de%20Servi%C3%A7os%20de%20Sa%C3%BAde%20p%C3%B3s-gradua%C3%A7%C3%A3o%20executiva</t>
  </si>
  <si>
    <t>9 meses; formato executive; início setembro; regime híbrido</t>
  </si>
  <si>
    <t>Marketing Management</t>
  </si>
  <si>
    <t>https://www.google.com/search?q=site%3Aiscte-iul.pt%20Marketing%20Management%20p%C3%B3s-gradua%C3%A7%C3%A3o%20executiva</t>
  </si>
  <si>
    <t>ISEC - Instituto Superior de Engenharia de Coimbra</t>
  </si>
  <si>
    <t>Análises Químicas e Biológicas</t>
  </si>
  <si>
    <t>Instituto Superior de Engenharia de Coimbra</t>
  </si>
  <si>
    <t>https://www.google.com/search?q=site%3Aisec.pt%20An%C3%A1lises%20Qu%C3%ADmicas%20e%20Biol%C3%B3gicas%20CTeSP</t>
  </si>
  <si>
    <t>Automação, Robótica e Manutenção Industrial</t>
  </si>
  <si>
    <t>https://www.google.com/search?q=site%3Aisec.pt%20Automa%C3%A7%C3%A3o%2C%20Rob%C3%B3tica%20e%20Manuten%C3%A7%C3%A3o%20Industrial%20CTeSP</t>
  </si>
  <si>
    <t>Construção Civil e Obras Públicas</t>
  </si>
  <si>
    <t>https://www.google.com/search?q=site%3Aisec.pt%20Constru%C3%A7%C3%A3o%20Civil%20e%20Obras%20P%C3%BAblicas%20CTeSP</t>
  </si>
  <si>
    <t>Desenvolvimento Web</t>
  </si>
  <si>
    <t>https://www.google.com/search?q=site%3Aisec.pt%20Desenvolvimento%20Web%20CTeSP</t>
  </si>
  <si>
    <t>Eletrónica e Redes de Telecomunicações</t>
  </si>
  <si>
    <t>https://www.google.com/search?q=site%3Aisec.pt%20Eletr%C3%B3nica%20e%20Redes%20de%20Telecomunica%C3%A7%C3%B5es%20CTeSP</t>
  </si>
  <si>
    <t>Energia e Automação</t>
  </si>
  <si>
    <t>Eletricidade e Energia</t>
  </si>
  <si>
    <t>https://www.google.com/search?q=site%3Aisec.pt%20Energia%20e%20Automa%C3%A7%C3%A3o%20CTeSP</t>
  </si>
  <si>
    <t>Instalações Elétricas e Manutenção Industrial</t>
  </si>
  <si>
    <t>https://www.google.com/search?q=site%3Aisec.pt%20Instala%C3%A7%C3%B5es%20El%C3%A9tricas%20e%20Manuten%C3%A7%C3%A3o%20Industrial%20CTeSP</t>
  </si>
  <si>
    <t>Instalações Térmicas</t>
  </si>
  <si>
    <t>https://www.google.com/search?q=site%3Aisec.pt%20Instala%C3%A7%C3%B5es%20T%C3%A9rmicas%20CTeSP</t>
  </si>
  <si>
    <t>Instalações de Água e Saneamento</t>
  </si>
  <si>
    <t>Proteção do Ambiente</t>
  </si>
  <si>
    <t>https://www.google.com/search?q=site%3Aisec.pt%20Instala%C3%A7%C3%B5es%20de%20%C3%81gua%20e%20Saneamento%20CTeSP</t>
  </si>
  <si>
    <t>Instrumentação Biomédica</t>
  </si>
  <si>
    <t>https://www.google.com/search?q=site%3Aisec.pt%20Instrumenta%C3%A7%C3%A3o%20Biom%C3%A9dica%20CTeSP</t>
  </si>
  <si>
    <t>Manutenção Eletromecânica</t>
  </si>
  <si>
    <t>https://www.google.com/search?q=site%3Aisec.pt%20Manuten%C3%A7%C3%A3o%20Eletromec%C3%A2nica%20CTeSP</t>
  </si>
  <si>
    <t>Operações Florestais</t>
  </si>
  <si>
    <t>Instituto Superior de Engenharia de Coimbra (em articulação com ESAC)</t>
  </si>
  <si>
    <t>https://www.google.com/search?q=site%3Aisec.pt%20Opera%C3%A7%C3%B5es%20Florestais%20CTeSP</t>
  </si>
  <si>
    <t>Processo Industrial</t>
  </si>
  <si>
    <t>Engenharia e Tecnologias Afins</t>
  </si>
  <si>
    <t>https://www.google.com/search?q=site%3Aisec.pt%20Processo%20Industrial%20CTeSP</t>
  </si>
  <si>
    <t>Proteção Civil</t>
  </si>
  <si>
    <t>https://www.google.com/search?q=site%3Aisec.pt%20Prote%C3%A7%C3%A3o%20Civil%20CTeSP</t>
  </si>
  <si>
    <t>Reabilitação Sustentável de Edifícios</t>
  </si>
  <si>
    <t>https://www.google.com/search?q=site%3Aisec.pt%20Reabilita%C3%A7%C3%A3o%20Sustent%C3%A1vel%20de%20Edif%C3%ADcios%20CTeSP</t>
  </si>
  <si>
    <t>https://www.google.com/search?q=site%3Aisec.pt%20Redes%20e%20Sistemas%20Inform%C3%A1ticos%20CTeSP</t>
  </si>
  <si>
    <t>Sistemas de Informação Geográfica</t>
  </si>
  <si>
    <t>https://www.google.com/search?q=site%3Aisec.pt%20Sistemas%20de%20Informa%C3%A7%C3%A3o%20Geogr%C3%A1fica%20CTeSP</t>
  </si>
  <si>
    <t>Tecnologia e Gestão Automóvel</t>
  </si>
  <si>
    <t>Construção e Reparação de Veículos</t>
  </si>
  <si>
    <t>https://www.google.com/search?q=site%3Aisec.pt%20Tecnologia%20e%20Gest%C3%A3o%20Autom%C3%B3vel%20CTeSP</t>
  </si>
  <si>
    <t>Tecnologias Informáticas</t>
  </si>
  <si>
    <t>https://www.google.com/search?q=site%3Aisec.pt%20Tecnologias%20Inform%C3%A1ticas%20CTeSP</t>
  </si>
  <si>
    <t>Tecnologias e Programação de Sistemas de Informação</t>
  </si>
  <si>
    <t>https://www.google.com/search?q=site%3Aisec.pt%20Tecnologias%20e%20Programa%C3%A7%C3%A3o%20de%20Sistemas%20de%20Informa%C3%A7%C3%A3o%20CTeSP</t>
  </si>
  <si>
    <t>Bioengenharia</t>
  </si>
  <si>
    <t>https://www.google.com/search?q=site%3Aisec.pt%20Bioengenharia%20licenciatura</t>
  </si>
  <si>
    <t>Engenharia Biomédica</t>
  </si>
  <si>
    <t>https://www.google.com/search?q=site%3Aisec.pt%20Engenharia%20Biom%C3%A9dica%20licenciatura</t>
  </si>
  <si>
    <t>https://www.google.com/search?q=site%3Aisec.pt%20Engenharia%20Civil%20licenciatura</t>
  </si>
  <si>
    <t>Engenharia Eletromecânica</t>
  </si>
  <si>
    <t>https://www.google.com/search?q=site%3Aisec.pt%20Engenharia%20Eletromec%C3%A2nica%20licenciatura</t>
  </si>
  <si>
    <t>Engenharia Eletrotécnica e de Computadores</t>
  </si>
  <si>
    <t>https://www.google.com/search?q=site%3Aisec.pt%20Engenharia%20Eletrot%C3%A9cnica%20e%20de%20Computadores%20licenciatura</t>
  </si>
  <si>
    <t>https://www.google.com/search?q=site%3Aisec.pt%20Engenharia%20Inform%C3%A1tica%20licenciatura</t>
  </si>
  <si>
    <t>Engenharia Informática (Curso Europeu)</t>
  </si>
  <si>
    <t>https://www.google.com/search?q=site%3Aisec.pt%20Engenharia%20Inform%C3%A1tica%20%28Curso%20Europeu%29%20licenciatura</t>
  </si>
  <si>
    <t>https://www.google.com/search?q=site%3Aisec.pt%20Engenharia%20Mec%C3%A2nica%20licenciatura</t>
  </si>
  <si>
    <t>Engenharia Química</t>
  </si>
  <si>
    <t>Tecnologia dos Processos Químicos</t>
  </si>
  <si>
    <t>https://www.google.com/search?q=site%3Aisec.pt%20Engenharia%20Qu%C3%ADmica%20licenciatura</t>
  </si>
  <si>
    <t>Engenharia e Gestão Industrial</t>
  </si>
  <si>
    <t>Engenharia</t>
  </si>
  <si>
    <t>https://www.google.com/search?q=site%3Aisec.pt%20Engenharia%20e%20Gest%C3%A3o%20Industrial%20licenciatura</t>
  </si>
  <si>
    <t>Gestão Sustentável das Cidades</t>
  </si>
  <si>
    <t>https://www.google.com/search?q=site%3Aisec.pt%20Gest%C3%A3o%20Sustent%C3%A1vel%20das%20Cidades%20licenciatura</t>
  </si>
  <si>
    <t>Informática Industrial</t>
  </si>
  <si>
    <t>https://www.google.com/search?q=site%3Aisec.pt%20Inform%C3%A1tica%20Industrial%20licenciatura</t>
  </si>
  <si>
    <t>Cidades Sustentáveis e Inteligentes</t>
  </si>
  <si>
    <t>https://www.google.com/search?q=site%3Aisec.pt%20Cidades%20Sustent%C3%A1veis%20e%20Inteligentes%20mestrado</t>
  </si>
  <si>
    <t>1,6 ano(s) (93 ECTS)</t>
  </si>
  <si>
    <t>Comércio Eletrónico</t>
  </si>
  <si>
    <t>https://www.google.com/search?q=site%3Aisec.pt%20Com%C3%A9rcio%20Eletr%C3%B3nico%20mestrado</t>
  </si>
  <si>
    <t>https://www.google.com/search?q=site%3Aisec.pt%20Engenharia%20Biom%C3%A9dica%20mestrado</t>
  </si>
  <si>
    <t>https://www.google.com/search?q=site%3Aisec.pt%20Engenharia%20Civil%20mestrado</t>
  </si>
  <si>
    <t>1,7 ano(s) (100 ECTS)</t>
  </si>
  <si>
    <t>Engenharia Civil – especialização em Construção Urbana</t>
  </si>
  <si>
    <t>https://www.google.com/search?q=site%3Aisec.pt%20Engenharia%20Civil%20%E2%80%93%20especializa%C3%A7%C3%A3o%20em%20Constru%C3%A7%C3%A3o%20Urbana%20mestrado</t>
  </si>
  <si>
    <t>Engenharia Eletromecânica – esp. Instalações e Equipamentos em Edifícios</t>
  </si>
  <si>
    <t>https://www.google.com/search?q=site%3Aisec.pt%20Engenharia%20Eletromec%C3%A2nica%20%E2%80%93%20esp.%20Instala%C3%A7%C3%B5es%20e%20Equipamentos%20em%20Edif%C3%ADcios%20mestrado</t>
  </si>
  <si>
    <t>Engenharia Eletrotécnica</t>
  </si>
  <si>
    <t>https://www.google.com/search?q=site%3Aisec.pt%20Engenharia%20Eletrot%C3%A9cnica%20mestrado</t>
  </si>
  <si>
    <t>https://www.google.com/search?q=site%3Aisec.pt%20Engenharia%20Inform%C3%A1tica%20mestrado</t>
  </si>
  <si>
    <t>https://www.google.com/search?q=site%3Aisec.pt%20Engenharia%20Mec%C3%A2nica%20mestrado</t>
  </si>
  <si>
    <t>Engenharia Química e Biológica</t>
  </si>
  <si>
    <t>https://www.google.com/search?q=site%3Aisec.pt%20Engenharia%20Qu%C3%ADmica%20e%20Biol%C3%B3gica%20mestrado</t>
  </si>
  <si>
    <t>https://www.google.com/search?q=site%3Aisec.pt%20Engenharia%20e%20Gest%C3%A3o%20Industrial%20mestrado</t>
  </si>
  <si>
    <t>Engenharia e Gestão de Ativos Físicos</t>
  </si>
  <si>
    <t>https://www.google.com/search?q=site%3Aisec.pt%20Engenharia%20e%20Gest%C3%A3o%20de%20Ativos%20F%C3%ADsicos%20mestrado</t>
  </si>
  <si>
    <t>Mobilidade Elétrica e Sistemas de Energia (Erasmus Mundus)</t>
  </si>
  <si>
    <t>Instituto Superior de Engenharia de Coimbra (versão anterior do consórcio)</t>
  </si>
  <si>
    <t>https://www.google.com/search?q=site%3Aisec.pt%20Mobilidade%20El%C3%A9trica%20e%20Sistemas%20de%20Energia%20%28Erasmus%20Mundus%29%20mestrado</t>
  </si>
  <si>
    <t>Mobilidade Elétrica e Sistemas de Energia – Erasmus Mundus</t>
  </si>
  <si>
    <t>Instituto Superior de Engenharia de Coimbra (consórcio internacional)</t>
  </si>
  <si>
    <t>https://www.google.com/search?q=site%3Aisec.pt%20Mobilidade%20El%C3%A9trica%20e%20Sistemas%20de%20Energia%20%E2%80%93%20Erasmus%20Mundus%20mestrado</t>
  </si>
  <si>
    <t>Sistemas Avançados de Gestão da Saúde</t>
  </si>
  <si>
    <t>https://www.google.com/search?q=site%3Aisec.pt%20Sistemas%20Avan%C3%A7ados%20de%20Gest%C3%A3o%20da%20Sa%C3%BAde%20mestrado</t>
  </si>
  <si>
    <t>ISEC Lisboa – Instituto Superior de Educação e Ciências</t>
  </si>
  <si>
    <t>Animação Científica</t>
  </si>
  <si>
    <t>Áudio‑visuais e Produção dos Media</t>
  </si>
  <si>
    <t>ISEC Lisboa</t>
  </si>
  <si>
    <t>https://www.google.com/search?q=site%3Aiseclisboa.pt%20Anima%C3%A7%C3%A3o%20Cient%C3%ADfica%20CTeSP</t>
  </si>
  <si>
    <t>Apoio à Infância</t>
  </si>
  <si>
    <t>Serviços de Apoio a Crianças e Jovens</t>
  </si>
  <si>
    <t>https://www.google.com/search?q=site%3Aiseclisboa.pt%20Apoio%20%C3%A0%20Inf%C3%A2ncia%20CTeSP</t>
  </si>
  <si>
    <t>Comunicação e Marketing</t>
  </si>
  <si>
    <t>https://www.google.com/search?q=site%3Aiseclisboa.pt%20Comunica%C3%A7%C3%A3o%20e%20Marketing%20CTeSP</t>
  </si>
  <si>
    <t>Construção e Reabilitação</t>
  </si>
  <si>
    <t>https://www.google.com/search?q=site%3Aiseclisboa.pt%20Constru%C3%A7%C3%A3o%20e%20Reabilita%C3%A7%C3%A3o%20CTeSP</t>
  </si>
  <si>
    <t>Desenvolvimento de Produtos Multimédia</t>
  </si>
  <si>
    <t>https://www.google.com/search?q=site%3Aiseclisboa.pt%20Desenvolvimento%20de%20Produtos%20Multim%C3%A9dia%20CTeSP</t>
  </si>
  <si>
    <t>Desenvolvimento de Produtos Turísticos</t>
  </si>
  <si>
    <t>https://www.google.com/search?q=site%3Aiseclisboa.pt%20Desenvolvimento%20de%20Produtos%20Tur%C3%ADsticos%20CTeSP</t>
  </si>
  <si>
    <t>Energias Renováveis e Ambiente</t>
  </si>
  <si>
    <t>https://www.google.com/search?q=site%3Aiseclisboa.pt%20Energias%20Renov%C3%A1veis%20e%20Ambiente%20CTeSP</t>
  </si>
  <si>
    <t>Gestão Financeira e Contabilidade</t>
  </si>
  <si>
    <t>https://www.google.com/search?q=site%3Aiseclisboa.pt%20Gest%C3%A3o%20Financeira%20e%20Contabilidade%20CTeSP</t>
  </si>
  <si>
    <t>Gestão Hoteleira</t>
  </si>
  <si>
    <t>https://www.google.com/search?q=site%3Aiseclisboa.pt%20Gest%C3%A3o%20Hoteleira%20CTeSP</t>
  </si>
  <si>
    <t>Gestão de Tecnologia e Inovação</t>
  </si>
  <si>
    <t>https://www.google.com/search?q=site%3Aiseclisboa.pt%20Gest%C3%A3o%20de%20Tecnologia%20e%20Inova%C3%A7%C3%A3o%20CTeSP</t>
  </si>
  <si>
    <t>Gestão de Tecnologias Alimentares</t>
  </si>
  <si>
    <t>https://www.google.com/search?q=site%3Aiseclisboa.pt%20Gest%C3%A3o%20de%20Tecnologias%20Alimentares%20CTeSP</t>
  </si>
  <si>
    <t>https://www.google.com/search?q=site%3Aiseclisboa.pt%20Interven%C3%A7%C3%A3o%20Social%20e%20Comunit%C3%A1ria%20CTeSP</t>
  </si>
  <si>
    <t>Manutenção Hoteleira</t>
  </si>
  <si>
    <t>https://www.google.com/search?q=site%3Aiseclisboa.pt%20Manuten%C3%A7%C3%A3o%20Hoteleira%20CTeSP</t>
  </si>
  <si>
    <t>Marketing Digital</t>
  </si>
  <si>
    <t>https://www.google.com/search?q=site%3Aiseclisboa.pt%20Marketing%20Digital%20CTeSP</t>
  </si>
  <si>
    <t>Operações com Aeronaves não Tripuladas</t>
  </si>
  <si>
    <t>https://www.google.com/search?q=site%3Aiseclisboa.pt%20Opera%C3%A7%C3%B5es%20com%20Aeronaves%20n%C3%A3o%20Tripuladas%20CTeSP</t>
  </si>
  <si>
    <t>Produção Gráfica e Digital</t>
  </si>
  <si>
    <t>https://www.google.com/search?q=site%3Aiseclisboa.pt%20Produ%C3%A7%C3%A3o%20Gr%C3%A1fica%20e%20Digital%20CTeSP</t>
  </si>
  <si>
    <t>https://www.google.com/search?q=site%3Aiseclisboa.pt%20Prote%C3%A7%C3%A3o%20Civil%20e%20Socorro%20CTeSP</t>
  </si>
  <si>
    <t>Reparação e Manutenção de Aeronaves</t>
  </si>
  <si>
    <t>https://www.google.com/search?q=site%3Aiseclisboa.pt%20Repara%C3%A7%C3%A3o%20e%20Manuten%C3%A7%C3%A3o%20de%20Aeronaves%20CTeSP</t>
  </si>
  <si>
    <t>Sistemas de Gestão da Qualidade</t>
  </si>
  <si>
    <t>https://www.google.com/search?q=site%3Aiseclisboa.pt%20Sistemas%20de%20Gest%C3%A3o%20da%20Qualidade%20CTeSP</t>
  </si>
  <si>
    <t>Transportes e Logística</t>
  </si>
  <si>
    <t>https://www.google.com/search?q=site%3Aiseclisboa.pt%20Transportes%20e%20Log%C3%ADstica%20CTeSP</t>
  </si>
  <si>
    <t>Turismo e Transporte Aéreo</t>
  </si>
  <si>
    <t>https://www.google.com/search?q=site%3Aiseclisboa.pt%20Turismo%20e%20Transporte%20A%C3%A9reo%20CTeSP</t>
  </si>
  <si>
    <t>Ciência e Visualização de Dados</t>
  </si>
  <si>
    <t>https://www.google.com/search?q=site%3Aiseclisboa.pt%20Ci%C3%AAncia%20e%20Visualiza%C3%A7%C3%A3o%20de%20Dados%20licenciatura</t>
  </si>
  <si>
    <t>Ciências Aeronáuticas</t>
  </si>
  <si>
    <t>https://www.google.com/search?q=site%3Aiseclisboa.pt%20Ci%C3%AAncias%20Aeron%C3%A1uticas%20licenciatura</t>
  </si>
  <si>
    <t>Ciências Aeronáuticas e do Espaço</t>
  </si>
  <si>
    <t>https://www.google.com/search?q=site%3Aiseclisboa.pt%20Ci%C3%AAncias%20Aeron%C3%A1uticas%20e%20do%20Espa%C3%A7o%20licenciatura</t>
  </si>
  <si>
    <t>Comunicação Global</t>
  </si>
  <si>
    <t>Jornalismo e Reportagem</t>
  </si>
  <si>
    <t>https://www.google.com/search?q=site%3Aiseclisboa.pt%20Comunica%C3%A7%C3%A3o%20Global%20licenciatura</t>
  </si>
  <si>
    <t>Design e Produção Gráfica</t>
  </si>
  <si>
    <t>https://www.google.com/search?q=site%3Aiseclisboa.pt%20Design%20e%20Produ%C3%A7%C3%A3o%20Gr%C3%A1fica%20licenciatura</t>
  </si>
  <si>
    <t>https://www.google.com/search?q=site%3Aiseclisboa.pt%20Educa%C3%A7%C3%A3o%20B%C3%A1sica%20licenciatura</t>
  </si>
  <si>
    <t>https://www.google.com/search?q=site%3Aiseclisboa.pt%20Energias%20Renov%C3%A1veis%20e%20Ambiente%20licenciatura</t>
  </si>
  <si>
    <t>Engenharia da Construção e da Reabilitação</t>
  </si>
  <si>
    <t>https://www.google.com/search?q=site%3Aiseclisboa.pt%20Engenharia%20da%20Constru%C3%A7%C3%A3o%20e%20da%20Reabilita%C3%A7%C3%A3o%20licenciatura</t>
  </si>
  <si>
    <t>Engenharia de Proteção Civil</t>
  </si>
  <si>
    <t>https://www.google.com/search?q=site%3Aiseclisboa.pt%20Engenharia%20de%20Prote%C3%A7%C3%A3o%20Civil%20licenciatura</t>
  </si>
  <si>
    <t>Engenharia de Segurança do Trabalho</t>
  </si>
  <si>
    <t>https://www.google.com/search?q=site%3Aiseclisboa.pt%20Engenharia%20de%20Seguran%C3%A7a%20do%20Trabalho%20licenciatura</t>
  </si>
  <si>
    <t>Gestão Aeronáutica</t>
  </si>
  <si>
    <t>https://www.google.com/search?q=site%3Aiseclisboa.pt%20Gest%C3%A3o%20Aeron%C3%A1utica%20licenciatura</t>
  </si>
  <si>
    <t>Gestão Autárquica</t>
  </si>
  <si>
    <t>https://www.google.com/search?q=site%3Aiseclisboa.pt%20Gest%C3%A3o%20Aut%C3%A1rquica%20licenciatura</t>
  </si>
  <si>
    <t>https://www.google.com/search?q=site%3Aiseclisboa.pt%20Gest%C3%A3o%20Hoteleira%20licenciatura</t>
  </si>
  <si>
    <t>Gestão da Proteção Civil e Segurança Comunitária</t>
  </si>
  <si>
    <t>https://www.google.com/search?q=site%3Aiseclisboa.pt%20Gest%C3%A3o%20da%20Prote%C3%A7%C3%A3o%20Civil%20e%20Seguran%C3%A7a%20Comunit%C3%A1ria%20licenciatura</t>
  </si>
  <si>
    <t>Gestão de dados e tecnologias em saúde</t>
  </si>
  <si>
    <t>https://www.google.com/search?q=site%3Aiseclisboa.pt%20Gest%C3%A3o%20de%20dados%20e%20tecnologias%20em%20sa%C3%BAde%20licenciatura</t>
  </si>
  <si>
    <t>Ótica e Optometria</t>
  </si>
  <si>
    <t>https://www.google.com/search?q=site%3Aiseclisboa.pt%20%C3%93tica%20e%20Optometria%20licenciatura</t>
  </si>
  <si>
    <t>Formação de Professores de Educação Pré‑Escolar</t>
  </si>
  <si>
    <t>https://www.google.com/search?q=site%3Aiseclisboa.pt%20Educa%C3%A7%C3%A3o%20Pr%C3%A9-Escolar%20mestrado</t>
  </si>
  <si>
    <t>https://www.google.com/search?q=site%3Aiseclisboa.pt%20Educa%C3%A7%C3%A3o%20Pr%C3%A9-Escolar%20e%20Ensino%20do%201.%C2%BA%20Ciclo%20do%20Ensino%20B%C3%A1sico%20mestrado</t>
  </si>
  <si>
    <t>Ensino de Inglês no 1.º Ciclo do Ensino Básico</t>
  </si>
  <si>
    <t>Formação de Professores do 1.º Ciclo</t>
  </si>
  <si>
    <t>https://www.google.com/search?q=site%3Aiseclisboa.pt%20Ensino%20de%20Ingl%C3%AAs%20no%201.%C2%BA%20Ciclo%20do%20Ensino%20B%C3%A1sico%20mestrado</t>
  </si>
  <si>
    <t>Inglês</t>
  </si>
  <si>
    <t>Formação de Professores do 1.º e 2.º Ciclos (Português e História</t>
  </si>
  <si>
    <t>https://www.google.com/search?q=site%3Aiseclisboa.pt%20Ensino%20do%201.%C2%BA%20Ciclo%20do%20Ensino%20B%C3%A1sico%20e%20de%20Portugu%C3%AAs%20e%20Hist%C3%B3ria%20e%20Geografia%20de%20Portugal%20no%202.%C2%BA%20Ciclo%20do%20Ensino%20B%C3%A1sico%20mestrado</t>
  </si>
  <si>
    <t>https://www.google.com/search?q=site%3Aiseclisboa.pt%20Gest%C3%A3o%20Aut%C3%A1rquica%20mestrado</t>
  </si>
  <si>
    <t>https://www.google.com/search?q=site%3Aiseclisboa.pt%20Gest%C3%A3o%20Integrada%20dos%20Servi%C3%A7os%20de%20Sa%C3%BAde%20mestrado</t>
  </si>
  <si>
    <t>Gestão da Sustentabilidade do Transporte Aéreo</t>
  </si>
  <si>
    <t>https://www.google.com/search?q=site%3Aiseclisboa.pt%20Gest%C3%A3o%20da%20Sustentabilidade%20do%20Transporte%20A%C3%A9reo%20mestrado</t>
  </si>
  <si>
    <t>Gestão de Segurança e Saúde no Trabalho</t>
  </si>
  <si>
    <t>https://www.google.com/search?q=site%3Aiseclisboa.pt%20Gest%C3%A3o%20de%20Seguran%C3%A7a%20e%20Sa%C3%BAde%20no%20Trabalho%20mestrado</t>
  </si>
  <si>
    <t>Operações de Transporte Aéreo</t>
  </si>
  <si>
    <t>https://www.google.com/search?q=site%3Aiseclisboa.pt%20Opera%C3%A7%C3%B5es%20de%20Transporte%20A%C3%A9reo%20mestrado</t>
  </si>
  <si>
    <t>Riscos e Proteção Civil</t>
  </si>
  <si>
    <t>https://www.google.com/search?q=site%3Aiseclisboa.pt%20Riscos%20e%20Prote%C3%A7%C3%A3o%20Civil%20mestrado</t>
  </si>
  <si>
    <t>Administração e Gestão em Educação</t>
  </si>
  <si>
    <t>ISEC Lisboa – Escola de Educação e Desenvolvimento Humano</t>
  </si>
  <si>
    <t>https://www.google.com/search?q=site%3Aiseclisboa.pt%20Administra%C3%A7%C3%A3o%20e%20Gest%C3%A3o%20em%20Educa%C3%A7%C3%A3o%20p%C3%B3s-gradua%C3%A7%C3%A3o</t>
  </si>
  <si>
    <t>Arte de Contar Estórias</t>
  </si>
  <si>
    <t>https://www.google.com/search?q=site%3Aiseclisboa.pt%20Arte%20de%20Contar%20Est%C3%B3rias%20p%C3%B3s-gradua%C3%A7%C3%A3o</t>
  </si>
  <si>
    <t>1 ano; horas/ECTS não descritos no excerto, enquadrada como formação em narração oral e mediação leitora</t>
  </si>
  <si>
    <t>Coordenadores Municipais de Proteção Civil</t>
  </si>
  <si>
    <t>ISEC Lisboa em parceria com Escola Nacional de Bombeiros</t>
  </si>
  <si>
    <t>https://www.google.com/search?q=site%3Aiseclisboa.pt%20Coordenadores%20Municipais%20de%20Prote%C3%A7%C3%A3o%20Civil%20p%C3%B3s-gradua%C3%A7%C3%A3o</t>
  </si>
  <si>
    <t>0,6 ano(s) (35 ECTS)</t>
  </si>
  <si>
    <t>Diretor de Segurança</t>
  </si>
  <si>
    <t>https://www.google.com/search?q=site%3Aiseclisboa.pt%20Diretor%20de%20Seguran%C3%A7a%20p%C3%B3s-gradua%C3%A7%C3%A3o</t>
  </si>
  <si>
    <t>Curso de especialização para funções de direção de segurança; horas/ECTS não detalhados no excerto</t>
  </si>
  <si>
    <t>Educação Especial: Domínio Cognitivo e Motor</t>
  </si>
  <si>
    <t>https://www.google.com/search?q=site%3Aiseclisboa.pt%20Educa%C3%A7%C3%A3o%20Especial%3A%20Dom%C3%ADnio%20Cognitivo%20e%20Motor%20p%C3%B3s-gradua%C3%A7%C3%A3o</t>
  </si>
  <si>
    <t>1 ano; formação em educação especial; horas/ECTS não indicados no excerto</t>
  </si>
  <si>
    <t>Ensino Outdoor</t>
  </si>
  <si>
    <t>https://www.google.com/search?q=site%3Aiseclisboa.pt%20Ensino%20Outdoor%20p%C3%B3s-gradua%C3%A7%C3%A3o</t>
  </si>
  <si>
    <t>1 ano; visa práticas pedagógicas ao ar livre; sem detalhe público de ECTS</t>
  </si>
  <si>
    <t>https://www.google.com/search?q=site%3Aiseclisboa.pt%20Gest%C3%A3o%20dos%20Servi%C3%A7os%20de%20Sa%C3%BAde%20p%C3%B3s-gradua%C3%A7%C3%A3o</t>
  </si>
  <si>
    <t>Pós‑graduação em gestão de unidades/serviços de saúde; plano de estudos não detalhado no excerto</t>
  </si>
  <si>
    <t>Gestão e Comunicação de um Projeto de Design Aplicado</t>
  </si>
  <si>
    <t>ISEC Lisboa – área de Design</t>
  </si>
  <si>
    <t>https://www.google.com/search?q=site%3Aiseclisboa.pt%20Gest%C3%A3o%20e%20Comunica%C3%A7%C3%A3o%20de%20um%20Projeto%20de%20Design%20Aplicado%20p%C3%B3s-gradua%C3%A7%C3%A3o</t>
  </si>
  <si>
    <t>1 ano; PG em gestão de projetos de design; horas/ECTS não especificadas</t>
  </si>
  <si>
    <t>Gestão e Investigação dos Serviços Óticos‑Optométricos</t>
  </si>
  <si>
    <t>Medicina Dentária e Afins</t>
  </si>
  <si>
    <t>ISEC Lisboa – área de Ótica e Optometria</t>
  </si>
  <si>
    <t>https://www.google.com/search?q=site%3Aiseclisboa.pt%20Gest%C3%A3o%20e%20Investiga%C3%A7%C3%A3o%20dos%20Servi%C3%A7os%20%C3%93ticos%E2%80%91Optom%C3%A9tricos%20p%C3%B3s-gradua%C3%A7%C3%A3o</t>
  </si>
  <si>
    <t>1 ano; formação avançada em gestão e investigação em ótica/optometria</t>
  </si>
  <si>
    <t>Ilustração de Narrativas Visuais</t>
  </si>
  <si>
    <t>ISEC Lisboa – área de Design e Ilustração</t>
  </si>
  <si>
    <t>https://www.google.com/search?q=site%3Aiseclisboa.pt%20Ilustra%C3%A7%C3%A3o%20de%20Narrativas%20Visuais%20p%C3%B3s-gradua%C3%A7%C3%A3o</t>
  </si>
  <si>
    <t>Investigação e Gestão do Design</t>
  </si>
  <si>
    <t>https://www.google.com/search?q=site%3Aiseclisboa.pt%20Investiga%C3%A7%C3%A3o%20e%20Gest%C3%A3o%20do%20Design%20p%C3%B3s-gradua%C3%A7%C3%A3o</t>
  </si>
  <si>
    <t>1 ano; horas/ECTS não detalhados no excerto</t>
  </si>
  <si>
    <t>ISEC Lisboa – área de Marketing e Comunicação</t>
  </si>
  <si>
    <t>https://www.google.com/search?q=site%3Aiseclisboa.pt%20Marketing%20Digital%20p%C3%B3s-gradua%C3%A7%C3%A3o</t>
  </si>
  <si>
    <t>Organização e Dinamização de Bibliotecas Escolares</t>
  </si>
  <si>
    <t>https://www.google.com/search?q=site%3Aiseclisboa.pt%20Organiza%C3%A7%C3%A3o%20e%20Dinamiza%C3%A7%C3%A3o%20de%20Bibliotecas%20Escolares%20p%C3%B3s-gradua%C3%A7%C3%A3o</t>
  </si>
  <si>
    <t>1 ano; PG digital associada ao programa INOVEDU (informação de pré‑inscrição em 2026)</t>
  </si>
  <si>
    <t>Segurança contra Incêndio em Edifícios</t>
  </si>
  <si>
    <t>https://www.google.com/search?q=site%3Aiseclisboa.pt%20Seguran%C3%A7a%20contra%20Inc%C3%AAndio%20em%20Edif%C3%ADcios%20p%C3%B3s-gradua%C3%A7%C3%A3o</t>
  </si>
  <si>
    <t>1 ano; formação avançada em SCI; horas/ECTS não discriminados no excerto</t>
  </si>
  <si>
    <t>https://www.google.com/search?q=site%3Aiseclisboa.pt%20Supervis%C3%A3o%20Pedag%C3%B3gica%20p%C3%B3s-gradua%C3%A7%C3%A3o</t>
  </si>
  <si>
    <t>1 ano; PG em supervisão e desenvolvimento pedagógico; sem detalhe público de ECTS</t>
  </si>
  <si>
    <t>Terapia Visual e Treino Visual Desportivo</t>
  </si>
  <si>
    <t>ISEC Lisboa – área de Ótica e Optometria / Desporto</t>
  </si>
  <si>
    <t>https://www.google.com/search?q=site%3Aiseclisboa.pt%20Terapia%20Visual%20e%20Treino%20Visual%20Desportivo%20p%C3%B3s-gradua%C3%A7%C3%A3o</t>
  </si>
  <si>
    <t>1 ano; pós‑graduação em terapia visual e treino visual desportivo; horas/ECTS não detalhadas no excerto</t>
  </si>
  <si>
    <t>ISLA – Instituto Politécnico de Gestão e Tecnologia</t>
  </si>
  <si>
    <t>Gaia/Santarém</t>
  </si>
  <si>
    <t>Contabilidade e Gestão</t>
  </si>
  <si>
    <t>Escola Superior de Gestão</t>
  </si>
  <si>
    <t>https://www.google.com/search?q=site%3Aisla.pt%20Contabilidade%20e%20Gest%C3%A3o%20CTeSP</t>
  </si>
  <si>
    <t>Gastronomia, Vinhos e Turismo</t>
  </si>
  <si>
    <t>https://www.google.com/search?q=site%3Aisla.pt%20Gastronomia%2C%20Vinhos%20e%20Turismo%20CTeSP</t>
  </si>
  <si>
    <t>Gestão Administrativa de Recursos Humanos</t>
  </si>
  <si>
    <t>https://www.google.com/search?q=site%3Aisla.pt%20Gest%C3%A3o%20Administrativa%20de%20Recursos%20Humanos%20CTeSP</t>
  </si>
  <si>
    <t>Gestão de Atividades Desportivas</t>
  </si>
  <si>
    <t>https://www.google.com/search?q=site%3Aisla.pt%20Gest%C3%A3o%20de%20Atividades%20Desportivas%20CTeSP</t>
  </si>
  <si>
    <t>Gestão de Turismo, Hotelaria e Restauração</t>
  </si>
  <si>
    <t>https://www.google.com/search?q=site%3Aisla.pt%20Gest%C3%A3o%20de%20Turismo%2C%20Hotelaria%20e%20Restaura%C3%A7%C3%A3o%20CTeSP</t>
  </si>
  <si>
    <t>Gestão de Vendas e Marketing</t>
  </si>
  <si>
    <t>https://www.google.com/search?q=site%3Aisla.pt%20Gest%C3%A3o%20de%20Vendas%20e%20Marketing%20CTeSP</t>
  </si>
  <si>
    <t>Turismo e Informação Turística</t>
  </si>
  <si>
    <t>https://www.google.com/search?q=site%3Aisla.pt%20Turismo%20e%20Informa%C3%A7%C3%A3o%20Tur%C3%ADstica%20CTeSP</t>
  </si>
  <si>
    <t>Vila Nova de Gaia</t>
  </si>
  <si>
    <t>Gestão de Empresas</t>
  </si>
  <si>
    <t>https://www.google.com/search?q=site%3Aisla.pt%20Gest%C3%A3o%20de%20Empresas%20licenciatura</t>
  </si>
  <si>
    <t>https://www.google.com/search?q=site%3Aisla.pt%20Gest%C3%A3o%20de%20Recursos%20Humanos%20licenciatura</t>
  </si>
  <si>
    <t>Gestão do Turismo</t>
  </si>
  <si>
    <t>https://www.google.com/search?q=site%3Aisla.pt%20Gest%C3%A3o%20do%20Turismo%20licenciatura</t>
  </si>
  <si>
    <t>Santarém</t>
  </si>
  <si>
    <t>Finanças e Fiscalidade</t>
  </si>
  <si>
    <t>https://www.google.com/search?q=site%3Aisla.pt%20Finan%C3%A7as%20e%20Fiscalidade%20mestrado</t>
  </si>
  <si>
    <t>https://www.google.com/search?q=site%3Aisla.pt%20Gest%C3%A3o%20mestrado</t>
  </si>
  <si>
    <t>Gestão de Projetos</t>
  </si>
  <si>
    <t>https://www.google.com/search?q=site%3Aisla.pt%20Gest%C3%A3o%20de%20Projetos%20mestrado</t>
  </si>
  <si>
    <t>https://www.google.com/search?q=site%3Aisla.pt%20Gest%C3%A3o%20de%20Recursos%20Humanos%20mestrado</t>
  </si>
  <si>
    <t>Analytics e Data Science Empresarial</t>
  </si>
  <si>
    <t>ISLA Business Academy / ISLA Gaia</t>
  </si>
  <si>
    <t>https://www.google.com/search?q=site%3Aisla.pt%20Analytics%20e%20Data%20Science%20Empresarial%20p%C3%B3s-gradua%C3%A7%C3%A3o</t>
  </si>
  <si>
    <t>0,6 ano(s) (34 ECTS)</t>
  </si>
  <si>
    <t>Cibersegurança</t>
  </si>
  <si>
    <t>ISLA Gaia</t>
  </si>
  <si>
    <t>https://www.google.com/search?q=site%3Aisla.pt%20Ciberseguran%C3%A7a%20p%C3%B3s-gradua%C3%A7%C3%A3o</t>
  </si>
  <si>
    <t>0,4 ano(s) (22 ECTS)</t>
  </si>
  <si>
    <t>https://www.google.com/search?q=site%3Aisla.pt%20Enfermagem%20do%20Trabalho%20p%C3%B3s-gradua%C3%A7%C3%A3o</t>
  </si>
  <si>
    <t>ECTS e horas não discriminados na página de lista; área de Saúde</t>
  </si>
  <si>
    <t>Entrepreneurship: Tech Startups</t>
  </si>
  <si>
    <t>https://www.google.com/search?q=site%3Aisla.pt%20Entrepreneurship%3A%20Tech%20Startups%20p%C3%B3s-gradua%C3%A7%C3%A3o</t>
  </si>
  <si>
    <t>Pós‑graduação de gestão e empreendedorismo tecnológico; plano 2023‑24; ECTS não detalhados no excerto</t>
  </si>
  <si>
    <t>Gestão Avançada de Recursos Humanos</t>
  </si>
  <si>
    <t>https://www.google.com/search?q=site%3Aisla.pt%20Gest%C3%A3o%20Avan%C3%A7ada%20de%20Recursos%20Humanos%20p%C3%B3s-gradua%C3%A7%C3%A3o</t>
  </si>
  <si>
    <t>Plano 2022‑23; ECTS não indicados no resumo</t>
  </si>
  <si>
    <t>Gestão Empresarial Aplicada a Micro e Pequenas Empresas</t>
  </si>
  <si>
    <t>https://www.google.com/search?q=site%3Aisla.pt%20Gest%C3%A3o%20Empresarial%20Aplicada%20a%20Micro%20e%20Pequenas%20Empresas%20p%C3%B3s-gradua%C3%A7%C3%A3o</t>
  </si>
  <si>
    <t>Plano 2024‑25; curso de gestão aplicada</t>
  </si>
  <si>
    <t>Gestão das Organizações Sustentáveis</t>
  </si>
  <si>
    <t>https://www.google.com/search?q=site%3Aisla.pt%20Gest%C3%A3o%20das%20Organiza%C3%A7%C3%B5es%20Sustent%C3%A1veis%20p%C3%B3s-gradua%C3%A7%C3%A3o</t>
  </si>
  <si>
    <t>0,4 ano(s) (24 ECTS)</t>
  </si>
  <si>
    <t>Gestão de Bibliotecas Escolares</t>
  </si>
  <si>
    <t>https://www.google.com/search?q=site%3Aisla.pt%20Gest%C3%A3o%20de%20Bibliotecas%20Escolares%20p%C3%B3s-gradua%C3%A7%C3%A3o</t>
  </si>
  <si>
    <t>Plano 2022‑23; curso na área de Ensino/Informação</t>
  </si>
  <si>
    <t>Gestão de Projetos para Empreendedorismo e Inovação</t>
  </si>
  <si>
    <t>https://www.google.com/search?q=site%3Aisla.pt%20Gest%C3%A3o%20de%20Projetos%20para%20Empreendedorismo%20e%20Inova%C3%A7%C3%A3o%20p%C3%B3s-gradua%C3%A7%C3%A3o</t>
  </si>
  <si>
    <t>Plano 2024‑25; ECTS não indicados na síntese</t>
  </si>
  <si>
    <t>https://www.google.com/search?q=site%3Aisla.pt%20Gest%C3%A3o%20de%20Servi%C3%A7os%20de%20Sa%C3%BAde%20p%C3%B3s-gradua%C3%A7%C3%A3o</t>
  </si>
  <si>
    <t>Plano 2025‑26; curso dirigido a gestores de saúde</t>
  </si>
  <si>
    <t>Inteligência Artificial</t>
  </si>
  <si>
    <t>https://www.google.com/search?q=site%3Aisla.pt%20Intelig%C3%AAncia%20Artificial%20p%C3%B3s-gradua%C3%A7%C3%A3o</t>
  </si>
  <si>
    <t>Plano 2025‑26; área de Informática</t>
  </si>
  <si>
    <t>Psicologia Social e Organizacional</t>
  </si>
  <si>
    <t>https://www.google.com/search?q=site%3Aisla.pt%20Psicologia%20Social%20e%20Organizacional%20p%C3%B3s-gradua%C3%A7%C3%A3o</t>
  </si>
  <si>
    <t>Plano 2021‑22; área de Psicologia</t>
  </si>
  <si>
    <t>Redes – Cisco Networking</t>
  </si>
  <si>
    <t>https://www.google.com/search?q=site%3Aisla.pt%20Redes%20%E2%80%93%20Cisco%20Networking%20p%C3%B3s-gradua%C3%A7%C3%A3o</t>
  </si>
  <si>
    <t>Plano 2015‑16; curso técnico em redes Cisco</t>
  </si>
  <si>
    <t>Sistemas Integrados de Gestão – Qualidade, Ambiente e Segurança</t>
  </si>
  <si>
    <t>Tecnologia de Proteção do Ambiente</t>
  </si>
  <si>
    <t>https://www.google.com/search?q=site%3Aisla.pt%20Sistemas%20Integrados%20de%20Gest%C3%A3o%20%E2%80%93%20Qualidade%2C%20Ambiente%20e%20Seguran%C3%A7a%20p%C3%B3s-gradua%C3%A7%C3%A3o</t>
  </si>
  <si>
    <t>Plano 2022‑23; área de Ambiente e Segurança</t>
  </si>
  <si>
    <t>Transformação Digital e Inovação</t>
  </si>
  <si>
    <t>https://www.google.com/search?q=site%3Aisla.pt%20Transforma%C3%A7%C3%A3o%20Digital%20e%20Inova%C3%A7%C3%A3o%20p%C3%B3s-gradua%C3%A7%C3%A3o</t>
  </si>
  <si>
    <t>Plano 2024‑25; curso em Tecnologias/Negócio</t>
  </si>
  <si>
    <t>MBA Executivo</t>
  </si>
  <si>
    <t>https://www.google.com/search?q=site%3Aisla.pt%20MBA%20Executivo%20p%C3%B3s-gradua%C3%A7%C3%A3o%20executiva</t>
  </si>
  <si>
    <t>Plano 2023‑24; inclui unidades como Business Intelligence e Data Science</t>
  </si>
  <si>
    <t>MBA Executivo Pessoas, Saúde Mental e Felicidade</t>
  </si>
  <si>
    <t>https://www.google.com/search?q=site%3Aisla.pt%20MBA%20Executivo%20Pessoas%2C%20Sa%C3%BAde%20Mental%20e%20Felicidade%20p%C3%B3s-gradua%C3%A7%C3%A3o%20executiva</t>
  </si>
  <si>
    <t>Plano 2025‑2026; detalhes de ECTS não indicados no excerto</t>
  </si>
  <si>
    <t>ISPA – Instituto Universitário</t>
  </si>
  <si>
    <t>Bioinformática</t>
  </si>
  <si>
    <t>Campus ISPA, Lisboa</t>
  </si>
  <si>
    <t>https://www.google.com/search?q=site%3Aispa.pt%20Bioinform%C3%A1tica%20licenciatura</t>
  </si>
  <si>
    <t>Biologia</t>
  </si>
  <si>
    <t>Campus ISPA, Rua Jardim do Tabaco, 34, 1149‑041 Lisboa</t>
  </si>
  <si>
    <t>https://www.google.com/search?q=site%3Aispa.pt%20Biologia%20licenciatura</t>
  </si>
  <si>
    <t>https://www.google.com/search?q=site%3Aispa.pt%20Desenvolvimento%20Comunit%C3%A1rio%20licenciatura</t>
  </si>
  <si>
    <t>https://www.google.com/search?q=site%3Aispa.pt%20Educa%C3%A7%C3%A3o%20B%C3%A1sica%20licenciatura</t>
  </si>
  <si>
    <t>https://www.google.com/search?q=site%3Aispa.pt%20Psicologia%20licenciatura</t>
  </si>
  <si>
    <t>Biologia Marinha e Conservação</t>
  </si>
  <si>
    <t>https://www.google.com/search?q=site%3Aispa.pt%20Biologia%20Marinha%20e%20Conserva%C3%A7%C3%A3o%20mestrado</t>
  </si>
  <si>
    <t>Educação Pré‑Escolar</t>
  </si>
  <si>
    <t>Formação de Educadores de Infância</t>
  </si>
  <si>
    <t>https://www.google.com/search?q=site%3Aispa.pt%20Educa%C3%A7%C3%A3o%20Pr%C3%A9%E2%80%91Escolar%20mestrado</t>
  </si>
  <si>
    <t>Educação Pré‑Escolar e Ensino do 1.º Ciclo do Ensino Básico</t>
  </si>
  <si>
    <t>https://www.google.com/search?q=site%3Aispa.pt%20Educa%C3%A7%C3%A3o%20Pr%C3%A9%E2%80%91Escolar%20e%20Ensino%20do%201.%C2%BA%20Ciclo%20do%20Ensino%20B%C3%A1sico%20mestrado</t>
  </si>
  <si>
    <t>Neurociências Cognitivas e Comportamentais</t>
  </si>
  <si>
    <t>https://www.google.com/search?q=site%3Aispa.pt%20Neuroci%C3%AAncias%20Cognitivas%20e%20Comportamentais%20mestrado</t>
  </si>
  <si>
    <t>Neurociências e Comportamento</t>
  </si>
  <si>
    <t>https://www.google.com/search?q=site%3Aispa.pt%20Neuroci%C3%AAncias%20e%20Comportamento%20mestrado</t>
  </si>
  <si>
    <t>Neuropsicologia</t>
  </si>
  <si>
    <t>https://www.google.com/search?q=site%3Aispa.pt%20Neuropsicologia%20mestrado</t>
  </si>
  <si>
    <t>Psicologia Clínica</t>
  </si>
  <si>
    <t>https://www.google.com/search?q=site%3Aispa.pt%20Psicologia%20Cl%C3%ADnica%20mestrado</t>
  </si>
  <si>
    <t>Psicologia Clínica Psicanalítica</t>
  </si>
  <si>
    <t>https://www.google.com/search?q=site%3Aispa.pt%20Psicologia%20Cl%C3%ADnica%20Psicanal%C3%ADtica%20mestrado</t>
  </si>
  <si>
    <t>Psicologia Comunitária</t>
  </si>
  <si>
    <t>https://www.google.com/search?q=site%3Aispa.pt%20Psicologia%20Comunit%C3%A1ria%20mestrado</t>
  </si>
  <si>
    <t>Psicologia Forense</t>
  </si>
  <si>
    <t>https://www.google.com/search?q=site%3Aispa.pt%20Psicologia%20Forense%20mestrado</t>
  </si>
  <si>
    <t>Psicologia Social e das Organizações</t>
  </si>
  <si>
    <t>https://www.google.com/search?q=site%3Aispa.pt%20Psicologia%20Social%20e%20das%20Organiza%C3%A7%C3%B5es%20mestrado</t>
  </si>
  <si>
    <t>Psicologia da Educação</t>
  </si>
  <si>
    <t>https://www.google.com/search?q=site%3Aispa.pt%20Psicologia%20da%20Educa%C3%A7%C3%A3o%20mestrado</t>
  </si>
  <si>
    <t>Psicologia da Saúde</t>
  </si>
  <si>
    <t>https://www.google.com/search?q=site%3Aispa.pt%20Psicologia%20da%20Sa%C3%BAde%20mestrado</t>
  </si>
  <si>
    <t>Psicologia e Psicopatologia do Desenvolvimento</t>
  </si>
  <si>
    <t>https://www.google.com/search?q=site%3Aispa.pt%20Psicologia%20e%20Psicopatologia%20do%20Desenvolvimento%20mestrado</t>
  </si>
  <si>
    <t>https://www.google.com/search?q=site%3Aispa.pt%20Psicologia%20mestrado%20integrado</t>
  </si>
  <si>
    <t>(Conjunto de pós‑graduações em Psicologia – área geral)</t>
  </si>
  <si>
    <t>Escola de Psicologia / Formação ISPA</t>
  </si>
  <si>
    <t>https://www.google.com/search?q=site%3Aispa.pt%20%28Conjunto%20de%20p%C3%B3s%E2%80%91gradua%C3%A7%C3%B5es%20em%20Psicologia%20%E2%80%93%20%C3%A1rea%20geral%29%20p%C3%B3s-gradua%C3%A7%C3%A3o</t>
  </si>
  <si>
    <t>Durações e ECTS variáveis, consoante cada pós‑graduação; não detalhado na página de lista</t>
  </si>
  <si>
    <t>Literacia em Saúde na Prática: Modelos, estratégias e intervenção</t>
  </si>
  <si>
    <t>https://www.google.com/search?q=site%3Aispa.pt%20Literacia%20em%20Sa%C3%BAde%20na%20Pr%C3%A1tica%3A%20Modelos%2C%20estrat%C3%A9gias%20e%20interven%C3%A7%C3%A3o%20p%C3%B3s-gradua%C3%A7%C3%A3o</t>
  </si>
  <si>
    <t>0,7 ano(s) (40 ECTS)</t>
  </si>
  <si>
    <t>Psicologia Vocacional e do Desenvolvimento de Carreira</t>
  </si>
  <si>
    <t>https://www.google.com/search?q=site%3Aispa.pt%20Psicologia%20Vocacional%20e%20do%20Desenvolvimento%20de%20Carreira%20p%C3%B3s-gradua%C3%A7%C3%A3o</t>
  </si>
  <si>
    <t>90 horas; percurso modular a concluir em até 3 anos; sem ECTS explícitos</t>
  </si>
  <si>
    <t>Saúde Mental em Contexto Escolar: Da promoção à prevenção</t>
  </si>
  <si>
    <t>https://www.google.com/search?q=site%3Aispa.pt%20Sa%C3%BAde%20Mental%20em%20Contexto%20Escolar%3A%20Da%20promo%C3%A7%C3%A3o%20%C3%A0%20preven%C3%A7%C3%A3o%20p%C3%B3s-gradua%C3%A7%C3%A3o</t>
  </si>
  <si>
    <t>Não explicitado na página de curso consultada (integrada na pós‑graduação)</t>
  </si>
  <si>
    <t>ISTEC – Inst. Superior de Tecnologias Avançadas</t>
  </si>
  <si>
    <t>ISTEC Porto, Rua de Silva Tapada 115, 4200‑501 Porto</t>
  </si>
  <si>
    <t>https://www.google.com/search?q=site%3Aistec.pt%20Ciberseguran%C3%A7a%20CTeSP</t>
  </si>
  <si>
    <t>https://www.google.com/search?q=site%3Aistec.pt%20Desenvolvimento%20de%20Produtos%20Multim%C3%A9dia%20CTeSP</t>
  </si>
  <si>
    <t>Desenvolvimento de Software</t>
  </si>
  <si>
    <t>https://www.google.com/search?q=site%3Aistec.pt%20Desenvolvimento%20de%20Software%20CTeSP</t>
  </si>
  <si>
    <t>Desenvolvimento para Dispositivos Móveis</t>
  </si>
  <si>
    <t>https://www.google.com/search?q=site%3Aistec.pt%20Desenvolvimento%20para%20Dispositivos%20M%C3%B3veis%20CTeSP</t>
  </si>
  <si>
    <t>Design e Multimédia</t>
  </si>
  <si>
    <t>https://www.google.com/search?q=site%3Aistec.pt%20Design%20e%20Multim%C3%A9dia%20CTeSP</t>
  </si>
  <si>
    <t>Informática de Gestão</t>
  </si>
  <si>
    <t>https://www.google.com/search?q=site%3Aistec.pt%20Inform%C3%A1tica%20de%20Gest%C3%A3o%20CTeSP</t>
  </si>
  <si>
    <t>https://www.google.com/search?q=site%3Aistec.pt%20Redes%20e%20Sistemas%20Inform%C3%A1ticos%20CTeSP</t>
  </si>
  <si>
    <t>https://www.google.com/search?q=site%3Aistec.pt%20Rob%C3%B3tica%20e%20Intelig%C3%AAncia%20Artificial%20CTeSP</t>
  </si>
  <si>
    <t>https://www.google.com/search?q=site%3Aistec.pt%20Engenharia%20Inform%C3%A1tica%20licenciatura</t>
  </si>
  <si>
    <t>Engenharia Multimédia</t>
  </si>
  <si>
    <t>https://www.google.com/search?q=site%3Aistec.pt%20Engenharia%20Multim%C3%A9dia%20licenciatura</t>
  </si>
  <si>
    <t>Engenharia de Redes e Segurança Informática</t>
  </si>
  <si>
    <t>ISTEC – Instituto Superior de Tecnologias Avançadas, Lisboa</t>
  </si>
  <si>
    <t>https://www.google.com/search?q=site%3Aistec.pt%20Engenharia%20de%20Redes%20e%20Seguran%C3%A7a%20Inform%C3%A1tica%20licenciatura</t>
  </si>
  <si>
    <t>Informática</t>
  </si>
  <si>
    <t>ISTEC – Instituto Superior de Tecnologias Avançadas, Alameda das Linhas de Torres 179, 1750‑142 Lisboa</t>
  </si>
  <si>
    <t>https://www.google.com/search?q=site%3Aistec.pt%20Inform%C3%A1tica%20mestrado</t>
  </si>
  <si>
    <t>Agile Software Development</t>
  </si>
  <si>
    <t>ISTEC Porto</t>
  </si>
  <si>
    <t>https://www.google.com/search?q=site%3Aistec.pt%20Agile%20Software%20Development%20p%C3%B3s-gradua%C3%A7%C3%A3o</t>
  </si>
  <si>
    <t>1 ano; detalhes de horas/ECTS não especificados na listagem geral</t>
  </si>
  <si>
    <t>Business Analytics</t>
  </si>
  <si>
    <t>https://www.google.com/search?q=site%3Aistec.pt%20Business%20Analytics%20p%C3%B3s-gradua%C3%A7%C3%A3o</t>
  </si>
  <si>
    <t>1 ano; foca análise de dados para negócio</t>
  </si>
  <si>
    <t>Data Science Applied for Business</t>
  </si>
  <si>
    <t>https://www.google.com/search?q=site%3Aistec.pt%20Data%20Science%20Applied%20for%20Business%20p%C3%B3s-gradua%C3%A7%C3%A3o</t>
  </si>
  <si>
    <t>0,4 ano(s) (25 ECTS)</t>
  </si>
  <si>
    <t>(coord. ISTEC)</t>
  </si>
  <si>
    <t>Inteligência Artificial Responsável</t>
  </si>
  <si>
    <t>ISTEC</t>
  </si>
  <si>
    <t>https://www.google.com/search?q=site%3Aistec.pt%20Intelig%C3%AAncia%20Artificial%20Respons%C3%A1vel%20p%C3%B3s-gradua%C3%A7%C3%A3o</t>
  </si>
  <si>
    <t>Curso pós‑graduado sobre enquadramento científico, tecnológico e regulatório da IA; duração/ECTS não detalhados no excerto</t>
  </si>
  <si>
    <t>Marketing e IA Gen (Marketing e IA Generativa)</t>
  </si>
  <si>
    <t>https://www.google.com/search?q=site%3Aistec.pt%20Marketing%20e%20IA%20Gen%20%28Marketing%20e%20IA%20Generativa%29%20p%C3%B3s-gradua%C3%A7%C3%A3o</t>
  </si>
  <si>
    <t>(consórcio internacional, coordenação ISTEC)</t>
  </si>
  <si>
    <t>Tecnologias Imersivas e Inteligência Artificial</t>
  </si>
  <si>
    <t>ISTEC (no âmbito do projeto Virtual Innovation Consortium – VIC)</t>
  </si>
  <si>
    <t>https://www.google.com/search?q=site%3Aistec.pt%20Tecnologias%20Imersivas%20e%20Intelig%C3%AAncia%20Artificial%20p%C3%B3s-gradua%C3%A7%C3%A3o</t>
  </si>
  <si>
    <t>Programa internacional online; duração e ECTS não descritos na listagem geral</t>
  </si>
  <si>
    <t>Transformação Digital</t>
  </si>
  <si>
    <t>https://www.google.com/search?q=site%3Aistec.pt%20Transforma%C3%A7%C3%A3o%20Digital%20p%C3%B3s-gradua%C3%A7%C3%A3o</t>
  </si>
  <si>
    <t>0,6 ano(s) (38 ECTS)</t>
  </si>
  <si>
    <t>Virtualização e Cloud Computing</t>
  </si>
  <si>
    <t>ISTEC Lisboa</t>
  </si>
  <si>
    <t>https://www.google.com/search?q=site%3Aistec.pt%20Virtualiza%C3%A7%C3%A3o%20e%20Cloud%20Computing%20p%C3%B3s-gradua%C3%A7%C3%A3o</t>
  </si>
  <si>
    <t>13 meses; 100% e‑learning; carga horária não explicitada em horas, mas enquadrada como pós‑graduação</t>
  </si>
  <si>
    <t>https://www.google.com/search?q=site%3Aistec.pt%20MBA%20Executivo%20p%C3%B3s-gradua%C3%A7%C3%A3o%20executiva</t>
  </si>
  <si>
    <t>10–12 meses; 450 h; 60 ECTS</t>
  </si>
  <si>
    <t>Instituto Europeu de Estudos Superiores</t>
  </si>
  <si>
    <t>Fafe</t>
  </si>
  <si>
    <t>Acompanhamento de Crianças e Jovens</t>
  </si>
  <si>
    <t>Escola Superior de Educação de Fafe</t>
  </si>
  <si>
    <t>https://www.google.com/search?q=site%3Aiees.pt%20Acompanhamento%20de%20Crian%C3%A7as%20e%20Jovens%20CTeSP</t>
  </si>
  <si>
    <t>Animação em Turismo de Natureza e Aventura</t>
  </si>
  <si>
    <t>Escola Superior de Tecnologias de Fafe, IEES, Fafe; CTeSP registado como percurso geral em Animação em Turismo de Natureza e Aventura</t>
  </si>
  <si>
    <t>https://www.google.com/search?q=site%3Aiees.pt%20Anima%C3%A7%C3%A3o%20em%20Turismo%20de%20Natureza%20e%20Aventura%20CTeSP</t>
  </si>
  <si>
    <t>Comércio Internacional</t>
  </si>
  <si>
    <t>Escola Superior de Tecnologias de Fafe, IEES, Fafe</t>
  </si>
  <si>
    <t>https://www.google.com/search?q=site%3Aiees.pt%20Com%C3%A9rcio%20Internacional%20CTeSP</t>
  </si>
  <si>
    <t>https://www.google.com/search?q=site%3Aiees.pt%20Contabilidade%20e%20Gest%C3%A3o%20CTeSP</t>
  </si>
  <si>
    <t>Cozinha e Produção Alimentar</t>
  </si>
  <si>
    <t>Hotelaria e Restauração</t>
  </si>
  <si>
    <t>https://www.google.com/search?q=site%3Aiees.pt%20Cozinha%20e%20Produ%C3%A7%C3%A3o%20Alimentar%20CTeSP</t>
  </si>
  <si>
    <t>https://www.google.com/search?q=site%3Aiees.pt%20Desenvolvimento%20de%20Produtos%20Multim%C3%A9dia%20CTeSP</t>
  </si>
  <si>
    <t>Exercício Físico</t>
  </si>
  <si>
    <t>https://www.google.com/search?q=site%3Aiees.pt%20Exerc%C3%ADcio%20F%C3%ADsico%20CTeSP</t>
  </si>
  <si>
    <t>Gastronomia, Turismo e Bem-Estar</t>
  </si>
  <si>
    <t>https://www.google.com/search?q=site%3Aiees.pt%20Gastronomia%2C%20Turismo%20e%20Bem-Estar%20CTeSP</t>
  </si>
  <si>
    <t>Gestão Hoteleira e Alojamento</t>
  </si>
  <si>
    <t>https://www.google.com/search?q=site%3Aiees.pt%20Gest%C3%A3o%20Hoteleira%20e%20Alojamento%20CTeSP</t>
  </si>
  <si>
    <t>Gestão Operacional Hospitalar</t>
  </si>
  <si>
    <t>https://www.google.com/search?q=site%3Aiees.pt%20Gest%C3%A3o%20Operacional%20Hospitalar%20CTeSP</t>
  </si>
  <si>
    <t>Gestão de Unidades Desportivas e de Lazer</t>
  </si>
  <si>
    <t>https://www.google.com/search?q=site%3Aiees.pt%20Gest%C3%A3o%20de%20Unidades%20Desportivas%20e%20de%20Lazer%20CTeSP</t>
  </si>
  <si>
    <t>https://www.google.com/search?q=site%3Aiees.pt%20Interven%C3%A7%C3%A3o%20Social%20e%20Comunit%C3%A1ria%20CTeSP</t>
  </si>
  <si>
    <t>Lazer Desportivo</t>
  </si>
  <si>
    <t>https://www.google.com/search?q=site%3Aiees.pt%20Lazer%20Desportivo%20CTeSP</t>
  </si>
  <si>
    <t>Restauração e Inovação Alimentar</t>
  </si>
  <si>
    <t>https://www.google.com/search?q=site%3Aiees.pt%20Restaura%C3%A7%C3%A3o%20e%20Inova%C3%A7%C3%A3o%20Alimentar%20CTeSP</t>
  </si>
  <si>
    <t>https://www.google.com/search?q=site%3Aiees.pt%20Tecnologias%20e%20Programa%C3%A7%C3%A3o%20de%20Sistemas%20de%20Informa%C3%A7%C3%A3o%20CTeSP</t>
  </si>
  <si>
    <t>Treino Desportivo</t>
  </si>
  <si>
    <t>https://www.google.com/search?q=site%3Aiees.pt%20Treino%20Desportivo%20CTeSP</t>
  </si>
  <si>
    <t>Turismo de Saúde e Bem-Estar</t>
  </si>
  <si>
    <t>https://www.google.com/search?q=site%3Aiees.pt%20Turismo%20de%20Sa%C3%BAde%20e%20Bem-Estar%20CTeSP</t>
  </si>
  <si>
    <t>https://www.google.com/search?q=site%3Aiees.pt%20Desporto%20licenciatura</t>
  </si>
  <si>
    <t>https://www.google.com/search?q=site%3Aiees.pt%20Educa%C3%A7%C3%A3o%20B%C3%A1sica%20licenciatura</t>
  </si>
  <si>
    <t>https://www.google.com/search?q=site%3Aiees.pt%20Educa%C3%A7%C3%A3o%20Social%20licenciatura</t>
  </si>
  <si>
    <t>Escola Superior de Tecnologias de Fafe, Fafe</t>
  </si>
  <si>
    <t>https://www.google.com/search?q=site%3Aiees.pt%20Gest%C3%A3o%20licenciatura</t>
  </si>
  <si>
    <t>https://www.google.com/search?q=site%3Aiees.pt%20Gest%C3%A3o%20Hoteleira%20licenciatura</t>
  </si>
  <si>
    <t>Tecnologias e Gestão de Sistemas de Informação</t>
  </si>
  <si>
    <t>https://www.google.com/search?q=site%3Aiees.pt%20Tecnologias%20e%20Gest%C3%A3o%20de%20Sistemas%20de%20Informa%C3%A7%C3%A3o%20licenciatura</t>
  </si>
  <si>
    <t>Escola Superior de Tecnologias de Fafe, unidade orgânica do IEES, sede em Fafe</t>
  </si>
  <si>
    <t>https://www.google.com/search?q=site%3Aiees.pt%20Turismo%20licenciatura</t>
  </si>
  <si>
    <t>https://www.google.com/search?q=site%3Aiees.pt%20Educa%C3%A7%C3%A3o%20mestrado</t>
  </si>
  <si>
    <t>Educação (regime de ensino a distância)</t>
  </si>
  <si>
    <t>https://www.google.com/search?q=site%3Aiees.pt%20Educa%C3%A7%C3%A3o%20%28regime%20de%20ensino%20a%20dist%C3%A2ncia%29%20mestrado</t>
  </si>
  <si>
    <t>Educação Especial - domínio cognitivo e motor</t>
  </si>
  <si>
    <t>https://www.google.com/search?q=site%3Aiees.pt%20Educa%C3%A7%C3%A3o%20Especial%20-%20dom%C3%ADnio%20cognitivo%20e%20motor%20mestrado</t>
  </si>
  <si>
    <t>https://www.google.com/search?q=site%3Aiees.pt%20Educa%C3%A7%C3%A3o%20Pr%C3%A9-Escolar%20e%20Ensino%20do%201.%C2%BA%20Ciclo%20do%20Ensino%20B%C3%A1sico%20mestrado</t>
  </si>
  <si>
    <t>https://www.google.com/search?q=site%3Aiees.pt%20Ensino%20do%201.%C2%BA%20Ciclo%20do%20Ensino%20B%C3%A1sico%20e%20de%20Matem%C3%A1tica%20e%20Ci%C3%AAncias%20Naturais%20no%202.%C2%BA%20Ciclo%20do%20Ensino%20B%C3%A1sico%20mestrado</t>
  </si>
  <si>
    <t>https://www.google.com/search?q=site%3Aiees.pt%20Gest%C3%A3o%20mestrado</t>
  </si>
  <si>
    <t>Gestão da Inovação e Sustentabilidade (regime de ensino a distância)</t>
  </si>
  <si>
    <t>Escola Superior de Tecnologias de Fafe; mestrado em formato online, associado ao IEES</t>
  </si>
  <si>
    <t>https://www.google.com/search?q=site%3Aiees.pt%20Gest%C3%A3o%20da%20Inova%C3%A7%C3%A3o%20e%20Sustentabilidade%20%28regime%20de%20ensino%20a%20dist%C3%A2ncia%29%20mestrado</t>
  </si>
  <si>
    <t>Intervenção Sociopedagógica</t>
  </si>
  <si>
    <t>https://www.google.com/search?q=site%3Aiees.pt%20Interven%C3%A7%C3%A3o%20Sociopedag%C3%B3gica%20mestrado</t>
  </si>
  <si>
    <t>Tecnologias e Gestão de Sistemas de Informação (regime de ensino a distância)</t>
  </si>
  <si>
    <t>Escola Superior de Tecnologias de Fafe; mestrado oferecido em modalidade totalmente a distância (online)</t>
  </si>
  <si>
    <t>https://www.google.com/search?q=site%3Aiees.pt%20Tecnologias%20e%20Gest%C3%A3o%20de%20Sistemas%20de%20Informa%C3%A7%C3%A3o%20%28regime%20de%20ensino%20a%20dist%C3%A2ncia%29%20mestrado</t>
  </si>
  <si>
    <t>Treino Desportivo para Crianças e Jovens</t>
  </si>
  <si>
    <t>https://www.google.com/search?q=site%3Aiees.pt%20Treino%20Desportivo%20para%20Crian%C3%A7as%20e%20Jovens%20mestrado</t>
  </si>
  <si>
    <t>Turismo, Inovação e Empreendedorismo</t>
  </si>
  <si>
    <t>Escola Superior de Tecnologias de Fafe, unidade do Instituto Europeu de Estudos Superiores (IEES), Fafe</t>
  </si>
  <si>
    <t>https://www.google.com/search?q=site%3Aiees.pt%20Turismo%2C%20Inova%C3%A7%C3%A3o%20e%20Empreendedorismo%20mestrado</t>
  </si>
  <si>
    <t>Business Analytics and Data Science</t>
  </si>
  <si>
    <t>IEES – Ensino Online</t>
  </si>
  <si>
    <t>https://www.google.com/search?q=site%3Aiees.pt%20Business%20Analytics%20and%20Data%20Science%20p%C3%B3s-gradua%C3%A7%C3%A3o</t>
  </si>
  <si>
    <t>Duração não explicitada na síntese pública; tipicamente 1 ano letivo; ECTS não indicados</t>
  </si>
  <si>
    <t>Enoturismo</t>
  </si>
  <si>
    <t>https://www.google.com/search?q=site%3Aiees.pt%20Enoturismo%20p%C3%B3s-gradua%C3%A7%C3%A3o</t>
  </si>
  <si>
    <t>Python e Ciência de Dados</t>
  </si>
  <si>
    <t>https://www.google.com/search?q=site%3Aiees.pt%20Python%20e%20Ci%C3%AAncia%20de%20Dados%20p%C3%B3s-gradua%C3%A7%C3%A3o</t>
  </si>
  <si>
    <t>Duração não indicada; curso de especialização avançada; ECTS não indicados</t>
  </si>
  <si>
    <t>Webdev Mastery: Web Developer</t>
  </si>
  <si>
    <t>https://www.google.com/search?q=site%3Aiees.pt%20Webdev%20Mastery%3A%20Web%20Developer%20p%C3%B3s-gradua%C3%A7%C3%A3o</t>
  </si>
  <si>
    <t>Instituto Politécnico da Guarda</t>
  </si>
  <si>
    <t>Guarda</t>
  </si>
  <si>
    <t>Escola Superior de Educação, Comunicação e Desporto (ESECD‑IPG), Av. Dr. Francisco Sá Carneiro, 50, 6300‑559 Guarda</t>
  </si>
  <si>
    <t>https://www.google.com/search?q=site%3Aipg.pt%20Acompanhamento%20de%20Crian%C3%A7as%20e%20Jovens%20CTeSP</t>
  </si>
  <si>
    <t>Agricultura e Floresta Digitais</t>
  </si>
  <si>
    <t>Produção Agrícola e Animal</t>
  </si>
  <si>
    <t>Escola Superior de Tecnologia e Gestão (ESTG‑IPG), Av. Dr. Francisco Sá Carneiro, 50, 6300‑559 Guarda</t>
  </si>
  <si>
    <t>https://www.google.com/search?q=site%3Aipg.pt%20Agricultura%20e%20Floresta%20Digitais%20CTeSP</t>
  </si>
  <si>
    <t>Escola Superior de Saúde (ESS‑IPG), Rua da Cadeia, 6300‑307 Guarda</t>
  </si>
  <si>
    <t>https://www.google.com/search?q=site%3Aipg.pt%20Alimenta%C3%A7%C3%A3o%20Saud%C3%A1vel%20CTeSP</t>
  </si>
  <si>
    <t>Seia</t>
  </si>
  <si>
    <t>Animação Turística e do Património Cultural e Natural</t>
  </si>
  <si>
    <t>Escola Superior de Turismo e Hotelaria (ESTH‑IPG), Rua Dr. José António Fernandes Camelo, Arrifana, 6270‑372 Seia</t>
  </si>
  <si>
    <t>https://www.google.com/search?q=site%3Aipg.pt%20Anima%C3%A7%C3%A3o%20Tur%C3%ADstica%20e%20do%20Patrim%C3%B3nio%20Cultural%20e%20Natural%20CTeSP</t>
  </si>
  <si>
    <t>Análise de Dados</t>
  </si>
  <si>
    <t>ESTG‑IPG, Av. Dr. Francisco Sá Carneiro, 50, Guarda</t>
  </si>
  <si>
    <t>https://www.google.com/search?q=site%3Aipg.pt%20An%C3%A1lise%20de%20Dados%20CTeSP</t>
  </si>
  <si>
    <t>https://www.google.com/search?q=site%3Aipg.pt%20An%C3%A1lises%20Laboratoriais%20CTeSP</t>
  </si>
  <si>
    <t>Automação Industrial</t>
  </si>
  <si>
    <t>https://www.google.com/search?q=site%3Aipg.pt%20Automa%C3%A7%C3%A3o%20Industrial%20CTeSP</t>
  </si>
  <si>
    <t>Cadastro Predial</t>
  </si>
  <si>
    <t>https://www.google.com/search?q=site%3Aipg.pt%20Cadastro%20Predial%20CTeSP</t>
  </si>
  <si>
    <t>https://www.google.com/search?q=site%3Aipg.pt%20Ciberseguran%C3%A7a%20CTeSP</t>
  </si>
  <si>
    <t>ESECD‑IPG, Av. Dr. Francisco Sá Carneiro, 50, Guarda</t>
  </si>
  <si>
    <t>https://www.google.com/search?q=site%3Aipg.pt%20Comunica%C3%A7%C3%A3o%20Digital%20CTeSP</t>
  </si>
  <si>
    <t>Comunicação, Protocolo e Organização de Eventos</t>
  </si>
  <si>
    <t>https://www.google.com/search?q=site%3Aipg.pt%20Comunica%C3%A7%C3%A3o%2C%20Protocolo%20e%20Organiza%C3%A7%C3%A3o%20de%20Eventos%20CTeSP</t>
  </si>
  <si>
    <t>Construção Sustentável</t>
  </si>
  <si>
    <t>https://www.google.com/search?q=site%3Aipg.pt%20Constru%C3%A7%C3%A3o%20Sustent%C3%A1vel%20CTeSP</t>
  </si>
  <si>
    <t>https://www.google.com/search?q=site%3Aipg.pt%20Contabilidade%20e%20Fiscalidade%20CTeSP</t>
  </si>
  <si>
    <t>ESTH‑IPG, Seia (e também polo em S. João da Pesqueira)</t>
  </si>
  <si>
    <t>https://www.google.com/search?q=site%3Aipg.pt%20Cozinha%20e%20Produ%C3%A7%C3%A3o%20Alimentar%20CTeSP</t>
  </si>
  <si>
    <t>Desenvolvimento de Aplicações Informáticas</t>
  </si>
  <si>
    <t>https://www.google.com/search?q=site%3Aipg.pt%20Desenvolvimento%20de%20Aplica%C3%A7%C3%B5es%20Inform%C3%A1ticas%20CTeSP</t>
  </si>
  <si>
    <t>Design e Fabrico Digital</t>
  </si>
  <si>
    <t>https://www.google.com/search?q=site%3Aipg.pt%20Design%20e%20Fabrico%20Digital%20CTeSP</t>
  </si>
  <si>
    <t>Desportos de Montanha</t>
  </si>
  <si>
    <t>https://www.google.com/search?q=site%3Aipg.pt%20Desportos%20de%20Montanha%20CTeSP</t>
  </si>
  <si>
    <t>Educação de Adultos</t>
  </si>
  <si>
    <t>https://www.google.com/search?q=site%3Aipg.pt%20Educa%C3%A7%C3%A3o%20de%20Adultos%20CTeSP</t>
  </si>
  <si>
    <t>Educação e Tecnologias da Informação e Comunicação</t>
  </si>
  <si>
    <t>https://www.google.com/search?q=site%3Aipg.pt%20Educa%C3%A7%C3%A3o%20e%20Tecnologias%20da%20Informa%C3%A7%C3%A3o%20e%20Comunica%C3%A7%C3%A3o%20CTeSP</t>
  </si>
  <si>
    <t>Energias Renováveis e Eficiência Energética</t>
  </si>
  <si>
    <t>https://www.google.com/search?q=site%3Aipg.pt%20Energias%20Renov%C3%A1veis%20e%20Efici%C3%AAncia%20Energ%C3%A9tica%20CTeSP</t>
  </si>
  <si>
    <t>Enogastronomia</t>
  </si>
  <si>
    <t>ESTH‑IPG, Rua Dr. José António Fernandes Camelo, Seia</t>
  </si>
  <si>
    <t>https://www.google.com/search?q=site%3Aipg.pt%20Enogastronomia%20CTeSP</t>
  </si>
  <si>
    <t>https://www.google.com/search?q=site%3Aipg.pt%20Gerontologia%20CTeSP</t>
  </si>
  <si>
    <t>Gestão Administrativa em Saúde</t>
  </si>
  <si>
    <t>https://www.google.com/search?q=site%3Aipg.pt%20Gest%C3%A3o%20Administrativa%20em%20Sa%C3%BAde%20CTeSP</t>
  </si>
  <si>
    <t>Gestão de Alojamentos Turísticos</t>
  </si>
  <si>
    <t>ESTH‑IPG, Seia</t>
  </si>
  <si>
    <t>https://www.google.com/search?q=site%3Aipg.pt%20Gest%C3%A3o%20de%20Alojamentos%20Tur%C3%ADsticos%20CTeSP</t>
  </si>
  <si>
    <t>Gestão de Informação Geoespacial</t>
  </si>
  <si>
    <t>Tecnologias de Informação Geográfica</t>
  </si>
  <si>
    <t>https://www.google.com/search?q=site%3Aipg.pt%20Gest%C3%A3o%20de%20Informa%C3%A7%C3%A3o%20Geoespacial%20CTeSP</t>
  </si>
  <si>
    <t>Gestão de Restauração e Bebidas</t>
  </si>
  <si>
    <t>https://www.google.com/search?q=site%3Aipg.pt%20Gest%C3%A3o%20de%20Restaura%C3%A7%C3%A3o%20e%20Bebidas%20CTeSP</t>
  </si>
  <si>
    <t>Gestão e Comércio Internacional</t>
  </si>
  <si>
    <t>https://www.google.com/search?q=site%3Aipg.pt%20Gest%C3%A3o%20e%20Com%C3%A9rcio%20Internacional%20CTeSP</t>
  </si>
  <si>
    <t>Gestão e Inovação de Produtos Endógenos</t>
  </si>
  <si>
    <t>https://www.google.com/search?q=site%3Aipg.pt%20Gest%C3%A3o%20e%20Inova%C3%A7%C3%A3o%20de%20Produtos%20End%C3%B3genos%20CTeSP</t>
  </si>
  <si>
    <t>Gestão e Marketing de Produtos Turísticos</t>
  </si>
  <si>
    <t>https://www.google.com/search?q=site%3Aipg.pt%20Gest%C3%A3o%20e%20Marketing%20de%20Produtos%20Tur%C3%ADsticos%20CTeSP</t>
  </si>
  <si>
    <t>Guias de Natureza</t>
  </si>
  <si>
    <t>https://www.google.com/search?q=site%3Aipg.pt%20Guias%20de%20Natureza%20CTeSP</t>
  </si>
  <si>
    <t>Indústria Automóvel</t>
  </si>
  <si>
    <t>https://www.google.com/search?q=site%3Aipg.pt%20Ind%C3%BAstria%20Autom%C3%B3vel%20CTeSP</t>
  </si>
  <si>
    <t>Infraestruturas de Cloud, Redes e Data Center</t>
  </si>
  <si>
    <t>https://www.google.com/search?q=site%3Aipg.pt%20Infraestruturas%20de%20Cloud%2C%20Redes%20e%20Data%20Center%20CTeSP</t>
  </si>
  <si>
    <t>Logística</t>
  </si>
  <si>
    <t>https://www.google.com/search?q=site%3Aipg.pt%20Log%C3%ADstica%20CTeSP</t>
  </si>
  <si>
    <t>Manutenção e Reparação Automóvel</t>
  </si>
  <si>
    <t>https://www.google.com/search?q=site%3Aipg.pt%20Manuten%C3%A7%C3%A3o%20e%20Repara%C3%A7%C3%A3o%20Autom%C3%B3vel%20CTeSP</t>
  </si>
  <si>
    <t>Metalomecânica e Fabrico Computorizado</t>
  </si>
  <si>
    <t>https://www.google.com/search?q=site%3Aipg.pt%20Metalomec%C3%A2nica%20e%20Fabrico%20Computorizado%20CTeSP</t>
  </si>
  <si>
    <t>Multimédia e Artes Performativas</t>
  </si>
  <si>
    <t>https://www.google.com/search?q=site%3Aipg.pt%20Multim%C3%A9dia%20e%20Artes%20Performativas%20CTeSP</t>
  </si>
  <si>
    <t>Produção Audiovisual</t>
  </si>
  <si>
    <t>https://www.google.com/search?q=site%3Aipg.pt%20Produ%C3%A7%C3%A3o%20Audiovisual%20CTeSP</t>
  </si>
  <si>
    <t>Reabilitação Energética e Conservação de Edifícios</t>
  </si>
  <si>
    <t>https://www.google.com/search?q=site%3Aipg.pt%20Reabilita%C3%A7%C3%A3o%20Energ%C3%A9tica%20e%20Conserva%C3%A7%C3%A3o%20de%20Edif%C3%ADcios%20CTeSP</t>
  </si>
  <si>
    <t>Relações Interculturais e Intervenção Social</t>
  </si>
  <si>
    <t>https://www.google.com/search?q=site%3Aipg.pt%20Rela%C3%A7%C3%B5es%20Interculturais%20e%20Interven%C3%A7%C3%A3o%20Social%20CTeSP</t>
  </si>
  <si>
    <t>Relações Públicas para o Turismo</t>
  </si>
  <si>
    <t>https://www.google.com/search?q=site%3Aipg.pt%20Rela%C3%A7%C3%B5es%20P%C3%BAblicas%20para%20o%20Turismo%20CTeSP</t>
  </si>
  <si>
    <t>Repórter de Som e Imagem</t>
  </si>
  <si>
    <t>https://www.google.com/search?q=site%3Aipg.pt%20Rep%C3%B3rter%20de%20Som%20e%20Imagem%20CTeSP</t>
  </si>
  <si>
    <t>https://www.google.com/search?q=site%3Aipg.pt%20Riscos%20e%20Prote%C3%A7%C3%A3o%20Civil%20CTeSP</t>
  </si>
  <si>
    <t>Testes de Software</t>
  </si>
  <si>
    <t>https://www.google.com/search?q=site%3Aipg.pt%20Testes%20de%20Software%20CTeSP</t>
  </si>
  <si>
    <t>https://www.google.com/search?q=site%3Aipg.pt%20Treino%20Desportivo%20CTeSP</t>
  </si>
  <si>
    <t>Turismo de Saúde e Bem‑Estar</t>
  </si>
  <si>
    <t>https://www.google.com/search?q=site%3Aipg.pt%20Turismo%20de%20Sa%C3%BAde%20e%20Bem%E2%80%91Estar%20CTeSP</t>
  </si>
  <si>
    <t>Escola Superior de Educação, Comunicação e Desporto (ESECD‑IPG), Avenida Dr. Francisco Sá Carneiro, 50, 6300‑559 Guarda</t>
  </si>
  <si>
    <t>https://www.google.com/search?q=site%3Aipg.pt%20Anima%C3%A7%C3%A3o%20Sociocultural%20licenciatura</t>
  </si>
  <si>
    <t>Biotecnologia Medicinal</t>
  </si>
  <si>
    <t>https://www.google.com/search?q=site%3Aipg.pt%20Biotecnologia%20Medicinal%20licenciatura</t>
  </si>
  <si>
    <t>Ciência de Dados e Inteligência Artificial</t>
  </si>
  <si>
    <t>Escola Superior de Tecnologia e Gestão (ESTG‑IPG), Avenida Dr. Francisco Sá Carneiro, 50, 6300‑559 Guarda</t>
  </si>
  <si>
    <t>https://www.google.com/search?q=site%3Aipg.pt%20Ci%C3%AAncia%20de%20Dados%20e%20Intelig%C3%AAncia%20Artificial%20licenciatura</t>
  </si>
  <si>
    <t>ESS‑IPG, Rua da Cadeia, 6300‑307 Guarda</t>
  </si>
  <si>
    <t>https://www.google.com/search?q=site%3Aipg.pt%20Ci%C3%AAncias%20Biom%C3%A9dicas%20Laboratoriais%20licenciatura</t>
  </si>
  <si>
    <t>Comunicação Multimédia</t>
  </si>
  <si>
    <t>https://www.google.com/search?q=site%3Aipg.pt%20Comunica%C3%A7%C3%A3o%20Multim%C3%A9dia%20licenciatura</t>
  </si>
  <si>
    <t>Comunicação e Relações Públicas</t>
  </si>
  <si>
    <t>https://www.google.com/search?q=site%3Aipg.pt%20Comunica%C3%A7%C3%A3o%20e%20Rela%C3%A7%C3%B5es%20P%C3%BAblicas%20licenciatura</t>
  </si>
  <si>
    <t>Contabilidade</t>
  </si>
  <si>
    <t>https://www.google.com/search?q=site%3Aipg.pt%20Contabilidade%20licenciatura</t>
  </si>
  <si>
    <t>Design de Equipamento e Ambientes</t>
  </si>
  <si>
    <t>https://www.google.com/search?q=site%3Aipg.pt%20Design%20de%20Equipamento%20e%20Ambientes%20licenciatura</t>
  </si>
  <si>
    <t>https://www.google.com/search?q=site%3Aipg.pt%20Desporto%20licenciatura</t>
  </si>
  <si>
    <t>Desporto, Condição Física e Saúde</t>
  </si>
  <si>
    <t>https://www.google.com/search?q=site%3Aipg.pt%20Desporto%2C%20Condi%C3%A7%C3%A3o%20F%C3%ADsica%20e%20Sa%C3%BAde%20licenciatura</t>
  </si>
  <si>
    <t>https://www.google.com/search?q=site%3Aipg.pt%20Educa%C3%A7%C3%A3o%20B%C3%A1sica%20licenciatura</t>
  </si>
  <si>
    <t>Educação Social Gerontológica</t>
  </si>
  <si>
    <t>https://www.google.com/search?q=site%3Aipg.pt%20Educa%C3%A7%C3%A3o%20Social%20Gerontol%C3%B3gica%20licenciatura</t>
  </si>
  <si>
    <t>Energia e Ambiente</t>
  </si>
  <si>
    <t>https://www.google.com/search?q=site%3Aipg.pt%20Energia%20e%20Ambiente%20licenciatura</t>
  </si>
  <si>
    <t>https://www.google.com/search?q=site%3Aipg.pt%20Enfermagem%20licenciatura</t>
  </si>
  <si>
    <t>https://www.google.com/search?q=site%3Aipg.pt%20Engenharia%20Civil%20licenciatura</t>
  </si>
  <si>
    <t>https://www.google.com/search?q=site%3Aipg.pt%20Engenharia%20Inform%C3%A1tica%20licenciatura</t>
  </si>
  <si>
    <t>Engenharia Topográfica</t>
  </si>
  <si>
    <t>https://www.google.com/search?q=site%3Aipg.pt%20Engenharia%20Topogr%C3%A1fica%20licenciatura</t>
  </si>
  <si>
    <t>https://www.google.com/search?q=site%3Aipg.pt%20Farm%C3%A1cia%20licenciatura</t>
  </si>
  <si>
    <t>Gastronomia e Restauração</t>
  </si>
  <si>
    <t>https://www.google.com/search?q=site%3Aipg.pt%20Gastronomia%20e%20Restaura%C3%A7%C3%A3o%20licenciatura</t>
  </si>
  <si>
    <t>https://www.google.com/search?q=site%3Aipg.pt%20Gest%C3%A3o%20licenciatura</t>
  </si>
  <si>
    <t>ESTH‑IPG, Rua Dr. José António Fernandes Camelo, Arrifana, Seia</t>
  </si>
  <si>
    <t>https://www.google.com/search?q=site%3Aipg.pt%20Gest%C3%A3o%20Hoteleira%20licenciatura</t>
  </si>
  <si>
    <t>https://www.google.com/search?q=site%3Aipg.pt%20Gest%C3%A3o%20de%20Recursos%20Humanos%20licenciatura</t>
  </si>
  <si>
    <t>Gestão do Turismo e da Hospitalidade</t>
  </si>
  <si>
    <t>https://www.google.com/search?q=site%3Aipg.pt%20Gest%C3%A3o%20do%20Turismo%20e%20da%20Hospitalidade%20licenciatura</t>
  </si>
  <si>
    <t>Marketing</t>
  </si>
  <si>
    <t>https://www.google.com/search?q=site%3Aipg.pt%20Marketing%20licenciatura</t>
  </si>
  <si>
    <t>Marketing e Inovação no Turismo</t>
  </si>
  <si>
    <t>https://www.google.com/search?q=site%3Aipg.pt%20Marketing%20e%20Inova%C3%A7%C3%A3o%20no%20Turismo%20licenciatura</t>
  </si>
  <si>
    <t>Mecânica e Informática Industrial</t>
  </si>
  <si>
    <t>https://www.google.com/search?q=site%3Aipg.pt%20Mec%C3%A2nica%20e%20Inform%C3%A1tica%20Industrial%20licenciatura</t>
  </si>
  <si>
    <t>https://www.google.com/search?q=site%3Aipg.pt%20Turismo%20e%20Lazer%20licenciatura</t>
  </si>
  <si>
    <t>Biotecnologia Medicinal e Farmacêutica</t>
  </si>
  <si>
    <t>https://www.google.com/search?q=site%3Aipg.pt%20Biotecnologia%20Medicinal%20e%20Farmac%C3%AAutica%20mestrado</t>
  </si>
  <si>
    <t>https://www.google.com/search?q=site%3Aipg.pt%20Ciberseguran%C3%A7a%20mestrado</t>
  </si>
  <si>
    <t>Bragança</t>
  </si>
  <si>
    <t>Ciências Aplicadas à Saúde – áreas de especialização de Intervenção Comunitária e de Biotecnologia</t>
  </si>
  <si>
    <t>ESSa‑IPB, em associação com a Escola Superior de Saúde da Guarda (IPG)</t>
  </si>
  <si>
    <t>https://www.google.com/search?q=site%3Aipg.pt%20Ci%C3%AAncias%20Aplicadas%20%C3%A0%20Sa%C3%BAde%20%E2%80%93%20%C3%A1reas%20de%20especializa%C3%A7%C3%A3o%20de%20Interven%C3%A7%C3%A3o%20Comunit%C3%A1ria%20e%20de%20Biotecnologia%20mestrado</t>
  </si>
  <si>
    <t>Ciências do Desporto</t>
  </si>
  <si>
    <t>https://www.google.com/search?q=site%3Aipg.pt%20Ci%C3%AAncias%20do%20Desporto%20mestrado</t>
  </si>
  <si>
    <t>Computação Móvel</t>
  </si>
  <si>
    <t>https://www.google.com/search?q=site%3Aipg.pt%20Computa%C3%A7%C3%A3o%20M%C3%B3vel%20mestrado</t>
  </si>
  <si>
    <t>Construções Civis</t>
  </si>
  <si>
    <t>https://www.google.com/search?q=site%3Aipg.pt%20Constru%C3%A7%C3%B5es%20Civis%20mestrado</t>
  </si>
  <si>
    <t>Design de Interiores e Produto</t>
  </si>
  <si>
    <t>https://www.google.com/search?q=site%3Aipg.pt%20Design%20de%20Interiores%20e%20Produto%20mestrado</t>
  </si>
  <si>
    <t>https://www.google.com/search?q=site%3Aipg.pt%20Educa%C3%A7%C3%A3o%20Pr%C3%A9%E2%80%91Escolar%20e%20Ensino%20do%201.%C2%BA%20Ciclo%20do%20Ensino%20B%C3%A1sico%20mestrado</t>
  </si>
  <si>
    <t>ESS‑IPG, Rua da Cadeia, Guarda</t>
  </si>
  <si>
    <t>https://www.google.com/search?q=site%3Aipg.pt%20Enfermagem%20Comunit%C3%A1ria%20mestrado</t>
  </si>
  <si>
    <t>https://www.google.com/search?q=site%3Aipg.pt%20Enfermagem%20de%20Sa%C3%BAde%20Infantil%20e%20Pedi%C3%A1trica%20mestrado</t>
  </si>
  <si>
    <t>Formação de Professores de Línguas Estrangeiras</t>
  </si>
  <si>
    <t>https://www.google.com/search?q=site%3Aipg.pt%20Ensino%20de%20Ingl%C3%AAs%20no%201.%C2%BA%20Ciclo%20do%20Ensino%20B%C3%A1sico%20mestrado</t>
  </si>
  <si>
    <t>Formação de Professores do Ensino Básico (1.º e 2.º ciclos)</t>
  </si>
  <si>
    <t>https://www.google.com/search?q=site%3Aipg.pt%20Ensino%20do%201.%C2%BA%20Ciclo%20do%20Ensino%20B%C3%A1sico%20e%20de%20Matem%C3%A1tica%20e%20Ci%C3%AAncias%20Naturais%20no%202.%C2%BA%20Ciclo%20do%20Ensino%20B%C3%A1sico%20mestrado</t>
  </si>
  <si>
    <t>https://www.google.com/search?q=site%3Aipg.pt%20Ensino%20do%201.%C2%BA%20Ciclo%20do%20Ensino%20B%C3%A1sico%20e%20de%20Portugu%C3%AAs%20e%20Hist%C3%B3ria%20e%20Geografia%20de%20Portugal%20no%202.%C2%BA%20Ciclo%20do%20Ensino%20B%C3%A1sico%20mestrado</t>
  </si>
  <si>
    <t>https://www.google.com/search?q=site%3Aipg.pt%20Gest%C3%A3o%20mestrado</t>
  </si>
  <si>
    <t>Gestão Industrial</t>
  </si>
  <si>
    <t>https://www.google.com/search?q=site%3Aipg.pt%20Gest%C3%A3o%20Industrial%20mestrado</t>
  </si>
  <si>
    <t>Gestão e Avaliação de Tecnologias em Saúde</t>
  </si>
  <si>
    <t>Mestrado em associação ESS‑UAlg + ESTeSL (aulas em videoconferência sexta/sábado)</t>
  </si>
  <si>
    <t>https://www.google.com/search?q=site%3Aipg.pt%20Gest%C3%A3o%20e%20Avalia%C3%A7%C3%A3o%20de%20Tecnologias%20em%20Sa%C3%BAde%20mestrado</t>
  </si>
  <si>
    <t>Gestão e Sustentabilidade no Turismo</t>
  </si>
  <si>
    <t>https://www.google.com/search?q=site%3Aipg.pt%20Gest%C3%A3o%20e%20Sustentabilidade%20no%20Turismo%20mestrado</t>
  </si>
  <si>
    <t>Marketing e Comunicação</t>
  </si>
  <si>
    <t>https://www.google.com/search?q=site%3Aipg.pt%20Marketing%20e%20Comunica%C3%A7%C3%A3o%20mestrado</t>
  </si>
  <si>
    <t>Sistemas Integrados de Gestão (Ambiente, Qualidade, Segurança e Responsabilidade Social)</t>
  </si>
  <si>
    <t>https://www.google.com/search?q=site%3Aipg.pt%20Sistemas%20Integrados%20de%20Gest%C3%A3o%20%28Ambiente%2C%20Qualidade%2C%20Seguran%C3%A7a%20e%20Responsabilidade%20Social%29%20mestrado</t>
  </si>
  <si>
    <t>https://www.google.com/search?q=site%3Aipg.pt%20Sistemas%20de%20Informa%C3%A7%C3%A3o%20Geogr%C3%A1fica%20mestrado</t>
  </si>
  <si>
    <t>Tecnologia Industrial e Inovação</t>
  </si>
  <si>
    <t>https://www.google.com/search?q=site%3Aipg.pt%20Tecnologia%20Industrial%20e%20Inova%C3%A7%C3%A3o%20mestrado</t>
  </si>
  <si>
    <t>Tecnologias para a Logística</t>
  </si>
  <si>
    <t>https://www.google.com/search?q=site%3Aipg.pt%20Tecnologias%20para%20a%20Log%C3%ADstica%20mestrado</t>
  </si>
  <si>
    <t>Turismo e Tecnologias de Informação e Comunicação</t>
  </si>
  <si>
    <t>https://www.google.com/search?q=site%3Aipg.pt%20Turismo%20e%20Tecnologias%20de%20Informa%C3%A7%C3%A3o%20e%20Comunica%C3%A7%C3%A3o%20mestrado</t>
  </si>
  <si>
    <t>Politécnico da Guarda</t>
  </si>
  <si>
    <t>https://www.google.com/search?q=site%3Aipg.pt%20T%C3%A9cnico%20Superior%20de%20Seguran%C3%A7a%20no%20Trabalho%20p%C3%B3s-gradua%C3%A7%C3%A3o</t>
  </si>
  <si>
    <t>Variável (consultar instituição)</t>
  </si>
  <si>
    <t>Cadastro Predial – Tipologia A</t>
  </si>
  <si>
    <t>https://www.google.com/search?q=site%3Aipg.pt%20Cadastro%20Predial%20%E2%80%93%20Tipologia%20A%20p%C3%B3s-gradua%C3%A7%C3%A3o%20executiva</t>
  </si>
  <si>
    <t>Cadastro Predial – Tipologia B</t>
  </si>
  <si>
    <t>https://www.google.com/search?q=site%3Aipg.pt%20Cadastro%20Predial%20%E2%80%93%20Tipologia%20B%20p%C3%B3s-gradua%C3%A7%C3%A3o%20executiva</t>
  </si>
  <si>
    <t>Cadastro Predial – Tipologia C</t>
  </si>
  <si>
    <t>https://www.google.com/search?q=site%3Aipg.pt%20Cadastro%20Predial%20%E2%80%93%20Tipologia%20C%20p%C3%B3s-gradua%C3%A7%C3%A3o%20executiva</t>
  </si>
  <si>
    <t>Cadastro Predial – Tipologia D</t>
  </si>
  <si>
    <t>https://www.google.com/search?q=site%3Aipg.pt%20Cadastro%20Predial%20%E2%80%93%20Tipologia%20D%20p%C3%B3s-gradua%C3%A7%C3%A3o%20executiva</t>
  </si>
  <si>
    <t>Cadastro Predial – Tipologia E</t>
  </si>
  <si>
    <t>https://www.google.com/search?q=site%3Aipg.pt%20Cadastro%20Predial%20%E2%80%93%20Tipologia%20E%20p%C3%B3s-gradua%C3%A7%C3%A3o%20executiva</t>
  </si>
  <si>
    <t>https://www.google.com/search?q=site%3Aipg.pt%20Design%20p%C3%B3s-gradua%C3%A7%C3%A3o%20executiva</t>
  </si>
  <si>
    <t>Inovação e Propriedade Intelectual</t>
  </si>
  <si>
    <t>https://www.google.com/search?q=site%3Aipg.pt%20Inova%C3%A7%C3%A3o%20e%20Propriedade%20Intelectual%20p%C3%B3s-gradua%C3%A7%C3%A3o%20executiva</t>
  </si>
  <si>
    <t>Instituto Politécnico da Lusofonia</t>
  </si>
  <si>
    <t>ESEL – Escola Superior de Educação da Lusofonia, Rua do Telhal aos Olivais 8–8A, 1950‑396 Lisboa (campus IPLUSO)</t>
  </si>
  <si>
    <t>https://www.google.com/search?q=site%3Aipluso.pt%20Acompanhamento%20de%20Crian%C3%A7as%20e%20Jovens%20CTeSP</t>
  </si>
  <si>
    <t>Aplicações Informáticas para Ciências de Dados</t>
  </si>
  <si>
    <t>EET – Escola Superior de Engenharia e Tecnologias, Rua do Telhal aos Olivais 8–8A, 1950‑396 Lisboa (campus IPLUSO)</t>
  </si>
  <si>
    <t>https://www.google.com/search?q=site%3Aipluso.pt%20Aplica%C3%A7%C3%B5es%20Inform%C3%A1ticas%20para%20Ci%C3%AAncias%20de%20Dados%20CTeSP</t>
  </si>
  <si>
    <t>Assessoria em Administração e Gestão Pública</t>
  </si>
  <si>
    <t>ESCAD – Escola Superior de Ciências da Administração – IPLUSO</t>
  </si>
  <si>
    <t>https://www.google.com/search?q=site%3Aipluso.pt%20Assessoria%20em%20Administra%C3%A7%C3%A3o%20e%20Gest%C3%A3o%20P%C3%BAblica%20CTeSP</t>
  </si>
  <si>
    <t>Automação e Robótica</t>
  </si>
  <si>
    <t>https://www.google.com/search?q=site%3Aipluso.pt%20Automa%C3%A7%C3%A3o%20e%20Rob%C3%B3tica%20CTeSP</t>
  </si>
  <si>
    <t>Escola Superior de Saúde Ribeiro Sanches (ERISA) – IPLUSO</t>
  </si>
  <si>
    <t>https://www.google.com/search?q=site%3Aipluso.pt%20Bioan%C3%A1lises%20e%20Controlo%20CTeSP</t>
  </si>
  <si>
    <t>https://www.google.com/search?q=site%3Aipluso.pt%20Ciberseguran%C3%A7a%20CTeSP</t>
  </si>
  <si>
    <t>https://www.google.com/search?q=site%3Aipluso.pt%20Contabilidade%20e%20Gest%C3%A3o%20CTeSP</t>
  </si>
  <si>
    <t>Controlo de Drones e Sistemas Autónomos</t>
  </si>
  <si>
    <t>https://www.google.com/search?q=site%3Aipluso.pt%20Controlo%20de%20Drones%20e%20Sistemas%20Aut%C3%B3nomos%20CTeSP</t>
  </si>
  <si>
    <t>Desenvolvimento de Sistemas para Internet das Coisas</t>
  </si>
  <si>
    <t>https://www.google.com/search?q=site%3Aipluso.pt%20Desenvolvimento%20de%20Sistemas%20para%20Internet%20das%20Coisas%20CTeSP</t>
  </si>
  <si>
    <t>Desenvolvimento para a Web e Dispositivos Móveis</t>
  </si>
  <si>
    <t>https://www.google.com/search?q=site%3Aipluso.pt%20Desenvolvimento%20para%20a%20Web%20e%20Dispositivos%20M%C3%B3veis%20CTeSP</t>
  </si>
  <si>
    <t>https://www.google.com/search?q=site%3Aipluso.pt%20Gest%C3%A3o%20Administrativa%20de%20Recursos%20Humanos%20CTeSP</t>
  </si>
  <si>
    <t>Gestão Comercial e Vendas</t>
  </si>
  <si>
    <t>https://www.google.com/search?q=site%3Aipluso.pt%20Gest%C3%A3o%20Comercial%20e%20Vendas%20CTeSP</t>
  </si>
  <si>
    <t>Gestão de Hotelaria e Restauração</t>
  </si>
  <si>
    <t>https://www.google.com/search?q=site%3Aipluso.pt%20Gest%C3%A3o%20de%20Hotelaria%20e%20Restaura%C3%A7%C3%A3o%20CTeSP</t>
  </si>
  <si>
    <t>https://www.google.com/search?q=site%3Aipluso.pt%20Gest%C3%A3o%20de%20Marketing%20CTeSP</t>
  </si>
  <si>
    <t>Gestão de Negócios e Comércio Eletrónico</t>
  </si>
  <si>
    <t>https://www.google.com/search?q=site%3Aipluso.pt%20Gest%C3%A3o%20de%20Neg%C3%B3cios%20e%20Com%C3%A9rcio%20Eletr%C3%B3nico%20CTeSP</t>
  </si>
  <si>
    <t>Gestão de Sistemas de Informação</t>
  </si>
  <si>
    <t>https://www.google.com/search?q=site%3Aipluso.pt%20Gest%C3%A3o%20de%20Sistemas%20de%20Informa%C3%A7%C3%A3o%20CTeSP</t>
  </si>
  <si>
    <t>Instalações Elétricas e Automação</t>
  </si>
  <si>
    <t>https://www.google.com/search?q=site%3Aipluso.pt%20Instala%C3%A7%C3%B5es%20El%C3%A9tricas%20e%20Automa%C3%A7%C3%A3o%20CTeSP</t>
  </si>
  <si>
    <t>Laboratório Forense e Criminal</t>
  </si>
  <si>
    <t>https://www.google.com/search?q=site%3Aipluso.pt%20Laborat%C3%B3rio%20Forense%20e%20Criminal%20CTeSP</t>
  </si>
  <si>
    <t>Escola Superior de Comunicação, Inovação e Artes (ECIA) – IPLUSO</t>
  </si>
  <si>
    <t>https://www.google.com/search?q=site%3Aipluso.pt%20Marketing%20Digital%20CTeSP</t>
  </si>
  <si>
    <t>Produção de Conteúdos Audiovisuais</t>
  </si>
  <si>
    <t>https://www.google.com/search?q=site%3Aipluso.pt%20Produ%C3%A7%C3%A3o%20de%20Conte%C3%BAdos%20Audiovisuais%20CTeSP</t>
  </si>
  <si>
    <t>Sistemas de Telecomunicações, Eletrónica e Comunicações</t>
  </si>
  <si>
    <t>https://www.google.com/search?q=site%3Aipluso.pt%20Sistemas%20de%20Telecomunica%C3%A7%C3%B5es%2C%20Eletr%C3%B3nica%20e%20Comunica%C3%A7%C3%B5es%20CTeSP</t>
  </si>
  <si>
    <t>Escola Superior de Saúde Ribeiro Sanches (ERISA)</t>
  </si>
  <si>
    <t>https://www.google.com/search?q=site%3Aipluso.pt%20Acupuntura%20licenciatura</t>
  </si>
  <si>
    <t>Arte Multimédia</t>
  </si>
  <si>
    <t>https://www.google.com/search?q=site%3Aipluso.pt%20Arte%20Multim%C3%A9dia%20licenciatura</t>
  </si>
  <si>
    <t>Automação e Sistemas Informáticos</t>
  </si>
  <si>
    <t>https://www.google.com/search?q=site%3Aipluso.pt%20Automa%C3%A7%C3%A3o%20e%20Sistemas%20Inform%C3%A1ticos%20licenciatura</t>
  </si>
  <si>
    <t>ERISA – Escola Superior de Saúde Ribeiro Sanches</t>
  </si>
  <si>
    <t>https://www.google.com/search?q=site%3Aipluso.pt%20Ci%C3%AAncias%20Biom%C3%A9dicas%20Laboratoriais%20licenciatura</t>
  </si>
  <si>
    <t>Contabilidade e Finanças</t>
  </si>
  <si>
    <t>Escola Superior de Ciências da Administração (ESCA) – IPLUSO</t>
  </si>
  <si>
    <t>https://www.google.com/search?q=site%3Aipluso.pt%20Contabilidade%20e%20Finan%C3%A7as%20licenciatura</t>
  </si>
  <si>
    <t>ESEL – Escola Superior de Educação da Lusofonia, Rua do Telhal aos Olivais 8, 1950‑396 Lisboa</t>
  </si>
  <si>
    <t>https://www.google.com/search?q=site%3Aipluso.pt%20Educa%C3%A7%C3%A3o%20B%C3%A1sica%20licenciatura</t>
  </si>
  <si>
    <t>https://www.google.com/search?q=site%3Aipluso.pt%20Enfermagem%20licenciatura</t>
  </si>
  <si>
    <t>Medicina (subárea Medicina Veterinária)</t>
  </si>
  <si>
    <t>ESPA – Escola Superior de Saúde, Proteção e Bem‑Estar Animal, Rua do Telhal aos Olivais 8, Lisboa</t>
  </si>
  <si>
    <t>https://www.google.com/search?q=site%3Aipluso.pt%20Enfermagem%20Veterin%C3%A1ria%20licenciatura</t>
  </si>
  <si>
    <t>Engenharia Informática e Aplicações</t>
  </si>
  <si>
    <t>https://www.google.com/search?q=site%3Aipluso.pt%20Engenharia%20Inform%C3%A1tica%20e%20Aplica%C3%A7%C3%B5es%20licenciatura</t>
  </si>
  <si>
    <t>https://www.google.com/search?q=site%3Aipluso.pt%20Farm%C3%A1cia%20licenciatura</t>
  </si>
  <si>
    <t>Gestão Comercial</t>
  </si>
  <si>
    <t>https://www.google.com/search?q=site%3Aipluso.pt%20Gest%C3%A3o%20Comercial%20licenciatura</t>
  </si>
  <si>
    <t>Gestão Empresarial</t>
  </si>
  <si>
    <t>https://www.google.com/search?q=site%3Aipluso.pt%20Gest%C3%A3o%20Empresarial%20licenciatura</t>
  </si>
  <si>
    <t>Gestão de Empresas do Turismo</t>
  </si>
  <si>
    <t>https://www.google.com/search?q=site%3Aipluso.pt%20Gest%C3%A3o%20de%20Empresas%20do%20Turismo%20licenciatura</t>
  </si>
  <si>
    <t>Ilustração e Desenho</t>
  </si>
  <si>
    <t>https://www.google.com/search?q=site%3Aipluso.pt%20Ilustra%C3%A7%C3%A3o%20e%20Desenho%20licenciatura</t>
  </si>
  <si>
    <t>https://www.google.com/search?q=site%3Aipluso.pt%20Imagem%20M%C3%A9dica%20e%20Radioterapia%20licenciatura</t>
  </si>
  <si>
    <t>https://www.google.com/search?q=site%3Aipluso.pt%20Osteopatia%20licenciatura</t>
  </si>
  <si>
    <t>Artes Visuais e Media Digitais</t>
  </si>
  <si>
    <t>https://www.google.com/search?q=site%3Aipluso.pt%20Artes%20Visuais%20e%20Media%20Digitais%20mestrado</t>
  </si>
  <si>
    <t>Desenho</t>
  </si>
  <si>
    <t>https://www.google.com/search?q=site%3Aipluso.pt%20Desenho%20mestrado</t>
  </si>
  <si>
    <t>https://www.google.com/search?q=site%3Aipluso.pt%20Educa%C3%A7%C3%A3o%20Pr%C3%A9%E2%80%91Escolar%20mestrado</t>
  </si>
  <si>
    <t>https://www.google.com/search?q=site%3Aipluso.pt%20Educa%C3%A7%C3%A3o%20Pr%C3%A9%E2%80%91Escolar%20e%20Ensino%20do%201.%C2%BA%20Ciclo%20do%20Ensino%20B%C3%A1sico%20mestrado</t>
  </si>
  <si>
    <t>https://www.google.com/search?q=site%3Aipluso.pt%20Enfermagem%20de%20Sa%C3%BAde%20Mental%20e%20Psiqui%C3%A1trica%20mestrado</t>
  </si>
  <si>
    <t>Formação de Professores do 1.º e 2.º Ciclos (Matemática e Ciências)</t>
  </si>
  <si>
    <t>https://www.google.com/search?q=site%3Aipluso.pt%20Ensino%20do%201.%C2%BA%20Ciclo%20do%20Ensino%20B%C3%A1sico%20e%20de%20Matem%C3%A1tica%20e%20Ci%C3%AAncias%20Naturais%20no%202.%C2%BA%20Ciclo%20do%20Ensino%20B%C3%A1sico%20mestrado</t>
  </si>
  <si>
    <t>Ilustração Experimental e Narrativas Gráficas</t>
  </si>
  <si>
    <t>https://www.google.com/search?q=site%3Aipluso.pt%20Ilustra%C3%A7%C3%A3o%20Experimental%20e%20Narrativas%20Gr%C3%A1ficas%20mestrado</t>
  </si>
  <si>
    <t>Saúde Digital</t>
  </si>
  <si>
    <t>https://www.google.com/search?q=site%3Aipluso.pt%20Sa%C3%BAde%20Digital%20mestrado</t>
  </si>
  <si>
    <t>Vila Nova de Famalicão</t>
  </si>
  <si>
    <t>Intervenção Avançada em Prevenção e Tratamento de Feridas – 10.ª edição</t>
  </si>
  <si>
    <t>Área de Enfermagem / Feridas</t>
  </si>
  <si>
    <t>https://www.google.com/search?q=site%3Aipluso.pt%20Interven%C3%A7%C3%A3o%20Avan%C3%A7ada%20em%20Preven%C3%A7%C3%A3o%20e%20Tratamento%20de%20Feridas%20%E2%80%93%2010.%C2%AA%20edi%C3%A7%C3%A3o%20p%C3%B3s-gradua%C3%A7%C3%A3o</t>
  </si>
  <si>
    <t>Duração não indicada na síntese</t>
  </si>
  <si>
    <t>Pós‑Graduação em Gestão Financeira e Fiscalidade</t>
  </si>
  <si>
    <t>ECIA / área de Ciências Empresariais</t>
  </si>
  <si>
    <t>https://www.google.com/search?q=site%3Aipluso.pt%20P%C3%B3s%E2%80%91Gradua%C3%A7%C3%A3o%20em%20Gest%C3%A3o%20Financeira%20e%20Fiscalidade%20p%C3%B3s-gradua%C3%A7%C3%A3o</t>
  </si>
  <si>
    <t>Pós‑Graduação em Gestão de Marketing</t>
  </si>
  <si>
    <t>ISG – Business &amp; Economics School</t>
  </si>
  <si>
    <t>https://www.google.com/search?q=site%3Aipluso.pt%20P%C3%B3s%E2%80%91Gradua%C3%A7%C3%A3o%20em%20Gest%C3%A3o%20de%20Marketing%20p%C3%B3s-gradua%C3%A7%C3%A3o</t>
  </si>
  <si>
    <t>Não indicado; curso em reestruturação</t>
  </si>
  <si>
    <t>Pós‑Graduação em Gestão de Operações e Logística</t>
  </si>
  <si>
    <t>https://www.google.com/search?q=site%3Aipluso.pt%20P%C3%B3s%E2%80%91Gradua%C3%A7%C3%A3o%20em%20Gest%C3%A3o%20de%20Opera%C3%A7%C3%B5es%20e%20Log%C3%ADstica%20p%C3%B3s-gradua%C3%A7%C3%A3o</t>
  </si>
  <si>
    <t>Não indicado; curso marcado como “em reestruturação”</t>
  </si>
  <si>
    <t>Pós‑Graduação em Gestão de Projetos</t>
  </si>
  <si>
    <t>https://www.google.com/search?q=site%3Aipluso.pt%20P%C3%B3s%E2%80%91Gradua%C3%A7%C3%A3o%20em%20Gest%C3%A3o%20de%20Projetos%20p%C3%B3s-gradua%C3%A7%C3%A3o</t>
  </si>
  <si>
    <t>Pós‑Graduação em Gestão de Recursos Humanos na área Socioeducativa</t>
  </si>
  <si>
    <t>ECIA / ESPA (área socioeducativa)</t>
  </si>
  <si>
    <t>https://www.google.com/search?q=site%3Aipluso.pt%20P%C3%B3s%E2%80%91Gradua%C3%A7%C3%A3o%20em%20Gest%C3%A3o%20de%20Recursos%20Humanos%20na%20%C3%A1rea%20Socioeducativa%20p%C3%B3s-gradua%C3%A7%C3%A3o</t>
  </si>
  <si>
    <t>Pós‑Graduação em Mandarim e Cultura Chinesa</t>
  </si>
  <si>
    <t>https://www.google.com/search?q=site%3Aipluso.pt%20P%C3%B3s%E2%80%91Gradua%C3%A7%C3%A3o%20em%20Mandarim%20e%20Cultura%20Chinesa%20p%C3%B3s-gradua%C3%A7%C3%A3o</t>
  </si>
  <si>
    <t>Pós‑Graduação em Osteopatia Estrutural no Desporto</t>
  </si>
  <si>
    <t>ESPA / área de Desporto e Saúde</t>
  </si>
  <si>
    <t>https://www.google.com/search?q=site%3Aipluso.pt%20P%C3%B3s%E2%80%91Gradua%C3%A7%C3%A3o%20em%20Osteopatia%20Estrutural%20no%20Desporto%20p%C3%B3s-gradua%C3%A7%C3%A3o</t>
  </si>
  <si>
    <t>Pós‑Graduação em Recursos Gráficos e Visualização</t>
  </si>
  <si>
    <t>ECIA / ESCAD – área de Artes e Media</t>
  </si>
  <si>
    <t>https://www.google.com/search?q=site%3Aipluso.pt%20P%C3%B3s%E2%80%91Gradua%C3%A7%C3%A3o%20em%20Recursos%20Gr%C3%A1ficos%20e%20Visualiza%C3%A7%C3%A3o%20p%C3%B3s-gradua%C3%A7%C3%A3o</t>
  </si>
  <si>
    <t>Duração não indicada na ficha pública; ECTS não visíveis; foco em produção de imagens 3D e conceção gráfica</t>
  </si>
  <si>
    <t>Instituto Politécnico da Maia (IPMAIA)</t>
  </si>
  <si>
    <t>Maia</t>
  </si>
  <si>
    <t>Escola Superior de Ciências Sociais, Educação e Desporto (IPMAIA)</t>
  </si>
  <si>
    <t>https://www.google.com/search?q=site%3Aipmaia.pt%20Acompanhamento%20de%20Crian%C3%A7as%20e%20Jovens%20CTeSP</t>
  </si>
  <si>
    <t>Desporto e Turismo de Natureza</t>
  </si>
  <si>
    <t>https://www.google.com/search?q=site%3Aipmaia.pt%20Desporto%20e%20Turismo%20de%20Natureza%20CTeSP</t>
  </si>
  <si>
    <t>https://www.google.com/search?q=site%3Aipmaia.pt%20Exerc%C3%ADcio%20F%C3%ADsico%20CTeSP</t>
  </si>
  <si>
    <t>https://www.google.com/search?q=site%3Aipmaia.pt%20Lazer%20Desportivo%20CTeSP</t>
  </si>
  <si>
    <t>https://www.google.com/search?q=site%3Aipmaia.pt%20Servi%C3%A7o%20Familiar%20e%20Comunit%C3%A1rio%20CTeSP</t>
  </si>
  <si>
    <t>Serviços Jurídicos</t>
  </si>
  <si>
    <t>https://www.google.com/search?q=site%3Aipmaia.pt%20Servi%C3%A7os%20Jur%C3%ADdicos%20CTeSP</t>
  </si>
  <si>
    <t>Treino Desportivo de Jovens</t>
  </si>
  <si>
    <t>https://www.google.com/search?q=site%3Aipmaia.pt%20Treino%20Desportivo%20de%20Jovens%20CTeSP</t>
  </si>
  <si>
    <t>Desporto, Condição Física e Bem-Estar</t>
  </si>
  <si>
    <t>https://www.google.com/search?q=site%3Aipmaia.pt%20Desporto%2C%20Condi%C3%A7%C3%A3o%20F%C3%ADsica%20e%20Bem-Estar%20licenciatura</t>
  </si>
  <si>
    <t>https://www.google.com/search?q=site%3Aipmaia.pt%20Educa%C3%A7%C3%A3o%20Social%20licenciatura</t>
  </si>
  <si>
    <t>Solicitadoria</t>
  </si>
  <si>
    <t>https://www.google.com/search?q=site%3Aipmaia.pt%20Solicitadoria%20licenciatura</t>
  </si>
  <si>
    <t>https://www.google.com/search?q=site%3Aipmaia.pt%20Treino%20Desportivo%20licenciatura</t>
  </si>
  <si>
    <t>Condição Física no Desporto e Exercício</t>
  </si>
  <si>
    <t>https://www.google.com/search?q=site%3Aipmaia.pt%20Condi%C3%A7%C3%A3o%20F%C3%ADsica%20no%20Desporto%20e%20Exerc%C3%ADcio%20mestrado</t>
  </si>
  <si>
    <t>https://www.google.com/search?q=site%3Aipmaia.pt%20Solicitadoria%20mestrado</t>
  </si>
  <si>
    <t>Instituto Politécnico de Beja</t>
  </si>
  <si>
    <t>Agropecuária Mediterrânica</t>
  </si>
  <si>
    <t>Escola Superior Agrária de Beja (ESA‑IPBeja), Campus IPBeja, Rua Pedro Soares, 7800‑295 Beja</t>
  </si>
  <si>
    <t>https://www.google.com/search?q=site%3Aipbeja.pt%20Agropecu%C3%A1ria%20Mediterr%C3%A2nica%20CTeSP</t>
  </si>
  <si>
    <t>ESA‑IPBeja, Campus IPBeja, Rua Pedro Soares, Beja</t>
  </si>
  <si>
    <t>https://www.google.com/search?q=site%3Aipbeja.pt%20An%C3%A1lises%20Laboratoriais%20CTeSP</t>
  </si>
  <si>
    <t>Beja / Castro Verde</t>
  </si>
  <si>
    <t>Escola Superior de Saúde de Beja (ESS‑IPBeja), Rua Dr. José Correia Maltez, 7800‑111 Beja; funcionamento também em Castro Verde em parceria com o Município e Centro Qualifica de Almodôvar</t>
  </si>
  <si>
    <t>https://www.google.com/search?q=site%3Aipbeja.pt%20Apoio%20em%20Cuidados%20Continuados%20Integrados%20CTeSP</t>
  </si>
  <si>
    <t>Escola Superior de Educação de Beja (ESE‑IPBeja), Rua Pedro Soares, Campus do IPBeja, 7800‑295 Beja</t>
  </si>
  <si>
    <t>https://www.google.com/search?q=site%3Aipbeja.pt%20Apoio%20%C3%A0%20Inf%C3%A2ncia%20CTeSP</t>
  </si>
  <si>
    <t>Escola Superior de Tecnologia e de Gestão (ESTIG‑IPBeja), Rua Pedro Soares, Campus do IPBeja, 7800‑295 Beja</t>
  </si>
  <si>
    <t>https://www.google.com/search?q=site%3Aipbeja.pt%20Com%C3%A9rcio%20Internacional%20CTeSP</t>
  </si>
  <si>
    <t>Culturas Regadas</t>
  </si>
  <si>
    <t>Produção Agrícola</t>
  </si>
  <si>
    <t>https://www.google.com/search?q=site%3Aipbeja.pt%20Culturas%20Regadas%20CTeSP</t>
  </si>
  <si>
    <t>Desporto, Lazer e Bem‑Estar</t>
  </si>
  <si>
    <t>ESE‑IPBeja, Rua Pedro Soares, Campus do IPBeja, Beja</t>
  </si>
  <si>
    <t>https://www.google.com/search?q=site%3Aipbeja.pt%20Desporto%2C%20Lazer%20e%20Bem%E2%80%91Estar%20CTeSP</t>
  </si>
  <si>
    <t>Eletrónica e Computadores</t>
  </si>
  <si>
    <t>ESTIG‑IPBeja, Campus do IPBeja, Beja</t>
  </si>
  <si>
    <t>https://www.google.com/search?q=site%3Aipbeja.pt%20Eletr%C3%B3nica%20e%20Computadores%20CTeSP</t>
  </si>
  <si>
    <t>Gestão de Organizações Sociais</t>
  </si>
  <si>
    <t>https://www.google.com/search?q=site%3Aipbeja.pt%20Gest%C3%A3o%20de%20Organiza%C3%A7%C3%B5es%20Sociais%20CTeSP</t>
  </si>
  <si>
    <t>Informação e Comercialização Turística</t>
  </si>
  <si>
    <t>https://www.google.com/search?q=site%3Aipbeja.pt%20Informa%C3%A7%C3%A3o%20e%20Comercializa%C3%A7%C3%A3o%20Tur%C3%ADstica%20CTeSP</t>
  </si>
  <si>
    <t>Inovação e Tecnologia Alimentar</t>
  </si>
  <si>
    <t>https://www.google.com/search?q=site%3Aipbeja.pt%20Inova%C3%A7%C3%A3o%20e%20Tecnologia%20Alimentar%20CTeSP</t>
  </si>
  <si>
    <t>Olivicultura, Azeite e Azeitona de Mesa</t>
  </si>
  <si>
    <t>https://www.google.com/search?q=site%3Aipbeja.pt%20Olivicultura%2C%20Azeite%20e%20Azeitona%20de%20Mesa%20CTeSP</t>
  </si>
  <si>
    <t>Psicogerontologia</t>
  </si>
  <si>
    <t>https://www.google.com/search?q=site%3Aipbeja.pt%20Psicogerontologia%20CTeSP</t>
  </si>
  <si>
    <t>https://www.google.com/search?q=site%3Aipbeja.pt%20Redes%20e%20Sistemas%20Inform%C3%A1ticos%20CTeSP</t>
  </si>
  <si>
    <t>https://www.google.com/search?q=site%3Aipbeja.pt%20Servi%C3%A7os%20Jur%C3%ADdicos%20CTeSP</t>
  </si>
  <si>
    <t>Sistemas de Proteção do Ambiente</t>
  </si>
  <si>
    <t>https://www.google.com/search?q=site%3Aipbeja.pt%20Sistemas%20de%20Prote%C3%A7%C3%A3o%20do%20Ambiente%20CTeSP</t>
  </si>
  <si>
    <t>Som e Imagem</t>
  </si>
  <si>
    <t>https://www.google.com/search?q=site%3Aipbeja.pt%20Som%20e%20Imagem%20CTeSP</t>
  </si>
  <si>
    <t>Tecnologia e Inovação Alimentar</t>
  </si>
  <si>
    <t>https://www.google.com/search?q=site%3Aipbeja.pt%20Tecnologia%20e%20Inova%C3%A7%C3%A3o%20Alimentar%20CTeSP</t>
  </si>
  <si>
    <t>Tecnologias Agroambientais e Sustentabilidade</t>
  </si>
  <si>
    <t>https://www.google.com/search?q=site%3Aipbeja.pt%20Tecnologias%20Agroambientais%20e%20Sustentabilidade%20CTeSP</t>
  </si>
  <si>
    <t>Tecnologias Web e Dispositivos Móveis</t>
  </si>
  <si>
    <t>https://www.google.com/search?q=site%3Aipbeja.pt%20Tecnologias%20Web%20e%20Dispositivos%20M%C3%B3veis%20CTeSP</t>
  </si>
  <si>
    <t>Tecnologias para a Gestão da Qualidade e Segurança</t>
  </si>
  <si>
    <t>https://www.google.com/search?q=site%3Aipbeja.pt%20Tecnologias%20para%20a%20Gest%C3%A3o%20da%20Qualidade%20e%20Seguran%C3%A7a%20CTeSP</t>
  </si>
  <si>
    <t>Turismo de Fronteira e Eurocidade</t>
  </si>
  <si>
    <t>https://www.google.com/search?q=site%3Aipbeja.pt%20Turismo%20de%20Fronteira%20e%20Eurocidade%20CTeSP</t>
  </si>
  <si>
    <t>Viticultura e Enologia</t>
  </si>
  <si>
    <t>Indústrias Alimentares (vinhos)</t>
  </si>
  <si>
    <t>https://www.google.com/search?q=site%3Aipbeja.pt%20Viticultura%20e%20Enologia%20CTeSP</t>
  </si>
  <si>
    <t>Agronomia</t>
  </si>
  <si>
    <t>Escola Superior Agrária de Beja (ESA‑IPBeja), Rua Pedro Soares, s/n, Campus IPBeja, 7800‑295 Beja</t>
  </si>
  <si>
    <t>https://www.google.com/search?q=site%3Aipbeja.pt%20Agronomia%20licenciatura</t>
  </si>
  <si>
    <t>Audiovisual e Multimédia</t>
  </si>
  <si>
    <t>https://www.google.com/search?q=site%3Aipbeja.pt%20Audiovisual%20e%20Multim%C3%A9dia%20licenciatura</t>
  </si>
  <si>
    <t>Ciência e Tecnologia dos Alimentos</t>
  </si>
  <si>
    <t>https://www.google.com/search?q=site%3Aipbeja.pt%20Ci%C3%AAncia%20e%20Tecnologia%20dos%20Alimentos%20licenciatura</t>
  </si>
  <si>
    <t>ESE‑IPBeja, Rua Pedro Soares, Campus IPBeja, Beja</t>
  </si>
  <si>
    <t>https://www.google.com/search?q=site%3Aipbeja.pt%20Desporto%20licenciatura</t>
  </si>
  <si>
    <t>https://www.google.com/search?q=site%3Aipbeja.pt%20Educa%C3%A7%C3%A3o%20B%C3%A1sica%20licenciatura</t>
  </si>
  <si>
    <t>Escola Superior de Saúde de Beja (ESS‑IPBeja), Rua Dr. José Correia Maltez, 7800‑111 Beja</t>
  </si>
  <si>
    <t>https://www.google.com/search?q=site%3Aipbeja.pt%20Enfermagem%20licenciatura</t>
  </si>
  <si>
    <t>https://www.google.com/search?q=site%3Aipbeja.pt%20Engenharia%20Civil%20licenciatura</t>
  </si>
  <si>
    <t>ESTIG‑IPBeja, Rua Pedro Soares, Campus IPBeja, Beja</t>
  </si>
  <si>
    <t>https://www.google.com/search?q=site%3Aipbeja.pt%20Engenharia%20Inform%C3%A1tica%20licenciatura</t>
  </si>
  <si>
    <t>Engenharia do Ambiente</t>
  </si>
  <si>
    <t>https://www.google.com/search?q=site%3Aipbeja.pt%20Engenharia%20do%20Ambiente%20licenciatura</t>
  </si>
  <si>
    <t>https://www.google.com/search?q=site%3Aipbeja.pt%20Gest%C3%A3o%20de%20Empresas%20licenciatura</t>
  </si>
  <si>
    <t>https://www.google.com/search?q=site%3Aipbeja.pt%20Servi%C3%A7o%20Social%20licenciatura</t>
  </si>
  <si>
    <t>https://www.google.com/search?q=site%3Aipbeja.pt%20Solicitadoria%20licenciatura</t>
  </si>
  <si>
    <t>Solicitadoria (regime de ensino a distância)</t>
  </si>
  <si>
    <t>ESTIG‑IPBeja (oferta em regime e‑learning, base IPBeja, Rua Pedro Soares, Beja)</t>
  </si>
  <si>
    <t>https://www.google.com/search?q=site%3Aipbeja.pt%20Solicitadoria%20%28regime%20de%20ensino%20a%20dist%C3%A2ncia%29%20licenciatura</t>
  </si>
  <si>
    <t>Tecnologias Bioanalíticas</t>
  </si>
  <si>
    <t>https://www.google.com/search?q=site%3Aipbeja.pt%20Tecnologias%20Bioanal%C3%ADticas%20licenciatura</t>
  </si>
  <si>
    <t>ESS‑IPBeja, Rua Dr. José Correia Maltez, 7800‑111 Beja</t>
  </si>
  <si>
    <t>https://www.google.com/search?q=site%3Aipbeja.pt%20Terapia%20Ocupacional%20licenciatura</t>
  </si>
  <si>
    <t>https://www.google.com/search?q=site%3Aipbeja.pt%20Turismo%20licenciatura</t>
  </si>
  <si>
    <t>https://www.google.com/search?q=site%3Aipbeja.pt%20Agronomia%20mestrado</t>
  </si>
  <si>
    <t>Atividade Física e Saúde</t>
  </si>
  <si>
    <t>Escola Superior de Educação de Beja (ESE‑IPBeja), Rua Pedro Soares, Campus IPBeja, 7800‑295 Beja</t>
  </si>
  <si>
    <t>https://www.google.com/search?q=site%3Aipbeja.pt%20Atividade%20F%C3%ADsica%20e%20Sa%C3%BAde%20mestrado</t>
  </si>
  <si>
    <t>https://www.google.com/search?q=site%3Aipbeja.pt%20Contabilidade%20e%20Finan%C3%A7as%20mestrado</t>
  </si>
  <si>
    <t>Desenvolvimento Comunitário e Empreendedorismo</t>
  </si>
  <si>
    <t>ESE‑IPBeja, Campus IPBeja, Beja</t>
  </si>
  <si>
    <t>https://www.google.com/search?q=site%3Aipbeja.pt%20Desenvolvimento%20Comunit%C3%A1rio%20e%20Empreendedorismo%20mestrado</t>
  </si>
  <si>
    <t>Educação Especial – área de especialização em Domínio Cognitivo e Motor</t>
  </si>
  <si>
    <t>https://www.google.com/search?q=site%3Aipbeja.pt%20Educa%C3%A7%C3%A3o%20Especial%20%E2%80%93%20%C3%A1rea%20de%20especializa%C3%A7%C3%A3o%20em%20Dom%C3%ADnio%20Cognitivo%20e%20Motor%20mestrado</t>
  </si>
  <si>
    <t>https://www.google.com/search?q=site%3Aipbeja.pt%20Educa%C3%A7%C3%A3o%20Pr%C3%A9%E2%80%91Escolar%20e%20Ensino%20do%201.%C2%BA%20Ciclo%20do%20Ensino%20B%C3%A1sico%20mestrado</t>
  </si>
  <si>
    <t>https://www.google.com/search?q=site%3Aipbeja.pt%20Enfermagem%20mestrado</t>
  </si>
  <si>
    <t>Engenharia Alimentar</t>
  </si>
  <si>
    <t>https://www.google.com/search?q=site%3Aipbeja.pt%20Engenharia%20Alimentar%20mestrado</t>
  </si>
  <si>
    <t>Engenharia Informática e Internet das Coisas</t>
  </si>
  <si>
    <t>ESTIG‑IPBeja, Campus IPBeja, Beja</t>
  </si>
  <si>
    <t>https://www.google.com/search?q=site%3Aipbeja.pt%20Engenharia%20Inform%C3%A1tica%20e%20Internet%20das%20Coisas%20mestrado</t>
  </si>
  <si>
    <t>Engenharia de Cibersegurança e Cibercrime</t>
  </si>
  <si>
    <t>https://www.google.com/search?q=site%3Aipbeja.pt%20Engenharia%20de%20Ciberseguran%C3%A7a%20e%20Cibercrime%20mestrado</t>
  </si>
  <si>
    <t>https://www.google.com/search?q=site%3Aipbeja.pt%20Engenharia%20do%20Ambiente%20mestrado</t>
  </si>
  <si>
    <t>Estudos em Enfermagem</t>
  </si>
  <si>
    <t>ESS‑IPBeja, Rua Dr. José Correia Maltez, Beja</t>
  </si>
  <si>
    <t>https://www.google.com/search?q=site%3Aipbeja.pt%20Estudos%20em%20Enfermagem%20mestrado</t>
  </si>
  <si>
    <t>Gerontologia Social e Comunitária</t>
  </si>
  <si>
    <t>https://www.google.com/search?q=site%3Aipbeja.pt%20Gerontologia%20Social%20e%20Comunit%C3%A1ria%20mestrado</t>
  </si>
  <si>
    <t>https://www.google.com/search?q=site%3Aipbeja.pt%20Seguran%C3%A7a%20e%20Higiene%20no%20Trabalho%20mestrado</t>
  </si>
  <si>
    <t>Serviço Social – Riscos Sociais e Desenvolvimento Local</t>
  </si>
  <si>
    <t>https://www.google.com/search?q=site%3Aipbeja.pt%20Servi%C3%A7o%20Social%20%E2%80%93%20Riscos%20Sociais%20e%20Desenvolvimento%20Local%20mestrado</t>
  </si>
  <si>
    <t>Escola Superior de Saúde</t>
  </si>
  <si>
    <t>https://www.google.com/search?q=site%3Aipbeja.pt%20Cuidados%20Paliativos%20p%C3%B3s-gradua%C3%A7%C3%A3o</t>
  </si>
  <si>
    <t>A confirmar (folheto indica carga horária/ECTS)</t>
  </si>
  <si>
    <t>Gestão Sustentável do Setor Olivícola</t>
  </si>
  <si>
    <t>Escola Superior Agrária</t>
  </si>
  <si>
    <t>https://www.google.com/search?q=site%3Aipbeja.pt%20Gest%C3%A3o%20Sustent%C3%A1vel%20do%20Setor%20Oliv%C3%ADcola%20p%C3%B3s-gradua%C3%A7%C3%A3o</t>
  </si>
  <si>
    <t>A confirmar (folheto indica ECTS e duração)</t>
  </si>
  <si>
    <t>Gestão de Programas e Fundos Europeus</t>
  </si>
  <si>
    <t>Escola Superior de Tecnologia e Gestão</t>
  </si>
  <si>
    <t>https://www.google.com/search?q=site%3Aipbeja.pt%20Gest%C3%A3o%20de%20Programas%20e%20Fundos%20Europeus%20p%C3%B3s-gradua%C3%A7%C3%A3o</t>
  </si>
  <si>
    <t>A confirmar (folheto e edital detalham estrutura)</t>
  </si>
  <si>
    <t>Intervenção Psicossocial na Demência</t>
  </si>
  <si>
    <t>Escola Superior de Educação</t>
  </si>
  <si>
    <t>https://www.google.com/search?q=site%3Aipbeja.pt%20Interven%C3%A7%C3%A3o%20Psicossocial%20na%20Dem%C3%AAncia%20p%C3%B3s-gradua%C3%A7%C3%A3o</t>
  </si>
  <si>
    <t>Pós‑Graduação em Gestão de Saúde</t>
  </si>
  <si>
    <t>https://www.google.com/search?q=site%3Aipbeja.pt%20P%C3%B3s%E2%80%91Gradua%C3%A7%C3%A3o%20em%20Gest%C3%A3o%20de%20Sa%C3%BAde%20p%C3%B3s-gradua%C3%A7%C3%A3o</t>
  </si>
  <si>
    <t>Sistemas de Informação Geográfica no Setor Florestal</t>
  </si>
  <si>
    <t>Escola Superior de Tecnologia e Gestão / Escola Superior Agrária</t>
  </si>
  <si>
    <t>https://www.google.com/search?q=site%3Aipbeja.pt%20Sistemas%20de%20Informa%C3%A7%C3%A3o%20Geogr%C3%A1fica%20no%20Setor%20Florestal%20p%C3%B3s-gradua%C3%A7%C3%A3o</t>
  </si>
  <si>
    <t>Sustentabilidade e Inovação em Frutos Secos: uma fileira em transformação</t>
  </si>
  <si>
    <t>https://www.google.com/search?q=site%3Aipbeja.pt%20Sustentabilidade%20e%20Inova%C3%A7%C3%A3o%20em%20Frutos%20Secos%3A%20uma%20fileira%20em%20transforma%C3%A7%C3%A3o%20p%C3%B3s-gradua%C3%A7%C3%A3o</t>
  </si>
  <si>
    <t>Tecnologias Digitais e Ambientais nas Ciências Agrárias</t>
  </si>
  <si>
    <t>https://www.google.com/search?q=site%3Aipbeja.pt%20Tecnologias%20Digitais%20e%20Ambientais%20nas%20Ci%C3%AAncias%20Agr%C3%A1rias%20p%C3%B3s-gradua%C3%A7%C3%A3o</t>
  </si>
  <si>
    <t>Terapia da Mão – Reeducação do Membro Superior</t>
  </si>
  <si>
    <t>https://www.google.com/search?q=site%3Aipbeja.pt%20Terapia%20da%20M%C3%A3o%20%E2%80%93%20Reeduca%C3%A7%C3%A3o%20do%20Membro%20Superior%20p%C3%B3s-gradua%C3%A7%C3%A3o</t>
  </si>
  <si>
    <t>Turismo Sustentável e Bem-Estar (30 ECTS)</t>
  </si>
  <si>
    <t>https://www.google.com/search?q=site%3Aipbeja.pt%20Turismo%20Sustent%C3%A1vel%20e%20Bem-Estar%20%2830%20ECTS%29%20p%C3%B3s-gradua%C3%A7%C3%A3o</t>
  </si>
  <si>
    <t>Turismo Sustentável e Bem-Estar (60 ECTS)</t>
  </si>
  <si>
    <t>https://www.google.com/search?q=site%3Aipbeja.pt%20Turismo%20Sustent%C3%A1vel%20e%20Bem-Estar%20%2860%20ECTS%29%20p%C3%B3s-gradua%C3%A7%C3%A3o</t>
  </si>
  <si>
    <t>Turismo – Gestão e Inovação</t>
  </si>
  <si>
    <t>https://www.google.com/search?q=site%3Aipbeja.pt%20Turismo%20%E2%80%93%20Gest%C3%A3o%20e%20Inova%C3%A7%C3%A3o%20p%C3%B3s-gradua%C3%A7%C3%A3o</t>
  </si>
  <si>
    <t>Instituto Politécnico de Bragança</t>
  </si>
  <si>
    <t>Escola Superior de Educação de Bragança (ESE‑IPB)</t>
  </si>
  <si>
    <t>https://www.google.com/search?q=site%3Aipb.pt%20Acompanhamento%20de%20Crian%C3%A7as%20e%20Jovens%20CTeSP</t>
  </si>
  <si>
    <t>Mirandela</t>
  </si>
  <si>
    <t>Administração e Negócios</t>
  </si>
  <si>
    <t>Escola Superior de Comunicação, Administração e Turismo (EsACT‑IPB)</t>
  </si>
  <si>
    <t>https://www.google.com/search?q=site%3Aipb.pt%20Administra%C3%A7%C3%A3o%20e%20Neg%C3%B3cios%20CTeSP</t>
  </si>
  <si>
    <t>Escola Superior de Saúde de Bragança (ESSa‑IPB)</t>
  </si>
  <si>
    <t>https://www.google.com/search?q=site%3Aipb.pt%20Alimenta%C3%A7%C3%A3o%20Saud%C3%A1vel%20CTeSP</t>
  </si>
  <si>
    <t>Escola Superior de Tecnologia e Gestão de Bragança (ESTiG - IPB)</t>
  </si>
  <si>
    <t>https://www.google.com/search?q=site%3Aipb.pt%20An%C3%A1lises%20Qu%C3%ADmicas%20e%20Biol%C3%B3gicas%20CTeSP</t>
  </si>
  <si>
    <t>Automação, Robótica e Eletrónica Industrial</t>
  </si>
  <si>
    <t>https://www.google.com/search?q=site%3Aipb.pt%20Automa%C3%A7%C3%A3o%2C%20Rob%C3%B3tica%20e%20Eletr%C3%B3nica%20Industrial%20CTeSP</t>
  </si>
  <si>
    <t>Escola Superior Agrária de Bragança (ESA‑IPB)</t>
  </si>
  <si>
    <t>https://www.google.com/search?q=site%3Aipb.pt%20Bioan%C3%A1lises%20e%20Controlo%20CTeSP</t>
  </si>
  <si>
    <t>Biotecnologia e Inovação</t>
  </si>
  <si>
    <t>https://www.google.com/search?q=site%3Aipb.pt%20Biotecnologia%20e%20Inova%C3%A7%C3%A3o%20CTeSP</t>
  </si>
  <si>
    <t>https://www.google.com/search?q=site%3Aipb.pt%20Ciberseguran%C3%A7a%20CTeSP</t>
  </si>
  <si>
    <t>https://www.google.com/search?q=site%3Aipb.pt%20Comunica%C3%A7%C3%A3o%20Digital%20CTeSP</t>
  </si>
  <si>
    <t>https://www.google.com/search?q=site%3Aipb.pt%20Constru%C3%A7%C3%A3o%20Civil%20CTeSP</t>
  </si>
  <si>
    <t>https://www.google.com/search?q=site%3Aipb.pt%20Contabilidade%20CTeSP</t>
  </si>
  <si>
    <t>Bragança / Valpaços</t>
  </si>
  <si>
    <t>Cozinha e Inovação Alimentar</t>
  </si>
  <si>
    <t>https://www.google.com/search?q=site%3Aipb.pt%20Cozinha%20e%20Inova%C3%A7%C3%A3o%20Alimentar%20CTeSP</t>
  </si>
  <si>
    <t>Bragança / Valpaços / Santo Tirso</t>
  </si>
  <si>
    <t>Cuidados Veterinários</t>
  </si>
  <si>
    <t>https://www.google.com/search?q=site%3Aipb.pt%20Cuidados%20Veterin%C3%A1rios%20CTeSP</t>
  </si>
  <si>
    <t>Defesa da Floresta Contra Incêndios</t>
  </si>
  <si>
    <t>Silvicultura e Florestas</t>
  </si>
  <si>
    <t>https://www.google.com/search?q=site%3Aipb.pt%20Defesa%20da%20Floresta%20Contra%20Inc%C3%AAndios%20CTeSP</t>
  </si>
  <si>
    <t>https://www.google.com/search?q=site%3Aipb.pt%20Desenvolvimento%20de%20Produtos%20Multim%C3%A9dia%20CTeSP</t>
  </si>
  <si>
    <t>https://www.google.com/search?q=site%3Aipb.pt%20Desenvolvimento%20de%20Software%20CTeSP</t>
  </si>
  <si>
    <t>Desenvolvimento de Software e Administração de Sistemas</t>
  </si>
  <si>
    <t>https://www.google.com/search?q=site%3Aipb.pt%20Desenvolvimento%20de%20Software%20e%20Administra%C3%A7%C3%A3o%20de%20Sistemas%20CTeSP</t>
  </si>
  <si>
    <t>Design de Jogos Digitais e Gamificação</t>
  </si>
  <si>
    <t>https://www.google.com/search?q=site%3Aipb.pt%20Design%20de%20Jogos%20Digitais%20e%20Gamifica%C3%A7%C3%A3o%20CTeSP</t>
  </si>
  <si>
    <t>Educação Ambiental</t>
  </si>
  <si>
    <t>https://www.google.com/search?q=site%3Aipb.pt%20Educa%C3%A7%C3%A3o%20Ambiental%20CTeSP</t>
  </si>
  <si>
    <t>Energias Renováveis e Infraestruturas Elétricas e de Telecomunicações</t>
  </si>
  <si>
    <t>https://www.google.com/search?q=site%3Aipb.pt%20Energias%20Renov%C3%A1veis%20e%20Infraestruturas%20El%C3%A9tricas%20e%20de%20Telecomunica%C3%A7%C3%B5es%20CTeSP</t>
  </si>
  <si>
    <t>Energias Renováveis e Instalações Elétricas</t>
  </si>
  <si>
    <t>https://www.google.com/search?q=site%3Aipb.pt%20Energias%20Renov%C3%A1veis%20e%20Instala%C3%A7%C3%B5es%20El%C3%A9tricas%20CTeSP</t>
  </si>
  <si>
    <t>Estética, Cosmética e Bem‑estar</t>
  </si>
  <si>
    <t>https://www.google.com/search?q=site%3Aipb.pt%20Est%C3%A9tica%2C%20Cosm%C3%A9tica%20e%20Bem%E2%80%91estar%20CTeSP</t>
  </si>
  <si>
    <t>Gastronomia e Produção Alimentar</t>
  </si>
  <si>
    <t>https://www.google.com/search?q=site%3Aipb.pt%20Gastronomia%20e%20Produ%C3%A7%C3%A3o%20Alimentar%20CTeSP</t>
  </si>
  <si>
    <t>Bragança / Carrazeda de Ansiães</t>
  </si>
  <si>
    <t>https://www.google.com/search?q=site%3Aipb.pt%20Gerontologia%20CTeSP</t>
  </si>
  <si>
    <t>Valpaços</t>
  </si>
  <si>
    <t>Gestão Agrícola</t>
  </si>
  <si>
    <t>https://www.google.com/search?q=site%3Aipb.pt%20Gest%C3%A3o%20Agr%C3%ADcola%20CTeSP</t>
  </si>
  <si>
    <t>Gestão Ambiental</t>
  </si>
  <si>
    <t>https://www.google.com/search?q=site%3Aipb.pt%20Gest%C3%A3o%20Ambiental%20CTeSP</t>
  </si>
  <si>
    <t>Gestão de Marketing e Comércio Eletrónico</t>
  </si>
  <si>
    <t>https://www.google.com/search?q=site%3Aipb.pt%20Gest%C3%A3o%20de%20Marketing%20e%20Com%C3%A9rcio%20Eletr%C3%B3nico%20CTeSP</t>
  </si>
  <si>
    <t>Gestão de Operações e Logística</t>
  </si>
  <si>
    <t>https://www.google.com/search?q=site%3Aipb.pt%20Gest%C3%A3o%20de%20Opera%C3%A7%C3%B5es%20e%20Log%C3%ADstica%20CTeSP</t>
  </si>
  <si>
    <t>Gestão de Turismo</t>
  </si>
  <si>
    <t>https://www.google.com/search?q=site%3Aipb.pt%20Gest%C3%A3o%20de%20Turismo%20CTeSP</t>
  </si>
  <si>
    <t>Ilustração e Arte Gráfica</t>
  </si>
  <si>
    <t>https://www.google.com/search?q=site%3Aipb.pt%20Ilustra%C3%A7%C3%A3o%20e%20Arte%20Gr%C3%A1fica%20CTeSP</t>
  </si>
  <si>
    <t>https://www.google.com/search?q=site%3Aipb.pt%20Inform%C3%A1tica%20CTeSP</t>
  </si>
  <si>
    <t>Músico Instrumentista</t>
  </si>
  <si>
    <t>https://www.google.com/search?q=site%3Aipb.pt%20M%C3%BAsico%20Instrumentista%20CTeSP</t>
  </si>
  <si>
    <t>Operações Hoteleiras</t>
  </si>
  <si>
    <t>Escola Superior de Hotelaria e Bem‑Estar (EHB‑IPB), campus de Chaves</t>
  </si>
  <si>
    <t>https://www.google.com/search?q=site%3Aipb.pt%20Opera%C3%A7%C3%B5es%20Hoteleiras%20CTeSP</t>
  </si>
  <si>
    <t>Produção Agroflorestal</t>
  </si>
  <si>
    <t>https://www.google.com/search?q=site%3Aipb.pt%20Produ%C3%A7%C3%A3o%20Agroflorestal%20CTeSP</t>
  </si>
  <si>
    <t>https://www.google.com/search?q=site%3Aipb.pt%20Produ%C3%A7%C3%A3o%20Agr%C3%ADcola%20CTeSP</t>
  </si>
  <si>
    <t>Produção Animal e Atividades Equestres</t>
  </si>
  <si>
    <t>Produção Animal</t>
  </si>
  <si>
    <t>https://www.google.com/search?q=site%3Aipb.pt%20Produ%C3%A7%C3%A3o%20Animal%20e%20Atividades%20Equestres%20CTeSP</t>
  </si>
  <si>
    <t>Produção nas Artes do Espetáculo</t>
  </si>
  <si>
    <t>Artes do Espetáculo</t>
  </si>
  <si>
    <t>https://www.google.com/search?q=site%3Aipb.pt%20Produ%C3%A7%C3%A3o%20nas%20Artes%20do%20Espet%C3%A1culo%20CTeSP</t>
  </si>
  <si>
    <t>Prospeção Mineral e Geotécnica</t>
  </si>
  <si>
    <t>Ciências da Terra</t>
  </si>
  <si>
    <t>https://www.google.com/search?q=site%3Aipb.pt%20Prospe%C3%A7%C3%A3o%20Mineral%20e%20Geot%C3%A9cnica%20CTeSP</t>
  </si>
  <si>
    <t>Qualidade e Tratamento de Água e Efluentes</t>
  </si>
  <si>
    <t>https://www.google.com/search?q=site%3Aipb.pt%20Qualidade%20e%20Tratamento%20de%20%C3%81gua%20e%20Efluentes%20CTeSP</t>
  </si>
  <si>
    <t>Recursos Silvestres</t>
  </si>
  <si>
    <t>https://www.google.com/search?q=site%3Aipb.pt%20Recursos%20Silvestres%20CTeSP</t>
  </si>
  <si>
    <t>https://www.google.com/search?q=site%3Aipb.pt%20Restaura%C3%A7%C3%A3o%20e%20Inova%C3%A7%C3%A3o%20Alimentar%20CTeSP</t>
  </si>
  <si>
    <t>Secretariado e Línguas</t>
  </si>
  <si>
    <t>https://www.google.com/search?q=site%3Aipb.pt%20Secretariado%20e%20L%C3%ADnguas%20CTeSP</t>
  </si>
  <si>
    <t>Serviço Social e Desenvolvimento Comunitário</t>
  </si>
  <si>
    <t>https://www.google.com/search?q=site%3Aipb.pt%20Servi%C3%A7o%20Social%20e%20Desenvolvimento%20Comunit%C3%A1rio%20CTeSP</t>
  </si>
  <si>
    <t>https://www.google.com/search?q=site%3Aipb.pt%20Servi%C3%A7os%20Jur%C3%ADdicos%20CTeSP</t>
  </si>
  <si>
    <t>Tecnologia Alimentar</t>
  </si>
  <si>
    <t>https://www.google.com/search?q=site%3Aipb.pt%20Tecnologia%20Alimentar%20CTeSP</t>
  </si>
  <si>
    <t>Tecnologias Sustentáveis em Mecânica e Veículos</t>
  </si>
  <si>
    <t>https://www.google.com/search?q=site%3Aipb.pt%20Tecnologias%20Sustent%C3%A1veis%20em%20Mec%C3%A2nica%20e%20Ve%C3%ADculos%20CTeSP</t>
  </si>
  <si>
    <t>Tecnologias do Território Agroflorestal</t>
  </si>
  <si>
    <t>https://www.google.com/search?q=site%3Aipb.pt%20Tecnologias%20do%20Territ%C3%B3rio%20Agroflorestal%20CTeSP</t>
  </si>
  <si>
    <t>Terapias de Beleza e Bem‑Estar</t>
  </si>
  <si>
    <t>https://www.google.com/search?q=site%3Aipb.pt%20Terapias%20de%20Beleza%20e%20Bem%E2%80%91Estar%20CTeSP</t>
  </si>
  <si>
    <t>Termalismo e Bem‑Estar</t>
  </si>
  <si>
    <t>https://www.google.com/search?q=site%3Aipb.pt%20Termalismo%20e%20Bem%E2%80%91Estar%20CTeSP</t>
  </si>
  <si>
    <t>Vida Ativa e Bem-Estar</t>
  </si>
  <si>
    <t>https://www.google.com/search?q=site%3Aipb.pt%20Vida%20Ativa%20e%20Bem-Estar%20CTeSP</t>
  </si>
  <si>
    <t>Vida Ativa e Bem‑Estar</t>
  </si>
  <si>
    <t>https://www.google.com/search?q=site%3Aipb.pt%20Vida%20Ativa%20e%20Bem%E2%80%91Estar%20CTeSP</t>
  </si>
  <si>
    <t>https://www.google.com/search?q=site%3Aipb.pt%20Viticultura%20e%20Enologia%20CTeSP</t>
  </si>
  <si>
    <t>Animação e Produção Artística</t>
  </si>
  <si>
    <t>https://www.google.com/search?q=site%3Aipb.pt%20Anima%C3%A7%C3%A3o%20e%20Produ%C3%A7%C3%A3o%20Art%C3%ADstica%20licenciatura</t>
  </si>
  <si>
    <t>Arte e Design</t>
  </si>
  <si>
    <t>https://www.google.com/search?q=site%3Aipb.pt%20Arte%20e%20Design%20licenciatura</t>
  </si>
  <si>
    <t>Biologia e Biotecnologia</t>
  </si>
  <si>
    <t>https://www.google.com/search?q=site%3Aipb.pt%20Biologia%20e%20Biotecnologia%20licenciatura</t>
  </si>
  <si>
    <t>https://www.google.com/search?q=site%3Aipb.pt%20Ci%C3%AAncias%20Biom%C3%A9dicas%20Laboratoriais%20licenciatura</t>
  </si>
  <si>
    <t>https://www.google.com/search?q=site%3Aipb.pt%20Contabilidade%20licenciatura</t>
  </si>
  <si>
    <t>Design de Jogos Digitais</t>
  </si>
  <si>
    <t>https://www.google.com/search?q=site%3Aipb.pt%20Design%20de%20Jogos%20Digitais%20licenciatura</t>
  </si>
  <si>
    <t>https://www.google.com/search?q=site%3Aipb.pt%20Desporto%20licenciatura</t>
  </si>
  <si>
    <t>https://www.google.com/search?q=site%3Aipb.pt%20Diet%C3%A9tica%20e%20Nutri%C3%A7%C3%A3o%20licenciatura</t>
  </si>
  <si>
    <t>Direção e Gestão Hoteleira</t>
  </si>
  <si>
    <t>https://www.google.com/search?q=site%3Aipb.pt%20Dire%C3%A7%C3%A3o%20e%20Gest%C3%A3o%20Hoteleira%20licenciatura</t>
  </si>
  <si>
    <t>https://www.google.com/search?q=site%3Aipb.pt%20Educa%C3%A7%C3%A3o%20Ambiental%20licenciatura</t>
  </si>
  <si>
    <t>https://www.google.com/search?q=site%3Aipb.pt%20Educa%C3%A7%C3%A3o%20B%C3%A1sica%20licenciatura</t>
  </si>
  <si>
    <t>https://www.google.com/search?q=site%3Aipb.pt%20Educa%C3%A7%C3%A3o%20Social%20licenciatura</t>
  </si>
  <si>
    <t>https://www.google.com/search?q=site%3Aipb.pt%20Enfermagem%20licenciatura</t>
  </si>
  <si>
    <t>https://www.google.com/search?q=site%3Aipb.pt%20Enfermagem%20Veterin%C3%A1ria%20licenciatura</t>
  </si>
  <si>
    <t>Engenharia Agronómica</t>
  </si>
  <si>
    <t>https://www.google.com/search?q=site%3Aipb.pt%20Engenharia%20Agron%C3%B3mica%20licenciatura</t>
  </si>
  <si>
    <t>https://www.google.com/search?q=site%3Aipb.pt%20Engenharia%20Alimentar%20licenciatura</t>
  </si>
  <si>
    <t>https://www.google.com/search?q=site%3Aipb.pt%20Engenharia%20Civil%20licenciatura</t>
  </si>
  <si>
    <t>https://www.google.com/search?q=site%3Aipb.pt%20Engenharia%20Eletrot%C3%A9cnica%20e%20de%20Computadores%20licenciatura</t>
  </si>
  <si>
    <t>https://www.google.com/search?q=site%3Aipb.pt%20Engenharia%20Inform%C3%A1tica%20licenciatura</t>
  </si>
  <si>
    <t>https://www.google.com/search?q=site%3Aipb.pt%20Engenharia%20Mec%C3%A2nica%20licenciatura</t>
  </si>
  <si>
    <t>https://www.google.com/search?q=site%3Aipb.pt%20Engenharia%20Qu%C3%ADmica%20licenciatura</t>
  </si>
  <si>
    <t>Engenharia Zootécnica</t>
  </si>
  <si>
    <t>https://www.google.com/search?q=site%3Aipb.pt%20Engenharia%20Zoot%C3%A9cnica%20licenciatura</t>
  </si>
  <si>
    <t>Engenharia de Energias Renováveis</t>
  </si>
  <si>
    <t>https://www.google.com/search?q=site%3Aipb.pt%20Engenharia%20de%20Energias%20Renov%C3%A1veis%20licenciatura</t>
  </si>
  <si>
    <t>https://www.google.com/search?q=site%3Aipb.pt%20Engenharia%20do%20Ambiente%20licenciatura</t>
  </si>
  <si>
    <t>https://www.google.com/search?q=site%3Aipb.pt%20Engenharia%20e%20Gest%C3%A3o%20Industrial%20licenciatura</t>
  </si>
  <si>
    <t>Enologia</t>
  </si>
  <si>
    <t>https://www.google.com/search?q=site%3Aipb.pt%20Enologia%20licenciatura</t>
  </si>
  <si>
    <t>https://www.google.com/search?q=site%3Aipb.pt%20Farm%C3%A1cia%20licenciatura</t>
  </si>
  <si>
    <t>Escola Superior de Saúde de Bragança (polo de Chaves, IPB)</t>
  </si>
  <si>
    <t>https://www.google.com/search?q=site%3Aipb.pt%20Fisioterapia%20licenciatura</t>
  </si>
  <si>
    <t>https://www.google.com/search?q=site%3Aipb.pt%20Gerontologia%20licenciatura</t>
  </si>
  <si>
    <t>https://www.google.com/search?q=site%3Aipb.pt%20Gest%C3%A3o%20licenciatura</t>
  </si>
  <si>
    <t>Gestão de Negócios Internacionais</t>
  </si>
  <si>
    <t>https://www.google.com/search?q=site%3Aipb.pt%20Gest%C3%A3o%20de%20Neg%C3%B3cios%20Internacionais%20licenciatura</t>
  </si>
  <si>
    <t>Gestão e Administração Pública</t>
  </si>
  <si>
    <t>https://www.google.com/search?q=site%3Aipb.pt%20Gest%C3%A3o%20e%20Administra%C3%A7%C3%A3o%20P%C3%BAblica%20licenciatura</t>
  </si>
  <si>
    <t>Informática e Comunicações</t>
  </si>
  <si>
    <t>https://www.google.com/search?q=site%3Aipb.pt%20Inform%C3%A1tica%20e%20Comunica%C3%A7%C3%B5es%20licenciatura</t>
  </si>
  <si>
    <t>https://www.google.com/search?q=site%3Aipb.pt%20Jornalismo%20e%20Comunica%C3%A7%C3%A3o%20licenciatura</t>
  </si>
  <si>
    <t>Línguas Estrangeiras: Inglês e Espanhol</t>
  </si>
  <si>
    <t>https://www.google.com/search?q=site%3Aipb.pt%20L%C3%ADnguas%20Estrangeiras%3A%20Ingl%C3%AAs%20e%20Espanhol%20licenciatura</t>
  </si>
  <si>
    <t>Línguas para Relações Internacionais</t>
  </si>
  <si>
    <t>https://www.google.com/search?q=site%3Aipb.pt%20L%C3%ADnguas%20para%20Rela%C3%A7%C3%B5es%20Internacionais%20licenciatura</t>
  </si>
  <si>
    <t>https://www.google.com/search?q=site%3Aipb.pt%20Marketing%20licenciatura</t>
  </si>
  <si>
    <t>Multimédia</t>
  </si>
  <si>
    <t>https://www.google.com/search?q=site%3Aipb.pt%20Multim%C3%A9dia%20licenciatura</t>
  </si>
  <si>
    <t>Música em Contextos Comunitários</t>
  </si>
  <si>
    <t>https://www.google.com/search?q=site%3Aipb.pt%20M%C3%BAsica%20em%20Contextos%20Comunit%C3%A1rios%20licenciatura</t>
  </si>
  <si>
    <t>https://www.google.com/search?q=site%3Aipb.pt%20Osteopatia%20licenciatura</t>
  </si>
  <si>
    <t>Relações Lusófonas e Língua Portuguesa</t>
  </si>
  <si>
    <t>https://www.google.com/search?q=site%3Aipb.pt%20Rela%C3%A7%C3%B5es%20Lus%C3%B3fonas%20e%20L%C3%ADngua%20Portuguesa%20licenciatura</t>
  </si>
  <si>
    <t>Restauração e Tecnologia Alimentar</t>
  </si>
  <si>
    <t>https://www.google.com/search?q=site%3Aipb.pt%20Restaura%C3%A7%C3%A3o%20e%20Tecnologia%20Alimentar%20licenciatura</t>
  </si>
  <si>
    <t>https://www.google.com/search?q=site%3Aipb.pt%20Solicitadoria%20licenciatura</t>
  </si>
  <si>
    <t>Tecnologia Biomédica</t>
  </si>
  <si>
    <t>https://www.google.com/search?q=site%3Aipb.pt%20Tecnologia%20Biom%C3%A9dica%20licenciatura</t>
  </si>
  <si>
    <t>https://www.google.com/search?q=site%3Aipb.pt%20Tecnologias%20Digitais%20e%20Gest%C3%A3o%20licenciatura</t>
  </si>
  <si>
    <t>https://www.google.com/search?q=site%3Aipb.pt%20Turismo%20licenciatura</t>
  </si>
  <si>
    <t>Administração Autárquica</t>
  </si>
  <si>
    <t>https://www.google.com/search?q=site%3Aipb.pt%20Administra%C3%A7%C3%A3o%20Aut%C3%A1rquica%20mestrado</t>
  </si>
  <si>
    <t>Agroecologia</t>
  </si>
  <si>
    <t>https://www.google.com/search?q=site%3Aipb.pt%20Agroecologia%20mestrado</t>
  </si>
  <si>
    <t>Ambiente e Gestão do Território</t>
  </si>
  <si>
    <t>https://www.google.com/search?q=site%3Aipb.pt%20Ambiente%20e%20Gest%C3%A3o%20do%20Territ%C3%B3rio%20mestrado</t>
  </si>
  <si>
    <t>https://www.google.com/search?q=site%3Aipb.pt%20Contabilidade%20e%20Finan%C3%A7as%20mestrado</t>
  </si>
  <si>
    <t>Design e Desenvolvimento de Jogos Digitais</t>
  </si>
  <si>
    <t>https://www.google.com/search?q=site%3Aipb.pt%20Design%20e%20Desenvolvimento%20de%20Jogos%20Digitais%20mestrado</t>
  </si>
  <si>
    <t>Digitalização Aplicada</t>
  </si>
  <si>
    <t>https://www.google.com/search?q=site%3Aipb.pt%20Digitaliza%C3%A7%C3%A3o%20Aplicada%20mestrado</t>
  </si>
  <si>
    <t>https://www.google.com/search?q=site%3Aipb.pt%20Educa%C3%A7%C3%A3o%20Ambiental%20mestrado</t>
  </si>
  <si>
    <t>Educação Especial e Inclusiva</t>
  </si>
  <si>
    <t>https://www.google.com/search?q=site%3Aipb.pt%20Educa%C3%A7%C3%A3o%20Especial%20e%20Inclusiva%20mestrado</t>
  </si>
  <si>
    <t>https://www.google.com/search?q=site%3Aipb.pt%20Educa%C3%A7%C3%A3o%20Pr%C3%A9-Escolar%20e%20Ensino%20do%201.%C2%BA%20Ciclo%20do%20Ensino%20B%C3%A1sico%20mestrado</t>
  </si>
  <si>
    <t>Educação Social – Educação e Intervenção ao Longo da Vida</t>
  </si>
  <si>
    <t>https://www.google.com/search?q=site%3Aipb.pt%20Educa%C3%A7%C3%A3o%20Social%20%E2%80%93%20Educa%C3%A7%C3%A3o%20e%20Interven%C3%A7%C3%A3o%20ao%20Longo%20da%20Vida%20mestrado</t>
  </si>
  <si>
    <t>Empreendedorismo e Inovação</t>
  </si>
  <si>
    <t>https://www.google.com/search?q=site%3Aipb.pt%20Empreendedorismo%20e%20Inova%C3%A7%C3%A3o%20mestrado</t>
  </si>
  <si>
    <t>https://www.google.com/search?q=site%3Aipb.pt%20Energias%20Renov%C3%A1veis%20e%20Efici%C3%AAncia%20Energ%C3%A9tica%20mestrado</t>
  </si>
  <si>
    <t>Enfermagem Comunitária na Área de Enfermagem de Saúde Familiar</t>
  </si>
  <si>
    <t>https://www.google.com/search?q=site%3Aipb.pt%20Enfermagem%20Comunit%C3%A1ria%20na%20%C3%81rea%20de%20Enfermagem%20de%20Sa%C3%BAde%20Familiar%20mestrado</t>
  </si>
  <si>
    <t>https://www.google.com/search?q=site%3Aipb.pt%20Enfermagem%20M%C3%A9dico%E2%80%91Cir%C3%BArgica%20na%20%C3%A1rea%20de%20Enfermagem%20%C3%A0%20Pessoa%20em%20Situa%C3%A7%C3%A3o%20Cr%C3%ADtica%20mestrado</t>
  </si>
  <si>
    <t>Enfermagem Veterinária Médico‑Cirúrgica</t>
  </si>
  <si>
    <t>https://www.google.com/search?q=site%3Aipb.pt%20Enfermagem%20Veterin%C3%A1ria%20M%C3%A9dico%E2%80%91Cir%C3%BArgica%20mestrado</t>
  </si>
  <si>
    <t>Enfermagem Veterinária em Animais de Companhia</t>
  </si>
  <si>
    <t>Escola Superior Agrária de Bragança (ESA‑IPB), em associação com outras escolas agrárias</t>
  </si>
  <si>
    <t>https://www.google.com/search?q=site%3Aipb.pt%20Enfermagem%20Veterin%C3%A1ria%20em%20Animais%20de%20Companhia%20mestrado</t>
  </si>
  <si>
    <t>https://www.google.com/search?q=site%3Aipb.pt%20Enfermagem%20de%20Reabilita%C3%A7%C3%A3o%20mestrado</t>
  </si>
  <si>
    <t>https://www.google.com/search?q=site%3Aipb.pt%20Enfermagem%20de%20Sa%C3%BAde%20Familiar%20mestrado</t>
  </si>
  <si>
    <t>https://www.google.com/search?q=site%3Aipb.pt%20Enfermagem%20de%20Sa%C3%BAde%20Materna%20e%20Obst%C3%A9trica%20mestrado</t>
  </si>
  <si>
    <t>https://www.google.com/search?q=site%3Aipb.pt%20Engenharia%20Biom%C3%A9dica%20mestrado</t>
  </si>
  <si>
    <t>Engenharia Biotecnológica</t>
  </si>
  <si>
    <t>https://www.google.com/search?q=site%3Aipb.pt%20Engenharia%20Biotecnol%C3%B3gica%20mestrado</t>
  </si>
  <si>
    <t>https://www.google.com/search?q=site%3Aipb.pt%20Engenharia%20Civil%20mestrado</t>
  </si>
  <si>
    <t>https://www.google.com/search?q=site%3Aipb.pt%20Engenharia%20Eletrot%C3%A9cnica%20e%20de%20Computadores%20mestrado</t>
  </si>
  <si>
    <t>https://www.google.com/search?q=site%3Aipb.pt%20Engenharia%20Mec%C3%A2nica%20mestrado</t>
  </si>
  <si>
    <t>https://www.google.com/search?q=site%3Aipb.pt%20Engenharia%20Qu%C3%ADmica%20mestrado</t>
  </si>
  <si>
    <t>Ensino da Educação Musical no Ensino Básico</t>
  </si>
  <si>
    <t>Formação de Professores de Música</t>
  </si>
  <si>
    <t>https://www.google.com/search?q=site%3Aipb.pt%20Ensino%20da%20Educa%C3%A7%C3%A3o%20Musical%20no%20Ensino%20B%C3%A1sico%20mestrado</t>
  </si>
  <si>
    <t>https://www.google.com/search?q=site%3Aipb.pt%20Ensino%20do%201.%C2%BA%20Ciclo%20do%20Ensino%20B%C3%A1sico%20e%20de%20Matem%C3%A1tica%20e%20Ci%C3%AAncias%20Naturais%20no%202.%C2%BA%20Ciclo%20do%20Ensino%20B%C3%A1sico%20mestrado</t>
  </si>
  <si>
    <t>https://www.google.com/search?q=site%3Aipb.pt%20Ensino%20do%201.%C2%BA%20Ciclo%20do%20Ensino%20B%C3%A1sico%20e%20de%20Portugu%C3%AAs%20e%20Hist%C3%B3ria%20e%20Geografia%20de%20Portugal%20no%202.%C2%BA%20Ciclo%20do%20Ensino%20B%C3%A1sico%20mestrado</t>
  </si>
  <si>
    <t>Exercício e Saúde</t>
  </si>
  <si>
    <t>https://www.google.com/search?q=site%3Aipb.pt%20Exerc%C3%ADcio%20e%20Sa%C3%BAde%20mestrado</t>
  </si>
  <si>
    <t>Gestão Aplicada</t>
  </si>
  <si>
    <t>https://www.google.com/search?q=site%3Aipb.pt%20Gest%C3%A3o%20Aplicada%20mestrado</t>
  </si>
  <si>
    <t>Gestão das Organizações</t>
  </si>
  <si>
    <t>https://www.google.com/search?q=site%3Aipb.pt%20Gest%C3%A3o%20das%20Organiza%C3%A7%C3%B5es%20mestrado</t>
  </si>
  <si>
    <t>Gestão das Organizações (ramo Gestão de Unidades de Saúde)</t>
  </si>
  <si>
    <t>ESSa‑IPB, no âmbito da associação APNOR (Politécnicos do Norte)</t>
  </si>
  <si>
    <t>https://www.google.com/search?q=site%3Aipb.pt%20Gest%C3%A3o%20das%20Organiza%C3%A7%C3%B5es%20%28ramo%20Gest%C3%A3o%20de%20Unidades%20de%20Sa%C3%BAde%29%20mestrado</t>
  </si>
  <si>
    <t>Gestão de Recursos Florestais</t>
  </si>
  <si>
    <t>https://www.google.com/search?q=site%3Aipb.pt%20Gest%C3%A3o%20de%20Recursos%20Florestais%20mestrado</t>
  </si>
  <si>
    <t>Indústrias Culturais e Criativas</t>
  </si>
  <si>
    <t>Ciências Sociais e do Comportamento</t>
  </si>
  <si>
    <t>Instituto Politécnico de Bragança (coord. central), envolvendo ESE‑IPB</t>
  </si>
  <si>
    <t>https://www.google.com/search?q=site%3Aipb.pt%20Ind%C3%BAstrias%20Culturais%20e%20Criativas%20mestrado</t>
  </si>
  <si>
    <t>https://www.google.com/search?q=site%3Aipb.pt%20Inform%C3%A1tica%20mestrado</t>
  </si>
  <si>
    <t>Inovação de Produtos e Processos</t>
  </si>
  <si>
    <t>Instituto Politécnico de Bragança (curso conjunto com outras escolas), com oferta também na ESE‑IPB</t>
  </si>
  <si>
    <t>https://www.google.com/search?q=site%3Aipb.pt%20Inova%C3%A7%C3%A3o%20de%20Produtos%20e%20Processos%20mestrado</t>
  </si>
  <si>
    <t>Inovação de Produtos e Processos (120 ECTS)</t>
  </si>
  <si>
    <t>ECTS) – mesma área: 520</t>
  </si>
  <si>
    <t>ESA‑IPB em associação com ESTiG‑IPB (Brigantia Ecopark)</t>
  </si>
  <si>
    <t>https://www.google.com/search?q=site%3Aipb.pt%20Inova%C3%A7%C3%A3o%20de%20Produtos%20e%20Processos%20%28120%20ECTS%29%20mestrado</t>
  </si>
  <si>
    <t>Inovação de Produtos e Processos (90 ECTS)</t>
  </si>
  <si>
    <t>https://www.google.com/search?q=site%3Aipb.pt%20Inova%C3%A7%C3%A3o%20de%20Produtos%20e%20Processos%20%2890%20ECTS%29%20mestrado</t>
  </si>
  <si>
    <t>https://www.google.com/search?q=site%3Aipb.pt%20Log%C3%ADstica%20mestrado</t>
  </si>
  <si>
    <t>Marketing Turístico</t>
  </si>
  <si>
    <t>https://www.google.com/search?q=site%3Aipb.pt%20Marketing%20Tur%C3%ADstico%20mestrado</t>
  </si>
  <si>
    <t>Património Cultural, Sustentabilidade e Inovação</t>
  </si>
  <si>
    <t>https://www.google.com/search?q=site%3Aipb.pt%20Patrim%C3%B3nio%20Cultural%2C%20Sustentabilidade%20e%20Inova%C3%A7%C3%A3o%20mestrado</t>
  </si>
  <si>
    <t>Produtos Naturais e Bioaplicações</t>
  </si>
  <si>
    <t>https://www.google.com/search?q=site%3Aipb.pt%20Produtos%20Naturais%20e%20Bioaplica%C3%A7%C3%B5es%20mestrado</t>
  </si>
  <si>
    <t>Qualidade e Segurança Alimentar</t>
  </si>
  <si>
    <t>https://www.google.com/search?q=site%3Aipb.pt%20Qualidade%20e%20Seguran%C3%A7a%20Alimentar%20mestrado</t>
  </si>
  <si>
    <t>Solicitadoria dos Contratos</t>
  </si>
  <si>
    <t>https://www.google.com/search?q=site%3Aipb.pt%20Solicitadoria%20dos%20Contratos%20mestrado</t>
  </si>
  <si>
    <t>Supervisão Pedagógica e Inovação em Educação</t>
  </si>
  <si>
    <t>https://www.google.com/search?q=site%3Aipb.pt%20Supervis%C3%A3o%20Pedag%C3%B3gica%20e%20Inova%C3%A7%C3%A3o%20em%20Educa%C3%A7%C3%A3o%20mestrado</t>
  </si>
  <si>
    <t>Tecnologia Ambiental</t>
  </si>
  <si>
    <t>Escola Superior Agrária de Bragança (ESA‑IPB), em colaboração com Univ. de León</t>
  </si>
  <si>
    <t>https://www.google.com/search?q=site%3Aipb.pt%20Tecnologia%20Ambiental%20mestrado</t>
  </si>
  <si>
    <t>Tecnologias Agroalimentares</t>
  </si>
  <si>
    <t>https://www.google.com/search?q=site%3Aipb.pt%20Tecnologias%20Agroalimentares%20mestrado</t>
  </si>
  <si>
    <t>Tecnologias Digitais Aplicadas às Ciências Agrárias e Veterinárias</t>
  </si>
  <si>
    <t>Produção Agrícola e Animal (0811)</t>
  </si>
  <si>
    <t>https://www.google.com/search?q=site%3Aipb.pt%20Tecnologias%20Digitais%20Aplicadas%20%C3%A0s%20Ci%C3%AAncias%20Agr%C3%A1rias%20e%20Veterin%C3%A1rias%20mestrado</t>
  </si>
  <si>
    <t>Tecnologias Digitais na Educação e Formação</t>
  </si>
  <si>
    <t>https://www.google.com/search?q=site%3Aipb.pt%20Tecnologias%20Digitais%20na%20Educa%C3%A7%C3%A3o%20e%20Forma%C3%A7%C3%A3o%20mestrado</t>
  </si>
  <si>
    <t>Tecnologias da Ciência Animal</t>
  </si>
  <si>
    <t>https://www.google.com/search?q=site%3Aipb.pt%20Tecnologias%20da%20Ci%C3%AAncia%20Animal%20mestrado</t>
  </si>
  <si>
    <t>Tradução</t>
  </si>
  <si>
    <t>https://www.google.com/search?q=site%3Aipb.pt%20Tradu%C3%A7%C3%A3o%20mestrado</t>
  </si>
  <si>
    <t>AgroBusiness</t>
  </si>
  <si>
    <t>Escola Superior de Tecnologia e Gestão – Campus Santa Apolónia</t>
  </si>
  <si>
    <t>https://www.google.com/search?q=site%3Aipb.pt%20AgroBusiness%20p%C3%B3s-gradua%C3%A7%C3%A3o</t>
  </si>
  <si>
    <t>Escola Superior de Saúde – Campus Santa Apolónia</t>
  </si>
  <si>
    <t>https://www.google.com/search?q=site%3Aipb.pt%20Cuidados%20Paliativos%20p%C3%B3s-gradua%C3%A7%C3%A3o</t>
  </si>
  <si>
    <t>Design Circular e Sustentável da Água: Saúde e Bem‑Estar</t>
  </si>
  <si>
    <t>Escola Superior de Hotelaria e Bem‑Estar – Campus da Água (Chaves)</t>
  </si>
  <si>
    <t>https://www.google.com/search?q=site%3Aipb.pt%20Design%20Circular%20e%20Sustent%C3%A1vel%20da%20%C3%81gua%3A%20Sa%C3%BAde%20e%20Bem%E2%80%91Estar%20p%C3%B3s-gradua%C3%A7%C3%A3o</t>
  </si>
  <si>
    <t>Educação Emocional</t>
  </si>
  <si>
    <t>https://www.google.com/search?q=site%3Aipb.pt%20Educa%C3%A7%C3%A3o%20Emocional%20p%C3%B3s-gradua%C3%A7%C3%A3o</t>
  </si>
  <si>
    <t>Duração 1 ano; créditos não indicados publicamente</t>
  </si>
  <si>
    <t>Epidemiologia e Análise de Dados em Investigação Clínica</t>
  </si>
  <si>
    <t>https://www.google.com/search?q=site%3Aipb.pt%20Epidemiologia%20e%20An%C3%A1lise%20de%20Dados%20em%20Investiga%C3%A7%C3%A3o%20Cl%C3%ADnica%20p%C3%B3s-gradua%C3%A7%C3%A3o</t>
  </si>
  <si>
    <t>Escola Superior de Comunicação, Administração e Turismo – Campus Cruzeiro (Mirandela)</t>
  </si>
  <si>
    <t>https://www.google.com/search?q=site%3Aipb.pt%20Gest%C3%A3o%20Aut%C3%A1rquica%20p%C3%B3s-gradua%C3%A7%C3%A3o</t>
  </si>
  <si>
    <t>Gestão Pública</t>
  </si>
  <si>
    <t>https://www.google.com/search?q=site%3Aipb.pt%20Gest%C3%A3o%20P%C3%BAblica%20p%C3%B3s-gradua%C3%A7%C3%A3o</t>
  </si>
  <si>
    <t>Gestão de Organizações de Economia Social</t>
  </si>
  <si>
    <t>https://www.google.com/search?q=site%3Aipb.pt%20Gest%C3%A3o%20de%20Organiza%C3%A7%C3%B5es%20de%20Economia%20Social%20p%C3%B3s-gradua%C3%A7%C3%A3o</t>
  </si>
  <si>
    <t>Gestão de Unidades de Saúde</t>
  </si>
  <si>
    <t>https://www.google.com/search?q=site%3Aipb.pt%20Gest%C3%A3o%20de%20Unidades%20de%20Sa%C3%BAde%20p%C3%B3s-gradua%C3%A7%C3%A3o</t>
  </si>
  <si>
    <t>Gestão em Enfermagem</t>
  </si>
  <si>
    <t>https://www.google.com/search?q=site%3Aipb.pt%20Gest%C3%A3o%20em%20Enfermagem%20p%C3%B3s-gradua%C3%A7%C3%A3o</t>
  </si>
  <si>
    <t>Investigação Aplicada</t>
  </si>
  <si>
    <t>Instituto Politécnico de Bragança – Campus Santa Apolónia</t>
  </si>
  <si>
    <t>https://www.google.com/search?q=site%3Aipb.pt%20Investiga%C3%A7%C3%A3o%20Aplicada%20p%C3%B3s-gradua%C3%A7%C3%A3o</t>
  </si>
  <si>
    <t>Língua e Cultura Portuguesas</t>
  </si>
  <si>
    <t>Escola Superior de Educação – Campus Santa Apolónia</t>
  </si>
  <si>
    <t>https://www.google.com/search?q=site%3Aipb.pt%20L%C3%ADngua%20e%20Cultura%20Portuguesas%20p%C3%B3s-gradua%C3%A7%C3%A3o</t>
  </si>
  <si>
    <t>https://www.google.com/search?q=site%3Aipb.pt%20Marketing%20Digital%20p%C3%B3s-gradua%C3%A7%C3%A3o</t>
  </si>
  <si>
    <t>Marketing Territorial</t>
  </si>
  <si>
    <t>https://www.google.com/search?q=site%3Aipb.pt%20Marketing%20Territorial%20p%C3%B3s-gradua%C3%A7%C3%A3o</t>
  </si>
  <si>
    <t>Obesidade e Controlo de Peso</t>
  </si>
  <si>
    <t>https://www.google.com/search?q=site%3Aipb.pt%20Obesidade%20e%20Controlo%20de%20Peso%20p%C3%B3s-gradua%C3%A7%C3%A3o</t>
  </si>
  <si>
    <t>Qualidade e Auditorias em Saúde</t>
  </si>
  <si>
    <t>https://www.google.com/search?q=site%3Aipb.pt%20Qualidade%20e%20Auditorias%20em%20Sa%C3%BAde%20p%C3%B3s-gradua%C3%A7%C3%A3o</t>
  </si>
  <si>
    <t>Sistema de Normalização Contabilística para as Administrações Públicas</t>
  </si>
  <si>
    <t>https://www.google.com/search?q=site%3Aipb.pt%20Sistema%20de%20Normaliza%C3%A7%C3%A3o%20Contabil%C3%ADstica%20para%20as%20Administra%C3%A7%C3%B5es%20P%C3%BAblicas%20p%C3%B3s-gradua%C3%A7%C3%A3o</t>
  </si>
  <si>
    <t>https://www.google.com/search?q=site%3Aipb.pt%20Transforma%C3%A7%C3%A3o%20Digital%20p%C3%B3s-gradua%C3%A7%C3%A3o</t>
  </si>
  <si>
    <t>Instituto Politécnico de Castelo Branco</t>
  </si>
  <si>
    <t>Castelo Branco</t>
  </si>
  <si>
    <t>Escola Superior Agrária de Castelo Branco (ESACB‑IPCB), Quinta da Senhora de Mércules, Apartado 119, 6001‑909 Castelo Branco</t>
  </si>
  <si>
    <t>https://www.google.com/search?q=site%3Aipcb.pt%20An%C3%A1lises%20Qu%C3%ADmicas%20e%20Biol%C3%B3gicas%20CTeSP</t>
  </si>
  <si>
    <t>Assessoria e Comunicação Empresarial</t>
  </si>
  <si>
    <t>Escola Superior de Educação de Castelo Branco (ESECB‑IPCB), Rua Prof. Dr. Faria de Vasconcelos, 6000‑266 Castelo Branco</t>
  </si>
  <si>
    <t>https://www.google.com/search?q=site%3Aipcb.pt%20Assessoria%20e%20Comunica%C3%A7%C3%A3o%20Empresarial%20CTeSP</t>
  </si>
  <si>
    <t>Automação e Gestão Industrial</t>
  </si>
  <si>
    <t>Escola Superior de Tecnologia de Castelo Branco (ESTCB‑IPCB), Campus da Talagueira, Avenida do Empresário, 6000‑767 Castelo Branco</t>
  </si>
  <si>
    <t>https://www.google.com/search?q=site%3Aipcb.pt%20Automa%C3%A7%C3%A3o%20e%20Gest%C3%A3o%20Industrial%20CTeSP</t>
  </si>
  <si>
    <t>Comunicação Audiovisual</t>
  </si>
  <si>
    <t>Escola Superior de Artes Aplicadas (ESART‑IPCB), Av. Pedro Álvares Cabral, n.º 12, 6000‑084 Castelo Branco</t>
  </si>
  <si>
    <t>https://www.google.com/search?q=site%3Aipcb.pt%20Comunica%C3%A7%C3%A3o%20Audiovisual%20CTeSP</t>
  </si>
  <si>
    <t>Comunicações Móveis</t>
  </si>
  <si>
    <t>Tecnologias de Informação e Comunicação</t>
  </si>
  <si>
    <t>ESTCB‑IPCB, Campus da Talagueira, Castelo Branco</t>
  </si>
  <si>
    <t>https://www.google.com/search?q=site%3Aipcb.pt%20Comunica%C3%A7%C3%B5es%20M%C3%B3veis%20CTeSP</t>
  </si>
  <si>
    <t>https://www.google.com/search?q=site%3Aipcb.pt%20Constru%C3%A7%C3%A3o%20Civil%20CTeSP</t>
  </si>
  <si>
    <t>ESACB‑IPCB, Quinta da Senhora de Mércules, Castelo Branco</t>
  </si>
  <si>
    <t>https://www.google.com/search?q=site%3Aipcb.pt%20Cuidados%20Veterin%C3%A1rios%20CTeSP</t>
  </si>
  <si>
    <t>Cuidados de Longa Duração e Bem‑Estar</t>
  </si>
  <si>
    <t>ESECB‑IPCB, Rua Prof. Dr. Faria de Vasconcelos, Castelo Branco</t>
  </si>
  <si>
    <t>https://www.google.com/search?q=site%3Aipcb.pt%20Cuidados%20de%20Longa%20Dura%C3%A7%C3%A3o%20e%20Bem%E2%80%91Estar%20CTeSP</t>
  </si>
  <si>
    <t>Desenvolvimento Web e Multimédia</t>
  </si>
  <si>
    <t>https://www.google.com/search?q=site%3Aipcb.pt%20Desenvolvimento%20Web%20e%20Multim%C3%A9dia%20CTeSP</t>
  </si>
  <si>
    <t>https://www.google.com/search?q=site%3Aipcb.pt%20Desenvolvimento%20de%20Produtos%20Multim%C3%A9dia%20CTeSP</t>
  </si>
  <si>
    <t>https://www.google.com/search?q=site%3Aipcb.pt%20Desporto%20CTeSP</t>
  </si>
  <si>
    <t>Desporto e Tecnologias</t>
  </si>
  <si>
    <t>https://www.google.com/search?q=site%3Aipcb.pt%20Desporto%20e%20Tecnologias%20CTeSP</t>
  </si>
  <si>
    <t>Digitalização e Indústria 4.0</t>
  </si>
  <si>
    <t>https://www.google.com/search?q=site%3Aipcb.pt%20Digitaliza%C3%A7%C3%A3o%20e%20Ind%C3%BAstria%204.0%20CTeSP</t>
  </si>
  <si>
    <t>Energias Renováveis</t>
  </si>
  <si>
    <t>https://www.google.com/search?q=site%3Aipcb.pt%20Energias%20Renov%C3%A1veis%20CTeSP</t>
  </si>
  <si>
    <t>Instalações Elétricas e Telecomunicações</t>
  </si>
  <si>
    <t>https://www.google.com/search?q=site%3Aipcb.pt%20Instala%C3%A7%C3%B5es%20El%C3%A9tricas%20e%20Telecomunica%C3%A7%C3%B5es%20CTeSP</t>
  </si>
  <si>
    <t>https://www.google.com/search?q=site%3Aipcb.pt%20Produ%C3%A7%C3%A3o%20Agr%C3%ADcola%20CTeSP</t>
  </si>
  <si>
    <t>https://www.google.com/search?q=site%3Aipcb.pt%20Prote%C3%A7%C3%A3o%20Civil%20CTeSP</t>
  </si>
  <si>
    <t>Recreação Educativa para Crianças</t>
  </si>
  <si>
    <t>https://www.google.com/search?q=site%3Aipcb.pt%20Recrea%C3%A7%C3%A3o%20Educativa%20para%20Crian%C3%A7as%20CTeSP</t>
  </si>
  <si>
    <t>Recursos Animais</t>
  </si>
  <si>
    <t>https://www.google.com/search?q=site%3Aipcb.pt%20Recursos%20Animais%20CTeSP</t>
  </si>
  <si>
    <t>Recursos Florestais</t>
  </si>
  <si>
    <t>https://www.google.com/search?q=site%3Aipcb.pt%20Recursos%20Florestais%20CTeSP</t>
  </si>
  <si>
    <t>https://www.google.com/search?q=site%3Aipcb.pt%20Redes%20e%20Sistemas%20Inform%C3%A1ticos%20CTeSP</t>
  </si>
  <si>
    <t>Idanha‑a‑Nova</t>
  </si>
  <si>
    <t>Restauração e Bebidas</t>
  </si>
  <si>
    <t>ESGIN‑IPCB, Largo do Município, Idanha‑a‑Nova</t>
  </si>
  <si>
    <t>https://www.google.com/search?q=site%3Aipcb.pt%20Restaura%C3%A7%C3%A3o%20e%20Bebidas%20CTeSP</t>
  </si>
  <si>
    <t>Sistemas Eletrónicos e Computadores</t>
  </si>
  <si>
    <t>https://www.google.com/search?q=site%3Aipcb.pt%20Sistemas%20Eletr%C3%B3nicos%20e%20Computadores%20CTeSP</t>
  </si>
  <si>
    <t>Tecnologia Educativa Digital</t>
  </si>
  <si>
    <t>https://www.google.com/search?q=site%3Aipcb.pt%20Tecnologia%20Educativa%20Digital%20CTeSP</t>
  </si>
  <si>
    <t>https://www.google.com/search?q=site%3Aipcb.pt%20Tecnologias%20e%20Programa%C3%A7%C3%A3o%20de%20Sistemas%20de%20Informa%C3%A7%C3%A3o%20CTeSP</t>
  </si>
  <si>
    <t>Idanha‑a‑Nova / Vila de Rei</t>
  </si>
  <si>
    <t>Turismo e Hotelaria</t>
  </si>
  <si>
    <t>ESGIN‑IPCB, Largo do Município, Idanha‑a‑Nova; lecionado também em Vila de Rei (CIES – Centro de Instalação de Empresas e Serviços), em parceria com o Município</t>
  </si>
  <si>
    <t>https://www.google.com/search?q=site%3Aipcb.pt%20Turismo%20e%20Hotelaria%20CTeSP</t>
  </si>
  <si>
    <t>https://www.google.com/search?q=site%3Aipcb.pt%20Agronomia%20licenciatura</t>
  </si>
  <si>
    <t>Biotecnologia Alimentar</t>
  </si>
  <si>
    <t>https://www.google.com/search?q=site%3Aipcb.pt%20Biotecnologia%20Alimentar%20licenciatura</t>
  </si>
  <si>
    <t>Escola Superior de Saúde Dr. Lopes Dias (ESALD‑IPCB), Campus da Talagueira, Avenida do Empresário, 6000‑767 Castelo Branco</t>
  </si>
  <si>
    <t>https://www.google.com/search?q=site%3Aipcb.pt%20Ci%C3%AAncias%20Biom%C3%A9dicas%20Laboratoriais%20licenciatura</t>
  </si>
  <si>
    <t>Design de Comunicação e Audiovisual</t>
  </si>
  <si>
    <t>https://www.google.com/search?q=site%3Aipcb.pt%20Design%20de%20Comunica%C3%A7%C3%A3o%20e%20Audiovisual%20licenciatura</t>
  </si>
  <si>
    <t>Design de Interiores e Equipamento</t>
  </si>
  <si>
    <t>ESART‑IPCB, Av. Pedro Álvares Cabral, Castelo Branco</t>
  </si>
  <si>
    <t>https://www.google.com/search?q=site%3Aipcb.pt%20Design%20de%20Interiores%20e%20Equipamento%20licenciatura</t>
  </si>
  <si>
    <t>Design de Moda e Têxtil</t>
  </si>
  <si>
    <t>https://www.google.com/search?q=site%3Aipcb.pt%20Design%20de%20Moda%20e%20T%C3%AAxtil%20licenciatura</t>
  </si>
  <si>
    <t>Desporto e Atividade Física</t>
  </si>
  <si>
    <t>https://www.google.com/search?q=site%3Aipcb.pt%20Desporto%20e%20Atividade%20F%C3%ADsica%20licenciatura</t>
  </si>
  <si>
    <t>https://www.google.com/search?q=site%3Aipcb.pt%20Educa%C3%A7%C3%A3o%20B%C3%A1sica%20licenciatura</t>
  </si>
  <si>
    <t>ESALD‑IPCB, Campus da Talagueira, Avenida do Empresário, Castelo Branco</t>
  </si>
  <si>
    <t>https://www.google.com/search?q=site%3Aipcb.pt%20Enfermagem%20licenciatura</t>
  </si>
  <si>
    <t>https://www.google.com/search?q=site%3Aipcb.pt%20Enfermagem%20Veterin%C3%A1ria%20licenciatura</t>
  </si>
  <si>
    <t>https://www.google.com/search?q=site%3Aipcb.pt%20Engenharia%20Civil%20licenciatura</t>
  </si>
  <si>
    <t>Engenharia Eletrotécnica e das Telecomunicações</t>
  </si>
  <si>
    <t>ESTCB‑IPCB, Campus da Talagueira, Avenida do Empresário, Castelo Branco</t>
  </si>
  <si>
    <t>https://www.google.com/search?q=site%3Aipcb.pt%20Engenharia%20Eletrot%C3%A9cnica%20e%20das%20Telecomunica%C3%A7%C3%B5es%20licenciatura</t>
  </si>
  <si>
    <t>https://www.google.com/search?q=site%3Aipcb.pt%20Engenharia%20Inform%C3%A1tica%20licenciatura</t>
  </si>
  <si>
    <t>Engenharia das Energias Renováveis</t>
  </si>
  <si>
    <t>https://www.google.com/search?q=site%3Aipcb.pt%20Engenharia%20das%20Energias%20Renov%C3%A1veis%20licenciatura</t>
  </si>
  <si>
    <t>https://www.google.com/search?q=site%3Aipcb.pt%20Engenharia%20de%20Prote%C3%A7%C3%A3o%20Civil%20licenciatura</t>
  </si>
  <si>
    <t>https://www.google.com/search?q=site%3Aipcb.pt%20Engenharia%20e%20Gest%C3%A3o%20Industrial%20licenciatura</t>
  </si>
  <si>
    <t>Fisiologia Clínica</t>
  </si>
  <si>
    <t>https://www.google.com/search?q=site%3Aipcb.pt%20Fisiologia%20Cl%C3%ADnica%20licenciatura</t>
  </si>
  <si>
    <t>https://www.google.com/search?q=site%3Aipcb.pt%20Fisioterapia%20licenciatura</t>
  </si>
  <si>
    <t>https://www.google.com/search?q=site%3Aipcb.pt%20Gest%C3%A3o%20licenciatura</t>
  </si>
  <si>
    <t>https://www.google.com/search?q=site%3Aipcb.pt%20Gest%C3%A3o%20Comercial%20licenciatura</t>
  </si>
  <si>
    <t>https://www.google.com/search?q=site%3Aipcb.pt%20Imagem%20M%C3%A9dica%20e%20Radioterapia%20licenciatura</t>
  </si>
  <si>
    <t>Informática e Multimédia</t>
  </si>
  <si>
    <t>https://www.google.com/search?q=site%3Aipcb.pt%20Inform%C3%A1tica%20e%20Multim%C3%A9dia%20licenciatura</t>
  </si>
  <si>
    <t>Música, variante de Canto</t>
  </si>
  <si>
    <t>https://www.google.com/search?q=site%3Aipcb.pt%20M%C3%BAsica%2C%20variante%20de%20Canto%20licenciatura</t>
  </si>
  <si>
    <t>Música, variante de Formação Musical, Direção Coral e Instrumental</t>
  </si>
  <si>
    <t>https://www.google.com/search?q=site%3Aipcb.pt%20M%C3%BAsica%2C%20variante%20de%20Forma%C3%A7%C3%A3o%20Musical%2C%20Dire%C3%A7%C3%A3o%20Coral%20e%20Instrumental%20licenciatura</t>
  </si>
  <si>
    <t>Música, variante de Instrumento</t>
  </si>
  <si>
    <t>https://www.google.com/search?q=site%3Aipcb.pt%20M%C3%BAsica%2C%20variante%20de%20Instrumento%20licenciatura</t>
  </si>
  <si>
    <t>Música, variante de Música Eletrónica e Produção Musical</t>
  </si>
  <si>
    <t>Música</t>
  </si>
  <si>
    <t>https://www.google.com/search?q=site%3Aipcb.pt%20M%C3%BAsica%2C%20variante%20de%20M%C3%BAsica%20Eletr%C3%B3nica%20e%20Produ%C3%A7%C3%A3o%20Musical%20licenciatura</t>
  </si>
  <si>
    <t>Secretariado</t>
  </si>
  <si>
    <t>https://www.google.com/search?q=site%3Aipcb.pt%20Secretariado%20licenciatura</t>
  </si>
  <si>
    <t>https://www.google.com/search?q=site%3Aipcb.pt%20Servi%C3%A7o%20Social%20licenciatura</t>
  </si>
  <si>
    <t>https://www.google.com/search?q=site%3Aipcb.pt%20Solicitadoria%20licenciatura</t>
  </si>
  <si>
    <t>Treino Desportivo e Preparação Física</t>
  </si>
  <si>
    <t>https://www.google.com/search?q=site%3Aipcb.pt%20Treino%20Desportivo%20e%20Prepara%C3%A7%C3%A3o%20F%C3%ADsica%20licenciatura</t>
  </si>
  <si>
    <t>https://www.google.com/search?q=site%3Aipcb.pt%20Turismo%20licenciatura</t>
  </si>
  <si>
    <t>Atividade Física</t>
  </si>
  <si>
    <t>https://www.google.com/search?q=site%3Aipcb.pt%20Atividade%20F%C3%ADsica%20mestrado</t>
  </si>
  <si>
    <t>https://www.google.com/search?q=site%3Aipcb.pt%20Comunica%C3%A7%C3%B5es%20M%C3%B3veis%20mestrado</t>
  </si>
  <si>
    <t>https://www.google.com/search?q=site%3Aipcb.pt%20Cuidados%20Paliativos%20mestrado</t>
  </si>
  <si>
    <t>Design Gráfico</t>
  </si>
  <si>
    <t>https://www.google.com/search?q=site%3Aipcb.pt%20Design%20Gr%C3%A1fico%20mestrado</t>
  </si>
  <si>
    <t>Design de Interiores e Mobiliário</t>
  </si>
  <si>
    <t>https://www.google.com/search?q=site%3Aipcb.pt%20Design%20de%20Interiores%20e%20Mobili%C3%A1rio%20mestrado</t>
  </si>
  <si>
    <t>Design do Vestuário e Têxtil</t>
  </si>
  <si>
    <t>https://www.google.com/search?q=site%3Aipcb.pt%20Design%20do%20Vestu%C3%A1rio%20e%20T%C3%AAxtil%20mestrado</t>
  </si>
  <si>
    <t>Educação Especial - Domínio Cognitivo e Motor</t>
  </si>
  <si>
    <t>https://www.google.com/search?q=site%3Aipcb.pt%20Educa%C3%A7%C3%A3o%20Especial%20-%20Dom%C3%ADnio%20Cognitivo%20e%20Motor%20mestrado</t>
  </si>
  <si>
    <t>https://www.google.com/search?q=site%3Aipcb.pt%20Educa%C3%A7%C3%A3o%20Pr%C3%A9%E2%80%91Escolar%20e%20Ensino%20do%201.%C2%BA%20Ciclo%20do%20Ensino%20B%C3%A1sico%20mestrado</t>
  </si>
  <si>
    <t>Escola Superior Agrária de Castelo Branco (ESACB‑IPCB), Quinta da Senhora de Mércules, 6001‑909 Castelo Branco</t>
  </si>
  <si>
    <t>https://www.google.com/search?q=site%3Aipcb.pt%20Enfermagem%20Veterin%C3%A1ria%20em%20Animais%20de%20Companhia%20mestrado</t>
  </si>
  <si>
    <t>https://www.google.com/search?q=site%3Aipcb.pt%20Engenharia%20Agron%C3%B3mica%20mestrado</t>
  </si>
  <si>
    <t>https://www.google.com/search?q=site%3Aipcb.pt%20Engenharia%20Civil%20mestrado</t>
  </si>
  <si>
    <t>Engenharia Informática – Área de especialização em Desenvolvimento de Software e Sistemas Interativos</t>
  </si>
  <si>
    <t>https://www.google.com/search?q=site%3Aipcb.pt%20Engenharia%20Inform%C3%A1tica%20%E2%80%93%20%C3%81rea%20de%20especializa%C3%A7%C3%A3o%20em%20Desenvolvimento%20de%20Software%20e%20Sistemas%20Interativos%20mestrado</t>
  </si>
  <si>
    <t>https://www.google.com/search?q=site%3Aipcb.pt%20Engenharia%20Zoot%C3%A9cnica%20mestrado</t>
  </si>
  <si>
    <t>ESECB‑IPCB, Rua Prof. Dr. Faria de Vasconcelos</t>
  </si>
  <si>
    <t>https://www.google.com/search?q=site%3Aipcb.pt%20Ensino%20de%20Ingl%C3%AAs%20no%201.%C2%BA%20Ciclo%20do%20Ensino%20B%C3%A1sico%20mestrado</t>
  </si>
  <si>
    <t>Ensino de Música</t>
  </si>
  <si>
    <t>https://www.google.com/search?q=site%3Aipcb.pt%20Ensino%20de%20M%C3%BAsica%20mestrado</t>
  </si>
  <si>
    <t>https://www.google.com/search?q=site%3Aipcb.pt%20Ensino%20do%201.%C2%BA%20Ciclo%20do%20Ensino%20B%C3%A1sico%20e%20de%20Matem%C3%A1tica%20e%20Ci%C3%AAncias%20Naturais%20no%202.%C2%BA%20Ciclo%20do%20Ensino%20B%C3%A1sico%20mestrado</t>
  </si>
  <si>
    <t>ESALD‑IPCB, Campus da Talagueira, Castelo Branco</t>
  </si>
  <si>
    <t>https://www.google.com/search?q=site%3Aipcb.pt%20Estudos%20em%20Enfermagem%20mestrado</t>
  </si>
  <si>
    <t>Gerontologia Social</t>
  </si>
  <si>
    <t>https://www.google.com/search?q=site%3Aipcb.pt%20Gerontologia%20Social%20mestrado</t>
  </si>
  <si>
    <t>https://www.google.com/search?q=site%3Aipcb.pt%20Gest%C3%A3o%20de%20Recursos%20Humanos%20mestrado</t>
  </si>
  <si>
    <t>Gestão e Relações Jurídico‑Empresariais</t>
  </si>
  <si>
    <t>https://www.google.com/search?q=site%3Aipcb.pt%20Gest%C3%A3o%20e%20Rela%C3%A7%C3%B5es%20Jur%C3%ADdico%E2%80%91Empresariais%20mestrado</t>
  </si>
  <si>
    <t>Inovação e Qualidade na Produção Alimentar</t>
  </si>
  <si>
    <t>https://www.google.com/search?q=site%3Aipcb.pt%20Inova%C3%A7%C3%A3o%20e%20Qualidade%20na%20Produ%C3%A7%C3%A3o%20Alimentar%20mestrado</t>
  </si>
  <si>
    <t>Intervenção Social Escolar</t>
  </si>
  <si>
    <t>https://www.google.com/search?q=site%3Aipcb.pt%20Interven%C3%A7%C3%A3o%20Social%20Escolar%20mestrado</t>
  </si>
  <si>
    <t>https://www.google.com/search?q=site%3Aipcb.pt%20M%C3%BAsica%20mestrado</t>
  </si>
  <si>
    <t>Produção para Média Digitais</t>
  </si>
  <si>
    <t>https://www.google.com/search?q=site%3Aipcb.pt%20Produ%C3%A7%C3%A3o%20para%20M%C3%A9dia%20Digitais%20mestrado</t>
  </si>
  <si>
    <t>Solicitadoria Empresarial</t>
  </si>
  <si>
    <t>https://www.google.com/search?q=site%3Aipcb.pt%20Solicitadoria%20Empresarial%20mestrado</t>
  </si>
  <si>
    <t>Supervisão e Avaliação Escolar</t>
  </si>
  <si>
    <t>https://www.google.com/search?q=site%3Aipcb.pt%20Supervis%C3%A3o%20e%20Avalia%C3%A7%C3%A3o%20Escolar%20mestrado</t>
  </si>
  <si>
    <t>Administração Escolar</t>
  </si>
  <si>
    <t>https://www.google.com/search?q=site%3Aipcb.pt%20Administra%C3%A7%C3%A3o%20Escolar%20p%C3%B3s-gradua%C3%A7%C3%A3o</t>
  </si>
  <si>
    <t>Ciências Florestais</t>
  </si>
  <si>
    <t>https://www.google.com/search?q=site%3Aipcb.pt%20Ci%C3%AAncias%20Florestais%20p%C3%B3s-gradua%C3%A7%C3%A3o</t>
  </si>
  <si>
    <t>Online (UAb) / Castelo Branco (IPCB)</t>
  </si>
  <si>
    <t>Ciências Florestais (UAb/IPCB)</t>
  </si>
  <si>
    <t>Universidade Aberta em parceria com Instituto Politécnico de Castelo Branco</t>
  </si>
  <si>
    <t>https://www.google.com/search?q=site%3Aipcb.pt%20Ci%C3%AAncias%20Florestais%20%28UAb/IPCB%29%20p%C3%B3s-gradua%C3%A7%C3%A3o</t>
  </si>
  <si>
    <t>2 semestres; ECTS não indicados na síntese pública (estrutura típica de 30–60 ECTS para PG UAb)</t>
  </si>
  <si>
    <t>Dosimetria Clínica</t>
  </si>
  <si>
    <t>Escola Superior de Saúde Lopes Dias</t>
  </si>
  <si>
    <t>https://www.google.com/search?q=site%3Aipcb.pt%20Dosimetria%20Cl%C3%ADnica%20p%C3%B3s-gradua%C3%A7%C3%A3o</t>
  </si>
  <si>
    <t>Estudos Avançados em Eletroencefalografia</t>
  </si>
  <si>
    <t>https://www.google.com/search?q=site%3Aipcb.pt%20Estudos%20Avan%C3%A7ados%20em%20Eletroencefalografia%20p%C3%B3s-gradua%C3%A7%C3%A3o</t>
  </si>
  <si>
    <t>Gestão de Negócios (UAb/IPCB)</t>
  </si>
  <si>
    <t>Universidade Aberta em parceria com IPCB</t>
  </si>
  <si>
    <t>https://www.google.com/search?q=site%3Aipcb.pt%20Gest%C3%A3o%20de%20Neg%C3%B3cios%20%28UAb/IPCB%29%20p%C3%B3s-gradua%C3%A7%C3%A3o</t>
  </si>
  <si>
    <t>2 semestres; ECTS não indicados</t>
  </si>
  <si>
    <t>https://www.google.com/search?q=site%3Aipcb.pt%20Gest%C3%A3o%20em%20Sa%C3%BAde%20p%C3%B3s-gradua%C3%A7%C3%A3o</t>
  </si>
  <si>
    <t>https://www.google.com/search?q=site%3Aipcb.pt%20Prote%C3%A7%C3%A3o%20Civil%20p%C3%B3s-gradua%C3%A7%C3%A3o</t>
  </si>
  <si>
    <t>Proteção Civil (UAb/IPCB)</t>
  </si>
  <si>
    <t>https://www.google.com/search?q=site%3Aipcb.pt%20Prote%C3%A7%C3%A3o%20Civil%20%28UAb/IPCB%29%20p%C3%B3s-gradua%C3%A7%C3%A3o</t>
  </si>
  <si>
    <t>Escola Superior de Tecnologia</t>
  </si>
  <si>
    <t>https://www.google.com/search?q=site%3Aipcb.pt%20Reabilita%C3%A7%C3%A3o%20Sustent%C3%A1vel%20de%20Edif%C3%ADcios%20p%C3%B3s-gradua%C3%A7%C3%A3o</t>
  </si>
  <si>
    <t>Reabilitação Sustentável de Edifícios (UAb/IPCB)</t>
  </si>
  <si>
    <t>UAb em parceria com IPCB</t>
  </si>
  <si>
    <t>https://www.google.com/search?q=site%3Aipcb.pt%20Reabilita%C3%A7%C3%A3o%20Sustent%C3%A1vel%20de%20Edif%C3%ADcios%20%28UAb/IPCB%29%20p%C3%B3s-gradua%C3%A7%C3%A3o</t>
  </si>
  <si>
    <t>Serviço Social e Sustentabilidade das Organizações de Economia Social</t>
  </si>
  <si>
    <t>https://www.google.com/search?q=site%3Aipcb.pt%20Servi%C3%A7o%20Social%20e%20Sustentabilidade%20das%20Organiza%C3%A7%C3%B5es%20de%20Economia%20Social%20p%C3%B3s-gradua%C3%A7%C3%A3o</t>
  </si>
  <si>
    <t>Serviço Social em Saúde</t>
  </si>
  <si>
    <t>https://www.google.com/search?q=site%3Aipcb.pt%20Servi%C3%A7o%20Social%20em%20Sa%C3%BAde%20p%C3%B3s-gradua%C3%A7%C3%A3o</t>
  </si>
  <si>
    <t>Sistemas de Informação Geográfica – Recursos Agroflorestais e Ambientais (UAb/IPCB)</t>
  </si>
  <si>
    <t>https://www.google.com/search?q=site%3Aipcb.pt%20Sistemas%20de%20Informa%C3%A7%C3%A3o%20Geogr%C3%A1fica%20%E2%80%93%20Recursos%20Agroflorestais%20e%20Ambientais%20%28UAb/IPCB%29%20p%C3%B3s-gradua%C3%A7%C3%A3o</t>
  </si>
  <si>
    <t>Instituto Politécnico de Coimbra</t>
  </si>
  <si>
    <t>Agrotecnologia</t>
  </si>
  <si>
    <t>Agricultura</t>
  </si>
  <si>
    <t>Escola Superior Agrária de Coimbra</t>
  </si>
  <si>
    <t>https://www.google.com/search?q=site%3Aipc.pt%20Agrotecnologia%20CTeSP</t>
  </si>
  <si>
    <t>Análises Agroalimentares</t>
  </si>
  <si>
    <t>https://www.google.com/search?q=site%3Aipc.pt%20An%C3%A1lises%20Agroalimentares%20CTeSP</t>
  </si>
  <si>
    <t>Aplicações Informáticas de Gestão</t>
  </si>
  <si>
    <t>Instituto Superior de Contabilidade e Administração de Coimbra (ISCAC)</t>
  </si>
  <si>
    <t>https://www.google.com/search?q=site%3Aipc.pt%20Aplica%C3%A7%C3%B5es%20Inform%C3%A1ticas%20de%20Gest%C3%A3o%20CTeSP</t>
  </si>
  <si>
    <t>Avicultura</t>
  </si>
  <si>
    <t>Agricultura (produção animal)</t>
  </si>
  <si>
    <t>https://www.google.com/search?q=site%3Aipc.pt%20Avicultura%20CTeSP</t>
  </si>
  <si>
    <t>Compostagem e Valorização de Resíduos Biodegradáveis</t>
  </si>
  <si>
    <t>https://www.google.com/search?q=site%3Aipc.pt%20Compostagem%20e%20Valoriza%C3%A7%C3%A3o%20de%20Res%C3%ADduos%20Biodegrad%C3%A1veis%20CTeSP</t>
  </si>
  <si>
    <t>Oliveira do Hospital</t>
  </si>
  <si>
    <t>Escola Superior de Tecnologia e Gestão de Oliveira do Hospital</t>
  </si>
  <si>
    <t>https://www.google.com/search?q=site%3Aipc.pt%20Contabilidade%20e%20Fiscalidade%20CTeSP</t>
  </si>
  <si>
    <t>https://www.google.com/search?q=site%3Aipc.pt%20Contabilidade%20e%20Fiscalidade%20para%20PME%20CTeSP</t>
  </si>
  <si>
    <t>Controlo e Qualidade na Indústria Agroalimentar</t>
  </si>
  <si>
    <t>https://www.google.com/search?q=site%3Aipc.pt%20Controlo%20e%20Qualidade%20na%20Ind%C3%BAstria%20Agroalimentar%20CTeSP</t>
  </si>
  <si>
    <t>Defesa da Floresta</t>
  </si>
  <si>
    <t>https://www.google.com/search?q=site%3Aipc.pt%20Defesa%20da%20Floresta%20CTeSP</t>
  </si>
  <si>
    <t>Desenvolvimento de Aplicações Web Empresariais</t>
  </si>
  <si>
    <t>https://www.google.com/search?q=site%3Aipc.pt%20Desenvolvimento%20de%20Aplica%C3%A7%C3%B5es%20Web%20Empresariais%20CTeSP</t>
  </si>
  <si>
    <t>Coimbra / Cantanhede</t>
  </si>
  <si>
    <t>Design Têxtil</t>
  </si>
  <si>
    <t>Escola Superior de Educação de Coimbra (em parceria com CEARTE, aulas no CEARTE)</t>
  </si>
  <si>
    <t>https://www.google.com/search?q=site%3Aipc.pt%20Design%20T%C3%AAxtil%20CTeSP</t>
  </si>
  <si>
    <t>Design de Produto</t>
  </si>
  <si>
    <t>https://www.google.com/search?q=site%3Aipc.pt%20Design%20de%20Produto%20CTeSP</t>
  </si>
  <si>
    <t>Escola Superior de Educação de Coimbra</t>
  </si>
  <si>
    <t>https://www.google.com/search?q=site%3Aipc.pt%20Desporto%20CTeSP</t>
  </si>
  <si>
    <t>Geoinformática</t>
  </si>
  <si>
    <t>https://www.google.com/search?q=site%3Aipc.pt%20Geoinform%C3%A1tica%20CTeSP</t>
  </si>
  <si>
    <t>https://www.google.com/search?q=site%3Aipc.pt%20Gest%C3%A3o%20Comercial%20e%20Vendas%20CTeSP</t>
  </si>
  <si>
    <t>Gestão Comercial e de Marketing</t>
  </si>
  <si>
    <t>https://www.google.com/search?q=site%3Aipc.pt%20Gest%C3%A3o%20Comercial%20e%20de%20Marketing%20CTeSP</t>
  </si>
  <si>
    <t>Gestão da Qualidade, Ambiente e Segurança</t>
  </si>
  <si>
    <t>https://www.google.com/search?q=site%3Aipc.pt%20Gest%C3%A3o%20da%20Qualidade%2C%20Ambiente%20e%20Seguran%C3%A7a%20CTeSP</t>
  </si>
  <si>
    <t>Gestão de PME</t>
  </si>
  <si>
    <t>https://www.google.com/search?q=site%3Aipc.pt%20Gest%C3%A3o%20de%20PME%20CTeSP</t>
  </si>
  <si>
    <t>Interpretação da Natureza e dos Espaços Rurais</t>
  </si>
  <si>
    <t>https://www.google.com/search?q=site%3Aipc.pt%20Interpreta%C3%A7%C3%A3o%20da%20Natureza%20e%20dos%20Espa%C3%A7os%20Rurais%20CTeSP</t>
  </si>
  <si>
    <t>Jurídico Processual Aplicado</t>
  </si>
  <si>
    <t>https://www.google.com/search?q=site%3Aipc.pt%20Jur%C3%ADdico%20Processual%20Aplicado%20CTeSP</t>
  </si>
  <si>
    <t>Coimbra / Cantanhede / Febres</t>
  </si>
  <si>
    <t>Luz e Som para Artes Performativas</t>
  </si>
  <si>
    <t>Escola Superior de Educação de Coimbra (ESEC, Antiga EB Conde Ferreira – Cantanhede, Pavilhão Multiusos de Febres)</t>
  </si>
  <si>
    <t>https://www.google.com/search?q=site%3Aipc.pt%20Luz%20e%20Som%20para%20Artes%20Performativas%20CTeSP</t>
  </si>
  <si>
    <t>Maneio de Equinos, Equitação Terapêutica e de Lazer</t>
  </si>
  <si>
    <t>https://www.google.com/search?q=site%3Aipc.pt%20Maneio%20de%20Equinos%2C%20Equita%C3%A7%C3%A3o%20Terap%C3%AAutica%20e%20de%20Lazer%20CTeSP</t>
  </si>
  <si>
    <t>https://www.google.com/search?q=site%3Aipc.pt%20Marketing%20CTeSP</t>
  </si>
  <si>
    <t>https://www.google.com/search?q=site%3Aipc.pt%20Opera%C3%A7%C3%B5es%20Florestais%20CTeSP</t>
  </si>
  <si>
    <t>Produção Agrícola Biológica</t>
  </si>
  <si>
    <t>https://www.google.com/search?q=site%3Aipc.pt%20Produ%C3%A7%C3%A3o%20Agr%C3%ADcola%20Biol%C3%B3gica%20CTeSP</t>
  </si>
  <si>
    <t>Produção de Bovinos de Leite</t>
  </si>
  <si>
    <t>https://www.google.com/search?q=site%3Aipc.pt%20Produ%C3%A7%C3%A3o%20de%20Bovinos%20de%20Leite%20CTeSP</t>
  </si>
  <si>
    <t>Qualidade Alimentar</t>
  </si>
  <si>
    <t>https://www.google.com/search?q=site%3Aipc.pt%20Qualidade%20Alimentar%20CTeSP</t>
  </si>
  <si>
    <t>Qualidade do Ambiente</t>
  </si>
  <si>
    <t>https://www.google.com/search?q=site%3Aipc.pt%20Qualidade%20do%20Ambiente%20CTeSP</t>
  </si>
  <si>
    <t>https://www.google.com/search?q=site%3Aipc.pt%20Redes%20e%20Sistemas%20Inform%C3%A1ticos%20CTeSP</t>
  </si>
  <si>
    <t>https://www.google.com/search?q=site%3Aipc.pt%20Servi%C3%A7os%20Jur%C3%ADdicos%20CTeSP</t>
  </si>
  <si>
    <t>Sistemas de Tratamento de Águas</t>
  </si>
  <si>
    <t>https://www.google.com/search?q=site%3Aipc.pt%20Sistemas%20de%20Tratamento%20de%20%C3%81guas%20CTeSP</t>
  </si>
  <si>
    <t>https://www.google.com/search?q=site%3Aipc.pt%20Tecnologias%20e%20Programa%C3%A7%C3%A3o%20de%20Sistemas%20de%20Informa%C3%A7%C3%A3o%20CTeSP</t>
  </si>
  <si>
    <t>Vitivinicultura Sustentável</t>
  </si>
  <si>
    <t>https://www.google.com/search?q=site%3Aipc.pt%20Vitivinicultura%20Sustent%C3%A1vel%20CTeSP</t>
  </si>
  <si>
    <t>Agricultura Biológica</t>
  </si>
  <si>
    <t>https://www.google.com/search?q=site%3Aipc.pt%20Agricultura%20Biol%C3%B3gica%20licenciatura</t>
  </si>
  <si>
    <t>https://www.google.com/search?q=site%3Aipc.pt%20Agronomia%20licenciatura</t>
  </si>
  <si>
    <t>Agropecuária</t>
  </si>
  <si>
    <t>https://www.google.com/search?q=site%3Aipc.pt%20Agropecu%C3%A1ria%20licenciatura</t>
  </si>
  <si>
    <t>Animação Socioeducativa</t>
  </si>
  <si>
    <t>https://www.google.com/search?q=site%3Aipc.pt%20Anima%C3%A7%C3%A3o%20Socioeducativa%20licenciatura</t>
  </si>
  <si>
    <t>https://www.google.com/search?q=site%3Aipc.pt%20Arte%20e%20Design%20licenciatura</t>
  </si>
  <si>
    <t>Assessoria de Direção</t>
  </si>
  <si>
    <t>https://www.google.com/search?q=site%3Aipc.pt%20Assessoria%20de%20Dire%C3%A7%C3%A3o%20licenciatura</t>
  </si>
  <si>
    <t>Audiologia</t>
  </si>
  <si>
    <t>Escola Superior de Tecnologia da Saúde de Coimbra</t>
  </si>
  <si>
    <t>https://www.google.com/search?q=site%3Aipc.pt%20Audiologia%20licenciatura</t>
  </si>
  <si>
    <t>Biodiversidade e Conservação da Natureza</t>
  </si>
  <si>
    <t>https://www.google.com/search?q=site%3Aipc.pt%20Biodiversidade%20e%20Conserva%C3%A7%C3%A3o%20da%20Natureza%20licenciatura</t>
  </si>
  <si>
    <t>Biotecnologia</t>
  </si>
  <si>
    <t>https://www.google.com/search?q=site%3Aipc.pt%20Biotecnologia%20licenciatura</t>
  </si>
  <si>
    <t>Biotecnologia Industrial</t>
  </si>
  <si>
    <t>https://www.google.com/search?q=site%3Aipc.pt%20Biotecnologia%20Industrial%20licenciatura</t>
  </si>
  <si>
    <t>Ciência de Dados para a Gestão</t>
  </si>
  <si>
    <t>https://www.google.com/search?q=site%3Aipc.pt%20Ci%C3%AAncia%20de%20Dados%20para%20a%20Gest%C3%A3o%20licenciatura</t>
  </si>
  <si>
    <t>https://www.google.com/search?q=site%3Aipc.pt%20Ci%C3%AAncias%20Biom%C3%A9dicas%20Laboratoriais%20licenciatura</t>
  </si>
  <si>
    <t>Ciências Florestais e Recursos Naturais</t>
  </si>
  <si>
    <t>Silvicultura</t>
  </si>
  <si>
    <t>https://www.google.com/search?q=site%3Aipc.pt%20Ci%C3%AAncias%20Florestais%20e%20Recursos%20Naturais%20licenciatura</t>
  </si>
  <si>
    <t>Comunicação Organizacional</t>
  </si>
  <si>
    <t>https://www.google.com/search?q=site%3Aipc.pt%20Comunica%C3%A7%C3%A3o%20Organizacional%20licenciatura</t>
  </si>
  <si>
    <t>Comunicação Social</t>
  </si>
  <si>
    <t>https://www.google.com/search?q=site%3Aipc.pt%20Comunica%C3%A7%C3%A3o%20Social%20licenciatura</t>
  </si>
  <si>
    <t>Comunicação e Design Multimédia</t>
  </si>
  <si>
    <t>https://www.google.com/search?q=site%3Aipc.pt%20Comunica%C3%A7%C3%A3o%20e%20Design%20Multim%C3%A9dia%20licenciatura</t>
  </si>
  <si>
    <t>Comércio e Relações Económicas Internacionais</t>
  </si>
  <si>
    <t>https://www.google.com/search?q=site%3Aipc.pt%20Com%C3%A9rcio%20e%20Rela%C3%A7%C3%B5es%20Econ%C3%B3micas%20Internacionais%20licenciatura</t>
  </si>
  <si>
    <t>Contabilidade e Administração</t>
  </si>
  <si>
    <t>https://www.google.com/search?q=site%3Aipc.pt%20Contabilidade%20e%20Administra%C3%A7%C3%A3o%20licenciatura</t>
  </si>
  <si>
    <t>Contabilidade e Auditoria</t>
  </si>
  <si>
    <t>https://www.google.com/search?q=site%3Aipc.pt%20Contabilidade%20e%20Auditoria%20licenciatura</t>
  </si>
  <si>
    <t>Contabilidade e Gestão Pública</t>
  </si>
  <si>
    <t>https://www.google.com/search?q=site%3Aipc.pt%20Contabilidade%20e%20Gest%C3%A3o%20P%C3%BAblica%20licenciatura</t>
  </si>
  <si>
    <t>Desporto e Lazer</t>
  </si>
  <si>
    <t>https://www.google.com/search?q=site%3Aipc.pt%20Desporto%20e%20Lazer%20licenciatura</t>
  </si>
  <si>
    <t>https://www.google.com/search?q=site%3Aipc.pt%20Diet%C3%A9tica%20e%20Nutri%C3%A7%C3%A3o%20licenciatura</t>
  </si>
  <si>
    <t>https://www.google.com/search?q=site%3Aipc.pt%20Educa%C3%A7%C3%A3o%20B%C3%A1sica%20licenciatura</t>
  </si>
  <si>
    <t>https://www.google.com/search?q=site%3Aipc.pt%20Enfermagem%20Veterin%C3%A1ria%20licenciatura</t>
  </si>
  <si>
    <t>Engenharia Agro-Pecuária</t>
  </si>
  <si>
    <t>https://www.google.com/search?q=site%3Aipc.pt%20Engenharia%20Agro-Pecu%C3%A1ria%20licenciatura</t>
  </si>
  <si>
    <t>https://www.google.com/search?q=site%3Aipc.pt%20Engenharia%20Inform%C3%A1tica%20licenciatura</t>
  </si>
  <si>
    <t>Estudos Musicais Aplicados</t>
  </si>
  <si>
    <t>https://www.google.com/search?q=site%3Aipc.pt%20Estudos%20Musicais%20Aplicados%20licenciatura</t>
  </si>
  <si>
    <t>https://www.google.com/search?q=site%3Aipc.pt%20Farm%C3%A1cia%20licenciatura</t>
  </si>
  <si>
    <t>https://www.google.com/search?q=site%3Aipc.pt%20Finan%C3%A7as%20e%20Contabilidade%20licenciatura</t>
  </si>
  <si>
    <t>https://www.google.com/search?q=site%3Aipc.pt%20Fisiologia%20Cl%C3%ADnica%20licenciatura</t>
  </si>
  <si>
    <t>https://www.google.com/search?q=site%3Aipc.pt%20Fisioterapia%20licenciatura</t>
  </si>
  <si>
    <t>https://www.google.com/search?q=site%3Aipc.pt%20Gastronomia%20licenciatura</t>
  </si>
  <si>
    <t>https://www.google.com/search?q=site%3Aipc.pt%20Gerontologia%20licenciatura</t>
  </si>
  <si>
    <t>https://www.google.com/search?q=site%3Aipc.pt%20Gest%C3%A3o%20licenciatura</t>
  </si>
  <si>
    <t>https://www.google.com/search?q=site%3Aipc.pt%20Gest%C3%A3o%20de%20Empresas%20licenciatura</t>
  </si>
  <si>
    <t>https://www.google.com/search?q=site%3Aipc.pt%20Gest%C3%A3o%20de%20Recursos%20Humanos%20licenciatura</t>
  </si>
  <si>
    <t>Gestão do Território</t>
  </si>
  <si>
    <t>https://www.google.com/search?q=site%3Aipc.pt%20Gest%C3%A3o%20do%20Territ%C3%B3rio%20licenciatura</t>
  </si>
  <si>
    <t>Gestão e Biociências</t>
  </si>
  <si>
    <t>https://www.google.com/search?q=site%3Aipc.pt%20Gest%C3%A3o%20e%20Bioci%C3%AAncias%20licenciatura</t>
  </si>
  <si>
    <t>https://www.google.com/search?q=site%3Aipc.pt%20Imagem%20M%C3%A9dica%20e%20Radioterapia%20licenciatura</t>
  </si>
  <si>
    <t>https://www.google.com/search?q=site%3Aipc.pt%20Inform%C3%A1tica%20de%20Gest%C3%A3o%20licenciatura</t>
  </si>
  <si>
    <t>Língua Gestual Portuguesa</t>
  </si>
  <si>
    <t>Línguas</t>
  </si>
  <si>
    <t>https://www.google.com/search?q=site%3Aipc.pt%20L%C3%ADngua%20Gestual%20Portuguesa%20licenciatura</t>
  </si>
  <si>
    <t>https://www.google.com/search?q=site%3Aipc.pt%20Marketing%20licenciatura</t>
  </si>
  <si>
    <t>Marketing e Negócios Internacionais</t>
  </si>
  <si>
    <t>https://www.google.com/search?q=site%3Aipc.pt%20Marketing%20e%20Neg%C3%B3cios%20Internacionais%20licenciatura</t>
  </si>
  <si>
    <t>Saúde Ambiental</t>
  </si>
  <si>
    <t>https://www.google.com/search?q=site%3Aipc.pt%20Sa%C3%BAde%20Ambiental%20licenciatura</t>
  </si>
  <si>
    <t>Sistemas e Tecnologias da Informação</t>
  </si>
  <si>
    <t>https://www.google.com/search?q=site%3Aipc.pt%20Sistemas%20e%20Tecnologias%20da%20Informa%C3%A7%C3%A3o%20licenciatura</t>
  </si>
  <si>
    <t>Solicitadoria e Administração</t>
  </si>
  <si>
    <t>https://www.google.com/search?q=site%3Aipc.pt%20Solicitadoria%20e%20Administra%C3%A7%C3%A3o%20licenciatura</t>
  </si>
  <si>
    <t>Teatro e Educação</t>
  </si>
  <si>
    <t>https://www.google.com/search?q=site%3Aipc.pt%20Teatro%20e%20Educa%C3%A7%C3%A3o%20licenciatura</t>
  </si>
  <si>
    <t>https://www.google.com/search?q=site%3Aipc.pt%20Tecnologia%20Alimentar%20licenciatura</t>
  </si>
  <si>
    <t>Tecnologia e Gestão do Ambiente</t>
  </si>
  <si>
    <t>https://www.google.com/search?q=site%3Aipc.pt%20Tecnologia%20e%20Gest%C3%A3o%20do%20Ambiente%20licenciatura</t>
  </si>
  <si>
    <t>https://www.google.com/search?q=site%3Aipc.pt%20Terapia%20Ocupacional%20licenciatura</t>
  </si>
  <si>
    <t>https://www.google.com/search?q=site%3Aipc.pt%20Turismo%20licenciatura</t>
  </si>
  <si>
    <t>Turismo em Espaços Rurais e Naturais</t>
  </si>
  <si>
    <t>https://www.google.com/search?q=site%3Aipc.pt%20Turismo%20em%20Espa%C3%A7os%20Rurais%20e%20Naturais%20licenciatura</t>
  </si>
  <si>
    <t>Zootecnia</t>
  </si>
  <si>
    <t>Agricultura (Ciências Agrárias – Zootecnia)</t>
  </si>
  <si>
    <t>https://www.google.com/search?q=site%3Aipc.pt%20Zootecnia%20licenciatura</t>
  </si>
  <si>
    <t>https://www.google.com/search?q=site%3Aipc.pt%20Agricultura%20Biol%C3%B3gica%20mestrado</t>
  </si>
  <si>
    <t>Análise Financeira</t>
  </si>
  <si>
    <t>https://www.google.com/search?q=site%3Aipc.pt%20An%C3%A1lise%20Financeira%20mestrado</t>
  </si>
  <si>
    <t>Análise de Dados e Sistemas de Apoio à Decisão</t>
  </si>
  <si>
    <t>https://www.google.com/search?q=site%3Aipc.pt%20An%C3%A1lise%20de%20Dados%20e%20Sistemas%20de%20Apoio%20%C3%A0%20Decis%C3%A3o%20mestrado</t>
  </si>
  <si>
    <t>https://www.google.com/search?q=site%3Aipc.pt%20Audiologia%20mestrado</t>
  </si>
  <si>
    <t>Auditoria Empresarial e Pública</t>
  </si>
  <si>
    <t>https://www.google.com/search?q=site%3Aipc.pt%20Auditoria%20Empresarial%20e%20P%C3%BAblica%20mestrado</t>
  </si>
  <si>
    <t>https://www.google.com/search?q=site%3Aipc.pt%20Biotecnologia%20mestrado</t>
  </si>
  <si>
    <t>https://www.google.com/search?q=site%3Aipc.pt%20Ci%C3%AAncias%20Biom%C3%A9dicas%20Laboratoriais%20mestrado</t>
  </si>
  <si>
    <t>Comunicação Organizacional – área de especialização em Cidadania, Confiança e Responsabilidade Social</t>
  </si>
  <si>
    <t>https://www.google.com/search?q=site%3Aipc.pt%20Comunica%C3%A7%C3%A3o%20Organizacional%20%E2%80%93%20%C3%A1rea%20de%20especializa%C3%A7%C3%A3o%20em%20Cidadania%2C%20Confian%C3%A7a%20e%20Responsabilidade%20Social%20mestrado</t>
  </si>
  <si>
    <t>Comunicação Social – Novos Media</t>
  </si>
  <si>
    <t>https://www.google.com/search?q=site%3Aipc.pt%20Comunica%C3%A7%C3%A3o%20Social%20%E2%80%93%20Novos%20Media%20mestrado</t>
  </si>
  <si>
    <t>https://www.google.com/search?q=site%3Aipc.pt%20Com%C3%A9rcio%20Eletr%C3%B3nico%20mestrado</t>
  </si>
  <si>
    <t>Contabilidade e Fiscalidade Empresarial</t>
  </si>
  <si>
    <t>https://www.google.com/search?q=site%3Aipc.pt%20Contabilidade%20e%20Fiscalidade%20Empresarial%20mestrado</t>
  </si>
  <si>
    <t>https://www.google.com/search?q=site%3Aipc.pt%20Contabilidade%20e%20Gest%C3%A3o%20P%C3%BAblica%20mestrado</t>
  </si>
  <si>
    <t>Controlo de Gestão</t>
  </si>
  <si>
    <t>https://www.google.com/search?q=site%3Aipc.pt%20Controlo%20de%20Gest%C3%A3o%20mestrado</t>
  </si>
  <si>
    <t>Desenvolvimento Sustentável</t>
  </si>
  <si>
    <t>https://www.google.com/search?q=site%3Aipc.pt%20Desenvolvimento%20Sustent%C3%A1vel%20mestrado</t>
  </si>
  <si>
    <t>Ecoturismo</t>
  </si>
  <si>
    <t>https://www.google.com/search?q=site%3Aipc.pt%20Ecoturismo%20mestrado</t>
  </si>
  <si>
    <t>Educação Especial, esp. Problemas do Domínio Cognitivo e Motor</t>
  </si>
  <si>
    <t>Ciências da Educação (Educação Especial)</t>
  </si>
  <si>
    <t>https://www.google.com/search?q=site%3Aipc.pt%20Educa%C3%A7%C3%A3o%20Especial%2C%20esp.%20Problemas%20do%20Dom%C3%ADnio%20Cognitivo%20e%20Motor%20mestrado</t>
  </si>
  <si>
    <t>Educação Pré‑escolar</t>
  </si>
  <si>
    <t>https://www.google.com/search?q=site%3Aipc.pt%20Educa%C3%A7%C3%A3o%20Pr%C3%A9%E2%80%91escolar%20mestrado</t>
  </si>
  <si>
    <t>Educação Pré‑escolar e Ensino do 1.º Ciclo do Ensino Básico</t>
  </si>
  <si>
    <t>Formação de Educadores</t>
  </si>
  <si>
    <t>https://www.google.com/search?q=site%3Aipc.pt%20Educa%C3%A7%C3%A3o%20Pr%C3%A9%E2%80%91escolar%20e%20Ensino%20do%201.%C2%BA%20Ciclo%20do%20Ensino%20B%C3%A1sico%20mestrado</t>
  </si>
  <si>
    <t>Educação de Adultos e Desenvolvimento Local</t>
  </si>
  <si>
    <t>https://www.google.com/search?q=site%3Aipc.pt%20Educa%C3%A7%C3%A3o%20de%20Adultos%20e%20Desenvolvimento%20Local%20mestrado</t>
  </si>
  <si>
    <t>Educação e Lazer</t>
  </si>
  <si>
    <t>https://www.google.com/search?q=site%3Aipc.pt%20Educa%C3%A7%C3%A3o%20e%20Lazer%20mestrado</t>
  </si>
  <si>
    <t>Educação para a Saúde</t>
  </si>
  <si>
    <t>https://www.google.com/search?q=site%3Aipc.pt%20Educa%C3%A7%C3%A3o%20para%20a%20Sa%C3%BAde%20mestrado</t>
  </si>
  <si>
    <t>https://www.google.com/search?q=site%3Aipc.pt%20Engenharia%20Agro-Pecu%C3%A1ria%20mestrado</t>
  </si>
  <si>
    <t>https://www.google.com/search?q=site%3Aipc.pt%20Engenharia%20Alimentar%20mestrado</t>
  </si>
  <si>
    <t>Ensino de Educação Musical no Ensino Básico</t>
  </si>
  <si>
    <t>Formação de Professores</t>
  </si>
  <si>
    <t>https://www.google.com/search?q=site%3Aipc.pt%20Ensino%20de%20Educa%C3%A7%C3%A3o%20Musical%20no%20Ensino%20B%C3%A1sico%20mestrado</t>
  </si>
  <si>
    <t>Ensino de Língua Gestual Portuguesa</t>
  </si>
  <si>
    <t>https://www.google.com/search?q=site%3Aipc.pt%20Ensino%20de%20L%C3%ADngua%20Gestual%20Portuguesa%20mestrado</t>
  </si>
  <si>
    <t>Ensino do 1.º CEB e de Matemática e Ciências Naturais no 2.º CEB</t>
  </si>
  <si>
    <t>Formação de Professores do 1.º e 2.º ciclos (Matemática e Ciências Naturais)</t>
  </si>
  <si>
    <t>https://www.google.com/search?q=site%3Aipc.pt%20Ensino%20do%201.%C2%BA%20CEB%20e%20de%20Matem%C3%A1tica%20e%20Ci%C3%AAncias%20Naturais%20no%202.%C2%BA%20CEB%20mestrado</t>
  </si>
  <si>
    <t>Ensino do 1.º CEB e de Português e História e Geografia de Portugal no 2.º CEB</t>
  </si>
  <si>
    <t>Formação de Professores do 1.º e 2.º ciclos (Português, História e Geografia)</t>
  </si>
  <si>
    <t>https://www.google.com/search?q=site%3Aipc.pt%20Ensino%20do%201.%C2%BA%20CEB%20e%20de%20Portugu%C3%AAs%20e%20Hist%C3%B3ria%20e%20Geografia%20de%20Portugal%20no%202.%C2%BA%20CEB%20mestrado</t>
  </si>
  <si>
    <t>Farmácia – especialização em Farmacoterapia Aplicada</t>
  </si>
  <si>
    <t>https://www.google.com/search?q=site%3Aipc.pt%20Farm%C3%A1cia%20%E2%80%93%20especializa%C3%A7%C3%A3o%20em%20Farmacoterapia%20Aplicada%20mestrado</t>
  </si>
  <si>
    <t>Fisiologia Clínica – esp. Ultrassonografia Cardíaca e Função Vascular / Fisiopatologia do Sono e Ventilação Não Invasiva / Eletroencefalografia Aplicada</t>
  </si>
  <si>
    <t>https://www.google.com/search?q=site%3Aipc.pt%20Fisiologia%20Cl%C3%ADnica%20%E2%80%93%20esp.%20Ultrassonografia%20Card%C3%ADaca%20e%20Fun%C3%A7%C3%A3o%20Vascular%20/%20Fisiopatologia%20do%20Sono%20e%20Ventila%C3%A7%C3%A3o%20N%C3%A3o%20Invasiva%20/%20Eletroencefalografia%20Aplicada%20mestrado</t>
  </si>
  <si>
    <t>https://www.google.com/search?q=site%3Aipc.pt%20Fisioterapia%20mestrado</t>
  </si>
  <si>
    <t>https://www.google.com/search?q=site%3Aipc.pt%20Gerontologia%20Social%20mestrado</t>
  </si>
  <si>
    <t>https://www.google.com/search?q=site%3Aipc.pt%20Gest%C3%A3o%20mestrado</t>
  </si>
  <si>
    <t>https://www.google.com/search?q=site%3Aipc.pt%20Gest%C3%A3o%20Ambiental%20mestrado</t>
  </si>
  <si>
    <t>https://www.google.com/search?q=site%3Aipc.pt%20Gest%C3%A3o%20Empresarial%20mestrado</t>
  </si>
  <si>
    <t>Gestão de Empresas Agrícolas</t>
  </si>
  <si>
    <t>https://www.google.com/search?q=site%3Aipc.pt%20Gest%C3%A3o%20de%20Empresas%20Agr%C3%ADcolas%20mestrado</t>
  </si>
  <si>
    <t>https://www.google.com/search?q=site%3Aipc.pt%20Gest%C3%A3o%20de%20Recursos%20Humanos%20mestrado</t>
  </si>
  <si>
    <t>Gestão em Turismo e Inovação Territorial</t>
  </si>
  <si>
    <t>https://www.google.com/search?q=site%3Aipc.pt%20Gest%C3%A3o%20em%20Turismo%20e%20Inova%C3%A7%C3%A3o%20Territorial%20mestrado</t>
  </si>
  <si>
    <t>https://www.google.com/search?q=site%3Aipc.pt%20Imagem%20M%C3%A9dica%20e%20Radioterapia%20mestrado</t>
  </si>
  <si>
    <t>Informática Aplicada</t>
  </si>
  <si>
    <t>https://www.google.com/search?q=site%3Aipc.pt%20Inform%C3%A1tica%20Aplicada%20mestrado</t>
  </si>
  <si>
    <t>Inteligência Logística e Gestão da Cadeia de Abastecimento</t>
  </si>
  <si>
    <t>https://www.google.com/search?q=site%3Aipc.pt%20Intelig%C3%AAncia%20Log%C3%ADstica%20e%20Gest%C3%A3o%20da%20Cadeia%20de%20Abastecimento%20mestrado</t>
  </si>
  <si>
    <t>Interação Humano‑Computador (HCI: Human‑Computer Interaction)</t>
  </si>
  <si>
    <t>https://www.google.com/search?q=site%3Aipc.pt%20Intera%C3%A7%C3%A3o%20Humano%E2%80%91Computador%20%28HCI%3A%20Human%E2%80%91Computer%20Interaction%29%20mestrado</t>
  </si>
  <si>
    <t>Jogo e Motricidade na Infância</t>
  </si>
  <si>
    <t>https://www.google.com/search?q=site%3Aipc.pt%20Jogo%20e%20Motricidade%20na%20Inf%C3%A2ncia%20mestrado</t>
  </si>
  <si>
    <t>https://www.google.com/search?q=site%3Aipc.pt%20Marketing%20e%20Comunica%C3%A7%C3%A3o%20mestrado</t>
  </si>
  <si>
    <t>https://www.google.com/search?q=site%3Aipc.pt%20Marketing%20e%20Neg%C3%B3cios%20Internacionais%20mestrado</t>
  </si>
  <si>
    <t>Nutrição, Alimentação e Saúde</t>
  </si>
  <si>
    <t>https://www.google.com/search?q=site%3Aipc.pt%20Nutri%C3%A7%C3%A3o%2C%20Alimenta%C3%A7%C3%A3o%20e%20Sa%C3%BAde%20mestrado</t>
  </si>
  <si>
    <t>https://www.google.com/search?q=site%3Aipc.pt%20Recursos%20Florestais%20mestrado</t>
  </si>
  <si>
    <t>Saúde Ambiental – esp. Saúde Ocupacional e Ambiente</t>
  </si>
  <si>
    <t>https://www.google.com/search?q=site%3Aipc.pt%20Sa%C3%BAde%20Ambiental%20%E2%80%93%20esp.%20Sa%C3%BAde%20Ocupacional%20e%20Ambiente%20mestrado</t>
  </si>
  <si>
    <t>Segurança Alimentar e Desenvolvimento Rural</t>
  </si>
  <si>
    <t>https://www.google.com/search?q=site%3Aipc.pt%20Seguran%C3%A7a%20Alimentar%20e%20Desenvolvimento%20Rural%20mestrado</t>
  </si>
  <si>
    <t>Sistemas de Informação de Gestão</t>
  </si>
  <si>
    <t>https://www.google.com/search?q=site%3Aipc.pt%20Sistemas%20de%20Informa%C3%A7%C3%A3o%20de%20Gest%C3%A3o%20mestrado</t>
  </si>
  <si>
    <t>https://www.google.com/search?q=site%3Aipc.pt%20Solicitadoria%20mestrado</t>
  </si>
  <si>
    <t>Turismo Sustentável em Territórios do Interior</t>
  </si>
  <si>
    <t>https://www.google.com/search?q=site%3Aipc.pt%20Turismo%20Sustent%C3%A1vel%20em%20Territ%C3%B3rios%20do%20Interior%20mestrado</t>
  </si>
  <si>
    <t>Administração e Organização Escolar</t>
  </si>
  <si>
    <t>ESEC – Escola Superior de Educação de Coimbra</t>
  </si>
  <si>
    <t>https://www.google.com/search?q=site%3Aipc.pt%20Administra%C3%A7%C3%A3o%20e%20Organiza%C3%A7%C3%A3o%20Escolar%20p%C3%B3s-gradua%C3%A7%C3%A3o</t>
  </si>
  <si>
    <t>Não está destacado no site (Administração e Organização Escolar)</t>
  </si>
  <si>
    <t>Atividade Física e Brincar na Infância</t>
  </si>
  <si>
    <t>https://www.google.com/search?q=site%3Aipc.pt%20Atividade%20F%C3%ADsica%20e%20Brincar%20na%20Inf%C3%A2ncia%20p%C3%B3s-gradua%C3%A7%C3%A3o</t>
  </si>
  <si>
    <t>Não está destacado no site (Atividade Física e Brincar na Infância)</t>
  </si>
  <si>
    <t>Bacteriologia Clínica: do diagnóstico laboratorial à terapêutica</t>
  </si>
  <si>
    <t>ESTeSC – Escola Superior de Tecnologia da Saúde de Coimbra</t>
  </si>
  <si>
    <t>https://www.google.com/search?q=site%3Aipc.pt%20Bacteriologia%20Cl%C3%ADnica%3A%20do%20diagn%C3%B3stico%20laboratorial%20%C3%A0%20terap%C3%AAutica%20p%C3%B3s-gradua%C3%A7%C3%A3o</t>
  </si>
  <si>
    <t>Bioquímica e Hematologia: do laboratório à clínica</t>
  </si>
  <si>
    <t>https://www.google.com/search?q=site%3Aipc.pt%20Bioqu%C3%ADmica%20e%20Hematologia%3A%20do%20laborat%C3%B3rio%20%C3%A0%20cl%C3%ADnica%20p%C3%B3s-gradua%C3%A7%C3%A3o</t>
  </si>
  <si>
    <t>Jan–jul (cerca de 6–7 meses), pós‑laboral sexta e sábado / ECTS não está destacado no site (Bioquímica e Hematologia: do laboratório à clínica – ESTeSC)</t>
  </si>
  <si>
    <t>ESTGOH – Escola Superior de Tecnologia e Gestão de Oliveira do Hospital</t>
  </si>
  <si>
    <t>https://www.google.com/search?q=site%3Aipc.pt%20Cadastro%20Predial%20p%C3%B3s-gradua%C3%A7%C3%A3o</t>
  </si>
  <si>
    <t>Não está destacado no site (Cadastro Predial)</t>
  </si>
  <si>
    <t>Comportamento e Comunicação em Organizações do Setor Social</t>
  </si>
  <si>
    <t>Ciências Sociais</t>
  </si>
  <si>
    <t>https://www.google.com/search?q=site%3Aipc.pt%20Comportamento%20e%20Comunica%C3%A7%C3%A3o%20em%20Organiza%C3%A7%C3%B5es%20do%20Setor%20Social%20p%C3%B3s-gradua%C3%A7%C3%A3o</t>
  </si>
  <si>
    <t>Não está destacado no site (Comportamento e Comunicação em Organizações do Setor Social)</t>
  </si>
  <si>
    <t>https://www.google.com/search?q=site%3Aipc.pt%20Comunica%C3%A7%C3%A3o%20Digital%20p%C3%B3s-gradua%C3%A7%C3%A3o</t>
  </si>
  <si>
    <t>Não está destacado no site (Comunicação Digital)</t>
  </si>
  <si>
    <t>Comunicação Estratégica para as Autarquias</t>
  </si>
  <si>
    <t>https://www.google.com/search?q=site%3Aipc.pt%20Comunica%C3%A7%C3%A3o%20Estrat%C3%A9gica%20para%20as%20Autarquias%20p%C3%B3s-gradua%C3%A7%C3%A3o</t>
  </si>
  <si>
    <t>Não está destacado no site (Comunicação Estratégica para as Autarquias)</t>
  </si>
  <si>
    <t>Design e Usabilidade para Web</t>
  </si>
  <si>
    <t>https://www.google.com/search?q=site%3Aipc.pt%20Design%20e%20Usabilidade%20para%20Web%20p%C3%B3s-gradua%C3%A7%C3%A3o</t>
  </si>
  <si>
    <t>Não está destacado no site (Design e Usabilidade para Web)</t>
  </si>
  <si>
    <t>Desporto Adaptado</t>
  </si>
  <si>
    <t>https://www.google.com/search?q=site%3Aipc.pt%20Desporto%20Adaptado%20p%C3%B3s-gradua%C3%A7%C3%A3o</t>
  </si>
  <si>
    <t>Não está destacado no site (Desporto Adaptado)</t>
  </si>
  <si>
    <t>Dispositivos Médicos</t>
  </si>
  <si>
    <t>https://www.google.com/search?q=site%3Aipc.pt%20Dispositivos%20M%C3%A9dicos%20p%C3%B3s-gradua%C3%A7%C3%A3o</t>
  </si>
  <si>
    <t>Não está destacado no site (Dispositivos Médicos)</t>
  </si>
  <si>
    <t>Ecografia nos Cuidados de Saúde Primários</t>
  </si>
  <si>
    <t>https://www.google.com/search?q=site%3Aipc.pt%20Ecografia%20nos%20Cuidados%20de%20Sa%C3%BAde%20Prim%C3%A1rios%20p%C3%B3s-gradua%C3%A7%C3%A3o</t>
  </si>
  <si>
    <t>Não está destacado no site (Ecografia nos Cuidados de Saúde Primários)</t>
  </si>
  <si>
    <t>Educação Especial – Domínio Cognitivo e Motor</t>
  </si>
  <si>
    <t>https://www.google.com/search?q=site%3Aipc.pt%20Educa%C3%A7%C3%A3o%20Especial%20%E2%80%93%20Dom%C3%ADnio%20Cognitivo%20e%20Motor%20p%C3%B3s-gradua%C3%A7%C3%A3o</t>
  </si>
  <si>
    <t>Não está destacado no site (Educação Especial – Domínio Cognitivo e Motor)</t>
  </si>
  <si>
    <t>Educação Especial – Domínio de Intervenção Precoce na Infância</t>
  </si>
  <si>
    <t>https://www.google.com/search?q=site%3Aipc.pt%20Educa%C3%A7%C3%A3o%20Especial%20%E2%80%93%20Dom%C3%ADnio%20de%20Interven%C3%A7%C3%A3o%20Precoce%20na%20Inf%C3%A2ncia%20p%C3%B3s-gradua%C3%A7%C3%A3o</t>
  </si>
  <si>
    <t>Não está destacado no site (Educação Especial – Domínio de Intervenção Precoce na Infância)</t>
  </si>
  <si>
    <t>https://www.google.com/search?q=site%3Aipc.pt%20Educa%C3%A7%C3%A3o%20de%20Adultos%20e%20Desenvolvimento%20Local%20p%C3%B3s-gradua%C3%A7%C3%A3o</t>
  </si>
  <si>
    <t>Não está destacado no site (Educação de Adultos e Desenvolvimento Local)</t>
  </si>
  <si>
    <t>https://www.google.com/search?q=site%3Aipc.pt%20Educa%C3%A7%C3%A3o%20e%20Lazer%20p%C3%B3s-gradua%C3%A7%C3%A3o</t>
  </si>
  <si>
    <t>Não está destacado no site (Educação e Lazer)</t>
  </si>
  <si>
    <t>Ensino a Distância no Ensino Superior</t>
  </si>
  <si>
    <t>https://www.google.com/search?q=site%3Aipc.pt%20Ensino%20a%20Dist%C3%A2ncia%20no%20Ensino%20Superior%20p%C3%B3s-gradua%C3%A7%C3%A3o</t>
  </si>
  <si>
    <t>Não está destacado no site (Ensino a Distância no Ensino Superior)</t>
  </si>
  <si>
    <t>Fisioterapia e Saúde Pélvica</t>
  </si>
  <si>
    <t>https://www.google.com/search?q=site%3Aipc.pt%20Fisioterapia%20e%20Sa%C3%BAde%20P%C3%A9lvica%20p%C3%B3s-gradua%C3%A7%C3%A3o</t>
  </si>
  <si>
    <t>Não está destacado no site (Fisioterapia e Saúde Pélvica)</t>
  </si>
  <si>
    <t>Gestão Veterinária</t>
  </si>
  <si>
    <t>EUVG (parceria ISCAC – Coimbra Business School)</t>
  </si>
  <si>
    <t>https://www.google.com/search?q=site%3Aipc.pt%20Gest%C3%A3o%20Veterin%C3%A1ria%20p%C3%B3s-gradua%C3%A7%C3%A3o</t>
  </si>
  <si>
    <t>128 horas; 11 módulos; créditos ECTS não indicados</t>
  </si>
  <si>
    <t>Gestão de Organizações de Saúde</t>
  </si>
  <si>
    <t>https://www.google.com/search?q=site%3Aipc.pt%20Gest%C3%A3o%20de%20Organiza%C3%A7%C3%B5es%20de%20Sa%C3%BAde%20p%C3%B3s-gradua%C3%A7%C3%A3o</t>
  </si>
  <si>
    <t>Não está destacado no site (Gestão de Organizações de Saúde)</t>
  </si>
  <si>
    <t>Gestão de Serviços de Desporto Autárquico</t>
  </si>
  <si>
    <t>https://www.google.com/search?q=site%3Aipc.pt%20Gest%C3%A3o%20de%20Servi%C3%A7os%20de%20Desporto%20Aut%C3%A1rquico%20p%C3%B3s-gradua%C3%A7%C3%A3o</t>
  </si>
  <si>
    <t>Não está destacado no site (Gestão de Serviços de Desporto Autárquico)</t>
  </si>
  <si>
    <t>https://www.google.com/search?q=site%3Aipc.pt%20Health%20Data%20Science%20p%C3%B3s-gradua%C3%A7%C3%A3o</t>
  </si>
  <si>
    <t>Não está destacado no site (Health Data Science – edição ESTeSC)</t>
  </si>
  <si>
    <t>Ilustração Aplicada ao Design</t>
  </si>
  <si>
    <t>https://www.google.com/search?q=site%3Aipc.pt%20Ilustra%C3%A7%C3%A3o%20Aplicada%20ao%20Design%20p%C3%B3s-gradua%C3%A7%C3%A3o</t>
  </si>
  <si>
    <t>Não está destacado no site (Ilustração Aplicada ao Design)</t>
  </si>
  <si>
    <t>Integração Sensorial</t>
  </si>
  <si>
    <t>https://www.google.com/search?q=site%3Aipc.pt%20Integra%C3%A7%C3%A3o%20Sensorial%20p%C3%B3s-gradua%C3%A7%C3%A3o</t>
  </si>
  <si>
    <t>Não está destacado no site (Integração Sensorial)</t>
  </si>
  <si>
    <t>Intervenção Gerontológica</t>
  </si>
  <si>
    <t>https://www.google.com/search?q=site%3Aipc.pt%20Interven%C3%A7%C3%A3o%20Gerontol%C3%B3gica%20p%C3%B3s-gradua%C3%A7%C3%A3o</t>
  </si>
  <si>
    <t>Não está destacado no site (Intervenção Gerontológica)</t>
  </si>
  <si>
    <t>Investigação Clínica em Serviços de Saúde</t>
  </si>
  <si>
    <t>https://www.google.com/search?q=site%3Aipc.pt%20Investiga%C3%A7%C3%A3o%20Cl%C3%ADnica%20em%20Servi%C3%A7os%20de%20Sa%C3%BAde%20p%C3%B3s-gradua%C3%A7%C3%A3o</t>
  </si>
  <si>
    <t>Macroscopia</t>
  </si>
  <si>
    <t>https://www.google.com/search?q=site%3Aipc.pt%20Macroscopia%20p%C3%B3s-gradua%C3%A7%C3%A3o</t>
  </si>
  <si>
    <t>Não está destacado no site (Macroscopia)</t>
  </si>
  <si>
    <t>Marketing Data Science</t>
  </si>
  <si>
    <t>https://www.google.com/search?q=site%3Aipc.pt%20Marketing%20Data%20Science%20p%C3%B3s-gradua%C3%A7%C3%A3o</t>
  </si>
  <si>
    <t>Nutrição, Alimentação Coletiva e Restauração</t>
  </si>
  <si>
    <t>https://www.google.com/search?q=site%3Aipc.pt%20Nutri%C3%A7%C3%A3o%2C%20Alimenta%C3%A7%C3%A3o%20Coletiva%20e%20Restaura%C3%A7%C3%A3o%20p%C3%B3s-gradua%C3%A7%C3%A3o</t>
  </si>
  <si>
    <t>Não está destacado no site (Nutrição, Alimentação Coletiva e Restauração)</t>
  </si>
  <si>
    <t>Patologia Digital</t>
  </si>
  <si>
    <t>https://www.google.com/search?q=site%3Aipc.pt%20Patologia%20Digital%20p%C3%B3s-gradua%C3%A7%C3%A3o</t>
  </si>
  <si>
    <t>Perfusão Cardiovascular</t>
  </si>
  <si>
    <t>https://www.google.com/search?q=site%3Aipc.pt%20Perfus%C3%A3o%20Cardiovascular%20p%C3%B3s-gradua%C3%A7%C3%A3o</t>
  </si>
  <si>
    <t>Não está destacado no site (Perfusão Cardiovascular)</t>
  </si>
  <si>
    <t>Ressonância Magnética</t>
  </si>
  <si>
    <t>https://www.google.com/search?q=site%3Aipc.pt%20Resson%C3%A2ncia%20Magn%C3%A9tica%20p%C3%B3s-gradua%C3%A7%C3%A3o</t>
  </si>
  <si>
    <t>Não está destacado no site (Ressonância Magnética)</t>
  </si>
  <si>
    <t>Supervisão Pedagógica em Educação</t>
  </si>
  <si>
    <t>https://www.google.com/search?q=site%3Aipc.pt%20Supervis%C3%A3o%20Pedag%C3%B3gica%20em%20Educa%C3%A7%C3%A3o%20p%C3%B3s-gradua%C3%A7%C3%A3o</t>
  </si>
  <si>
    <t>Não está destacado no site (Supervisão Pedagógica em Educação)</t>
  </si>
  <si>
    <t>Teatro e Participação Artística</t>
  </si>
  <si>
    <t>https://www.google.com/search?q=site%3Aipc.pt%20Teatro%20e%20Participa%C3%A7%C3%A3o%20Art%C3%ADstica%20p%C3%B3s-gradua%C3%A7%C3%A3o</t>
  </si>
  <si>
    <t>Não está destacado no site (Teatro e Participação Artística)</t>
  </si>
  <si>
    <t>Terapia Fágica e Resistência Microbiana</t>
  </si>
  <si>
    <t>https://www.google.com/search?q=site%3Aipc.pt%20Terapia%20F%C3%A1gica%20e%20Resist%C3%AAncia%20Microbiana%20p%C3%B3s-gradua%C3%A7%C3%A3o</t>
  </si>
  <si>
    <t>Não está destacado no site (Terapia Fágica e Resistência Microbiana)</t>
  </si>
  <si>
    <t>Instituto Politécnico de Leiria</t>
  </si>
  <si>
    <t>Leiria / Torres Vedras</t>
  </si>
  <si>
    <t>Escola Superior de Saúde (ESSLei - IPL)</t>
  </si>
  <si>
    <t>https://www.google.com/search?q=site%3Aipleiria.pt%20Alimenta%C3%A7%C3%A3o%20Saud%C3%A1vel%20CTeSP</t>
  </si>
  <si>
    <t>Leiria</t>
  </si>
  <si>
    <t>Ambiente, Património e Turismo Sustentável</t>
  </si>
  <si>
    <t>Escola Superior de Educação e Ciências Sociais (ESECS - IPL)</t>
  </si>
  <si>
    <t>https://www.google.com/search?q=site%3Aipleiria.pt%20Ambiente%2C%20Patrim%C3%B3nio%20e%20Turismo%20Sustent%C3%A1vel%20CTeSP</t>
  </si>
  <si>
    <t>Peniche</t>
  </si>
  <si>
    <t>Escola Superior de Turismo e Tecnologia do Mar (ESTM - IPL)</t>
  </si>
  <si>
    <t>https://www.google.com/search?q=site%3Aipleiria.pt%20Anima%C3%A7%C3%A3o%20em%20Turismo%20de%20Natureza%20e%20Aventura%20CTeSP</t>
  </si>
  <si>
    <t>Escola Superior de Tecnologia e Gestão (ESTG - IPL)</t>
  </si>
  <si>
    <t>https://www.google.com/search?q=site%3Aipleiria.pt%20An%C3%A1lise%20de%20Dados%20CTeSP</t>
  </si>
  <si>
    <t>Análise de Dados e Estudos de Mercado</t>
  </si>
  <si>
    <t>https://www.google.com/search?q=site%3Aipleiria.pt%20An%C3%A1lise%20de%20Dados%20e%20Estudos%20de%20Mercado%20CTeSP</t>
  </si>
  <si>
    <t>https://www.google.com/search?q=site%3Aipleiria.pt%20An%C3%A1lises%20Laboratoriais%20CTeSP</t>
  </si>
  <si>
    <t>Apoio à Gestão</t>
  </si>
  <si>
    <t>https://www.google.com/search?q=site%3Aipleiria.pt%20Apoio%20%C3%A0%20Gest%C3%A3o%20CTeSP</t>
  </si>
  <si>
    <t>Atividades Marítimas e Fluviais</t>
  </si>
  <si>
    <t>https://www.google.com/search?q=site%3Aipleiria.pt%20Atividades%20Mar%C3%ADtimas%20e%20Fluviais%20CTeSP</t>
  </si>
  <si>
    <t>Caldas da Rainha</t>
  </si>
  <si>
    <t>Escola Superior de Artes e Design (ESAD.CR - IPL)</t>
  </si>
  <si>
    <t>https://www.google.com/search?q=site%3Aipleiria.pt%20Audiovisual%20e%20Multim%C3%A9dia%20CTeSP</t>
  </si>
  <si>
    <t>https://www.google.com/search?q=site%3Aipleiria.pt%20Automa%C3%A7%C3%A3o%2C%20Rob%C3%B3tica%20e%20Manuten%C3%A7%C3%A3o%20Industrial%20CTeSP</t>
  </si>
  <si>
    <t>BIM - Modelação Digital da Construção</t>
  </si>
  <si>
    <t>https://www.google.com/search?q=site%3Aipleiria.pt%20BIM%20-%20Modela%C3%A7%C3%A3o%20Digital%20da%20Constru%C3%A7%C3%A3o%20CTeSP</t>
  </si>
  <si>
    <t>Cibersegurança e Redes Informáticas</t>
  </si>
  <si>
    <t>https://www.google.com/search?q=site%3Aipleiria.pt%20Ciberseguran%C3%A7a%20e%20Redes%20Inform%C3%A1ticas%20CTeSP</t>
  </si>
  <si>
    <t>https://www.google.com/search?q=site%3Aipleiria.pt%20Comunica%C3%A7%C3%A3o%20Digital%20CTeSP</t>
  </si>
  <si>
    <t>https://www.google.com/search?q=site%3Aipleiria.pt%20Constru%C3%A7%C3%A3o%20Civil%20CTeSP</t>
  </si>
  <si>
    <t>https://www.google.com/search?q=site%3Aipleiria.pt%20Cozinha%20e%20Produ%C3%A7%C3%A3o%20Alimentar%20CTeSP</t>
  </si>
  <si>
    <t>https://www.google.com/search?q=site%3Aipleiria.pt%20Desenvolvimento%20Web%20e%20Multim%C3%A9dia%20CTeSP</t>
  </si>
  <si>
    <t>Design para Media Digitais</t>
  </si>
  <si>
    <t>https://www.google.com/search?q=site%3Aipleiria.pt%20Design%20para%20Media%20Digitais%20CTeSP</t>
  </si>
  <si>
    <t>https://www.google.com/search?q=site%3Aipleiria.pt%20Eletr%C3%B3nica%20e%20Redes%20de%20Telecomunica%C3%A7%C3%B5es%20CTeSP</t>
  </si>
  <si>
    <t>https://www.google.com/search?q=site%3Aipleiria.pt%20Energias%20Renov%C3%A1veis%20e%20Efici%C3%AAncia%20Energ%C3%A9tica%20CTeSP</t>
  </si>
  <si>
    <t>https://www.google.com/search?q=site%3Aipleiria.pt%20Est%C3%A9tica%2C%20Cosm%C3%A9tica%20e%20Bem-estar%20CTeSP</t>
  </si>
  <si>
    <t>Fabricação Automática</t>
  </si>
  <si>
    <t>https://www.google.com/search?q=site%3Aipleiria.pt%20Fabrica%C3%A7%C3%A3o%20Autom%C3%A1tica%20CTeSP</t>
  </si>
  <si>
    <t>Fabrico Digital e Impressão 3D</t>
  </si>
  <si>
    <t>https://www.google.com/search?q=site%3Aipleiria.pt%20Fabrico%20Digital%20e%20Impress%C3%A3o%203D%20CTeSP</t>
  </si>
  <si>
    <t>Fitotecnologia e Fitoterapia</t>
  </si>
  <si>
    <t>Produção Vegetal</t>
  </si>
  <si>
    <t>https://www.google.com/search?q=site%3Aipleiria.pt%20Fitotecnologia%20e%20Fitoterapia%20CTeSP</t>
  </si>
  <si>
    <t>https://www.google.com/search?q=site%3Aipleiria.pt%20Gerontologia%20CTeSP</t>
  </si>
  <si>
    <t>Gestão Energética e Ambiental</t>
  </si>
  <si>
    <t>https://www.google.com/search?q=site%3Aipleiria.pt%20Gest%C3%A3o%20Energ%C3%A9tica%20e%20Ambiental%20CTeSP</t>
  </si>
  <si>
    <t>https://www.google.com/search?q=site%3Aipleiria.pt%20Gest%C3%A3o%20Hoteleira%20e%20Alojamento%20CTeSP</t>
  </si>
  <si>
    <t>Gestão da Produção e da Qualidade</t>
  </si>
  <si>
    <t>https://www.google.com/search?q=site%3Aipleiria.pt%20Gest%C3%A3o%20da%20Produ%C3%A7%C3%A3o%20e%20da%20Qualidade%20CTeSP</t>
  </si>
  <si>
    <t>Gestão dos Negócios Internacionais</t>
  </si>
  <si>
    <t>https://www.google.com/search?q=site%3Aipleiria.pt%20Gest%C3%A3o%20dos%20Neg%C3%B3cios%20Internacionais%20CTeSP</t>
  </si>
  <si>
    <t>Gestão e Tecnologias Avançadas em Recursos Minerais</t>
  </si>
  <si>
    <t>https://www.google.com/search?q=site%3Aipleiria.pt%20Gest%C3%A3o%20e%20Tecnologias%20Avan%C3%A7adas%20em%20Recursos%20Minerais%20CTeSP</t>
  </si>
  <si>
    <t>Ilustração e Produção Gráfica</t>
  </si>
  <si>
    <t>https://www.google.com/search?q=site%3Aipleiria.pt%20Ilustra%C3%A7%C3%A3o%20e%20Produ%C3%A7%C3%A3o%20Gr%C3%A1fica%20CTeSP</t>
  </si>
  <si>
    <t>https://www.google.com/search?q=site%3Aipleiria.pt%20Inova%C3%A7%C3%A3o%20e%20Tecnologia%20Alimentar%20CTeSP</t>
  </si>
  <si>
    <t>Internacionalização e Inovação dos Negócios</t>
  </si>
  <si>
    <t>https://www.google.com/search?q=site%3Aipleiria.pt%20Internacionaliza%C3%A7%C3%A3o%20e%20Inova%C3%A7%C3%A3o%20dos%20Neg%C3%B3cios%20CTeSP</t>
  </si>
  <si>
    <t>https://www.google.com/search?q=site%3Aipleiria.pt%20Interven%C3%A7%C3%A3o%20Social%20e%20Comunit%C3%A1ria%20CTeSP</t>
  </si>
  <si>
    <t>Intervenção Sociocultural e Desportiva</t>
  </si>
  <si>
    <t>https://www.google.com/search?q=site%3Aipleiria.pt%20Interven%C3%A7%C3%A3o%20Sociocultural%20e%20Desportiva%20CTeSP</t>
  </si>
  <si>
    <t>Intervenção em Espaços Educativos</t>
  </si>
  <si>
    <t>https://www.google.com/search?q=site%3Aipleiria.pt%20Interven%C3%A7%C3%A3o%20em%20Espa%C3%A7os%20Educativos%20CTeSP</t>
  </si>
  <si>
    <t>Ciências da Vida</t>
  </si>
  <si>
    <t>https://www.google.com/search?q=site%3Aipleiria.pt%20Laborat%C3%B3rio%20Forense%20e%20Criminal%20CTeSP</t>
  </si>
  <si>
    <t>Marketing Digital no Turismo</t>
  </si>
  <si>
    <t>https://www.google.com/search?q=site%3Aipleiria.pt%20Marketing%20Digital%20no%20Turismo%20CTeSP</t>
  </si>
  <si>
    <t>Música Digital</t>
  </si>
  <si>
    <t>https://www.google.com/search?q=site%3Aipleiria.pt%20M%C3%BAsica%20Digital%20CTeSP</t>
  </si>
  <si>
    <t>Negócios Digitais</t>
  </si>
  <si>
    <t>https://www.google.com/search?q=site%3Aipleiria.pt%20Neg%C3%B3cios%20Digitais%20CTeSP</t>
  </si>
  <si>
    <t>Organização e Comunicação de Eventos</t>
  </si>
  <si>
    <t>https://www.google.com/search?q=site%3Aipleiria.pt%20Organiza%C3%A7%C3%A3o%20e%20Comunica%C3%A7%C3%A3o%20de%20Eventos%20CTeSP</t>
  </si>
  <si>
    <t>https://www.google.com/search?q=site%3Aipleiria.pt%20Processo%20Industrial%20CTeSP</t>
  </si>
  <si>
    <t>Processos de Transformação de Plásticos</t>
  </si>
  <si>
    <t>Indústrias do Plástico</t>
  </si>
  <si>
    <t>https://www.google.com/search?q=site%3Aipleiria.pt%20Processos%20de%20Transforma%C3%A7%C3%A3o%20de%20Pl%C3%A1sticos%20CTeSP</t>
  </si>
  <si>
    <t>Produtos de Apoio em Saúde</t>
  </si>
  <si>
    <t>https://www.google.com/search?q=site%3Aipleiria.pt%20Produtos%20de%20Apoio%20em%20Sa%C3%BAde%20CTeSP</t>
  </si>
  <si>
    <t>Produção Industrial e Desenvolvimento de Produto - Cerâmica e Vidro</t>
  </si>
  <si>
    <t>https://www.google.com/search?q=site%3Aipleiria.pt%20Produ%C3%A7%C3%A3o%20Industrial%20e%20Desenvolvimento%20de%20Produto%20-%20Cer%C3%A2mica%20e%20Vidro%20CTeSP</t>
  </si>
  <si>
    <t>Produção Primária Sustentável</t>
  </si>
  <si>
    <t>https://www.google.com/search?q=site%3Aipleiria.pt%20Produ%C3%A7%C3%A3o%20Prim%C3%A1ria%20Sustent%C3%A1vel%20CTeSP</t>
  </si>
  <si>
    <t>Produção de Construções Metálicas</t>
  </si>
  <si>
    <t>https://www.google.com/search?q=site%3Aipleiria.pt%20Produ%C3%A7%C3%A3o%20de%20Constru%C3%A7%C3%B5es%20Met%C3%A1licas%20CTeSP</t>
  </si>
  <si>
    <t>Produção e manutenção de organismos aquáticos</t>
  </si>
  <si>
    <t>https://www.google.com/search?q=site%3Aipleiria.pt%20Produ%C3%A7%C3%A3o%20e%20manuten%C3%A7%C3%A3o%20de%20organismos%20aqu%C3%A1ticos%20CTeSP</t>
  </si>
  <si>
    <t>Programação de Sistemas de Informação</t>
  </si>
  <si>
    <t>https://www.google.com/search?q=site%3Aipleiria.pt%20Programa%C3%A7%C3%A3o%20de%20Sistemas%20de%20Informa%C3%A7%C3%A3o%20CTeSP</t>
  </si>
  <si>
    <t>Ponte de Sôr</t>
  </si>
  <si>
    <t>Programação Ágil e Segurança de Sistemas de Informação</t>
  </si>
  <si>
    <t>Polo ESTGD em Ponte de Sôr</t>
  </si>
  <si>
    <t>https://www.google.com/search?q=site%3Aipleiria.pt%20Programa%C3%A7%C3%A3o%20%C3%81gil%20e%20Seguran%C3%A7a%20de%20Sistemas%20de%20Informa%C3%A7%C3%A3o%20CTeSP</t>
  </si>
  <si>
    <t>Projeto de Moldes</t>
  </si>
  <si>
    <t>https://www.google.com/search?q=site%3Aipleiria.pt%20Projeto%20de%20Moldes%20CTeSP</t>
  </si>
  <si>
    <t>Prototipagem Digital e Desenho 3D</t>
  </si>
  <si>
    <t>https://www.google.com/search?q=site%3Aipleiria.pt%20Prototipagem%20Digital%20e%20Desenho%203D%20CTeSP</t>
  </si>
  <si>
    <t>Práticas Administrativas e Comunicação Empresarial</t>
  </si>
  <si>
    <t>https://www.google.com/search?q=site%3Aipleiria.pt%20Pr%C3%A1ticas%20Administrativas%20e%20Comunica%C3%A7%C3%A3o%20Empresarial%20CTeSP</t>
  </si>
  <si>
    <t>https://www.google.com/search?q=site%3Aipleiria.pt%20Redes%20e%20Sistemas%20Inform%C3%A1ticos%20CTeSP</t>
  </si>
  <si>
    <t>https://www.google.com/search?q=site%3Aipleiria.pt%20Secretariado%20Cl%C3%ADnico%20CTeSP</t>
  </si>
  <si>
    <t>https://www.google.com/search?q=site%3Aipleiria.pt%20Servi%C3%A7os%20Jur%C3%ADdicos%20CTeSP</t>
  </si>
  <si>
    <t>Sistemas Ciberfísicos para a Indústria</t>
  </si>
  <si>
    <t>https://www.google.com/search?q=site%3Aipleiria.pt%20Sistemas%20Ciberf%C3%ADsicos%20para%20a%20Ind%C3%BAstria%20CTeSP</t>
  </si>
  <si>
    <t>Sistemas Eletromecânicos</t>
  </si>
  <si>
    <t>https://www.google.com/search?q=site%3Aipleiria.pt%20Sistemas%20Eletromec%C3%A2nicos%20CTeSP</t>
  </si>
  <si>
    <t>Tecnologia Automóvel</t>
  </si>
  <si>
    <t>https://www.google.com/search?q=site%3Aipleiria.pt%20Tecnologia%20Autom%C3%B3vel%20CTeSP</t>
  </si>
  <si>
    <t>Tecnologias Digitais para a Agroindústria</t>
  </si>
  <si>
    <t>https://www.google.com/search?q=site%3Aipleiria.pt%20Tecnologias%20Digitais%20para%20a%20Agroind%C3%BAstria%20CTeSP</t>
  </si>
  <si>
    <t>https://www.google.com/search?q=site%3Aipleiria.pt%20Tecnologias%20Inform%C3%A1ticas%20CTeSP</t>
  </si>
  <si>
    <t>Tecnologias Mecânicas e de Moldes</t>
  </si>
  <si>
    <t>https://www.google.com/search?q=site%3Aipleiria.pt%20Tecnologias%20Mec%C3%A2nicas%20e%20de%20Moldes%20CTeSP</t>
  </si>
  <si>
    <t>https://www.google.com/search?q=site%3Aipleiria.pt%20Termalismo%20e%20Bem-Estar%20CTeSP</t>
  </si>
  <si>
    <t>Turismo 4.0</t>
  </si>
  <si>
    <t>https://www.google.com/search?q=site%3Aipleiria.pt%20Turismo%204.0%20CTeSP</t>
  </si>
  <si>
    <t>Turismo de Surf</t>
  </si>
  <si>
    <t>https://www.google.com/search?q=site%3Aipleiria.pt%20Turismo%20de%20Surf%20CTeSP</t>
  </si>
  <si>
    <t>Venda e Negociação Comercial</t>
  </si>
  <si>
    <t>https://www.google.com/search?q=site%3Aipleiria.pt%20Venda%20e%20Negocia%C3%A7%C3%A3o%20Comercial%20CTeSP</t>
  </si>
  <si>
    <t>Veículos Elétricos e Híbridos</t>
  </si>
  <si>
    <t>https://www.google.com/search?q=site%3Aipleiria.pt%20Ve%C3%ADculos%20El%C3%A9tricos%20e%20H%C3%ADbridos%20CTeSP</t>
  </si>
  <si>
    <t>Administração Pública</t>
  </si>
  <si>
    <t>https://www.google.com/search?q=site%3Aipleiria.pt%20Administra%C3%A7%C3%A3o%20P%C3%BAblica%20licenciatura</t>
  </si>
  <si>
    <t>Animação Turística</t>
  </si>
  <si>
    <t>https://www.google.com/search?q=site%3Aipleiria.pt%20Anima%C3%A7%C3%A3o%20Tur%C3%ADstica%20licenciatura</t>
  </si>
  <si>
    <t>Artes Plásticas</t>
  </si>
  <si>
    <t>Belas-artes</t>
  </si>
  <si>
    <t>https://www.google.com/search?q=site%3Aipleiria.pt%20Artes%20Pl%C3%A1sticas%20licenciatura</t>
  </si>
  <si>
    <t>Biologia Marinha</t>
  </si>
  <si>
    <t>https://www.google.com/search?q=site%3Aipleiria.pt%20Biologia%20Marinha%20licenciatura</t>
  </si>
  <si>
    <t>Biomecânica</t>
  </si>
  <si>
    <t>Física</t>
  </si>
  <si>
    <t>https://www.google.com/search?q=site%3Aipleiria.pt%20Biomec%C3%A2nica%20licenciatura</t>
  </si>
  <si>
    <t>https://www.google.com/search?q=site%3Aipleiria.pt%20Biotecnologia%20licenciatura</t>
  </si>
  <si>
    <t>Ciências da Informação em Saúde</t>
  </si>
  <si>
    <t>https://www.google.com/search?q=site%3Aipleiria.pt%20Ci%C3%AAncias%20da%20Informa%C3%A7%C3%A3o%20em%20Sa%C3%BAde%20licenciatura</t>
  </si>
  <si>
    <t>Comunicação e Media</t>
  </si>
  <si>
    <t>https://www.google.com/search?q=site%3Aipleiria.pt%20Comunica%C3%A7%C3%A3o%20e%20Media%20licenciatura</t>
  </si>
  <si>
    <t>https://www.google.com/search?q=site%3Aipleiria.pt%20Contabilidade%20e%20Finan%C3%A7as%20licenciatura</t>
  </si>
  <si>
    <t>Design Gráfico e Multimédia</t>
  </si>
  <si>
    <t>https://www.google.com/search?q=site%3Aipleiria.pt%20Design%20Gr%C3%A1fico%20e%20Multim%C3%A9dia%20licenciatura</t>
  </si>
  <si>
    <t>Design Industrial</t>
  </si>
  <si>
    <t>https://www.google.com/search?q=site%3Aipleiria.pt%20Design%20Industrial%20licenciatura</t>
  </si>
  <si>
    <t>Design de Espaços</t>
  </si>
  <si>
    <t>https://www.google.com/search?q=site%3Aipleiria.pt%20Design%20de%20Espa%C3%A7os%20licenciatura</t>
  </si>
  <si>
    <t>Design de Produto - Cerâmica e Vidro</t>
  </si>
  <si>
    <t>https://www.google.com/search?q=site%3Aipleiria.pt%20Design%20de%20Produto%20-%20Cer%C3%A2mica%20e%20Vidro%20licenciatura</t>
  </si>
  <si>
    <t>Desporto e Bem-Estar</t>
  </si>
  <si>
    <t>https://www.google.com/search?q=site%3Aipleiria.pt%20Desporto%20e%20Bem-Estar%20licenciatura</t>
  </si>
  <si>
    <t>https://www.google.com/search?q=site%3Aipleiria.pt%20Diet%C3%A9tica%20e%20Nutri%C3%A7%C3%A3o%20licenciatura</t>
  </si>
  <si>
    <t>https://www.google.com/search?q=site%3Aipleiria.pt%20Educa%C3%A7%C3%A3o%20B%C3%A1sica%20licenciatura</t>
  </si>
  <si>
    <t>https://www.google.com/search?q=site%3Aipleiria.pt%20Educa%C3%A7%C3%A3o%20Social%20licenciatura</t>
  </si>
  <si>
    <t>https://www.google.com/search?q=site%3Aipleiria.pt%20Enfermagem%20licenciatura</t>
  </si>
  <si>
    <t>https://www.google.com/search?q=site%3Aipleiria.pt%20Engenharia%20Alimentar%20licenciatura</t>
  </si>
  <si>
    <t>Engenharia Automóvel</t>
  </si>
  <si>
    <t>https://www.google.com/search?q=site%3Aipleiria.pt%20Engenharia%20Autom%C3%B3vel%20licenciatura</t>
  </si>
  <si>
    <t>https://www.google.com/search?q=site%3Aipleiria.pt%20Engenharia%20Civil%20licenciatura</t>
  </si>
  <si>
    <t>https://www.google.com/search?q=site%3Aipleiria.pt%20Engenharia%20Eletrot%C3%A9cnica%20e%20de%20Computadores%20licenciatura</t>
  </si>
  <si>
    <t>Engenharia Eletrotécnica e de Computadores (regime noturno)</t>
  </si>
  <si>
    <t>Eletricidade e Energia (mesma área)</t>
  </si>
  <si>
    <t>https://www.google.com/search?q=site%3Aipleiria.pt%20Engenharia%20Eletrot%C3%A9cnica%20e%20de%20Computadores%20%28regime%20noturno%29%20licenciatura</t>
  </si>
  <si>
    <t>https://www.google.com/search?q=site%3Aipleiria.pt%20Engenharia%20Inform%C3%A1tica%20licenciatura</t>
  </si>
  <si>
    <t>https://www.google.com/search?q=site%3Aipleiria.pt%20Engenharia%20Mec%C3%A2nica%20licenciatura</t>
  </si>
  <si>
    <t>Engenharia da Energia e do Ambiente</t>
  </si>
  <si>
    <t>https://www.google.com/search?q=site%3Aipleiria.pt%20Engenharia%20da%20Energia%20e%20do%20Ambiente%20licenciatura</t>
  </si>
  <si>
    <t>https://www.google.com/search?q=site%3Aipleiria.pt%20Engenharia%20e%20Gest%C3%A3o%20Industrial%20licenciatura</t>
  </si>
  <si>
    <t>https://www.google.com/search?q=site%3Aipleiria.pt%20Fisioterapia%20licenciatura</t>
  </si>
  <si>
    <t>https://www.google.com/search?q=site%3Aipleiria.pt%20Gest%C3%A3o%20licenciatura</t>
  </si>
  <si>
    <t>Gestão Sustentável das Cidades e da Indústria</t>
  </si>
  <si>
    <t>https://www.google.com/search?q=site%3Aipleiria.pt%20Gest%C3%A3o%20Sustent%C3%A1vel%20das%20Cidades%20e%20da%20Ind%C3%BAstria%20licenciatura</t>
  </si>
  <si>
    <t>Gestão Turística e Hoteleira</t>
  </si>
  <si>
    <t>https://www.google.com/search?q=site%3Aipleiria.pt%20Gest%C3%A3o%20Tur%C3%ADstica%20e%20Hoteleira%20licenciatura</t>
  </si>
  <si>
    <t>Gestão da Restauração e Catering</t>
  </si>
  <si>
    <t>https://www.google.com/search?q=site%3Aipleiria.pt%20Gest%C3%A3o%20da%20Restaura%C3%A7%C3%A3o%20e%20Catering%20licenciatura</t>
  </si>
  <si>
    <t>Gestão de Eventos</t>
  </si>
  <si>
    <t>https://www.google.com/search?q=site%3Aipleiria.pt%20Gest%C3%A3o%20de%20Eventos%20licenciatura</t>
  </si>
  <si>
    <t>Jogos Digitais e Multimédia</t>
  </si>
  <si>
    <t>https://www.google.com/search?q=site%3Aipleiria.pt%20Jogos%20Digitais%20e%20Multim%C3%A9dia%20licenciatura</t>
  </si>
  <si>
    <t>Língua Portuguesa Aplicada</t>
  </si>
  <si>
    <t>https://www.google.com/search?q=site%3Aipleiria.pt%20L%C3%ADngua%20Portuguesa%20Aplicada%20licenciatura</t>
  </si>
  <si>
    <t>https://www.google.com/search?q=site%3Aipleiria.pt%20Marketing%20licenciatura</t>
  </si>
  <si>
    <t>https://www.google.com/search?q=site%3Aipleiria.pt%20Marketing%20Tur%C3%ADstico%20licenciatura</t>
  </si>
  <si>
    <t>Programação e Produção Cultural</t>
  </si>
  <si>
    <t>https://www.google.com/search?q=site%3Aipleiria.pt%20Programa%C3%A7%C3%A3o%20e%20Produ%C3%A7%C3%A3o%20Cultural%20licenciatura</t>
  </si>
  <si>
    <t>Reabilitação do Património</t>
  </si>
  <si>
    <t>https://www.google.com/search?q=site%3Aipleiria.pt%20Reabilita%C3%A7%C3%A3o%20do%20Patrim%C3%B3nio%20licenciatura</t>
  </si>
  <si>
    <t>Relações Humanas e Comunicação Organizacional</t>
  </si>
  <si>
    <t>https://www.google.com/search?q=site%3Aipleiria.pt%20Rela%C3%A7%C3%B5es%20Humanas%20e%20Comunica%C3%A7%C3%A3o%20Organizacional%20licenciatura</t>
  </si>
  <si>
    <t>Relações Humanas e Comunicação Organizacional (regime de ensino a distância)</t>
  </si>
  <si>
    <t>https://www.google.com/search?q=site%3Aipleiria.pt%20Rela%C3%A7%C3%B5es%20Humanas%20e%20Comunica%C3%A7%C3%A3o%20Organizacional%20%28regime%20de%20ensino%20a%20dist%C3%A2ncia%29%20licenciatura</t>
  </si>
  <si>
    <t>https://www.google.com/search?q=site%3Aipleiria.pt%20Servi%C3%A7o%20Social%20licenciatura</t>
  </si>
  <si>
    <t>Sistemas Alimentares Sustentáveis</t>
  </si>
  <si>
    <t>https://www.google.com/search?q=site%3Aipleiria.pt%20Sistemas%20Alimentares%20Sustent%C3%A1veis%20licenciatura</t>
  </si>
  <si>
    <t>https://www.google.com/search?q=site%3Aipleiria.pt%20Solicitadoria%20licenciatura</t>
  </si>
  <si>
    <t>https://www.google.com/search?q=site%3Aipleiria.pt%20Som%20e%20Imagem%20licenciatura</t>
  </si>
  <si>
    <t>https://www.google.com/search?q=site%3Aipleiria.pt%20Teatro%20licenciatura</t>
  </si>
  <si>
    <t>Tecnologias Digitais Aplicadas ao Turismo</t>
  </si>
  <si>
    <t>https://www.google.com/search?q=site%3Aipleiria.pt%20Tecnologias%20Digitais%20Aplicadas%20ao%20Turismo%20licenciatura</t>
  </si>
  <si>
    <t>https://www.google.com/search?q=site%3Aipleiria.pt%20Terapia%20Ocupacional%20licenciatura</t>
  </si>
  <si>
    <t>https://www.google.com/search?q=site%3Aipleiria.pt%20Terapia%20da%20Fala%20licenciatura</t>
  </si>
  <si>
    <t>Tradução Técnica e Empresarial</t>
  </si>
  <si>
    <t>https://www.google.com/search?q=site%3Aipleiria.pt%20Tradu%C3%A7%C3%A3o%20T%C3%A9cnica%20e%20Empresarial%20licenciatura</t>
  </si>
  <si>
    <t>Tradução e Interpretação: Português/Chinês - Chinês/Português</t>
  </si>
  <si>
    <t>https://www.google.com/search?q=site%3Aipleiria.pt%20Tradu%C3%A7%C3%A3o%20e%20Interpreta%C3%A7%C3%A3o%3A%20Portugu%C3%AAs/Chin%C3%AAs%20-%20Chin%C3%AAs/Portugu%C3%AAs%20licenciatura</t>
  </si>
  <si>
    <t>https://www.google.com/search?q=site%3Aipleiria.pt%20Turismo%20licenciatura</t>
  </si>
  <si>
    <t>Acessibilidade e Inclusão (regime de ensino a distância)</t>
  </si>
  <si>
    <t>https://www.google.com/search?q=site%3Aipleiria.pt%20Acessibilidade%20e%20Inclus%C3%A3o%20%28regime%20de%20ensino%20a%20dist%C3%A2ncia%29%20mestrado</t>
  </si>
  <si>
    <t>https://www.google.com/search?q=site%3Aipleiria.pt%20Administra%C3%A7%C3%A3o%20P%C3%BAblica%20mestrado</t>
  </si>
  <si>
    <t>Aquacultura</t>
  </si>
  <si>
    <t>https://www.google.com/search?q=site%3Aipleiria.pt%20Aquacultura%20mestrado</t>
  </si>
  <si>
    <t>https://www.google.com/search?q=site%3Aipleiria.pt%20Artes%20Pl%C3%A1sticas%20mestrado</t>
  </si>
  <si>
    <t>Artes do Som e da Imagem</t>
  </si>
  <si>
    <t>https://www.google.com/search?q=site%3Aipleiria.pt%20Artes%20do%20Som%20e%20da%20Imagem%20mestrado</t>
  </si>
  <si>
    <t>Atividade Física para Pessoas com Deficiência</t>
  </si>
  <si>
    <t>https://www.google.com/search?q=site%3Aipleiria.pt%20Atividade%20F%C3%ADsica%20para%20Pessoas%20com%20Defici%C3%AAncia%20mestrado</t>
  </si>
  <si>
    <t>Biociências Marinhas</t>
  </si>
  <si>
    <t>https://www.google.com/search?q=site%3Aipleiria.pt%20Bioci%C3%AAncias%20Marinhas%20mestrado</t>
  </si>
  <si>
    <t>Biotecnologia Aplicada</t>
  </si>
  <si>
    <t>https://www.google.com/search?q=site%3Aipleiria.pt%20Biotecnologia%20Aplicada%20mestrado</t>
  </si>
  <si>
    <t>Biotecnologia dos Recursos Marinhos</t>
  </si>
  <si>
    <t>https://www.google.com/search?q=site%3Aipleiria.pt%20Biotecnologia%20dos%20Recursos%20Marinhos%20mestrado</t>
  </si>
  <si>
    <t>Cibersegurança e Informática Forense</t>
  </si>
  <si>
    <t>https://www.google.com/search?q=site%3Aipleiria.pt%20Ciberseguran%C3%A7a%20e%20Inform%C3%A1tica%20Forense%20mestrado</t>
  </si>
  <si>
    <t>https://www.google.com/search?q=site%3Aipleiria.pt%20Ci%C3%AAncia%20de%20Dados%20mestrado</t>
  </si>
  <si>
    <t>Ciências da Educação - Gestão Escolar</t>
  </si>
  <si>
    <t>https://www.google.com/search?q=site%3Aipleiria.pt%20Ci%C3%AAncias%20da%20Educa%C3%A7%C3%A3o%20-%20Gest%C3%A3o%20Escolar%20mestrado</t>
  </si>
  <si>
    <t>Ciências da Educação, área de Especialização em Educação e Desenvolvimento Comunitário</t>
  </si>
  <si>
    <t>https://www.google.com/search?q=site%3Aipleiria.pt%20Ci%C3%AAncias%20da%20Educa%C3%A7%C3%A3o%2C%20%C3%A1rea%20de%20Especializa%C3%A7%C3%A3o%20em%20Educa%C3%A7%C3%A3o%20e%20Desenvolvimento%20Comunit%C3%A1rio%20mestrado</t>
  </si>
  <si>
    <t>Ciências do Envelhecimento</t>
  </si>
  <si>
    <t>https://www.google.com/search?q=site%3Aipleiria.pt%20Ci%C3%AAncias%20do%20Envelhecimento%20mestrado</t>
  </si>
  <si>
    <t>Competências Digitais na Saúde</t>
  </si>
  <si>
    <t>Escola Nacional de Saúde Pública</t>
  </si>
  <si>
    <t>https://www.google.com/search?q=site%3Aipleiria.pt%20Compet%C3%AAncias%20Digitais%20na%20Sa%C3%BAde%20mestrado</t>
  </si>
  <si>
    <t>https://www.google.com/search?q=site%3Aipleiria.pt%20Comunica%C3%A7%C3%A3o%20e%20Media%20mestrado</t>
  </si>
  <si>
    <t>https://www.google.com/search?q=site%3Aipleiria.pt%20Contabilidade%20e%20Fiscalidade%20mestrado</t>
  </si>
  <si>
    <t>https://www.google.com/search?q=site%3Aipleiria.pt%20Controlo%20de%20Gest%C3%A3o%20mestrado</t>
  </si>
  <si>
    <t>https://www.google.com/search?q=site%3Aipleiria.pt%20Cuidados%20Paliativos%20mestrado</t>
  </si>
  <si>
    <t>Desenvolvimento de Jogos Digitais</t>
  </si>
  <si>
    <t>https://www.google.com/search?q=site%3Aipleiria.pt%20Desenvolvimento%20de%20Jogos%20Digitais%20mestrado</t>
  </si>
  <si>
    <t>https://www.google.com/search?q=site%3Aipleiria.pt%20Design%20Gr%C3%A1fico%20mestrado</t>
  </si>
  <si>
    <t>https://www.google.com/search?q=site%3Aipleiria.pt%20Design%20de%20Produto%20mestrado</t>
  </si>
  <si>
    <t>Design para a Saúde e Bem-Estar</t>
  </si>
  <si>
    <t>https://www.google.com/search?q=site%3Aipleiria.pt%20Design%20para%20a%20Sa%C3%BAde%20e%20Bem-Estar%20mestrado</t>
  </si>
  <si>
    <t>Desporto e Saúde para Crianças e Jovens</t>
  </si>
  <si>
    <t>https://www.google.com/search?q=site%3Aipleiria.pt%20Desporto%20e%20Sa%C3%BAde%20para%20Crian%C3%A7as%20e%20Jovens%20mestrado</t>
  </si>
  <si>
    <t>Didática do Português Língua Global</t>
  </si>
  <si>
    <t>Formação de Professores de Português</t>
  </si>
  <si>
    <t>https://www.google.com/search?q=site%3Aipleiria.pt%20Did%C3%A1tica%20do%20Portugu%C3%AAs%20L%C3%ADngua%20Global%20mestrado</t>
  </si>
  <si>
    <t>Direção e Gestão de Organizações de Intervenção Social</t>
  </si>
  <si>
    <t>https://www.google.com/search?q=site%3Aipleiria.pt%20Dire%C3%A7%C3%A3o%20e%20Gest%C3%A3o%20de%20Organiza%C3%A7%C3%B5es%20de%20Interven%C3%A7%C3%A3o%20Social%20mestrado</t>
  </si>
  <si>
    <t>Economia Azul e Circular</t>
  </si>
  <si>
    <t>https://www.google.com/search?q=site%3Aipleiria.pt%20Economia%20Azul%20e%20Circular%20mestrado</t>
  </si>
  <si>
    <t>Educação Especial - Domínio Cognitivo-Motor</t>
  </si>
  <si>
    <t>https://www.google.com/search?q=site%3Aipleiria.pt%20Educa%C3%A7%C3%A3o%20Especial%20-%20Dom%C3%ADnio%20Cognitivo-Motor%20mestrado</t>
  </si>
  <si>
    <t>Educação Matemática no Pré-Escolar e 1.º ciclo do Ensino Básico</t>
  </si>
  <si>
    <t>https://www.google.com/search?q=site%3Aipleiria.pt%20Educa%C3%A7%C3%A3o%20Matem%C3%A1tica%20no%20Pr%C3%A9-Escolar%20e%201.%C2%BA%20ciclo%20do%20Ensino%20B%C3%A1sico%20mestrado</t>
  </si>
  <si>
    <t>https://www.google.com/search?q=site%3Aipleiria.pt%20Educa%C3%A7%C3%A3o%20Pr%C3%A9-Escolar%20mestrado</t>
  </si>
  <si>
    <t>https://www.google.com/search?q=site%3Aipleiria.pt%20Educa%C3%A7%C3%A3o%20Pr%C3%A9-Escolar%20e%20Ensino%20do%201.%C2%BA%20Ciclo%20do%20Ensino%20B%C3%A1sico%20mestrado</t>
  </si>
  <si>
    <t>Educação e Inovação Pedagógica</t>
  </si>
  <si>
    <t>https://www.google.com/search?q=site%3Aipleiria.pt%20Educa%C3%A7%C3%A3o%20e%20Inova%C3%A7%C3%A3o%20Pedag%C3%B3gica%20mestrado</t>
  </si>
  <si>
    <t>https://www.google.com/search?q=site%3Aipleiria.pt%20Empreendedorismo%20e%20Inova%C3%A7%C3%A3o%20mestrado</t>
  </si>
  <si>
    <t>Enfermagem Comunitária - Área de Enfermagem de Saúde Comunitária e de Saúde Pública</t>
  </si>
  <si>
    <t>https://www.google.com/search?q=site%3Aipleiria.pt%20Enfermagem%20Comunit%C3%A1ria%20-%20%C3%81rea%20de%20Enfermagem%20de%20Sa%C3%BAde%20Comunit%C3%A1ria%20e%20de%20Sa%C3%BAde%20P%C3%BAblica%20mestrado</t>
  </si>
  <si>
    <t>Enfermagem Comunitária, na área de Enfermagem de Saúde Familiar</t>
  </si>
  <si>
    <t>https://www.google.com/search?q=site%3Aipleiria.pt%20Enfermagem%20Comunit%C3%A1ria%2C%20na%20%C3%A1rea%20de%20Enfermagem%20de%20Sa%C3%BAde%20Familiar%20mestrado</t>
  </si>
  <si>
    <t>Enfermagem Médico-Cirúrgica na área de Enfermagem à Pessoa em Situação Crítica</t>
  </si>
  <si>
    <t>https://www.google.com/search?q=site%3Aipleiria.pt%20Enfermagem%20M%C3%A9dico-Cir%C3%BArgica%20na%20%C3%A1rea%20de%20Enfermagem%20%C3%A0%20Pessoa%20em%20Situa%C3%A7%C3%A3o%20Cr%C3%ADtica%20mestrado</t>
  </si>
  <si>
    <t>Enfermagem Médico-cirúrgica - Área de especialização em Enfermagem à Pessoa em Situação Crítica</t>
  </si>
  <si>
    <t>https://www.google.com/search?q=site%3Aipleiria.pt%20Enfermagem%20M%C3%A9dico-cir%C3%BArgica%20-%20%C3%81rea%20de%20especializa%C3%A7%C3%A3o%20em%20Enfermagem%20%C3%A0%20Pessoa%20em%20Situa%C3%A7%C3%A3o%20Cr%C3%ADtica%20mestrado</t>
  </si>
  <si>
    <t>Enfermagem de Emergência e Cuidados Críticos (Erasmus Mundus)</t>
  </si>
  <si>
    <t>ESS‑UAlg em consórcio internacional (Erasmus Mundus)</t>
  </si>
  <si>
    <t>https://www.google.com/search?q=site%3Aipleiria.pt%20Enfermagem%20de%20Emerg%C3%AAncia%20e%20Cuidados%20Cr%C3%ADticos%20%28Erasmus%20Mundus%29%20mestrado</t>
  </si>
  <si>
    <t>https://www.google.com/search?q=site%3Aipleiria.pt%20Enfermagem%20de%20Reabilita%C3%A7%C3%A3o%20mestrado</t>
  </si>
  <si>
    <t>https://www.google.com/search?q=site%3Aipleiria.pt%20Enfermagem%20de%20Sa%C3%BAde%20Familiar%20mestrado</t>
  </si>
  <si>
    <t>https://www.google.com/search?q=site%3Aipleiria.pt%20Enfermagem%20de%20Sa%C3%BAde%20Mental%20e%20Psiqui%C3%A1trica%20mestrado</t>
  </si>
  <si>
    <t>https://www.google.com/search?q=site%3Aipleiria.pt%20Engenharia%20Autom%C3%B3vel%20mestrado</t>
  </si>
  <si>
    <t>Engenharia Civil - Construções Civis</t>
  </si>
  <si>
    <t>https://www.google.com/search?q=site%3Aipleiria.pt%20Engenharia%20Civil%20-%20Constru%C3%A7%C3%B5es%20Civis%20mestrado</t>
  </si>
  <si>
    <t>https://www.google.com/search?q=site%3Aipleiria.pt%20Engenharia%20Eletrot%C3%A9cnica%20e%20de%20Computadores%20mestrado</t>
  </si>
  <si>
    <t>https://www.google.com/search?q=site%3Aipleiria.pt%20Engenharia%20Inform%C3%A1tica%20mestrado</t>
  </si>
  <si>
    <t>Engenharia Mecânica - Produção Industrial</t>
  </si>
  <si>
    <t>https://www.google.com/search?q=site%3Aipleiria.pt%20Engenharia%20Mec%C3%A2nica%20-%20Produ%C3%A7%C3%A3o%20Industrial%20mestrado</t>
  </si>
  <si>
    <t>Engenharia da Conceção e Desenvolvimento de Produto</t>
  </si>
  <si>
    <t>https://www.google.com/search?q=site%3Aipleiria.pt%20Engenharia%20da%20Conce%C3%A7%C3%A3o%20e%20Desenvolvimento%20de%20Produto%20mestrado</t>
  </si>
  <si>
    <t>https://www.google.com/search?q=site%3Aipleiria.pt%20Engenharia%20da%20Energia%20e%20do%20Ambiente%20mestrado</t>
  </si>
  <si>
    <t>Engenharia para Fabricação Digital Direta</t>
  </si>
  <si>
    <t>https://www.google.com/search?q=site%3Aipleiria.pt%20Engenharia%20para%20Fabrica%C3%A7%C3%A3o%20Digital%20Direta%20mestrado</t>
  </si>
  <si>
    <t>Ensino do 1.º Ciclo do Ensino Básico</t>
  </si>
  <si>
    <t>Formação de Professores do Ensino Básico</t>
  </si>
  <si>
    <t>https://www.google.com/search?q=site%3Aipleiria.pt%20Ensino%20do%201.%C2%BA%20Ciclo%20do%20Ensino%20B%C3%A1sico%20mestrado</t>
  </si>
  <si>
    <t>https://www.google.com/search?q=site%3Aipleiria.pt%20Ensino%20do%201.%C2%BA%20Ciclo%20do%20Ensino%20B%C3%A1sico%20e%20de%20Matem%C3%A1tica%20e%20Ci%C3%AAncias%20Naturais%20no%202.%C2%BA%20Ciclo%20do%20Ensino%20B%C3%A1sico%20mestrado</t>
  </si>
  <si>
    <t>https://www.google.com/search?q=site%3Aipleiria.pt%20Ensino%20do%201.%C2%BA%20Ciclo%20do%20Ensino%20B%C3%A1sico%20e%20de%20Portugu%C3%AAs%20e%20Hist%C3%B3ria%20e%20Geografia%20de%20Portugal%20no%202.%C2%BA%20Ciclo%20do%20Ensino%20B%C3%A1sico%20mestrado</t>
  </si>
  <si>
    <t>Estatística Empresarial</t>
  </si>
  <si>
    <t>https://www.google.com/search?q=site%3Aipleiria.pt%20Estat%C3%ADstica%20Empresarial%20mestrado</t>
  </si>
  <si>
    <t>Finanças Empresariais</t>
  </si>
  <si>
    <t>https://www.google.com/search?q=site%3Aipleiria.pt%20Finan%C3%A7as%20Empresariais%20mestrado</t>
  </si>
  <si>
    <t>https://www.google.com/search?q=site%3Aipleiria.pt%20Fisioterapia%20mestrado</t>
  </si>
  <si>
    <t>https://www.google.com/search?q=site%3Aipleiria.pt%20Gastronomia%20mestrado</t>
  </si>
  <si>
    <t>https://www.google.com/search?q=site%3Aipleiria.pt%20Gest%C3%A3o%20mestrado</t>
  </si>
  <si>
    <t>Gestão Cultural</t>
  </si>
  <si>
    <t>https://www.google.com/search?q=site%3Aipleiria.pt%20Gest%C3%A3o%20Cultural%20mestrado</t>
  </si>
  <si>
    <t>https://www.google.com/search?q=site%3Aipleiria.pt%20Gest%C3%A3o%20Hoteleira%20mestrado</t>
  </si>
  <si>
    <t>Gestão da Qualidade e Segurança Alimentar</t>
  </si>
  <si>
    <t>https://www.google.com/search?q=site%3Aipleiria.pt%20Gest%C3%A3o%20da%20Qualidade%20e%20Seguran%C3%A7a%20Alimentar%20mestrado</t>
  </si>
  <si>
    <t>Gestão de Sistemas de Informação Médica</t>
  </si>
  <si>
    <t>https://www.google.com/search?q=site%3Aipleiria.pt%20Gest%C3%A3o%20de%20Sistemas%20de%20Informa%C3%A7%C3%A3o%20M%C3%A9dica%20mestrado</t>
  </si>
  <si>
    <t>Gestão e Direcção Hoteleira</t>
  </si>
  <si>
    <t>https://www.google.com/search?q=site%3Aipleiria.pt%20Gest%C3%A3o%20e%20Direc%C3%A7%C3%A3o%20Hoteleira%20mestrado</t>
  </si>
  <si>
    <t>https://www.google.com/search?q=site%3Aipleiria.pt%20Gest%C3%A3o%20e%20Sustentabilidade%20no%20Turismo%20mestrado</t>
  </si>
  <si>
    <t>Inovação em Sistemas Alimentares e Nutrição (regime de ensino a distância)</t>
  </si>
  <si>
    <t>https://www.google.com/search?q=site%3Aipleiria.pt%20Inova%C3%A7%C3%A3o%20em%20Sistemas%20Alimentares%20e%20Nutri%C3%A7%C3%A3o%20%28regime%20de%20ensino%20a%20dist%C3%A2ncia%29%20mestrado</t>
  </si>
  <si>
    <t>Intervenção e Animação Artísticas</t>
  </si>
  <si>
    <t>https://www.google.com/search?q=site%3Aipleiria.pt%20Interven%C3%A7%C3%A3o%20e%20Anima%C3%A7%C3%A3o%20Art%C3%ADsticas%20mestrado</t>
  </si>
  <si>
    <t>Marketing Relacional</t>
  </si>
  <si>
    <t>https://www.google.com/search?q=site%3Aipleiria.pt%20Marketing%20Relacional%20mestrado</t>
  </si>
  <si>
    <t>Marketing e Promoção Turística</t>
  </si>
  <si>
    <t>https://www.google.com/search?q=site%3Aipleiria.pt%20Marketing%20e%20Promo%C3%A7%C3%A3o%20Tur%C3%ADstica%20mestrado</t>
  </si>
  <si>
    <t>Mediação Intercultural e Intervenção Social</t>
  </si>
  <si>
    <t>https://www.google.com/search?q=site%3Aipleiria.pt%20Media%C3%A7%C3%A3o%20Intercultural%20e%20Interven%C3%A7%C3%A3o%20Social%20mestrado</t>
  </si>
  <si>
    <t>Negócios Internacionais</t>
  </si>
  <si>
    <t>https://www.google.com/search?q=site%3Aipleiria.pt%20Neg%C3%B3cios%20Internacionais%20mestrado</t>
  </si>
  <si>
    <t>Prescrição do Exercício e Promoção da Saúde</t>
  </si>
  <si>
    <t>https://www.google.com/search?q=site%3Aipleiria.pt%20Prescri%C3%A7%C3%A3o%20do%20Exerc%C3%ADcio%20e%20Promo%C3%A7%C3%A3o%20da%20Sa%C3%BAde%20mestrado</t>
  </si>
  <si>
    <t>Solicitadoria de Empresa</t>
  </si>
  <si>
    <t>https://www.google.com/search?q=site%3Aipleiria.pt%20Solicitadoria%20de%20Empresa%20mestrado</t>
  </si>
  <si>
    <t>Sustentabilidade Urbana e Industrial</t>
  </si>
  <si>
    <t>https://www.google.com/search?q=site%3Aipleiria.pt%20Sustentabilidade%20Urbana%20e%20Industrial%20mestrado</t>
  </si>
  <si>
    <t>Terapia da Fala - Neurociência Clínica Aplicada</t>
  </si>
  <si>
    <t>https://www.google.com/search?q=site%3Aipleiria.pt%20Terapia%20da%20Fala%20-%20Neuroci%C3%AAncia%20Cl%C3%ADnica%20Aplicada%20mestrado</t>
  </si>
  <si>
    <t>Terapia da Mão (regime de ensino a distância)</t>
  </si>
  <si>
    <t>https://www.google.com/search?q=site%3Aipleiria.pt%20Terapia%20da%20M%C3%A3o%20%28regime%20de%20ensino%20a%20dist%C3%A2ncia%29%20mestrado</t>
  </si>
  <si>
    <t>Turismo e Ambiente</t>
  </si>
  <si>
    <t>https://www.google.com/search?q=site%3Aipleiria.pt%20Turismo%20e%20Ambiente%20mestrado</t>
  </si>
  <si>
    <t>Utilização Pedagógica das TIC</t>
  </si>
  <si>
    <t>https://www.google.com/search?q=site%3Aipleiria.pt%20Utiliza%C3%A7%C3%A3o%20Pedag%C3%B3gica%20das%20TIC%20mestrado</t>
  </si>
  <si>
    <t>6 Sigma ao Nível de Black Belt – 13.ª Edição</t>
  </si>
  <si>
    <t>Escola Superior de Tecnologia e Gestão (ESTG)</t>
  </si>
  <si>
    <t>https://www.google.com/search?q=site%3Aipleiria.pt%206%20Sigma%20ao%20N%C3%ADvel%20de%20Black%20Belt%20%E2%80%93%2013.%C2%AA%20Edi%C3%A7%C3%A3o%20p%C3%B3s-gradua%C3%A7%C3%A3o</t>
  </si>
  <si>
    <t>1,2 ano(s) (75 ECTS)</t>
  </si>
  <si>
    <t>Portalegre</t>
  </si>
  <si>
    <t>Alterações Climáticas e Mitigação de Riscos</t>
  </si>
  <si>
    <t>ESTGD</t>
  </si>
  <si>
    <t>https://www.google.com/search?q=site%3Aipleiria.pt%20Altera%C3%A7%C3%B5es%20Clim%C3%A1ticas%20e%20Mitiga%C3%A7%C3%A3o%20de%20Riscos%20p%C3%B3s-gradua%C3%A7%C3%A3o</t>
  </si>
  <si>
    <t>2 semestres</t>
  </si>
  <si>
    <t>Animação</t>
  </si>
  <si>
    <t>https://www.google.com/search?q=site%3Aipleiria.pt%20Anima%C3%A7%C3%A3o%20p%C3%B3s-gradua%C3%A7%C3%A3o</t>
  </si>
  <si>
    <t>Auditores de HACCP</t>
  </si>
  <si>
    <t>ESTG</t>
  </si>
  <si>
    <t>https://www.google.com/search?q=site%3Aipleiria.pt%20Auditores%20de%20HACCP%20p%C3%B3s-gradua%C3%A7%C3%A3o</t>
  </si>
  <si>
    <t>1 ano; ECTS não indicados (curso de especialização em HACCP)</t>
  </si>
  <si>
    <t>Auditoria e Relato Financeiro</t>
  </si>
  <si>
    <t>https://www.google.com/search?q=site%3Aipleiria.pt%20Auditoria%20e%20Relato%20Financeiro%20p%C3%B3s-gradua%C3%A7%C3%A3o</t>
  </si>
  <si>
    <t>Business Culture and Technology – 2.ª Edição</t>
  </si>
  <si>
    <t>ESTG / Leiria Business School</t>
  </si>
  <si>
    <t>https://www.google.com/search?q=site%3Aipleiria.pt%20Business%20Culture%20and%20Technology%20%E2%80%93%202.%C2%AA%20Edi%C3%A7%C3%A3o%20p%C3%B3s-gradua%C3%A7%C3%A3o</t>
  </si>
  <si>
    <t>Business Management</t>
  </si>
  <si>
    <t>https://www.google.com/search?q=site%3Aipleiria.pt%20Business%20Management%20p%C3%B3s-gradua%C3%A7%C3%A3o</t>
  </si>
  <si>
    <t>não encontrado</t>
  </si>
  <si>
    <t>Ciência de Dados Aplicada à Análise de Risco</t>
  </si>
  <si>
    <t>https://www.google.com/search?q=site%3Aipleiria.pt%20Ci%C3%AAncia%20de%20Dados%20Aplicada%20%C3%A0%20An%C3%A1lise%20de%20Risco%20p%C3%B3s-gradua%C3%A7%C3%A3o</t>
  </si>
  <si>
    <t>Data Science and Digital Transformation</t>
  </si>
  <si>
    <t>https://www.google.com/search?q=site%3Aipleiria.pt%20Data%20Science%20and%20Digital%20Transformation%20p%C3%B3s-gradua%C3%A7%C3%A3o</t>
  </si>
  <si>
    <t>Desenvolvimento Regional e Local</t>
  </si>
  <si>
    <t>ESECS / ESTG</t>
  </si>
  <si>
    <t>https://www.google.com/search?q=site%3Aipleiria.pt%20Desenvolvimento%20Regional%20e%20Local%20p%C3%B3s-gradua%C3%A7%C3%A3o</t>
  </si>
  <si>
    <t>Desporto e Atividade Física Adaptados</t>
  </si>
  <si>
    <t>Escola Superior de Educação e Ciências Sociais (ESECS)</t>
  </si>
  <si>
    <t>https://www.google.com/search?q=site%3Aipleiria.pt%20Desporto%20e%20Atividade%20F%C3%ADsica%20Adaptados%20p%C3%B3s-gradua%C3%A7%C3%A3o</t>
  </si>
  <si>
    <t>Direito do Consumo</t>
  </si>
  <si>
    <t>https://www.google.com/search?q=site%3Aipleiria.pt%20Direito%20do%20Consumo%20p%C3%B3s-gradua%C3%A7%C3%A3o</t>
  </si>
  <si>
    <t>Direito do Urbanismo e do Ambiente</t>
  </si>
  <si>
    <t>https://www.google.com/search?q=site%3Aipleiria.pt%20Direito%20do%20Urbanismo%20e%20do%20Ambiente%20p%C3%B3s-gradua%C3%A7%C3%A3o</t>
  </si>
  <si>
    <t>Direção de Bandas e Ensembles de Sopros</t>
  </si>
  <si>
    <t>ESECS</t>
  </si>
  <si>
    <t>https://www.google.com/search?q=site%3Aipleiria.pt%20Dire%C3%A7%C3%A3o%20de%20Bandas%20e%20Ensembles%20de%20Sopros%20p%C3%B3s-gradua%C3%A7%C3%A3o</t>
  </si>
  <si>
    <t>Direção de Organizações de Intervenção Social</t>
  </si>
  <si>
    <t>https://www.google.com/search?q=site%3Aipleiria.pt%20Dire%C3%A7%C3%A3o%20de%20Organiza%C3%A7%C3%B5es%20de%20Interven%C3%A7%C3%A3o%20Social%20p%C3%B3s-gradua%C3%A7%C3%A3o</t>
  </si>
  <si>
    <t>Educação STEM</t>
  </si>
  <si>
    <t>https://www.google.com/search?q=site%3Aipleiria.pt%20Educa%C3%A7%C3%A3o%20STEM%20p%C3%B3s-gradua%C3%A7%C3%A3o</t>
  </si>
  <si>
    <t>Educação de Crianças em Idade de Creche (0‑3 anos)</t>
  </si>
  <si>
    <t>https://www.google.com/search?q=site%3Aipleiria.pt%20Educa%C3%A7%C3%A3o%20de%20Crian%C3%A7as%20em%20Idade%20de%20Creche%20%280%E2%80%913%20anos%29%20p%C3%B3s-gradua%C3%A7%C3%A3o</t>
  </si>
  <si>
    <t>Emergência Médica e Catástrofe</t>
  </si>
  <si>
    <t>Escola Superior de Saúde (ESSLei)</t>
  </si>
  <si>
    <t>https://www.google.com/search?q=site%3Aipleiria.pt%20Emerg%C3%AAncia%20M%C3%A9dica%20e%20Cat%C3%A1strofe%20p%C3%B3s-gradua%C3%A7%C3%A3o</t>
  </si>
  <si>
    <t>ESSLei</t>
  </si>
  <si>
    <t>https://www.google.com/search?q=site%3Aipleiria.pt%20Enfermagem%20Forense%20p%C3%B3s-gradua%C3%A7%C3%A3o</t>
  </si>
  <si>
    <t>Enfermagem do Trabalho – 6.ª Edição</t>
  </si>
  <si>
    <t>https://www.google.com/search?q=site%3Aipleiria.pt%20Enfermagem%20do%20Trabalho%20%E2%80%93%206.%C2%AA%20Edi%C3%A7%C3%A3o%20p%C3%B3s-gradua%C3%A7%C3%A3o</t>
  </si>
  <si>
    <t>https://www.google.com/search?q=site%3Aipleiria.pt%20Enoturismo%20p%C3%B3s-gradua%C3%A7%C3%A3o</t>
  </si>
  <si>
    <t>Estudos Europeus</t>
  </si>
  <si>
    <t>https://www.google.com/search?q=site%3Aipleiria.pt%20Estudos%20Europeus%20p%C3%B3s-gradua%C3%A7%C3%A3o</t>
  </si>
  <si>
    <t>Fiscalidade</t>
  </si>
  <si>
    <t>https://www.google.com/search?q=site%3Aipleiria.pt%20Fiscalidade%20p%C3%B3s-gradua%C3%A7%C3%A3o</t>
  </si>
  <si>
    <t>Gestão de Negócios Online</t>
  </si>
  <si>
    <t>https://www.google.com/search?q=site%3Aipleiria.pt%20Gest%C3%A3o%20de%20Neg%C3%B3cios%20Online%20p%C3%B3s-gradua%C3%A7%C3%A3o</t>
  </si>
  <si>
    <t>18 meses; ECTS não indicados; aulas ao sábado</t>
  </si>
  <si>
    <t>Gestão de Organizações da Economia Social</t>
  </si>
  <si>
    <t>https://www.google.com/search?q=site%3Aipleiria.pt%20Gest%C3%A3o%20de%20Organiza%C3%A7%C3%B5es%20da%20Economia%20Social%20p%C3%B3s-gradua%C3%A7%C3%A3o</t>
  </si>
  <si>
    <t>2 semestres letivos / 380 horas letivas / ECTS não está destacado no site (Gestão de Organizações da Economia Social – IPPortalegre)</t>
  </si>
  <si>
    <t>Gestão de Projetos – 7.ª Edição</t>
  </si>
  <si>
    <t>https://www.google.com/search?q=site%3Aipleiria.pt%20Gest%C3%A3o%20de%20Projetos%20%E2%80%93%207.%C2%AA%20Edi%C3%A7%C3%A3o%20p%C3%B3s-gradua%C3%A7%C3%A3o</t>
  </si>
  <si>
    <t>Gestão de Unidades de Saúde – 5.ª Edição</t>
  </si>
  <si>
    <t>ESSLei / ESTG</t>
  </si>
  <si>
    <t>https://www.google.com/search?q=site%3Aipleiria.pt%20Gest%C3%A3o%20de%20Unidades%20de%20Sa%C3%BAde%20%E2%80%93%205.%C2%AA%20Edi%C3%A7%C3%A3o%20p%C3%B3s-gradua%C3%A7%C3%A3o</t>
  </si>
  <si>
    <t>Hidrogénio e Gases Renováveis</t>
  </si>
  <si>
    <t>https://www.google.com/search?q=site%3Aipleiria.pt%20Hidrog%C3%A9nio%20e%20Gases%20Renov%C3%A1veis%20p%C3%B3s-gradua%C3%A7%C3%A3o</t>
  </si>
  <si>
    <t>Não está destacado no site (Hidrogénio e Gases Renováveis – IPPortalegre)</t>
  </si>
  <si>
    <t>Informática de Segurança e Computação Forense</t>
  </si>
  <si>
    <t>https://www.google.com/search?q=site%3Aipleiria.pt%20Inform%C3%A1tica%20de%20Seguran%C3%A7a%20e%20Computa%C3%A7%C3%A3o%20Forense%20p%C3%B3s-gradua%C3%A7%C3%A3o</t>
  </si>
  <si>
    <t>Inovação na Humanização dos Cuidados</t>
  </si>
  <si>
    <t>https://www.google.com/search?q=site%3Aipleiria.pt%20Inova%C3%A7%C3%A3o%20na%20Humaniza%C3%A7%C3%A3o%20dos%20Cuidados%20p%C3%B3s-gradua%C3%A7%C3%A3o</t>
  </si>
  <si>
    <t>11 meses / ECTS não está destacado no site (Inovação na Humanização dos Cuidados – IPPortalegre)</t>
  </si>
  <si>
    <t>Liderança e Gestão para PME</t>
  </si>
  <si>
    <t>https://www.google.com/search?q=site%3Aipleiria.pt%20Lideran%C3%A7a%20e%20Gest%C3%A3o%20para%20PME%20p%C3%B3s-gradua%C3%A7%C3%A3o</t>
  </si>
  <si>
    <t>Marketing Digital – 4.ª Edição</t>
  </si>
  <si>
    <t>https://www.google.com/search?q=site%3Aipleiria.pt%20Marketing%20Digital%20%E2%80%93%204.%C2%AA%20Edi%C3%A7%C3%A3o%20p%C3%B3s-gradua%C3%A7%C3%A3o</t>
  </si>
  <si>
    <t>Marketing e Estratégia Digital</t>
  </si>
  <si>
    <t>https://www.google.com/search?q=site%3Aipleiria.pt%20Marketing%20e%20Estrat%C3%A9gia%20Digital%20p%C3%B3s-gradua%C3%A7%C3%A3o</t>
  </si>
  <si>
    <t>2 semestres / 300 horas letivas / ECTS não está destacado no site (Marketing e Estratégia Digital – IPPortalegre)</t>
  </si>
  <si>
    <t>Olivoturismo</t>
  </si>
  <si>
    <t>https://www.google.com/search?q=site%3Aipleiria.pt%20Olivoturismo%20p%C3%B3s-gradua%C3%A7%C3%A3o</t>
  </si>
  <si>
    <t>Não está destacado no site (Olivoturismo – IPPortalegre)</t>
  </si>
  <si>
    <t>Perturbações do Espectro do Autismo</t>
  </si>
  <si>
    <t>ESECS / ESSLei</t>
  </si>
  <si>
    <t>https://www.google.com/search?q=site%3Aipleiria.pt%20Perturba%C3%A7%C3%B5es%20do%20Espectro%20do%20Autismo%20p%C3%B3s-gradua%C3%A7%C3%A3o</t>
  </si>
  <si>
    <t>Prevenção e Controlo de Infeção e Resistência aos Antimicrobianos</t>
  </si>
  <si>
    <t>https://www.google.com/search?q=site%3Aipleiria.pt%20Preven%C3%A7%C3%A3o%20e%20Controlo%20de%20Infe%C3%A7%C3%A3o%20e%20Resist%C3%AAncia%20aos%20Antimicrobianos%20p%C3%B3s-gradua%C3%A7%C3%A3o</t>
  </si>
  <si>
    <t>Reabilitação Psicossocial</t>
  </si>
  <si>
    <t>ESSLei / ESECS</t>
  </si>
  <si>
    <t>https://www.google.com/search?q=site%3Aipleiria.pt%20Reabilita%C3%A7%C3%A3o%20Psicossocial%20p%C3%B3s-gradua%C3%A7%C3%A3o</t>
  </si>
  <si>
    <t>Registos e Notariado</t>
  </si>
  <si>
    <t>https://www.google.com/search?q=site%3Aipleiria.pt%20Registos%20e%20Notariado%20p%C3%B3s-gradua%C3%A7%C3%A3o</t>
  </si>
  <si>
    <t>Registos e Notariado – 7.ª Edição</t>
  </si>
  <si>
    <t>https://www.google.com/search?q=site%3Aipleiria.pt%20Registos%20e%20Notariado%20%E2%80%93%207.%C2%AA%20Edi%C3%A7%C3%A3o%20p%C3%B3s-gradua%C3%A7%C3%A3o</t>
  </si>
  <si>
    <t>Renewable Energies and Environment</t>
  </si>
  <si>
    <t>https://www.google.com/search?q=site%3Aipleiria.pt%20Renewable%20Energies%20and%20Environment%20p%C3%B3s-gradua%C3%A7%C3%A3o</t>
  </si>
  <si>
    <t>Risco e Bem‑Estar nas Organizações</t>
  </si>
  <si>
    <t>https://www.google.com/search?q=site%3Aipleiria.pt%20Risco%20e%20Bem%E2%80%91Estar%20nas%20Organiza%C3%A7%C3%B5es%20p%C3%B3s-gradua%C3%A7%C3%A3o</t>
  </si>
  <si>
    <t>Serviços Assistidos com Equinos</t>
  </si>
  <si>
    <t>https://www.google.com/search?q=site%3Aipleiria.pt%20Servi%C3%A7os%20Assistidos%20com%20Equinos%20p%C3%B3s-gradua%C3%A7%C3%A3o</t>
  </si>
  <si>
    <t>Sistemas Integrados de Gestão – Qualidade, Ambiente, Energia e Segurança – 7.ª Edição</t>
  </si>
  <si>
    <t>https://www.google.com/search?q=site%3Aipleiria.pt%20Sistemas%20Integrados%20de%20Gest%C3%A3o%20%E2%80%93%20Qualidade%2C%20Ambiente%2C%20Energia%20e%20Seguran%C3%A7a%20%E2%80%93%207.%C2%AA%20Edi%C3%A7%C3%A3o%20p%C3%B3s-gradua%C3%A7%C3%A3o</t>
  </si>
  <si>
    <t>Sistemas de Gestão da Qualidade nas Organizações Sociais</t>
  </si>
  <si>
    <t>https://www.google.com/search?q=site%3Aipleiria.pt%20Sistemas%20de%20Gest%C3%A3o%20da%20Qualidade%20nas%20Organiza%C3%A7%C3%B5es%20Sociais%20p%C3%B3s-gradua%C3%A7%C3%A3o</t>
  </si>
  <si>
    <t>Supervisão Clínica – 3.ª Edição</t>
  </si>
  <si>
    <t>https://www.google.com/search?q=site%3Aipleiria.pt%20Supervis%C3%A3o%20Cl%C3%ADnica%20%E2%80%93%203.%C2%AA%20Edi%C3%A7%C3%A3o%20p%C3%B3s-gradua%C3%A7%C3%A3o</t>
  </si>
  <si>
    <t>Tendências e Inovações Digitais no Planeamento Estratégico</t>
  </si>
  <si>
    <t>https://www.google.com/search?q=site%3Aipleiria.pt%20Tend%C3%AAncias%20e%20Inova%C3%A7%C3%B5es%20Digitais%20no%20Planeamento%20Estrat%C3%A9gico%20p%C3%B3s-gradua%C3%A7%C3%A3o</t>
  </si>
  <si>
    <t>Terapia da Fala – Intervenção nas Perturbações da Linguagem Escrita</t>
  </si>
  <si>
    <t>https://www.google.com/search?q=site%3Aipleiria.pt%20Terapia%20da%20Fala%20%E2%80%93%20Interven%C3%A7%C3%A3o%20nas%20Perturba%C3%A7%C3%B5es%20da%20Linguagem%20Escrita%20p%C3%B3s-gradua%C3%A7%C3%A3o</t>
  </si>
  <si>
    <t>Instituto Politécnico de Lisboa</t>
  </si>
  <si>
    <t>Escola Superior de Educação (ESE/IPL)</t>
  </si>
  <si>
    <t>https://www.google.com/search?q=site%3Aipl.pt%20Anima%C3%A7%C3%A3o%20Sociocultural%20licenciatura</t>
  </si>
  <si>
    <t>Artes Visuais e Tecnologias</t>
  </si>
  <si>
    <t>https://www.google.com/search?q=site%3Aipl.pt%20Artes%20Visuais%20e%20Tecnologias%20licenciatura</t>
  </si>
  <si>
    <t>Escola Superior de Comunicação Social (ESCS/IPL)</t>
  </si>
  <si>
    <t>https://www.google.com/search?q=site%3Aipl.pt%20Audiovisual%20e%20Multim%C3%A9dia%20licenciatura</t>
  </si>
  <si>
    <t>Amadora</t>
  </si>
  <si>
    <t>Cinema</t>
  </si>
  <si>
    <t>Escola Superior de Teatro e Cinema (ESTC/IPL)</t>
  </si>
  <si>
    <t>https://www.google.com/search?q=site%3Aipl.pt%20Cinema%20licenciatura</t>
  </si>
  <si>
    <t>Escola Superior de Saúde de Lisboa</t>
  </si>
  <si>
    <t>https://www.google.com/search?q=site%3Aipl.pt%20Ci%C3%AAncias%20Biom%C3%A9dicas%20Laboratoriais%20licenciatura</t>
  </si>
  <si>
    <t>Comércio e Negócios Internacionais</t>
  </si>
  <si>
    <t>Instituto Superior de Contabilidade e Administração de Lisboa</t>
  </si>
  <si>
    <t>https://www.google.com/search?q=site%3Aipl.pt%20Com%C3%A9rcio%20e%20Neg%C3%B3cios%20Internacionais%20licenciatura</t>
  </si>
  <si>
    <t>Conservação e Reabilitação Urbana</t>
  </si>
  <si>
    <t>Instituto Superior de Engenharia de Lisboa</t>
  </si>
  <si>
    <t>https://www.google.com/search?q=site%3Aipl.pt%20Conserva%C3%A7%C3%A3o%20e%20Reabilita%C3%A7%C3%A3o%20Urbana%20licenciatura</t>
  </si>
  <si>
    <t>https://www.google.com/search?q=site%3Aipl.pt%20Contabilidade%20licenciatura</t>
  </si>
  <si>
    <t>Dança</t>
  </si>
  <si>
    <t>Escola Superior de Dança (ESD/IPL)</t>
  </si>
  <si>
    <t>https://www.google.com/search?q=site%3Aipl.pt%20Dan%C3%A7a%20licenciatura</t>
  </si>
  <si>
    <t>https://www.google.com/search?q=site%3Aipl.pt%20Diet%C3%A9tica%20e%20Nutri%C3%A7%C3%A3o%20licenciatura</t>
  </si>
  <si>
    <t>https://www.google.com/search?q=site%3Aipl.pt%20Educa%C3%A7%C3%A3o%20B%C3%A1sica%20licenciatura</t>
  </si>
  <si>
    <t>https://www.google.com/search?q=site%3Aipl.pt%20Engenharia%20Biom%C3%A9dica%20licenciatura</t>
  </si>
  <si>
    <t>https://www.google.com/search?q=site%3Aipl.pt%20Engenharia%20Civil%20licenciatura</t>
  </si>
  <si>
    <t>https://www.google.com/search?q=site%3Aipl.pt%20Engenharia%20Eletrot%C3%A9cnica%20licenciatura</t>
  </si>
  <si>
    <t>Engenharia Eletrónica e Telecomunicações e de Computadores</t>
  </si>
  <si>
    <t>https://www.google.com/search?q=site%3Aipl.pt%20Engenharia%20Eletr%C3%B3nica%20e%20Telecomunica%C3%A7%C3%B5es%20e%20de%20Computadores%20licenciatura</t>
  </si>
  <si>
    <t>Engenharia Física Aplicada</t>
  </si>
  <si>
    <t>https://www.google.com/search?q=site%3Aipl.pt%20Engenharia%20F%C3%ADsica%20Aplicada%20licenciatura</t>
  </si>
  <si>
    <t>Engenharia Informática e Multimédia</t>
  </si>
  <si>
    <t>https://www.google.com/search?q=site%3Aipl.pt%20Engenharia%20Inform%C3%A1tica%20e%20Multim%C3%A9dia%20licenciatura</t>
  </si>
  <si>
    <t>https://www.google.com/search?q=site%3Aipl.pt%20Engenharia%20Inform%C3%A1tica%20e%20de%20Computadores%20licenciatura</t>
  </si>
  <si>
    <t>Engenharia Informática, Redes e Telecomunicações</t>
  </si>
  <si>
    <t>https://www.google.com/search?q=site%3Aipl.pt%20Engenharia%20Inform%C3%A1tica%2C%20Redes%20e%20Telecomunica%C3%A7%C3%B5es%20licenciatura</t>
  </si>
  <si>
    <t>https://www.google.com/search?q=site%3Aipl.pt%20Engenharia%20Mec%C3%A2nica%20licenciatura</t>
  </si>
  <si>
    <t>https://www.google.com/search?q=site%3Aipl.pt%20Engenharia%20Qu%C3%ADmica%20e%20Biol%C3%B3gica%20licenciatura</t>
  </si>
  <si>
    <t>Engenharia de Sistemas de Computadores</t>
  </si>
  <si>
    <t>https://www.google.com/search?q=site%3Aipl.pt%20Engenharia%20de%20Sistemas%20de%20Computadores%20licenciatura</t>
  </si>
  <si>
    <t>https://www.google.com/search?q=site%3Aipl.pt%20Farm%C3%A1cia%20licenciatura</t>
  </si>
  <si>
    <t>https://www.google.com/search?q=site%3Aipl.pt%20Finan%C3%A7as%20Empresariais%20licenciatura</t>
  </si>
  <si>
    <t>https://www.google.com/search?q=site%3Aipl.pt%20Fisiologia%20Cl%C3%ADnica%20licenciatura</t>
  </si>
  <si>
    <t>https://www.google.com/search?q=site%3Aipl.pt%20Fisioterapia%20licenciatura</t>
  </si>
  <si>
    <t>https://www.google.com/search?q=site%3Aipl.pt%20Gest%C3%A3o%20licenciatura</t>
  </si>
  <si>
    <t>https://www.google.com/search?q=site%3Aipl.pt%20Imagem%20M%C3%A9dica%20e%20Radioterapia%20licenciatura</t>
  </si>
  <si>
    <t>Informática e Economia dos Dados</t>
  </si>
  <si>
    <t>https://www.google.com/search?q=site%3Aipl.pt%20Inform%C3%A1tica%20e%20Economia%20dos%20Dados%20licenciatura</t>
  </si>
  <si>
    <t>Jornalismo</t>
  </si>
  <si>
    <t>https://www.google.com/search?q=site%3Aipl.pt%20Jornalismo%20licenciatura</t>
  </si>
  <si>
    <t>Matemática Aplicada à Tecnologia e à Empresa</t>
  </si>
  <si>
    <t>https://www.google.com/search?q=site%3Aipl.pt%20Matem%C3%A1tica%20Aplicada%20%C3%A0%20Tecnologia%20e%20%C3%A0%20Empresa%20licenciatura</t>
  </si>
  <si>
    <t>Mediação Artística e Cultural</t>
  </si>
  <si>
    <t>https://www.google.com/search?q=site%3Aipl.pt%20Media%C3%A7%C3%A3o%20Art%C3%ADstica%20e%20Cultural%20licenciatura</t>
  </si>
  <si>
    <t>Escola Superior de Música (ESM/IPL)</t>
  </si>
  <si>
    <t>https://www.google.com/search?q=site%3Aipl.pt%20M%C3%BAsica%20licenciatura</t>
  </si>
  <si>
    <t>Música na Comunidade</t>
  </si>
  <si>
    <t>Escola Superior de Música (ESM/IPL) (em articulação com ESE/IPL)</t>
  </si>
  <si>
    <t>https://www.google.com/search?q=site%3Aipl.pt%20M%C3%BAsica%20na%20Comunidade%20licenciatura</t>
  </si>
  <si>
    <t>Ortoprotesia</t>
  </si>
  <si>
    <t>https://www.google.com/search?q=site%3Aipl.pt%20Ortoprotesia%20licenciatura</t>
  </si>
  <si>
    <t>Ortóptica e Ciências da Visão</t>
  </si>
  <si>
    <t>https://www.google.com/search?q=site%3Aipl.pt%20Ort%C3%B3ptica%20e%20Ci%C3%AAncias%20da%20Vis%C3%A3o%20licenciatura</t>
  </si>
  <si>
    <t>Publicidade e Marketing</t>
  </si>
  <si>
    <t>https://www.google.com/search?q=site%3Aipl.pt%20Publicidade%20e%20Marketing%20licenciatura</t>
  </si>
  <si>
    <t>Relações Públicas e Comunicação Empresarial</t>
  </si>
  <si>
    <t>https://www.google.com/search?q=site%3Aipl.pt%20Rela%C3%A7%C3%B5es%20P%C3%BAblicas%20e%20Comunica%C3%A7%C3%A3o%20Empresarial%20licenciatura</t>
  </si>
  <si>
    <t>https://www.google.com/search?q=site%3Aipl.pt%20Sa%C3%BAde%20Ambiental%20licenciatura</t>
  </si>
  <si>
    <t>https://www.google.com/search?q=site%3Aipl.pt%20Solicitadoria%20licenciatura</t>
  </si>
  <si>
    <t>https://www.google.com/search?q=site%3Aipl.pt%20Teatro%20licenciatura</t>
  </si>
  <si>
    <t>Tecnologias da Música</t>
  </si>
  <si>
    <t>https://www.google.com/search?q=site%3Aipl.pt%20Tecnologias%20da%20M%C3%BAsica%20licenciatura</t>
  </si>
  <si>
    <t>Tecnologias e Gestão Municipal</t>
  </si>
  <si>
    <t>https://www.google.com/search?q=site%3Aipl.pt%20Tecnologias%20e%20Gest%C3%A3o%20Municipal%20licenciatura</t>
  </si>
  <si>
    <t>Administração Educacional</t>
  </si>
  <si>
    <t>https://www.google.com/search?q=site%3Aipl.pt%20Administra%C3%A7%C3%A3o%20Educacional%20mestrado</t>
  </si>
  <si>
    <t>https://www.google.com/search?q=site%3Aipl.pt%20An%C3%A1lise%20Financeira%20mestrado</t>
  </si>
  <si>
    <t>Análise e Controlo de Riscos Ambientais para a Saúde</t>
  </si>
  <si>
    <t>https://www.google.com/search?q=site%3Aipl.pt%20An%C3%A1lise%20e%20Controlo%20de%20Riscos%20Ambientais%20para%20a%20Sa%C3%BAde%20mestrado</t>
  </si>
  <si>
    <t>https://www.google.com/search?q=site%3Aipl.pt%20Audiovisual%20e%20Multim%C3%A9dia%20mestrado</t>
  </si>
  <si>
    <t>Auditoria</t>
  </si>
  <si>
    <t>https://www.google.com/search?q=site%3Aipl.pt%20Auditoria%20mestrado</t>
  </si>
  <si>
    <t>Ciências Jurídicas Aplicadas e Gestão</t>
  </si>
  <si>
    <t>https://www.google.com/search?q=site%3Aipl.pt%20Ci%C3%AAncias%20Jur%C3%ADdicas%20Aplicadas%20e%20Gest%C3%A3o%20mestrado</t>
  </si>
  <si>
    <t>https://www.google.com/search?q=site%3Aipl.pt%20Contabilidade%20mestrado</t>
  </si>
  <si>
    <t>Controlo de Gestão e Avaliação do Desempenho</t>
  </si>
  <si>
    <t>https://www.google.com/search?q=site%3Aipl.pt%20Controlo%20de%20Gest%C3%A3o%20e%20Avalia%C3%A7%C3%A3o%20do%20Desempenho%20mestrado</t>
  </si>
  <si>
    <t>Criação Coreográfica e Práticas Profissionais</t>
  </si>
  <si>
    <t>https://www.google.com/search?q=site%3Aipl.pt%20Cria%C3%A7%C3%A3o%20Coreogr%C3%A1fica%20e%20Pr%C3%A1ticas%20Profissionais%20mestrado</t>
  </si>
  <si>
    <t>Desenvolvimento de Projeto Cinematográfico</t>
  </si>
  <si>
    <t>https://www.google.com/search?q=site%3Aipl.pt%20Desenvolvimento%20de%20Projeto%20Cinematogr%C3%A1fico%20mestrado</t>
  </si>
  <si>
    <t>Didática da Língua Portuguesa no 1.º e 2.º ciclos do Ensino Básico</t>
  </si>
  <si>
    <t>https://www.google.com/search?q=site%3Aipl.pt%20Did%C3%A1tica%20da%20L%C3%ADngua%20Portuguesa%20no%201.%C2%BA%20e%202.%C2%BA%20ciclos%20do%20Ensino%20B%C3%A1sico%20mestrado</t>
  </si>
  <si>
    <t>Didáticas Integradas em Língua Portuguesa, Matemática, Ciências Naturais e Sociais</t>
  </si>
  <si>
    <t>https://www.google.com/search?q=site%3Aipl.pt%20Did%C3%A1ticas%20Integradas%20em%20L%C3%ADngua%20Portuguesa%2C%20Matem%C3%A1tica%2C%20Ci%C3%AAncias%20Naturais%20e%20Sociais%20mestrado</t>
  </si>
  <si>
    <t>Educação Artística</t>
  </si>
  <si>
    <t>https://www.google.com/search?q=site%3Aipl.pt%20Educa%C3%A7%C3%A3o%20Art%C3%ADstica%20mestrado</t>
  </si>
  <si>
    <t>https://www.google.com/search?q=site%3Aipl.pt%20Educa%C3%A7%C3%A3o%20Especial%20mestrado</t>
  </si>
  <si>
    <t>Educação Matemática na Educação Pré-Escolar e nos 1.º e 2.º Ciclos do Ensino Básico</t>
  </si>
  <si>
    <t>https://www.google.com/search?q=site%3Aipl.pt%20Educa%C3%A7%C3%A3o%20Matem%C3%A1tica%20na%20Educa%C3%A7%C3%A3o%20Pr%C3%A9-Escolar%20e%20nos%201.%C2%BA%20e%202.%C2%BA%20Ciclos%20do%20Ensino%20B%C3%A1sico%20mestrado</t>
  </si>
  <si>
    <t>https://www.google.com/search?q=site%3Aipl.pt%20Educa%C3%A7%C3%A3o%20Pr%C3%A9-Escolar%20mestrado</t>
  </si>
  <si>
    <t>Educação Social e Intervenção Comunitária</t>
  </si>
  <si>
    <t>https://www.google.com/search?q=site%3Aipl.pt%20Educa%C3%A7%C3%A3o%20Social%20e%20Interven%C3%A7%C3%A3o%20Comunit%C3%A1ria%20mestrado</t>
  </si>
  <si>
    <t>https://www.google.com/search?q=site%3Aipl.pt%20Engenharia%20Biom%C3%A9dica%20mestrado</t>
  </si>
  <si>
    <t>https://www.google.com/search?q=site%3Aipl.pt%20Engenharia%20Civil%20mestrado</t>
  </si>
  <si>
    <t>https://www.google.com/search?q=site%3Aipl.pt%20Engenharia%20Eletrot%C3%A9cnica%20mestrado</t>
  </si>
  <si>
    <t>https://www.google.com/search?q=site%3Aipl.pt%20Engenharia%20Inform%C3%A1tica%20e%20Multim%C3%A9dia%20mestrado</t>
  </si>
  <si>
    <t>https://www.google.com/search?q=site%3Aipl.pt%20Engenharia%20Inform%C3%A1tica%20e%20de%20Computadores%20mestrado</t>
  </si>
  <si>
    <t>https://www.google.com/search?q=site%3Aipl.pt%20Engenharia%20Mec%C3%A2nica%20mestrado</t>
  </si>
  <si>
    <t>https://www.google.com/search?q=site%3Aipl.pt%20Engenharia%20Qu%C3%ADmica%20e%20Biol%C3%B3gica%20mestrado</t>
  </si>
  <si>
    <t>Engenharia da Qualidade e Ambiente</t>
  </si>
  <si>
    <t>https://www.google.com/search?q=site%3Aipl.pt%20Engenharia%20da%20Qualidade%20e%20Ambiente%20mestrado</t>
  </si>
  <si>
    <t>Engenharia de Eletrónica e Telecomunicações</t>
  </si>
  <si>
    <t>https://www.google.com/search?q=site%3Aipl.pt%20Engenharia%20de%20Eletr%C3%B3nica%20e%20Telecomunica%C3%A7%C3%B5es%20mestrado</t>
  </si>
  <si>
    <t>Engenharia de Manutenção</t>
  </si>
  <si>
    <t>https://www.google.com/search?q=site%3Aipl.pt%20Engenharia%20de%20Manuten%C3%A7%C3%A3o%20mestrado</t>
  </si>
  <si>
    <t>https://www.google.com/search?q=site%3Aipl.pt%20Engenharia%20e%20Gest%C3%A3o%20Industrial%20mestrado</t>
  </si>
  <si>
    <t>Ensino de Dança</t>
  </si>
  <si>
    <t>Formação de Professores (Dança)</t>
  </si>
  <si>
    <t>https://www.google.com/search?q=site%3Aipl.pt%20Ensino%20de%20Dan%C3%A7a%20mestrado</t>
  </si>
  <si>
    <t>https://www.google.com/search?q=site%3Aipl.pt%20Ensino%20de%20Educa%C3%A7%C3%A3o%20Musical%20no%20Ensino%20B%C3%A1sico%20mestrado</t>
  </si>
  <si>
    <t>Ensino de Educação Visual e Tecnológica no Ensino Básico</t>
  </si>
  <si>
    <t>Formação de Professores do 2.º ciclo (Educação Visual e Tecnológica)</t>
  </si>
  <si>
    <t>https://www.google.com/search?q=site%3Aipl.pt%20Ensino%20de%20Educa%C3%A7%C3%A3o%20Visual%20e%20Tecnol%C3%B3gica%20no%20Ensino%20B%C3%A1sico%20mestrado</t>
  </si>
  <si>
    <t>https://www.google.com/search?q=site%3Aipl.pt%20Ensino%20de%20M%C3%BAsica%20mestrado</t>
  </si>
  <si>
    <t>https://www.google.com/search?q=site%3Aipl.pt%20Ensino%20do%201.%C2%BA%20Ciclo%20do%20Ensino%20B%C3%A1sico%20e%20de%20Matem%C3%A1tica%20e%20Ci%C3%AAncias%20Naturais%20no%202.%C2%BA%20Ciclo%20do%20Ensino%20B%C3%A1sico%20mestrado</t>
  </si>
  <si>
    <t>https://www.google.com/search?q=site%3Aipl.pt%20Ensino%20do%201.%C2%BA%20Ciclo%20do%20Ensino%20B%C3%A1sico%20e%20de%20Portugu%C3%AAs%20e%20Hist%C3%B3ria%20e%20Geografia%20de%20Portugal%20no%202.%C2%BA%20Ciclo%20do%20Ensino%20B%C3%A1sico%20mestrado</t>
  </si>
  <si>
    <t>https://www.google.com/search?q=site%3Aipl.pt%20Farm%C3%A1cia%20mestrado</t>
  </si>
  <si>
    <t>https://www.google.com/search?q=site%3Aipl.pt%20Fiscalidade%20mestrado</t>
  </si>
  <si>
    <t>https://www.google.com/search?q=site%3Aipl.pt%20Fisioterapia%20mestrado</t>
  </si>
  <si>
    <t>Gestão Estratégica das Relações Públicas</t>
  </si>
  <si>
    <t>https://www.google.com/search?q=site%3Aipl.pt%20Gest%C3%A3o%20Estrat%C3%A9gica%20das%20Rela%C3%A7%C3%B5es%20P%C3%BAblicas%20mestrado</t>
  </si>
  <si>
    <t>Gestão das Instituições Financeiras</t>
  </si>
  <si>
    <t>https://www.google.com/search?q=site%3Aipl.pt%20Gest%C3%A3o%20das%20Institui%C3%A7%C3%B5es%20Financeiras%20mestrado</t>
  </si>
  <si>
    <t>https://www.google.com/search?q=site%3Aipl.pt%20Gest%C3%A3o%20e%20Avalia%C3%A7%C3%A3o%20de%20Tecnologias%20em%20Sa%C3%BAde%20mestrado</t>
  </si>
  <si>
    <t>Gestão e Empreendedorismo</t>
  </si>
  <si>
    <t>https://www.google.com/search?q=site%3Aipl.pt%20Gest%C3%A3o%20e%20Empreendedorismo%20mestrado</t>
  </si>
  <si>
    <t>Intervenção Precoce</t>
  </si>
  <si>
    <t>Ciências da Educação (Educação Especial</t>
  </si>
  <si>
    <t>https://www.google.com/search?q=site%3Aipl.pt%20Interven%C3%A7%C3%A3o%20Precoce%20mestrado</t>
  </si>
  <si>
    <t>Jogo, Brinquedos e Linguagens na Educação de Infância (Erasmus Mundus)</t>
  </si>
  <si>
    <t>Escola Superior de Educação (ESE/IPL) + parceiros internacionais</t>
  </si>
  <si>
    <t>https://www.google.com/search?q=site%3Aipl.pt%20Jogo%2C%20Brinquedos%20e%20Linguagens%20na%20Educa%C3%A7%C3%A3o%20de%20Inf%C3%A2ncia%20%28Erasmus%20Mundus%29%20mestrado</t>
  </si>
  <si>
    <t>https://www.google.com/search?q=site%3Aipl.pt%20Jornalismo%20mestrado</t>
  </si>
  <si>
    <t>Matemática Aplicada para a Indústria</t>
  </si>
  <si>
    <t>https://www.google.com/search?q=site%3Aipl.pt%20Matem%C3%A1tica%20Aplicada%20para%20a%20Ind%C3%BAstria%20mestrado</t>
  </si>
  <si>
    <t>https://www.google.com/search?q=site%3Aipl.pt%20M%C3%BAsica%20mestrado</t>
  </si>
  <si>
    <t>https://www.google.com/search?q=site%3Aipl.pt%20Nutri%C3%A7%C3%A3o%20Cl%C3%ADnica%20mestrado</t>
  </si>
  <si>
    <t>https://www.google.com/search?q=site%3Aipl.pt%20Publicidade%20e%20Marketing%20mestrado</t>
  </si>
  <si>
    <t>Radiações Aplicadas às Tecnologias da Saúde</t>
  </si>
  <si>
    <t>https://www.google.com/search?q=site%3Aipl.pt%20Radia%C3%A7%C3%B5es%20Aplicadas%20%C3%A0s%20Tecnologias%20da%20Sa%C3%BAde%20mestrado</t>
  </si>
  <si>
    <t>Segurança e Higiene do Trabalho</t>
  </si>
  <si>
    <t>https://www.google.com/search?q=site%3Aipl.pt%20Seguran%C3%A7a%20e%20Higiene%20do%20Trabalho%20mestrado</t>
  </si>
  <si>
    <t>Supervisão em Educação</t>
  </si>
  <si>
    <t>https://www.google.com/search?q=site%3Aipl.pt%20Supervis%C3%A3o%20em%20Educa%C3%A7%C3%A3o%20mestrado</t>
  </si>
  <si>
    <t>https://www.google.com/search?q=site%3Aipl.pt%20Teatro%20mestrado</t>
  </si>
  <si>
    <t>Tecnologias Clínico-Laboratoriais</t>
  </si>
  <si>
    <t>https://www.google.com/search?q=site%3Aipl.pt%20Tecnologias%20Cl%C3%ADnico-Laboratoriais%20mestrado</t>
  </si>
  <si>
    <t>Tecnologias Moleculares em Saúde</t>
  </si>
  <si>
    <t>https://www.google.com/search?q=site%3Aipl.pt%20Tecnologias%20Moleculares%20em%20Sa%C3%BAde%20mestrado</t>
  </si>
  <si>
    <t>Tecnologias de Física Médica</t>
  </si>
  <si>
    <t>https://www.google.com/search?q=site%3Aipl.pt%20Tecnologias%20de%20F%C3%ADsica%20M%C3%A9dica%20mestrado</t>
  </si>
  <si>
    <t>Animação de Histórias</t>
  </si>
  <si>
    <t>ESELx</t>
  </si>
  <si>
    <t>https://www.google.com/search?q=site%3Aipl.pt%20Anima%C3%A7%C3%A3o%20de%20Hist%C3%B3rias%20p%C3%B3s-gradua%C3%A7%C3%A3o</t>
  </si>
  <si>
    <t>Avanços em Oncobiologia Molecular Aplicada ao Diagnóstico e Terapêutica</t>
  </si>
  <si>
    <t>Escola Superior de Saúde de Lisboa (ESSL)</t>
  </si>
  <si>
    <t>https://www.google.com/search?q=site%3Aipl.pt%20Avan%C3%A7os%20em%20Oncobiologia%20Molecular%20Aplicada%20ao%20Diagn%C3%B3stico%20e%20Terap%C3%AAutica%20p%C3%B3s-gradua%C3%A7%C3%A3o</t>
  </si>
  <si>
    <t>Não está destacado no site (Avanços em Oncobiologia Molecular Aplicada ao Diagnóstico e Terapêutica)</t>
  </si>
  <si>
    <t>Branding e Content Marketing</t>
  </si>
  <si>
    <t>ESCS</t>
  </si>
  <si>
    <t>https://www.google.com/search?q=site%3Aipl.pt%20Branding%20e%20Content%20Marketing%20p%C3%B3s-gradua%C3%A7%C3%A3o</t>
  </si>
  <si>
    <t>Composição Aplicada</t>
  </si>
  <si>
    <t>ESML</t>
  </si>
  <si>
    <t>https://www.google.com/search?q=site%3Aipl.pt%20Composi%C3%A7%C3%A3o%20Aplicada%20p%C3%B3s-gradua%C3%A7%C3%A3o</t>
  </si>
  <si>
    <t>Não está destacado no site (Composição Aplicada)</t>
  </si>
  <si>
    <t>Comunicação Corporativa, Sustentabilidade e Cidadania</t>
  </si>
  <si>
    <t>ISCAL / ESCS</t>
  </si>
  <si>
    <t>https://www.google.com/search?q=site%3Aipl.pt%20Comunica%C3%A7%C3%A3o%20Corporativa%2C%20Sustentabilidade%20e%20Cidadania%20p%C3%B3s-gradua%C3%A7%C3%A3o</t>
  </si>
  <si>
    <t>Comunicação e Marketing na Indústria Farmacêutica</t>
  </si>
  <si>
    <t>https://www.google.com/search?q=site%3Aipl.pt%20Comunica%C3%A7%C3%A3o%20e%20Marketing%20na%20Ind%C3%BAstria%20Farmac%C3%AAutica%20p%C3%B3s-gradua%C3%A7%C3%A3o</t>
  </si>
  <si>
    <t>Comunicação e Marketing na Indústria Farmacêutica (ESSL)</t>
  </si>
  <si>
    <t>ESSL</t>
  </si>
  <si>
    <t>https://www.google.com/search?q=site%3Aipl.pt%20Comunica%C3%A7%C3%A3o%20e%20Marketing%20na%20Ind%C3%BAstria%20Farmac%C3%AAutica%20%28ESSL%29%20p%C3%B3s-gradua%C3%A7%C3%A3o</t>
  </si>
  <si>
    <t>Não está destacado no site (Comunicação e Marketing na Indústria Farmacêutica – ESSL)</t>
  </si>
  <si>
    <t>Conservação e Reabilitação de Construções</t>
  </si>
  <si>
    <t>ISEL</t>
  </si>
  <si>
    <t>https://www.google.com/search?q=site%3Aipl.pt%20Conserva%C3%A7%C3%A3o%20e%20Reabilita%C3%A7%C3%A3o%20de%20Constru%C3%A7%C3%B5es%20p%C3%B3s-gradua%C3%A7%C3%A3o</t>
  </si>
  <si>
    <t>Não está destacado no site (Conservação e Reabilitação de Construções)</t>
  </si>
  <si>
    <t>ISCAL</t>
  </si>
  <si>
    <t>https://www.google.com/search?q=site%3Aipl.pt%20Contabilidade%20e%20Gest%C3%A3o%20P%C3%BAblica%20p%C3%B3s-gradua%C3%A7%C3%A3o</t>
  </si>
  <si>
    <t>Design de Produtos Interativos para Educação</t>
  </si>
  <si>
    <t>https://www.google.com/search?q=site%3Aipl.pt%20Design%20de%20Produtos%20Interativos%20para%20Educa%C3%A7%C3%A3o%20p%C3%B3s-gradua%C3%A7%C3%A3o</t>
  </si>
  <si>
    <t>Não está destacado no site (Design de Produtos Interativos para Educação)</t>
  </si>
  <si>
    <t>Didática da Matemática – Aprendizagens e Recursos</t>
  </si>
  <si>
    <t>https://www.google.com/search?q=site%3Aipl.pt%20Did%C3%A1tica%20da%20Matem%C3%A1tica%20%E2%80%93%20Aprendizagens%20e%20Recursos%20p%C3%B3s-gradua%C3%A7%C3%A3o</t>
  </si>
  <si>
    <t>Não está destacado no site (Didática da Matemática – Aprendizagens e Recursos)</t>
  </si>
  <si>
    <t>Educação Digital</t>
  </si>
  <si>
    <t>https://www.google.com/search?q=site%3Aipl.pt%20Educa%C3%A7%C3%A3o%20Digital%20p%C3%B3s-gradua%C3%A7%C3%A3o</t>
  </si>
  <si>
    <t>Educação em Creche e outros Equipamentos com Crianças dos 0 aos 3 anos</t>
  </si>
  <si>
    <t>https://www.google.com/search?q=site%3Aipl.pt%20Educa%C3%A7%C3%A3o%20em%20Creche%20e%20outros%20Equipamentos%20com%20Crian%C3%A7as%20dos%200%20aos%203%20anos%20p%C3%B3s-gradua%C3%A7%C3%A3o</t>
  </si>
  <si>
    <t>Não está destacado no site (Educação em Creche e outros Equipamentos com Crianças dos 0 aos 3 anos)</t>
  </si>
  <si>
    <t>Eficiência Energética e Sustentabilidade em Edifícios</t>
  </si>
  <si>
    <t>https://www.google.com/search?q=site%3Aipl.pt%20Efici%C3%AAncia%20Energ%C3%A9tica%20e%20Sustentabilidade%20em%20Edif%C3%ADcios%20p%C3%B3s-gradua%C3%A7%C3%A3o</t>
  </si>
  <si>
    <t>Não está destacado no site (Eficiência Energética e Sustentabilidade em Edifícios)</t>
  </si>
  <si>
    <t>Engenharia Optoeletrónica e Fotónica</t>
  </si>
  <si>
    <t>https://www.google.com/search?q=site%3Aipl.pt%20Engenharia%20Optoeletr%C3%B3nica%20e%20Fot%C3%B3nica%20p%C3%B3s-gradua%C3%A7%C3%A3o</t>
  </si>
  <si>
    <t>Não está destacado no site (Engenharia Optoeletrónica e Fotónica)</t>
  </si>
  <si>
    <t>Engenharia e Gestão de Energias Renováveis</t>
  </si>
  <si>
    <t>https://www.google.com/search?q=site%3Aipl.pt%20Engenharia%20e%20Gest%C3%A3o%20de%20Energias%20Renov%C3%A1veis%20p%C3%B3s-gradua%C3%A7%C3%A3o</t>
  </si>
  <si>
    <t>Não está destacado no site (Engenharia e Gestão de Energias Renováveis)</t>
  </si>
  <si>
    <t>Engenharia e Gestão de Risco de Desastres</t>
  </si>
  <si>
    <t>https://www.google.com/search?q=site%3Aipl.pt%20Engenharia%20e%20Gest%C3%A3o%20de%20Risco%20de%20Desastres%20p%C3%B3s-gradua%C3%A7%C3%A3o</t>
  </si>
  <si>
    <t>Não está destacado no site (Engenharia e Gestão de Risco de Desastres)</t>
  </si>
  <si>
    <t>Especialização em Engenharia Ferroviária</t>
  </si>
  <si>
    <t>https://www.google.com/search?q=site%3Aipl.pt%20Especializa%C3%A7%C3%A3o%20em%20Engenharia%20Ferrovi%C3%A1ria%20p%C3%B3s-gradua%C3%A7%C3%A3o</t>
  </si>
  <si>
    <t>Não está destacado no site (Especialização em Engenharia Ferroviária)</t>
  </si>
  <si>
    <t>https://www.google.com/search?q=site%3Aipl.pt%20Health%20Data%20Science%20p%C3%B3s-gradua%C3%A7%C3%A3o</t>
  </si>
  <si>
    <t>Não está destacado no site (Health Data Science – edição ESSL)</t>
  </si>
  <si>
    <t>Jornalismo Desportivo</t>
  </si>
  <si>
    <t>https://www.google.com/search?q=site%3Aipl.pt%20Jornalismo%20Desportivo%20p%C3%B3s-gradua%C3%A7%C3%A3o</t>
  </si>
  <si>
    <t>Marionetas e Formas Animadas</t>
  </si>
  <si>
    <t>https://www.google.com/search?q=site%3Aipl.pt%20Marionetas%20e%20Formas%20Animadas%20p%C3%B3s-gradua%C3%A7%C3%A3o</t>
  </si>
  <si>
    <t>Não está destacado no site (Marionetas e Formas Animadas)</t>
  </si>
  <si>
    <t>Matemática para Ciência de Dados</t>
  </si>
  <si>
    <t>https://www.google.com/search?q=site%3Aipl.pt%20Matem%C3%A1tica%20para%20Ci%C3%AAncia%20de%20Dados%20p%C3%B3s-gradua%C3%A7%C3%A3o</t>
  </si>
  <si>
    <t>Não está destacado no site (Matemática para Ciência de Dados)</t>
  </si>
  <si>
    <t>Media &amp; Performance: Laboratório de Tecnologia Criativa</t>
  </si>
  <si>
    <t>ESCS (curso de especialização pós‑graduada)</t>
  </si>
  <si>
    <t>https://www.google.com/search?q=site%3Aipl.pt%20Media%20%26%20Performance%3A%20Laborat%C3%B3rio%20de%20Tecnologia%20Criativa%20p%C3%B3s-gradua%C3%A7%C3%A3o</t>
  </si>
  <si>
    <t>Novas Abordagens em Acústica Aplicada e Áudio</t>
  </si>
  <si>
    <t>https://www.google.com/search?q=site%3Aipl.pt%20Novas%20Abordagens%20em%20Ac%C3%BAstica%20Aplicada%20e%20%C3%81udio%20p%C3%B3s-gradua%C3%A7%C3%A3o</t>
  </si>
  <si>
    <t>Não está destacado no site (Novas Abordagens em Acústica Aplicada e Áudio)</t>
  </si>
  <si>
    <t>Pedagogia Inclusiva</t>
  </si>
  <si>
    <t>https://www.google.com/search?q=site%3Aipl.pt%20Pedagogia%20Inclusiva%20p%C3%B3s-gradua%C3%A7%C3%A3o</t>
  </si>
  <si>
    <t>Não está destacado no site (Pedagogia Inclusiva)</t>
  </si>
  <si>
    <t>Processos Avançados de Fabrico</t>
  </si>
  <si>
    <t>https://www.google.com/search?q=site%3Aipl.pt%20Processos%20Avan%C3%A7ados%20de%20Fabrico%20p%C3%B3s-gradua%C3%A7%C3%A3o</t>
  </si>
  <si>
    <t>Não está destacado no site (Processos Avançados de Fabrico)</t>
  </si>
  <si>
    <t>Produção Audiovisual na Área da Música</t>
  </si>
  <si>
    <t>https://www.google.com/search?q=site%3Aipl.pt%20Produ%C3%A7%C3%A3o%20Audiovisual%20na%20%C3%81rea%20da%20M%C3%BAsica%20p%C3%B3s-gradua%C3%A7%C3%A3o</t>
  </si>
  <si>
    <t>Não está destacado no site (Produção Audiovisual na Área da Música)</t>
  </si>
  <si>
    <t>Projeto e Manutenção de Instalações Elétricas</t>
  </si>
  <si>
    <t>https://www.google.com/search?q=site%3Aipl.pt%20Projeto%20e%20Manuten%C3%A7%C3%A3o%20de%20Instala%C3%A7%C3%B5es%20El%C3%A9tricas%20p%C3%B3s-gradua%C3%A7%C3%A3o</t>
  </si>
  <si>
    <t>Não está destacado no site (Projeto e Manutenção de Instalações Elétricas)</t>
  </si>
  <si>
    <t>Pós-graduação em Indústrias Criativas: Gestão e Tendências</t>
  </si>
  <si>
    <t>Faculdade de Letras / ESCS-IPL</t>
  </si>
  <si>
    <t>https://www.google.com/search?q=site%3Aipl.pt%20P%C3%B3s-gradua%C3%A7%C3%A3o%20em%20Ind%C3%BAstrias%20Criativas%3A%20Gest%C3%A3o%20e%20Tend%C3%AAncias%20p%C3%B3s-gradua%C3%A7%C3%A3o</t>
  </si>
  <si>
    <t>Pós‑Produção Digital no Cinema</t>
  </si>
  <si>
    <t>https://www.google.com/search?q=site%3Aipl.pt%20P%C3%B3s%E2%80%91Produ%C3%A7%C3%A3o%20Digital%20no%20Cinema%20p%C3%B3s-gradua%C3%A7%C3%A3o</t>
  </si>
  <si>
    <t>Não está destacado no site (Pós‑Produção Digital no Cinema)</t>
  </si>
  <si>
    <t>Storytelling</t>
  </si>
  <si>
    <t>https://www.google.com/search?q=site%3Aipl.pt%20Storytelling%20p%C3%B3s-gradua%C3%A7%C3%A3o</t>
  </si>
  <si>
    <t>Instituto Politécnico de Portalegre</t>
  </si>
  <si>
    <t>Escola Superior de Educação e Ciências Sociais (ESECS‑IPPortalegre), Praça da República, 23‑25, 7300‑109 Portalegre</t>
  </si>
  <si>
    <t>https://www.google.com/search?q=site%3Aipportalegre.pt%20Acompanhamento%20de%20Crian%C3%A7as%20e%20Jovens%20CTeSP</t>
  </si>
  <si>
    <t>Animação e Produção 3D</t>
  </si>
  <si>
    <t>Escola Superior de Tecnologia, Gestão e Design (ESTGD‑IPPortalegre), Campus Politécnico n.º 10, 7300‑555 Portalegre</t>
  </si>
  <si>
    <t>https://www.google.com/search?q=site%3Aipportalegre.pt%20Anima%C3%A7%C3%A3o%20e%20Produ%C3%A7%C3%A3o%203D%20CTeSP</t>
  </si>
  <si>
    <t>ESTGD‑IPPortalegre, Campus Politécnico n.º 10, Portalegre</t>
  </si>
  <si>
    <t>https://www.google.com/search?q=site%3Aipportalegre.pt%20An%C3%A1lises%20Laboratoriais%20CTeSP</t>
  </si>
  <si>
    <t>Escola Superior de Saúde (ESS‑IPPortalegre), Campus Politécnico 10, 7300‑555 Portalegre</t>
  </si>
  <si>
    <t>https://www.google.com/search?q=site%3Aipportalegre.pt%20Apoio%20ao%20Consult%C3%B3rio%20M%C3%A9dico%20e%20Dent%C3%A1rio%20CTeSP</t>
  </si>
  <si>
    <t>ESS‑IPPortalegre, Campus Politécnico 10, Portalegre</t>
  </si>
  <si>
    <t>https://www.google.com/search?q=site%3Aipportalegre.pt%20Apoio%20em%20Cuidados%20Continuados%20Integrados%20CTeSP</t>
  </si>
  <si>
    <t>Artes e Dinamização Cultural</t>
  </si>
  <si>
    <t>ESECS‑IPPortalegre, Praça da República, 23‑25, Portalegre</t>
  </si>
  <si>
    <t>https://www.google.com/search?q=site%3Aipportalegre.pt%20Artes%20e%20Dinamiza%C3%A7%C3%A3o%20Cultural%20CTeSP</t>
  </si>
  <si>
    <t>Bioenergias e Gases Renováveis</t>
  </si>
  <si>
    <t>https://www.google.com/search?q=site%3Aipportalegre.pt%20Bioenergias%20e%20Gases%20Renov%C3%A1veis%20CTeSP</t>
  </si>
  <si>
    <t>Comunicação Digital e Novos Média</t>
  </si>
  <si>
    <t>https://www.google.com/search?q=site%3Aipportalegre.pt%20Comunica%C3%A7%C3%A3o%20Digital%20e%20Novos%20M%C3%A9dia%20CTeSP</t>
  </si>
  <si>
    <t>Construção Civil e Fiscalização de Obras</t>
  </si>
  <si>
    <t>https://www.google.com/search?q=site%3Aipportalegre.pt%20Constru%C3%A7%C3%A3o%20Civil%20e%20Fiscaliza%C3%A7%C3%A3o%20de%20Obras%20CTeSP</t>
  </si>
  <si>
    <t>https://www.google.com/search?q=site%3Aipportalegre.pt%20Contabilidade%20CTeSP</t>
  </si>
  <si>
    <t>Elvas</t>
  </si>
  <si>
    <t>Escola Superior de Biociências de Elvas (ESBE‑IPPortalegre), Edifício Quartel do Trem, Avenida 14 de Janeiro, n.º 21, 7350‑092 Elvas</t>
  </si>
  <si>
    <t>https://www.google.com/search?q=site%3Aipportalegre.pt%20Cuidados%20Veterin%C3%A1rios%20CTeSP</t>
  </si>
  <si>
    <t>https://www.google.com/search?q=site%3Aipportalegre.pt%20Desenvolvimento%20para%20a%20Web%20e%20Dispositivos%20M%C3%B3veis%20CTeSP</t>
  </si>
  <si>
    <t>Design Multimédia e Audiovisuais</t>
  </si>
  <si>
    <t>https://www.google.com/search?q=site%3Aipportalegre.pt%20Design%20Multim%C3%A9dia%20e%20Audiovisuais%20CTeSP</t>
  </si>
  <si>
    <t>Design de Som e Produção Musical</t>
  </si>
  <si>
    <t>https://www.google.com/search?q=site%3Aipportalegre.pt%20Design%20de%20Som%20e%20Produ%C3%A7%C3%A3o%20Musical%20CTeSP</t>
  </si>
  <si>
    <t>https://www.google.com/search?q=site%3Aipportalegre.pt%20Desporto%20e%20Atividade%20F%C3%ADsica%20CTeSP</t>
  </si>
  <si>
    <t>Desporto e Formação Equestre</t>
  </si>
  <si>
    <t>ESBE‑IPPortalegre, Elvas</t>
  </si>
  <si>
    <t>https://www.google.com/search?q=site%3Aipportalegre.pt%20Desporto%20e%20Forma%C3%A7%C3%A3o%20Equestre%20CTeSP</t>
  </si>
  <si>
    <t>Fotografia e Imagem Digital</t>
  </si>
  <si>
    <t>https://www.google.com/search?q=site%3Aipportalegre.pt%20Fotografia%20e%20Imagem%20Digital%20CTeSP</t>
  </si>
  <si>
    <t>https://www.google.com/search?q=site%3Aipportalegre.pt%20Gest%C3%A3o%20de%20Vendas%20e%20Marketing%20CTeSP</t>
  </si>
  <si>
    <t>Guias da Natureza</t>
  </si>
  <si>
    <t>https://www.google.com/search?q=site%3Aipportalegre.pt%20Guias%20da%20Natureza%20CTeSP</t>
  </si>
  <si>
    <t>https://www.google.com/search?q=site%3Aipportalegre.pt%20Interven%C3%A7%C3%A3o%20Social%20e%20Comunit%C3%A1ria%20CTeSP</t>
  </si>
  <si>
    <t>https://www.google.com/search?q=site%3Aipportalegre.pt%20Manuten%C3%A7%C3%A3o%20Eletromec%C3%A2nica%20CTeSP</t>
  </si>
  <si>
    <t>Manutenção de Equipamentos e Infraestruturas</t>
  </si>
  <si>
    <t>https://www.google.com/search?q=site%3Aipportalegre.pt%20Manuten%C3%A7%C3%A3o%20de%20Equipamentos%20e%20Infraestruturas%20CTeSP</t>
  </si>
  <si>
    <t>https://www.google.com/search?q=site%3Aipportalegre.pt%20Produ%C3%A7%C3%A3o%20Agroflorestal%20CTeSP</t>
  </si>
  <si>
    <t>https://www.google.com/search?q=site%3Aipportalegre.pt%20Prote%C3%A7%C3%A3o%20Civil%20e%20Socorro%20CTeSP</t>
  </si>
  <si>
    <t>Proteção e Apoio à Pessoa Idosa</t>
  </si>
  <si>
    <t>https://www.google.com/search?q=site%3Aipportalegre.pt%20Prote%C3%A7%C3%A3o%20e%20Apoio%20%C3%A0%20Pessoa%20Idosa%20CTeSP</t>
  </si>
  <si>
    <t>Reabilitação de Construções Tradicionais</t>
  </si>
  <si>
    <t>https://www.google.com/search?q=site%3Aipportalegre.pt%20Reabilita%C3%A7%C3%A3o%20de%20Constru%C3%A7%C3%B5es%20Tradicionais%20CTeSP</t>
  </si>
  <si>
    <t>Regadio</t>
  </si>
  <si>
    <t>https://www.google.com/search?q=site%3Aipportalegre.pt%20Regadio%20CTeSP</t>
  </si>
  <si>
    <t>Secretariado de Administração</t>
  </si>
  <si>
    <t>https://www.google.com/search?q=site%3Aipportalegre.pt%20Secretariado%20de%20Administra%C3%A7%C3%A3o%20CTeSP</t>
  </si>
  <si>
    <t>Tecnologia e Gestão de Operações para o Sector da Pedra Natural</t>
  </si>
  <si>
    <t>https://www.google.com/search?q=site%3Aipportalegre.pt%20Tecnologia%20e%20Gest%C3%A3o%20de%20Opera%C3%A7%C3%B5es%20para%20o%20Sector%20da%20Pedra%20Natural%20CTeSP</t>
  </si>
  <si>
    <t>Tecnologias de Produção Agropecuária</t>
  </si>
  <si>
    <t>https://www.google.com/search?q=site%3Aipportalegre.pt%20Tecnologias%20de%20Produ%C3%A7%C3%A3o%20Agropecu%C3%A1ria%20CTeSP</t>
  </si>
  <si>
    <t>Tecnologias de Produção e Processamento de Cannabis sativa</t>
  </si>
  <si>
    <t>ESBE‑IPPortalegre, Edifício Quartel do Trem, Elvas</t>
  </si>
  <si>
    <t>https://www.google.com/search?q=site%3Aipportalegre.pt%20Tecnologias%20de%20Produ%C3%A7%C3%A3o%20e%20Processamento%20de%20Cannabis%20sativa%20CTeSP</t>
  </si>
  <si>
    <t>https://www.google.com/search?q=site%3Aipportalegre.pt%20Tecnologias%20e%20Programa%C3%A7%C3%A3o%20de%20Sistemas%20de%20Informa%C3%A7%C3%A3o%20CTeSP</t>
  </si>
  <si>
    <t>https://www.google.com/search?q=site%3Aipportalegre.pt%20Turismo%20e%20Informa%C3%A7%C3%A3o%20Tur%C3%ADstica%20CTeSP</t>
  </si>
  <si>
    <t>https://www.google.com/search?q=site%3Aipportalegre.pt%20Viticultura%20e%20Enologia%20CTeSP</t>
  </si>
  <si>
    <t>Administração de Publicidade e Marketing</t>
  </si>
  <si>
    <t>Escola Superior de Tecnologia, Gestão e Design (ESTGD‑IPPortalegre), Campus Politécnico, n.º 10, 7300‑555 Portalegre</t>
  </si>
  <si>
    <t>https://www.google.com/search?q=site%3Aipportalegre.pt%20Administra%C3%A7%C3%A3o%20de%20Publicidade%20e%20Marketing%20licenciatura</t>
  </si>
  <si>
    <t>https://www.google.com/search?q=site%3Aipportalegre.pt%20Agronomia%20licenciatura</t>
  </si>
  <si>
    <t>Design de Animação</t>
  </si>
  <si>
    <t>ESTGD‑IPPortalegre, Campus Politécnico, n.º 10, Portalegre</t>
  </si>
  <si>
    <t>https://www.google.com/search?q=site%3Aipportalegre.pt%20Design%20de%20Anima%C3%A7%C3%A3o%20licenciatura</t>
  </si>
  <si>
    <t>https://www.google.com/search?q=site%3Aipportalegre.pt%20Design%20de%20Comunica%C3%A7%C3%A3o%20licenciatura</t>
  </si>
  <si>
    <t>ESBE‑IPPortalegre, Edifício Quartel do Trem, Av. 14 de Janeiro, 21, Elvas</t>
  </si>
  <si>
    <t>https://www.google.com/search?q=site%3Aipportalegre.pt%20Desporto%20licenciatura</t>
  </si>
  <si>
    <t>https://www.google.com/search?q=site%3Aipportalegre.pt%20Educa%C3%A7%C3%A3o%20B%C3%A1sica%20licenciatura</t>
  </si>
  <si>
    <t>https://www.google.com/search?q=site%3Aipportalegre.pt%20Educa%C3%A7%C3%A3o%20Social%20licenciatura</t>
  </si>
  <si>
    <t>https://www.google.com/search?q=site%3Aipportalegre.pt%20Enfermagem%20licenciatura</t>
  </si>
  <si>
    <t>https://www.google.com/search?q=site%3Aipportalegre.pt%20Enfermagem%20Veterin%C3%A1ria%20licenciatura</t>
  </si>
  <si>
    <t>https://www.google.com/search?q=site%3Aipportalegre.pt%20Engenharia%20Civil%20licenciatura</t>
  </si>
  <si>
    <t>https://www.google.com/search?q=site%3Aipportalegre.pt%20Engenharia%20Inform%C3%A1tica%20licenciatura</t>
  </si>
  <si>
    <t>https://www.google.com/search?q=site%3Aipportalegre.pt%20Engenharia%20Qu%C3%ADmica%20e%20Biol%C3%B3gica%20licenciatura</t>
  </si>
  <si>
    <t>Engenharia de Produção de Biocombustíveis</t>
  </si>
  <si>
    <t>https://www.google.com/search?q=site%3Aipportalegre.pt%20Engenharia%20de%20Produ%C3%A7%C3%A3o%20de%20Biocombust%C3%ADveis%20licenciatura</t>
  </si>
  <si>
    <t>Equinicultura</t>
  </si>
  <si>
    <t>https://www.google.com/search?q=site%3Aipportalegre.pt%20Equinicultura%20licenciatura</t>
  </si>
  <si>
    <t>ESS‑IPPortalegre, Campus Politécnico 10, 7300‑555 Portalegre</t>
  </si>
  <si>
    <t>https://www.google.com/search?q=site%3Aipportalegre.pt%20Fisioterapia%20licenciatura</t>
  </si>
  <si>
    <t>https://www.google.com/search?q=site%3Aipportalegre.pt%20Gest%C3%A3o%20licenciatura</t>
  </si>
  <si>
    <t>https://www.google.com/search?q=site%3Aipportalegre.pt%20Gest%C3%A3o%20de%20Recursos%20Humanos%20licenciatura</t>
  </si>
  <si>
    <t>Higiene Oral</t>
  </si>
  <si>
    <t>https://www.google.com/search?q=site%3Aipportalegre.pt%20Higiene%20Oral%20licenciatura</t>
  </si>
  <si>
    <t>https://www.google.com/search?q=site%3Aipportalegre.pt%20Jornalismo%20e%20Comunica%C3%A7%C3%A3o%20licenciatura</t>
  </si>
  <si>
    <t>Línguas Aplicadas em Comunicação Digital</t>
  </si>
  <si>
    <t>https://www.google.com/search?q=site%3Aipportalegre.pt%20L%C3%ADnguas%20Aplicadas%20em%20Comunica%C3%A7%C3%A3o%20Digital%20licenciatura</t>
  </si>
  <si>
    <t>https://www.google.com/search?q=site%3Aipportalegre.pt%20Servi%C3%A7o%20Social%20licenciatura</t>
  </si>
  <si>
    <t>https://www.google.com/search?q=site%3Aipportalegre.pt%20Som%20e%20Imagem%20licenciatura</t>
  </si>
  <si>
    <t>https://www.google.com/search?q=site%3Aipportalegre.pt%20Turismo%20licenciatura</t>
  </si>
  <si>
    <t>Agricultura Sustentável</t>
  </si>
  <si>
    <t>https://www.google.com/search?q=site%3Aipportalegre.pt%20Agricultura%20Sustent%C3%A1vel%20mestrado</t>
  </si>
  <si>
    <t>https://www.google.com/search?q=site%3Aipportalegre.pt%20Contabilidade%20e%20Finan%C3%A7as%20mestrado</t>
  </si>
  <si>
    <t>Design de Identidade Digital</t>
  </si>
  <si>
    <t>https://www.google.com/search?q=site%3Aipportalegre.pt%20Design%20de%20Identidade%20Digital%20mestrado</t>
  </si>
  <si>
    <t>Direito Transnacional</t>
  </si>
  <si>
    <t>UPT – Departamento de Direito</t>
  </si>
  <si>
    <t>https://www.google.com/search?q=site%3Aipportalegre.pt%20Direito%20Transnacional%20mestrado</t>
  </si>
  <si>
    <t>https://www.google.com/search?q=site%3Aipportalegre.pt%20Educa%C3%A7%C3%A3o%20Especial%20mestrado</t>
  </si>
  <si>
    <t>https://www.google.com/search?q=site%3Aipportalegre.pt%20Educa%C3%A7%C3%A3o%20Pr%C3%A9%E2%80%91Escolar%20mestrado</t>
  </si>
  <si>
    <t>https://www.google.com/search?q=site%3Aipportalegre.pt%20Educa%C3%A7%C3%A3o%20Pr%C3%A9%E2%80%91Escolar%20e%20Ensino%20do%201.%C2%BA%20Ciclo%20do%20Ensino%20B%C3%A1sico%20mestrado</t>
  </si>
  <si>
    <t>Educação e Proteção de Crianças e Jovens em Risco</t>
  </si>
  <si>
    <t>Trabalho social e aconselhamento (CNAEF 762 Trabalho Social e Orientação)</t>
  </si>
  <si>
    <t>https://www.google.com/search?q=site%3Aipportalegre.pt%20Educa%C3%A7%C3%A3o%20e%20Prote%C3%A7%C3%A3o%20de%20Crian%C3%A7as%20e%20Jovens%20em%20Risco%20mestrado</t>
  </si>
  <si>
    <t>Enfermagem (curso em associação)</t>
  </si>
  <si>
    <t>ESALD‑IPCB, em associação com IP Beja, IP Portalegre, IP Setúbal, Univ. do Algarve e Univ. de Évora</t>
  </si>
  <si>
    <t>https://www.google.com/search?q=site%3Aipportalegre.pt%20Enfermagem%20%28curso%20em%20associa%C3%A7%C3%A3o%29%20mestrado</t>
  </si>
  <si>
    <t>ESBE‑IPPortalegre, em associação com os Institutos Politécnicos de Bragança, Castelo Branco, Viana do Castelo e Viseu (grau conjunto)</t>
  </si>
  <si>
    <t>https://www.google.com/search?q=site%3Aipportalegre.pt%20Enfermagem%20Veterin%C3%A1ria%20em%20Animais%20de%20Companhia%20mestrado</t>
  </si>
  <si>
    <t>https://www.google.com/search?q=site%3Aipportalegre.pt%20Ensino%20do%201.%C2%BA%20Ciclo%20do%20Ensino%20B%C3%A1sico%20e%20de%20Matem%C3%A1tica%20e%20Ci%C3%AAncias%20Naturais%20no%202.%C2%BA%20Ciclo%20do%20Ensino%20B%C3%A1sico%20mestrado</t>
  </si>
  <si>
    <t>https://www.google.com/search?q=site%3Aipportalegre.pt%20Estudos%20em%20Enfermagem%20mestrado</t>
  </si>
  <si>
    <t>https://www.google.com/search?q=site%3Aipportalegre.pt%20Gerontologia%20mestrado</t>
  </si>
  <si>
    <t>https://www.google.com/search?q=site%3Aipportalegre.pt%20Gest%C3%A3o%20de%20PME%20mestrado</t>
  </si>
  <si>
    <t>https://www.google.com/search?q=site%3Aipportalegre.pt%20Inform%C3%A1tica%20mestrado</t>
  </si>
  <si>
    <t>Inovação Pedagógica em Ambientes Digitais</t>
  </si>
  <si>
    <t>https://www.google.com/search?q=site%3Aipportalegre.pt%20Inova%C3%A7%C3%A3o%20Pedag%C3%B3gica%20em%20Ambientes%20Digitais%20mestrado</t>
  </si>
  <si>
    <t>Média e Sociedade</t>
  </si>
  <si>
    <t>https://www.google.com/search?q=site%3Aipportalegre.pt%20M%C3%A9dia%20e%20Sociedade%20mestrado</t>
  </si>
  <si>
    <t>Tecnologias de Valorização Ambiental e Produção de Energia</t>
  </si>
  <si>
    <t>https://www.google.com/search?q=site%3Aipportalegre.pt%20Tecnologias%20de%20Valoriza%C3%A7%C3%A3o%20Ambiental%20e%20Produ%C3%A7%C3%A3o%20de%20Energia%20mestrado</t>
  </si>
  <si>
    <t>Turismo e Comunicação Digital</t>
  </si>
  <si>
    <t>https://www.google.com/search?q=site%3Aipportalegre.pt%20Turismo%20e%20Comunica%C3%A7%C3%A3o%20Digital%20mestrado</t>
  </si>
  <si>
    <t>https://www.google.com/search?q=site%3Aipportalegre.pt%20Gest%C3%A3o%20em%20Sa%C3%BAde%20p%C3%B3s-gradua%C3%A7%C3%A3o</t>
  </si>
  <si>
    <t>1 semestre (18 semanas) / ECTS não está destacado no site (Gestão em Saúde – IPPortalegre)</t>
  </si>
  <si>
    <t>https://www.google.com/search?q=site%3Aipportalegre.pt%20Supervis%C3%A3o%20Cl%C3%ADnica%20p%C3%B3s-gradua%C3%A7%C3%A3o</t>
  </si>
  <si>
    <t>ESBE</t>
  </si>
  <si>
    <t>https://www.google.com/search?q=site%3Aipportalegre.pt%20Tecnologias%20Digitais%20e%20Ambientais%20nas%20Ci%C3%AAncias%20Agr%C3%A1rias%20p%C3%B3s-gradua%C3%A7%C3%A3o</t>
  </si>
  <si>
    <t>Instituto Politécnico de Santarém</t>
  </si>
  <si>
    <t>Escola Superior de Educação de Santarém (ESES‑IPSantarém), Complexo Andaluz, 2001‑902 Santarém</t>
  </si>
  <si>
    <t>https://www.google.com/search?q=site%3Aipsantarem.pt%20Acompanhamento%20de%20Crian%C3%A7as%20e%20Jovens%20CTeSP</t>
  </si>
  <si>
    <t>Escola Superior Agrária de Santarém (ESAS‑IPSantarém), Quinta do Galinheiro – S. Pedro</t>
  </si>
  <si>
    <t>https://www.google.com/search?q=site%3Aipsantarem.pt%20Agricultura%20Biol%C3%B3gica%20CTeSP</t>
  </si>
  <si>
    <t>Agricultura Digital</t>
  </si>
  <si>
    <t>Escola Superior Agrária de Santarém (ESAS‑IPSantarém)</t>
  </si>
  <si>
    <t>https://www.google.com/search?q=site%3Aipsantarem.pt%20Agricultura%20Digital%20CTeSP</t>
  </si>
  <si>
    <t>Animação Sociocultural Aplicada ao Ecoturismo</t>
  </si>
  <si>
    <t>Escola Superior de Educação de Santarém (ESES‑IPSantarém), Complexo Andaluz</t>
  </si>
  <si>
    <t>https://www.google.com/search?q=site%3Aipsantarem.pt%20Anima%C3%A7%C3%A3o%20Sociocultural%20Aplicada%20ao%20Ecoturismo%20CTeSP</t>
  </si>
  <si>
    <t>Escola Superior de Educação de Santarém (ESES‑IPSantarém)</t>
  </si>
  <si>
    <t>https://www.google.com/search?q=site%3Aipsantarem.pt%20Anima%C3%A7%C3%A3o%20Sociocultural%20Aplicada%20%C3%A0%20Gerontologia%20CTeSP</t>
  </si>
  <si>
    <t>https://www.google.com/search?q=site%3Aipsantarem.pt%20An%C3%A1lises%20Laboratoriais%20CTeSP</t>
  </si>
  <si>
    <t>Apoio Domiciliário</t>
  </si>
  <si>
    <t>Escola Superior de Saúde de Santarém (ESSS‑IPSantarém), Quinta do Mergulhão, Sr.ª da Guia, 2005‑075 Santarém</t>
  </si>
  <si>
    <t>https://www.google.com/search?q=site%3Aipsantarem.pt%20Apoio%20Domicili%C3%A1rio%20CTeSP</t>
  </si>
  <si>
    <t>https://www.google.com/search?q=site%3Aipsantarem.pt%20Comunica%C3%A7%C3%A3o%20Digital%20CTeSP</t>
  </si>
  <si>
    <t>Escola Superior de Gestão e Tecnologia (ESGTS‑IPSantarém), Complexo Andaluz, Santarém</t>
  </si>
  <si>
    <t>https://www.google.com/search?q=site%3Aipsantarem.pt%20Contabilidade%20CTeSP</t>
  </si>
  <si>
    <t>https://www.google.com/search?q=site%3Aipsantarem.pt%20Cuidados%20Veterin%C3%A1rios%20CTeSP</t>
  </si>
  <si>
    <t>Culturas Arvenses e Horto‑industriais</t>
  </si>
  <si>
    <t>https://www.google.com/search?q=site%3Aipsantarem.pt%20Culturas%20Arvenses%20e%20Horto%E2%80%91industriais%20CTeSP</t>
  </si>
  <si>
    <t>Design Digital</t>
  </si>
  <si>
    <t>https://www.google.com/search?q=site%3Aipsantarem.pt%20Design%20Digital%20CTeSP</t>
  </si>
  <si>
    <t>Distribuição e Logística</t>
  </si>
  <si>
    <t>ESGTS‑IPSantarém, Complexo Andaluz, Santarém</t>
  </si>
  <si>
    <t>https://www.google.com/search?q=site%3Aipsantarem.pt%20Distribui%C3%A7%C3%A3o%20e%20Log%C3%ADstica%20CTeSP</t>
  </si>
  <si>
    <t>Equinicultura e Atividades Hípicas</t>
  </si>
  <si>
    <t>https://www.google.com/search?q=site%3Aipsantarem.pt%20Equinicultura%20e%20Atividades%20H%C3%ADpicas%20CTeSP</t>
  </si>
  <si>
    <t>Gestão de Negócios</t>
  </si>
  <si>
    <t>https://www.google.com/search?q=site%3Aipsantarem.pt%20Gest%C3%A3o%20de%20Neg%C3%B3cios%20CTeSP</t>
  </si>
  <si>
    <t>Gestão e Comunicação Comercial</t>
  </si>
  <si>
    <t>https://www.google.com/search?q=site%3Aipsantarem.pt%20Gest%C3%A3o%20e%20Comunica%C3%A7%C3%A3o%20Comercial%20CTeSP</t>
  </si>
  <si>
    <t>Inovação em Gastronomia</t>
  </si>
  <si>
    <t>https://www.google.com/search?q=site%3Aipsantarem.pt%20Inova%C3%A7%C3%A3o%20em%20Gastronomia%20CTeSP</t>
  </si>
  <si>
    <t>Rio Maior</t>
  </si>
  <si>
    <t>Jogos Eletrónicos e Competições Desportivas Digitais</t>
  </si>
  <si>
    <t>Escola Superior de Desporto de Rio Maior (ESDRM‑IPSantarém), Avenida Dr. Mário Soares 110, 2040‑413 Rio Maior</t>
  </si>
  <si>
    <t>https://www.google.com/search?q=site%3Aipsantarem.pt%20Jogos%20Eletr%C3%B3nicos%20e%20Competi%C3%A7%C3%B5es%20Desportivas%20Digitais%20CTeSP</t>
  </si>
  <si>
    <t>Manutenção de Piscinas</t>
  </si>
  <si>
    <t>ESDRM‑IPSantarém, Av. Dr. Mário Soares, Rio Maior</t>
  </si>
  <si>
    <t>https://www.google.com/search?q=site%3Aipsantarem.pt%20Manuten%C3%A7%C3%A3o%20de%20Piscinas%20CTeSP</t>
  </si>
  <si>
    <t>https://www.google.com/search?q=site%3Aipsantarem.pt%20Marketing%20Digital%20CTeSP</t>
  </si>
  <si>
    <t>Mecanização e Tecnologia Agrária</t>
  </si>
  <si>
    <t>https://www.google.com/search?q=site%3Aipsantarem.pt%20Mecaniza%C3%A7%C3%A3o%20e%20Tecnologia%20Agr%C3%A1ria%20CTeSP</t>
  </si>
  <si>
    <t>Pintura e Ilustração</t>
  </si>
  <si>
    <t>https://www.google.com/search?q=site%3Aipsantarem.pt%20Pintura%20e%20Ilustra%C3%A7%C3%A3o%20CTeSP</t>
  </si>
  <si>
    <t>Produção de Insetos</t>
  </si>
  <si>
    <t>https://www.google.com/search?q=site%3Aipsantarem.pt%20Produ%C3%A7%C3%A3o%20de%20Insetos%20CTeSP</t>
  </si>
  <si>
    <t>Produção para Contextos Web</t>
  </si>
  <si>
    <t>https://www.google.com/search?q=site%3Aipsantarem.pt%20Produ%C3%A7%C3%A3o%20para%20Contextos%20Web%20CTeSP</t>
  </si>
  <si>
    <t>ESSS‑IPSantarém, Quinta do Mergulhão, Santarém</t>
  </si>
  <si>
    <t>https://www.google.com/search?q=site%3Aipsantarem.pt%20Prote%C3%A7%C3%A3o%20e%20Apoio%20%C3%A0%20Pessoa%20Idosa%20CTeSP</t>
  </si>
  <si>
    <t>https://www.google.com/search?q=site%3Aipsantarem.pt%20Redes%20e%20Sistemas%20Inform%C3%A1ticos%20CTeSP</t>
  </si>
  <si>
    <t>Restauração e Segurança Alimentar</t>
  </si>
  <si>
    <t>https://www.google.com/search?q=site%3Aipsantarem.pt%20Restaura%C3%A7%C3%A3o%20e%20Seguran%C3%A7a%20Alimentar%20CTeSP</t>
  </si>
  <si>
    <t>ESSS‑IPSantarém, Santarém (também com oferta em Mafra)</t>
  </si>
  <si>
    <t>https://www.google.com/search?q=site%3Aipsantarem.pt%20Secretariado%20em%20Sa%C3%BAde%20CTeSP</t>
  </si>
  <si>
    <t>Surfing no treino e na animação turística</t>
  </si>
  <si>
    <t>ESDRM‑IPSantarém, Av. Dr. Mário Soares, Rio Maior (com prática em praias da região)</t>
  </si>
  <si>
    <t>https://www.google.com/search?q=site%3Aipsantarem.pt%20Surfing%20no%20treino%20e%20na%20anima%C3%A7%C3%A3o%20tur%C3%ADstica%20CTeSP</t>
  </si>
  <si>
    <t>Tecnologia no Desporto</t>
  </si>
  <si>
    <t>https://www.google.com/search?q=site%3Aipsantarem.pt%20Tecnologia%20no%20Desporto%20CTeSP</t>
  </si>
  <si>
    <t>Tecnologias Ambientais</t>
  </si>
  <si>
    <t>https://www.google.com/search?q=site%3Aipsantarem.pt%20Tecnologias%20Ambientais%20CTeSP</t>
  </si>
  <si>
    <t>https://www.google.com/search?q=site%3Aipsantarem.pt%20Tecnologias%20Web%20e%20Dispositivos%20M%C3%B3veis%20CTeSP</t>
  </si>
  <si>
    <t>Tecnologias de Produção Integrada em Hortofrutícolas</t>
  </si>
  <si>
    <t>https://www.google.com/search?q=site%3Aipsantarem.pt%20Tecnologias%20de%20Produ%C3%A7%C3%A3o%20Integrada%20em%20Hortofrut%C3%ADcolas%20CTeSP</t>
  </si>
  <si>
    <t>ESGTS‑IPSantarém, Complexo Andaluz, com oferta também em Vila Franca de Xira</t>
  </si>
  <si>
    <t>https://www.google.com/search?q=site%3Aipsantarem.pt%20Tecnologias%20e%20Programa%C3%A7%C3%A3o%20de%20Sistemas%20de%20Informa%C3%A7%C3%A3o%20CTeSP</t>
  </si>
  <si>
    <t>Transformação Agroalimentar</t>
  </si>
  <si>
    <t>https://www.google.com/search?q=site%3Aipsantarem.pt%20Transforma%C3%A7%C3%A3o%20Agroalimentar%20CTeSP</t>
  </si>
  <si>
    <t>Vendas de Produtos e Serviços do Desporto</t>
  </si>
  <si>
    <t>https://www.google.com/search?q=site%3Aipsantarem.pt%20Vendas%20de%20Produtos%20e%20Servi%C3%A7os%20do%20Desporto%20CTeSP</t>
  </si>
  <si>
    <t>Indústrias Alimentares (viticultura e vinhos)</t>
  </si>
  <si>
    <t>https://www.google.com/search?q=site%3Aipsantarem.pt%20Viticultura%20e%20Enologia%20CTeSP</t>
  </si>
  <si>
    <t>https://www.google.com/search?q=site%3Aipsantarem.pt%20Zootecnia%20CTeSP</t>
  </si>
  <si>
    <t>https://www.google.com/search?q=site%3Aipsantarem.pt%20Agronomia%20licenciatura</t>
  </si>
  <si>
    <t>Atividade Física e Estilos de Vida Saudáveis</t>
  </si>
  <si>
    <t>Escola Superior de Desporto de Rio Maior (ESDRM‑IPSantarém), Av. Dr. Mário Soares, 2040‑413 Rio Maior</t>
  </si>
  <si>
    <t>https://www.google.com/search?q=site%3Aipsantarem.pt%20Atividade%20F%C3%ADsica%20e%20Estilos%20de%20Vida%20Saud%C3%A1veis%20licenciatura</t>
  </si>
  <si>
    <t>Biologia e Biotecnologia Alimentar</t>
  </si>
  <si>
    <t>https://www.google.com/search?q=site%3Aipsantarem.pt%20Biologia%20e%20Biotecnologia%20Alimentar%20licenciatura</t>
  </si>
  <si>
    <t>Escola Superior de Gestão e Tecnologia (ESGTS‑IPSantarém), Complexo Andaluz, Apartado 295, 2001‑904 Santarém</t>
  </si>
  <si>
    <t>https://www.google.com/search?q=site%3Aipsantarem.pt%20Contabilidade%20e%20Fiscalidade%20licenciatura</t>
  </si>
  <si>
    <t>Desporto de Natureza e Turismo Ativo</t>
  </si>
  <si>
    <t>https://www.google.com/search?q=site%3Aipsantarem.pt%20Desporto%20de%20Natureza%20e%20Turismo%20Ativo%20licenciatura</t>
  </si>
  <si>
    <t>https://www.google.com/search?q=site%3Aipsantarem.pt%20Desporto%2C%20Condi%C3%A7%C3%A3o%20F%C3%ADsica%20e%20Sa%C3%BAde%20licenciatura</t>
  </si>
  <si>
    <t>Dieta Mediterrânica e Ciência dos Alimentos</t>
  </si>
  <si>
    <t>https://www.google.com/search?q=site%3Aipsantarem.pt%20Dieta%20Mediterr%C3%A2nica%20e%20Ci%C3%AAncia%20dos%20Alimentos%20licenciatura</t>
  </si>
  <si>
    <t>Educação Ambiental e Turismo de Natureza</t>
  </si>
  <si>
    <t>Escola Superior de Educação de Santarém (ESES‑IPSantarém), Complexo Andaluz, Apartado 131, 2001‑902 Santarém</t>
  </si>
  <si>
    <t>https://www.google.com/search?q=site%3Aipsantarem.pt%20Educa%C3%A7%C3%A3o%20Ambiental%20e%20Turismo%20de%20Natureza%20licenciatura</t>
  </si>
  <si>
    <t>Escola Superior de Educação de Santarém (ESES‑IPSantarém), Complexo Andaluz, Santarém</t>
  </si>
  <si>
    <t>https://www.google.com/search?q=site%3Aipsantarem.pt%20Educa%C3%A7%C3%A3o%20B%C3%A1sica%20licenciatura</t>
  </si>
  <si>
    <t>https://www.google.com/search?q=site%3Aipsantarem.pt%20Educa%C3%A7%C3%A3o%20Social%20licenciatura</t>
  </si>
  <si>
    <t>https://www.google.com/search?q=site%3Aipsantarem.pt%20Enfermagem%20licenciatura</t>
  </si>
  <si>
    <t>https://www.google.com/search?q=site%3Aipsantarem.pt%20Enfermagem%20Veterin%C3%A1ria%20licenciatura</t>
  </si>
  <si>
    <t>https://www.google.com/search?q=site%3Aipsantarem.pt%20Engenharia%20Inform%C3%A1tica%20licenciatura</t>
  </si>
  <si>
    <t>Escola Superior de Saúde de Santarém (ESSS‑IPSantarém), Quinta do Mergulhão, Santarém</t>
  </si>
  <si>
    <t>https://www.google.com/search?q=site%3Aipsantarem.pt%20Fisioterapia%20licenciatura</t>
  </si>
  <si>
    <t>https://www.google.com/search?q=site%3Aipsantarem.pt%20Gest%C3%A3o%20licenciatura</t>
  </si>
  <si>
    <t>Gestão das Organizações Desportivas</t>
  </si>
  <si>
    <t>https://www.google.com/search?q=site%3Aipsantarem.pt%20Gest%C3%A3o%20das%20Organiza%C3%A7%C3%B5es%20Desportivas%20licenciatura</t>
  </si>
  <si>
    <t>https://www.google.com/search?q=site%3Aipsantarem.pt%20Gest%C3%A3o%20de%20Marketing%20licenciatura</t>
  </si>
  <si>
    <t>https://www.google.com/search?q=site%3Aipsantarem.pt%20Neg%C3%B3cios%20Internacionais%20licenciatura</t>
  </si>
  <si>
    <t>Produção Multimédia em Educação</t>
  </si>
  <si>
    <t>https://www.google.com/search?q=site%3Aipsantarem.pt%20Produ%C3%A7%C3%A3o%20Multim%C3%A9dia%20em%20Educa%C3%A7%C3%A3o%20licenciatura</t>
  </si>
  <si>
    <t>Qualidade Alimentar e Nutrição Humana</t>
  </si>
  <si>
    <t>https://www.google.com/search?q=site%3Aipsantarem.pt%20Qualidade%20Alimentar%20e%20Nutri%C3%A7%C3%A3o%20Humana%20licenciatura</t>
  </si>
  <si>
    <t>Tecnologia e Gestão Agroindustrial</t>
  </si>
  <si>
    <t>https://www.google.com/search?q=site%3Aipsantarem.pt%20Tecnologia%20e%20Gest%C3%A3o%20Agroindustrial%20licenciatura</t>
  </si>
  <si>
    <t>https://www.google.com/search?q=site%3Aipsantarem.pt%20Treino%20Desportivo%20licenciatura</t>
  </si>
  <si>
    <t>https://www.google.com/search?q=site%3Aipsantarem.pt%20Zootecnia%20licenciatura</t>
  </si>
  <si>
    <t>https://www.google.com/search?q=site%3Aipsantarem.pt%20Administra%C3%A7%C3%A3o%20Educacional%20mestrado</t>
  </si>
  <si>
    <t>Agro‑Silvo‑Pastorícia Mediterrânica</t>
  </si>
  <si>
    <t>https://www.google.com/search?q=site%3Aipsantarem.pt%20Agro%E2%80%91Silvo%E2%80%91Pastor%C3%ADcia%20Mediterr%C3%A2nica%20mestrado</t>
  </si>
  <si>
    <t>Escola Superior de Desporto de Rio Maior (ESDRM‑IPSantarém), Av. Dr. Mário Soares 110, 2040‑413 Rio Maior</t>
  </si>
  <si>
    <t>https://www.google.com/search?q=site%3Aipsantarem.pt%20Atividade%20F%C3%ADsica%20e%20Sa%C3%BAde%20mestrado</t>
  </si>
  <si>
    <t>https://www.google.com/search?q=site%3Aipsantarem.pt%20Contabilidade%20e%20Finan%C3%A7as%20mestrado</t>
  </si>
  <si>
    <t>Desporto de Recreação</t>
  </si>
  <si>
    <t>https://www.google.com/search?q=site%3Aipsantarem.pt%20Desporto%20de%20Recrea%C3%A7%C3%A3o%20mestrado</t>
  </si>
  <si>
    <t>https://www.google.com/search?q=site%3Aipsantarem.pt%20Educa%C3%A7%C3%A3o%20Especial%20e%20Inclusiva%20mestrado</t>
  </si>
  <si>
    <t>https://www.google.com/search?q=site%3Aipsantarem.pt%20Educa%C3%A7%C3%A3o%20Pr%C3%A9%E2%80%91Escolar%20mestrado</t>
  </si>
  <si>
    <t>https://www.google.com/search?q=site%3Aipsantarem.pt%20Educa%C3%A7%C3%A3o%20Pr%C3%A9%E2%80%91Escolar%20e%20Ensino%20do%201.%C2%BA%20Ciclo%20do%20Ensino%20B%C3%A1sico%20mestrado</t>
  </si>
  <si>
    <t>https://www.google.com/search?q=site%3Aipsantarem.pt%20Educa%C3%A7%C3%A3o%20Social%20e%20Interven%C3%A7%C3%A3o%20Comunit%C3%A1ria%20mestrado</t>
  </si>
  <si>
    <t>https://www.google.com/search?q=site%3Aipsantarem.pt%20Enfermagem%20Comunit%C3%A1ria%20mestrado</t>
  </si>
  <si>
    <t>Enfermagem Comunitária – Área de Enfermagem de Saúde Comunitária e de Saúde Pública</t>
  </si>
  <si>
    <t>ESSS‑IPSantarém, em associação no âmbito da rede de mestrados de Enfermagem Comunitária</t>
  </si>
  <si>
    <t>https://www.google.com/search?q=site%3Aipsantarem.pt%20Enfermagem%20Comunit%C3%A1ria%20%E2%80%93%20%C3%81rea%20de%20Enfermagem%20de%20Sa%C3%BAde%20Comunit%C3%A1ria%20e%20de%20Sa%C3%BAde%20P%C3%BAblica%20mestrado</t>
  </si>
  <si>
    <t>Viseu</t>
  </si>
  <si>
    <t>Enfermagem Comunitária – área de Enfermagem de Saúde Familiar</t>
  </si>
  <si>
    <t>Escola Superior de Saúde de Viseu (ESSV - IPV), em associação com ESS Santarém (IPSantarém)</t>
  </si>
  <si>
    <t>https://www.google.com/search?q=site%3Aipsantarem.pt%20Enfermagem%20Comunit%C3%A1ria%20%E2%80%93%20%C3%A1rea%20de%20Enfermagem%20de%20Sa%C3%BAde%20Familiar%20mestrado</t>
  </si>
  <si>
    <t>ESSS‑IPSantarém, integrado em consórcio internacional Erasmus Mundus</t>
  </si>
  <si>
    <t>https://www.google.com/search?q=site%3Aipsantarem.pt%20Enfermagem%20de%20Emerg%C3%AAncia%20e%20Cuidados%20Cr%C3%ADticos%20%28Erasmus%20Mundus%29%20mestrado</t>
  </si>
  <si>
    <t>https://www.google.com/search?q=site%3Aipsantarem.pt%20Enfermagem%20de%20Reabilita%C3%A7%C3%A3o%20mestrado</t>
  </si>
  <si>
    <t>ESSS‑IPSantarém, em rede com outras escolas de saúde</t>
  </si>
  <si>
    <t>https://www.google.com/search?q=site%3Aipsantarem.pt%20Enfermagem%20de%20Sa%C3%BAde%20Materna%20e%20Obst%C3%A9trica%20mestrado</t>
  </si>
  <si>
    <t>https://www.google.com/search?q=site%3Aipsantarem.pt%20Enfermagem%20de%20Sa%C3%BAde%20Mental%20e%20Psiqui%C3%A1trica%20mestrado</t>
  </si>
  <si>
    <t>https://www.google.com/search?q=site%3Aipsantarem.pt%20Engenharia%20Agron%C3%B3mica%20mestrado</t>
  </si>
  <si>
    <t>https://www.google.com/search?q=site%3Aipsantarem.pt%20Engenharia%20Zoot%C3%A9cnica%20mestrado</t>
  </si>
  <si>
    <t>https://www.google.com/search?q=site%3Aipsantarem.pt%20Ensino%20do%201.%C2%BA%20Ciclo%20do%20Ensino%20B%C3%A1sico%20e%20de%20Matem%C3%A1tica%20e%20Ci%C3%AAncias%20Naturais%20no%202.%C2%BA%20Ciclo%20do%20Ensino%20B%C3%A1sico%20mestrado</t>
  </si>
  <si>
    <t>https://www.google.com/search?q=site%3Aipsantarem.pt%20Ensino%20do%201.%C2%BA%20Ciclo%20do%20Ensino%20B%C3%A1sico%20e%20de%20Portugu%C3%AAs%20e%20Hist%C3%B3ria%20e%20Geografia%20de%20Portugal%20no%202.%C2%BA%20Ciclo%20do%20Ensino%20B%C3%A1sico%20mestrado</t>
  </si>
  <si>
    <t>https://www.google.com/search?q=site%3Aipsantarem.pt%20Gest%C3%A3o%20mestrado</t>
  </si>
  <si>
    <t>Gestão Sustentável e Horizontes Inteligentes</t>
  </si>
  <si>
    <t>ESGTS‑IPSantarém</t>
  </si>
  <si>
    <t>https://www.google.com/search?q=site%3Aipsantarem.pt%20Gest%C3%A3o%20Sustent%C3%A1vel%20e%20Horizontes%20Inteligentes%20mestrado</t>
  </si>
  <si>
    <t>ESGTS‑IPSantarém, em articulação com o IPSantarém</t>
  </si>
  <si>
    <t>https://www.google.com/search?q=site%3Aipsantarem.pt%20Gest%C3%A3o%20de%20Organiza%C3%A7%C3%B5es%20de%20Economia%20Social%20mestrado</t>
  </si>
  <si>
    <t>Curso conjunto ESGTS‑IPSantarém + Escola Superior de Saúde de Santarém</t>
  </si>
  <si>
    <t>https://www.google.com/search?q=site%3Aipsantarem.pt%20Gest%C3%A3o%20de%20Unidades%20de%20Sa%C3%BAde%20mestrado</t>
  </si>
  <si>
    <t>Gestão do Desporto</t>
  </si>
  <si>
    <t>https://www.google.com/search?q=site%3Aipsantarem.pt%20Gest%C3%A3o%20do%20Desporto%20mestrado</t>
  </si>
  <si>
    <t>ESGTS‑IPSantarém, Complexo Andaluz</t>
  </si>
  <si>
    <t>https://www.google.com/search?q=site%3Aipsantarem.pt%20Inform%C3%A1tica%20Aplicada%20mestrado</t>
  </si>
  <si>
    <t>Recursos Digitais em Educação</t>
  </si>
  <si>
    <t>https://www.google.com/search?q=site%3Aipsantarem.pt%20Recursos%20Digitais%20em%20Educa%C3%A7%C3%A3o%20mestrado</t>
  </si>
  <si>
    <t>https://www.google.com/search?q=site%3Aipsantarem.pt%20Tecnologia%20Alimentar%20mestrado</t>
  </si>
  <si>
    <t>https://www.google.com/search?q=site%3Aipsantarem.pt%20Treino%20Desportivo%20mestrado</t>
  </si>
  <si>
    <t>Educação STEAM</t>
  </si>
  <si>
    <t>Escola Superior de Educação de Santarém</t>
  </si>
  <si>
    <t>https://www.google.com/search?q=site%3Aipsantarem.pt%20Educa%C3%A7%C3%A3o%20STEAM%20p%C3%B3s-gradua%C3%A7%C3%A3o</t>
  </si>
  <si>
    <t>Não indicado na imagem (1 ano típico; ECTS a confirmar em ficha de curso)</t>
  </si>
  <si>
    <t>Inovação Digital</t>
  </si>
  <si>
    <t>https://www.google.com/search?q=site%3Aipsantarem.pt%20Inova%C3%A7%C3%A3o%20Digital%20p%C3%B3s-gradua%C3%A7%C3%A3o</t>
  </si>
  <si>
    <t>Não indicado na imagem (1 ano típico; ECTS a confirmar)</t>
  </si>
  <si>
    <t>Instituto Politécnico de Saúde do Norte – CESPU</t>
  </si>
  <si>
    <t>Escola Superior de Saúde do Vale do Ave - IPSN‑CESPU</t>
  </si>
  <si>
    <t>https://www.google.com/search?q=site%3Acespu.pt%20Apoio%20em%20Cuidados%20Continuados%20Integrados%20CTeSP</t>
  </si>
  <si>
    <t>https://www.google.com/search?q=site%3Acespu.pt%20Bioan%C3%A1lises%20e%20Controlo%20CTeSP</t>
  </si>
  <si>
    <t>https://www.google.com/search?q=site%3Acespu.pt%20Est%C3%A9tica%2C%20Cosm%C3%A9tica%20e%20Bem%E2%80%91estar%20CTeSP</t>
  </si>
  <si>
    <t>https://www.google.com/search?q=site%3Acespu.pt%20Gerontologia%20CTeSP</t>
  </si>
  <si>
    <t>https://www.google.com/search?q=site%3Acespu.pt%20Gest%C3%A3o%20Operacional%20Hospitalar%20CTeSP</t>
  </si>
  <si>
    <t>Saúde e Exercício</t>
  </si>
  <si>
    <t>https://www.google.com/search?q=site%3Acespu.pt%20Sa%C3%BAde%20e%20Exerc%C3%ADcio%20CTeSP</t>
  </si>
  <si>
    <t>https://www.google.com/search?q=site%3Acespu.pt%20Secretariado%20Cl%C3%ADnico%20CTeSP</t>
  </si>
  <si>
    <t>https://www.google.com/search?q=site%3Acespu.pt%20Servi%C3%A7o%20Familiar%20e%20Comunit%C3%A1rio%20CTeSP</t>
  </si>
  <si>
    <t>https://www.google.com/search?q=site%3Acespu.pt%20Termalismo%20e%20Bem%E2%80%91Estar%20CTeSP</t>
  </si>
  <si>
    <t>https://www.google.com/search?q=site%3Acespu.pt%20Ci%C3%AAncias%20Biom%C3%A9dicas%20Laboratoriais%20licenciatura</t>
  </si>
  <si>
    <t>https://www.google.com/search?q=site%3Acespu.pt%20Enfermagem%20licenciatura</t>
  </si>
  <si>
    <t>https://www.google.com/search?q=site%3Acespu.pt%20Farm%C3%A1cia%20licenciatura</t>
  </si>
  <si>
    <t>https://www.google.com/search?q=site%3Acespu.pt%20Fisiologia%20Cl%C3%ADnica%20licenciatura</t>
  </si>
  <si>
    <t>https://www.google.com/search?q=site%3Acespu.pt%20Fisioterapia%20licenciatura</t>
  </si>
  <si>
    <t>Gestão e Administração em Saúde</t>
  </si>
  <si>
    <t>https://www.google.com/search?q=site%3Acespu.pt%20Gest%C3%A3o%20e%20Administra%C3%A7%C3%A3o%20em%20Sa%C3%BAde%20licenciatura</t>
  </si>
  <si>
    <t>https://www.google.com/search?q=site%3Acespu.pt%20Imagem%20M%C3%A9dica%20e%20Radioterapia%20licenciatura</t>
  </si>
  <si>
    <t>https://www.google.com/search?q=site%3Acespu.pt%20Osteopatia%20licenciatura</t>
  </si>
  <si>
    <t>https://www.google.com/search?q=site%3Acespu.pt%20Podologia%20licenciatura</t>
  </si>
  <si>
    <t>Enfermagem Médico-Cirúrgica - área de Enfermagem à Pessoa em Situação Crítica</t>
  </si>
  <si>
    <t>https://www.google.com/search?q=site%3Acespu.pt%20Enfermagem%20M%C3%A9dico-Cir%C3%BArgica%20-%20%C3%A1rea%20de%20Enfermagem%20%C3%A0%20Pessoa%20em%20Situa%C3%A7%C3%A3o%20Cr%C3%ADtica%20mestrado</t>
  </si>
  <si>
    <t>https://www.google.com/search?q=site%3Acespu.pt%20Enfermagem%20de%20Sa%C3%BAde%20Mental%20e%20Psiqui%C3%A1trica%20mestrado</t>
  </si>
  <si>
    <t>https://www.google.com/search?q=site%3Acespu.pt%20Fisioterapia%20mestrado</t>
  </si>
  <si>
    <t>Podiatria Clínica</t>
  </si>
  <si>
    <t>https://www.google.com/search?q=site%3Acespu.pt%20Podiatria%20Cl%C3%ADnica%20mestrado</t>
  </si>
  <si>
    <t>Podiatria Infantil</t>
  </si>
  <si>
    <t>https://www.google.com/search?q=site%3Acespu.pt%20Podiatria%20Infantil%20mestrado</t>
  </si>
  <si>
    <t>Podiatria do Exercício Físico e Desporto</t>
  </si>
  <si>
    <t>https://www.google.com/search?q=site%3Acespu.pt%20Podiatria%20do%20Exerc%C3%ADcio%20F%C3%ADsico%20e%20Desporto%20mestrado</t>
  </si>
  <si>
    <t>Anestesiologia e Controlo da Dor – 5.ª edição</t>
  </si>
  <si>
    <t>Área de Anestesiologia</t>
  </si>
  <si>
    <t>https://www.google.com/search?q=site%3Acespu.pt%20Anestesiologia%20e%20Controlo%20da%20Dor%20%E2%80%93%205.%C2%AA%20edi%C3%A7%C3%A3o%20p%C3%B3s-gradua%C3%A7%C3%A3o</t>
  </si>
  <si>
    <t>E‑learning</t>
  </si>
  <si>
    <t>Análises Clínicas – 4.ª edição</t>
  </si>
  <si>
    <t>Área de Análises Clínicas</t>
  </si>
  <si>
    <t>https://www.google.com/search?q=site%3Acespu.pt%20An%C3%A1lises%20Cl%C3%ADnicas%20%E2%80%93%204.%C2%AA%20edi%C3%A7%C3%A3o%20p%C3%B3s-gradua%C3%A7%C3%A3o</t>
  </si>
  <si>
    <t>B‑learning (online + presencial)</t>
  </si>
  <si>
    <t>Arritmologia – 2.ª edição</t>
  </si>
  <si>
    <t>Área de Cardiologia</t>
  </si>
  <si>
    <t>https://www.google.com/search?q=site%3Acespu.pt%20Arritmologia%20%E2%80%93%202.%C2%AA%20edi%C3%A7%C3%A3o%20p%C3%B3s-gradua%C3%A7%C3%A3o</t>
  </si>
  <si>
    <t>Cronobiologia e Medicina do Sono – 8.ª edição</t>
  </si>
  <si>
    <t>Medicina do Sono</t>
  </si>
  <si>
    <t>https://www.google.com/search?q=site%3Acespu.pt%20Cronobiologia%20e%20Medicina%20do%20Sono%20%E2%80%93%208.%C2%AA%20edi%C3%A7%C3%A3o%20p%C3%B3s-gradua%C3%A7%C3%A3o</t>
  </si>
  <si>
    <t>Cuidados Continuados e Paliativos – 30.ª edição</t>
  </si>
  <si>
    <t>Área de Cuidados Continuados/Paliativos</t>
  </si>
  <si>
    <t>https://www.google.com/search?q=site%3Acespu.pt%20Cuidados%20Continuados%20e%20Paliativos%20%E2%80%93%2030.%C2%AA%20edi%C3%A7%C3%A3o%20p%C3%B3s-gradua%C3%A7%C3%A3o</t>
  </si>
  <si>
    <t>Cuidados de Enfermagem em Cardiologia – 1.ª edição</t>
  </si>
  <si>
    <t>Enfermagem / Cardiologia</t>
  </si>
  <si>
    <t>https://www.google.com/search?q=site%3Acespu.pt%20Cuidados%20de%20Enfermagem%20em%20Cardiologia%20%E2%80%93%201.%C2%AA%20edi%C3%A7%C3%A3o%20p%C3%B3s-gradua%C3%A7%C3%A3o</t>
  </si>
  <si>
    <t>Emergência Médica – 6.ª edição</t>
  </si>
  <si>
    <t>Área de Emergência Médica</t>
  </si>
  <si>
    <t>https://www.google.com/search?q=site%3Acespu.pt%20Emerg%C3%AAncia%20M%C3%A9dica%20%E2%80%93%206.%C2%AA%20edi%C3%A7%C3%A3o%20p%C3%B3s-gradua%C3%A7%C3%A3o</t>
  </si>
  <si>
    <t>Enfermagem Forense – 4.ª edição</t>
  </si>
  <si>
    <t>Escola Superior de Saúde do Vale do Ave (ESSVA)</t>
  </si>
  <si>
    <t>https://www.google.com/search?q=site%3Acespu.pt%20Enfermagem%20Forense%20%E2%80%93%204.%C2%AA%20edi%C3%A7%C3%A3o%20p%C3%B3s-gradua%C3%A7%C3%A3o</t>
  </si>
  <si>
    <t>Início novembro 2026; duração anual; ECTS não indicados na ficha pública</t>
  </si>
  <si>
    <t>Enfermagem Gerontogeriátrica – 1.ª edição</t>
  </si>
  <si>
    <t>Área de Enfermagem / Geriatria</t>
  </si>
  <si>
    <t>https://www.google.com/search?q=site%3Acespu.pt%20Enfermagem%20Gerontogeri%C3%A1trica%20%E2%80%93%201.%C2%AA%20edi%C3%A7%C3%A3o%20p%C3%B3s-gradua%C3%A7%C3%A3o</t>
  </si>
  <si>
    <t>Enfermagem Perioperatória – 5.ª edição</t>
  </si>
  <si>
    <t>Área de Enfermagem Perioperatória</t>
  </si>
  <si>
    <t>https://www.google.com/search?q=site%3Acespu.pt%20Enfermagem%20Perioperat%C3%B3ria%20%E2%80%93%205.%C2%AA%20edi%C3%A7%C3%A3o%20p%C3%B3s-gradua%C3%A7%C3%A3o</t>
  </si>
  <si>
    <t>Enfermagem de Reabilitação – 1.ª edição</t>
  </si>
  <si>
    <t>Área de Enfermagem / Reabilitação</t>
  </si>
  <si>
    <t>https://www.google.com/search?q=site%3Acespu.pt%20Enfermagem%20de%20Reabilita%C3%A7%C3%A3o%20%E2%80%93%201.%C2%AA%20edi%C3%A7%C3%A3o%20p%C3%B3s-gradua%C3%A7%C3%A3o</t>
  </si>
  <si>
    <t>Enfermagem em Cuidados Intensivos Pediátricos e Neonatais – 8.ª edição</t>
  </si>
  <si>
    <t>Área de Enfermagem / Pediatria</t>
  </si>
  <si>
    <t>https://www.google.com/search?q=site%3Acespu.pt%20Enfermagem%20em%20Cuidados%20Intensivos%20Pedi%C3%A1tricos%20e%20Neonatais%20%E2%80%93%208.%C2%AA%20edi%C3%A7%C3%A3o%20p%C3%B3s-gradua%C3%A7%C3%A3o</t>
  </si>
  <si>
    <t>Polo Faro</t>
  </si>
  <si>
    <t>https://www.google.com/search?q=site%3Acespu.pt%20Enfermagem%20em%20Emerg%C3%AAncia%20e%20Trauma%20%E2%80%93%2018.%C2%AA%20edi%C3%A7%C3%A3o%20p%C3%B3s-gradua%C3%A7%C3%A3o</t>
  </si>
  <si>
    <t>Fevereiro 2026 a fevereiro 2027</t>
  </si>
  <si>
    <t>Enfermagem no Desporto – 2.ª edição</t>
  </si>
  <si>
    <t>Área de Enfermagem / Desporto</t>
  </si>
  <si>
    <t>https://www.google.com/search?q=site%3Acespu.pt%20Enfermagem%20no%20Desporto%20%E2%80%93%202.%C2%AA%20edi%C3%A7%C3%A3o%20p%C3%B3s-gradua%C3%A7%C3%A3o</t>
  </si>
  <si>
    <t>Fisiologia e Exercício Clínico – 12.ª edição</t>
  </si>
  <si>
    <t>Área de Fisiologia/Exercício</t>
  </si>
  <si>
    <t>https://www.google.com/search?q=site%3Acespu.pt%20Fisiologia%20e%20Exerc%C3%ADcio%20Cl%C3%ADnico%20%E2%80%93%2012.%C2%AA%20edi%C3%A7%C3%A3o%20p%C3%B3s-gradua%C3%A7%C3%A3o</t>
  </si>
  <si>
    <t>Nutrição Funcional e Suplementação Individualizada na Prática Clínica – 4.ª edição</t>
  </si>
  <si>
    <t>Área de Nutrição Clínica</t>
  </si>
  <si>
    <t>https://www.google.com/search?q=site%3Acespu.pt%20Nutri%C3%A7%C3%A3o%20Funcional%20e%20Suplementa%C3%A7%C3%A3o%20Individualizada%20na%20Pr%C3%A1tica%20Cl%C3%ADnica%20%E2%80%93%204.%C2%AA%20edi%C3%A7%C3%A3o%20p%C3%B3s-gradua%C3%A7%C3%A3o</t>
  </si>
  <si>
    <t>Nutrição e Suplementação Alimentar – 7.ª edição</t>
  </si>
  <si>
    <t>Área de Nutrição</t>
  </si>
  <si>
    <t>https://www.google.com/search?q=site%3Acespu.pt%20Nutri%C3%A7%C3%A3o%20e%20Suplementa%C3%A7%C3%A3o%20Alimentar%20%E2%80%93%207.%C2%AA%20edi%C3%A7%C3%A3o%20p%C3%B3s-gradua%C3%A7%C3%A3o</t>
  </si>
  <si>
    <t>Nutrição no Desporto – 7.ª edição</t>
  </si>
  <si>
    <t>Área de Nutrição/Desporto</t>
  </si>
  <si>
    <t>https://www.google.com/search?q=site%3Acespu.pt%20Nutri%C3%A7%C3%A3o%20no%20Desporto%20%E2%80%93%207.%C2%AA%20edi%C3%A7%C3%A3o%20p%C3%B3s-gradua%C3%A7%C3%A3o</t>
  </si>
  <si>
    <t>Perícias Forenses e Criminologia – 3.ª edição</t>
  </si>
  <si>
    <t>https://www.google.com/search?q=site%3Acespu.pt%20Per%C3%ADcias%20Forenses%20e%20Criminologia%20%E2%80%93%203.%C2%AA%20edi%C3%A7%C3%A3o%20p%C3%B3s-gradua%C3%A7%C3%A3o</t>
  </si>
  <si>
    <t>Prevenção, Controlo de Infeção e Resistência aos Antimicrobianos – 6.ª edição</t>
  </si>
  <si>
    <t>Área de Prevenção e Controlo de Infeção</t>
  </si>
  <si>
    <t>https://www.google.com/search?q=site%3Acespu.pt%20Preven%C3%A7%C3%A3o%2C%20Controlo%20de%20Infe%C3%A7%C3%A3o%20e%20Resist%C3%AAncia%20aos%20Antimicrobianos%20%E2%80%93%206.%C2%AA%20edi%C3%A7%C3%A3o%20p%C3%B3s-gradua%C3%A7%C3%A3o</t>
  </si>
  <si>
    <t>Psiquiatria Geriátrica – 2.ª edição</t>
  </si>
  <si>
    <t>Área de Psiquiatria / Geriatria</t>
  </si>
  <si>
    <t>https://www.google.com/search?q=site%3Acespu.pt%20Psiquiatria%20Geri%C3%A1trica%20%E2%80%93%202.%C2%AA%20edi%C3%A7%C3%A3o%20p%C3%B3s-gradua%C3%A7%C3%A3o</t>
  </si>
  <si>
    <t>Polo Braga</t>
  </si>
  <si>
    <t>https://www.google.com/search?q=site%3Acespu.pt%20Supervis%C3%A3o%20Cl%C3%ADnica%20em%20Enfermagem%20%E2%80%93%207.%C2%AA%20edi%C3%A7%C3%A3o%20p%C3%B3s-gradua%C3%A7%C3%A3o</t>
  </si>
  <si>
    <t>≈ 1 ano</t>
  </si>
  <si>
    <t>Terapia Cognitivo‑Comportamental – As Três Gerações da Terapia do Comportamento – 12.ª edição</t>
  </si>
  <si>
    <t>Psicologia / Saúde Mental</t>
  </si>
  <si>
    <t>https://www.google.com/search?q=site%3Acespu.pt%20Terapia%20Cognitivo%E2%80%91Comportamental%20%E2%80%93%20As%20Tr%C3%AAs%20Gera%C3%A7%C3%B5es%20da%20Terapia%20do%20Comportamento%20%E2%80%93%2012.%C2%AA%20edi%C3%A7%C3%A3o%20p%C3%B3s-gradua%C3%A7%C3%A3o</t>
  </si>
  <si>
    <t>Ultrassonografia Cardiovascular – 6.ª edição</t>
  </si>
  <si>
    <t>Cardiologia / Imagem</t>
  </si>
  <si>
    <t>https://www.google.com/search?q=site%3Acespu.pt%20Ultrassonografia%20Cardiovascular%20%E2%80%93%206.%C2%AA%20edi%C3%A7%C3%A3o%20p%C3%B3s-gradua%C3%A7%C3%A3o</t>
  </si>
  <si>
    <t>Executive Master em Gestão e Administração em Saúde – 42.ª edição</t>
  </si>
  <si>
    <t>Área de Gestão em Saúde</t>
  </si>
  <si>
    <t>https://www.google.com/search?q=site%3Acespu.pt%20Executive%20Master%20em%20Gest%C3%A3o%20e%20Administra%C3%A7%C3%A3o%20em%20Sa%C3%BAde%20%E2%80%93%2042.%C2%AA%20edi%C3%A7%C3%A3o%20p%C3%B3s-gradua%C3%A7%C3%A3o%20executiva</t>
  </si>
  <si>
    <t>Lisboa e Porto</t>
  </si>
  <si>
    <t>Executive Master em Sistemas de Gestão da Qualidade e Auditoria em Saúde – 6.ª edição</t>
  </si>
  <si>
    <t>Área de Gestão/Auditoria em Saúde</t>
  </si>
  <si>
    <t>https://www.google.com/search?q=site%3Acespu.pt%20Executive%20Master%20em%20Sistemas%20de%20Gest%C3%A3o%20da%20Qualidade%20e%20Auditoria%20em%20Sa%C3%BAde%20%E2%80%93%206.%C2%AA%20edi%C3%A7%C3%A3o%20p%C3%B3s-gradua%C3%A7%C3%A3o%20executiva</t>
  </si>
  <si>
    <t>Instituto Politécnico de Setúbal</t>
  </si>
  <si>
    <t>Setúbal</t>
  </si>
  <si>
    <t>Apoio à Gestão de Organizações Sociais</t>
  </si>
  <si>
    <t>Escola Superior de Educação (ESE/IPS)</t>
  </si>
  <si>
    <t>https://www.google.com/search?q=site%3Aips.pt%20Apoio%20%C3%A0%20Gest%C3%A3o%20de%20Organiza%C3%A7%C3%B5es%20Sociais%20CTeSP</t>
  </si>
  <si>
    <t>Assessoria de Gestão</t>
  </si>
  <si>
    <t>Escola Superior de Ciências Empresariais (ESCE/IPS)</t>
  </si>
  <si>
    <t>https://www.google.com/search?q=site%3Aips.pt%20Assessoria%20de%20Gest%C3%A3o%20CTeSP</t>
  </si>
  <si>
    <t>Automação, Robótica e Controlo Industrial</t>
  </si>
  <si>
    <t>Escola Superior de Tecnologia de Setúbal (ESTSetúbal/IPS)</t>
  </si>
  <si>
    <t>https://www.google.com/search?q=site%3Aips.pt%20Automa%C3%A7%C3%A3o%2C%20Rob%C3%B3tica%20e%20Controlo%20Industrial%20CTeSP</t>
  </si>
  <si>
    <t>Climatização e Energia</t>
  </si>
  <si>
    <t>https://www.google.com/search?q=site%3Aips.pt%20Climatiza%C3%A7%C3%A3o%20e%20Energia%20CTeSP</t>
  </si>
  <si>
    <t>Cloud e Cibersegurança</t>
  </si>
  <si>
    <t>https://www.google.com/search?q=site%3Aips.pt%20Cloud%20e%20Ciberseguran%C3%A7a%20CTeSP</t>
  </si>
  <si>
    <t>Barreiro</t>
  </si>
  <si>
    <t>Condução e Acompanhamento de Obras</t>
  </si>
  <si>
    <t>Escola Superior de Tecnologia do Barreiro (ESTBarreiro/IPS)</t>
  </si>
  <si>
    <t>https://www.google.com/search?q=site%3Aips.pt%20Condu%C3%A7%C3%A3o%20e%20Acompanhamento%20de%20Obras%20CTeSP</t>
  </si>
  <si>
    <t>https://www.google.com/search?q=site%3Aips.pt%20Constru%C3%A7%C3%A3o%20Civil%20CTeSP</t>
  </si>
  <si>
    <t>Desenvolvimento de Videojogos e Aplicações Multimédia</t>
  </si>
  <si>
    <t>https://www.google.com/search?q=site%3Aips.pt%20Desenvolvimento%20de%20Videojogos%20e%20Aplica%C3%A7%C3%B5es%20Multim%C3%A9dia%20CTeSP</t>
  </si>
  <si>
    <t>Desportos de Natureza</t>
  </si>
  <si>
    <t>https://www.google.com/search?q=site%3Aips.pt%20Desportos%20de%20Natureza%20CTeSP</t>
  </si>
  <si>
    <t>Eletromedicina</t>
  </si>
  <si>
    <t>https://www.google.com/search?q=site%3Aips.pt%20Eletromedicina%20CTeSP</t>
  </si>
  <si>
    <t>Gestão Retalhista</t>
  </si>
  <si>
    <t>https://www.google.com/search?q=site%3Aips.pt%20Gest%C3%A3o%20Retalhista%20CTeSP</t>
  </si>
  <si>
    <t>https://www.google.com/search?q=site%3Aips.pt%20Gest%C3%A3o%20de%20Turismo%20CTeSP</t>
  </si>
  <si>
    <t>Gestão do Ambiente e Segurança</t>
  </si>
  <si>
    <t>https://www.google.com/search?q=site%3Aips.pt%20Gest%C3%A3o%20do%20Ambiente%20e%20Seguran%C3%A7a%20CTeSP</t>
  </si>
  <si>
    <t>Instalações Elétricas</t>
  </si>
  <si>
    <t>https://www.google.com/search?q=site%3Aips.pt%20Instala%C3%A7%C3%B5es%20El%C3%A9tricas%20CTeSP</t>
  </si>
  <si>
    <t>https://www.google.com/search?q=site%3Aips.pt%20Log%C3%ADstica%20CTeSP</t>
  </si>
  <si>
    <t>Manutenção Industrial</t>
  </si>
  <si>
    <t>https://www.google.com/search?q=site%3Aips.pt%20Manuten%C3%A7%C3%A3o%20Industrial%20CTeSP</t>
  </si>
  <si>
    <t>Modelação e Fabrico Assistidos por Computador</t>
  </si>
  <si>
    <t>https://www.google.com/search?q=site%3Aips.pt%20Modela%C3%A7%C3%A3o%20e%20Fabrico%20Assistidos%20por%20Computador%20CTeSP</t>
  </si>
  <si>
    <t>Organização e Gestão Industrial</t>
  </si>
  <si>
    <t>https://www.google.com/search?q=site%3Aips.pt%20Organiza%C3%A7%C3%A3o%20e%20Gest%C3%A3o%20Industrial%20CTeSP</t>
  </si>
  <si>
    <t>Produção Aeronáutica</t>
  </si>
  <si>
    <t>https://www.google.com/search?q=site%3Aips.pt%20Produ%C3%A7%C3%A3o%20Aeron%C3%A1utica%20CTeSP</t>
  </si>
  <si>
    <t>https://www.google.com/search?q=site%3Aips.pt%20Produ%C3%A7%C3%A3o%20Audiovisual%20CTeSP</t>
  </si>
  <si>
    <t>Programação Web, Dispositivos e Aplicações Móveis</t>
  </si>
  <si>
    <t>https://www.google.com/search?q=site%3Aips.pt%20Programa%C3%A7%C3%A3o%20Web%2C%20Dispositivos%20e%20Aplica%C3%A7%C3%B5es%20M%C3%B3veis%20CTeSP</t>
  </si>
  <si>
    <t>Qualidade Ambiental e Alimentar</t>
  </si>
  <si>
    <t>https://www.google.com/search?q=site%3Aips.pt%20Qualidade%20Ambiental%20e%20Alimentar%20CTeSP</t>
  </si>
  <si>
    <t>Redes Elétricas Inteligentes e Domótica</t>
  </si>
  <si>
    <t>https://www.google.com/search?q=site%3Aips.pt%20Redes%20El%C3%A9tricas%20Inteligentes%20e%20Dom%C3%B3tica%20CTeSP</t>
  </si>
  <si>
    <t>https://www.google.com/search?q=site%3Aips.pt%20Redes%20e%20Sistemas%20Inform%C3%A1ticos%20CTeSP</t>
  </si>
  <si>
    <t>https://www.google.com/search?q=site%3Aips.pt%20Servi%C3%A7o%20Familiar%20e%20Comunit%C3%A1rio%20CTeSP</t>
  </si>
  <si>
    <t>https://www.google.com/search?q=site%3Aips.pt%20Sistemas%20Eletr%C3%B3nicos%20e%20Computadores%20CTeSP</t>
  </si>
  <si>
    <t>https://www.google.com/search?q=site%3Aips.pt%20Tecnologia%20e%20Gest%C3%A3o%20Autom%C3%B3vel%20CTeSP</t>
  </si>
  <si>
    <t>Tecnologias Avançadas de Construção</t>
  </si>
  <si>
    <t>https://www.google.com/search?q=site%3Aips.pt%20Tecnologias%20Avan%C3%A7adas%20de%20Constru%C3%A7%C3%A3o%20CTeSP</t>
  </si>
  <si>
    <t>https://www.google.com/search?q=site%3Aips.pt%20Tecnologias%20Inform%C3%A1ticas%20CTeSP</t>
  </si>
  <si>
    <t>Tecnologias de Laboratório Químico e Biológico</t>
  </si>
  <si>
    <t>https://www.google.com/search?q=site%3Aips.pt%20Tecnologias%20de%20Laborat%C3%B3rio%20Qu%C3%ADmico%20e%20Biol%C3%B3gico%20CTeSP</t>
  </si>
  <si>
    <t>https://www.google.com/search?q=site%3Aips.pt%20Tecnologias%20e%20Programa%C3%A7%C3%A3o%20de%20Sistemas%20de%20Informa%C3%A7%C3%A3o%20CTeSP</t>
  </si>
  <si>
    <t>Topografia e Sistemas de Informação Geográfica</t>
  </si>
  <si>
    <t>https://www.google.com/search?q=site%3Aips.pt%20Topografia%20e%20Sistemas%20de%20Informa%C3%A7%C3%A3o%20Geogr%C3%A1fica%20CTeSP</t>
  </si>
  <si>
    <t>Veículos Elétricos</t>
  </si>
  <si>
    <t>https://www.google.com/search?q=site%3Aips.pt%20Ve%C3%ADculos%20El%C3%A9tricos%20CTeSP</t>
  </si>
  <si>
    <t>https://www.google.com/search?q=site%3Aips.pt%20Anima%C3%A7%C3%A3o%20Sociocultural%20licenciatura</t>
  </si>
  <si>
    <t>https://www.google.com/search?q=site%3Aips.pt%20Bioinform%C3%A1tica%20licenciatura</t>
  </si>
  <si>
    <t>https://www.google.com/search?q=site%3Aips.pt%20Biotecnologia%20licenciatura</t>
  </si>
  <si>
    <t>https://www.google.com/search?q=site%3Aips.pt%20Comunica%C3%A7%C3%A3o%20Social%20licenciatura</t>
  </si>
  <si>
    <t>https://www.google.com/search?q=site%3Aips.pt%20Contabilidade%20e%20Finan%C3%A7as%20licenciatura</t>
  </si>
  <si>
    <t>Contabilidade e Finanças - Regime Noturno</t>
  </si>
  <si>
    <t>https://www.google.com/search?q=site%3Aips.pt%20Contabilidade%20e%20Finan%C3%A7as%20-%20Regime%20Noturno%20licenciatura</t>
  </si>
  <si>
    <t>https://www.google.com/search?q=site%3Aips.pt%20Desporto%20licenciatura</t>
  </si>
  <si>
    <t>https://www.google.com/search?q=site%3Aips.pt%20Educa%C3%A7%C3%A3o%20B%C3%A1sica%20licenciatura</t>
  </si>
  <si>
    <t>Escola Superior de Saúde (ESS/IPS)</t>
  </si>
  <si>
    <t>https://www.google.com/search?q=site%3Aips.pt%20Enfermagem%20licenciatura</t>
  </si>
  <si>
    <t>https://www.google.com/search?q=site%3Aips.pt%20Engenharia%20Civil%20licenciatura</t>
  </si>
  <si>
    <t>Engenharia Civil (regime noturno)</t>
  </si>
  <si>
    <t>https://www.google.com/search?q=site%3Aips.pt%20Engenharia%20Civil%20%28regime%20noturno%29%20licenciatura</t>
  </si>
  <si>
    <t>https://www.google.com/search?q=site%3Aips.pt%20Engenharia%20Eletrot%C3%A9cnica%20e%20de%20Computadores%20licenciatura</t>
  </si>
  <si>
    <t>https://www.google.com/search?q=site%3Aips.pt%20Engenharia%20Inform%C3%A1tica%20licenciatura</t>
  </si>
  <si>
    <t>https://www.google.com/search?q=site%3Aips.pt%20Engenharia%20Mec%C3%A2nica%20licenciatura</t>
  </si>
  <si>
    <t>Engenharia de Automação, Controlo e Instrumentação</t>
  </si>
  <si>
    <t>https://www.google.com/search?q=site%3Aips.pt%20Engenharia%20de%20Automa%C3%A7%C3%A3o%2C%20Controlo%20e%20Instrumenta%C3%A7%C3%A3o%20licenciatura</t>
  </si>
  <si>
    <t>https://www.google.com/search?q=site%3Aips.pt%20Fisioterapia%20licenciatura</t>
  </si>
  <si>
    <t>Gestão da Distribuição e da Logística</t>
  </si>
  <si>
    <t>https://www.google.com/search?q=site%3Aips.pt%20Gest%C3%A3o%20da%20Distribui%C3%A7%C3%A3o%20e%20da%20Log%C3%ADstica%20licenciatura</t>
  </si>
  <si>
    <t>https://www.google.com/search?q=site%3Aips.pt%20Gest%C3%A3o%20de%20Recursos%20Humanos%20licenciatura</t>
  </si>
  <si>
    <t>https://www.google.com/search?q=site%3Aips.pt%20Gest%C3%A3o%20de%20Sistemas%20de%20Informa%C3%A7%C3%A3o%20licenciatura</t>
  </si>
  <si>
    <t>https://www.google.com/search?q=site%3Aips.pt%20Marketing%20licenciatura</t>
  </si>
  <si>
    <t>Escola Superior de Tecnologia de Setúbal (ESTSetúbal/IPS) (em articulação com ESS/IPS)</t>
  </si>
  <si>
    <t>https://www.google.com/search?q=site%3Aips.pt%20Tecnologia%20Biom%C3%A9dica%20licenciatura</t>
  </si>
  <si>
    <t>Tecnologia e Gestão Industrial (regime noturno)</t>
  </si>
  <si>
    <t>https://www.google.com/search?q=site%3Aips.pt%20Tecnologia%20e%20Gest%C3%A3o%20Industrial%20%28regime%20noturno%29%20licenciatura</t>
  </si>
  <si>
    <t>Tecnologias de Energia</t>
  </si>
  <si>
    <t>https://www.google.com/search?q=site%3Aips.pt%20Tecnologias%20de%20Energia%20licenciatura</t>
  </si>
  <si>
    <t>Tecnologias do Ambiente e do Mar</t>
  </si>
  <si>
    <t>https://www.google.com/search?q=site%3Aips.pt%20Tecnologias%20do%20Ambiente%20e%20do%20Mar%20licenciatura</t>
  </si>
  <si>
    <t>Tecnologias do Petróleo</t>
  </si>
  <si>
    <t>https://www.google.com/search?q=site%3Aips.pt%20Tecnologias%20do%20Petr%C3%B3leo%20licenciatura</t>
  </si>
  <si>
    <t>https://www.google.com/search?q=site%3Aips.pt%20Terapia%20da%20Fala%20licenciatura</t>
  </si>
  <si>
    <t>Tradução e Interpretação de Língua Gestual Portuguesa</t>
  </si>
  <si>
    <t>Aprendizagem de Línguas</t>
  </si>
  <si>
    <t>https://www.google.com/search?q=site%3Aips.pt%20Tradu%C3%A7%C3%A3o%20e%20Interpreta%C3%A7%C3%A3o%20de%20L%C3%ADngua%20Gestual%20Portuguesa%20licenciatura</t>
  </si>
  <si>
    <t>Administração Escolar e Políticas Educativas</t>
  </si>
  <si>
    <t>https://www.google.com/search?q=site%3Aips.pt%20Administra%C3%A7%C3%A3o%20Escolar%20e%20Pol%C3%ADticas%20Educativas%20mestrado</t>
  </si>
  <si>
    <t>Ciência de Dados para Empresas</t>
  </si>
  <si>
    <t>https://www.google.com/search?q=site%3Aips.pt%20Ci%C3%AAncia%20de%20Dados%20para%20Empresas%20mestrado</t>
  </si>
  <si>
    <t>Ciências Empresariais</t>
  </si>
  <si>
    <t>https://www.google.com/search?q=site%3Aips.pt%20Ci%C3%AAncias%20Empresariais%20mestrado</t>
  </si>
  <si>
    <t>Conservação e Reabilitação do Edificado</t>
  </si>
  <si>
    <t>https://www.google.com/search?q=site%3Aips.pt%20Conserva%C3%A7%C3%A3o%20e%20Reabilita%C3%A7%C3%A3o%20do%20Edificado%20mestrado</t>
  </si>
  <si>
    <t>https://www.google.com/search?q=site%3Aips.pt%20Contabilidade%20e%20Finan%C3%A7as%20mestrado</t>
  </si>
  <si>
    <t>https://www.google.com/search?q=site%3Aips.pt%20Educa%C3%A7%C3%A3o%20Pr%C3%A9-Escolar%20mestrado</t>
  </si>
  <si>
    <t>https://www.google.com/search?q=site%3Aips.pt%20Educa%C3%A7%C3%A3o%20Pr%C3%A9-Escolar%20e%20Ensino%20do%201.%C2%BA%20Ciclo%20do%20Ensino%20B%C3%A1sico%20mestrado</t>
  </si>
  <si>
    <t>Educação, Práticas Artísticas e Inclusão</t>
  </si>
  <si>
    <t>https://www.google.com/search?q=site%3Aips.pt%20Educa%C3%A7%C3%A3o%2C%20Pr%C3%A1ticas%20Art%C3%ADsticas%20e%20Inclus%C3%A3o%20mestrado</t>
  </si>
  <si>
    <t>Energia</t>
  </si>
  <si>
    <t>https://www.google.com/search?q=site%3Aips.pt%20Energia%20mestrado</t>
  </si>
  <si>
    <t>https://www.google.com/search?q=site%3Aips.pt%20Enfermagem%20mestrado</t>
  </si>
  <si>
    <t>Engenharia Biológica e Química</t>
  </si>
  <si>
    <t>https://www.google.com/search?q=site%3Aips.pt%20Engenharia%20Biol%C3%B3gica%20e%20Qu%C3%ADmica%20mestrado</t>
  </si>
  <si>
    <t>https://www.google.com/search?q=site%3Aips.pt%20Engenharia%20Biom%C3%A9dica%20mestrado</t>
  </si>
  <si>
    <t>https://www.google.com/search?q=site%3Aips.pt%20Engenharia%20Civil%20mestrado</t>
  </si>
  <si>
    <t>https://www.google.com/search?q=site%3Aips.pt%20Engenharia%20Eletrot%C3%A9cnica%20e%20de%20Computadores%20mestrado</t>
  </si>
  <si>
    <t>Engenharia de Produção</t>
  </si>
  <si>
    <t>https://www.google.com/search?q=site%3Aips.pt%20Engenharia%20de%20Produ%C3%A7%C3%A3o%20mestrado</t>
  </si>
  <si>
    <t>Engenharia de Software</t>
  </si>
  <si>
    <t>https://www.google.com/search?q=site%3Aips.pt%20Engenharia%20de%20Software%20mestrado</t>
  </si>
  <si>
    <t>Engenharia e Gestão de Aquacultura</t>
  </si>
  <si>
    <t>https://www.google.com/search?q=site%3Aips.pt%20Engenharia%20e%20Gest%C3%A3o%20de%20Aquacultura%20mestrado</t>
  </si>
  <si>
    <t>Engenharia e Gestão de Energia na Indústria e Edifícios</t>
  </si>
  <si>
    <t>https://www.google.com/search?q=site%3Aips.pt%20Engenharia%20e%20Gest%C3%A3o%20de%20Energia%20na%20Ind%C3%BAstria%20e%20Edif%C3%ADcios%20mestrado</t>
  </si>
  <si>
    <t>https://www.google.com/search?q=site%3Aips.pt%20Ensino%20do%201.%C2%BA%20Ciclo%20do%20Ensino%20B%C3%A1sico%20e%20de%20Matem%C3%A1tica%20e%20Ci%C3%AAncias%20Naturais%20no%202.%C2%BA%20Ciclo%20do%20Ensino%20B%C3%A1sico%20mestrado</t>
  </si>
  <si>
    <t>https://www.google.com/search?q=site%3Aips.pt%20Ensino%20do%201.%C2%BA%20Ciclo%20do%20Ensino%20B%C3%A1sico%20e%20de%20Portugu%C3%AAs%20e%20Hist%C3%B3ria%20e%20Geografia%20de%20Portugal%20no%202.%C2%BA%20Ciclo%20do%20Ensino%20B%C3%A1sico%20mestrado</t>
  </si>
  <si>
    <t>https://www.google.com/search?q=site%3Aips.pt%20Estudos%20em%20Enfermagem%20mestrado</t>
  </si>
  <si>
    <t>Fisioterapia em Condições Músculo-Esqueléticas</t>
  </si>
  <si>
    <t>https://www.google.com/search?q=site%3Aips.pt%20Fisioterapia%20em%20Condi%C3%A7%C3%B5es%20M%C3%BAsculo-Esquel%C3%A9ticas%20mestrado</t>
  </si>
  <si>
    <t>Fisioterapia no Desporto</t>
  </si>
  <si>
    <t>https://www.google.com/search?q=site%3Aips.pt%20Fisioterapia%20no%20Desporto%20mestrado</t>
  </si>
  <si>
    <t>Gestão Estratégica de Recursos Humanos</t>
  </si>
  <si>
    <t>https://www.google.com/search?q=site%3Aips.pt%20Gest%C3%A3o%20Estrat%C3%A9gica%20de%20Recursos%20Humanos%20mestrado</t>
  </si>
  <si>
    <t>https://www.google.com/search?q=site%3Aips.pt%20Gest%C3%A3o%20de%20Marketing%20mestrado</t>
  </si>
  <si>
    <t>https://www.google.com/search?q=site%3Aips.pt%20Gest%C3%A3o%20de%20Sistemas%20de%20Informa%C3%A7%C3%A3o%20mestrado</t>
  </si>
  <si>
    <t>Gestão em Hotelaria de Saúde e Bem-Estar</t>
  </si>
  <si>
    <t>https://www.google.com/search?q=site%3Aips.pt%20Gest%C3%A3o%20em%20Hotelaria%20de%20Sa%C3%BAde%20e%20Bem-Estar%20mestrado</t>
  </si>
  <si>
    <t>https://www.google.com/search?q=site%3Aips.pt%20Inform%C3%A1tica%20de%20Gest%C3%A3o%20mestrado</t>
  </si>
  <si>
    <t>Logística e Gestão da Cadeia de Abastecimento</t>
  </si>
  <si>
    <t>https://www.google.com/search?q=site%3Aips.pt%20Log%C3%ADstica%20e%20Gest%C3%A3o%20da%20Cadeia%20de%20Abastecimento%20mestrado</t>
  </si>
  <si>
    <t>Prática Avançada de Fisioterapia em Neurologia</t>
  </si>
  <si>
    <t>https://www.google.com/search?q=site%3Aips.pt%20Pr%C3%A1tica%20Avan%C3%A7ada%20de%20Fisioterapia%20em%20Neurologia%20mestrado</t>
  </si>
  <si>
    <t>https://www.google.com/search?q=site%3Aips.pt%20Seguran%C3%A7a%20e%20Higiene%20no%20Trabalho%20mestrado</t>
  </si>
  <si>
    <t>https://www.google.com/search?q=site%3Aips.pt%20Terapia%20da%20Fala%20mestrado</t>
  </si>
  <si>
    <t>Contabilidade Pública</t>
  </si>
  <si>
    <t>Escola Superior de Ciências Empresariais (ESCE)</t>
  </si>
  <si>
    <t>https://www.google.com/search?q=site%3Aips.pt%20Contabilidade%20P%C3%BAblica%20p%C3%B3s-gradua%C3%A7%C3%A3o</t>
  </si>
  <si>
    <t>Controlling</t>
  </si>
  <si>
    <t>https://www.google.com/search?q=site%3Aips.pt%20Controlling%20p%C3%B3s-gradua%C3%A7%C3%A3o</t>
  </si>
  <si>
    <t>Digital Supply Chain</t>
  </si>
  <si>
    <t>Escola Superior de Ciências Empresariais (ESCE) / Escola Superior de Tecnologia de Setúbal (ESTS)</t>
  </si>
  <si>
    <t>https://www.google.com/search?q=site%3Aips.pt%20Digital%20Supply%20Chain%20p%C3%B3s-gradua%C3%A7%C3%A3o</t>
  </si>
  <si>
    <t>Escola Superior de Educação (ESE)</t>
  </si>
  <si>
    <t>https://www.google.com/search?q=site%3Aips.pt%20Educa%C3%A7%C3%A3o%20Especial%20%E2%80%93%20Dom%C3%ADnio%20Cognitivo%20e%20Motor%20p%C3%B3s-gradua%C3%A7%C3%A3o</t>
  </si>
  <si>
    <t>Logística Marítima e Portuária</t>
  </si>
  <si>
    <t>https://www.google.com/search?q=site%3Aips.pt%20Log%C3%ADstica%20Mar%C3%ADtima%20e%20Portu%C3%A1ria%20p%C3%B3s-gradua%C3%A7%C3%A3o</t>
  </si>
  <si>
    <t>Negócios e Finanças Empresariais</t>
  </si>
  <si>
    <t>https://www.google.com/search?q=site%3Aips.pt%20Neg%C3%B3cios%20e%20Finan%C3%A7as%20Empresariais%20p%C3%B3s-gradua%C3%A7%C3%A3o</t>
  </si>
  <si>
    <t>Procurement</t>
  </si>
  <si>
    <t>https://www.google.com/search?q=site%3Aips.pt%20Procurement%20p%C3%B3s-gradua%C3%A7%C3%A3o</t>
  </si>
  <si>
    <t>12 meses (4 trimestres)</t>
  </si>
  <si>
    <t>SMART Transition in Tourism &amp; Hospitality Management</t>
  </si>
  <si>
    <t>https://www.google.com/search?q=site%3Aips.pt%20SMART%20Transition%20in%20Tourism%20%26%20Hospitality%20Management%20p%C3%B3s-gradua%C3%A7%C3%A3o</t>
  </si>
  <si>
    <t>Instituto Politécnico de Tomar</t>
  </si>
  <si>
    <t>Abrantes</t>
  </si>
  <si>
    <t>Administração de Bases de Dados</t>
  </si>
  <si>
    <t>Escola Superior de Tecnologia de Abrantes (ESTA‑IPT), Rua 17 de Agosto de 1808, 2200‑370 Abrantes</t>
  </si>
  <si>
    <t>https://www.google.com/search?q=site%3Aipt.pt%20Administra%C3%A7%C3%A3o%20de%20Bases%20de%20Dados%20CTeSP</t>
  </si>
  <si>
    <t>Animação e Modelação 3D e Jogos</t>
  </si>
  <si>
    <t>ESTA‑IPT, Rua 17 de Agosto de 1808, Abrantes</t>
  </si>
  <si>
    <t>https://www.google.com/search?q=site%3Aipt.pt%20Anima%C3%A7%C3%A3o%20e%20Modela%C3%A7%C3%A3o%203D%20e%20Jogos%20CTeSP</t>
  </si>
  <si>
    <t>Tomar</t>
  </si>
  <si>
    <t>Escola Superior de Tecnologia de Tomar (ESTT‑IPT), Quinta do Contador, Estrada da Serra, 2300‑313 Tomar</t>
  </si>
  <si>
    <t>https://www.google.com/search?q=site%3Aipt.pt%20An%C3%A1lises%20Laboratoriais%20CTeSP</t>
  </si>
  <si>
    <t>Arte e Técnica do Couro</t>
  </si>
  <si>
    <t>ESTT‑IPT, Quinta do Contador, Tomar</t>
  </si>
  <si>
    <t>https://www.google.com/search?q=site%3Aipt.pt%20Arte%20e%20T%C3%A9cnica%20do%20Couro%20CTeSP</t>
  </si>
  <si>
    <t>Artes para Jogos Digitais</t>
  </si>
  <si>
    <t>https://www.google.com/search?q=site%3Aipt.pt%20Artes%20para%20Jogos%20Digitais%20CTeSP</t>
  </si>
  <si>
    <t>https://www.google.com/search?q=site%3Aipt.pt%20Automa%C3%A7%C3%A3o%20Industrial%20CTeSP</t>
  </si>
  <si>
    <t>Conservação e Talhe de Pedra</t>
  </si>
  <si>
    <t>https://www.google.com/search?q=site%3Aipt.pt%20Conserva%C3%A7%C3%A3o%20e%20Talhe%20de%20Pedra%20CTeSP</t>
  </si>
  <si>
    <t>https://www.google.com/search?q=site%3Aipt.pt%20Constru%C3%A7%C3%A3o%20Civil%20CTeSP</t>
  </si>
  <si>
    <t>https://www.google.com/search?q=site%3Aipt.pt%20Constru%C3%A7%C3%A3o%20e%20Reabilita%C3%A7%C3%A3o%20CTeSP</t>
  </si>
  <si>
    <t>Escola Superior de Gestão de Tomar (ESGT‑IPT), Estrada da Serra – Quinta do Contador, 2300‑313 Tomar</t>
  </si>
  <si>
    <t>https://www.google.com/search?q=site%3Aipt.pt%20Contabilidade%20e%20Fiscalidade%20CTeSP</t>
  </si>
  <si>
    <t>ESGT‑IPT, Quinta do Contador, Tomar</t>
  </si>
  <si>
    <t>https://www.google.com/search?q=site%3Aipt.pt%20Contabilidade%20e%20Gest%C3%A3o%20CTeSP</t>
  </si>
  <si>
    <t>Desenho Tecnológico</t>
  </si>
  <si>
    <t>https://www.google.com/search?q=site%3Aipt.pt%20Desenho%20Tecnol%C3%B3gico%20CTeSP</t>
  </si>
  <si>
    <t>Desenho e Fabrico de Construções Mecânicas</t>
  </si>
  <si>
    <t>https://www.google.com/search?q=site%3Aipt.pt%20Desenho%20e%20Fabrico%20de%20Constru%C3%A7%C3%B5es%20Mec%C3%A2nicas%20CTeSP</t>
  </si>
  <si>
    <t>https://www.google.com/search?q=site%3Aipt.pt%20Desenvolvimento%20de%20Jogos%20Digitais%20CTeSP</t>
  </si>
  <si>
    <t>Design Multimédia</t>
  </si>
  <si>
    <t>https://www.google.com/search?q=site%3Aipt.pt%20Design%20Multim%C3%A9dia%20CTeSP</t>
  </si>
  <si>
    <t>Design e Desenvolvimento do Produto</t>
  </si>
  <si>
    <t>https://www.google.com/search?q=site%3Aipt.pt%20Design%20e%20Desenvolvimento%20do%20Produto%20CTeSP</t>
  </si>
  <si>
    <t>https://www.google.com/search?q=site%3Aipt.pt%20Energias%20Renov%C3%A1veis%20CTeSP</t>
  </si>
  <si>
    <t>https://www.google.com/search?q=site%3Aipt.pt%20Gest%C3%A3o%20Administrativa%20de%20Recursos%20Humanos%20CTeSP</t>
  </si>
  <si>
    <t>https://www.google.com/search?q=site%3Aipt.pt%20Gest%C3%A3o%20Comercial%20e%20Vendas%20CTeSP</t>
  </si>
  <si>
    <t>Gestão Pública e Social</t>
  </si>
  <si>
    <t>https://www.google.com/search?q=site%3Aipt.pt%20Gest%C3%A3o%20P%C3%BAblica%20e%20Social%20CTeSP</t>
  </si>
  <si>
    <t>https://www.google.com/search?q=site%3Aipt.pt%20Gest%C3%A3o%20de%20Turismo%20CTeSP</t>
  </si>
  <si>
    <t>Ilustração</t>
  </si>
  <si>
    <t>https://www.google.com/search?q=site%3Aipt.pt%20Ilustra%C3%A7%C3%A3o%20CTeSP</t>
  </si>
  <si>
    <t>https://www.google.com/search?q=site%3Aipt.pt%20Inform%C3%A1tica%20CTeSP</t>
  </si>
  <si>
    <t>https://www.google.com/search?q=site%3Aipt.pt%20Inform%C3%A1tica%20de%20Gest%C3%A3o%20CTeSP</t>
  </si>
  <si>
    <t>https://www.google.com/search?q=site%3Aipt.pt%20Instala%C3%A7%C3%B5es%20El%C3%A9tricas%20e%20Manuten%C3%A7%C3%A3o%20Industrial%20CTeSP</t>
  </si>
  <si>
    <t>Manutenção de Sistemas Mecatrónicos</t>
  </si>
  <si>
    <t>https://www.google.com/search?q=site%3Aipt.pt%20Manuten%C3%A7%C3%A3o%20de%20Sistemas%20Mecatr%C3%B3nicos%20CTeSP</t>
  </si>
  <si>
    <t>Manutenção e Reabilitação de Sistemas Ferroviários</t>
  </si>
  <si>
    <t>https://www.google.com/search?q=site%3Aipt.pt%20Manuten%C3%A7%C3%A3o%20e%20Reabilita%C3%A7%C3%A3o%20de%20Sistemas%20Ferrovi%C3%A1rios%20CTeSP</t>
  </si>
  <si>
    <t>https://www.google.com/search?q=site%3Aipt.pt%20Marketing%20Digital%20CTeSP</t>
  </si>
  <si>
    <t>Produção Artística para a Conservação e Restauro</t>
  </si>
  <si>
    <t>https://www.google.com/search?q=site%3Aipt.pt%20Produ%C3%A7%C3%A3o%20Art%C3%ADstica%20para%20a%20Conserva%C3%A7%C3%A3o%20e%20Restauro%20CTeSP</t>
  </si>
  <si>
    <t>Produção de Atividades para o Turismo Cultural</t>
  </si>
  <si>
    <t>https://www.google.com/search?q=site%3Aipt.pt%20Produ%C3%A7%C3%A3o%20de%20Atividades%20para%20o%20Turismo%20Cultural%20CTeSP</t>
  </si>
  <si>
    <t>Produção de Conteúdos Digitais</t>
  </si>
  <si>
    <t>https://www.google.com/search?q=site%3Aipt.pt%20Produ%C3%A7%C3%A3o%20de%20Conte%C3%BAdos%20Digitais%20CTeSP</t>
  </si>
  <si>
    <t>https://www.google.com/search?q=site%3Aipt.pt%20Qualidade%20Alimentar%20CTeSP</t>
  </si>
  <si>
    <t>Qualidade Ambiental</t>
  </si>
  <si>
    <t>https://www.google.com/search?q=site%3Aipt.pt%20Qualidade%20Ambiental%20CTeSP</t>
  </si>
  <si>
    <t>Realização e Produção Televisiva</t>
  </si>
  <si>
    <t>https://www.google.com/search?q=site%3Aipt.pt%20Realiza%C3%A7%C3%A3o%20e%20Produ%C3%A7%C3%A3o%20Televisiva%20CTeSP</t>
  </si>
  <si>
    <t>https://www.google.com/search?q=site%3Aipt.pt%20Seguran%C3%A7a%20e%20Prote%C3%A7%C3%A3o%20Civil%20CTeSP</t>
  </si>
  <si>
    <t>https://www.google.com/search?q=site%3Aipt.pt%20Som%20e%20Imagem%20CTeSP</t>
  </si>
  <si>
    <t>Tecnologia de Bioprocessos</t>
  </si>
  <si>
    <t>https://www.google.com/search?q=site%3Aipt.pt%20Tecnologia%20de%20Bioprocessos%20CTeSP</t>
  </si>
  <si>
    <t>Tecnologia e Produção nas Artes do Espetáculo</t>
  </si>
  <si>
    <t>https://www.google.com/search?q=site%3Aipt.pt%20Tecnologia%20e%20Produ%C3%A7%C3%A3o%20nas%20Artes%20do%20Espet%C3%A1culo%20CTeSP</t>
  </si>
  <si>
    <t>ESTT‑IPT, Quinta do Contador, Tomar (em articulação com ESDRM)</t>
  </si>
  <si>
    <t>https://www.google.com/search?q=site%3Aipt.pt%20Tecnologia%20no%20Desporto%20CTeSP</t>
  </si>
  <si>
    <t>Tecnologias Integradas de Produção Industrial</t>
  </si>
  <si>
    <t>https://www.google.com/search?q=site%3Aipt.pt%20Tecnologias%20Integradas%20de%20Produ%C3%A7%C3%A3o%20Industrial%20CTeSP</t>
  </si>
  <si>
    <t>https://www.google.com/search?q=site%3Aipt.pt%20Tecnologias%20e%20Programa%C3%A7%C3%A3o%20de%20Sistemas%20de%20Informa%C3%A7%C3%A3o%20CTeSP</t>
  </si>
  <si>
    <t>Web e Dispositivos Móveis</t>
  </si>
  <si>
    <t>https://www.google.com/search?q=site%3Aipt.pt%20Web%20e%20Dispositivos%20M%C3%B3veis%20CTeSP</t>
  </si>
  <si>
    <t>Cinema Documental (Vídeo e Cinema Documental)</t>
  </si>
  <si>
    <t>https://www.google.com/search?q=site%3Aipt.pt%20Cinema%20Documental%20%28V%C3%ADdeo%20e%20Cinema%20Documental%29%20licenciatura</t>
  </si>
  <si>
    <t>Cinema e Média Digitais</t>
  </si>
  <si>
    <t>https://www.google.com/search?q=site%3Aipt.pt%20Cinema%20e%20M%C3%A9dia%20Digitais%20licenciatura</t>
  </si>
  <si>
    <t>Computação e Logística</t>
  </si>
  <si>
    <t>https://www.google.com/search?q=site%3Aipt.pt%20Computa%C3%A7%C3%A3o%20e%20Log%C3%ADstica%20licenciatura</t>
  </si>
  <si>
    <t>Comunicação Social: Jornalismo e Comunicação Empresarial</t>
  </si>
  <si>
    <t>https://www.google.com/search?q=site%3Aipt.pt%20Comunica%C3%A7%C3%A3o%20Social%3A%20Jornalismo%20e%20Comunica%C3%A7%C3%A3o%20Empresarial%20licenciatura</t>
  </si>
  <si>
    <t>Conservação e Restauro</t>
  </si>
  <si>
    <t>https://www.google.com/search?q=site%3Aipt.pt%20Conserva%C3%A7%C3%A3o%20e%20Restauro%20licenciatura</t>
  </si>
  <si>
    <t>Escola Superior de Gestão de Tomar (ESGT‑IPT), Estrada da Serra, Quinta do Contador, 2300‑313 Tomar</t>
  </si>
  <si>
    <t>https://www.google.com/search?q=site%3Aipt.pt%20Contabilidade%20licenciatura</t>
  </si>
  <si>
    <t>Design e Tecnologia das Artes Gráficas</t>
  </si>
  <si>
    <t>https://www.google.com/search?q=site%3Aipt.pt%20Design%20e%20Tecnologia%20das%20Artes%20Gr%C3%A1ficas%20licenciatura</t>
  </si>
  <si>
    <t>https://www.google.com/search?q=site%3Aipt.pt%20Engenharia%20Civil%20licenciatura</t>
  </si>
  <si>
    <t>https://www.google.com/search?q=site%3Aipt.pt%20Engenharia%20Eletrot%C3%A9cnica%20e%20de%20Computadores%20licenciatura</t>
  </si>
  <si>
    <t>https://www.google.com/search?q=site%3Aipt.pt%20Engenharia%20Inform%C3%A1tica%20licenciatura</t>
  </si>
  <si>
    <t>https://www.google.com/search?q=site%3Aipt.pt%20Engenharia%20Mec%C3%A2nica%20licenciatura</t>
  </si>
  <si>
    <t>Fotografia</t>
  </si>
  <si>
    <t>https://www.google.com/search?q=site%3Aipt.pt%20Fotografia%20licenciatura</t>
  </si>
  <si>
    <t>Gestão da Edificação e Obras</t>
  </si>
  <si>
    <t>https://www.google.com/search?q=site%3Aipt.pt%20Gest%C3%A3o%20da%20Edifica%C3%A7%C3%A3o%20e%20Obras%20licenciatura</t>
  </si>
  <si>
    <t>https://www.google.com/search?q=site%3Aipt.pt%20Gest%C3%A3o%20de%20Empresas%20licenciatura</t>
  </si>
  <si>
    <t>Gestão de Recursos Humanos e Comportamento Organizacional</t>
  </si>
  <si>
    <t>https://www.google.com/search?q=site%3Aipt.pt%20Gest%C3%A3o%20de%20Recursos%20Humanos%20e%20Comportamento%20Organizacional%20licenciatura</t>
  </si>
  <si>
    <t>Informática e Tecnologias Multimédia</t>
  </si>
  <si>
    <t>https://www.google.com/search?q=site%3Aipt.pt%20Inform%C3%A1tica%20e%20Tecnologias%20Multim%C3%A9dia%20licenciatura</t>
  </si>
  <si>
    <t>Tecnologia Química</t>
  </si>
  <si>
    <t>https://www.google.com/search?q=site%3Aipt.pt%20Tecnologia%20Qu%C3%ADmica%20licenciatura</t>
  </si>
  <si>
    <t>Tecnologias da Produção e Comunicação Artísticas</t>
  </si>
  <si>
    <t>https://www.google.com/search?q=site%3Aipt.pt%20Tecnologias%20da%20Produ%C3%A7%C3%A3o%20e%20Comunica%C3%A7%C3%A3o%20Art%C3%ADsticas%20licenciatura</t>
  </si>
  <si>
    <t>Turismo e Gestão do Património Cultural</t>
  </si>
  <si>
    <t>https://www.google.com/search?q=site%3Aipt.pt%20Turismo%20e%20Gest%C3%A3o%20do%20Patrim%C3%B3nio%20Cultural%20licenciatura</t>
  </si>
  <si>
    <t>Analítica e Inteligência Organizacional</t>
  </si>
  <si>
    <t>https://www.google.com/search?q=site%3Aipt.pt%20Anal%C3%ADtica%20e%20Intelig%C3%AAncia%20Organizacional%20mestrado</t>
  </si>
  <si>
    <t>Arqueologia Pré‑Histórica e Arte Rupestre</t>
  </si>
  <si>
    <t>ESTT‑IPT, Quinta do Contador, Tomar, em parceria com centros de investigação em arqueologia</t>
  </si>
  <si>
    <t>https://www.google.com/search?q=site%3Aipt.pt%20Arqueologia%20Pr%C3%A9%E2%80%91Hist%C3%B3rica%20e%20Arte%20Rupestre%20mestrado</t>
  </si>
  <si>
    <t>Auditoria e Finanças</t>
  </si>
  <si>
    <t>Escola Superior de Gestão de Tomar (ESGT‑IPT), Quinta do Contador, Estrada da Serra, 2300‑313 Tomar</t>
  </si>
  <si>
    <t>https://www.google.com/search?q=site%3Aipt.pt%20Auditoria%20e%20Finan%C3%A7as%20mestrado</t>
  </si>
  <si>
    <t>Avaliação e Gestão de Ativos Imobiliários</t>
  </si>
  <si>
    <t>https://www.google.com/search?q=site%3Aipt.pt%20Avalia%C3%A7%C3%A3o%20e%20Gest%C3%A3o%20de%20Ativos%20Imobili%C3%A1rios%20mestrado</t>
  </si>
  <si>
    <t>https://www.google.com/search?q=site%3Aipt.pt%20Conserva%C3%A7%C3%A3o%20e%20Restauro%20mestrado</t>
  </si>
  <si>
    <t>Design Editorial</t>
  </si>
  <si>
    <t>https://www.google.com/search?q=site%3Aipt.pt%20Design%20Editorial%20mestrado</t>
  </si>
  <si>
    <t>Documentário e Reportagem</t>
  </si>
  <si>
    <t>https://www.google.com/search?q=site%3Aipt.pt%20Document%C3%A1rio%20e%20Reportagem%20mestrado</t>
  </si>
  <si>
    <t>https://www.google.com/search?q=site%3Aipt.pt%20Engenharia%20Eletrot%C3%A9cnica%20mestrado</t>
  </si>
  <si>
    <t>Engenharia Informática – Internet das Coisas</t>
  </si>
  <si>
    <t>https://www.google.com/search?q=site%3Aipt.pt%20Engenharia%20Inform%C3%A1tica%20%E2%80%93%20Internet%20das%20Coisas%20mestrado</t>
  </si>
  <si>
    <t>Engenharia Mecânica – Projeto e Produção Mecânica</t>
  </si>
  <si>
    <t>https://www.google.com/search?q=site%3Aipt.pt%20Engenharia%20Mec%C3%A2nica%20%E2%80%93%20Projeto%20e%20Produ%C3%A7%C3%A3o%20Mec%C3%A2nica%20mestrado</t>
  </si>
  <si>
    <t>https://www.google.com/search?q=site%3Aipt.pt%20Gest%C3%A3o%20mestrado</t>
  </si>
  <si>
    <t>Gestão de Empresas Familiares e Empreendedorismo</t>
  </si>
  <si>
    <t>https://www.google.com/search?q=site%3Aipt.pt%20Gest%C3%A3o%20de%20Empresas%20Familiares%20e%20Empreendedorismo%20mestrado</t>
  </si>
  <si>
    <t>https://www.google.com/search?q=site%3Aipt.pt%20Gest%C3%A3o%20de%20Recursos%20Humanos%20mestrado</t>
  </si>
  <si>
    <t>Gestão de Recursos de Saúde</t>
  </si>
  <si>
    <t>https://www.google.com/search?q=site%3Aipt.pt%20Gest%C3%A3o%20de%20Recursos%20de%20Sa%C3%BAde%20mestrado</t>
  </si>
  <si>
    <t>https://www.google.com/search?q=site%3Aipt.pt%20Produ%C3%A7%C3%A3o%20de%20Conte%C3%BAdos%20Digitais%20mestrado</t>
  </si>
  <si>
    <t>Reabilitação Urbana</t>
  </si>
  <si>
    <t>https://www.google.com/search?q=site%3Aipt.pt%20Reabilita%C3%A7%C3%A3o%20Urbana%20mestrado</t>
  </si>
  <si>
    <t>https://www.google.com/search?q=site%3Aipt.pt%20Tecnologia%20Qu%C3%ADmica%20mestrado</t>
  </si>
  <si>
    <t>Tecnologias e Produção de Conteúdos Digitais</t>
  </si>
  <si>
    <t>https://www.google.com/search?q=site%3Aipt.pt%20Tecnologias%20e%20Produ%C3%A7%C3%A3o%20de%20Conte%C3%BAdos%20Digitais%20mestrado</t>
  </si>
  <si>
    <t>Turismo de Experiências</t>
  </si>
  <si>
    <t>https://www.google.com/search?q=site%3Aipt.pt%20Turismo%20de%20Experi%C3%AAncias%20mestrado</t>
  </si>
  <si>
    <t>Técnicas de Arqueologia</t>
  </si>
  <si>
    <t>https://www.google.com/search?q=site%3Aipt.pt%20T%C3%A9cnicas%20de%20Arqueologia%20mestrado</t>
  </si>
  <si>
    <t>Arqueologia Subaquática</t>
  </si>
  <si>
    <t>ESTT – Escola Superior de Tecnologia de Tomar</t>
  </si>
  <si>
    <t>https://www.google.com/search?q=site%3Aipt.pt%20Arqueologia%20Subaqu%C3%A1tica%20p%C3%B3s-gradua%C3%A7%C3%A3o</t>
  </si>
  <si>
    <t>Arqueologia, Gestão e Educação Patrimonial</t>
  </si>
  <si>
    <t>https://www.google.com/search?q=site%3Aipt.pt%20Arqueologia%2C%20Gest%C3%A3o%20e%20Educa%C3%A7%C3%A3o%20Patrimonial%20p%C3%B3s-gradua%C3%A7%C3%A3o</t>
  </si>
  <si>
    <t>1 ano; créditos não especificados na ficha pública (modelo 2 semestres)</t>
  </si>
  <si>
    <t>Comunicação de Emergência</t>
  </si>
  <si>
    <t>ESTA – Escola Superior de Tecnologia de Abrantes</t>
  </si>
  <si>
    <t>https://www.google.com/search?q=site%3Aipt.pt%20Comunica%C3%A7%C3%A3o%20de%20Emerg%C3%AAncia%20p%C3%B3s-gradua%C3%A7%C3%A3o</t>
  </si>
  <si>
    <t>Inovação e Transformação Digital nas Organizações</t>
  </si>
  <si>
    <t>ESGT – Escola Superior de Gestão de Tomar</t>
  </si>
  <si>
    <t>https://www.google.com/search?q=site%3Aipt.pt%20Inova%C3%A7%C3%A3o%20e%20Transforma%C3%A7%C3%A3o%20Digital%20nas%20Organiza%C3%A7%C3%B5es%20p%C3%B3s-gradua%C3%A7%C3%A3o</t>
  </si>
  <si>
    <t>Jornalismo Digital de Proximidade</t>
  </si>
  <si>
    <t>https://www.google.com/search?q=site%3Aipt.pt%20Jornalismo%20Digital%20de%20Proximidade%20p%C3%B3s-gradua%C3%A7%C3%A3o</t>
  </si>
  <si>
    <t>Marketing Digital, Inteligência Artificial e Projetos Digitais</t>
  </si>
  <si>
    <t>https://www.google.com/search?q=site%3Aipt.pt%20Marketing%20Digital%2C%20Intelig%C3%AAncia%20Artificial%20e%20Projetos%20Digitais%20p%C3%B3s-gradua%C3%A7%C3%A3o</t>
  </si>
  <si>
    <t>180 h; 2.ª edição em 2026; 100% online; decorre de fevereiro a maio 2026</t>
  </si>
  <si>
    <t>Produção Industrial</t>
  </si>
  <si>
    <t>https://www.google.com/search?q=site%3Aipt.pt%20Produ%C3%A7%C3%A3o%20Industrial%20p%C3%B3s-gradua%C3%A7%C3%A3o</t>
  </si>
  <si>
    <t>Sistemas de Gestão Empresarial – SAP</t>
  </si>
  <si>
    <t>https://www.google.com/search?q=site%3Aipt.pt%20Sistemas%20de%20Gest%C3%A3o%20Empresarial%20%E2%80%93%20SAP%20p%C3%B3s-gradua%C3%A7%C3%A3o</t>
  </si>
  <si>
    <t>Território e Proteção Civil</t>
  </si>
  <si>
    <t>https://www.google.com/search?q=site%3Aipt.pt%20Territ%C3%B3rio%20e%20Prote%C3%A7%C3%A3o%20Civil%20p%C3%B3s-gradua%C3%A7%C3%A3o</t>
  </si>
  <si>
    <t>Turismo e Marketing Digital</t>
  </si>
  <si>
    <t>https://www.google.com/search?q=site%3Aipt.pt%20Turismo%20e%20Marketing%20Digital%20p%C3%B3s-gradua%C3%A7%C3%A3o</t>
  </si>
  <si>
    <t>0,8 ano(s) (51 ECTS)</t>
  </si>
  <si>
    <t>Instituto Politécnico de Viana do Castelo</t>
  </si>
  <si>
    <t>Viana do Castelo</t>
  </si>
  <si>
    <t>Alimentação e Restauração Coletiva</t>
  </si>
  <si>
    <t>Escola Superior de Tecnologia e Gestão (ESTG‑IPVC)</t>
  </si>
  <si>
    <t>https://www.google.com/search?q=site%3Aipvc.pt%20Alimenta%C3%A7%C3%A3o%20e%20Restaura%C3%A7%C3%A3o%20Coletiva%20CTeSP</t>
  </si>
  <si>
    <t>Ponte de Lima</t>
  </si>
  <si>
    <t>Análises e Gestão Laboratorial</t>
  </si>
  <si>
    <t>Escola Superior Agrária (ESA‑IPVC), Campus de Refóios do Lima</t>
  </si>
  <si>
    <t>https://www.google.com/search?q=site%3Aipvc.pt%20An%C3%A1lises%20e%20Gest%C3%A3o%20Laboratorial%20CTeSP</t>
  </si>
  <si>
    <t>Arte e Fabricação Digital</t>
  </si>
  <si>
    <t>Escola Superior de Educação (ESE‑IPVC), Viana do Castelo</t>
  </si>
  <si>
    <t>https://www.google.com/search?q=site%3Aipvc.pt%20Arte%20e%20Fabrica%C3%A7%C3%A3o%20Digital%20CTeSP</t>
  </si>
  <si>
    <t>Artes e Tecnologia</t>
  </si>
  <si>
    <t>https://www.google.com/search?q=site%3Aipvc.pt%20Artes%20e%20Tecnologia%20CTeSP</t>
  </si>
  <si>
    <t>ESTG‑IPVC, Viana do Castelo</t>
  </si>
  <si>
    <t>https://www.google.com/search?q=site%3Aipvc.pt%20Constru%C3%A7%C3%A3o%20e%20Reabilita%C3%A7%C3%A3o%20CTeSP</t>
  </si>
  <si>
    <t>Valença</t>
  </si>
  <si>
    <t>Contabilidade e Gestão para PME</t>
  </si>
  <si>
    <t>Escola Superior de Ciências Empresariais (ESCE‑IPVC), Valença</t>
  </si>
  <si>
    <t>https://www.google.com/search?q=site%3Aipvc.pt%20Contabilidade%20e%20Gest%C3%A3o%20para%20PME%20CTeSP</t>
  </si>
  <si>
    <t>https://www.google.com/search?q=site%3Aipvc.pt%20Cuidados%20Veterin%C3%A1rios%20CTeSP</t>
  </si>
  <si>
    <t>https://www.google.com/search?q=site%3Aipvc.pt%20Desenvolvimento%20Web%20e%20Multim%C3%A9dia%20CTeSP</t>
  </si>
  <si>
    <t>Design de Comunicação Digital</t>
  </si>
  <si>
    <t>https://www.google.com/search?q=site%3Aipvc.pt%20Design%20de%20Comunica%C3%A7%C3%A3o%20Digital%20CTeSP</t>
  </si>
  <si>
    <t>Eficiência Energética nos Edifícios</t>
  </si>
  <si>
    <t>https://www.google.com/search?q=site%3Aipvc.pt%20Efici%C3%AAncia%20Energ%C3%A9tica%20nos%20Edif%C3%ADcios%20CTeSP</t>
  </si>
  <si>
    <t>Fruticultura, Viticultura e Enologia</t>
  </si>
  <si>
    <t>https://www.google.com/search?q=site%3Aipvc.pt%20Fruticultura%2C%20Viticultura%20e%20Enologia%20CTeSP</t>
  </si>
  <si>
    <t>Geoinformática e Gestão de Recursos Naturais</t>
  </si>
  <si>
    <t>https://www.google.com/search?q=site%3Aipvc.pt%20Geoinform%C3%A1tica%20e%20Gest%C3%A3o%20de%20Recursos%20Naturais%20CTeSP</t>
  </si>
  <si>
    <t>https://www.google.com/search?q=site%3Aipvc.pt%20Gest%C3%A3o%20Hoteleira%20CTeSP</t>
  </si>
  <si>
    <t>https://www.google.com/search?q=site%3Aipvc.pt%20Gest%C3%A3o%20Industrial%20CTeSP</t>
  </si>
  <si>
    <t>https://www.google.com/search?q=site%3Aipvc.pt%20Gest%C3%A3o%20de%20Empresas%20Agr%C3%ADcolas%20CTeSP</t>
  </si>
  <si>
    <t>https://www.google.com/search?q=site%3Aipvc.pt%20Gest%C3%A3o%20de%20PME%20CTeSP</t>
  </si>
  <si>
    <t>Gestão e Melhoria Contínua nas Empresas</t>
  </si>
  <si>
    <t>https://www.google.com/search?q=site%3Aipvc.pt%20Gest%C3%A3o%20e%20Melhoria%20Cont%C3%ADnua%20nas%20Empresas%20CTeSP</t>
  </si>
  <si>
    <t>Gestão e Qualidade Ambiental</t>
  </si>
  <si>
    <t>https://www.google.com/search?q=site%3Aipvc.pt%20Gest%C3%A3o%20e%20Qualidade%20Ambiental%20CTeSP</t>
  </si>
  <si>
    <t>https://www.google.com/search?q=site%3Aipvc.pt%20Ilustra%C3%A7%C3%A3o%20e%20Produ%C3%A7%C3%A3o%20Gr%C3%A1fica%20CTeSP</t>
  </si>
  <si>
    <t>Impressão 3D e Maquinação Automática</t>
  </si>
  <si>
    <t>https://www.google.com/search?q=site%3Aipvc.pt%20Impress%C3%A3o%203D%20e%20Maquina%C3%A7%C3%A3o%20Autom%C3%A1tica%20CTeSP</t>
  </si>
  <si>
    <t>Indústrias Biotecnológicas</t>
  </si>
  <si>
    <t>https://www.google.com/search?q=site%3Aipvc.pt%20Ind%C3%BAstrias%20Biotecnol%C3%B3gicas%20CTeSP</t>
  </si>
  <si>
    <t>https://www.google.com/search?q=site%3Aipvc.pt%20Inform%C3%A1tica%20de%20Gest%C3%A3o%20CTeSP</t>
  </si>
  <si>
    <t>Intervenção Educativa em Creche</t>
  </si>
  <si>
    <t>https://www.google.com/search?q=site%3Aipvc.pt%20Interven%C3%A7%C3%A3o%20Educativa%20em%20Creche%20CTeSP</t>
  </si>
  <si>
    <t>Intervenção Sociocomunitária e Envelhecimento</t>
  </si>
  <si>
    <t>https://www.google.com/search?q=site%3Aipvc.pt%20Interven%C3%A7%C3%A3o%20Sociocomunit%C3%A1ria%20e%20Envelhecimento%20CTeSP</t>
  </si>
  <si>
    <t>Manutenção Mecânica</t>
  </si>
  <si>
    <t>https://www.google.com/search?q=site%3Aipvc.pt%20Manuten%C3%A7%C3%A3o%20Mec%C3%A2nica%20CTeSP</t>
  </si>
  <si>
    <t>Marketing Agroalimentar</t>
  </si>
  <si>
    <t>https://www.google.com/search?q=site%3Aipvc.pt%20Marketing%20Agroalimentar%20CTeSP</t>
  </si>
  <si>
    <t>Marketing Digital e E‑commerce</t>
  </si>
  <si>
    <t>https://www.google.com/search?q=site%3Aipvc.pt%20Marketing%20Digital%20e%20E%E2%80%91commerce%20CTeSP</t>
  </si>
  <si>
    <t>Mecanização e Automação Agrícola</t>
  </si>
  <si>
    <t>https://www.google.com/search?q=site%3Aipvc.pt%20Mecaniza%C3%A7%C3%A3o%20e%20Automa%C3%A7%C3%A3o%20Agr%C3%ADcola%20CTeSP</t>
  </si>
  <si>
    <t>Mecatrónica</t>
  </si>
  <si>
    <t>https://www.google.com/search?q=site%3Aipvc.pt%20Mecatr%C3%B3nica%20CTeSP</t>
  </si>
  <si>
    <t>Mecânica Automóvel</t>
  </si>
  <si>
    <t>https://www.google.com/search?q=site%3Aipvc.pt%20Mec%C3%A2nica%20Autom%C3%B3vel%20CTeSP</t>
  </si>
  <si>
    <t>Modelação e Gestão de Informação em Edifícios</t>
  </si>
  <si>
    <t>https://www.google.com/search?q=site%3Aipvc.pt%20Modela%C3%A7%C3%A3o%20e%20Gest%C3%A3o%20de%20Informa%C3%A7%C3%A3o%20em%20Edif%C3%ADcios%20CTeSP</t>
  </si>
  <si>
    <t>https://www.google.com/search?q=site%3Aipvc.pt%20Neg%C3%B3cios%20Digitais%20CTeSP</t>
  </si>
  <si>
    <t>Organização e Controlo Industrial</t>
  </si>
  <si>
    <t>https://www.google.com/search?q=site%3Aipvc.pt%20Organiza%C3%A7%C3%A3o%20e%20Controlo%20Industrial%20CTeSP</t>
  </si>
  <si>
    <t>https://www.google.com/search?q=site%3Aipvc.pt%20Processo%20Industrial%20CTeSP</t>
  </si>
  <si>
    <t>https://www.google.com/search?q=site%3Aipvc.pt%20Qualidade%20Alimentar%20CTeSP</t>
  </si>
  <si>
    <t>https://www.google.com/search?q=site%3Aipvc.pt%20Redes%20e%20Sistemas%20Inform%C3%A1ticos%20CTeSP</t>
  </si>
  <si>
    <t>Regeneração Urbana</t>
  </si>
  <si>
    <t>https://www.google.com/search?q=site%3Aipvc.pt%20Regenera%C3%A7%C3%A3o%20Urbana%20CTeSP</t>
  </si>
  <si>
    <t>https://www.google.com/search?q=site%3Aipvc.pt%20Riscos%20e%20Prote%C3%A7%C3%A3o%20Civil%20CTeSP</t>
  </si>
  <si>
    <t>Serviços Educativos e Património Local</t>
  </si>
  <si>
    <t>https://www.google.com/search?q=site%3Aipvc.pt%20Servi%C3%A7os%20Educativos%20e%20Patrim%C3%B3nio%20Local%20CTeSP</t>
  </si>
  <si>
    <t>https://www.google.com/search?q=site%3Aipvc.pt%20Sistemas%20Eletr%C3%B3nicos%20e%20Computadores%20CTeSP</t>
  </si>
  <si>
    <t>Sistemas Elétricos de Energia</t>
  </si>
  <si>
    <t>https://www.google.com/search?q=site%3Aipvc.pt%20Sistemas%20El%C3%A9tricos%20de%20Energia%20CTeSP</t>
  </si>
  <si>
    <t>https://www.google.com/search?q=site%3Aipvc.pt%20Tecnologias%20e%20Programa%C3%A7%C3%A3o%20de%20Sistemas%20de%20Informa%C3%A7%C3%A3o%20CTeSP</t>
  </si>
  <si>
    <t>Escola Superior de Saúde (ESS‑IPVC), Rua D. Moisés Alves de Pinho, Viana do Castelo</t>
  </si>
  <si>
    <t>https://www.google.com/search?q=site%3Aipvc.pt%20Termalismo%20e%20Bem-Estar%20CTeSP</t>
  </si>
  <si>
    <t>Trabalhos em Altura e Acesso por Cordas</t>
  </si>
  <si>
    <t>https://www.google.com/search?q=site%3Aipvc.pt%20Trabalhos%20em%20Altura%20e%20Acesso%20por%20Cordas%20CTeSP</t>
  </si>
  <si>
    <t>https://www.google.com/search?q=site%3Aipvc.pt%20Transportes%20e%20Log%C3%ADstica%20CTeSP</t>
  </si>
  <si>
    <t>Melgaço</t>
  </si>
  <si>
    <t>Escola Superior de Desporto e Lazer (ESDL‑IPVC), Melgaço</t>
  </si>
  <si>
    <t>https://www.google.com/search?q=site%3Aipvc.pt%20Treino%20Desportivo%20CTeSP</t>
  </si>
  <si>
    <t>Turismo Rural e de Natureza</t>
  </si>
  <si>
    <t>https://www.google.com/search?q=site%3Aipvc.pt%20Turismo%20Rural%20e%20de%20Natureza%20CTeSP</t>
  </si>
  <si>
    <t>Turismo de Gastronomia e Vinhos</t>
  </si>
  <si>
    <t>https://www.google.com/search?q=site%3Aipvc.pt%20Turismo%20de%20Gastronomia%20e%20Vinhos%20CTeSP</t>
  </si>
  <si>
    <t>https://www.google.com/search?q=site%3Aipvc.pt%20Agronomia%20licenciatura</t>
  </si>
  <si>
    <t>Animação Desportiva e Turismo Ativo</t>
  </si>
  <si>
    <t>Escola Superior de Desporto e Lazer (ESDL‑IPVC), Complexo Desportivo e Lazer Comendador Rui Solheiro, Monte de Prado</t>
  </si>
  <si>
    <t>https://www.google.com/search?q=site%3Aipvc.pt%20Anima%C3%A7%C3%A3o%20Desportiva%20e%20Turismo%20Ativo%20licenciatura</t>
  </si>
  <si>
    <t>Artes Plásticas e Tecnologias Artísticas</t>
  </si>
  <si>
    <t>Escola Superior de Educação (ESE‑IPVC), Av. Capitão Gaspar de Castro</t>
  </si>
  <si>
    <t>https://www.google.com/search?q=site%3Aipvc.pt%20Artes%20Pl%C3%A1sticas%20e%20Tecnologias%20Art%C3%ADsticas%20licenciatura</t>
  </si>
  <si>
    <t>Artes e Cinema Digital</t>
  </si>
  <si>
    <t>https://www.google.com/search?q=site%3Aipvc.pt%20Artes%20e%20Cinema%20Digital%20licenciatura</t>
  </si>
  <si>
    <t>https://www.google.com/search?q=site%3Aipvc.pt%20Biotecnologia%20licenciatura</t>
  </si>
  <si>
    <t>Escola Superior de Ciências Empresariais (ESCE‑IPVC), Avenida Pinto da Mota, Valença</t>
  </si>
  <si>
    <t>https://www.google.com/search?q=site%3Aipvc.pt%20Contabilidade%20e%20Fiscalidade%20licenciatura</t>
  </si>
  <si>
    <t>Design de Ambientes</t>
  </si>
  <si>
    <t>Escola Superior de Tecnologia e Gestão (ESTG‑IPVC), Av. do Atlântico</t>
  </si>
  <si>
    <t>https://www.google.com/search?q=site%3Aipvc.pt%20Design%20de%20Ambientes%20licenciatura</t>
  </si>
  <si>
    <t>Design do Produto</t>
  </si>
  <si>
    <t>https://www.google.com/search?q=site%3Aipvc.pt%20Design%20do%20Produto%20licenciatura</t>
  </si>
  <si>
    <t>https://www.google.com/search?q=site%3Aipvc.pt%20Desporto%20e%20Lazer%20licenciatura</t>
  </si>
  <si>
    <t>https://www.google.com/search?q=site%3Aipvc.pt%20Educa%C3%A7%C3%A3o%20B%C3%A1sica%20licenciatura</t>
  </si>
  <si>
    <t>https://www.google.com/search?q=site%3Aipvc.pt%20Enfermagem%20licenciatura</t>
  </si>
  <si>
    <t>https://www.google.com/search?q=site%3Aipvc.pt%20Enfermagem%20Veterin%C3%A1ria%20licenciatura</t>
  </si>
  <si>
    <t>https://www.google.com/search?q=site%3Aipvc.pt%20Engenharia%20Alimentar%20licenciatura</t>
  </si>
  <si>
    <t>Engenharia Civil e do Ambiente</t>
  </si>
  <si>
    <t>https://www.google.com/search?q=site%3Aipvc.pt%20Engenharia%20Civil%20e%20do%20Ambiente%20licenciatura</t>
  </si>
  <si>
    <t>https://www.google.com/search?q=site%3Aipvc.pt%20Engenharia%20Inform%C3%A1tica%20licenciatura</t>
  </si>
  <si>
    <t>Engenharia Mecatrónica</t>
  </si>
  <si>
    <t>https://www.google.com/search?q=site%3Aipvc.pt%20Engenharia%20Mecatr%C3%B3nica%20licenciatura</t>
  </si>
  <si>
    <t>https://www.google.com/search?q=site%3Aipvc.pt%20Engenharia%20Mec%C3%A2nica%20licenciatura</t>
  </si>
  <si>
    <t>Engenharia da Computação Gráfica e Multimédia</t>
  </si>
  <si>
    <t>https://www.google.com/search?q=site%3Aipvc.pt%20Engenharia%20da%20Computa%C3%A7%C3%A3o%20Gr%C3%A1fica%20e%20Multim%C3%A9dia%20licenciatura</t>
  </si>
  <si>
    <t>Engenharia de Redes e Sistemas de Computadores</t>
  </si>
  <si>
    <t>https://www.google.com/search?q=site%3Aipvc.pt%20Engenharia%20de%20Redes%20e%20Sistemas%20de%20Computadores%20licenciatura</t>
  </si>
  <si>
    <t>Engenharia do Ambiente e Geoinformática</t>
  </si>
  <si>
    <t>https://www.google.com/search?q=site%3Aipvc.pt%20Engenharia%20do%20Ambiente%20e%20Geoinform%C3%A1tica%20licenciatura</t>
  </si>
  <si>
    <t>Escola Superior de Saúde (ESS‑IPVC), em consórcio com ESS Santarém e ESS Viseu</t>
  </si>
  <si>
    <t>https://www.google.com/search?q=site%3Aipvc.pt%20Fisioterapia%20licenciatura</t>
  </si>
  <si>
    <t>Gastronomia e Artes Culinárias</t>
  </si>
  <si>
    <t>https://www.google.com/search?q=site%3Aipvc.pt%20Gastronomia%20e%20Artes%20Culin%C3%A1rias%20licenciatura</t>
  </si>
  <si>
    <t>https://www.google.com/search?q=site%3Aipvc.pt%20Gerontologia%20licenciatura</t>
  </si>
  <si>
    <t>https://www.google.com/search?q=site%3Aipvc.pt%20Gest%C3%A3o%20licenciatura</t>
  </si>
  <si>
    <t>Gestão da Distribuição e Logística</t>
  </si>
  <si>
    <t>Escola Superior de Ciências Empresariais (ESCE‑IPVC)</t>
  </si>
  <si>
    <t>https://www.google.com/search?q=site%3Aipvc.pt%20Gest%C3%A3o%20da%20Distribui%C3%A7%C3%A3o%20e%20Log%C3%ADstica%20licenciatura</t>
  </si>
  <si>
    <t>Gestão – Regime Noturno</t>
  </si>
  <si>
    <t>Gestão e Administração (mesma área)</t>
  </si>
  <si>
    <t>https://www.google.com/search?q=site%3Aipvc.pt%20Gest%C3%A3o%20%E2%80%93%20Regime%20Noturno%20licenciatura</t>
  </si>
  <si>
    <t>Marketing e Comunicação Empresariais</t>
  </si>
  <si>
    <t>https://www.google.com/search?q=site%3Aipvc.pt%20Marketing%20e%20Comunica%C3%A7%C3%A3o%20Empresariais%20licenciatura</t>
  </si>
  <si>
    <t>Organização e Gestão Empresariais</t>
  </si>
  <si>
    <t>https://www.google.com/search?q=site%3Aipvc.pt%20Organiza%C3%A7%C3%A3o%20e%20Gest%C3%A3o%20Empresariais%20licenciatura</t>
  </si>
  <si>
    <t>Tecnologia Alimentar e Nutrição</t>
  </si>
  <si>
    <t>https://www.google.com/search?q=site%3Aipvc.pt%20Tecnologia%20Alimentar%20e%20Nutri%C3%A7%C3%A3o%20licenciatura</t>
  </si>
  <si>
    <t>Tecnologia dos Espaços Verdes</t>
  </si>
  <si>
    <t>https://www.google.com/search?q=site%3Aipvc.pt%20Tecnologia%20dos%20Espa%C3%A7os%20Verdes%20licenciatura</t>
  </si>
  <si>
    <t>https://www.google.com/search?q=site%3Aipvc.pt%20Turismo%20licenciatura</t>
  </si>
  <si>
    <t>https://www.google.com/search?q=site%3Aipvc.pt%20Agricultura%20Biol%C3%B3gica%20mestrado</t>
  </si>
  <si>
    <t>Atividades de Fitness</t>
  </si>
  <si>
    <t>https://www.google.com/search?q=site%3Aipvc.pt%20Atividades%20de%20Fitness%20mestrado</t>
  </si>
  <si>
    <t>Bem-Estar em Animais de Produção</t>
  </si>
  <si>
    <t>Escola Superior Agrária (ESA‑IPVC)</t>
  </si>
  <si>
    <t>https://www.google.com/search?q=site%3Aipvc.pt%20Bem-Estar%20em%20Animais%20de%20Produ%C3%A7%C3%A3o%20mestrado</t>
  </si>
  <si>
    <t>Biotecnologia Agroambiental</t>
  </si>
  <si>
    <t>https://www.google.com/search?q=site%3Aipvc.pt%20Biotecnologia%20Agroambiental%20mestrado</t>
  </si>
  <si>
    <t>https://www.google.com/search?q=site%3Aipvc.pt%20Ciberseguran%C3%A7a%20mestrado</t>
  </si>
  <si>
    <t>ESTG‑IPVC, no âmbito da rede APNOR (mestrado partilhado)</t>
  </si>
  <si>
    <t>https://www.google.com/search?q=site%3Aipvc.pt%20Contabilidade%20e%20Finan%C3%A7as%20mestrado</t>
  </si>
  <si>
    <t>Design Integrado</t>
  </si>
  <si>
    <t>https://www.google.com/search?q=site%3Aipvc.pt%20Design%20Integrado%20mestrado</t>
  </si>
  <si>
    <t>Desporto Natureza</t>
  </si>
  <si>
    <t>https://www.google.com/search?q=site%3Aipvc.pt%20Desporto%20Natureza%20mestrado</t>
  </si>
  <si>
    <t>Escola Superior de Educação (ESE‑IPVC)</t>
  </si>
  <si>
    <t>https://www.google.com/search?q=site%3Aipvc.pt%20Educa%C3%A7%C3%A3o%20Art%C3%ADstica%20mestrado</t>
  </si>
  <si>
    <t>Educação Motora nas Primeiras Idades</t>
  </si>
  <si>
    <t>https://www.google.com/search?q=site%3Aipvc.pt%20Educa%C3%A7%C3%A3o%20Motora%20nas%20Primeiras%20Idades%20mestrado</t>
  </si>
  <si>
    <t>https://www.google.com/search?q=site%3Aipvc.pt%20Educa%C3%A7%C3%A3o%20Pr%C3%A9%E2%80%91Escolar%20mestrado</t>
  </si>
  <si>
    <t>https://www.google.com/search?q=site%3Aipvc.pt%20Educa%C3%A7%C3%A3o%20Pr%C3%A9%E2%80%91Escolar%20e%20Ensino%20do%201.%C2%BA%20Ciclo%20do%20Ensino%20B%C3%A1sico%20mestrado</t>
  </si>
  <si>
    <t>Eletrónica e Eletrificação Automóvel</t>
  </si>
  <si>
    <t>https://www.google.com/search?q=site%3Aipvc.pt%20Eletr%C3%B3nica%20e%20Eletrifica%C3%A7%C3%A3o%20Autom%C3%B3vel%20mestrado</t>
  </si>
  <si>
    <t>Empreendedorismo e Inovação na Indústria Alimentar</t>
  </si>
  <si>
    <t>https://www.google.com/search?q=site%3Aipvc.pt%20Empreendedorismo%20e%20Inova%C3%A7%C3%A3o%20na%20Ind%C3%BAstria%20Alimentar%20mestrado</t>
  </si>
  <si>
    <t>Escola Superior de Saúde (ESS‑IPVC)</t>
  </si>
  <si>
    <t>https://www.google.com/search?q=site%3Aipvc.pt%20Enfermagem%20Comunit%C3%A1ria%20na%20%C3%81rea%20de%20Enfermagem%20de%20Sa%C3%BAde%20Familiar%20mestrado</t>
  </si>
  <si>
    <t>https://www.google.com/search?q=site%3Aipvc.pt%20Enfermagem%20Comunit%C3%A1ria%20na%20%C3%A1rea%20de%20Enfermagem%20de%20Sa%C3%BAde%20Comunit%C3%A1ria%20e%20de%20Sa%C3%BAde%20P%C3%BAblica%20mestrado</t>
  </si>
  <si>
    <t>https://www.google.com/search?q=site%3Aipvc.pt%20Enfermagem%20M%C3%A9dico%E2%80%91Cir%C3%BArgica%20na%20%C3%A1rea%20de%20Enfermagem%20%C3%A0%20Pessoa%20em%20Situa%C3%A7%C3%A3o%20Cr%C3%ADtica%20mestrado</t>
  </si>
  <si>
    <t>Enfermagem Veterinária Médico-Cirúrgica</t>
  </si>
  <si>
    <t>Grau conjunto dos Politécnicos de Bragança, Castelo Branco, Portalegre, Viana do Castelo e Viseu (coord. ESAV/IPV; ESA‑IPVC como parceira)</t>
  </si>
  <si>
    <t>https://www.google.com/search?q=site%3Aipvc.pt%20Enfermagem%20Veterin%C3%A1ria%20M%C3%A9dico-Cir%C3%BArgica%20mestrado</t>
  </si>
  <si>
    <t>Grau conjunto dos Politécnicos de Bragança, Castelo Branco, Portalegre, Viana do Castelo e Viseu (ESA‑IPVC como parceira)</t>
  </si>
  <si>
    <t>https://www.google.com/search?q=site%3Aipvc.pt%20Enfermagem%20Veterin%C3%A1ria%20em%20Animais%20de%20Companhia%20mestrado</t>
  </si>
  <si>
    <t>https://www.google.com/search?q=site%3Aipvc.pt%20Enfermagem%20de%20Reabilita%C3%A7%C3%A3o%20mestrado</t>
  </si>
  <si>
    <t>https://www.google.com/search?q=site%3Aipvc.pt%20Enfermagem%20de%20Sa%C3%BAde%20Materna%20e%20Obst%C3%A9trica%20mestrado</t>
  </si>
  <si>
    <t>https://www.google.com/search?q=site%3Aipvc.pt%20Enfermagem%20de%20Sa%C3%BAde%20Mental%20e%20Psiqui%C3%A1trica%20mestrado</t>
  </si>
  <si>
    <t>Enfermagem à Pessoa em Situação Paliativa</t>
  </si>
  <si>
    <t>https://www.google.com/search?q=site%3Aipvc.pt%20Enfermagem%20%C3%A0%20Pessoa%20em%20Situa%C3%A7%C3%A3o%20Paliativa%20mestrado</t>
  </si>
  <si>
    <t>https://www.google.com/search?q=site%3Aipvc.pt%20Engenharia%20Agron%C3%B3mica%20mestrado</t>
  </si>
  <si>
    <t>https://www.google.com/search?q=site%3Aipvc.pt%20Engenharia%20Alimentar%20mestrado</t>
  </si>
  <si>
    <t>https://www.google.com/search?q=site%3Aipvc.pt%20Engenharia%20Civil%20e%20do%20Ambiente%20mestrado</t>
  </si>
  <si>
    <t>https://www.google.com/search?q=site%3Aipvc.pt%20Engenharia%20Inform%C3%A1tica%20mestrado</t>
  </si>
  <si>
    <t>Engenharia Mecânica, Energia e Materiais</t>
  </si>
  <si>
    <t>https://www.google.com/search?q=site%3Aipvc.pt%20Engenharia%20Mec%C3%A2nica%2C%20Energia%20e%20Materiais%20mestrado</t>
  </si>
  <si>
    <t>Engenharia do Território e do Ambiente</t>
  </si>
  <si>
    <t>https://www.google.com/search?q=site%3Aipvc.pt%20Engenharia%20do%20Territ%C3%B3rio%20e%20do%20Ambiente%20mestrado</t>
  </si>
  <si>
    <t>https://www.google.com/search?q=site%3Aipvc.pt%20Ensino%20do%201.%C2%BA%20Ciclo%20do%20Ensino%20B%C3%A1sico%20e%20de%20Matem%C3%A1tica%20e%20Ci%C3%AAncias%20Naturais%20no%202.%C2%BA%20Ciclo%20do%20Ensino%20B%C3%A1sico%20mestrado</t>
  </si>
  <si>
    <t>https://www.google.com/search?q=site%3Aipvc.pt%20Ensino%20do%201.%C2%BA%20Ciclo%20do%20Ensino%20B%C3%A1sico%20e%20de%20Portugu%C3%AAs%20e%20Hist%C3%B3ria%20e%20Geografia%20de%20Portugal%20no%202.%C2%BA%20Ciclo%20do%20Ensino%20B%C3%A1sico%20mestrado</t>
  </si>
  <si>
    <t>Viana do Castelo / Melgaço</t>
  </si>
  <si>
    <t>Fisiologia do Exercício e Promoção da Saúde</t>
  </si>
  <si>
    <t>Ciclo conjunto ESDL‑IPVC + ESS‑IPVC (coordenação ESDL)</t>
  </si>
  <si>
    <t>https://www.google.com/search?q=site%3Aipvc.pt%20Fisiologia%20do%20Exerc%C3%ADcio%20e%20Promo%C3%A7%C3%A3o%20da%20Sa%C3%BAde%20mestrado</t>
  </si>
  <si>
    <t>https://www.google.com/search?q=site%3Aipvc.pt%20Gerontologia%20Social%20mestrado</t>
  </si>
  <si>
    <t>Gestão Ambiental e Ordenamento do Território</t>
  </si>
  <si>
    <t>https://www.google.com/search?q=site%3Aipvc.pt%20Gest%C3%A3o%20Ambiental%20e%20Ordenamento%20do%20Territ%C3%B3rio%20mestrado</t>
  </si>
  <si>
    <t>Gestão Artística e Cultural</t>
  </si>
  <si>
    <t>https://www.google.com/search?q=site%3Aipvc.pt%20Gest%C3%A3o%20Art%C3%ADstica%20e%20Cultural%20mestrado</t>
  </si>
  <si>
    <t>Gestão Industrial e da Inovação</t>
  </si>
  <si>
    <t>https://www.google.com/search?q=site%3Aipvc.pt%20Gest%C3%A3o%20Industrial%20e%20da%20Inova%C3%A7%C3%A3o%20mestrado</t>
  </si>
  <si>
    <t>ESTG‑IPVC, no âmbito da rede APNOR (Gestão de Unidades de Saúde/Outros ramos)</t>
  </si>
  <si>
    <t>https://www.google.com/search?q=site%3Aipvc.pt%20Gest%C3%A3o%20das%20Organiza%C3%A7%C3%B5es%20mestrado</t>
  </si>
  <si>
    <t>Gestão das Organizações (área da Saúde)</t>
  </si>
  <si>
    <t>IPVC / rede APNOR, com participação da ESS‑IPVC</t>
  </si>
  <si>
    <t>https://www.google.com/search?q=site%3Aipvc.pt%20Gest%C3%A3o%20das%20Organiza%C3%A7%C3%B5es%20%28%C3%A1rea%20da%20Sa%C3%BAde%29%20mestrado</t>
  </si>
  <si>
    <t>ESCE‑IPVC (Valença), mestrado APNOR partilhado com outros politécnicos</t>
  </si>
  <si>
    <t>https://www.google.com/search?q=site%3Aipvc.pt%20Log%C3%ADstica%20mestrado</t>
  </si>
  <si>
    <t>ESCE‑IPVC (Valença)</t>
  </si>
  <si>
    <t>https://www.google.com/search?q=site%3Aipvc.pt%20Marketing%20mestrado</t>
  </si>
  <si>
    <t>https://www.google.com/search?q=site%3Aipvc.pt%20Marketing%20Digital%20mestrado</t>
  </si>
  <si>
    <t>Tecnologia e Gestão de Sistemas de Informação</t>
  </si>
  <si>
    <t>https://www.google.com/search?q=site%3Aipvc.pt%20Tecnologia%20e%20Gest%C3%A3o%20de%20Sistemas%20de%20Informa%C3%A7%C3%A3o%20mestrado</t>
  </si>
  <si>
    <t>Mestrado interinstitucional (MSc AgroVetTech), com IPVC como parceiro nas áreas agrárias</t>
  </si>
  <si>
    <t>https://www.google.com/search?q=site%3Aipvc.pt%20Tecnologias%20Digitais%20Aplicadas%20%C3%A0s%20Ci%C3%AAncias%20Agr%C3%A1rias%20e%20Veterin%C3%A1rias%20mestrado</t>
  </si>
  <si>
    <t>Tecnologias da Informação e Comunicação em Educação</t>
  </si>
  <si>
    <t>https://www.google.com/search?q=site%3Aipvc.pt%20Tecnologias%20da%20Informa%C3%A7%C3%A3o%20e%20Comunica%C3%A7%C3%A3o%20em%20Educa%C3%A7%C3%A3o%20mestrado</t>
  </si>
  <si>
    <t>https://www.google.com/search?q=site%3Aipvc.pt%20Treino%20Desportivo%20mestrado</t>
  </si>
  <si>
    <t>Turismo e Inovação</t>
  </si>
  <si>
    <t>https://www.google.com/search?q=site%3Aipvc.pt%20Turismo%20e%20Inova%C3%A7%C3%A3o%20mestrado</t>
  </si>
  <si>
    <t>https://www.google.com/search?q=site%3Aipvc.pt%20Zootecnia%20mestrado</t>
  </si>
  <si>
    <t>Cuidados Paliativos Pediátricos</t>
  </si>
  <si>
    <t>Escola Superior de Saúde (ESS) – IPVC</t>
  </si>
  <si>
    <t>https://www.google.com/search?q=site%3Aipvc.pt%20Cuidados%20Paliativos%20Pedi%C3%A1tricos%20p%C3%B3s-gradua%C3%A7%C3%A3o</t>
  </si>
  <si>
    <t>Design de Interiores</t>
  </si>
  <si>
    <t>Escola Superior de Tecnologia e Gestão (ESTG) – IPVC</t>
  </si>
  <si>
    <t>https://www.google.com/search?q=site%3Aipvc.pt%20Design%20de%20Interiores%20p%C3%B3s-gradua%C3%A7%C3%A3o</t>
  </si>
  <si>
    <t>Educação Especial e Inclusão</t>
  </si>
  <si>
    <t>Escola Superior de Educação (ESE) – IPVC</t>
  </si>
  <si>
    <t>https://www.google.com/search?q=site%3Aipvc.pt%20Educa%C3%A7%C3%A3o%20Especial%20e%20Inclus%C3%A3o%20p%C3%B3s-gradua%C3%A7%C3%A3o</t>
  </si>
  <si>
    <t>Valença / Viana do Castelo</t>
  </si>
  <si>
    <t>Gestão da Qualidade</t>
  </si>
  <si>
    <t>Escola Superior de Ciências Empresariais (ESCE) – IPVC</t>
  </si>
  <si>
    <t>https://www.google.com/search?q=site%3Aipvc.pt%20Gest%C3%A3o%20da%20Qualidade%20p%C3%B3s-gradua%C3%A7%C3%A3o</t>
  </si>
  <si>
    <t>Valença / online</t>
  </si>
  <si>
    <t>Gestão de Transporte e Logística Marítima</t>
  </si>
  <si>
    <t>ESCE – IPVC</t>
  </si>
  <si>
    <t>https://www.google.com/search?q=site%3Aipvc.pt%20Gest%C3%A3o%20de%20Transporte%20e%20Log%C3%ADstica%20Mar%C3%ADtima%20p%C3%B3s-gradua%C3%A7%C3%A3o</t>
  </si>
  <si>
    <t>1 ano; pós‑graduação totalmente online e pós‑laboral</t>
  </si>
  <si>
    <t>Ponte de Lima / Viana do Castelo</t>
  </si>
  <si>
    <t>Intervenções Assistidas por Animais</t>
  </si>
  <si>
    <t>Escola Superior Agrária (ESA) – IPVC</t>
  </si>
  <si>
    <t>https://www.google.com/search?q=site%3Aipvc.pt%20Interven%C3%A7%C3%B5es%20Assistidas%20por%20Animais%20p%C3%B3s-gradua%C3%A7%C3%A3o</t>
  </si>
  <si>
    <t>146 horas letivas; cerca de 60% ensino à distância</t>
  </si>
  <si>
    <t>Liderança em Economia Azul Sustentável</t>
  </si>
  <si>
    <t>ESTG – IPVC</t>
  </si>
  <si>
    <t>https://www.google.com/search?q=site%3Aipvc.pt%20Lideran%C3%A7a%20em%20Economia%20Azul%20Sustent%C3%A1vel%20p%C3%B3s-gradua%C3%A7%C3%A3o</t>
  </si>
  <si>
    <t>Marketing Digital e E‑Business</t>
  </si>
  <si>
    <t>https://www.google.com/search?q=site%3Aipvc.pt%20Marketing%20Digital%20e%20E%E2%80%91Business%20p%C3%B3s-gradua%C3%A7%C3%A3o</t>
  </si>
  <si>
    <t>Valença / Matosinhos</t>
  </si>
  <si>
    <t>Marketing para a Economia Azul</t>
  </si>
  <si>
    <t>ESCE – IPVC (aulas presenciais na ESAD Matosinhos)</t>
  </si>
  <si>
    <t>https://www.google.com/search?q=site%3Aipvc.pt%20Marketing%20para%20a%20Economia%20Azul%20p%C3%B3s-gradua%C3%A7%C3%A3o</t>
  </si>
  <si>
    <t>One Health</t>
  </si>
  <si>
    <t>https://www.google.com/search?q=site%3Aipvc.pt%20One%20Health%20p%C3%B3s-gradua%C3%A7%C3%A3o</t>
  </si>
  <si>
    <t>Tecnologia e Inovação em Vidro</t>
  </si>
  <si>
    <t>Engenharia e Técnicas Afins (materiais)</t>
  </si>
  <si>
    <t>https://www.google.com/search?q=site%3Aipvc.pt%20Tecnologia%20e%20Inova%C3%A7%C3%A3o%20em%20Vidro%20p%C3%B3s-gradua%C3%A7%C3%A3o</t>
  </si>
  <si>
    <t>Tecnologias em Energias Oceânicas</t>
  </si>
  <si>
    <t>https://www.google.com/search?q=site%3Aipvc.pt%20Tecnologias%20em%20Energias%20Oce%C3%A2nicas%20p%C3%B3s-gradua%C3%A7%C3%A3o</t>
  </si>
  <si>
    <t>Instituto Politécnico de Viseu</t>
  </si>
  <si>
    <t>Escola Superior Agrária de Viseu (ESAV - IPV)</t>
  </si>
  <si>
    <t>https://www.google.com/search?q=site%3Aipv.pt%20Agricultura%20Biol%C3%B3gica%20CTeSP</t>
  </si>
  <si>
    <t>Escola Superior de Tecnologia e Gestão de Viseu (ESTGV - IPV)</t>
  </si>
  <si>
    <t>https://www.google.com/search?q=site%3Aipv.pt%20An%C3%A1lises%20Laboratoriais%20CTeSP</t>
  </si>
  <si>
    <t>Escola Superior de Educação de Viseu (ESEV - IPV)</t>
  </si>
  <si>
    <t>https://www.google.com/search?q=site%3Aipv.pt%20Apoio%20%C3%A0%20Inf%C3%A2ncia%20CTeSP</t>
  </si>
  <si>
    <t>Lamego</t>
  </si>
  <si>
    <t>Assessoria e Comunicação Organizacional</t>
  </si>
  <si>
    <t>Escola Superior de Tecnologia e Gestão de Lamego (ESTGL - IPV)</t>
  </si>
  <si>
    <t>https://www.google.com/search?q=site%3Aipv.pt%20Assessoria%20e%20Comunica%C3%A7%C3%A3o%20Organizacional%20CTeSP</t>
  </si>
  <si>
    <t>Atividades Educativas e Divulgação em Ciência</t>
  </si>
  <si>
    <t>https://www.google.com/search?q=site%3Aipv.pt%20Atividades%20Educativas%20e%20Divulga%C3%A7%C3%A3o%20em%20Ci%C3%AAncia%20CTeSP</t>
  </si>
  <si>
    <t>Automação e Energia</t>
  </si>
  <si>
    <t>https://www.google.com/search?q=site%3Aipv.pt%20Automa%C3%A7%C3%A3o%20e%20Energia%20CTeSP</t>
  </si>
  <si>
    <t>Cibersegurança e Telecomunicações</t>
  </si>
  <si>
    <t>https://www.google.com/search?q=site%3Aipv.pt%20Ciberseguran%C3%A7a%20e%20Telecomunica%C3%A7%C3%B5es%20CTeSP</t>
  </si>
  <si>
    <t>Computação Cloud</t>
  </si>
  <si>
    <t>https://www.google.com/search?q=site%3Aipv.pt%20Computa%C3%A7%C3%A3o%20Cloud%20CTeSP</t>
  </si>
  <si>
    <t>https://www.google.com/search?q=site%3Aipv.pt%20Contabilidade%20e%20Fiscalidade%20para%20PME%20CTeSP</t>
  </si>
  <si>
    <t>Serviços Veterinários</t>
  </si>
  <si>
    <t>https://www.google.com/search?q=site%3Aipv.pt%20Cuidados%20Veterin%C3%A1rios%20CTeSP</t>
  </si>
  <si>
    <t>Desenho e Modelação Digital</t>
  </si>
  <si>
    <t>https://www.google.com/search?q=site%3Aipv.pt%20Desenho%20e%20Modela%C3%A7%C3%A3o%20Digital%20CTeSP</t>
  </si>
  <si>
    <t>https://www.google.com/search?q=site%3Aipv.pt%20Desenvolvimento%20para%20a%20Web%20e%20Dispositivos%20M%C3%B3veis%20CTeSP</t>
  </si>
  <si>
    <t>Design e Tecnologia de Mobiliário</t>
  </si>
  <si>
    <t>https://www.google.com/search?q=site%3Aipv.pt%20Design%20e%20Tecnologia%20de%20Mobili%C3%A1rio%20CTeSP</t>
  </si>
  <si>
    <t>https://www.google.com/search?q=site%3Aipv.pt%20Efici%C3%AAncia%20Energ%C3%A9tica%20nos%20Edif%C3%ADcios%20CTeSP</t>
  </si>
  <si>
    <t>Energia e Climatização</t>
  </si>
  <si>
    <t>https://www.google.com/search?q=site%3Aipv.pt%20Energia%20e%20Climatiza%C3%A7%C3%A3o%20CTeSP</t>
  </si>
  <si>
    <t>https://www.google.com/search?q=site%3Aipv.pt%20Energias%20Renov%C3%A1veis%20CTeSP</t>
  </si>
  <si>
    <t>Floresta e Interpretação da Natureza</t>
  </si>
  <si>
    <t>https://www.google.com/search?q=site%3Aipv.pt%20Floresta%20e%20Interpreta%C3%A7%C3%A3o%20da%20Natureza%20CTeSP</t>
  </si>
  <si>
    <t>Viseu / Moimenta da Beira</t>
  </si>
  <si>
    <t>Fruticultura e Viticultura</t>
  </si>
  <si>
    <t>https://www.google.com/search?q=site%3Aipv.pt%20Fruticultura%20e%20Viticultura%20CTeSP</t>
  </si>
  <si>
    <t>https://www.google.com/search?q=site%3Aipv.pt%20Gastronomia%2C%20Turismo%20e%20Bem-Estar%20CTeSP</t>
  </si>
  <si>
    <t>https://www.google.com/search?q=site%3Aipv.pt%20Gest%C3%A3o%20Comercial%20e%20Vendas%20CTeSP</t>
  </si>
  <si>
    <t>Gestão da Segurança no Trabalho e do Ambiente</t>
  </si>
  <si>
    <t>https://www.google.com/search?q=site%3Aipv.pt%20Gest%C3%A3o%20da%20Seguran%C3%A7a%20no%20Trabalho%20e%20do%20Ambiente%20CTeSP</t>
  </si>
  <si>
    <t>Gestão de Enoturismo</t>
  </si>
  <si>
    <t>https://www.google.com/search?q=site%3Aipv.pt%20Gest%C3%A3o%20de%20Enoturismo%20CTeSP</t>
  </si>
  <si>
    <t>https://www.google.com/search?q=site%3Aipv.pt%20Inform%C3%A1tica%20Industrial%20CTeSP</t>
  </si>
  <si>
    <t>Integração de Sistemas e Serviços de Telecomunicações</t>
  </si>
  <si>
    <t>https://www.google.com/search?q=site%3Aipv.pt%20Integra%C3%A7%C3%A3o%20de%20Sistemas%20e%20Servi%C3%A7os%20de%20Telecomunica%C3%A7%C3%B5es%20CTeSP</t>
  </si>
  <si>
    <t>https://www.google.com/search?q=site%3Aipv.pt%20Interven%C3%A7%C3%A3o%20Social%20e%20Comunit%C3%A1ria%20CTeSP</t>
  </si>
  <si>
    <t>https://www.google.com/search?q=site%3Aipv.pt%20Manuten%C3%A7%C3%A3o%20Industrial%20CTeSP</t>
  </si>
  <si>
    <t>Modelação e Gestão do Espaço Urbano</t>
  </si>
  <si>
    <t>https://www.google.com/search?q=site%3Aipv.pt%20Modela%C3%A7%C3%A3o%20e%20Gest%C3%A3o%20do%20Espa%C3%A7o%20Urbano%20CTeSP</t>
  </si>
  <si>
    <t>https://www.google.com/search?q=site%3Aipv.pt%20Produ%C3%A7%C3%A3o%20Animal%20CTeSP</t>
  </si>
  <si>
    <t>https://www.google.com/search?q=site%3Aipv.pt%20Produ%C3%A7%C3%A3o%20nas%20Artes%20do%20Espet%C3%A1culo%20CTeSP</t>
  </si>
  <si>
    <t>https://www.google.com/search?q=site%3Aipv.pt%20Prote%C3%A7%C3%A3o%20Civil%20CTeSP</t>
  </si>
  <si>
    <t>Reabilitação e Conservação de Edifícios</t>
  </si>
  <si>
    <t>https://www.google.com/search?q=site%3Aipv.pt%20Reabilita%C3%A7%C3%A3o%20e%20Conserva%C3%A7%C3%A3o%20de%20Edif%C3%ADcios%20CTeSP</t>
  </si>
  <si>
    <t>https://www.google.com/search?q=site%3Aipv.pt%20Redes%20e%20Sistemas%20Inform%C3%A1ticos%20CTeSP</t>
  </si>
  <si>
    <t>Relações e Negócios Internacionais</t>
  </si>
  <si>
    <t>https://www.google.com/search?q=site%3Aipv.pt%20Rela%C3%A7%C3%B5es%20e%20Neg%C3%B3cios%20Internacionais%20CTeSP</t>
  </si>
  <si>
    <t>Sistemas de Informação Geográfica aplicados à Agricultura</t>
  </si>
  <si>
    <t>https://www.google.com/search?q=site%3Aipv.pt%20Sistemas%20de%20Informa%C3%A7%C3%A3o%20Geogr%C3%A1fica%20aplicados%20%C3%A0%20Agricultura%20CTeSP</t>
  </si>
  <si>
    <t>https://www.google.com/search?q=site%3Aipv.pt%20Tecnologia%20Alimentar%20CTeSP</t>
  </si>
  <si>
    <t>https://www.google.com/search?q=site%3Aipv.pt%20Tecnologia%20Autom%C3%B3vel%20CTeSP</t>
  </si>
  <si>
    <t>https://www.google.com/search?q=site%3Aipv.pt%20Tecnologias%20Ambientais%20CTeSP</t>
  </si>
  <si>
    <t>https://www.google.com/search?q=site%3Aipv.pt%20Tecnologias%20e%20Programa%C3%A7%C3%A3o%20de%20Sistemas%20de%20Informa%C3%A7%C3%A3o%20CTeSP</t>
  </si>
  <si>
    <t>https://www.google.com/search?q=site%3Aipv.pt%20Transportes%20e%20Log%C3%ADstica%20CTeSP</t>
  </si>
  <si>
    <t>https://www.google.com/search?q=site%3Aipv.pt%20Turismo%20de%20Sa%C3%BAde%20e%20Bem-Estar%20CTeSP</t>
  </si>
  <si>
    <t>https://www.google.com/search?q=site%3Aipv.pt%20Viticultura%20e%20Enologia%20CTeSP</t>
  </si>
  <si>
    <t>Artes Performativas</t>
  </si>
  <si>
    <t>https://www.google.com/search?q=site%3Aipv.pt%20Artes%20Performativas%20licenciatura</t>
  </si>
  <si>
    <t>Artes Plásticas e Multimédia</t>
  </si>
  <si>
    <t>https://www.google.com/search?q=site%3Aipv.pt%20Artes%20Pl%C3%A1sticas%20e%20Multim%C3%A9dia%20licenciatura</t>
  </si>
  <si>
    <t>https://www.google.com/search?q=site%3Aipv.pt%20Biotecnologia%20licenciatura</t>
  </si>
  <si>
    <t>Ciência e Tecnologia Animal</t>
  </si>
  <si>
    <t>https://www.google.com/search?q=site%3Aipv.pt%20Ci%C3%AAncia%20e%20Tecnologia%20Animal%20licenciatura</t>
  </si>
  <si>
    <t>Ciências e Tecnologia do Ambiente</t>
  </si>
  <si>
    <t>https://www.google.com/search?q=site%3Aipv.pt%20Ci%C3%AAncias%20e%20Tecnologia%20do%20Ambiente%20licenciatura</t>
  </si>
  <si>
    <t>https://www.google.com/search?q=site%3Aipv.pt%20Comunica%C3%A7%C3%A3o%20Social%20licenciatura</t>
  </si>
  <si>
    <t>https://www.google.com/search?q=site%3Aipv.pt%20Contabilidade%20licenciatura</t>
  </si>
  <si>
    <t>https://www.google.com/search?q=site%3Aipv.pt%20Desporto%20e%20Atividade%20F%C3%ADsica%20licenciatura</t>
  </si>
  <si>
    <t>https://www.google.com/search?q=site%3Aipv.pt%20Educa%C3%A7%C3%A3o%20B%C3%A1sica%20licenciatura</t>
  </si>
  <si>
    <t>https://www.google.com/search?q=site%3Aipv.pt%20Educa%C3%A7%C3%A3o%20Social%20licenciatura</t>
  </si>
  <si>
    <t>Escola Superior de Saúde de Viseu (ESSV - IPV)</t>
  </si>
  <si>
    <t>https://www.google.com/search?q=site%3Aipv.pt%20Enfermagem%20licenciatura</t>
  </si>
  <si>
    <t>https://www.google.com/search?q=site%3Aipv.pt%20Enfermagem%20Veterin%C3%A1ria%20licenciatura</t>
  </si>
  <si>
    <t>https://www.google.com/search?q=site%3Aipv.pt%20Engenharia%20Agron%C3%B3mica%20licenciatura</t>
  </si>
  <si>
    <t>https://www.google.com/search?q=site%3Aipv.pt%20Engenharia%20Alimentar%20licenciatura</t>
  </si>
  <si>
    <t>https://www.google.com/search?q=site%3Aipv.pt%20Engenharia%20Civil%20licenciatura</t>
  </si>
  <si>
    <t>https://www.google.com/search?q=site%3Aipv.pt%20Engenharia%20Eletrot%C3%A9cnica%20licenciatura</t>
  </si>
  <si>
    <t>https://www.google.com/search?q=site%3Aipv.pt%20Engenharia%20Inform%C3%A1tica%20licenciatura</t>
  </si>
  <si>
    <t>Engenharia Informática e Telecomunicações</t>
  </si>
  <si>
    <t>https://www.google.com/search?q=site%3Aipv.pt%20Engenharia%20Inform%C3%A1tica%20e%20Telecomunica%C3%A7%C3%B5es%20licenciatura</t>
  </si>
  <si>
    <t>https://www.google.com/search?q=site%3Aipv.pt%20Engenharia%20Mec%C3%A2nica%20licenciatura</t>
  </si>
  <si>
    <t>https://www.google.com/search?q=site%3Aipv.pt%20Engenharia%20Zoot%C3%A9cnica%20licenciatura</t>
  </si>
  <si>
    <t>https://www.google.com/search?q=site%3Aipv.pt%20Engenharia%20do%20Ambiente%20licenciatura</t>
  </si>
  <si>
    <t>https://www.google.com/search?q=site%3Aipv.pt%20Fisioterapia%20licenciatura</t>
  </si>
  <si>
    <t>https://www.google.com/search?q=site%3Aipv.pt%20Gest%C3%A3o%20Comercial%20licenciatura</t>
  </si>
  <si>
    <t>https://www.google.com/search?q=site%3Aipv.pt%20Gest%C3%A3o%20Industrial%20licenciatura</t>
  </si>
  <si>
    <t>Gestão Turística, Cultural e Patrimonial</t>
  </si>
  <si>
    <t>https://www.google.com/search?q=site%3Aipv.pt%20Gest%C3%A3o%20Tur%C3%ADstica%2C%20Cultural%20e%20Patrimonial%20licenciatura</t>
  </si>
  <si>
    <t>https://www.google.com/search?q=site%3Aipv.pt%20Gest%C3%A3o%20de%20Empresas%20licenciatura</t>
  </si>
  <si>
    <t>Gestão e Informática</t>
  </si>
  <si>
    <t>https://www.google.com/search?q=site%3Aipv.pt%20Gest%C3%A3o%20e%20Inform%C3%A1tica%20licenciatura</t>
  </si>
  <si>
    <t>https://www.google.com/search?q=site%3Aipv.pt%20Marketing%20licenciatura</t>
  </si>
  <si>
    <t>Publicidade e Relações Públicas</t>
  </si>
  <si>
    <t>https://www.google.com/search?q=site%3Aipv.pt%20Publicidade%20e%20Rela%C3%A7%C3%B5es%20P%C3%BAblicas%20licenciatura</t>
  </si>
  <si>
    <t>Qualidade Alimentar e Nutrição</t>
  </si>
  <si>
    <t>https://www.google.com/search?q=site%3Aipv.pt%20Qualidade%20Alimentar%20e%20Nutri%C3%A7%C3%A3o%20licenciatura</t>
  </si>
  <si>
    <t>https://www.google.com/search?q=site%3Aipv.pt%20Secretariado%20de%20Administra%C3%A7%C3%A3o%20licenciatura</t>
  </si>
  <si>
    <t>https://www.google.com/search?q=site%3Aipv.pt%20Servi%C3%A7o%20Social%20licenciatura</t>
  </si>
  <si>
    <t>Tecnologia e Design de Mobiliário</t>
  </si>
  <si>
    <t>https://www.google.com/search?q=site%3Aipv.pt%20Tecnologia%20e%20Design%20de%20Mobili%C3%A1rio%20licenciatura</t>
  </si>
  <si>
    <t>Tecnologias da Madeira</t>
  </si>
  <si>
    <t>Indústrias da Madeira e do Mobiliário</t>
  </si>
  <si>
    <t>https://www.google.com/search?q=site%3Aipv.pt%20Tecnologias%20da%20Madeira%20licenciatura</t>
  </si>
  <si>
    <t>Tecnologias e Design de Multimédia</t>
  </si>
  <si>
    <t>https://www.google.com/search?q=site%3Aipv.pt%20Tecnologias%20e%20Design%20de%20Multim%C3%A9dia%20licenciatura</t>
  </si>
  <si>
    <t>https://www.google.com/search?q=site%3Aipv.pt%20Turismo%20licenciatura</t>
  </si>
  <si>
    <t>Ambiente e Saúde</t>
  </si>
  <si>
    <t>https://www.google.com/search?q=site%3Aipv.pt%20Ambiente%20e%20Sa%C3%BAde%20mestrado</t>
  </si>
  <si>
    <t>Assessoria nas Organizações</t>
  </si>
  <si>
    <t>https://www.google.com/search?q=site%3Aipv.pt%20Assessoria%20nas%20Organiza%C3%A7%C3%B5es%20mestrado</t>
  </si>
  <si>
    <t>Comunicação Aplicada</t>
  </si>
  <si>
    <t>https://www.google.com/search?q=site%3Aipv.pt%20Comunica%C3%A7%C3%A3o%20Aplicada%20mestrado</t>
  </si>
  <si>
    <t>Controlo de Gestão e Ciências de Dados</t>
  </si>
  <si>
    <t>https://www.google.com/search?q=site%3Aipv.pt%20Controlo%20de%20Gest%C3%A3o%20e%20Ci%C3%AAncias%20de%20Dados%20mestrado</t>
  </si>
  <si>
    <t>Desporto – especialização em Treino Desportivo</t>
  </si>
  <si>
    <t>https://www.google.com/search?q=site%3Aipv.pt%20Desporto%20%E2%80%93%20especializa%C3%A7%C3%A3o%20em%20Treino%20Desportivo%20mestrado</t>
  </si>
  <si>
    <t>Educação Especial, área de especialização em Domínio Cognitivo e Motor</t>
  </si>
  <si>
    <t>https://www.google.com/search?q=site%3Aipv.pt%20Educa%C3%A7%C3%A3o%20Especial%2C%20%C3%A1rea%20de%20especializa%C3%A7%C3%A3o%20em%20Dom%C3%ADnio%20Cognitivo%20e%20Motor%20mestrado</t>
  </si>
  <si>
    <t>https://www.google.com/search?q=site%3Aipv.pt%20Educa%C3%A7%C3%A3o%20Pr%C3%A9-Escolar%20e%20Ensino%20do%201.%C2%BA%20Ciclo%20do%20Ensino%20B%C3%A1sico%20mestrado</t>
  </si>
  <si>
    <t>Enfermagem Comunitária – área de Enfermagem de Saúde Comunitária e de Saúde Pública</t>
  </si>
  <si>
    <t>https://www.google.com/search?q=site%3Aipv.pt%20Enfermagem%20Comunit%C3%A1ria%20%E2%80%93%20%C3%A1rea%20de%20Enfermagem%20de%20Sa%C3%BAde%20Comunit%C3%A1ria%20e%20de%20Sa%C3%BAde%20P%C3%BAblica%20mestrado</t>
  </si>
  <si>
    <t>https://www.google.com/search?q=site%3Aipv.pt%20Enfermagem%20M%C3%A9dico-Cir%C3%BArgica%20na%20%C3%A1rea%20de%20Enfermagem%20%C3%A0%20Pessoa%20em%20Situa%C3%A7%C3%A3o%20Cr%C3%ADtica%20mestrado</t>
  </si>
  <si>
    <t>Escola Superior Agrária de Viseu (ESAV - IPV), em associação com outras ES Agrárias (Castelo Branco, Bragança, Portalegre, Viana do Castelo)</t>
  </si>
  <si>
    <t>https://www.google.com/search?q=site%3Aipv.pt%20Enfermagem%20Veterin%C3%A1ria%20em%20Animais%20de%20Companhia%20mestrado</t>
  </si>
  <si>
    <t>https://www.google.com/search?q=site%3Aipv.pt%20Enfermagem%20de%20Reabilita%C3%A7%C3%A3o%20mestrado</t>
  </si>
  <si>
    <t>https://www.google.com/search?q=site%3Aipv.pt%20Enfermagem%20de%20Sa%C3%BAde%20Infantil%20e%20Pedi%C3%A1trica%20mestrado</t>
  </si>
  <si>
    <t>https://www.google.com/search?q=site%3Aipv.pt%20Enfermagem%20de%20Sa%C3%BAde%20Materna%20e%20Obst%C3%A9trica%20mestrado</t>
  </si>
  <si>
    <t>https://www.google.com/search?q=site%3Aipv.pt%20Enfermagem%20de%20Sa%C3%BAde%20Mental%20e%20Psiqui%C3%A1trica%20mestrado</t>
  </si>
  <si>
    <t>https://www.google.com/search?q=site%3Aipv.pt%20Engenharia%20Agron%C3%B3mica%20mestrado</t>
  </si>
  <si>
    <t>Engenharia Eletrotécnica – Energia e Automação Industrial</t>
  </si>
  <si>
    <t>https://www.google.com/search?q=site%3Aipv.pt%20Engenharia%20Eletrot%C3%A9cnica%20%E2%80%93%20Energia%20e%20Automa%C3%A7%C3%A3o%20Industrial%20mestrado</t>
  </si>
  <si>
    <t>Engenharia Informática – Sistemas de Informação</t>
  </si>
  <si>
    <t>https://www.google.com/search?q=site%3Aipv.pt%20Engenharia%20Inform%C3%A1tica%20%E2%80%93%20Sistemas%20de%20Informa%C3%A7%C3%A3o%20mestrado</t>
  </si>
  <si>
    <t>Engenharia Mecânica e Gestão Industrial</t>
  </si>
  <si>
    <t>https://www.google.com/search?q=site%3Aipv.pt%20Engenharia%20Mec%C3%A2nica%20e%20Gest%C3%A3o%20Industrial%20mestrado</t>
  </si>
  <si>
    <t>Engenharia de Construção e Reabilitação</t>
  </si>
  <si>
    <t>https://www.google.com/search?q=site%3Aipv.pt%20Engenharia%20de%20Constru%C3%A7%C3%A3o%20e%20Reabilita%C3%A7%C3%A3o%20mestrado</t>
  </si>
  <si>
    <t>Formação de Professores de Artes Visuais e Tecnológicas</t>
  </si>
  <si>
    <t>https://www.google.com/search?q=site%3Aipv.pt%20Ensino%20de%20Educa%C3%A7%C3%A3o%20Visual%20e%20Tecnol%C3%B3gica%20no%20Ensino%20B%C3%A1sico%20mestrado</t>
  </si>
  <si>
    <t>https://www.google.com/search?q=site%3Aipv.pt%20Ensino%20do%201.%C2%BA%20Ciclo%20do%20Ensino%20B%C3%A1sico%20e%20de%20Matem%C3%A1tica%20e%20Ci%C3%AAncias%20Naturais%20no%202.%C2%BA%20Ciclo%20do%20Ensino%20B%C3%A1sico%20mestrado</t>
  </si>
  <si>
    <t>https://www.google.com/search?q=site%3Aipv.pt%20Ensino%20do%201.%C2%BA%20Ciclo%20do%20Ensino%20B%C3%A1sico%20e%20de%20Portugu%C3%AAs%20e%20Hist%C3%B3ria%20e%20Geografia%20de%20Portugal%20no%202.%C2%BA%20Ciclo%20do%20Ensino%20B%C3%A1sico%20mestrado</t>
  </si>
  <si>
    <t>https://www.google.com/search?q=site%3Aipv.pt%20Finan%C3%A7as%20Empresariais%20mestrado</t>
  </si>
  <si>
    <t>https://www.google.com/search?q=site%3Aipv.pt%20Gest%C3%A3o%20mestrado</t>
  </si>
  <si>
    <t>https://www.google.com/search?q=site%3Aipv.pt%20Gest%C3%A3o%20Tur%C3%ADstica%20mestrado</t>
  </si>
  <si>
    <t>https://www.google.com/search?q=site%3Aipv.pt%20Gest%C3%A3o%20de%20Organiza%C3%A7%C3%B5es%20Sociais%20mestrado</t>
  </si>
  <si>
    <t>Gestão do Património Cultural e Desenvolvimento Local</t>
  </si>
  <si>
    <t>https://www.google.com/search?q=site%3Aipv.pt%20Gest%C3%A3o%20do%20Patrim%C3%B3nio%20Cultural%20e%20Desenvolvimento%20Local%20mestrado</t>
  </si>
  <si>
    <t>Intervenção Psicossocial com Crianças e Jovens em Risco</t>
  </si>
  <si>
    <t>https://www.google.com/search?q=site%3Aipv.pt%20Interven%C3%A7%C3%A3o%20Psicossocial%20com%20Crian%C3%A7as%20e%20Jovens%20em%20Risco%20mestrado</t>
  </si>
  <si>
    <t>https://www.google.com/search?q=site%3Aipv.pt%20Marketing%20mestrado</t>
  </si>
  <si>
    <t>Organização e Administração Educacional</t>
  </si>
  <si>
    <t>https://www.google.com/search?q=site%3Aipv.pt%20Organiza%C3%A7%C3%A3o%20e%20Administra%C3%A7%C3%A3o%20Educacional%20mestrado</t>
  </si>
  <si>
    <t>Qualidade e Tecnologia Alimentar</t>
  </si>
  <si>
    <t>https://www.google.com/search?q=site%3Aipv.pt%20Qualidade%20e%20Tecnologia%20Alimentar%20mestrado</t>
  </si>
  <si>
    <t>https://www.google.com/search?q=site%3Aipv.pt%20Tecnologias%20Ambientais%20mestrado</t>
  </si>
  <si>
    <t>Tecnologias da Produção Animal</t>
  </si>
  <si>
    <t>https://www.google.com/search?q=site%3Aipv.pt%20Tecnologias%20da%20Produ%C3%A7%C3%A3o%20Animal%20mestrado</t>
  </si>
  <si>
    <t>Tecnologias de Informação e Automação</t>
  </si>
  <si>
    <t>https://www.google.com/search?q=site%3Aipv.pt%20Tecnologias%20de%20Informa%C3%A7%C3%A3o%20e%20Automa%C3%A7%C3%A3o%20mestrado</t>
  </si>
  <si>
    <t>Engenharia Electrotécnica – Energia e Automação Industrial</t>
  </si>
  <si>
    <t>ESTGV – Engenharia Eletrotécnica</t>
  </si>
  <si>
    <t>https://www.google.com/search?q=site%3Aipv.pt%20Engenharia%20Electrot%C3%A9cnica%20%E2%80%93%20Energia%20e%20Automa%C3%A7%C3%A3o%20Industrial%20p%C3%B3s-gradua%C3%A7%C3%A3o</t>
  </si>
  <si>
    <t>ESTGV – Departamento de Informática</t>
  </si>
  <si>
    <t>https://www.google.com/search?q=site%3Aipv.pt%20Engenharia%20Inform%C3%A1tica%20%E2%80%93%20Sistemas%20de%20Informa%C3%A7%C3%A3o%20p%C3%B3s-gradua%C3%A7%C3%A3o</t>
  </si>
  <si>
    <t>ESTGV – Engenharia Mecânica</t>
  </si>
  <si>
    <t>https://www.google.com/search?q=site%3Aipv.pt%20Engenharia%20Mec%C3%A2nica%20e%20Gest%C3%A3o%20Industrial%20p%C3%B3s-gradua%C3%A7%C3%A3o</t>
  </si>
  <si>
    <t>ESTGV – Engenharia Civil</t>
  </si>
  <si>
    <t>https://www.google.com/search?q=site%3Aipv.pt%20Engenharia%20de%20Constru%C3%A7%C3%A3o%20e%20Reabilita%C3%A7%C3%A3o%20p%C3%B3s-gradua%C3%A7%C3%A3o</t>
  </si>
  <si>
    <t>ESTGV – Gestão/Finanças</t>
  </si>
  <si>
    <t>https://www.google.com/search?q=site%3Aipv.pt%20Finan%C3%A7as%20Empresariais%20p%C3%B3s-gradua%C3%A7%C3%A3o</t>
  </si>
  <si>
    <t>ESTGV – Gestão Turística</t>
  </si>
  <si>
    <t>https://www.google.com/search?q=site%3Aipv.pt%20Gest%C3%A3o%20Tur%C3%ADstica%20p%C3%B3s-gradua%C3%A7%C3%A3o</t>
  </si>
  <si>
    <t>ESTGV – Marketing</t>
  </si>
  <si>
    <t>https://www.google.com/search?q=site%3Aipv.pt%20Marketing%20p%C3%B3s-gradua%C3%A7%C3%A3o</t>
  </si>
  <si>
    <t>ESTGV – Tecnologias Ambientais</t>
  </si>
  <si>
    <t>https://www.google.com/search?q=site%3Aipv.pt%20Tecnologias%20Ambientais%20p%C3%B3s-gradua%C3%A7%C3%A3o</t>
  </si>
  <si>
    <t>Instituto Politécnico do Cávado e do Ave</t>
  </si>
  <si>
    <t>Barcelos</t>
  </si>
  <si>
    <t>Análise de Dados e Risco</t>
  </si>
  <si>
    <t>ETESP – IPCA, polos de Barcelos / Braga / Guimarães / Famalicão / Esposende / Vila Verde</t>
  </si>
  <si>
    <t>https://www.google.com/search?q=site%3Aipca.pt%20An%C3%A1lise%20de%20Dados%20e%20Risco%20CTeSP</t>
  </si>
  <si>
    <t>Aplicações Móveis</t>
  </si>
  <si>
    <t>ETESP – IPCA, vários polos</t>
  </si>
  <si>
    <t>https://www.google.com/search?q=site%3Aipca.pt%20Aplica%C3%A7%C3%B5es%20M%C3%B3veis%20CTeSP</t>
  </si>
  <si>
    <t>https://www.google.com/search?q=site%3Aipca.pt%20Apoio%20%C3%A0%20Gest%C3%A3o%20CTeSP</t>
  </si>
  <si>
    <t>https://www.google.com/search?q=site%3Aipca.pt%20Assessoria%20e%20Comunica%C3%A7%C3%A3o%20Empresarial%20CTeSP</t>
  </si>
  <si>
    <t>Audiovisual Digital</t>
  </si>
  <si>
    <t>https://www.google.com/search?q=site%3Aipca.pt%20Audiovisual%20Digital%20CTeSP</t>
  </si>
  <si>
    <t>Cabos Elétricos e Infraestruturas</t>
  </si>
  <si>
    <t>https://www.google.com/search?q=site%3Aipca.pt%20Cabos%20El%C3%A9tricos%20e%20Infraestruturas%20CTeSP</t>
  </si>
  <si>
    <t>https://www.google.com/search?q=site%3Aipca.pt%20Com%C3%A9rcio%20Eletr%C3%B3nico%20CTeSP</t>
  </si>
  <si>
    <t>Construção Inteligente e Sustentável</t>
  </si>
  <si>
    <t>https://www.google.com/search?q=site%3Aipca.pt%20Constru%C3%A7%C3%A3o%20Inteligente%20e%20Sustent%C3%A1vel%20CTeSP</t>
  </si>
  <si>
    <t>ETESP – IPCA, polos ligados à ESHT</t>
  </si>
  <si>
    <t>https://www.google.com/search?q=site%3Aipca.pt%20Cozinha%20e%20Inova%C3%A7%C3%A3o%20Alimentar%20CTeSP</t>
  </si>
  <si>
    <t>Desenho Técnico e Maquinação</t>
  </si>
  <si>
    <t>https://www.google.com/search?q=site%3Aipca.pt%20Desenho%20T%C3%A9cnico%20e%20Maquina%C3%A7%C3%A3o%20CTeSP</t>
  </si>
  <si>
    <t>https://www.google.com/search?q=site%3Aipca.pt%20Desenvolvimento%20Web%20e%20Multim%C3%A9dia%20CTeSP</t>
  </si>
  <si>
    <t>Design de Calçado</t>
  </si>
  <si>
    <t>ETESP – IPCA, polos com indústria de calçado</t>
  </si>
  <si>
    <t>https://www.google.com/search?q=site%3Aipca.pt%20Design%20de%20Cal%C3%A7ado%20CTeSP</t>
  </si>
  <si>
    <t>ETESP – IPCA, polos ligados à EST e ESD</t>
  </si>
  <si>
    <t>https://www.google.com/search?q=site%3Aipca.pt%20Design%20de%20Jogos%20Digitais%20CTeSP</t>
  </si>
  <si>
    <t>Design de Moda</t>
  </si>
  <si>
    <t>https://www.google.com/search?q=site%3Aipca.pt%20Design%20de%20Moda%20CTeSP</t>
  </si>
  <si>
    <t>https://www.google.com/search?q=site%3Aipca.pt%20Design%20para%20Media%20Digitais%20CTeSP</t>
  </si>
  <si>
    <t>Eletrónica, Automação e Comando</t>
  </si>
  <si>
    <t>https://www.google.com/search?q=site%3Aipca.pt%20Eletr%C3%B3nica%2C%20Automa%C3%A7%C3%A3o%20e%20Comando%20CTeSP</t>
  </si>
  <si>
    <t>Energia, Telecomunicações e Domótica</t>
  </si>
  <si>
    <t>https://www.google.com/search?q=site%3Aipca.pt%20Energia%2C%20Telecomunica%C3%A7%C3%B5es%20e%20Dom%C3%B3tica%20CTeSP</t>
  </si>
  <si>
    <t>Energias Renováveis e Sistemas Sustentáveis</t>
  </si>
  <si>
    <t>https://www.google.com/search?q=site%3Aipca.pt%20Energias%20Renov%C3%A1veis%20e%20Sistemas%20Sustent%C3%A1veis%20CTeSP</t>
  </si>
  <si>
    <t>Exercício Físico, Saúde e Bem-Estar</t>
  </si>
  <si>
    <t>https://www.google.com/search?q=site%3Aipca.pt%20Exerc%C3%ADcio%20F%C3%ADsico%2C%20Sa%C3%BAde%20e%20Bem-Estar%20CTeSP</t>
  </si>
  <si>
    <t>Exportação e Logística</t>
  </si>
  <si>
    <t>https://www.google.com/search?q=site%3Aipca.pt%20Exporta%C3%A7%C3%A3o%20e%20Log%C3%ADstica%20CTeSP</t>
  </si>
  <si>
    <t>https://www.google.com/search?q=site%3Aipca.pt%20Gest%C3%A3o%20Agr%C3%ADcola%20CTeSP</t>
  </si>
  <si>
    <t>Escola Superior de Gestão de Idanha‑a‑Nova (ESGIN‑IPCB), Largo do Município, 6060‑163 Idanha‑a‑Nova</t>
  </si>
  <si>
    <t>https://www.google.com/search?q=site%3Aipca.pt%20Gest%C3%A3o%20Empresarial%20CTeSP</t>
  </si>
  <si>
    <t>Gestão Financeira e Contabilística</t>
  </si>
  <si>
    <t>https://www.google.com/search?q=site%3Aipca.pt%20Gest%C3%A3o%20Financeira%20e%20Contabil%C3%ADstica%20CTeSP</t>
  </si>
  <si>
    <t>Gestão Industrial da Produção</t>
  </si>
  <si>
    <t>https://www.google.com/search?q=site%3Aipca.pt%20Gest%C3%A3o%20Industrial%20da%20Produ%C3%A7%C3%A3o%20CTeSP</t>
  </si>
  <si>
    <t>Gestão das Instalações Desportivas e Desporto</t>
  </si>
  <si>
    <t>https://www.google.com/search?q=site%3Aipca.pt%20Gest%C3%A3o%20das%20Instala%C3%A7%C3%B5es%20Desportivas%20e%20Desporto%20CTeSP</t>
  </si>
  <si>
    <t>Gestão de Redes e Telecomunicações Avançadas</t>
  </si>
  <si>
    <t>https://www.google.com/search?q=site%3Aipca.pt%20Gest%C3%A3o%20de%20Redes%20e%20Telecomunica%C3%A7%C3%B5es%20Avan%C3%A7adas%20CTeSP</t>
  </si>
  <si>
    <t>Gestão de Seguros</t>
  </si>
  <si>
    <t>https://www.google.com/search?q=site%3Aipca.pt%20Gest%C3%A3o%20de%20Seguros%20CTeSP</t>
  </si>
  <si>
    <t>Gestão de restauração e de bebidas</t>
  </si>
  <si>
    <t>https://www.google.com/search?q=site%3Aipca.pt%20Gest%C3%A3o%20de%20restaura%C3%A7%C3%A3o%20e%20de%20bebidas%20CTeSP</t>
  </si>
  <si>
    <t>Gestão e Manutenção de Infraestruturas</t>
  </si>
  <si>
    <t>https://www.google.com/search?q=site%3Aipca.pt%20Gest%C3%A3o%20e%20Manuten%C3%A7%C3%A3o%20de%20Infraestruturas%20CTeSP</t>
  </si>
  <si>
    <t>https://www.google.com/search?q=site%3Aipca.pt%20Ilustra%C3%A7%C3%A3o%20e%20Arte%20Gr%C3%A1fica%20CTeSP</t>
  </si>
  <si>
    <t>Industrialização e Fabrico Inteligente</t>
  </si>
  <si>
    <t>https://www.google.com/search?q=site%3Aipca.pt%20Industrializa%C3%A7%C3%A3o%20e%20Fabrico%20Inteligente%20CTeSP</t>
  </si>
  <si>
    <t>Industrialização e Qualidade Alimentar</t>
  </si>
  <si>
    <t>https://www.google.com/search?q=site%3Aipca.pt%20Industrializa%C3%A7%C3%A3o%20e%20Qualidade%20Alimentar%20CTeSP</t>
  </si>
  <si>
    <t>Industrialização e Serralharia Digital</t>
  </si>
  <si>
    <t>https://www.google.com/search?q=site%3Aipca.pt%20Industrializa%C3%A7%C3%A3o%20e%20Serralharia%20Digital%20CTeSP</t>
  </si>
  <si>
    <t>Informática de Gestão Aplicada ao Setor Social</t>
  </si>
  <si>
    <t>https://www.google.com/search?q=site%3Aipca.pt%20Inform%C3%A1tica%20de%20Gest%C3%A3o%20Aplicada%20ao%20Setor%20Social%20CTeSP</t>
  </si>
  <si>
    <t>Inovação Alimentar e Artes Culinárias</t>
  </si>
  <si>
    <t>https://www.google.com/search?q=site%3Aipca.pt%20Inova%C3%A7%C3%A3o%20Alimentar%20e%20Artes%20Culin%C3%A1rias%20CTeSP</t>
  </si>
  <si>
    <t>https://www.google.com/search?q=site%3Aipca.pt%20Manuten%C3%A7%C3%A3o%20Industrial%20CTeSP</t>
  </si>
  <si>
    <t>Marketing Digital e Social Media</t>
  </si>
  <si>
    <t>https://www.google.com/search?q=site%3Aipca.pt%20Marketing%20Digital%20e%20Social%20Media%20CTeSP</t>
  </si>
  <si>
    <t>https://www.google.com/search?q=site%3Aipca.pt%20Mec%C3%A2nica%20Autom%C3%B3vel%20CTeSP</t>
  </si>
  <si>
    <t>Mobilidade Híbrida</t>
  </si>
  <si>
    <t>https://www.google.com/search?q=site%3Aipca.pt%20Mobilidade%20H%C3%ADbrida%20CTeSP</t>
  </si>
  <si>
    <t>Moldação de Plásticos por Injeção</t>
  </si>
  <si>
    <t>Indústrias de Materiais (plásticos)</t>
  </si>
  <si>
    <t>https://www.google.com/search?q=site%3Aipca.pt%20Molda%C3%A7%C3%A3o%20de%20Pl%C3%A1sticos%20por%20Inje%C3%A7%C3%A3o%20CTeSP</t>
  </si>
  <si>
    <t>Organização e Gestão de Eventos</t>
  </si>
  <si>
    <t>https://www.google.com/search?q=site%3Aipca.pt%20Organiza%C3%A7%C3%A3o%20e%20Gest%C3%A3o%20de%20Eventos%20CTeSP</t>
  </si>
  <si>
    <t>Pastelaria, Doçaria e Panificação</t>
  </si>
  <si>
    <t>https://www.google.com/search?q=site%3Aipca.pt%20Pastelaria%2C%20Do%C3%A7aria%20e%20Panifica%C3%A7%C3%A3o%20CTeSP</t>
  </si>
  <si>
    <t>Preparação e Fabrico de Estruturas Modulares</t>
  </si>
  <si>
    <t>https://www.google.com/search?q=site%3Aipca.pt%20Prepara%C3%A7%C3%A3o%20e%20Fabrico%20de%20Estruturas%20Modulares%20CTeSP</t>
  </si>
  <si>
    <t>Preparação e Gestão de Obra</t>
  </si>
  <si>
    <t>https://www.google.com/search?q=site%3Aipca.pt%20Prepara%C3%A7%C3%A3o%20e%20Gest%C3%A3o%20de%20Obra%20CTeSP</t>
  </si>
  <si>
    <t>Qualidade Industrial e Metrologia</t>
  </si>
  <si>
    <t>https://www.google.com/search?q=site%3Aipca.pt%20Qualidade%20Industrial%20e%20Metrologia%20CTeSP</t>
  </si>
  <si>
    <t>Redes e Segurança Informática</t>
  </si>
  <si>
    <t>https://www.google.com/search?q=site%3Aipca.pt%20Redes%20e%20Seguran%C3%A7a%20Inform%C3%A1tica%20CTeSP</t>
  </si>
  <si>
    <t>Refrigeração e Eficiência Termoenergética</t>
  </si>
  <si>
    <t>https://www.google.com/search?q=site%3Aipca.pt%20Refrigera%C3%A7%C3%A3o%20e%20Efici%C3%AAncia%20Termoenerg%C3%A9tica%20CTeSP</t>
  </si>
  <si>
    <t>Reparação e Detalhe de Carroçarias</t>
  </si>
  <si>
    <t>https://www.google.com/search?q=site%3Aipca.pt%20Repara%C3%A7%C3%A3o%20e%20Detalhe%20de%20Carro%C3%A7arias%20CTeSP</t>
  </si>
  <si>
    <t>Robótica Colaborativa e Inteligência Industrial</t>
  </si>
  <si>
    <t>https://www.google.com/search?q=site%3Aipca.pt%20Rob%C3%B3tica%20Colaborativa%20e%20Intelig%C3%AAncia%20Industrial%20CTeSP</t>
  </si>
  <si>
    <t>Segurança e Proteção de Dados para Sistemas de Informação</t>
  </si>
  <si>
    <t>https://www.google.com/search?q=site%3Aipca.pt%20Seguran%C3%A7a%20e%20Prote%C3%A7%C3%A3o%20de%20Dados%20para%20Sistemas%20de%20Informa%C3%A7%C3%A3o%20CTeSP</t>
  </si>
  <si>
    <t>https://www.google.com/search?q=site%3Aipca.pt%20Servi%C3%A7os%20Jur%C3%ADdicos%20CTeSP</t>
  </si>
  <si>
    <t>https://www.google.com/search?q=site%3Aipca.pt%20Sistemas%20Eletr%C3%B3nicos%20e%20Computadores%20CTeSP</t>
  </si>
  <si>
    <t>Sistemas de Informação e Tecnologias de Programação</t>
  </si>
  <si>
    <t>https://www.google.com/search?q=site%3Aipca.pt%20Sistemas%20de%20Informa%C3%A7%C3%A3o%20e%20Tecnologias%20de%20Programa%C3%A7%C3%A3o%20CTeSP</t>
  </si>
  <si>
    <t>Soldadura Avançada</t>
  </si>
  <si>
    <t>https://www.google.com/search?q=site%3Aipca.pt%20Soldadura%20Avan%C3%A7ada%20CTeSP</t>
  </si>
  <si>
    <t>https://www.google.com/search?q=site%3Aipca.pt%20Tecnologias%20Avan%C3%A7adas%20de%20Constru%C3%A7%C3%A3o%20CTeSP</t>
  </si>
  <si>
    <t>Tecnologias de Impressão em Labelling e Packaging</t>
  </si>
  <si>
    <t>Indústrias de Materiais (papel, plástico, embalagem)</t>
  </si>
  <si>
    <t>https://www.google.com/search?q=site%3Aipca.pt%20Tecnologias%20de%20Impress%C3%A3o%20em%20Labelling%20e%20Packaging%20CTeSP</t>
  </si>
  <si>
    <t>Tecnologias e Inovação Informática</t>
  </si>
  <si>
    <t>https://www.google.com/search?q=site%3Aipca.pt%20Tecnologias%20e%20Inova%C3%A7%C3%A3o%20Inform%C3%A1tica%20CTeSP</t>
  </si>
  <si>
    <t>https://www.google.com/search?q=site%3Aipca.pt%20Treino%20Desportivo%20CTeSP</t>
  </si>
  <si>
    <t>Turismo Natureza e Aventura</t>
  </si>
  <si>
    <t>https://www.google.com/search?q=site%3Aipca.pt%20Turismo%20Natureza%20e%20Aventura%20CTeSP</t>
  </si>
  <si>
    <t>Turismo, Desporto e Atividades Náuticas</t>
  </si>
  <si>
    <t>https://www.google.com/search?q=site%3Aipca.pt%20Turismo%2C%20Desporto%20e%20Atividades%20N%C3%A1uticas%20CTeSP</t>
  </si>
  <si>
    <t>https://www.google.com/search?q=site%3Aipca.pt%20Administra%C3%A7%C3%A3o%20P%C3%BAblica%20licenciatura</t>
  </si>
  <si>
    <t>ESG – Escola Superior de Gestão do IPCA, Campus do IPCA, Vila Frescaínha S. Martinho, 4750‑810 Barcelos</t>
  </si>
  <si>
    <t>https://www.google.com/search?q=site%3Aipca.pt%20Contabilidade%20licenciatura</t>
  </si>
  <si>
    <t>Design Audiovisual</t>
  </si>
  <si>
    <t>ESD‑IPCA, Av. Combatentes da Grande Guerra, 176, 4750‑279 Barcelos</t>
  </si>
  <si>
    <t>https://www.google.com/search?q=site%3Aipca.pt%20Design%20Audiovisual%20licenciatura</t>
  </si>
  <si>
    <t>https://www.google.com/search?q=site%3Aipca.pt%20Design%20Gr%C3%A1fico%20licenciatura</t>
  </si>
  <si>
    <t>https://www.google.com/search?q=site%3Aipca.pt%20Design%20Industrial%20licenciatura</t>
  </si>
  <si>
    <t>Guimarães</t>
  </si>
  <si>
    <t>ESDBESB‑IPCA, Rua Vila Flor, n.º 166, 4810‑225 Guimarães</t>
  </si>
  <si>
    <t>https://www.google.com/search?q=site%3Aipca.pt%20Desporto%20licenciatura</t>
  </si>
  <si>
    <t>EST‑IPCA, Campus do IPCA, Vila Frescaínha S. Martinho, 4750‑810 Barcelos</t>
  </si>
  <si>
    <t>https://www.google.com/search?q=site%3Aipca.pt%20Engenharia%20Eletrot%C3%A9cnica%20e%20de%20Computadores%20licenciatura</t>
  </si>
  <si>
    <t>Engenharia Informática Médica</t>
  </si>
  <si>
    <t>EST‑IPCA, Campus do IPCA, Barcelos</t>
  </si>
  <si>
    <t>https://www.google.com/search?q=site%3Aipca.pt%20Engenharia%20Inform%C3%A1tica%20M%C3%A9dica%20licenciatura</t>
  </si>
  <si>
    <t>Engenharia de Dados e Inteligência Artificial</t>
  </si>
  <si>
    <t>https://www.google.com/search?q=site%3Aipca.pt%20Engenharia%20de%20Dados%20e%20Intelig%C3%AAncia%20Artificial%20licenciatura</t>
  </si>
  <si>
    <t>Engenharia de Sistemas Informáticos</t>
  </si>
  <si>
    <t>https://www.google.com/search?q=site%3Aipca.pt%20Engenharia%20de%20Sistemas%20Inform%C3%A1ticos%20licenciatura</t>
  </si>
  <si>
    <t>https://www.google.com/search?q=site%3Aipca.pt%20Engenharia%20e%20Gest%C3%A3o%20Industrial%20licenciatura</t>
  </si>
  <si>
    <t>Engenharia em Desenvolvimento de Jogos Digitais</t>
  </si>
  <si>
    <t>https://www.google.com/search?q=site%3Aipca.pt%20Engenharia%20em%20Desenvolvimento%20de%20Jogos%20Digitais%20licenciatura</t>
  </si>
  <si>
    <t>Finanças</t>
  </si>
  <si>
    <t>ESG – Campus do IPCA, Barcelos</t>
  </si>
  <si>
    <t>https://www.google.com/search?q=site%3Aipca.pt%20Finan%C3%A7as%20licenciatura</t>
  </si>
  <si>
    <t>https://www.google.com/search?q=site%3Aipca.pt%20Fiscalidade%20licenciatura</t>
  </si>
  <si>
    <t>Gastronomia e Sustentabilidade Alimentar</t>
  </si>
  <si>
    <t>ESHT‑IPCA, Campus do IPCA, Vila Frescaínha S. Martinho, 4750‑810 Barcelos</t>
  </si>
  <si>
    <t>https://www.google.com/search?q=site%3Aipca.pt%20Gastronomia%20e%20Sustentabilidade%20Alimentar%20licenciatura</t>
  </si>
  <si>
    <t>https://www.google.com/search?q=site%3Aipca.pt%20Gest%C3%A3o%20Hoteleira%20licenciatura</t>
  </si>
  <si>
    <t>https://www.google.com/search?q=site%3Aipca.pt%20Gest%C3%A3o%20P%C3%BAblica%20licenciatura</t>
  </si>
  <si>
    <t>Ensino a distância (sede em Barcelos)</t>
  </si>
  <si>
    <t>Gestão Pública (regime de ensino a distância)</t>
  </si>
  <si>
    <t>ESG – Campus do IPCA, Barcelos; curso estruturado em modelo de ensino a distância centrado no estudante</t>
  </si>
  <si>
    <t>https://www.google.com/search?q=site%3Aipca.pt%20Gest%C3%A3o%20P%C3%BAblica%20%28regime%20de%20ensino%20a%20dist%C3%A2ncia%29%20licenciatura</t>
  </si>
  <si>
    <t>Gestão de Atividades Turísticas</t>
  </si>
  <si>
    <t>https://www.google.com/search?q=site%3Aipca.pt%20Gest%C3%A3o%20de%20Atividades%20Tur%C3%ADsticas%20licenciatura</t>
  </si>
  <si>
    <t>https://www.google.com/search?q=site%3Aipca.pt%20Gest%C3%A3o%20de%20Empresas%20licenciatura</t>
  </si>
  <si>
    <t>https://www.google.com/search?q=site%3Aipca.pt%20Solicitadoria%20licenciatura</t>
  </si>
  <si>
    <t>ESG – Campus do IPCA, Vila Frescaínha S. Martinho, 4750‑810 Barcelos</t>
  </si>
  <si>
    <t>https://www.google.com/search?q=site%3Aipca.pt%20Auditoria%20mestrado</t>
  </si>
  <si>
    <t>Cibersegurança Aplicada</t>
  </si>
  <si>
    <t>https://www.google.com/search?q=site%3Aipca.pt%20Ciberseguran%C3%A7a%20Aplicada%20mestrado</t>
  </si>
  <si>
    <t>https://www.google.com/search?q=site%3Aipca.pt%20Contabilidade%20e%20Finan%C3%A7as%20mestrado</t>
  </si>
  <si>
    <t>https://www.google.com/search?q=site%3Aipca.pt%20Design%20Digital%20mestrado</t>
  </si>
  <si>
    <t>ESD‑IPCA, Barcelos</t>
  </si>
  <si>
    <t>https://www.google.com/search?q=site%3Aipca.pt%20Design%20e%20Desenvolvimento%20do%20Produto%20mestrado</t>
  </si>
  <si>
    <t>https://www.google.com/search?q=site%3Aipca.pt%20Dire%C3%A7%C3%A3o%20e%20Gest%C3%A3o%20Hoteleira%20mestrado</t>
  </si>
  <si>
    <t>Engenharia Eletrónica e de Computadores</t>
  </si>
  <si>
    <t>https://www.google.com/search?q=site%3Aipca.pt%20Engenharia%20Eletr%C3%B3nica%20e%20de%20Computadores%20mestrado</t>
  </si>
  <si>
    <t>https://www.google.com/search?q=site%3Aipca.pt%20Engenharia%20Inform%C3%A1tica%20mestrado</t>
  </si>
  <si>
    <t>https://www.google.com/search?q=site%3Aipca.pt%20Engenharia%20e%20Gest%C3%A3o%20Industrial%20mestrado</t>
  </si>
  <si>
    <t>https://www.google.com/search?q=site%3Aipca.pt%20Engenharia%20em%20Desenvolvimento%20de%20Jogos%20Digitais%20mestrado</t>
  </si>
  <si>
    <t>https://www.google.com/search?q=site%3Aipca.pt%20Fiscalidade%20mestrado</t>
  </si>
  <si>
    <t>https://www.google.com/search?q=site%3Aipca.pt%20Gest%C3%A3o%20mestrado</t>
  </si>
  <si>
    <t>https://www.google.com/search?q=site%3Aipca.pt%20Gest%C3%A3o%20Aut%C3%A1rquica%20mestrado</t>
  </si>
  <si>
    <t>Gestão Digital para Serviços Públicos</t>
  </si>
  <si>
    <t>https://www.google.com/search?q=site%3Aipca.pt%20Gest%C3%A3o%20Digital%20para%20Servi%C3%A7os%20P%C3%BAblicos%20mestrado</t>
  </si>
  <si>
    <t>https://www.google.com/search?q=site%3Aipca.pt%20Gest%C3%A3o%20Fiscal%20mestrado</t>
  </si>
  <si>
    <t>Gestão das Operações</t>
  </si>
  <si>
    <t>https://www.google.com/search?q=site%3Aipca.pt%20Gest%C3%A3o%20das%20Opera%C3%A7%C3%B5es%20mestrado</t>
  </si>
  <si>
    <t>https://www.google.com/search?q=site%3Aipca.pt%20Gest%C3%A3o%20das%20Organiza%C3%A7%C3%B5es%20mestrado</t>
  </si>
  <si>
    <t>https://www.google.com/search?q=site%3Aipca.pt%20Gest%C3%A3o%20de%20Empresas%20mestrado</t>
  </si>
  <si>
    <t>ESHT‑IPCA, Campus do IPCA, Barcelos</t>
  </si>
  <si>
    <t>https://www.google.com/search?q=site%3Aipca.pt%20Gest%C3%A3o%20do%20Turismo%20mestrado</t>
  </si>
  <si>
    <t>Gestão para Executivos</t>
  </si>
  <si>
    <t>https://www.google.com/search?q=site%3Aipca.pt%20Gest%C3%A3o%20para%20Executivos%20mestrado</t>
  </si>
  <si>
    <t>Ilustração e Animação</t>
  </si>
  <si>
    <t>https://www.google.com/search?q=site%3Aipca.pt%20Ilustra%C3%A7%C3%A3o%20e%20Anima%C3%A7%C3%A3o%20mestrado</t>
  </si>
  <si>
    <t>Inteligência Artificial Aplicada</t>
  </si>
  <si>
    <t>https://www.google.com/search?q=site%3Aipca.pt%20Intelig%C3%AAncia%20Artificial%20Aplicada%20mestrado</t>
  </si>
  <si>
    <t>https://www.google.com/search?q=site%3Aipca.pt%20Log%C3%ADstica%20mestrado</t>
  </si>
  <si>
    <t>https://www.google.com/search?q=site%3Aipca.pt%20Log%C3%ADstica%20e%20Gest%C3%A3o%20da%20Cadeia%20de%20Abastecimento%20mestrado</t>
  </si>
  <si>
    <t>https://www.google.com/search?q=site%3Aipca.pt%20Marketing%20mestrado</t>
  </si>
  <si>
    <t>https://www.google.com/search?q=site%3Aipca.pt%20Marketing%20Tur%C3%ADstico%20mestrado</t>
  </si>
  <si>
    <t>Modelação 3D e Fabrico Aditivo</t>
  </si>
  <si>
    <t>https://www.google.com/search?q=site%3Aipca.pt%20Modela%C3%A7%C3%A3o%203D%20e%20Fabrico%20Aditivo%20mestrado</t>
  </si>
  <si>
    <t>Práticas Jurídicas Imobiliárias</t>
  </si>
  <si>
    <t>https://www.google.com/search?q=site%3Aipca.pt%20Pr%C3%A1ticas%20Jur%C3%ADdicas%20Imobili%C3%A1rias%20mestrado</t>
  </si>
  <si>
    <t>Sistemas Integrados de Gestão QAS (Qualidade, Ambiente e Segurança)</t>
  </si>
  <si>
    <t>https://www.google.com/search?q=site%3Aipca.pt%20Sistemas%20Integrados%20de%20Gest%C3%A3o%20QAS%20%28Qualidade%2C%20Ambiente%20e%20Seguran%C3%A7a%29%20mestrado</t>
  </si>
  <si>
    <t>https://www.google.com/search?q=site%3Aipca.pt%20Solicitadoria%20mestrado</t>
  </si>
  <si>
    <t>Tecnologia Aplicada ao Desporto e Bem-Estar</t>
  </si>
  <si>
    <t>https://www.google.com/search?q=site%3Aipca.pt%20Tecnologia%20Aplicada%20ao%20Desporto%20e%20Bem-Estar%20mestrado</t>
  </si>
  <si>
    <t>Tecnologia Aplicada ao Desporto e Bem‑Estar</t>
  </si>
  <si>
    <t>https://www.google.com/search?q=site%3Aipca.pt%20Tecnologia%20Aplicada%20ao%20Desporto%20e%20Bem%E2%80%91Estar%20mestrado</t>
  </si>
  <si>
    <t>Tecnologias de Apoio à Educação STEAM</t>
  </si>
  <si>
    <t>https://www.google.com/search?q=site%3Aipca.pt%20Tecnologias%20de%20Apoio%20%C3%A0%20Educa%C3%A7%C3%A3o%20STEAM%20mestrado</t>
  </si>
  <si>
    <t>https://www.google.com/search?q=site%3Aipca.pt%20Treino%20Desportivo%20mestrado</t>
  </si>
  <si>
    <t>Auditoria Pública (em consórcio)</t>
  </si>
  <si>
    <t>https://www.google.com/search?q=site%3Aipca.pt%20Auditoria%20P%C3%BAblica%20%28em%20cons%C3%B3rcio%29%20p%C3%B3s-gradua%C3%A7%C3%A3o</t>
  </si>
  <si>
    <t>CiberSegurança e Informática Forense</t>
  </si>
  <si>
    <t>https://www.google.com/search?q=site%3Aipca.pt%20CiberSeguran%C3%A7a%20e%20Inform%C3%A1tica%20Forense%20p%C3%B3s-gradua%C3%A7%C3%A3o</t>
  </si>
  <si>
    <t>Contabilidade Financeira Empresarial</t>
  </si>
  <si>
    <t>https://www.google.com/search?q=site%3Aipca.pt%20Contabilidade%20Financeira%20Empresarial%20p%C3%B3s-gradua%C3%A7%C3%A3o</t>
  </si>
  <si>
    <t>1 semestre (aprox.)</t>
  </si>
  <si>
    <t>Contabilidade de Gestão e Estratégia Empresarial</t>
  </si>
  <si>
    <t>https://www.google.com/search?q=site%3Aipca.pt%20Contabilidade%20de%20Gest%C3%A3o%20e%20Estrat%C3%A9gia%20Empresarial%20p%C3%B3s-gradua%C3%A7%C3%A3o</t>
  </si>
  <si>
    <t>Contabilidade e Finanças Empresariais</t>
  </si>
  <si>
    <t>https://www.google.com/search?q=site%3Aipca.pt%20Contabilidade%20e%20Finan%C3%A7as%20Empresariais%20p%C3%B3s-gradua%C3%A7%C3%A3o</t>
  </si>
  <si>
    <t>Contabilidade e Gestão Financeira na Administração Pública (em consórcio)</t>
  </si>
  <si>
    <t>Escola Superior de Gestão / Consórcio CA&gt;AP</t>
  </si>
  <si>
    <t>https://www.google.com/search?q=site%3Aipca.pt%20Contabilidade%20e%20Gest%C3%A3o%20Financeira%20na%20Administra%C3%A7%C3%A3o%20P%C3%BAblica%20%28em%20cons%C3%B3rcio%29%20p%C3%B3s-gradua%C3%A7%C3%A3o</t>
  </si>
  <si>
    <t>Contratação Pública</t>
  </si>
  <si>
    <t>https://www.google.com/search?q=site%3Aipca.pt%20Contrata%C3%A7%C3%A3o%20P%C3%BAblica%20p%C3%B3s-gradua%C3%A7%C3%A3o</t>
  </si>
  <si>
    <t>Data Analysis for Business</t>
  </si>
  <si>
    <t>https://www.google.com/search?q=site%3Aipca.pt%20Data%20Analysis%20for%20Business%20p%C3%B3s-gradua%C3%A7%C3%A3o</t>
  </si>
  <si>
    <t>Design de Cerâmica e Olaria</t>
  </si>
  <si>
    <t>Escola Superior de Design</t>
  </si>
  <si>
    <t>https://www.google.com/search?q=site%3Aipca.pt%20Design%20de%20Cer%C3%A2mica%20e%20Olaria%20p%C3%B3s-gradua%C3%A7%C3%A3o</t>
  </si>
  <si>
    <t>Design de Têxtil e Moda</t>
  </si>
  <si>
    <t>https://www.google.com/search?q=site%3Aipca.pt%20Design%20de%20T%C3%AAxtil%20e%20Moda%20p%C3%B3s-gradua%C3%A7%C3%A3o</t>
  </si>
  <si>
    <t>1 semestre</t>
  </si>
  <si>
    <t>Digital Branding</t>
  </si>
  <si>
    <t>Escola Superior de Design / Gestão</t>
  </si>
  <si>
    <t>https://www.google.com/search?q=site%3Aipca.pt%20Digital%20Branding%20p%C3%B3s-gradua%C3%A7%C3%A3o</t>
  </si>
  <si>
    <t>Direito da Insolvência e da Recuperação de Devedores</t>
  </si>
  <si>
    <t>https://www.google.com/search?q=site%3Aipca.pt%20Direito%20da%20Insolv%C3%AAncia%20e%20da%20Recupera%C3%A7%C3%A3o%20de%20Devedores%20p%C3%B3s-gradua%C3%A7%C3%A3o</t>
  </si>
  <si>
    <t>Direito do Trabalho</t>
  </si>
  <si>
    <t>https://www.google.com/search?q=site%3Aipca.pt%20Direito%20do%20Trabalho%20p%C3%B3s-gradua%C3%A7%C3%A3o</t>
  </si>
  <si>
    <t>Direito dos Registos e Notariado</t>
  </si>
  <si>
    <t>https://www.google.com/search?q=site%3Aipca.pt%20Direito%20dos%20Registos%20e%20Notariado%20p%C3%B3s-gradua%C3%A7%C3%A3o</t>
  </si>
  <si>
    <t>Fintech</t>
  </si>
  <si>
    <t>https://www.google.com/search?q=site%3Aipca.pt%20Fintech%20p%C3%B3s-gradua%C3%A7%C3%A3o</t>
  </si>
  <si>
    <t>https://www.google.com/search?q=site%3Aipca.pt%20Fiscalidade%20p%C3%B3s-gradua%C3%A7%C3%A3o</t>
  </si>
  <si>
    <t>Fisiologia do Exercício Clínico</t>
  </si>
  <si>
    <t>Escola Superior de Desporto</t>
  </si>
  <si>
    <t>https://www.google.com/search?q=site%3Aipca.pt%20Fisiologia%20do%20Exerc%C3%ADcio%20Cl%C3%ADnico%20p%C3%B3s-gradua%C3%A7%C3%A3o</t>
  </si>
  <si>
    <t>Formação de Equipas Técnicas no Futebol</t>
  </si>
  <si>
    <t>https://www.google.com/search?q=site%3Aipca.pt%20Forma%C3%A7%C3%A3o%20de%20Equipas%20T%C3%A9cnicas%20no%20Futebol%20p%C3%B3s-gradua%C3%A7%C3%A3o</t>
  </si>
  <si>
    <t>https://www.google.com/search?q=site%3Aipca.pt%20Gest%C3%A3o%20de%20Alojamentos%20Tur%C3%ADsticos%20p%C3%B3s-gradua%C3%A7%C3%A3o</t>
  </si>
  <si>
    <t>Gestão de Fundos Europeus</t>
  </si>
  <si>
    <t>https://www.google.com/search?q=site%3Aipca.pt%20Gest%C3%A3o%20de%20Fundos%20Europeus%20p%C3%B3s-gradua%C3%A7%C3%A3o</t>
  </si>
  <si>
    <t>Gestão de Unidades de Turismo em Espaço Rural</t>
  </si>
  <si>
    <t>https://www.google.com/search?q=site%3Aipca.pt%20Gest%C3%A3o%20de%20Unidades%20de%20Turismo%20em%20Espa%C3%A7o%20Rural%20p%C3%B3s-gradua%C3%A7%C3%A3o</t>
  </si>
  <si>
    <t>https://www.google.com/search?q=site%3Aipca.pt%20Ilustra%C3%A7%C3%A3o%20p%C3%B3s-gradua%C3%A7%C3%A3o</t>
  </si>
  <si>
    <t>Investimentos Financeiros</t>
  </si>
  <si>
    <t>https://www.google.com/search?q=site%3Aipca.pt%20Investimentos%20Financeiros%20p%C3%B3s-gradua%C3%A7%C3%A3o</t>
  </si>
  <si>
    <t>ESGHT – Escola Superior de Gestão, Hotelaria e Turismo, Campus da Penha</t>
  </si>
  <si>
    <t>https://www.google.com/search?q=site%3Aipca.pt%20Marketing%20Digital%20p%C3%B3s-gradua%C3%A7%C3%A3o</t>
  </si>
  <si>
    <t>1 ano letivo; ECTS não indicados na síntese pública</t>
  </si>
  <si>
    <t>Marketing Digital e E-Commerce</t>
  </si>
  <si>
    <t>https://www.google.com/search?q=site%3Aipca.pt%20Marketing%20Digital%20e%20E-Commerce%20p%C3%B3s-gradua%C3%A7%C3%A3o</t>
  </si>
  <si>
    <t>Processo Civil – Procedimentos e Ações Especiais</t>
  </si>
  <si>
    <t>https://www.google.com/search?q=site%3Aipca.pt%20Processo%20Civil%20%E2%80%93%20Procedimentos%20e%20A%C3%A7%C3%B5es%20Especiais%20p%C3%B3s-gradua%C3%A7%C3%A3o</t>
  </si>
  <si>
    <t>Projetos de Investimento</t>
  </si>
  <si>
    <t>https://www.google.com/search?q=site%3Aipca.pt%20Projetos%20de%20Investimento%20p%C3%B3s-gradua%C3%A7%C3%A3o</t>
  </si>
  <si>
    <t>https://www.google.com/search?q=site%3Aipca.pt%20Registos%20e%20Notariado%20p%C3%B3s-gradua%C3%A7%C3%A3o</t>
  </si>
  <si>
    <t>Strength &amp; Conditioning</t>
  </si>
  <si>
    <t>https://www.google.com/search?q=site%3Aipca.pt%20Strength%20%26%20Conditioning%20p%C3%B3s-gradua%C3%A7%C3%A3o</t>
  </si>
  <si>
    <t>Transformação Industrial Sustentável</t>
  </si>
  <si>
    <t>Escola Superior de Tecnologia / Gestão</t>
  </si>
  <si>
    <t>https://www.google.com/search?q=site%3Aipca.pt%20Transforma%C3%A7%C3%A3o%20Industrial%20Sustent%C3%A1vel%20p%C3%B3s-gradua%C3%A7%C3%A3o</t>
  </si>
  <si>
    <t>Turismo Gastronómico e Enológico</t>
  </si>
  <si>
    <t>https://www.google.com/search?q=site%3Aipca.pt%20Turismo%20Gastron%C3%B3mico%20e%20Enol%C3%B3gico%20p%C3%B3s-gradua%C3%A7%C3%A3o</t>
  </si>
  <si>
    <t>UI Design</t>
  </si>
  <si>
    <t>https://www.google.com/search?q=site%3Aipca.pt%20UI%20Design%20p%C3%B3s-gradua%C3%A7%C3%A3o</t>
  </si>
  <si>
    <t>Instituto Politécnico do Porto</t>
  </si>
  <si>
    <t>https://www.google.com/search?q=site%3Aipp.pt%20Acompanhamento%20de%20Crian%C3%A7as%20e%20Jovens%20CTeSP</t>
  </si>
  <si>
    <t>Vila do Conde / Póvoa de Varzim</t>
  </si>
  <si>
    <t>Alimentação e Saúde</t>
  </si>
  <si>
    <t>Escola Superior de Hotelaria e Turismo (ESHT)</t>
  </si>
  <si>
    <t>https://www.google.com/search?q=site%3Aipp.pt%20Alimenta%C3%A7%C3%A3o%20e%20Sa%C3%BAde%20CTeSP</t>
  </si>
  <si>
    <t>https://www.google.com/search?q=site%3Aipp.pt%20Anima%C3%A7%C3%A3o%20Tur%C3%ADstica%20CTeSP</t>
  </si>
  <si>
    <t>Matosinhos (São Mamede de Infesta)</t>
  </si>
  <si>
    <t>Apoio à Decisão</t>
  </si>
  <si>
    <t>Matemática e Estatística</t>
  </si>
  <si>
    <t>ISCAP</t>
  </si>
  <si>
    <t>https://www.google.com/search?q=site%3Aipp.pt%20Apoio%20%C3%A0%20Decis%C3%A3o%20CTeSP</t>
  </si>
  <si>
    <t>Artes Culinárias Internacionais</t>
  </si>
  <si>
    <t>https://www.google.com/search?q=site%3Aipp.pt%20Artes%20Culin%C3%A1rias%20Internacionais%20CTeSP</t>
  </si>
  <si>
    <t>Artes e Design em Cerâmica e Vidro</t>
  </si>
  <si>
    <t>Materiais (Indústrias da Cerâmica, Vidro, etc.)</t>
  </si>
  <si>
    <t>https://www.google.com/search?q=site%3Aipp.pt%20Artes%20e%20Design%20em%20Cer%C3%A2mica%20e%20Vidro%20CTeSP</t>
  </si>
  <si>
    <t>Instituto Superior de Engenharia do Porto (ISEP)</t>
  </si>
  <si>
    <t>https://www.google.com/search?q=site%3Aipp.pt%20Automa%C3%A7%C3%A3o%2C%20Rob%C3%B3tica%20e%20Controlo%20Industrial%20CTeSP</t>
  </si>
  <si>
    <t>Felgueiras</t>
  </si>
  <si>
    <t>Cibersegurança, Redes e Sistemas Informáticos</t>
  </si>
  <si>
    <t>https://www.google.com/search?q=site%3Aipp.pt%20Ciberseguran%C3%A7a%2C%20Redes%20e%20Sistemas%20Inform%C3%A1ticos%20CTeSP</t>
  </si>
  <si>
    <t>Controlo e Qualidade Alimentar</t>
  </si>
  <si>
    <t>Escola Superior de Saúde (ESS)</t>
  </si>
  <si>
    <t>https://www.google.com/search?q=site%3Aipp.pt%20Controlo%20e%20Qualidade%20Alimentar%20CTeSP</t>
  </si>
  <si>
    <t>Cuidados de Saúde e Bem-Estar</t>
  </si>
  <si>
    <t>https://www.google.com/search?q=site%3Aipp.pt%20Cuidados%20de%20Sa%C3%BAde%20e%20Bem-Estar%20CTeSP</t>
  </si>
  <si>
    <t>Culturas e Manutenção Laboratorial</t>
  </si>
  <si>
    <t>https://www.google.com/search?q=site%3Aipp.pt%20Culturas%20e%20Manuten%C3%A7%C3%A3o%20Laboratorial%20CTeSP</t>
  </si>
  <si>
    <t>https://www.google.com/search?q=site%3Aipp.pt%20Desenvolvimento%20para%20a%20Web%20e%20Dispositivos%20M%C3%B3veis%20CTeSP</t>
  </si>
  <si>
    <t>Desenvolvimento Ágil de Software</t>
  </si>
  <si>
    <t>https://www.google.com/search?q=site%3Aipp.pt%20Desenvolvimento%20%C3%81gil%20de%20Software%20CTeSP</t>
  </si>
  <si>
    <t>Design de Jogos e Animação Digital</t>
  </si>
  <si>
    <t>Escola Superior de Media Artes e Design (ESMAD)</t>
  </si>
  <si>
    <t>https://www.google.com/search?q=site%3Aipp.pt%20Design%20de%20Jogos%20e%20Anima%C3%A7%C3%A3o%20Digital%20CTeSP</t>
  </si>
  <si>
    <t>Design de Mobiliário e Espaços</t>
  </si>
  <si>
    <t>https://www.google.com/search?q=site%3Aipp.pt%20Design%20de%20Mobili%C3%A1rio%20e%20Espa%C3%A7os%20CTeSP</t>
  </si>
  <si>
    <t>Design e Tecnologias para Aplicações Móveis</t>
  </si>
  <si>
    <t>https://www.google.com/search?q=site%3Aipp.pt%20Design%20e%20Tecnologias%20para%20Aplica%C3%A7%C3%B5es%20M%C3%B3veis%20CTeSP</t>
  </si>
  <si>
    <t>https://www.google.com/search?q=site%3Aipp.pt%20Desporto%20e%20Turismo%20de%20Natureza%20CTeSP</t>
  </si>
  <si>
    <t>Energia, Eficiência e Sustentabilidade</t>
  </si>
  <si>
    <t>https://www.google.com/search?q=site%3Aipp.pt%20Energia%2C%20Efici%C3%AAncia%20e%20Sustentabilidade%20CTeSP</t>
  </si>
  <si>
    <t>Georrecursos, Construção e Ambiente</t>
  </si>
  <si>
    <t>https://www.google.com/search?q=site%3Aipp.pt%20Georrecursos%2C%20Constru%C3%A7%C3%A3o%20e%20Ambiente%20CTeSP</t>
  </si>
  <si>
    <t>Gestão Hoteleira Internacional</t>
  </si>
  <si>
    <t>https://www.google.com/search?q=site%3Aipp.pt%20Gest%C3%A3o%20Hoteleira%20Internacional%20CTeSP</t>
  </si>
  <si>
    <t>Gestão Industrial 4.0</t>
  </si>
  <si>
    <t>https://www.google.com/search?q=site%3Aipp.pt%20Gest%C3%A3o%20Industrial%204.0%20CTeSP</t>
  </si>
  <si>
    <t>Gestão Integrada de Sistemas</t>
  </si>
  <si>
    <t>https://www.google.com/search?q=site%3Aipp.pt%20Gest%C3%A3o%20Integrada%20de%20Sistemas%20CTeSP</t>
  </si>
  <si>
    <t>Gestão da Comercialização de Produtos de Ourivesaria</t>
  </si>
  <si>
    <t>https://www.google.com/search?q=site%3Aipp.pt%20Gest%C3%A3o%20da%20Comercializa%C3%A7%C3%A3o%20de%20Produtos%20de%20Ourivesaria%20CTeSP</t>
  </si>
  <si>
    <t>Gestão de Marketing e Comércio Digital</t>
  </si>
  <si>
    <t>https://www.google.com/search?q=site%3Aipp.pt%20Gest%C3%A3o%20de%20Marketing%20e%20Com%C3%A9rcio%20Digital%20CTeSP</t>
  </si>
  <si>
    <t>Gestão de Serviços de Bebidas e Bar</t>
  </si>
  <si>
    <t>https://www.google.com/search?q=site%3Aipp.pt%20Gest%C3%A3o%20de%20Servi%C3%A7os%20de%20Bebidas%20e%20Bar%20CTeSP</t>
  </si>
  <si>
    <t>Gestão e Internacionalização de PME</t>
  </si>
  <si>
    <t>https://www.google.com/search?q=site%3Aipp.pt%20Gest%C3%A3o%20e%20Internacionaliza%C3%A7%C3%A3o%20de%20PME%20CTeSP</t>
  </si>
  <si>
    <t>https://www.google.com/search?q=site%3Aipp.pt%20Ilustra%C3%A7%C3%A3o%20e%20Produ%C3%A7%C3%A3o%20Gr%C3%A1fica%20CTeSP</t>
  </si>
  <si>
    <t>Informática Jurídica</t>
  </si>
  <si>
    <t>https://www.google.com/search?q=site%3Aipp.pt%20Inform%C3%A1tica%20Jur%C3%ADdica%20CTeSP</t>
  </si>
  <si>
    <t>Laboratórios de Química e Bioquímica</t>
  </si>
  <si>
    <t>https://www.google.com/search?q=site%3Aipp.pt%20Laborat%C3%B3rios%20de%20Qu%C3%ADmica%20e%20Bioqu%C3%ADmica%20CTeSP</t>
  </si>
  <si>
    <t>https://www.google.com/search?q=site%3Aipp.pt%20Manuten%C3%A7%C3%A3o%20Industrial%20CTeSP</t>
  </si>
  <si>
    <t>Maquinaria de Cena</t>
  </si>
  <si>
    <t>Escola Superior de Música e Artes do Espetáculo</t>
  </si>
  <si>
    <t>https://www.google.com/search?q=site%3Aipp.pt%20Maquinaria%20de%20Cena%20CTeSP</t>
  </si>
  <si>
    <t>Material Radioativo em Contexto Biomédico</t>
  </si>
  <si>
    <t>https://www.google.com/search?q=site%3Aipp.pt%20Material%20Radioativo%20em%20Contexto%20Biom%C3%A9dico%20CTeSP</t>
  </si>
  <si>
    <t>Metrologia, Instrumentação e Qualidade</t>
  </si>
  <si>
    <t>https://www.google.com/search?q=site%3Aipp.pt%20Metrologia%2C%20Instrumenta%C3%A7%C3%A3o%20e%20Qualidade%20CTeSP</t>
  </si>
  <si>
    <t>Modelação e Prototipagem em Ourivesaria</t>
  </si>
  <si>
    <t>https://www.google.com/search?q=site%3Aipp.pt%20Modela%C3%A7%C3%A3o%20e%20Prototipagem%20em%20Ourivesaria%20CTeSP</t>
  </si>
  <si>
    <t>Motion Design e Efeitos Visuais</t>
  </si>
  <si>
    <t>https://www.google.com/search?q=site%3Aipp.pt%20Motion%20Design%20e%20Efeitos%20Visuais%20CTeSP</t>
  </si>
  <si>
    <t>Negócios Digitais, Marketing e Comércio de Moda</t>
  </si>
  <si>
    <t>https://www.google.com/search?q=site%3Aipp.pt%20Neg%C3%B3cios%20Digitais%2C%20Marketing%20e%20Com%C3%A9rcio%20de%20Moda%20CTeSP</t>
  </si>
  <si>
    <t>https://www.google.com/search?q=site%3Aipp.pt%20Opera%C3%A7%C3%B5es%20Hoteleiras%20CTeSP</t>
  </si>
  <si>
    <t>Produtos de Saúde e Suplementos Alimentares</t>
  </si>
  <si>
    <t>https://www.google.com/search?q=site%3Aipp.pt%20Produtos%20de%20Sa%C3%BAde%20e%20Suplementos%20Alimentares%20CTeSP</t>
  </si>
  <si>
    <t>Programação de Sistemas de Iluminação Cénica</t>
  </si>
  <si>
    <t>https://www.google.com/search?q=site%3Aipp.pt%20Programa%C3%A7%C3%A3o%20de%20Sistemas%20de%20Ilumina%C3%A7%C3%A3o%20C%C3%A9nica%20CTeSP</t>
  </si>
  <si>
    <t>Práticas Laboratoriais em Próteses Auditivas</t>
  </si>
  <si>
    <t>https://www.google.com/search?q=site%3Aipp.pt%20Pr%C3%A1ticas%20Laboratoriais%20em%20Pr%C3%B3teses%20Auditivas%20CTeSP</t>
  </si>
  <si>
    <t>Qualidade Ambiental em Piscinas</t>
  </si>
  <si>
    <t>https://www.google.com/search?q=site%3Aipp.pt%20Qualidade%20Ambiental%20em%20Piscinas%20CTeSP</t>
  </si>
  <si>
    <t>Relações Públicas e Organização de Eventos</t>
  </si>
  <si>
    <t>https://www.google.com/search?q=site%3Aipp.pt%20Rela%C3%A7%C3%B5es%20P%C3%BAblicas%20e%20Organiza%C3%A7%C3%A3o%20de%20Eventos%20CTeSP</t>
  </si>
  <si>
    <t>https://www.google.com/search?q=site%3Aipp.pt%20Servi%C3%A7os%20Jur%C3%ADdicos%20CTeSP</t>
  </si>
  <si>
    <t>Serviços de Restauração e Catering</t>
  </si>
  <si>
    <t>https://www.google.com/search?q=site%3Aipp.pt%20Servi%C3%A7os%20de%20Restaura%C3%A7%C3%A3o%20e%20Catering%20CTeSP</t>
  </si>
  <si>
    <t>Serviços de Tecnologias Educativas</t>
  </si>
  <si>
    <t>https://www.google.com/search?q=site%3Aipp.pt%20Servi%C3%A7os%20de%20Tecnologias%20Educativas%20CTeSP</t>
  </si>
  <si>
    <t>Serviços e Tecnologias de Apoio Gerontológico</t>
  </si>
  <si>
    <t>https://www.google.com/search?q=site%3Aipp.pt%20Servi%C3%A7os%20e%20Tecnologias%20de%20Apoio%20Gerontol%C3%B3gico%20CTeSP</t>
  </si>
  <si>
    <t>https://www.google.com/search?q=site%3Aipp.pt%20Sistemas%20Eletromec%C3%A2nicos%20CTeSP</t>
  </si>
  <si>
    <t>Tanatopraxia, Tanatoestética e Disseção</t>
  </si>
  <si>
    <t>https://www.google.com/search?q=site%3Aipp.pt%20Tanatopraxia%2C%20Tanatoest%C3%A9tica%20e%20Disse%C3%A7%C3%A3o%20CTeSP</t>
  </si>
  <si>
    <t>Tecnologia Mecânica</t>
  </si>
  <si>
    <t>https://www.google.com/search?q=site%3Aipp.pt%20Tecnologia%20Mec%C3%A2nica%20CTeSP</t>
  </si>
  <si>
    <t>Tecnologias Aplicadas ao Ponto de Venda</t>
  </si>
  <si>
    <t>https://www.google.com/search?q=site%3Aipp.pt%20Tecnologias%20Aplicadas%20ao%20Ponto%20de%20Venda%20CTeSP</t>
  </si>
  <si>
    <t>Tecnologias Aplicadas à Comunicação Internacional em PME</t>
  </si>
  <si>
    <t>https://www.google.com/search?q=site%3Aipp.pt%20Tecnologias%20Aplicadas%20%C3%A0%20Comunica%C3%A7%C3%A3o%20Internacional%20em%20PME%20CTeSP</t>
  </si>
  <si>
    <t>Tecnologias Aplicadas à Contabilidade</t>
  </si>
  <si>
    <t>https://www.google.com/search?q=site%3Aipp.pt%20Tecnologias%20Aplicadas%20%C3%A0%20Contabilidade%20CTeSP</t>
  </si>
  <si>
    <t>Tecnologias da Informação para a Inovação Empresarial</t>
  </si>
  <si>
    <t>https://www.google.com/search?q=site%3Aipp.pt%20Tecnologias%20da%20Informa%C3%A7%C3%A3o%20para%20a%20Inova%C3%A7%C3%A3o%20Empresarial%20CTeSP</t>
  </si>
  <si>
    <t>Tecnologias de Dados e Visualização de Informação</t>
  </si>
  <si>
    <t>https://www.google.com/search?q=site%3Aipp.pt%20Tecnologias%20de%20Dados%20e%20Visualiza%C3%A7%C3%A3o%20de%20Informa%C3%A7%C3%A3o%20CTeSP</t>
  </si>
  <si>
    <t>https://www.google.com/search?q=site%3Aipp.pt%20Turismo%20e%20Informa%C3%A7%C3%A3o%20Tur%C3%ADstica%20CTeSP</t>
  </si>
  <si>
    <t>Técnicas de Supervisão na Construção</t>
  </si>
  <si>
    <t>https://www.google.com/search?q=site%3Aipp.pt%20T%C3%A9cnicas%20de%20Supervis%C3%A3o%20na%20Constru%C3%A7%C3%A3o%20CTeSP</t>
  </si>
  <si>
    <t>Valorização do Património Cultural</t>
  </si>
  <si>
    <t>https://www.google.com/search?q=site%3Aipp.pt%20Valoriza%C3%A7%C3%A3o%20do%20Patrim%C3%B3nio%20Cultural%20CTeSP</t>
  </si>
  <si>
    <t>Vendas para Mercados Internacionais</t>
  </si>
  <si>
    <t>https://www.google.com/search?q=site%3Aipp.pt%20Vendas%20para%20Mercados%20Internacionais%20CTeSP</t>
  </si>
  <si>
    <t>Artes Visuais e Tecnologias Artísticas</t>
  </si>
  <si>
    <t>https://www.google.com/search?q=site%3Aipp.pt%20Artes%20Visuais%20e%20Tecnologias%20Art%C3%ADsticas%20licenciatura</t>
  </si>
  <si>
    <t>Assessoria e Tradução</t>
  </si>
  <si>
    <t>Instituto Superior de Contabilidade e Administração do Porto (ISCAP)</t>
  </si>
  <si>
    <t>https://www.google.com/search?q=site%3Aipp.pt%20Assessoria%20e%20Tradu%C3%A7%C3%A3o%20licenciatura</t>
  </si>
  <si>
    <t>https://www.google.com/search?q=site%3Aipp.pt%20Audiologia%20licenciatura</t>
  </si>
  <si>
    <t>Biorrecursos</t>
  </si>
  <si>
    <t>https://www.google.com/search?q=site%3Aipp.pt%20Biorrecursos%20licenciatura</t>
  </si>
  <si>
    <t>https://www.google.com/search?q=site%3Aipp.pt%20Biotecnologia%20Medicinal%20licenciatura</t>
  </si>
  <si>
    <t>https://www.google.com/search?q=site%3Aipp.pt%20Cinema%20e%20Audiovisual%20licenciatura</t>
  </si>
  <si>
    <t>https://www.google.com/search?q=site%3Aipp.pt%20Ci%C3%AAncias%20Biom%C3%A9dicas%20Laboratoriais%20licenciatura</t>
  </si>
  <si>
    <t>https://www.google.com/search?q=site%3Aipp.pt%20Ci%C3%AAncias%20Empresariais%20licenciatura</t>
  </si>
  <si>
    <t>Ciências e Tecnologias da Documentação e Informação</t>
  </si>
  <si>
    <t>Biblioteconomia, Arquivo e Documentação</t>
  </si>
  <si>
    <t>https://www.google.com/search?q=site%3Aipp.pt%20Ci%C3%AAncias%20e%20Tecnologias%20da%20Documenta%C3%A7%C3%A3o%20e%20Informa%C3%A7%C3%A3o%20licenciatura</t>
  </si>
  <si>
    <t>Comunicação Empresarial</t>
  </si>
  <si>
    <t>https://www.google.com/search?q=site%3Aipp.pt%20Comunica%C3%A7%C3%A3o%20Empresarial%20licenciatura</t>
  </si>
  <si>
    <t>https://www.google.com/search?q=site%3Aipp.pt%20Com%C3%A9rcio%20Internacional%20licenciatura</t>
  </si>
  <si>
    <t>https://www.google.com/search?q=site%3Aipp.pt%20Contabilidade%20e%20Administra%C3%A7%C3%A3o%20licenciatura</t>
  </si>
  <si>
    <t>Criatividade e Inovação Empresarial</t>
  </si>
  <si>
    <t>https://www.google.com/search?q=site%3Aipp.pt%20Criatividade%20e%20Inova%C3%A7%C3%A3o%20Empresarial%20licenciatura</t>
  </si>
  <si>
    <t>https://www.google.com/search?q=site%3Aipp.pt%20Design%20licenciatura</t>
  </si>
  <si>
    <t>https://www.google.com/search?q=site%3Aipp.pt%20Desporto%20licenciatura</t>
  </si>
  <si>
    <t>https://www.google.com/search?q=site%3Aipp.pt%20Educa%C3%A7%C3%A3o%20B%C3%A1sica%20licenciatura</t>
  </si>
  <si>
    <t>Educação Musical</t>
  </si>
  <si>
    <t>https://www.google.com/search?q=site%3Aipp.pt%20Educa%C3%A7%C3%A3o%20Musical%20licenciatura</t>
  </si>
  <si>
    <t>https://www.google.com/search?q=site%3Aipp.pt%20Educa%C3%A7%C3%A3o%20Social%20licenciatura</t>
  </si>
  <si>
    <t>https://www.google.com/search?q=site%3Aipp.pt%20Engenharia%20Biom%C3%A9dica%20licenciatura</t>
  </si>
  <si>
    <t>https://www.google.com/search?q=site%3Aipp.pt%20Engenharia%20Civil%20licenciatura</t>
  </si>
  <si>
    <t>Engenharia Eletrotécnica - Sistemas Elétricos de Energia</t>
  </si>
  <si>
    <t>https://www.google.com/search?q=site%3Aipp.pt%20Engenharia%20Eletrot%C3%A9cnica%20-%20Sistemas%20El%C3%A9tricos%20de%20Energia%20licenciatura</t>
  </si>
  <si>
    <t>https://www.google.com/search?q=site%3Aipp.pt%20Engenharia%20Eletrot%C3%A9cnica%20e%20de%20Computadores%20licenciatura</t>
  </si>
  <si>
    <t>https://www.google.com/search?q=site%3Aipp.pt%20Engenharia%20F%C3%ADsica%20Aplicada%20licenciatura</t>
  </si>
  <si>
    <t>Engenharia Geotécnica e Geoambiente</t>
  </si>
  <si>
    <t>https://www.google.com/search?q=site%3Aipp.pt%20Engenharia%20Geot%C3%A9cnica%20e%20Geoambiente%20licenciatura</t>
  </si>
  <si>
    <t>https://www.google.com/search?q=site%3Aipp.pt%20Engenharia%20Inform%C3%A1tica%20licenciatura</t>
  </si>
  <si>
    <t>https://www.google.com/search?q=site%3Aipp.pt%20Engenharia%20Mec%C3%A2nica%20licenciatura</t>
  </si>
  <si>
    <t>Engenharia Mecânica Automóvel</t>
  </si>
  <si>
    <t>https://www.google.com/search?q=site%3Aipp.pt%20Engenharia%20Mec%C3%A2nica%20Autom%C3%B3vel%20licenciatura</t>
  </si>
  <si>
    <t>https://www.google.com/search?q=site%3Aipp.pt%20Engenharia%20Qu%C3%ADmica%20licenciatura</t>
  </si>
  <si>
    <t>Engenharia de Sistemas</t>
  </si>
  <si>
    <t>https://www.google.com/search?q=site%3Aipp.pt%20Engenharia%20de%20Sistemas%20licenciatura</t>
  </si>
  <si>
    <t>https://www.google.com/search?q=site%3Aipp.pt%20Engenharia%20de%20Telecomunica%C3%A7%C3%B5es%20e%20Inform%C3%A1tica%20licenciatura</t>
  </si>
  <si>
    <t>https://www.google.com/search?q=site%3Aipp.pt%20Engenharia%20e%20Gest%C3%A3o%20Industrial%20licenciatura</t>
  </si>
  <si>
    <t>https://www.google.com/search?q=site%3Aipp.pt%20Farm%C3%A1cia%20licenciatura</t>
  </si>
  <si>
    <t>https://www.google.com/search?q=site%3Aipp.pt%20Fisiologia%20Cl%C3%ADnica%20licenciatura</t>
  </si>
  <si>
    <t>https://www.google.com/search?q=site%3Aipp.pt%20Fisioterapia%20licenciatura</t>
  </si>
  <si>
    <t>https://www.google.com/search?q=site%3Aipp.pt%20Fotografia%20licenciatura</t>
  </si>
  <si>
    <t>Física Aplicada à Saúde</t>
  </si>
  <si>
    <t>https://www.google.com/search?q=site%3Aipp.pt%20F%C3%ADsica%20Aplicada%20%C3%A0%20Sa%C3%BAde%20licenciatura</t>
  </si>
  <si>
    <t>https://www.google.com/search?q=site%3Aipp.pt%20Gest%C3%A3o%20licenciatura</t>
  </si>
  <si>
    <t>https://www.google.com/search?q=site%3Aipp.pt%20Gest%C3%A3o%20Industrial%20e%20Log%C3%ADstica%20licenciatura</t>
  </si>
  <si>
    <t>Gestão Linguística para Negócios Internacionais</t>
  </si>
  <si>
    <t>https://www.google.com/search?q=site%3Aipp.pt%20Gest%C3%A3o%20Lingu%C3%ADstica%20para%20Neg%C3%B3cios%20Internacionais%20licenciatura</t>
  </si>
  <si>
    <t>https://www.google.com/search?q=site%3Aipp.pt%20Gest%C3%A3o%20da%20Restaura%C3%A7%C3%A3o%20e%20Catering%20licenciatura</t>
  </si>
  <si>
    <t>Gestão das Atividades Turísticas</t>
  </si>
  <si>
    <t>https://www.google.com/search?q=site%3Aipp.pt%20Gest%C3%A3o%20das%20Atividades%20Tur%C3%ADsticas%20licenciatura</t>
  </si>
  <si>
    <t>Gestão do Património Cultural</t>
  </si>
  <si>
    <t>https://www.google.com/search?q=site%3Aipp.pt%20Gest%C3%A3o%20do%20Patrim%C3%B3nio%20Cultural%20licenciatura</t>
  </si>
  <si>
    <t>Gestão e Administração Hoteleira</t>
  </si>
  <si>
    <t>https://www.google.com/search?q=site%3Aipp.pt%20Gest%C3%A3o%20e%20Administra%C3%A7%C3%A3o%20Hoteleira%20licenciatura</t>
  </si>
  <si>
    <t>https://www.google.com/search?q=site%3Aipp.pt%20Imagem%20M%C3%A9dica%20e%20Radioterapia%20licenciatura</t>
  </si>
  <si>
    <t>Línguas e Culturas Estrangeiras</t>
  </si>
  <si>
    <t>https://www.google.com/search?q=site%3Aipp.pt%20L%C3%ADnguas%20e%20Culturas%20Estrangeiras%20licenciatura</t>
  </si>
  <si>
    <t>https://www.google.com/search?q=site%3Aipp.pt%20Marketing%20licenciatura</t>
  </si>
  <si>
    <t>https://www.google.com/search?q=site%3Aipp.pt%20Multim%C3%A9dia%20licenciatura</t>
  </si>
  <si>
    <t>https://www.google.com/search?q=site%3Aipp.pt%20M%C3%BAsica%20licenciatura</t>
  </si>
  <si>
    <t>Música, variante de Composição</t>
  </si>
  <si>
    <t>https://www.google.com/search?q=site%3Aipp.pt%20M%C3%BAsica%2C%20variante%20de%20Composi%C3%A7%C3%A3o%20licenciatura</t>
  </si>
  <si>
    <t>Música, variante de Instrumento e Canto</t>
  </si>
  <si>
    <t>https://www.google.com/search?q=site%3Aipp.pt%20M%C3%BAsica%2C%20variante%20de%20Instrumento%20e%20Canto%20licenciatura</t>
  </si>
  <si>
    <t>Música, variante de Jazz</t>
  </si>
  <si>
    <t>https://www.google.com/search?q=site%3Aipp.pt%20M%C3%BAsica%2C%20variante%20de%20Jazz%20licenciatura</t>
  </si>
  <si>
    <t>Música, variante de Música Antiga</t>
  </si>
  <si>
    <t>https://www.google.com/search?q=site%3Aipp.pt%20M%C3%BAsica%2C%20variante%20de%20M%C3%BAsica%20Antiga%20licenciatura</t>
  </si>
  <si>
    <t>Música, variante de Produção e Tecnologias da Música</t>
  </si>
  <si>
    <t>https://www.google.com/search?q=site%3Aipp.pt%20M%C3%BAsica%2C%20variante%20de%20Produ%C3%A7%C3%A3o%20e%20Tecnologias%20da%20M%C3%BAsica%20licenciatura</t>
  </si>
  <si>
    <t>Ortóptica</t>
  </si>
  <si>
    <t>https://www.google.com/search?q=site%3Aipp.pt%20Ort%C3%B3ptica%20licenciatura</t>
  </si>
  <si>
    <t>https://www.google.com/search?q=site%3Aipp.pt%20Osteopatia%20licenciatura</t>
  </si>
  <si>
    <t>Recursos Humanos</t>
  </si>
  <si>
    <t>https://www.google.com/search?q=site%3Aipp.pt%20Recursos%20Humanos%20licenciatura</t>
  </si>
  <si>
    <t>https://www.google.com/search?q=site%3Aipp.pt%20Sa%C3%BAde%20Ambiental%20licenciatura</t>
  </si>
  <si>
    <t>Escola Superior de Saúde (ESS) / Escola Superior de Media Artes e Design (curso inter‑escolas)</t>
  </si>
  <si>
    <t>https://www.google.com/search?q=site%3Aipp.pt%20Sa%C3%BAde%20Digital%20licenciatura</t>
  </si>
  <si>
    <t>Segurança Informática em Redes de Computadores</t>
  </si>
  <si>
    <t>https://www.google.com/search?q=site%3Aipp.pt%20Seguran%C3%A7a%20Inform%C3%A1tica%20em%20Redes%20de%20Computadores%20licenciatura</t>
  </si>
  <si>
    <t>Segurança do Trabalho e Ambiente</t>
  </si>
  <si>
    <t>https://www.google.com/search?q=site%3Aipp.pt%20Seguran%C3%A7a%20do%20Trabalho%20e%20Ambiente%20licenciatura</t>
  </si>
  <si>
    <t>Sistemas de Informação para a Gestão</t>
  </si>
  <si>
    <t>https://www.google.com/search?q=site%3Aipp.pt%20Sistemas%20de%20Informa%C3%A7%C3%A3o%20para%20a%20Gest%C3%A3o%20licenciatura</t>
  </si>
  <si>
    <t>https://www.google.com/search?q=site%3Aipp.pt%20Solicitadoria%20licenciatura</t>
  </si>
  <si>
    <t>https://www.google.com/search?q=site%3Aipp.pt%20Teatro%20licenciatura</t>
  </si>
  <si>
    <t>Teatro, variante Cenografia</t>
  </si>
  <si>
    <t>https://www.google.com/search?q=site%3Aipp.pt%20Teatro%2C%20variante%20Cenografia%20licenciatura</t>
  </si>
  <si>
    <t>Teatro, variante Direção de Cena e Produção</t>
  </si>
  <si>
    <t>https://www.google.com/search?q=site%3Aipp.pt%20Teatro%2C%20variante%20Dire%C3%A7%C3%A3o%20de%20Cena%20e%20Produ%C3%A7%C3%A3o%20licenciatura</t>
  </si>
  <si>
    <t>Teatro, variante Figurino</t>
  </si>
  <si>
    <t>https://www.google.com/search?q=site%3Aipp.pt%20Teatro%2C%20variante%20Figurino%20licenciatura</t>
  </si>
  <si>
    <t>Teatro, variante Luz e Som</t>
  </si>
  <si>
    <t>https://www.google.com/search?q=site%3Aipp.pt%20Teatro%2C%20variante%20Luz%20e%20Som%20licenciatura</t>
  </si>
  <si>
    <t>Materiais (Indústrias da Madeira)</t>
  </si>
  <si>
    <t>https://www.google.com/search?q=site%3Aipp.pt%20Tecnologias%20da%20Madeira%20licenciatura</t>
  </si>
  <si>
    <t>Tecnologias e Desenvolvimento Web</t>
  </si>
  <si>
    <t>https://www.google.com/search?q=site%3Aipp.pt%20Tecnologias%20e%20Desenvolvimento%20Web%20licenciatura</t>
  </si>
  <si>
    <t>Tecnologias para a Educação STEAM</t>
  </si>
  <si>
    <t>https://www.google.com/search?q=site%3Aipp.pt%20Tecnologias%20para%20a%20Educa%C3%A7%C3%A3o%20STEAM%20licenciatura</t>
  </si>
  <si>
    <t>https://www.google.com/search?q=site%3Aipp.pt%20Terapia%20Ocupacional%20licenciatura</t>
  </si>
  <si>
    <t>https://www.google.com/search?q=site%3Aipp.pt%20Terapia%20da%20Fala%20licenciatura</t>
  </si>
  <si>
    <t>Tradução e Interpretação em Língua Gestual Portuguesa</t>
  </si>
  <si>
    <t>https://www.google.com/search?q=site%3Aipp.pt%20Tradu%C3%A7%C3%A3o%20e%20Interpreta%C3%A7%C3%A3o%20em%20L%C3%ADngua%20Gestual%20Portuguesa%20licenciatura</t>
  </si>
  <si>
    <t>Abordagens Inovadoras em Ciências da Fala, Linguagem e Audição</t>
  </si>
  <si>
    <t>https://www.google.com/search?q=site%3Aipp.pt%20Abordagens%20Inovadoras%20em%20Ci%C3%AAncias%20da%20Fala%2C%20Linguagem%20e%20Audi%C3%A7%C3%A3o%20mestrado</t>
  </si>
  <si>
    <t>Administração das Organizações Educativas</t>
  </si>
  <si>
    <t>https://www.google.com/search?q=site%3Aipp.pt%20Administra%C3%A7%C3%A3o%20das%20Organiza%C3%A7%C3%B5es%20Educativas%20mestrado</t>
  </si>
  <si>
    <t>Ambientes Tecnológicos para a Educação em Matemática e Ciências</t>
  </si>
  <si>
    <t>https://www.google.com/search?q=site%3Aipp.pt%20Ambientes%20Tecnol%C3%B3gicos%20para%20a%20Educa%C3%A7%C3%A3o%20em%20Matem%C3%A1tica%20e%20Ci%C3%AAncias%20mestrado</t>
  </si>
  <si>
    <t>https://www.google.com/search?q=site%3Aipp.pt%20Anima%C3%A7%C3%A3o%20mestrado</t>
  </si>
  <si>
    <t>Análises Clínicas e Saúde Pública</t>
  </si>
  <si>
    <t>https://www.google.com/search?q=site%3Aipp.pt%20An%C3%A1lises%20Cl%C3%ADnicas%20e%20Sa%C3%BAde%20P%C3%BAblica%20mestrado</t>
  </si>
  <si>
    <t>Artes Cénicas</t>
  </si>
  <si>
    <t>https://www.google.com/search?q=site%3Aipp.pt%20Artes%20C%C3%A9nicas%20mestrado</t>
  </si>
  <si>
    <t>Artes e Tecnologias do Som</t>
  </si>
  <si>
    <t>https://www.google.com/search?q=site%3Aipp.pt%20Artes%20e%20Tecnologias%20do%20Som%20mestrado</t>
  </si>
  <si>
    <t>Assessoria de Administração</t>
  </si>
  <si>
    <t>https://www.google.com/search?q=site%3Aipp.pt%20Assessoria%20de%20Administra%C3%A7%C3%A3o%20mestrado</t>
  </si>
  <si>
    <t>Assessoria em Comunicação Digital</t>
  </si>
  <si>
    <t>https://www.google.com/search?q=site%3Aipp.pt%20Assessoria%20em%20Comunica%C3%A7%C3%A3o%20Digital%20mestrado</t>
  </si>
  <si>
    <t>https://www.google.com/search?q=site%3Aipp.pt%20Audiologia%20mestrado</t>
  </si>
  <si>
    <t>https://www.google.com/search?q=site%3Aipp.pt%20Auditoria%20mestrado</t>
  </si>
  <si>
    <t>Bioestatística e Bioinformática Aplicadas à Saúde</t>
  </si>
  <si>
    <t>https://www.google.com/search?q=site%3Aipp.pt%20Bioestat%C3%ADstica%20e%20Bioinform%C3%A1tica%20Aplicadas%20%C3%A0%20Sa%C3%BAde%20mestrado</t>
  </si>
  <si>
    <t>Bioquímica em Saúde</t>
  </si>
  <si>
    <t>https://www.google.com/search?q=site%3Aipp.pt%20Bioqu%C3%ADmica%20em%20Sa%C3%BAde%20mestrado</t>
  </si>
  <si>
    <t>Cinema e Fotografia</t>
  </si>
  <si>
    <t>https://www.google.com/search?q=site%3Aipp.pt%20Cinema%20e%20Fotografia%20mestrado</t>
  </si>
  <si>
    <t>Ciências Gastronómicas</t>
  </si>
  <si>
    <t>https://www.google.com/search?q=site%3Aipp.pt%20Ci%C3%AAncias%20Gastron%C3%B3micas%20mestrado</t>
  </si>
  <si>
    <t>Composição</t>
  </si>
  <si>
    <t>https://www.google.com/search?q=site%3Aipp.pt%20Composi%C3%A7%C3%A3o%20mestrado</t>
  </si>
  <si>
    <t>Computação e Instrumentação Médica</t>
  </si>
  <si>
    <t>https://www.google.com/search?q=site%3Aipp.pt%20Computa%C3%A7%C3%A3o%20e%20Instrumenta%C3%A7%C3%A3o%20M%C3%A9dica%20mestrado</t>
  </si>
  <si>
    <t>https://www.google.com/search?q=site%3Aipp.pt%20Contabilidade%20e%20Finan%C3%A7as%20mestrado</t>
  </si>
  <si>
    <t>Controlo de Gestão e Finanças – Mestrado Profissionalizante</t>
  </si>
  <si>
    <t>https://www.google.com/search?q=site%3Aipp.pt%20Controlo%20de%20Gest%C3%A3o%20e%20Finan%C3%A7as%20%E2%80%93%20Mestrado%20Profissionalizante%20mestrado</t>
  </si>
  <si>
    <t>https://www.google.com/search?q=site%3Aipp.pt%20Design%20mestrado</t>
  </si>
  <si>
    <t>Didática das Ciências da Natureza e da Matemática</t>
  </si>
  <si>
    <t>https://www.google.com/search?q=site%3Aipp.pt%20Did%C3%A1tica%20das%20Ci%C3%AAncias%20da%20Natureza%20e%20da%20Matem%C3%A1tica%20mestrado</t>
  </si>
  <si>
    <t>Didática do Português na Era Digital</t>
  </si>
  <si>
    <t>https://www.google.com/search?q=site%3Aipp.pt%20Did%C3%A1tica%20do%20Portugu%C3%AAs%20na%20Era%20Digital%20mestrado</t>
  </si>
  <si>
    <t>Direção Hoteleira</t>
  </si>
  <si>
    <t>https://www.google.com/search?q=site%3Aipp.pt%20Dire%C3%A7%C3%A3o%20Hoteleira%20mestrado</t>
  </si>
  <si>
    <t>Educação Especial: Multideficiência e Problemas de Cognição</t>
  </si>
  <si>
    <t>https://www.google.com/search?q=site%3Aipp.pt%20Educa%C3%A7%C3%A3o%20Especial%3A%20Multidefici%C3%AAncia%20e%20Problemas%20de%20Cogni%C3%A7%C3%A3o%20mestrado</t>
  </si>
  <si>
    <t>https://www.google.com/search?q=site%3Aipp.pt%20Educa%C3%A7%C3%A3o%20Pr%C3%A9-Escolar%20mestrado</t>
  </si>
  <si>
    <t>https://www.google.com/search?q=site%3Aipp.pt%20Educa%C3%A7%C3%A3o%20Pr%C3%A9-Escolar%20e%20Ensino%20do%201.%C2%BA%20Ciclo%20do%20Ensino%20B%C3%A1sico%20mestrado</t>
  </si>
  <si>
    <t>Educação e Intervenção Social</t>
  </si>
  <si>
    <t>https://www.google.com/search?q=site%3Aipp.pt%20Educa%C3%A7%C3%A3o%20e%20Interven%C3%A7%C3%A3o%20Social%20mestrado</t>
  </si>
  <si>
    <t>Empreendedorismo e Internacionalização</t>
  </si>
  <si>
    <t>https://www.google.com/search?q=site%3Aipp.pt%20Empreendedorismo%20e%20Internacionaliza%C3%A7%C3%A3o%20mestrado</t>
  </si>
  <si>
    <t>Energias Sustentáveis</t>
  </si>
  <si>
    <t>https://www.google.com/search?q=site%3Aipp.pt%20Energias%20Sustent%C3%A1veis%20mestrado</t>
  </si>
  <si>
    <t>https://www.google.com/search?q=site%3Aipp.pt%20Engenharia%20Autom%C3%B3vel%20mestrado</t>
  </si>
  <si>
    <t>https://www.google.com/search?q=site%3Aipp.pt%20Engenharia%20Biom%C3%A9dica%20mestrado</t>
  </si>
  <si>
    <t>https://www.google.com/search?q=site%3Aipp.pt%20Engenharia%20Civil%20mestrado</t>
  </si>
  <si>
    <t>https://www.google.com/search?q=site%3Aipp.pt%20Engenharia%20Eletrot%C3%A9cnica%20-%20Sistemas%20El%C3%A9tricos%20de%20Energia%20mestrado</t>
  </si>
  <si>
    <t>https://www.google.com/search?q=site%3Aipp.pt%20Engenharia%20Eletrot%C3%A9cnica%20e%20de%20Computadores%20mestrado</t>
  </si>
  <si>
    <t>https://www.google.com/search?q=site%3Aipp.pt%20Engenharia%20Geot%C3%A9cnica%20e%20Geoambiente%20mestrado</t>
  </si>
  <si>
    <t>https://www.google.com/search?q=site%3Aipp.pt%20Engenharia%20Inform%C3%A1tica%20mestrado</t>
  </si>
  <si>
    <t>https://www.google.com/search?q=site%3Aipp.pt%20Engenharia%20Mec%C3%A2nica%20mestrado</t>
  </si>
  <si>
    <t>https://www.google.com/search?q=site%3Aipp.pt%20Engenharia%20Qu%C3%ADmica%20mestrado</t>
  </si>
  <si>
    <t>Engenharia de Biorrecursos</t>
  </si>
  <si>
    <t>https://www.google.com/search?q=site%3Aipp.pt%20Engenharia%20de%20Biorrecursos%20mestrado</t>
  </si>
  <si>
    <t>Engenharia de Inteligência Artificial</t>
  </si>
  <si>
    <t>https://www.google.com/search?q=site%3Aipp.pt%20Engenharia%20de%20Intelig%C3%AAncia%20Artificial%20mestrado</t>
  </si>
  <si>
    <t>Engenharia de Sistemas Computacionais Críticos</t>
  </si>
  <si>
    <t>https://www.google.com/search?q=site%3Aipp.pt%20Engenharia%20de%20Sistemas%20Computacionais%20Cr%C3%ADticos%20mestrado</t>
  </si>
  <si>
    <t>https://www.google.com/search?q=site%3Aipp.pt%20Engenharia%20e%20Gest%C3%A3o%20Industrial%20mestrado</t>
  </si>
  <si>
    <t>Engenharia e Gestão da Cadeia de Abastecimento</t>
  </si>
  <si>
    <t>https://www.google.com/search?q=site%3Aipp.pt%20Engenharia%20e%20Gest%C3%A3o%20da%20Cadeia%20de%20Abastecimento%20mestrado</t>
  </si>
  <si>
    <t>https://www.google.com/search?q=site%3Aipp.pt%20Ensino%20da%20Educa%C3%A7%C3%A3o%20Musical%20no%20Ensino%20B%C3%A1sico%20mestrado</t>
  </si>
  <si>
    <t>Formação de Professores do 2.º Ciclo (Educação Visual e Tecnológica)</t>
  </si>
  <si>
    <t>https://www.google.com/search?q=site%3Aipp.pt%20Ensino%20de%20Educa%C3%A7%C3%A3o%20Visual%20e%20Tecnol%C3%B3gica%20no%20Ensino%20B%C3%A1sico%20mestrado</t>
  </si>
  <si>
    <t>https://www.google.com/search?q=site%3Aipp.pt%20Ensino%20de%20Ingl%C3%AAs%20no%201.%C2%BA%20Ciclo%20do%20Ensino%20B%C3%A1sico%20mestrado</t>
  </si>
  <si>
    <t>https://www.google.com/search?q=site%3Aipp.pt%20Ensino%20de%20M%C3%BAsica%20mestrado</t>
  </si>
  <si>
    <t>Ensino de Português e Inglês no 2.º Ciclo do Ensino Básico</t>
  </si>
  <si>
    <t>Formação de Professores do 2.º Ciclo (Português e Inglês)</t>
  </si>
  <si>
    <t>https://www.google.com/search?q=site%3Aipp.pt%20Ensino%20de%20Portugu%C3%AAs%20e%20Ingl%C3%AAs%20no%202.%C2%BA%20Ciclo%20do%20Ensino%20B%C3%A1sico%20mestrado</t>
  </si>
  <si>
    <t>https://www.google.com/search?q=site%3Aipp.pt%20Ensino%20do%201.%C2%BA%20Ciclo%20do%20Ensino%20B%C3%A1sico%20e%20de%20Matem%C3%A1tica%20e%20Ci%C3%AAncias%20Naturais%20no%202.%C2%BA%20Ciclo%20do%20Ensino%20B%C3%A1sico%20mestrado</t>
  </si>
  <si>
    <t>https://www.google.com/search?q=site%3Aipp.pt%20Ensino%20do%201.%C2%BA%20Ciclo%20do%20Ensino%20B%C3%A1sico%20e%20de%20Portugu%C3%AAs%20e%20Hist%C3%B3ria%20e%20Geografia%20de%20Portugal%20no%202.%C2%BA%20Ciclo%20do%20Ensino%20B%C3%A1sico%20mestrado</t>
  </si>
  <si>
    <t>Ensino em Língua Gestual Portuguesa</t>
  </si>
  <si>
    <t>https://www.google.com/search?q=site%3Aipp.pt%20Ensino%20em%20L%C3%ADngua%20Gestual%20Portuguesa%20mestrado</t>
  </si>
  <si>
    <t>Estudos Interculturais para Negócios</t>
  </si>
  <si>
    <t>https://www.google.com/search?q=site%3Aipp.pt%20Estudos%20Interculturais%20para%20Neg%C3%B3cios%20mestrado</t>
  </si>
  <si>
    <t>https://www.google.com/search?q=site%3Aipp.pt%20Farm%C3%A1cia%20mestrado</t>
  </si>
  <si>
    <t>https://www.google.com/search?q=site%3Aipp.pt%20Finan%C3%A7as%20Empresariais%20mestrado</t>
  </si>
  <si>
    <t>https://www.google.com/search?q=site%3Aipp.pt%20Fisioterapia%20mestrado</t>
  </si>
  <si>
    <t>Fisioterapia Dermatofuncional</t>
  </si>
  <si>
    <t>https://www.google.com/search?q=site%3Aipp.pt%20Fisioterapia%20Dermatofuncional%20mestrado</t>
  </si>
  <si>
    <t>Gestão Integrada da Qualidade, Ambiente e Segurança</t>
  </si>
  <si>
    <t>https://www.google.com/search?q=site%3Aipp.pt%20Gest%C3%A3o%20Integrada%20da%20Qualidade%2C%20Ambiente%20e%20Seguran%C3%A7a%20mestrado</t>
  </si>
  <si>
    <t>https://www.google.com/search?q=site%3Aipp.pt%20Gest%C3%A3o%20das%20Organiza%C3%A7%C3%B5es%20mestrado</t>
  </si>
  <si>
    <t>Gestão das Organizações do 3.º Setor</t>
  </si>
  <si>
    <t>https://www.google.com/search?q=site%3Aipp.pt%20Gest%C3%A3o%20das%20Organiza%C3%A7%C3%B5es%20do%203.%C2%BA%20Setor%20mestrado</t>
  </si>
  <si>
    <t>https://www.google.com/search?q=site%3Aipp.pt%20Gest%C3%A3o%20de%20Projetos%20mestrado</t>
  </si>
  <si>
    <t>https://www.google.com/search?q=site%3Aipp.pt%20Gest%C3%A3o%20do%20Turismo%20mestrado</t>
  </si>
  <si>
    <t>Gestão e Decisão Industrial</t>
  </si>
  <si>
    <t>https://www.google.com/search?q=site%3Aipp.pt%20Gest%C3%A3o%20e%20Decis%C3%A3o%20Industrial%20mestrado</t>
  </si>
  <si>
    <t>Gestão e Desenvolvimento de Recursos Humanos</t>
  </si>
  <si>
    <t>https://www.google.com/search?q=site%3Aipp.pt%20Gest%C3%A3o%20e%20Desenvolvimento%20de%20Recursos%20Humanos%20mestrado</t>
  </si>
  <si>
    <t>Gestão e Direção Comercial</t>
  </si>
  <si>
    <t>https://www.google.com/search?q=site%3Aipp.pt%20Gest%C3%A3o%20e%20Dire%C3%A7%C3%A3o%20Comercial%20mestrado</t>
  </si>
  <si>
    <t>Gestão e Internacionalização de Empresas</t>
  </si>
  <si>
    <t>https://www.google.com/search?q=site%3Aipp.pt%20Gest%C3%A3o%20e%20Internacionaliza%C3%A7%C3%A3o%20de%20Empresas%20mestrado</t>
  </si>
  <si>
    <t>Gestão e Regime Jurídico‑Empresarial da Economia Social</t>
  </si>
  <si>
    <t>https://www.google.com/search?q=site%3Aipp.pt%20Gest%C3%A3o%20e%20Regime%20Jur%C3%ADdico%E2%80%91Empresarial%20da%20Economia%20Social%20mestrado</t>
  </si>
  <si>
    <t>Higiene e Segurança das Organizações</t>
  </si>
  <si>
    <t>https://www.google.com/search?q=site%3Aipp.pt%20Higiene%20e%20Seguran%C3%A7a%20das%20Organiza%C3%A7%C3%B5es%20mestrado</t>
  </si>
  <si>
    <t>Informação Empresarial</t>
  </si>
  <si>
    <t>https://www.google.com/search?q=site%3Aipp.pt%20Informa%C3%A7%C3%A3o%20Empresarial%20mestrado</t>
  </si>
  <si>
    <t>Inteligência e Análise para o Negócio</t>
  </si>
  <si>
    <t>https://www.google.com/search?q=site%3Aipp.pt%20Intelig%C3%AAncia%20e%20An%C3%A1lise%20para%20o%20Neg%C3%B3cio%20mestrado</t>
  </si>
  <si>
    <t>https://www.google.com/search?q=site%3Aipp.pt%20Log%C3%ADstica%20mestrado</t>
  </si>
  <si>
    <t>https://www.google.com/search?q=site%3Aipp.pt%20Marketing%20Digital%20mestrado</t>
  </si>
  <si>
    <t>Matemática Aplicada à Engenharia e às Finanças</t>
  </si>
  <si>
    <t>https://www.google.com/search?q=site%3Aipp.pt%20Matem%C3%A1tica%20Aplicada%20%C3%A0%20Engenharia%20e%20%C3%A0s%20Finan%C3%A7as%20mestrado</t>
  </si>
  <si>
    <t>Media Digitais Interativos</t>
  </si>
  <si>
    <t>https://www.google.com/search?q=site%3Aipp.pt%20Media%20Digitais%20Interativos%20mestrado</t>
  </si>
  <si>
    <t>Música - Interpretação Artística</t>
  </si>
  <si>
    <t>https://www.google.com/search?q=site%3Aipp.pt%20M%C3%BAsica%20-%20Interpreta%C3%A7%C3%A3o%20Art%C3%ADstica%20mestrado</t>
  </si>
  <si>
    <t>Negócios e Tecnologias Digitais</t>
  </si>
  <si>
    <t>https://www.google.com/search?q=site%3Aipp.pt%20Neg%C3%B3cios%20e%20Tecnologias%20Digitais%20mestrado</t>
  </si>
  <si>
    <t>Património, Artes e Turismo Cultural</t>
  </si>
  <si>
    <t>https://www.google.com/search?q=site%3Aipp.pt%20Patrim%C3%B3nio%2C%20Artes%20e%20Turismo%20Cultural%20mestrado</t>
  </si>
  <si>
    <t>Práticas Artísticas e Mediação em Arte</t>
  </si>
  <si>
    <t>https://www.google.com/search?q=site%3Aipp.pt%20Pr%C3%A1ticas%20Art%C3%ADsticas%20e%20Media%C3%A7%C3%A3o%20em%20Arte%20mestrado</t>
  </si>
  <si>
    <t>Práticas Empresariais e Jurídicas da Economia Social</t>
  </si>
  <si>
    <t>https://www.google.com/search?q=site%3Aipp.pt%20Pr%C3%A1ticas%20Empresariais%20e%20Jur%C3%ADdicas%20da%20Economia%20Social%20mestrado</t>
  </si>
  <si>
    <t>Práticas Jurídico-Digitais</t>
  </si>
  <si>
    <t>https://www.google.com/search?q=site%3Aipp.pt%20Pr%C3%A1ticas%20Jur%C3%ADdico-Digitais%20mestrado</t>
  </si>
  <si>
    <t>Práticas do Desenvolvimento</t>
  </si>
  <si>
    <t>https://www.google.com/search?q=site%3Aipp.pt%20Pr%C3%A1ticas%20do%20Desenvolvimento%20mestrado</t>
  </si>
  <si>
    <t>RESONO - Criação e Performance Musical Colaborativa (Mestrado Conjunto Internacional)</t>
  </si>
  <si>
    <t>Escola Superior de Música e Artes do Espetáculo + Royal Conservatoire Antwerp + Lithuanian Academy of Music and Theatre</t>
  </si>
  <si>
    <t>https://www.google.com/search?q=site%3Aipp.pt%20RESONO%20-%20Cria%C3%A7%C3%A3o%20e%20Performance%20Musical%20Colaborativa%20%28Mestrado%20Conjunto%20Internacional%29%20mestrado</t>
  </si>
  <si>
    <t>Saúde Translacional</t>
  </si>
  <si>
    <t>https://www.google.com/search?q=site%3Aipp.pt%20Sa%C3%BAde%20Translacional%20mestrado</t>
  </si>
  <si>
    <t>https://www.google.com/search?q=site%3Aipp.pt%20Solicitadoria%20mestrado</t>
  </si>
  <si>
    <t>https://www.google.com/search?q=site%3Aipp.pt%20Supervis%C3%A3o%20em%20Educa%C3%A7%C3%A3o%20mestrado</t>
  </si>
  <si>
    <t>Sustentabilidade e Relato Empresarial</t>
  </si>
  <si>
    <t>https://www.google.com/search?q=site%3Aipp.pt%20Sustentabilidade%20e%20Relato%20Empresarial%20mestrado</t>
  </si>
  <si>
    <t>Sustentabilidade no Turismo e na Hotelaria</t>
  </si>
  <si>
    <t>https://www.google.com/search?q=site%3Aipp.pt%20Sustentabilidade%20no%20Turismo%20e%20na%20Hotelaria%20mestrado</t>
  </si>
  <si>
    <t>Tecnologia Médica e Negócios em Saúde (Erasmus Mundus)</t>
  </si>
  <si>
    <t>Escola Superior de Saúde (ESS) + parceiros internacionais</t>
  </si>
  <si>
    <t>https://www.google.com/search?q=site%3Aipp.pt%20Tecnologia%20M%C3%A9dica%20e%20Neg%C3%B3cios%20em%20Sa%C3%BAde%20%28Erasmus%20Mundus%29%20mestrado</t>
  </si>
  <si>
    <t>https://www.google.com/search?q=site%3Aipp.pt%20Terapia%20Ocupacional%20mestrado</t>
  </si>
  <si>
    <t>https://www.google.com/search?q=site%3Aipp.pt%20Terapia%20da%20Fala%20mestrado</t>
  </si>
  <si>
    <t>Tradução e Interpretação Especializadas</t>
  </si>
  <si>
    <t>https://www.google.com/search?q=site%3Aipp.pt%20Tradu%C3%A7%C3%A3o%20e%20Interpreta%C3%A7%C3%A3o%20Especializadas%20mestrado</t>
  </si>
  <si>
    <t>Tradução e Interpretação Especializadas em Língua Gestual Portuguesa</t>
  </si>
  <si>
    <t>https://www.google.com/search?q=site%3Aipp.pt%20Tradu%C3%A7%C3%A3o%20e%20Interpreta%C3%A7%C3%A3o%20Especializadas%20em%20L%C3%ADngua%20Gestual%20Portuguesa%20mestrado</t>
  </si>
  <si>
    <t>Transformação Digital de Serviços de Saúde e Reabilitação</t>
  </si>
  <si>
    <t>https://www.google.com/search?q=site%3Aipp.pt%20Transforma%C3%A7%C3%A3o%20Digital%20de%20Servi%C3%A7os%20de%20Sa%C3%BAde%20e%20Reabilita%C3%A7%C3%A3o%20mestrado</t>
  </si>
  <si>
    <t>Técnicas Avançadas de Imagem em Radiologia</t>
  </si>
  <si>
    <t>https://www.google.com/search?q=site%3Aipp.pt%20T%C3%A9cnicas%20Avan%C3%A7adas%20de%20Imagem%20em%20Radiologia%20mestrado</t>
  </si>
  <si>
    <t>Técnicas Laboratoriais em Biopatologia</t>
  </si>
  <si>
    <t>https://www.google.com/search?q=site%3Aipp.pt%20T%C3%A9cnicas%20Laboratoriais%20em%20Biopatologia%20mestrado</t>
  </si>
  <si>
    <t>Audiodescrição para as Indústrias Criativas</t>
  </si>
  <si>
    <t>ISCAP / Porto Executive Academy</t>
  </si>
  <si>
    <t>https://www.google.com/search?q=site%3Aipp.pt%20Audiodescri%C3%A7%C3%A3o%20para%20as%20Ind%C3%BAstrias%20Criativas%20p%C3%B3s-gradua%C3%A7%C3%A3o</t>
  </si>
  <si>
    <t>https://www.google.com/search?q=site%3Aipp.pt%20Business%20Analytics%20p%C3%B3s-gradua%C3%A7%C3%A3o</t>
  </si>
  <si>
    <t>2 semestres (geral)</t>
  </si>
  <si>
    <t>Business Analytics and AI (Novo Plano 2026/2027)</t>
  </si>
  <si>
    <t>https://www.google.com/search?q=site%3Aipp.pt%20Business%20Analytics%20and%20AI%20%28Novo%20Plano%202026/2027%29%20p%C3%B3s-gradua%C3%A7%C3%A3o</t>
  </si>
  <si>
    <t>Cartografia de Risco e Planeamento de Proteção Civil</t>
  </si>
  <si>
    <t>Indústrias Alimentares (vinho)</t>
  </si>
  <si>
    <t>Engenharia / Proteção Civil</t>
  </si>
  <si>
    <t>https://www.google.com/search?q=site%3Aipp.pt%20Cartografia%20de%20Risco%20e%20Planeamento%20de%20Prote%C3%A7%C3%A3o%20Civil%20p%C3%B3s-gradua%C3%A7%C3%A3o</t>
  </si>
  <si>
    <t>Contabilidade Pública e Accountability</t>
  </si>
  <si>
    <t>https://www.google.com/search?q=site%3Aipp.pt%20Contabilidade%20P%C3%BAblica%20e%20Accountability%20p%C3%B3s-gradua%C3%A7%C3%A3o</t>
  </si>
  <si>
    <t>https://www.google.com/search?q=site%3Aipp.pt%20Contabilidade%20e%20Fiscalidade%20p%C3%B3s-gradua%C3%A7%C3%A3o</t>
  </si>
  <si>
    <t>Criação e Desenvolvimento de Negócios</t>
  </si>
  <si>
    <t>https://www.google.com/search?q=site%3Aipp.pt%20Cria%C3%A7%C3%A3o%20e%20Desenvolvimento%20de%20Neg%C3%B3cios%20p%C3%B3s-gradua%C3%A7%C3%A3o</t>
  </si>
  <si>
    <t>Design de Interiores e Espaços</t>
  </si>
  <si>
    <t>ESMAD</t>
  </si>
  <si>
    <t>https://www.google.com/search?q=site%3Aipp.pt%20Design%20de%20Interiores%20e%20Espa%C3%A7os%20p%C3%B3s-gradua%C3%A7%C3%A3o</t>
  </si>
  <si>
    <t>Digital Content Marketing &amp; Analytics</t>
  </si>
  <si>
    <t>https://www.google.com/search?q=site%3Aipp.pt%20Digital%20Content%20Marketing%20%26%20Analytics%20p%C3%B3s-gradua%C3%A7%C3%A3o</t>
  </si>
  <si>
    <t>Digital Personal Branding</t>
  </si>
  <si>
    <t>https://www.google.com/search?q=site%3Aipp.pt%20Digital%20Personal%20Branding%20p%C3%B3s-gradua%C3%A7%C3%A3o</t>
  </si>
  <si>
    <t>Direção Financeira</t>
  </si>
  <si>
    <t>https://www.google.com/search?q=site%3Aipp.pt%20Dire%C3%A7%C3%A3o%20Financeira%20p%C3%B3s-gradua%C3%A7%C3%A3o</t>
  </si>
  <si>
    <t>Direção Financeira (Novo Plano 2025/2026)</t>
  </si>
  <si>
    <t>https://www.google.com/search?q=site%3Aipp.pt%20Dire%C3%A7%C3%A3o%20Financeira%20%28Novo%20Plano%202025/2026%29%20p%C3%B3s-gradua%C3%A7%C3%A3o</t>
  </si>
  <si>
    <t>Diversidade, Equidade e Inclusão</t>
  </si>
  <si>
    <t>https://www.google.com/search?q=site%3Aipp.pt%20Diversidade%2C%20Equidade%20e%20Inclus%C3%A3o%20p%C3%B3s-gradua%C3%A7%C3%A3o</t>
  </si>
  <si>
    <t>Employer Branding</t>
  </si>
  <si>
    <t>https://www.google.com/search?q=site%3Aipp.pt%20Employer%20Branding%20p%C3%B3s-gradua%C3%A7%C3%A3o</t>
  </si>
  <si>
    <t>Empreendedorismo &amp; Business Development</t>
  </si>
  <si>
    <t>https://www.google.com/search?q=site%3Aipp.pt%20Empreendedorismo%20%26%20Business%20Development%20p%C3%B3s-gradua%C3%A7%C3%A3o</t>
  </si>
  <si>
    <t>ESHT</t>
  </si>
  <si>
    <t>https://www.google.com/search?q=site%3Aipp.pt%20Enoturismo%20p%C3%B3s-gradua%C3%A7%C3%A3o</t>
  </si>
  <si>
    <t>Estratégia Digital e Sistemas de Informação Avançados</t>
  </si>
  <si>
    <t>https://www.google.com/search?q=site%3Aipp.pt%20Estrat%C3%A9gia%20Digital%20e%20Sistemas%20de%20Informa%C3%A7%C3%A3o%20Avan%C3%A7ados%20p%C3%B3s-gradua%C3%A7%C3%A3o</t>
  </si>
  <si>
    <t>Executiva em Gestão Comercial</t>
  </si>
  <si>
    <t>https://www.google.com/search?q=site%3Aipp.pt%20Executiva%20em%20Gest%C3%A3o%20Comercial%20p%C3%B3s-gradua%C3%A7%C3%A3o</t>
  </si>
  <si>
    <t>Fiscalidade (ISCAP)</t>
  </si>
  <si>
    <t>https://www.google.com/search?q=site%3Aipp.pt%20Fiscalidade%20%28ISCAP%29%20p%C3%B3s-gradua%C3%A7%C3%A3o</t>
  </si>
  <si>
    <t>Gestão Integrada de Emergências: Safety &amp; Security</t>
  </si>
  <si>
    <t>https://www.google.com/search?q=site%3Aipp.pt%20Gest%C3%A3o%20Integrada%20de%20Emerg%C3%AAncias%3A%20Safety%20%26%20Security%20p%C3%B3s-gradua%C3%A7%C3%A3o</t>
  </si>
  <si>
    <t>Gestão da Documentação da Saúde</t>
  </si>
  <si>
    <t>https://www.google.com/search?q=site%3Aipp.pt%20Gest%C3%A3o%20da%20Documenta%C3%A7%C3%A3o%20da%20Sa%C3%BAde%20p%C3%B3s-gradua%C3%A7%C3%A3o</t>
  </si>
  <si>
    <t>Gestão da Internacionalização de PME</t>
  </si>
  <si>
    <t>https://www.google.com/search?q=site%3Aipp.pt%20Gest%C3%A3o%20da%20Internacionaliza%C3%A7%C3%A3o%20de%20PME%20p%C3%B3s-gradua%C3%A7%C3%A3o</t>
  </si>
  <si>
    <t>https://www.google.com/search?q=site%3Aipp.pt%20Gest%C3%A3o%20da%20Qualidade%20p%C3%B3s-gradua%C3%A7%C3%A3o</t>
  </si>
  <si>
    <t>Gestão de Emergências com Matérias Perigosas</t>
  </si>
  <si>
    <t>https://www.google.com/search?q=site%3Aipp.pt%20Gest%C3%A3o%20de%20Emerg%C3%AAncias%20com%20Mat%C3%A9rias%20Perigosas%20p%C3%B3s-gradua%C3%A7%C3%A3o</t>
  </si>
  <si>
    <t>https://www.google.com/search?q=site%3Aipp.pt%20Gest%C3%A3o%20de%20Eventos%20p%C3%B3s-gradua%C3%A7%C3%A3o</t>
  </si>
  <si>
    <t>Gestão de Projetos Sustentáveis</t>
  </si>
  <si>
    <t>https://www.google.com/search?q=site%3Aipp.pt%20Gest%C3%A3o%20de%20Projetos%20Sustent%C3%A1veis%20p%C3%B3s-gradua%C3%A7%C3%A3o</t>
  </si>
  <si>
    <t>Gestão de Serviços de Informação</t>
  </si>
  <si>
    <t>https://www.google.com/search?q=site%3Aipp.pt%20Gest%C3%A3o%20de%20Servi%C3%A7os%20de%20Informa%C3%A7%C3%A3o%20p%C3%B3s-gradua%C3%A7%C3%A3o</t>
  </si>
  <si>
    <t>Gestão de Smart Cities</t>
  </si>
  <si>
    <t>https://www.google.com/search?q=site%3Aipp.pt%20Gest%C3%A3o%20de%20Smart%20Cities%20p%C3%B3s-gradua%C3%A7%C3%A3o</t>
  </si>
  <si>
    <t>Gestão e Direção de Unidades de Saúde</t>
  </si>
  <si>
    <t>https://www.google.com/search?q=site%3Aipp.pt%20Gest%C3%A3o%20e%20Dire%C3%A7%C3%A3o%20de%20Unidades%20de%20Sa%C3%BAde%20p%C3%B3s-gradua%C3%A7%C3%A3o</t>
  </si>
  <si>
    <t>Gestão e Direção de Unidades de Saúde (Novo Plano 2026/2027)</t>
  </si>
  <si>
    <t>https://www.google.com/search?q=site%3Aipp.pt%20Gest%C3%A3o%20e%20Dire%C3%A7%C3%A3o%20de%20Unidades%20de%20Sa%C3%BAde%20%28Novo%20Plano%202026/2027%29%20p%C3%B3s-gradua%C3%A7%C3%A3o</t>
  </si>
  <si>
    <t>Inovação e Gestão das Organizações Sociais</t>
  </si>
  <si>
    <t>https://www.google.com/search?q=site%3Aipp.pt%20Inova%C3%A7%C3%A3o%20e%20Gest%C3%A3o%20das%20Organiza%C3%A7%C3%B5es%20Sociais%20p%C3%B3s-gradua%C3%A7%C3%A3o</t>
  </si>
  <si>
    <t>Inovação e Liderança em Proteção Civil Autárquica</t>
  </si>
  <si>
    <t>https://www.google.com/search?q=site%3Aipp.pt%20Inova%C3%A7%C3%A3o%20e%20Lideran%C3%A7a%20em%20Prote%C3%A7%C3%A3o%20Civil%20Aut%C3%A1rquica%20p%C3%B3s-gradua%C3%A7%C3%A3o</t>
  </si>
  <si>
    <t>Inteligência Artificial para Gestão de Recursos Humanos</t>
  </si>
  <si>
    <t>https://www.google.com/search?q=site%3Aipp.pt%20Intelig%C3%AAncia%20Artificial%20para%20Gest%C3%A3o%20de%20Recursos%20Humanos%20p%C3%B3s-gradua%C3%A7%C3%A3o</t>
  </si>
  <si>
    <t>Inteligência Artificial para o Negócio</t>
  </si>
  <si>
    <t>https://www.google.com/search?q=site%3Aipp.pt%20Intelig%C3%AAncia%20Artificial%20para%20o%20Neg%C3%B3cio%20p%C3%B3s-gradua%C3%A7%C3%A3o</t>
  </si>
  <si>
    <t>https://www.google.com/search?q=site%3Aipp.pt%20MBA%20Executivo%20p%C3%B3s-gradua%C3%A7%C3%A3o</t>
  </si>
  <si>
    <t>MBA Executivo (Novo Plano 2025/2026)</t>
  </si>
  <si>
    <t>https://www.google.com/search?q=site%3Aipp.pt%20MBA%20Executivo%20%28Novo%20Plano%202025/2026%29%20p%C3%B3s-gradua%C3%A7%C3%A3o</t>
  </si>
  <si>
    <t>MBA Pré‑Executivo</t>
  </si>
  <si>
    <t>https://www.google.com/search?q=site%3Aipp.pt%20MBA%20Pr%C3%A9%E2%80%91Executivo%20p%C3%B3s-gradua%C3%A7%C3%A3o</t>
  </si>
  <si>
    <t>MBA Pré‑Executivo (segundo plano repetido)</t>
  </si>
  <si>
    <t>https://www.google.com/search?q=site%3Aipp.pt%20MBA%20Pr%C3%A9%E2%80%91Executivo%20%28segundo%20plano%20repetido%29%20p%C3%B3s-gradua%C3%A7%C3%A3o</t>
  </si>
  <si>
    <t>MBA em Marketing Digital, Experiência do Cliente e Inovação</t>
  </si>
  <si>
    <t>https://www.google.com/search?q=site%3Aipp.pt%20MBA%20em%20Marketing%20Digital%2C%20Experi%C3%AAncia%20do%20Cliente%20e%20Inova%C3%A7%C3%A3o%20p%C3%B3s-gradua%C3%A7%C3%A3o</t>
  </si>
  <si>
    <t>Marketing B2B: Digital, Dados e Inteligência Artificial</t>
  </si>
  <si>
    <t>https://www.google.com/search?q=site%3Aipp.pt%20Marketing%20B2B%3A%20Digital%2C%20Dados%20e%20Intelig%C3%AAncia%20Artificial%20p%C3%B3s-gradua%C3%A7%C3%A3o</t>
  </si>
  <si>
    <t>Marketing Digital para a Hotelaria e Turismo</t>
  </si>
  <si>
    <t>https://www.google.com/search?q=site%3Aipp.pt%20Marketing%20Digital%20para%20a%20Hotelaria%20e%20Turismo%20p%C3%B3s-gradua%C3%A7%C3%A3o</t>
  </si>
  <si>
    <t>Mediação Intercultural</t>
  </si>
  <si>
    <t>https://www.google.com/search?q=site%3Aipp.pt%20Media%C3%A7%C3%A3o%20Intercultural%20p%C3%B3s-gradua%C3%A7%C3%A3o</t>
  </si>
  <si>
    <t>Projeto, Certificação e Peritagem de Proteção Civil</t>
  </si>
  <si>
    <t>https://www.google.com/search?q=site%3Aipp.pt%20Projeto%2C%20Certifica%C3%A7%C3%A3o%20e%20Peritagem%20de%20Prote%C3%A7%C3%A3o%20Civil%20p%C3%B3s-gradua%C3%A7%C3%A3o</t>
  </si>
  <si>
    <t>Qualidade e Saúde em Gastronomia</t>
  </si>
  <si>
    <t>https://www.google.com/search?q=site%3Aipp.pt%20Qualidade%20e%20Sa%C3%BAde%20em%20Gastronomia%20p%C3%B3s-gradua%C3%A7%C3%A3o</t>
  </si>
  <si>
    <t>1 ano letivo; carga horária e ECTS variáveis (formação avançada com diploma)</t>
  </si>
  <si>
    <t>Revenue Management em Turismo e Hotelaria</t>
  </si>
  <si>
    <t>https://www.google.com/search?q=site%3Aipp.pt%20Revenue%20Management%20em%20Turismo%20e%20Hotelaria%20p%C3%B3s-gradua%C3%A7%C3%A3o</t>
  </si>
  <si>
    <t>Serviços Linguísticos</t>
  </si>
  <si>
    <t>https://www.google.com/search?q=site%3Aipp.pt%20Servi%C3%A7os%20Lingu%C3%ADsticos%20p%C3%B3s-gradua%C3%A7%C3%A3o</t>
  </si>
  <si>
    <t>Soft Skills (para a Gestão)</t>
  </si>
  <si>
    <t>https://www.google.com/search?q=site%3Aipp.pt%20Soft%20Skills%20%28para%20a%20Gest%C3%A3o%29%20p%C3%B3s-gradua%C3%A7%C3%A3o</t>
  </si>
  <si>
    <t>Sommelier Executive Program</t>
  </si>
  <si>
    <t>https://www.google.com/search?q=site%3Aipp.pt%20Sommelier%20Executive%20Program%20p%C3%B3s-gradua%C3%A7%C3%A3o</t>
  </si>
  <si>
    <t>Sommelier de Cervejas</t>
  </si>
  <si>
    <t>https://www.google.com/search?q=site%3Aipp.pt%20Sommelier%20de%20Cervejas%20p%C3%B3s-gradua%C3%A7%C3%A3o</t>
  </si>
  <si>
    <t>Sommelier de Cervejas (Novo Plano)</t>
  </si>
  <si>
    <t>https://www.google.com/search?q=site%3Aipp.pt%20Sommelier%20de%20Cervejas%20%28Novo%20Plano%29%20p%C3%B3s-gradua%C3%A7%C3%A3o</t>
  </si>
  <si>
    <t>Technical Communication</t>
  </si>
  <si>
    <t>https://www.google.com/search?q=site%3Aipp.pt%20Technical%20Communication%20p%C3%B3s-gradua%C3%A7%C3%A3o</t>
  </si>
  <si>
    <t>Turismo Literário</t>
  </si>
  <si>
    <t>https://www.google.com/search?q=site%3Aipp.pt%20Turismo%20Liter%C3%A1rio%20p%C3%B3s-gradua%C3%A7%C3%A3o</t>
  </si>
  <si>
    <t>Web Design</t>
  </si>
  <si>
    <t>https://www.google.com/search?q=site%3Aipp.pt%20Web%20Design%20p%C3%B3s-gradua%C3%A7%C3%A3o</t>
  </si>
  <si>
    <t>Instituto Português de Administração de Marketing</t>
  </si>
  <si>
    <t>IPAM Lisboa</t>
  </si>
  <si>
    <t>https://www.google.com/search?q=site%3Aipam.pt%20Gest%C3%A3o%20Comercial%20e%20Vendas%20CTeSP</t>
  </si>
  <si>
    <t>https://www.google.com/search?q=site%3Aipam.pt%20Gest%C3%A3o%20de%20Neg%C3%B3cios%20Internacionais%20CTeSP</t>
  </si>
  <si>
    <t>https://www.google.com/search?q=site%3Aipam.pt%20Marketing%20Digital%20CTeSP</t>
  </si>
  <si>
    <t>https://www.google.com/search?q=site%3Aipam.pt%20Gest%C3%A3o%20de%20Marketing%20licenciatura</t>
  </si>
  <si>
    <t>Gestão de Marketing (regime de ensino a distância)</t>
  </si>
  <si>
    <t>IPAM Porto (online)</t>
  </si>
  <si>
    <t>https://www.google.com/search?q=site%3Aipam.pt%20Gest%C3%A3o%20de%20Marketing%20%28regime%20de%20ensino%20a%20dist%C3%A2ncia%29%20licenciatura</t>
  </si>
  <si>
    <t>IPAM Porto</t>
  </si>
  <si>
    <t>https://www.google.com/search?q=site%3Aipam.pt%20Gest%C3%A3o%20de%20Neg%C3%B3cios%20licenciatura</t>
  </si>
  <si>
    <t>https://www.google.com/search?q=site%3Aipam.pt%20Marketing%20licenciatura</t>
  </si>
  <si>
    <t>Negócios Globais</t>
  </si>
  <si>
    <t>https://www.google.com/search?q=site%3Aipam.pt%20Neg%C3%B3cios%20Globais%20licenciatura</t>
  </si>
  <si>
    <t>https://www.google.com/search?q=site%3Aipam.pt%20Gest%C3%A3o%20de%20Marketing%20mestrado</t>
  </si>
  <si>
    <t>https://www.google.com/search?q=site%3Aipam.pt%20Gest%C3%A3o%20de%20Marketing%20%28regime%20de%20ensino%20a%20dist%C3%A2ncia%29%20mestrado</t>
  </si>
  <si>
    <t>https://www.google.com/search?q=site%3Aipam.pt%20Gest%C3%A3o%20de%20Neg%C3%B3cios%20mestrado</t>
  </si>
  <si>
    <t>Gestão de Negócios (regime de ensino a distância)</t>
  </si>
  <si>
    <t>https://www.google.com/search?q=site%3Aipam.pt%20Gest%C3%A3o%20de%20Neg%C3%B3cios%20%28regime%20de%20ensino%20a%20dist%C3%A2ncia%29%20mestrado</t>
  </si>
  <si>
    <t>Gestão do Design</t>
  </si>
  <si>
    <t>https://www.google.com/search?q=site%3Aipam.pt%20Gest%C3%A3o%20do%20Design%20mestrado</t>
  </si>
  <si>
    <t>Inovação em Marketing e Negócios (regime de ensino a distância)</t>
  </si>
  <si>
    <t>https://www.google.com/search?q=site%3Aipam.pt%20Inova%C3%A7%C3%A3o%20em%20Marketing%20e%20Neg%C3%B3cios%20%28regime%20de%20ensino%20a%20dist%C3%A2ncia%29%20mestrado</t>
  </si>
  <si>
    <t>https://www.google.com/search?q=site%3Aipam.pt%20Marketing%20mestrado</t>
  </si>
  <si>
    <t>Marketing Digital (regime de ensino a distância)</t>
  </si>
  <si>
    <t>https://www.google.com/search?q=site%3Aipam.pt%20Marketing%20Digital%20%28regime%20de%20ensino%20a%20dist%C3%A2ncia%29%20mestrado</t>
  </si>
  <si>
    <t>Marketing e Tecnologia</t>
  </si>
  <si>
    <t>https://www.google.com/search?q=site%3Aipam.pt%20Marketing%20e%20Tecnologia%20mestrado</t>
  </si>
  <si>
    <t>https://www.google.com/search?q=site%3Aipam.pt%20Neg%C3%B3cios%20Globais%20mestrado</t>
  </si>
  <si>
    <t>Pós‑Graduação em AI &amp; Data Intelligence</t>
  </si>
  <si>
    <t>IPAM Lisboa / IPAM Porto</t>
  </si>
  <si>
    <t>https://www.google.com/search?q=site%3Aipam.pt%20P%C3%B3s%E2%80%91Gradua%C3%A7%C3%A3o%20em%20AI%20%26%20Data%20Intelligence%20p%C3%B3s-gradua%C3%A7%C3%A3o</t>
  </si>
  <si>
    <t>Duração 9–10 meses; ECTS não indicados na síntese pública</t>
  </si>
  <si>
    <t>Pós‑Graduação em Branding</t>
  </si>
  <si>
    <t>https://www.google.com/search?q=site%3Aipam.pt%20P%C3%B3s%E2%80%91Gradua%C3%A7%C3%A3o%20em%20Branding%20p%C3%B3s-gradua%C3%A7%C3%A3o</t>
  </si>
  <si>
    <t>Duração 9–10 meses; ECTS não indicados</t>
  </si>
  <si>
    <t>https://www.google.com/search?q=site%3Aipam.pt%20P%C3%B3s%E2%80%91Gradua%C3%A7%C3%A3o%20em%20Gest%C3%A3o%20de%20Marketing%20p%C3%B3s-gradua%C3%A7%C3%A3o</t>
  </si>
  <si>
    <t>Pós‑Graduação em Gestão na Saúde</t>
  </si>
  <si>
    <t>https://www.google.com/search?q=site%3Aipam.pt%20P%C3%B3s%E2%80%91Gradua%C3%A7%C3%A3o%20em%20Gest%C3%A3o%20na%20Sa%C3%BAde%20p%C3%B3s-gradua%C3%A7%C3%A3o</t>
  </si>
  <si>
    <t>Pós‑Graduação em Inteligência Artificial no Marketing</t>
  </si>
  <si>
    <t>https://www.google.com/search?q=site%3Aipam.pt%20P%C3%B3s%E2%80%91Gradua%C3%A7%C3%A3o%20em%20Intelig%C3%AAncia%20Artificial%20no%20Marketing%20p%C3%B3s-gradua%C3%A7%C3%A3o</t>
  </si>
  <si>
    <t>Pós‑Graduação em Inteligência Artificial nos Negócios</t>
  </si>
  <si>
    <t>https://www.google.com/search?q=site%3Aipam.pt%20P%C3%B3s%E2%80%91Gradua%C3%A7%C3%A3o%20em%20Intelig%C3%AAncia%20Artificial%20nos%20Neg%C3%B3cios%20p%C3%B3s-gradua%C3%A7%C3%A3o</t>
  </si>
  <si>
    <t>Pós‑Graduação em Marketing Digital</t>
  </si>
  <si>
    <t>https://www.google.com/search?q=site%3Aipam.pt%20P%C3%B3s%E2%80%91Gradua%C3%A7%C3%A3o%20em%20Marketing%20Digital%20p%C3%B3s-gradua%C3%A7%C3%A3o</t>
  </si>
  <si>
    <t>9 meses; ECTS não indicados</t>
  </si>
  <si>
    <t>Pós‑Graduação em Organização de Eventos</t>
  </si>
  <si>
    <t>https://www.google.com/search?q=site%3Aipam.pt%20P%C3%B3s%E2%80%91Gradua%C3%A7%C3%A3o%20em%20Organiza%C3%A7%C3%A3o%20de%20Eventos%20p%C3%B3s-gradua%C3%A7%C3%A3o</t>
  </si>
  <si>
    <t>Pós‑Graduação em Sales Management</t>
  </si>
  <si>
    <t>https://www.google.com/search?q=site%3Aipam.pt%20P%C3%B3s%E2%80%91Gradua%C3%A7%C3%A3o%20em%20Sales%20Management%20p%C3%B3s-gradua%C3%A7%C3%A3o</t>
  </si>
  <si>
    <t>Pós‑Graduação em Social Media e Content Marketing</t>
  </si>
  <si>
    <t>https://www.google.com/search?q=site%3Aipam.pt%20P%C3%B3s%E2%80%91Gradua%C3%A7%C3%A3o%20em%20Social%20Media%20e%20Content%20Marketing%20p%C3%B3s-gradua%C3%A7%C3%A3o</t>
  </si>
  <si>
    <t>Pós‑Graduação em Web3, Blockchain e Inteligência Artificial</t>
  </si>
  <si>
    <t>IPAM Porto (executive education)</t>
  </si>
  <si>
    <t>https://www.google.com/search?q=site%3Aipam.pt%20P%C3%B3s%E2%80%91Gradua%C3%A7%C3%A3o%20em%20Web3%2C%20Blockchain%20e%20Intelig%C3%AAncia%20Artificial%20p%C3%B3s-gradua%C3%A7%C3%A3o</t>
  </si>
  <si>
    <t>Duração tipo “curso de especialização”; ECTS não indicados</t>
  </si>
  <si>
    <t>Instituto Superior D. Dinis</t>
  </si>
  <si>
    <t>Marinha Grande</t>
  </si>
  <si>
    <t>Automação e Produção Industrial</t>
  </si>
  <si>
    <t>ISDOM – Av. 1.º de Maio, 164, Casal de Malta, 2430‑211 Marinha Grande</t>
  </si>
  <si>
    <t>https://www.google.com/search?q=site%3Aisdd.pt%20Automa%C3%A7%C3%A3o%20e%20Produ%C3%A7%C3%A3o%20Industrial%20CTeSP</t>
  </si>
  <si>
    <t>Campus ISDOM, Marinha Grande</t>
  </si>
  <si>
    <t>https://www.google.com/search?q=site%3Aisdd.pt%20Com%C3%A9rcio%20Internacional%20CTeSP</t>
  </si>
  <si>
    <t>https://www.google.com/search?q=site%3Aisdd.pt%20Contabilidade%20e%20Gest%C3%A3o%20CTeSP</t>
  </si>
  <si>
    <t>https://www.google.com/search?q=site%3Aisdd.pt%20Design%20de%20Produto%20CTeSP</t>
  </si>
  <si>
    <t>https://www.google.com/search?q=site%3Aisdd.pt%20Design%20e%20Multim%C3%A9dia%20CTeSP</t>
  </si>
  <si>
    <t>https://www.google.com/search?q=site%3Aisdd.pt%20Gest%C3%A3o%20Administrativa%20de%20Recursos%20Humanos%20CTeSP</t>
  </si>
  <si>
    <t>Gestão da Produção Aeronáutica</t>
  </si>
  <si>
    <t>Campus ISDOM, Marinha Grande; também com vagas em pólo de Torres Vedras</t>
  </si>
  <si>
    <t>https://www.google.com/search?q=site%3Aisdd.pt%20Gest%C3%A3o%20da%20Produ%C3%A7%C3%A3o%20Aeron%C3%A1utica%20CTeSP</t>
  </si>
  <si>
    <t>https://www.google.com/search?q=site%3Aisdd.pt%20Gest%C3%A3o%20da%20Qualidade%2C%20Ambiente%20e%20Seguran%C3%A7a%20CTeSP</t>
  </si>
  <si>
    <t>https://www.google.com/search?q=site%3Aisdd.pt%20Gest%C3%A3o%20de%20Turismo%20CTeSP</t>
  </si>
  <si>
    <t>Gestão e Organização Industrial</t>
  </si>
  <si>
    <t>https://www.google.com/search?q=site%3Aisdd.pt%20Gest%C3%A3o%20e%20Organiza%C3%A7%C3%A3o%20Industrial%20CTeSP</t>
  </si>
  <si>
    <t>https://www.google.com/search?q=site%3Aisdd.pt%20Projeto%20de%20Moldes%20CTeSP</t>
  </si>
  <si>
    <t>Sistemas Mecatrónicos e de Produção</t>
  </si>
  <si>
    <t>https://www.google.com/search?q=site%3Aisdd.pt%20Sistemas%20Mecatr%C3%B3nicos%20e%20de%20Produ%C3%A7%C3%A3o%20CTeSP</t>
  </si>
  <si>
    <t>Comunicação e Tecnologias Digitais</t>
  </si>
  <si>
    <t>https://www.google.com/search?q=site%3Aisdd.pt%20Comunica%C3%A7%C3%A3o%20e%20Tecnologias%20Digitais%20licenciatura</t>
  </si>
  <si>
    <t>https://www.google.com/search?q=site%3Aisdd.pt%20Design%20licenciatura</t>
  </si>
  <si>
    <t>Engenharia de Produção Industrial</t>
  </si>
  <si>
    <t>https://www.google.com/search?q=site%3Aisdd.pt%20Engenharia%20de%20Produ%C3%A7%C3%A3o%20Industrial%20licenciatura</t>
  </si>
  <si>
    <t>Engenharia e Design Industrial</t>
  </si>
  <si>
    <t>https://www.google.com/search?q=site%3Aisdd.pt%20Engenharia%20e%20Design%20Industrial%20licenciatura</t>
  </si>
  <si>
    <t>Engenharia e Gestão da Produção Aeronáutica</t>
  </si>
  <si>
    <t>https://www.google.com/search?q=site%3Aisdd.pt%20Engenharia%20e%20Gest%C3%A3o%20da%20Produ%C3%A7%C3%A3o%20Aeron%C3%A1utica%20licenciatura</t>
  </si>
  <si>
    <t>Engenharia e Gestão da Produção de Moldes</t>
  </si>
  <si>
    <t>https://www.google.com/search?q=site%3Aisdd.pt%20Engenharia%20e%20Gest%C3%A3o%20da%20Produ%C3%A7%C3%A3o%20de%20Moldes%20licenciatura</t>
  </si>
  <si>
    <t>Engenharia e Gestão da Tecnologia Industrial</t>
  </si>
  <si>
    <t>https://www.google.com/search?q=site%3Aisdd.pt%20Engenharia%20e%20Gest%C3%A3o%20da%20Tecnologia%20Industrial%20licenciatura</t>
  </si>
  <si>
    <t>https://www.google.com/search?q=site%3Aisdd.pt%20Gest%C3%A3o%20Comercial%20licenciatura</t>
  </si>
  <si>
    <t>Gestão Industrial e Inovação Tecnológica</t>
  </si>
  <si>
    <t>https://www.google.com/search?q=site%3Aisdd.pt%20Gest%C3%A3o%20Industrial%20e%20Inova%C3%A7%C3%A3o%20Tecnol%C3%B3gica%20licenciatura</t>
  </si>
  <si>
    <t>Campus ISDOM, Av. 1.º de Maio, 164, Casal de Malta, 2430‑211 Marinha Grande</t>
  </si>
  <si>
    <t>https://www.google.com/search?q=site%3Aisdd.pt%20Gest%C3%A3o%20de%20Recursos%20Humanos%20licenciatura</t>
  </si>
  <si>
    <t>Engenharia e Gestão Tecnológica de Sistemas de Produção</t>
  </si>
  <si>
    <t>https://www.google.com/search?q=site%3Aisdd.pt%20Engenharia%20e%20Gest%C3%A3o%20Tecnol%C3%B3gica%20de%20Sistemas%20de%20Produ%C3%A7%C3%A3o%20mestrado</t>
  </si>
  <si>
    <t>https://www.google.com/search?q=site%3Aisdd.pt%20Engenharia%20e%20Gest%C3%A3o%20da%20Produ%C3%A7%C3%A3o%20de%20Moldes%20mestrado</t>
  </si>
  <si>
    <t>Instituto Superior Manuel Teixeira Gomes (ISMAT)</t>
  </si>
  <si>
    <t>Portimão</t>
  </si>
  <si>
    <t>ISMAT, Rua Dr. Estêvão de Vasconcelos, 33, 8500‑656 Portimão</t>
  </si>
  <si>
    <t>https://www.google.com/search?q=site%3Aismat.pt%20Ci%C3%AAncia%20de%20Dados%20licenciatura</t>
  </si>
  <si>
    <t>https://www.google.com/search?q=site%3Aismat.pt%20Ci%C3%AAncias%20do%20Desporto%20licenciatura</t>
  </si>
  <si>
    <t>Computação e Matemática Aplicada</t>
  </si>
  <si>
    <t>https://www.google.com/search?q=site%3Aismat.pt%20Computa%C3%A7%C3%A3o%20e%20Matem%C3%A1tica%20Aplicada%20licenciatura</t>
  </si>
  <si>
    <t>https://www.google.com/search?q=site%3Aismat.pt%20Design%20licenciatura</t>
  </si>
  <si>
    <t>Design e Produção de Moda e Têxtil</t>
  </si>
  <si>
    <t>https://www.google.com/search?q=site%3Aismat.pt%20Design%20e%20Produ%C3%A7%C3%A3o%20de%20Moda%20e%20T%C3%AAxtil%20licenciatura</t>
  </si>
  <si>
    <t>https://www.google.com/search?q=site%3Aismat.pt%20Direito%20licenciatura</t>
  </si>
  <si>
    <t>https://www.google.com/search?q=site%3Aismat.pt%20Engenharia%20Inform%C3%A1tica%20licenciatura</t>
  </si>
  <si>
    <t>https://www.google.com/search?q=site%3Aismat.pt%20Gest%C3%A3o%20de%20Empresas%20licenciatura</t>
  </si>
  <si>
    <t>https://www.google.com/search?q=site%3Aismat.pt%20Gest%C3%A3o%20de%20Recursos%20Humanos%20licenciatura</t>
  </si>
  <si>
    <t>https://www.google.com/search?q=site%3Aismat.pt%20Gest%C3%A3o%20do%20Turismo%20licenciatura</t>
  </si>
  <si>
    <t>https://www.google.com/search?q=site%3Aismat.pt%20Psicologia%20licenciatura</t>
  </si>
  <si>
    <t>Tecnologias Criativas</t>
  </si>
  <si>
    <t>https://www.google.com/search?q=site%3Aismat.pt%20Tecnologias%20Criativas%20licenciatura</t>
  </si>
  <si>
    <t>Biodesign</t>
  </si>
  <si>
    <t>https://www.google.com/search?q=site%3Aismat.pt%20Biodesign%20mestrado</t>
  </si>
  <si>
    <t>Design para a Economia Circular</t>
  </si>
  <si>
    <t>https://www.google.com/search?q=site%3Aismat.pt%20Design%20para%20a%20Economia%20Circular%20mestrado</t>
  </si>
  <si>
    <t>Direito do Trabalho e da Segurança Social</t>
  </si>
  <si>
    <t>https://www.google.com/search?q=site%3Aismat.pt%20Direito%20do%20Trabalho%20e%20da%20Seguran%C3%A7a%20Social%20mestrado</t>
  </si>
  <si>
    <t>Ensino de Artes Visuais no 3.º CEB e no Ensino Secundário</t>
  </si>
  <si>
    <t>Formação de Professores de Artes Visuais</t>
  </si>
  <si>
    <t>https://www.google.com/search?q=site%3Aismat.pt%20Ensino%20de%20Artes%20Visuais%20no%203.%C2%BA%20CEB%20e%20no%20Ensino%20Secund%C3%A1rio%20mestrado</t>
  </si>
  <si>
    <t>Gestão de Recursos Humanos e Intervenção Organizacional</t>
  </si>
  <si>
    <t>https://www.google.com/search?q=site%3Aismat.pt%20Gest%C3%A3o%20de%20Recursos%20Humanos%20e%20Interven%C3%A7%C3%A3o%20Organizacional%20mestrado</t>
  </si>
  <si>
    <t>Portimão (ensino a distância)</t>
  </si>
  <si>
    <t>Gestão e Inovação em Turismo e Hospitalidade (ensino a distância)</t>
  </si>
  <si>
    <t>ISMAT, Portimão – funcionamento em regime de ensino a distância (EAD)</t>
  </si>
  <si>
    <t>https://www.google.com/search?q=site%3Aismat.pt%20Gest%C3%A3o%20e%20Inova%C3%A7%C3%A3o%20em%20Turismo%20e%20Hospitalidade%20%28ensino%20a%20dist%C3%A2ncia%29%20mestrado</t>
  </si>
  <si>
    <t>Psicologia do Trabalho e da Saúde Ocupacional</t>
  </si>
  <si>
    <t>https://www.google.com/search?q=site%3Aismat.pt%20Psicologia%20do%20Trabalho%20e%20da%20Sa%C3%BAde%20Ocupacional%20mestrado</t>
  </si>
  <si>
    <t>Reabilitação de Edifícios e Sítios</t>
  </si>
  <si>
    <t>https://www.google.com/search?q=site%3Aismat.pt%20Reabilita%C3%A7%C3%A3o%20de%20Edif%C3%ADcios%20e%20S%C3%ADtios%20mestrado</t>
  </si>
  <si>
    <t>https://www.google.com/search?q=site%3Aismat.pt%20Arquitetura%20mestrado%20integrado</t>
  </si>
  <si>
    <t>Instituto Superior Miguel Torga</t>
  </si>
  <si>
    <t>Animação e Modelação Digital 3D – NOVA PG</t>
  </si>
  <si>
    <t>Escola de Coimbra – Área dos Audiovisuais e Comunicação</t>
  </si>
  <si>
    <t>https://www.google.com/search?q=site%3Aismt.pt%20Anima%C3%A7%C3%A3o%20e%20Modela%C3%A7%C3%A3o%20Digital%203D%20%E2%80%93%20NOVA%20PG%20p%C3%B3s-gradua%C3%A7%C3%A3o</t>
  </si>
  <si>
    <t>Estratégia e Inovação na Gestão do Capital Humano – NOVA PG</t>
  </si>
  <si>
    <t>Escola de Coimbra – Área de Ciências Empresariais</t>
  </si>
  <si>
    <t>https://www.google.com/search?q=site%3Aismt.pt%20Estrat%C3%A9gia%20e%20Inova%C3%A7%C3%A3o%20na%20Gest%C3%A3o%20do%20Capital%20Humano%20%E2%80%93%20NOVA%20PG%20p%C3%B3s-gradua%C3%A7%C3%A3o</t>
  </si>
  <si>
    <t>Felicidade no Trabalho e nas Organizações – 2ª edição</t>
  </si>
  <si>
    <t>https://www.google.com/search?q=site%3Aismt.pt%20Felicidade%20no%20Trabalho%20e%20nas%20Organiza%C3%A7%C3%B5es%20%E2%80%93%202%C2%AA%20edi%C3%A7%C3%A3o%20p%C3%B3s-gradua%C3%A7%C3%A3o</t>
  </si>
  <si>
    <t>Gestão de Autarquias Locais em tempos desafiadores – NOVA PG</t>
  </si>
  <si>
    <t>Escola de Coimbra – Administração Pública</t>
  </si>
  <si>
    <t>https://www.google.com/search?q=site%3Aismt.pt%20Gest%C3%A3o%20de%20Autarquias%20Locais%20em%20tempos%20desafiadores%20%E2%80%93%20NOVA%20PG%20p%C3%B3s-gradua%C3%A7%C3%A3o</t>
  </si>
  <si>
    <t>Gestão e Finanças – Candidaturas Abertas</t>
  </si>
  <si>
    <t>https://www.google.com/search?q=site%3Aismt.pt%20Gest%C3%A3o%20e%20Finan%C3%A7as%20%E2%80%93%20Candidaturas%20Abertas%20p%C3%B3s-gradua%C3%A7%C3%A3o</t>
  </si>
  <si>
    <t>Ilustração – NOVA PG</t>
  </si>
  <si>
    <t>https://www.google.com/search?q=site%3Aismt.pt%20Ilustra%C3%A7%C3%A3o%20%E2%80%93%20NOVA%20PG%20p%C3%B3s-gradua%C3%A7%C3%A3o</t>
  </si>
  <si>
    <t>Inovação e Gestão das Organizações Sociais – NOVA PG</t>
  </si>
  <si>
    <t>https://www.google.com/search?q=site%3Aismt.pt%20Inova%C3%A7%C3%A3o%20e%20Gest%C3%A3o%20das%20Organiza%C3%A7%C3%B5es%20Sociais%20%E2%80%93%20NOVA%20PG%20p%C3%B3s-gradua%C3%A7%C3%A3o</t>
  </si>
  <si>
    <t>Intervenção com Doentes de Alzheimer e Outras Demências – 8ª edição</t>
  </si>
  <si>
    <t>Escola de Coimbra – Área de Ciências Sociais e do Comportamento</t>
  </si>
  <si>
    <t>https://www.google.com/search?q=site%3Aismt.pt%20Interven%C3%A7%C3%A3o%20com%20Doentes%20de%20Alzheimer%20e%20Outras%20Dem%C3%AAncias%20%E2%80%93%208%C2%AA%20edi%C3%A7%C3%A3o%20p%C3%B3s-gradua%C3%A7%C3%A3o</t>
  </si>
  <si>
    <t>Duração e ECTS não indicados na página de lista consultada</t>
  </si>
  <si>
    <t>Investigação e Segurança Contra Catástrofes, Crises e Acidentes – 3ª edição</t>
  </si>
  <si>
    <t>https://www.google.com/search?q=site%3Aismt.pt%20Investiga%C3%A7%C3%A3o%20e%20Seguran%C3%A7a%20Contra%20Cat%C3%A1strofes%2C%20Crises%20e%20Acidentes%20%E2%80%93%203%C2%AA%20edi%C3%A7%C3%A3o%20p%C3%B3s-gradua%C3%A7%C3%A3o</t>
  </si>
  <si>
    <t>Psicoterapia Psicanalítica – 8ª edição</t>
  </si>
  <si>
    <t>https://www.google.com/search?q=site%3Aismt.pt%20Psicoterapia%20Psicanal%C3%ADtica%20%E2%80%93%208%C2%AA%20edi%C3%A7%C3%A3o%20p%C3%B3s-gradua%C3%A7%C3%A3o</t>
  </si>
  <si>
    <t>Realização e Distribuição de Conteúdos Audiovisuais – NOVA PG</t>
  </si>
  <si>
    <t>https://www.google.com/search?q=site%3Aismt.pt%20Realiza%C3%A7%C3%A3o%20e%20Distribui%C3%A7%C3%A3o%20de%20Conte%C3%BAdos%20Audiovisuais%20%E2%80%93%20NOVA%20PG%20p%C3%B3s-gradua%C3%A7%C3%A3o</t>
  </si>
  <si>
    <t>Instituto Superior Politécnico Gaya (ISPGAYA)</t>
  </si>
  <si>
    <t>Assessoria Contabilística e Financeira</t>
  </si>
  <si>
    <t>Escola Superior de Ciências Empresariais</t>
  </si>
  <si>
    <t>https://www.google.com/search?q=site%3Aispgaya.pt%20Assessoria%20Contabil%C3%ADstica%20e%20Financeira%20CTeSP</t>
  </si>
  <si>
    <t>https://www.google.com/search?q=site%3Aispgaya.pt%20Contabilidade%20e%20Fiscalidade%20CTeSP</t>
  </si>
  <si>
    <t>Electromedicina</t>
  </si>
  <si>
    <t>Escola Superior de Ciência e Tecnologia</t>
  </si>
  <si>
    <t>https://www.google.com/search?q=site%3Aispgaya.pt%20Electromedicina%20CTeSP</t>
  </si>
  <si>
    <t>Eletrónica e Automação Industrial</t>
  </si>
  <si>
    <t>https://www.google.com/search?q=site%3Aispgaya.pt%20Eletr%C3%B3nica%20e%20Automa%C3%A7%C3%A3o%20Industrial%20CTeSP</t>
  </si>
  <si>
    <t>https://www.google.com/search?q=site%3Aispgaya.pt%20Energias%20Renov%C3%A1veis%20e%20Efici%C3%AAncia%20Energ%C3%A9tica%20CTeSP</t>
  </si>
  <si>
    <t>https://www.google.com/search?q=site%3Aispgaya.pt%20Gest%C3%A3o%20Hoteleira%20CTeSP</t>
  </si>
  <si>
    <t>https://www.google.com/search?q=site%3Aispgaya.pt%20Gest%C3%A3o%20da%20Qualidade%2C%20Ambiente%20e%20Seguran%C3%A7a%20CTeSP</t>
  </si>
  <si>
    <t>Gestão de Atividades Turísticas 4.0</t>
  </si>
  <si>
    <t>https://www.google.com/search?q=site%3Aispgaya.pt%20Gest%C3%A3o%20de%20Atividades%20Tur%C3%ADsticas%204.0%20CTeSP</t>
  </si>
  <si>
    <t>Gestão de Inovação em Tecnologia e nas Indústrias Criativas</t>
  </si>
  <si>
    <t>https://www.google.com/search?q=site%3Aispgaya.pt%20Gest%C3%A3o%20de%20Inova%C3%A7%C3%A3o%20em%20Tecnologia%20e%20nas%20Ind%C3%BAstrias%20Criativas%20CTeSP</t>
  </si>
  <si>
    <t>https://www.google.com/search?q=site%3Aispgaya.pt%20Gest%C3%A3o%20de%20PME%20CTeSP</t>
  </si>
  <si>
    <t>https://www.google.com/search?q=site%3Aispgaya.pt%20Gest%C3%A3o%20de%20Turismo%20CTeSP</t>
  </si>
  <si>
    <t>Gestão e Informática Aplicada aos Negócios</t>
  </si>
  <si>
    <t>https://www.google.com/search?q=site%3Aispgaya.pt%20Gest%C3%A3o%20e%20Inform%C3%A1tica%20Aplicada%20aos%20Neg%C3%B3cios%20CTeSP</t>
  </si>
  <si>
    <t>Instalações Elétricas e Transição Energética</t>
  </si>
  <si>
    <t>https://www.google.com/search?q=site%3Aispgaya.pt%20Instala%C3%A7%C3%B5es%20El%C3%A9tricas%20e%20Transi%C3%A7%C3%A3o%20Energ%C3%A9tica%20CTeSP</t>
  </si>
  <si>
    <t>https://www.google.com/search?q=site%3Aispgaya.pt%20Marketing%20Digital%20CTeSP</t>
  </si>
  <si>
    <t>Projeto de Máquinas e Robótica Industrial</t>
  </si>
  <si>
    <t>https://www.google.com/search?q=site%3Aispgaya.pt%20Projeto%20de%20M%C3%A1quinas%20e%20Rob%C3%B3tica%20Industrial%20CTeSP</t>
  </si>
  <si>
    <t>https://www.google.com/search?q=site%3Aispgaya.pt%20Redes%20e%20Sistemas%20Inform%C3%A1ticos%20CTeSP</t>
  </si>
  <si>
    <t>Tecnologia Mecatrónica</t>
  </si>
  <si>
    <t>https://www.google.com/search?q=site%3Aispgaya.pt%20Tecnologia%20Mecatr%C3%B3nica%20CTeSP</t>
  </si>
  <si>
    <t>https://www.google.com/search?q=site%3Aispgaya.pt%20Tecnologias%20e%20Programa%C3%A7%C3%A3o%20de%20Sistemas%20de%20Informa%C3%A7%C3%A3o%20CTeSP</t>
  </si>
  <si>
    <t>https://www.google.com/search?q=site%3Aispgaya.pt%20Contabilidade%20licenciatura</t>
  </si>
  <si>
    <t>Engenharia Eletrónica e de Automação</t>
  </si>
  <si>
    <t>https://www.google.com/search?q=site%3Aispgaya.pt%20Engenharia%20Eletr%C3%B3nica%20e%20de%20Automa%C3%A7%C3%A3o%20licenciatura</t>
  </si>
  <si>
    <t>https://www.google.com/search?q=site%3Aispgaya.pt%20Engenharia%20Inform%C3%A1tica%20licenciatura</t>
  </si>
  <si>
    <t>https://www.google.com/search?q=site%3Aispgaya.pt%20Engenharia%20Mec%C3%A2nica%20licenciatura</t>
  </si>
  <si>
    <t>https://www.google.com/search?q=site%3Aispgaya.pt%20Gest%C3%A3o%20licenciatura</t>
  </si>
  <si>
    <t>Turismo e Negócios Sustentáveis</t>
  </si>
  <si>
    <t>https://www.google.com/search?q=site%3Aispgaya.pt%20Turismo%20e%20Neg%C3%B3cios%20Sustent%C3%A1veis%20licenciatura</t>
  </si>
  <si>
    <t>Análise de Negócios</t>
  </si>
  <si>
    <t>https://www.google.com/search?q=site%3Aispgaya.pt%20An%C3%A1lise%20de%20Neg%C3%B3cios%20mestrado</t>
  </si>
  <si>
    <t>Cibersegurança e Auditoria de Sistemas Informáticos</t>
  </si>
  <si>
    <t>https://www.google.com/search?q=site%3Aispgaya.pt%20Ciberseguran%C3%A7a%20e%20Auditoria%20de%20Sistemas%20Inform%C3%A1ticos%20mestrado</t>
  </si>
  <si>
    <t>Instituto Superior de Administração e Gestão</t>
  </si>
  <si>
    <t>Instituto Superior de Administração e Gestão (ISAG – European Business School)</t>
  </si>
  <si>
    <t>https://www.google.com/search?q=site%3Aisag.pt%20Gest%C3%A3o%20licenciatura</t>
  </si>
  <si>
    <t>https://www.google.com/search?q=site%3Aisag.pt%20Gest%C3%A3o%20Hoteleira%20licenciatura</t>
  </si>
  <si>
    <t>https://www.google.com/search?q=site%3Aisag.pt%20Gest%C3%A3o%20de%20Empresas%20licenciatura</t>
  </si>
  <si>
    <t>Relações Empresariais Internacionais</t>
  </si>
  <si>
    <t>https://www.google.com/search?q=site%3Aisag.pt%20Rela%C3%A7%C3%B5es%20Empresariais%20Internacionais%20licenciatura</t>
  </si>
  <si>
    <t>https://www.google.com/search?q=site%3Aisag.pt%20Turismo%20licenciatura</t>
  </si>
  <si>
    <t>Direção Comercial e Marketing</t>
  </si>
  <si>
    <t>https://www.google.com/search?q=site%3Aisag.pt%20Dire%C3%A7%C3%A3o%20Comercial%20e%20Marketing%20mestrado</t>
  </si>
  <si>
    <t>https://www.google.com/search?q=site%3Aisag.pt%20Gest%C3%A3o%20mestrado</t>
  </si>
  <si>
    <t>https://www.google.com/search?q=site%3Aisag.pt%20Gest%C3%A3o%20de%20Empresas%20mestrado</t>
  </si>
  <si>
    <t>Gestão de Empresas e Organizações – Para não Gestores – e‑learning</t>
  </si>
  <si>
    <t>https://www.google.com/search?q=site%3Aisag.pt%20Gest%C3%A3o%20de%20Empresas%20e%20Organiza%C3%A7%C3%B5es%20%E2%80%93%20Para%20n%C3%A3o%20Gestores%20%E2%80%93%20e%E2%80%91learning%20p%C3%B3s-gradua%C3%A7%C3%A3o</t>
  </si>
  <si>
    <t>Liderança, Inovação e Transformação Digital</t>
  </si>
  <si>
    <t>https://www.google.com/search?q=site%3Aisag.pt%20Lideran%C3%A7a%2C%20Inova%C3%A7%C3%A3o%20e%20Transforma%C3%A7%C3%A3o%20Digital%20p%C3%B3s-gradua%C3%A7%C3%A3o</t>
  </si>
  <si>
    <t>Modelos Ágeis de Gestão e Transformação Organizacional</t>
  </si>
  <si>
    <t>https://www.google.com/search?q=site%3Aisag.pt%20Modelos%20%C3%81geis%20de%20Gest%C3%A3o%20e%20Transforma%C3%A7%C3%A3o%20Organizacional%20p%C3%B3s-gradua%C3%A7%C3%A3o</t>
  </si>
  <si>
    <t>Instituto Superior de Ciências Educativas do Douro</t>
  </si>
  <si>
    <t>Penafiel</t>
  </si>
  <si>
    <t>Instituto Superior de Ciências Educativas do Douro (ISCE Douro)</t>
  </si>
  <si>
    <t>https://www.google.com/search?q=site%3Aisced.pt%20Acompanhamento%20de%20Crian%C3%A7as%20e%20Jovens%20CTeSP</t>
  </si>
  <si>
    <t>Desenvolvimento Web e Aplicações Multimédia</t>
  </si>
  <si>
    <t>https://www.google.com/search?q=site%3Aisced.pt%20Desenvolvimento%20Web%20e%20Aplica%C3%A7%C3%B5es%20Multim%C3%A9dia%20CTeSP</t>
  </si>
  <si>
    <t>Desenvolvimento de Conteúdos Multimédia</t>
  </si>
  <si>
    <t>https://www.google.com/search?q=site%3Aisced.pt%20Desenvolvimento%20de%20Conte%C3%BAdos%20Multim%C3%A9dia%20CTeSP</t>
  </si>
  <si>
    <t>https://www.google.com/search?q=site%3Aisced.pt%20Design%20de%20Jogos%20e%20Anima%C3%A7%C3%A3o%20Digital%20CTeSP</t>
  </si>
  <si>
    <t>https://www.google.com/search?q=site%3Aisced.pt%20Design%20de%20Produto%20CTeSP</t>
  </si>
  <si>
    <t>Enografia e Enoturismo</t>
  </si>
  <si>
    <t>https://www.google.com/search?q=site%3Aisced.pt%20Enografia%20e%20Enoturismo%20CTeSP</t>
  </si>
  <si>
    <t>https://www.google.com/search?q=site%3Aisced.pt%20Exerc%C3%ADcio%20F%C3%ADsico%20CTeSP</t>
  </si>
  <si>
    <t>Escola Superior de Enfermagem do Tâmega e Sousa (ESEnfTS)</t>
  </si>
  <si>
    <t>https://www.google.com/search?q=site%3Aisced.pt%20Gerontologia%20CTeSP</t>
  </si>
  <si>
    <t>https://www.google.com/search?q=site%3Aisced.pt%20Servi%C3%A7o%20Familiar%20e%20Comunit%C3%A1rio%20CTeSP</t>
  </si>
  <si>
    <t>Turismo Desportivo e de Aventura</t>
  </si>
  <si>
    <t>https://www.google.com/search?q=site%3Aisced.pt%20Turismo%20Desportivo%20e%20de%20Aventura%20CTeSP</t>
  </si>
  <si>
    <t>https://www.google.com/search?q=site%3Aisced.pt%20Atividade%20F%C3%ADsica%20e%20Estilos%20de%20Vida%20Saud%C3%A1veis%20licenciatura</t>
  </si>
  <si>
    <t>https://www.google.com/search?q=site%3Aisced.pt%20Design%20de%20Produto%20licenciatura</t>
  </si>
  <si>
    <t>https://www.google.com/search?q=site%3Aisced.pt%20Desporto%20licenciatura</t>
  </si>
  <si>
    <t>https://www.google.com/search?q=site%3Aisced.pt%20Educa%C3%A7%C3%A3o%20B%C3%A1sica%20licenciatura</t>
  </si>
  <si>
    <t>https://www.google.com/search?q=site%3Aisced.pt%20Educa%C3%A7%C3%A3o%20Social%20licenciatura</t>
  </si>
  <si>
    <t>https://www.google.com/search?q=site%3Aisced.pt%20Enfermagem%20licenciatura</t>
  </si>
  <si>
    <t>Tecnologias Multimédia</t>
  </si>
  <si>
    <t>https://www.google.com/search?q=site%3Aisced.pt%20Tecnologias%20Multim%C3%A9dia%20licenciatura</t>
  </si>
  <si>
    <t>Atividade Física, Desporto e Bem-Estar</t>
  </si>
  <si>
    <t>https://www.google.com/search?q=site%3Aisced.pt%20Atividade%20F%C3%ADsica%2C%20Desporto%20e%20Bem-Estar%20mestrado</t>
  </si>
  <si>
    <t>https://www.google.com/search?q=site%3Aisced.pt%20Educa%C3%A7%C3%A3o%20Pr%C3%A9-Escolar%20e%20Ensino%20do%201.%C2%BA%20Ciclo%20do%20Ensino%20B%C3%A1sico%20mestrado</t>
  </si>
  <si>
    <t>https://www.google.com/search?q=site%3Aisced.pt%20Enfermagem%20mestrado</t>
  </si>
  <si>
    <t>https://www.google.com/search?q=site%3Aisced.pt%20Enfermagem%20Comunit%C3%A1ria%20na%20%C3%A1rea%20de%20Enfermagem%20de%20Sa%C3%BAde%20Familiar%20mestrado</t>
  </si>
  <si>
    <t>Enfermagem Médico-Cirúrgica, na área da Enfermagem à Pessoa em Situação Perioperatória</t>
  </si>
  <si>
    <t>https://www.google.com/search?q=site%3Aisced.pt%20Enfermagem%20M%C3%A9dico-Cir%C3%BArgica%2C%20na%20%C3%A1rea%20da%20Enfermagem%20%C3%A0%20Pessoa%20em%20Situa%C3%A7%C3%A3o%20Perioperat%C3%B3ria%20mestrado</t>
  </si>
  <si>
    <t>https://www.google.com/search?q=site%3Aisced.pt%20Enfermagem%20de%20Reabilita%C3%A7%C3%A3o%20mestrado</t>
  </si>
  <si>
    <t>https://www.google.com/search?q=site%3Aisced.pt%20Enfermagem%20de%20Sa%C3%BAde%20Mental%20e%20Psiqui%C3%A1trica%20mestrado</t>
  </si>
  <si>
    <t>https://www.google.com/search?q=site%3Aisced.pt%20Ensino%20de%20Ingl%C3%AAs%20no%201.%C2%BA%20Ciclo%20do%20Ensino%20B%C3%A1sico%20mestrado</t>
  </si>
  <si>
    <t>Intervenção Social (regime de ensino a distância)</t>
  </si>
  <si>
    <t>https://www.google.com/search?q=site%3Aisced.pt%20Interven%C3%A7%C3%A3o%20Social%20%28regime%20de%20ensino%20a%20dist%C3%A2ncia%29%20mestrado</t>
  </si>
  <si>
    <t>Análise da Performance Desportiva</t>
  </si>
  <si>
    <t>ISCE Douro</t>
  </si>
  <si>
    <t>https://www.google.com/search?q=site%3Aisced.pt%20An%C3%A1lise%20da%20Performance%20Desportiva%20p%C3%B3s-gradua%C3%A7%C3%A3o</t>
  </si>
  <si>
    <t>Desenho, Cor e Imagem</t>
  </si>
  <si>
    <t>https://www.google.com/search?q=site%3Aisced.pt%20Desenho%2C%20Cor%20e%20Imagem%20p%C3%B3s-gradua%C3%A7%C3%A3o</t>
  </si>
  <si>
    <t>0,5 ano(s) (31 ECTS)</t>
  </si>
  <si>
    <t>https://www.google.com/search?q=site%3Aisced.pt%20Desenvolvimento%20Web%20e%20Aplica%C3%A7%C3%B5es%20Multim%C3%A9dia%20p%C3%B3s-gradua%C3%A7%C3%A3o</t>
  </si>
  <si>
    <t>Design e Marketing Digital</t>
  </si>
  <si>
    <t>https://www.google.com/search?q=site%3Aisced.pt%20Design%20e%20Marketing%20Digital%20p%C3%B3s-gradua%C3%A7%C3%A3o</t>
  </si>
  <si>
    <t>Educação e Reabilitação Psicomotora</t>
  </si>
  <si>
    <t>https://www.google.com/search?q=site%3Aisced.pt%20Educa%C3%A7%C3%A3o%20e%20Reabilita%C3%A7%C3%A3o%20Psicomotora%20p%C3%B3s-gradua%C3%A7%C3%A3o</t>
  </si>
  <si>
    <t>≈ 800–900 horas; 30–34 ECTS (modelo semelhante às outras PG em educação)</t>
  </si>
  <si>
    <t>Futebol Feminino – Da Formação ao Rendimento</t>
  </si>
  <si>
    <t>https://www.google.com/search?q=site%3Aisced.pt%20Futebol%20Feminino%20%E2%80%93%20Da%20Forma%C3%A7%C3%A3o%20ao%20Rendimento%20p%C3%B3s-gradua%C3%A7%C3%A3o</t>
  </si>
  <si>
    <t>Intervenção em contextos de vulnerabilidade e risco social – 4.ª edição</t>
  </si>
  <si>
    <t>https://www.google.com/search?q=site%3Aisced.pt%20Interven%C3%A7%C3%A3o%20em%20contextos%20de%20vulnerabilidade%20e%20risco%20social%20%E2%80%93%204.%C2%AA%20edi%C3%A7%C3%A3o%20p%C3%B3s-gradua%C3%A7%C3%A3o</t>
  </si>
  <si>
    <t>Marketing e Gestão Desportiva – 3.ª edição</t>
  </si>
  <si>
    <t>https://www.google.com/search?q=site%3Aisced.pt%20Marketing%20e%20Gest%C3%A3o%20Desportiva%20%E2%80%93%203.%C2%AA%20edi%C3%A7%C3%A3o%20p%C3%B3s-gradua%C3%A7%C3%A3o</t>
  </si>
  <si>
    <t>Produção Audiovisual e Multimédia</t>
  </si>
  <si>
    <t>https://www.google.com/search?q=site%3Aisced.pt%20Produ%C3%A7%C3%A3o%20Audiovisual%20e%20Multim%C3%A9dia%20p%C3%B3s-gradua%C3%A7%C3%A3o</t>
  </si>
  <si>
    <t>≈ 800 horas; 30–31 ECTS (alinhado com Desenho, Cor e Imagem)</t>
  </si>
  <si>
    <t>Supervisão Clínica em Enfermagem – 8.ª edição</t>
  </si>
  <si>
    <t>Área de Enfermagem</t>
  </si>
  <si>
    <t>https://www.google.com/search?q=site%3Aisced.pt%20Supervis%C3%A3o%20Cl%C3%ADnica%20em%20Enfermagem%20%E2%80%93%208.%C2%AA%20edi%C3%A7%C3%A3o%20p%C3%B3s-gradua%C3%A7%C3%A3o</t>
  </si>
  <si>
    <t>https://www.google.com/search?q=site%3Aisced.pt%20Turismo%20Desportivo%20e%20de%20Aventura%20p%C3%B3s-gradua%C3%A7%C3%A3o</t>
  </si>
  <si>
    <t>Instituto Superior de Ciências Empresariais e do Turismo</t>
  </si>
  <si>
    <t>Instituto Superior de Ciências Empresariais e do Turismo (ISCET)</t>
  </si>
  <si>
    <t>https://www.google.com/search?q=site%3Aiscet.pt%20Assessoria%20e%20Comunica%C3%A7%C3%A3o%20Organizacional%20CTeSP</t>
  </si>
  <si>
    <t>https://www.google.com/search?q=site%3Aiscet.pt%20Contabilidade%20e%20Fiscalidade%20CTeSP</t>
  </si>
  <si>
    <t>https://www.google.com/search?q=site%3Aiscet.pt%20Contrata%C3%A7%C3%A3o%20P%C3%BAblica%20CTeSP</t>
  </si>
  <si>
    <t>https://www.google.com/search?q=site%3Aiscet.pt%20Gest%C3%A3o%20Hoteleira%20e%20Alojamento%20CTeSP</t>
  </si>
  <si>
    <t>https://www.google.com/search?q=site%3Aiscet.pt%20Gest%C3%A3o%20de%20Vendas%20e%20Marketing%20CTeSP</t>
  </si>
  <si>
    <t>https://www.google.com/search?q=site%3Aiscet.pt%20Gest%C3%A3o%20e%20Com%C3%A9rcio%20Internacional%20CTeSP</t>
  </si>
  <si>
    <t>Itinerários Turísticos e Promoção do Património</t>
  </si>
  <si>
    <t>https://www.google.com/search?q=site%3Aiscet.pt%20Itiner%C3%A1rios%20Tur%C3%ADsticos%20e%20Promo%C3%A7%C3%A3o%20do%20Patrim%C3%B3nio%20CTeSP</t>
  </si>
  <si>
    <t>Marketing Digital e Comércio Eletrónico</t>
  </si>
  <si>
    <t>https://www.google.com/search?q=site%3Aiscet.pt%20Marketing%20Digital%20e%20Com%C3%A9rcio%20Eletr%C3%B3nico%20CTeSP</t>
  </si>
  <si>
    <t>https://www.google.com/search?q=site%3Aiscet.pt%20Servi%C3%A7os%20Jur%C3%ADdicos%20CTeSP</t>
  </si>
  <si>
    <t>https://www.google.com/search?q=site%3Aiscet.pt%20Com%C3%A9rcio%20Internacional%20licenciatura</t>
  </si>
  <si>
    <t>https://www.google.com/search?q=site%3Aiscet.pt%20Gest%C3%A3o%20de%20Empresas%20licenciatura</t>
  </si>
  <si>
    <t>https://www.google.com/search?q=site%3Aiscet.pt%20Marketing%20e%20Publicidade%20licenciatura</t>
  </si>
  <si>
    <t>https://www.google.com/search?q=site%3Aiscet.pt%20Solicitadoria%20licenciatura</t>
  </si>
  <si>
    <t>https://www.google.com/search?q=site%3Aiscet.pt%20Turismo%20licenciatura</t>
  </si>
  <si>
    <t>https://www.google.com/search?q=site%3Aiscet.pt%20Gest%C3%A3o%20e%20Neg%C3%B3cios%20mestrado</t>
  </si>
  <si>
    <t>Turismo e Desenvolvimento de Produtos Turísticos</t>
  </si>
  <si>
    <t>https://www.google.com/search?q=site%3Aiscet.pt%20Turismo%20e%20Desenvolvimento%20de%20Produtos%20Tur%C3%ADsticos%20mestrado</t>
  </si>
  <si>
    <t>Astroturismo</t>
  </si>
  <si>
    <t>ISCET em parceria com EHTP – Escola de Hotelaria e Turismo do Porto</t>
  </si>
  <si>
    <t>https://www.google.com/search?q=site%3Aiscet.pt%20Astroturismo%20p%C3%B3s-gradua%C3%A7%C3%A3o</t>
  </si>
  <si>
    <t>Duração de 1 ano letivo (carga horária não detalhada publicamente); com dupla certificação ISCET/EHTP</t>
  </si>
  <si>
    <t>Gestão e Finanças</t>
  </si>
  <si>
    <t>ISCET</t>
  </si>
  <si>
    <t>https://www.google.com/search?q=site%3Aiscet.pt%20Gest%C3%A3o%20e%20Finan%C3%A7as%20p%C3%B3s-gradua%C3%A7%C3%A3o</t>
  </si>
  <si>
    <t>1 ano letivo; plano de estudos em finanças empresariais e gestão</t>
  </si>
  <si>
    <t>Marketing e Comércio Internacional</t>
  </si>
  <si>
    <t>https://www.google.com/search?q=site%3Aiscet.pt%20Marketing%20e%20Com%C3%A9rcio%20Internacional%20p%C3%B3s-gradua%C3%A7%C3%A3o</t>
  </si>
  <si>
    <t>1 ano letivo; abordagem integrada de marketing internacional e comércio externo</t>
  </si>
  <si>
    <t>https://www.google.com/search?q=site%3Aiscet.pt%20Registos%20e%20Notariado%20p%C3%B3s-gradua%C3%A7%C3%A3o</t>
  </si>
  <si>
    <t>1 ano letivo; ECTS não divulgados na página de resumo, enquadrado como especialização para licenciados em Solicitadoria/Direito</t>
  </si>
  <si>
    <t>Transportes Internacionais e Procedimentos Aduaneiros</t>
  </si>
  <si>
    <t>https://www.google.com/search?q=site%3Aiscet.pt%20Transportes%20Internacionais%20e%20Procedimentos%20Aduaneiros%20p%C3%B3s-gradua%C3%A7%C3%A3o</t>
  </si>
  <si>
    <t>Início a partir de setembro/outubro; unidades com 15–25 h cada; ECTS não explicitados; calendário típico anual</t>
  </si>
  <si>
    <t>Turismo Desportivo</t>
  </si>
  <si>
    <t>https://www.google.com/search?q=site%3Aiscet.pt%20Turismo%20Desportivo%20p%C3%B3s-gradua%C3%A7%C3%A3o</t>
  </si>
  <si>
    <t>Duração anual; ECTS não discriminados (curso focado em gestão e desenvolvimento de produtos de turismo desportivo)</t>
  </si>
  <si>
    <t>Turismo e Gestão Hoteleira</t>
  </si>
  <si>
    <t>https://www.google.com/search?q=site%3Aiscet.pt%20Turismo%20e%20Gest%C3%A3o%20Hoteleira%20p%C3%B3s-gradua%C3%A7%C3%A3o</t>
  </si>
  <si>
    <t>Início a partir de setembro/outubro (ex.: outubro 2025); cerca de 200 h letivas; ECTS não publicitados na página pública</t>
  </si>
  <si>
    <t>Instituto Superior de Ciências da Informação e da Administração</t>
  </si>
  <si>
    <t>Aveiro</t>
  </si>
  <si>
    <t>Campus ISCIA, Aveiro</t>
  </si>
  <si>
    <t>https://www.google.com/search?q=site%3Aiscia.pt%20Acompanhamento%20de%20Crian%C3%A7as%20e%20Jovens%20CTeSP</t>
  </si>
  <si>
    <t>https://www.google.com/search?q=site%3Aiscia.pt%20Anima%C3%A7%C3%A3o%20Tur%C3%ADstica%20e%20do%20Patrim%C3%B3nio%20Cultural%20e%20Natural%20CTeSP</t>
  </si>
  <si>
    <t>https://www.google.com/search?q=site%3Aiscia.pt%20Comunica%C3%A7%C3%A3o%20Digital%20CTeSP</t>
  </si>
  <si>
    <t>https://www.google.com/search?q=site%3Aiscia.pt%20Gest%C3%A3o%20Industrial%20CTeSP</t>
  </si>
  <si>
    <t>https://www.google.com/search?q=site%3Aiscia.pt%20Gest%C3%A3o%20de%20Alojamentos%20Tur%C3%ADsticos%20CTeSP</t>
  </si>
  <si>
    <t>https://www.google.com/search?q=site%3Aiscia.pt%20Gest%C3%A3o%20de%20Unidades%20Desportivas%20e%20de%20Lazer%20CTeSP</t>
  </si>
  <si>
    <t>Campus ISCIA, Av. D. Manuel de Almeida Trindade, Santa Joana, Aveiro</t>
  </si>
  <si>
    <t>https://www.google.com/search?q=site%3Aiscia.pt%20Prote%C3%A7%C3%A3o%20Civil%20e%20Socorro%20CTeSP</t>
  </si>
  <si>
    <t>Proteção Civil e Socorro (novo plano)</t>
  </si>
  <si>
    <t>https://www.google.com/search?q=site%3Aiscia.pt%20Prote%C3%A7%C3%A3o%20Civil%20e%20Socorro%20%28novo%20plano%29%20CTeSP</t>
  </si>
  <si>
    <t>https://www.google.com/search?q=site%3Aiscia.pt%20Psicogerontologia%20CTeSP</t>
  </si>
  <si>
    <t>https://www.google.com/search?q=site%3Aiscia.pt%20Transportes%20e%20Log%C3%ADstica%20CTeSP</t>
  </si>
  <si>
    <t>https://www.google.com/search?q=site%3Aiscia.pt%20Educa%C3%A7%C3%A3o%20Social%20licenciatura</t>
  </si>
  <si>
    <t>https://www.google.com/search?q=site%3Aiscia.pt%20Gest%C3%A3o%20Industrial%20e%20Log%C3%ADstica%20licenciatura</t>
  </si>
  <si>
    <t>Campus ISCIA, Av. D. Manuel de Almeida Trindade, Santa Joana, 3811‑901 Aveiro</t>
  </si>
  <si>
    <t>https://www.google.com/search?q=site%3Aiscia.pt%20Prote%C3%A7%C3%A3o%20Civil%20licenciatura</t>
  </si>
  <si>
    <t>Psicopedagogia</t>
  </si>
  <si>
    <t>https://www.google.com/search?q=site%3Aiscia.pt%20Psicopedagogia%20licenciatura</t>
  </si>
  <si>
    <t>Segurança e Saúde no Trabalho</t>
  </si>
  <si>
    <t>https://www.google.com/search?q=site%3Aiscia.pt%20Seguran%C3%A7a%20e%20Sa%C3%BAde%20no%20Trabalho%20licenciatura</t>
  </si>
  <si>
    <t>Gestão de Emergência e Socorro</t>
  </si>
  <si>
    <t>https://www.google.com/search?q=site%3Aiscia.pt%20Gest%C3%A3o%20de%20Emerg%C3%AAncia%20e%20Socorro%20mestrado</t>
  </si>
  <si>
    <t>Higiene e Segurança Ocupacionais</t>
  </si>
  <si>
    <t>https://www.google.com/search?q=site%3Aiscia.pt%20Higiene%20e%20Seguran%C3%A7a%20Ocupacionais%20mestrado</t>
  </si>
  <si>
    <t>Segurança, Defesa e Resolução de Conflitos</t>
  </si>
  <si>
    <t>Campus ISCIA, Av. D. Manuel de Almeida Trindade (Santa Joana), 3810‑488 Aveiro</t>
  </si>
  <si>
    <t>https://www.google.com/search?q=site%3Aiscia.pt%20Seguran%C3%A7a%2C%20Defesa%20e%20Resolu%C3%A7%C3%A3o%20de%20Conflitos%20mestrado</t>
  </si>
  <si>
    <t>AI, Comunicação e Marketing</t>
  </si>
  <si>
    <t>ISCIA – Área da Comunicação &amp; Marketing</t>
  </si>
  <si>
    <t>https://www.google.com/search?q=site%3Aiscia.pt%20AI%2C%20Comunica%C3%A7%C3%A3o%20e%20Marketing%20p%C3%B3s-gradua%C3%A7%C3%A3o</t>
  </si>
  <si>
    <t>Duração anual (2 semestres); ECTS não indicados publicamente, curso de especialização em IA aplicada ao marketing e comunicação</t>
  </si>
  <si>
    <t>ISCIA – Área da Psicologia e Educação</t>
  </si>
  <si>
    <t>https://www.google.com/search?q=site%3Aiscia.pt%20Administra%C3%A7%C3%A3o%20Escolar%20p%C3%B3s-gradua%C3%A7%C3%A3o</t>
  </si>
  <si>
    <t>Curso anual, acreditado pelo CCPFC para professores e educadores; ECTS não explicitados na página síntese</t>
  </si>
  <si>
    <t>Animação Comunitária</t>
  </si>
  <si>
    <t>https://www.google.com/search?q=site%3Aiscia.pt%20Anima%C3%A7%C3%A3o%20Comunit%C3%A1ria%20p%C3%B3s-gradua%C3%A7%C3%A3o</t>
  </si>
  <si>
    <t>Duração aproximada de 1 ano letivo; carga horária alinhada com outras pós de educação do ISCIA</t>
  </si>
  <si>
    <t>Coordenador Municipal de Proteção Civil</t>
  </si>
  <si>
    <t>ISCIA – Área da Proteção Civil</t>
  </si>
  <si>
    <t>https://www.google.com/search?q=site%3Aiscia.pt%20Coordenador%20Municipal%20de%20Prote%C3%A7%C3%A3o%20Civil%20p%C3%B3s-gradua%C3%A7%C3%A3o</t>
  </si>
  <si>
    <t>Especialização de curta/média duração (≈ 1 ano académico curto); ECTS não divulgados na página de síntese</t>
  </si>
  <si>
    <t>https://www.google.com/search?q=site%3Aiscia.pt%20Educa%C3%A7%C3%A3o%20Especial%20%E2%80%93%20Dom%C3%ADnio%20Cognitivo%20e%20Motor%20p%C3%B3s-gradua%C3%A7%C3%A3o</t>
  </si>
  <si>
    <t>1 ano letivo; acreditada pelo CCPFC; mais de 5500 professores formados em Educação Especial (global)</t>
  </si>
  <si>
    <t>Especialização em Proteção Civil para Autarcas</t>
  </si>
  <si>
    <t>https://www.google.com/search?q=site%3Aiscia.pt%20Especializa%C3%A7%C3%A3o%20em%20Prote%C3%A7%C3%A3o%20Civil%20para%20Autarcas%20p%C3%B3s-gradua%C3%A7%C3%A3o</t>
  </si>
  <si>
    <t>Curso de especialização de curta duração (alguns meses), focado em autarcas e decisores locais</t>
  </si>
  <si>
    <t>Intervenção Precoce na Infância</t>
  </si>
  <si>
    <t>https://www.google.com/search?q=site%3Aiscia.pt%20Interven%C3%A7%C3%A3o%20Precoce%20na%20Inf%C3%A2ncia%20p%C3%B3s-gradua%C3%A7%C3%A3o</t>
  </si>
  <si>
    <t>1 ano letivo; curso para profissionais que intervêm na infância, acreditado pelo CCPFC</t>
  </si>
  <si>
    <t>Instituto Superior de Entre Douro e Vouga</t>
  </si>
  <si>
    <t>Santa Maria da Feira</t>
  </si>
  <si>
    <t>Instituto Superior de Entre Douro e Vouga (ISVOUGA)</t>
  </si>
  <si>
    <t>https://www.google.com/search?q=site%3Aisvouga.pt%20Contabilidade%20e%20Fiscalidade%20CTeSP</t>
  </si>
  <si>
    <t>Criação e Gestão de Negócios</t>
  </si>
  <si>
    <t>https://www.google.com/search?q=site%3Aisvouga.pt%20Cria%C3%A7%C3%A3o%20e%20Gest%C3%A3o%20de%20Neg%C3%B3cios%20CTeSP</t>
  </si>
  <si>
    <t>https://www.google.com/search?q=site%3Aisvouga.pt%20Gest%C3%A3o%20Comercial%20e%20Vendas%20CTeSP</t>
  </si>
  <si>
    <t>https://www.google.com/search?q=site%3Aisvouga.pt%20Gest%C3%A3o%20de%20Turismo%20CTeSP</t>
  </si>
  <si>
    <t>https://www.google.com/search?q=site%3Aisvouga.pt%20Inform%C3%A1tica%20de%20Gest%C3%A3o%20CTeSP</t>
  </si>
  <si>
    <t>https://www.google.com/search?q=site%3Aisvouga.pt%20Produ%C3%A7%C3%A3o%20Industrial%20CTeSP</t>
  </si>
  <si>
    <t>https://www.google.com/search?q=site%3Aisvouga.pt%20Servi%C3%A7os%20Jur%C3%ADdicos%20CTeSP</t>
  </si>
  <si>
    <t>https://www.google.com/search?q=site%3Aisvouga.pt%20Contabilidade%20licenciatura</t>
  </si>
  <si>
    <t>https://www.google.com/search?q=site%3Aisvouga.pt%20Engenharia%20de%20Produ%C3%A7%C3%A3o%20Industrial%20licenciatura</t>
  </si>
  <si>
    <t>https://www.google.com/search?q=site%3Aisvouga.pt%20Gest%C3%A3o%20de%20Empresas%20licenciatura</t>
  </si>
  <si>
    <t>Marketing, Publicidade e Relações Públicas</t>
  </si>
  <si>
    <t>https://www.google.com/search?q=site%3Aisvouga.pt%20Marketing%2C%20Publicidade%20e%20Rela%C3%A7%C3%B5es%20P%C3%BAblicas%20licenciatura</t>
  </si>
  <si>
    <t>https://www.google.com/search?q=site%3Aisvouga.pt%20Solicitadoria%20licenciatura</t>
  </si>
  <si>
    <t>https://www.google.com/search?q=site%3Aisvouga.pt%20Gest%C3%A3o%20de%20Empresas%20mestrado</t>
  </si>
  <si>
    <t>Auditoria e Fiscalidade</t>
  </si>
  <si>
    <t>ISVOUGA / IEE – Isvouga Executive Education</t>
  </si>
  <si>
    <t>https://www.google.com/search?q=site%3Aisvouga.pt%20Auditoria%20e%20Fiscalidade%20p%C3%B3s-gradua%C3%A7%C3%A3o</t>
  </si>
  <si>
    <t>Duração aproximada de 1 ano letivo; total de horas e ECTS não indicados na página de listagem</t>
  </si>
  <si>
    <t>https://www.google.com/search?q=site%3Aisvouga.pt%20Ciberseguran%C3%A7a%20p%C3%B3s-gradua%C3%A7%C3%A3o</t>
  </si>
  <si>
    <t>Curso anual de especialização; horas/ECTS não detalhadas na listagem</t>
  </si>
  <si>
    <t>https://www.google.com/search?q=site%3Aisvouga.pt%20Contabilidade%20e%20Gest%C3%A3o%20P%C3%BAblica%20p%C3%B3s-gradua%C3%A7%C3%A3o</t>
  </si>
  <si>
    <t>Duração aproximada de 1 ano; ECTS não especificados</t>
  </si>
  <si>
    <t>Maquinação Avançada</t>
  </si>
  <si>
    <t>Engenharia e Técnicas Afins (metalurgia, mecânica)</t>
  </si>
  <si>
    <t>https://www.google.com/search?q=site%3Aisvouga.pt%20Maquina%C3%A7%C3%A3o%20Avan%C3%A7ada%20p%C3%B3s-gradua%C3%A7%C3%A3o</t>
  </si>
  <si>
    <t>Especialização de curta/média duração em tecnologias de maquinação; carga horária não indicada na listagem</t>
  </si>
  <si>
    <t>Marketing Digital com IA Aplicada</t>
  </si>
  <si>
    <t>https://www.google.com/search?q=site%3Aisvouga.pt%20Marketing%20Digital%20com%20IA%20Aplicada%20p%C3%B3s-gradua%C3%A7%C3%A3o</t>
  </si>
  <si>
    <t>Recursos Humanos e Relações Laborais</t>
  </si>
  <si>
    <t>https://www.google.com/search?q=site%3Aisvouga.pt%20Recursos%20Humanos%20e%20Rela%C3%A7%C3%B5es%20Laborais%20p%C3%B3s-gradua%C3%A7%C3%A3o</t>
  </si>
  <si>
    <t>1 ano letivo; horas/ECTS não especificados na listagem</t>
  </si>
  <si>
    <t>https://www.google.com/search?q=site%3Aisvouga.pt%20Transforma%C3%A7%C3%A3o%20Digital%20p%C3%B3s-gradua%C3%A7%C3%A3o</t>
  </si>
  <si>
    <t>Curso anual de especialização em gestão e tecnologias da transformação digital</t>
  </si>
  <si>
    <t>Instituto Superior de Gestão (ISG)</t>
  </si>
  <si>
    <t>Campus ISG, Rua Prof. Reinaldo dos Santos 46A, 1500‑552 Lisboa (Benfica)</t>
  </si>
  <si>
    <t>https://www.google.com/search?q=site%3Aisg.pt%20Economia%20licenciatura</t>
  </si>
  <si>
    <t>Campus ISG, Rua Prof. Reinaldo dos Santos 46A, 1500‑552 Lisboa</t>
  </si>
  <si>
    <t>https://www.google.com/search?q=site%3Aisg.pt%20Gest%C3%A3o%20licenciatura</t>
  </si>
  <si>
    <t>Campus ISG, Lisboa</t>
  </si>
  <si>
    <t>https://www.google.com/search?q=site%3Aisg.pt%20Gest%C3%A3o%20de%20Recursos%20Humanos%20licenciatura</t>
  </si>
  <si>
    <t>https://www.google.com/search?q=site%3Aisg.pt%20Gest%C3%A3o%20do%20Turismo%20licenciatura</t>
  </si>
  <si>
    <t>https://www.google.com/search?q=site%3Aisg.pt%20Marketing%20licenciatura</t>
  </si>
  <si>
    <t>Estratégia de Investimento e Internacionalização</t>
  </si>
  <si>
    <t>https://www.google.com/search?q=site%3Aisg.pt%20Estrat%C3%A9gia%20de%20Investimento%20e%20Internacionaliza%C3%A7%C3%A3o%20mestrado</t>
  </si>
  <si>
    <t>https://www.google.com/search?q=site%3Aisg.pt%20Gest%C3%A3o%20de%20Empresas%20mestrado</t>
  </si>
  <si>
    <t>Gestão do Potencial Humano</t>
  </si>
  <si>
    <t>https://www.google.com/search?q=site%3Aisg.pt%20Gest%C3%A3o%20do%20Potencial%20Humano%20mestrado</t>
  </si>
  <si>
    <t>https://www.google.com/search?q=site%3Aisg.pt%20Marketing%20mestrado</t>
  </si>
  <si>
    <t>Pós‑Graduação em Coaching Executivo e Liderança de Alta Performance</t>
  </si>
  <si>
    <t>https://www.google.com/search?q=site%3Aisg.pt%20P%C3%B3s%E2%80%91Gradua%C3%A7%C3%A3o%20em%20Coaching%20Executivo%20e%20Lideran%C3%A7a%20de%20Alta%20Performance%20p%C3%B3s-gradua%C3%A7%C3%A3o</t>
  </si>
  <si>
    <t>Não indicado na página de lista; ECTS não visíveis</t>
  </si>
  <si>
    <t>Pós‑Graduação em Fiscalidade Avançada</t>
  </si>
  <si>
    <t>https://www.google.com/search?q=site%3Aisg.pt%20P%C3%B3s%E2%80%91Gradua%C3%A7%C3%A3o%20em%20Fiscalidade%20Avan%C3%A7ada%20p%C3%B3s-gradua%C3%A7%C3%A3o</t>
  </si>
  <si>
    <t>Pós‑Graduação em Gestão</t>
  </si>
  <si>
    <t>https://www.google.com/search?q=site%3Aisg.pt%20P%C3%B3s%E2%80%91Gradua%C3%A7%C3%A3o%20em%20Gest%C3%A3o%20p%C3%B3s-gradua%C3%A7%C3%A3o</t>
  </si>
  <si>
    <t>Pós‑Graduação em Gestão Escolar</t>
  </si>
  <si>
    <t>https://www.google.com/search?q=site%3Aisg.pt%20P%C3%B3s%E2%80%91Gradua%C3%A7%C3%A3o%20em%20Gest%C3%A3o%20Escolar%20p%C3%B3s-gradua%C3%A7%C3%A3o</t>
  </si>
  <si>
    <t>Pós‑Graduação em Gestão Estratégica dos Municípios: Governação e Sustentabilidade</t>
  </si>
  <si>
    <t>https://www.google.com/search?q=site%3Aisg.pt%20P%C3%B3s%E2%80%91Gradua%C3%A7%C3%A3o%20em%20Gest%C3%A3o%20Estrat%C3%A9gica%20dos%20Munic%C3%ADpios%3A%20Governa%C3%A7%C3%A3o%20e%20Sustentabilidade%20p%C3%B3s-gradua%C3%A7%C3%A3o</t>
  </si>
  <si>
    <t>Pós‑Graduação em Gestão Financeira</t>
  </si>
  <si>
    <t>https://www.google.com/search?q=site%3Aisg.pt%20P%C3%B3s%E2%80%91Gradua%C3%A7%C3%A3o%20em%20Gest%C3%A3o%20Financeira%20p%C3%B3s-gradua%C3%A7%C3%A3o</t>
  </si>
  <si>
    <t>Não indicado na página de lista; duração típica de ~8 meses; ECTS não visíveis</t>
  </si>
  <si>
    <t>Pós‑Graduação em Gestão de Instituições Sociais</t>
  </si>
  <si>
    <t>https://www.google.com/search?q=site%3Aisg.pt%20P%C3%B3s%E2%80%91Gradua%C3%A7%C3%A3o%20em%20Gest%C3%A3o%20de%20Institui%C3%A7%C3%B5es%20Sociais%20p%C3%B3s-gradua%C3%A7%C3%A3o</t>
  </si>
  <si>
    <t>Não indicado na lista; ver tabela de propinas por ECTS para detalhes</t>
  </si>
  <si>
    <t>Pós‑Graduação em Gestão de Recursos Humanos</t>
  </si>
  <si>
    <t>https://www.google.com/search?q=site%3Aisg.pt%20P%C3%B3s%E2%80%91Gradua%C3%A7%C3%A3o%20em%20Gest%C3%A3o%20de%20Recursos%20Humanos%20p%C3%B3s-gradua%C3%A7%C3%A3o</t>
  </si>
  <si>
    <t>Não indicado na página de lista (duração típica 7–8 meses; ECTS não visíveis no excerto)</t>
  </si>
  <si>
    <t>Pós‑Graduação em Gestão e Avaliação Imobiliária (B‑Learning)</t>
  </si>
  <si>
    <t>https://www.google.com/search?q=site%3Aisg.pt%20P%C3%B3s%E2%80%91Gradua%C3%A7%C3%A3o%20em%20Gest%C3%A3o%20e%20Avalia%C3%A7%C3%A3o%20Imobili%C3%A1ria%20%28B%E2%80%91Learning%29%20p%C3%B3s-gradua%C3%A7%C3%A3o</t>
  </si>
  <si>
    <t>Duração e ECTS não indicados na página de lista; curso em reestruturação</t>
  </si>
  <si>
    <t>Pós‑Graduação em Sistemas Integrados de Gestão: Qualidade, Ambiente e Segurança e Auditoria</t>
  </si>
  <si>
    <t>https://www.google.com/search?q=site%3Aisg.pt%20P%C3%B3s%E2%80%91Gradua%C3%A7%C3%A3o%20em%20Sistemas%20Integrados%20de%20Gest%C3%A3o%3A%20Qualidade%2C%20Ambiente%20e%20Seguran%C3%A7a%20e%20Auditoria%20p%C3%B3s-gradua%C3%A7%C3%A3o</t>
  </si>
  <si>
    <t>Pós‑Graduação em Sistemas de Gestão de Segurança Alimentar e Auditoria</t>
  </si>
  <si>
    <t>https://www.google.com/search?q=site%3Aisg.pt%20P%C3%B3s%E2%80%91Gradua%C3%A7%C3%A3o%20em%20Sistemas%20de%20Gest%C3%A3o%20de%20Seguran%C3%A7a%20Alimentar%20e%20Auditoria%20p%C3%B3s-gradua%C3%A7%C3%A3o</t>
  </si>
  <si>
    <t>Não indicado na página de lista; ECTS definidos em tabela de propinas por ECTS</t>
  </si>
  <si>
    <t>Instituto Superior de Serviço Social do Porto</t>
  </si>
  <si>
    <t>Matosinhos (Senhora da Hora, Porto)</t>
  </si>
  <si>
    <t>ISSSP, Av. Dr. Manuel Teixeira Ruela, 370, 4460‑362 Senhora da Hora</t>
  </si>
  <si>
    <t>https://www.google.com/search?q=site%3Aisssp.pt%20Gerontologia%20licenciatura</t>
  </si>
  <si>
    <t>ISSSP, Av. Dr. Manuel Teixeira Ruela, 370, 4460‑362 Senhora da Hora (ensino superior privado universitário)</t>
  </si>
  <si>
    <t>https://www.google.com/search?q=site%3Aisssp.pt%20Servi%C3%A7o%20Social%20licenciatura</t>
  </si>
  <si>
    <t>3,5 ano(s) (210 ECTS)</t>
  </si>
  <si>
    <t>https://www.google.com/search?q=site%3Aisssp.pt%20Gerontologia%20Social%20mestrado</t>
  </si>
  <si>
    <t>Intervenção Social na Infância e Juventude em Risco de Exclusão Social</t>
  </si>
  <si>
    <t>https://www.google.com/search?q=site%3Aisssp.pt%20Interven%C3%A7%C3%A3o%20Social%20na%20Inf%C3%A2ncia%20e%20Juventude%20em%20Risco%20de%20Exclus%C3%A3o%20Social%20mestrado</t>
  </si>
  <si>
    <t>https://www.google.com/search?q=site%3Aisssp.pt%20Servi%C3%A7o%20Social%20mestrado</t>
  </si>
  <si>
    <t>Matosinhos (Senhora da Hora)</t>
  </si>
  <si>
    <t>Mediação Familiar</t>
  </si>
  <si>
    <t>ISSSP – Instituto Superior de Serviço Social do Porto</t>
  </si>
  <si>
    <t>https://www.google.com/search?q=site%3Aisssp.pt%20Media%C3%A7%C3%A3o%20Familiar%20p%C3%B3s-gradua%C3%A7%C3%A3o</t>
  </si>
  <si>
    <t>0,3 ano(s) (21 ECTS)</t>
  </si>
  <si>
    <t>Serviço Social Forense</t>
  </si>
  <si>
    <t>https://www.google.com/search?q=site%3Aisssp.pt%20Servi%C3%A7o%20Social%20Forense%20p%C3%B3s-gradua%C3%A7%C3%A3o</t>
  </si>
  <si>
    <t>De 15 de novembro de 2024 a 15 de fevereiro de 2025; 103 horas; ECTS não indicados na síntese</t>
  </si>
  <si>
    <t>Instituto Universitário de Ciências da Saúde – CESPU</t>
  </si>
  <si>
    <t>Gandra (Paredes)</t>
  </si>
  <si>
    <t>Escola Superior de Tecnologias da Saúde do Tâmega e Sousa (ESTeSTS)</t>
  </si>
  <si>
    <t>https://www.google.com/search?q=site%3Acespu.pt%20Apoio%20ao%20Consult%C3%B3rio%20M%C3%A9dico%20e%20Dent%C3%A1rio%20CTeSP</t>
  </si>
  <si>
    <t>Instituto Universitário de Ciências da Saúde - CESPU (IUCS)</t>
  </si>
  <si>
    <t>https://www.google.com/search?q=site%3Acespu.pt%20Ci%C3%AAncias%20Biom%C3%A9dicas%20licenciatura</t>
  </si>
  <si>
    <t>Ciências Forenses</t>
  </si>
  <si>
    <t>https://www.google.com/search?q=site%3Acespu.pt%20Ci%C3%AAncias%20Forenses%20licenciatura</t>
  </si>
  <si>
    <t>https://www.google.com/search?q=site%3Acespu.pt%20Ci%C3%AAncias%20da%20Nutri%C3%A7%C3%A3o%20licenciatura</t>
  </si>
  <si>
    <t>https://www.google.com/search?q=site%3Acespu.pt%20Enfermagem%20Veterin%C3%A1ria%20licenciatura</t>
  </si>
  <si>
    <t>https://www.google.com/search?q=site%3Acespu.pt%20Pr%C3%B3tese%20Dent%C3%A1ria%20licenciatura</t>
  </si>
  <si>
    <t>https://www.google.com/search?q=site%3Acespu.pt%20Psicologia%20licenciatura</t>
  </si>
  <si>
    <t>https://www.google.com/search?q=site%3Acespu.pt%20Sa%C3%BAde%20P%C3%BAblica%20licenciatura</t>
  </si>
  <si>
    <t>https://www.google.com/search?q=site%3Acespu.pt%20Ci%C3%AAncias%20Forenses%20mestrado</t>
  </si>
  <si>
    <t>Psicologia da Saúde e Neuropsicologia</t>
  </si>
  <si>
    <t>https://www.google.com/search?q=site%3Acespu.pt%20Psicologia%20da%20Sa%C3%BAde%20e%20Neuropsicologia%20mestrado</t>
  </si>
  <si>
    <t>https://www.google.com/search?q=site%3Acespu.pt%20Reabilita%C3%A7%C3%A3o%20Oral%20mestrado</t>
  </si>
  <si>
    <t>https://www.google.com/search?q=site%3Acespu.pt%20Ci%C3%AAncias%20Farmac%C3%AAuticas%20mestrado%20integrado</t>
  </si>
  <si>
    <t>https://www.google.com/search?q=site%3Acespu.pt%20Medicina%20Dent%C3%A1ria%20mestrado%20integrado</t>
  </si>
  <si>
    <t>https://www.google.com/search?q=site%3Acespu.pt%20Medicina%20Veterin%C3%A1ria%20mestrado%20integrado</t>
  </si>
  <si>
    <t>CESPU‑Formação – Medicina</t>
  </si>
  <si>
    <t>CESPU‑Formação – Ciências Biomédicas</t>
  </si>
  <si>
    <t>CESPU‑Formação – Cardiologia</t>
  </si>
  <si>
    <t>Clínica em Implantologia, Reabilitação Oral e Prostodontia – 1.ª edição</t>
  </si>
  <si>
    <t>CESPU‑Formação – Medicina Dentária</t>
  </si>
  <si>
    <t>https://www.google.com/search?q=site%3Acespu.pt%20Cl%C3%ADnica%20em%20Implantologia%2C%20Reabilita%C3%A7%C3%A3o%20Oral%20e%20Prostodontia%20%E2%80%93%201.%C2%AA%20edi%C3%A7%C3%A3o%20p%C3%B3s-gradua%C3%A7%C3%A3o</t>
  </si>
  <si>
    <t>Fevereiro 2026 início; 100% online</t>
  </si>
  <si>
    <t>Outubro 2025 início; 100% online</t>
  </si>
  <si>
    <t>CESPU‑Formação – Enfermagem</t>
  </si>
  <si>
    <t>Dentisteria Adesiva – 10.ª edição</t>
  </si>
  <si>
    <t>https://www.google.com/search?q=site%3Acespu.pt%20Dentisteria%20Adesiva%20%E2%80%93%2010.%C2%AA%20edi%C3%A7%C3%A3o%20p%C3%B3s-gradua%C3%A7%C3%A3o</t>
  </si>
  <si>
    <t>Dor Orofacial – Disfunção Temporomandibular – 4.ª edição</t>
  </si>
  <si>
    <t>Medicina Dentária – CESPU</t>
  </si>
  <si>
    <t>https://www.google.com/search?q=site%3Acespu.pt%20Dor%20Orofacial%20%E2%80%93%20Disfun%C3%A7%C3%A3o%20Temporomandibular%20%E2%80%93%204.%C2%AA%20edi%C3%A7%C3%A3o%20p%C3%B3s-gradua%C3%A7%C3%A3o</t>
  </si>
  <si>
    <t>Endodontia – 17.ª edição</t>
  </si>
  <si>
    <t>https://www.google.com/search?q=site%3Acespu.pt%20Endodontia%20%E2%80%93%2017.%C2%AA%20edi%C3%A7%C3%A3o%20p%C3%B3s-gradua%C3%A7%C3%A3o</t>
  </si>
  <si>
    <t>– (oferta nacional, vários polos)</t>
  </si>
  <si>
    <t>CESPU‑Formação</t>
  </si>
  <si>
    <t>Estomaterapia – 4.ª edição</t>
  </si>
  <si>
    <t>https://www.google.com/search?q=site%3Acespu.pt%20Estomaterapia%20%E2%80%93%204.%C2%AA%20edi%C3%A7%C3%A3o%20p%C3%B3s-gradua%C3%A7%C3%A3o</t>
  </si>
  <si>
    <t>Fisioterapia Cardiorrespiratória – 4.ª edição</t>
  </si>
  <si>
    <t>https://www.google.com/search?q=site%3Acespu.pt%20Fisioterapia%20Cardiorrespirat%C3%B3ria%20%E2%80%93%204.%C2%AA%20edi%C3%A7%C3%A3o%20p%C3%B3s-gradua%C3%A7%C3%A3o</t>
  </si>
  <si>
    <t>Introdução à Ortodontia – 19.ª edição</t>
  </si>
  <si>
    <t>https://www.google.com/search?q=site%3Acespu.pt%20Introdu%C3%A7%C3%A3o%20%C3%A0%20Ortodontia%20%E2%80%93%2019.%C2%AA%20edi%C3%A7%C3%A3o%20p%C3%B3s-gradua%C3%A7%C3%A3o</t>
  </si>
  <si>
    <t>Medicina Dentária Digital – 6.ª edição</t>
  </si>
  <si>
    <t>Área de Medicina Dentária – CESPU</t>
  </si>
  <si>
    <t>https://www.google.com/search?q=site%3Acespu.pt%20Medicina%20Dent%C3%A1ria%20Digital%20%E2%80%93%206.%C2%AA%20edi%C3%A7%C3%A3o%20p%C3%B3s-gradua%C3%A7%C3%A3o</t>
  </si>
  <si>
    <t>Maio 2026 a janeiro 2027; aulas mensais 6.ª e sábado, 9h–13h e 14h–20h</t>
  </si>
  <si>
    <t>Medicina Dentária Forense – 1.ª edição</t>
  </si>
  <si>
    <t>Ciências Forenses e Criminais – CESPU</t>
  </si>
  <si>
    <t>https://www.google.com/search?q=site%3Acespu.pt%20Medicina%20Dent%C3%A1ria%20Forense%20%E2%80%93%201.%C2%AA%20edi%C3%A7%C3%A3o%20p%C3%B3s-gradua%C3%A7%C3%A3o</t>
  </si>
  <si>
    <t>Duração e ECTS não indicados na síntese; 1.ª edição 2026</t>
  </si>
  <si>
    <t>Medicina e Patologia Oral – 8.ª edição</t>
  </si>
  <si>
    <t>https://www.google.com/search?q=site%3Acespu.pt%20Medicina%20e%20Patologia%20Oral%20%E2%80%93%208.%C2%AA%20edi%C3%A7%C3%A3o%20p%C3%B3s-gradua%C3%A7%C3%A3o</t>
  </si>
  <si>
    <t>CESPU‑Formação – Nutrição</t>
  </si>
  <si>
    <t>Ortodontia Clínica – 2.ª edição</t>
  </si>
  <si>
    <t>https://www.google.com/search?q=site%3Acespu.pt%20Ortodontia%20Cl%C3%ADnica%20%E2%80%93%202.%C2%AA%20edi%C3%A7%C3%A3o%20p%C3%B3s-gradua%C3%A7%C3%A3o</t>
  </si>
  <si>
    <t>Ortodontia Intercetiva Odontopediátrica – 16.ª edição</t>
  </si>
  <si>
    <t>https://www.google.com/search?q=site%3Acespu.pt%20Ortodontia%20Intercetiva%20Odontopedi%C3%A1trica%20%E2%80%93%2016.%C2%AA%20edi%C3%A7%C3%A3o%20p%C3%B3s-gradua%C3%A7%C3%A3o</t>
  </si>
  <si>
    <t>Ortodontia com Alinhadores – 9.ª edição</t>
  </si>
  <si>
    <t>https://www.google.com/search?q=site%3Acespu.pt%20Ortodontia%20com%20Alinhadores%20%E2%80%93%209.%C2%AA%20edi%C3%A7%C3%A3o%20p%C3%B3s-gradua%C3%A7%C3%A3o</t>
  </si>
  <si>
    <t>Periodontologia e Peri‑Implantologia Clínica – 8.ª edição</t>
  </si>
  <si>
    <t>https://www.google.com/search?q=site%3Acespu.pt%20Periodontologia%20e%20Peri%E2%80%91Implantologia%20Cl%C3%ADnica%20%E2%80%93%208.%C2%AA%20edi%C3%A7%C3%A3o%20p%C3%B3s-gradua%C3%A7%C3%A3o</t>
  </si>
  <si>
    <t>Reabilitação Oral Biomimética Avançada – 14.ª edição</t>
  </si>
  <si>
    <t>https://www.google.com/search?q=site%3Acespu.pt%20Reabilita%C3%A7%C3%A3o%20Oral%20Biomim%C3%A9tica%20Avan%C3%A7ada%20%E2%80%93%2014.%C2%AA%20edi%C3%A7%C3%A3o%20p%C3%B3s-gradua%C3%A7%C3%A3o</t>
  </si>
  <si>
    <t>Ressonância Magnética e Tomografia Computorizada – 15.ª edição</t>
  </si>
  <si>
    <t>Área de Imagem Médica – CESPU</t>
  </si>
  <si>
    <t>https://www.google.com/search?q=site%3Acespu.pt%20Resson%C3%A2ncia%20Magn%C3%A9tica%20e%20Tomografia%20Computorizada%20%E2%80%93%2015.%C2%AA%20edi%C3%A7%C3%A3o%20p%C3%B3s-gradua%C3%A7%C3%A3o</t>
  </si>
  <si>
    <t>Duração não indicada; regime e‑learning</t>
  </si>
  <si>
    <t>CESPU‑Formação – Psicologia</t>
  </si>
  <si>
    <t>Outubro 2025 início; ≈ 1 ano</t>
  </si>
  <si>
    <t>Açores</t>
  </si>
  <si>
    <t>Gestão e Administração em Saúde – 39.ª edição</t>
  </si>
  <si>
    <t>https://www.google.com/search?q=site%3Acespu.pt%20Gest%C3%A3o%20e%20Administra%C3%A7%C3%A3o%20em%20Sa%C3%BAde%20%E2%80%93%2039.%C2%AA%20edi%C3%A7%C3%A3o%20p%C3%B3s-gradua%C3%A7%C3%A3o%20executiva</t>
  </si>
  <si>
    <t>Gestão e Administração em Saúde – 42.ª edição</t>
  </si>
  <si>
    <t>https://www.google.com/search?q=site%3Acespu.pt%20Gest%C3%A3o%20e%20Administra%C3%A7%C3%A3o%20em%20Sa%C3%BAde%20%E2%80%93%2042.%C2%AA%20edi%C3%A7%C3%A3o%20p%C3%B3s-gradua%C3%A7%C3%A3o%20executiva</t>
  </si>
  <si>
    <t>1 ano; acreditado pela Ordem dos Enfermeiros</t>
  </si>
  <si>
    <t>Hand in Hand – Endodontic Advanced International Master Program – 1.ª edição</t>
  </si>
  <si>
    <t>Medicina Dentária (Endodontia)</t>
  </si>
  <si>
    <t>https://www.google.com/search?q=site%3Acespu.pt%20Hand%20in%20Hand%20%E2%80%93%20Endodontic%20Advanced%20International%20Master%20Program%20%E2%80%93%201.%C2%AA%20edi%C3%A7%C3%A3o%20p%C3%B3s-gradua%C3%A7%C3%A3o%20executiva</t>
  </si>
  <si>
    <t>Sistemas de Gestão da Qualidade e Auditoria em Saúde – 6.ª edição</t>
  </si>
  <si>
    <t>https://www.google.com/search?q=site%3Acespu.pt%20Sistemas%20de%20Gest%C3%A3o%20da%20Qualidade%20e%20Auditoria%20em%20Sa%C3%BAde%20%E2%80%93%206.%C2%AA%20edi%C3%A7%C3%A3o%20p%C3%B3s-gradua%C3%A7%C3%A3o%20executiva</t>
  </si>
  <si>
    <t>1 ano letivo; acreditado pela Ordem dos Enfermeiros para qualificação profissional</t>
  </si>
  <si>
    <t>Universidade Aberta</t>
  </si>
  <si>
    <t>https://www.google.com/search?q=site%3Auab.pt%20Ci%C3%AAncias%20Sociais%20licenciatura</t>
  </si>
  <si>
    <t>https://www.google.com/search?q=site%3Auab.pt%20Ci%C3%AAncias%20do%20Ambiente%20licenciatura</t>
  </si>
  <si>
    <t>https://www.google.com/search?q=site%3Auab.pt%20Educa%C3%A7%C3%A3o%20licenciatura</t>
  </si>
  <si>
    <t>https://www.google.com/search?q=site%3Auab.pt%20Engenharia%20Inform%C3%A1tica%20licenciatura</t>
  </si>
  <si>
    <t>https://www.google.com/search?q=site%3Auab.pt%20Estudos%20Europeus%20licenciatura</t>
  </si>
  <si>
    <t>https://www.google.com/search?q=site%3Auab.pt%20Gest%C3%A3o%20licenciatura</t>
  </si>
  <si>
    <t>Gestão de Vendas e do Retalho</t>
  </si>
  <si>
    <t>https://www.google.com/search?q=site%3Auab.pt%20Gest%C3%A3o%20de%20Vendas%20e%20do%20Retalho%20licenciatura</t>
  </si>
  <si>
    <t>História</t>
  </si>
  <si>
    <t>https://www.google.com/search?q=site%3Auab.pt%20Hist%C3%B3ria%20licenciatura</t>
  </si>
  <si>
    <t>Humanidades</t>
  </si>
  <si>
    <t>Humanidades (programas não especificados)</t>
  </si>
  <si>
    <t>https://www.google.com/search?q=site%3Auab.pt%20Humanidades%20licenciatura</t>
  </si>
  <si>
    <t>Línguas Aplicadas</t>
  </si>
  <si>
    <t>https://www.google.com/search?q=site%3Auab.pt%20L%C3%ADnguas%20Aplicadas%20licenciatura</t>
  </si>
  <si>
    <t>Matemática Aplicada à Gestão</t>
  </si>
  <si>
    <t>https://www.google.com/search?q=site%3Auab.pt%20Matem%C3%A1tica%20Aplicada%20%C3%A0%20Gest%C3%A3o%20licenciatura</t>
  </si>
  <si>
    <t>Matemática e Aplicações</t>
  </si>
  <si>
    <t>https://www.google.com/search?q=site%3Auab.pt%20Matem%C3%A1tica%20e%20Aplica%C3%A7%C3%B5es%20licenciatura</t>
  </si>
  <si>
    <t>Administração e Gestão Educacional</t>
  </si>
  <si>
    <t>https://www.google.com/search?q=site%3Auab.pt%20Administra%C3%A7%C3%A3o%20e%20Gest%C3%A3o%20Educacional%20mestrado</t>
  </si>
  <si>
    <t>Bioestatística e Biometria</t>
  </si>
  <si>
    <t>https://www.google.com/search?q=site%3Auab.pt%20Bioestat%C3%ADstica%20e%20Biometria%20mestrado</t>
  </si>
  <si>
    <t>Cidadania Ambiental e Participação</t>
  </si>
  <si>
    <t>https://www.google.com/search?q=site%3Auab.pt%20Cidadania%20Ambiental%20e%20Participa%C3%A7%C3%A3o%20mestrado</t>
  </si>
  <si>
    <t>Ciências do Consumo Alimentar</t>
  </si>
  <si>
    <t>https://www.google.com/search?q=site%3Auab.pt%20Ci%C3%AAncias%20do%20Consumo%20Alimentar%20mestrado</t>
  </si>
  <si>
    <t>Cultura, Religião e Poderes (regime de ensino a distância)</t>
  </si>
  <si>
    <t>https://www.google.com/search?q=site%3Auab.pt%20Cultura%2C%20Religi%C3%A3o%20e%20Poderes%20%28regime%20de%20ensino%20a%20dist%C3%A2ncia%29%20mestrado</t>
  </si>
  <si>
    <t>Didática do Inglês</t>
  </si>
  <si>
    <t>Formação de Professores de Línguas</t>
  </si>
  <si>
    <t>https://www.google.com/search?q=site%3Auab.pt%20Did%C3%A1tica%20do%20Ingl%C3%AAs%20mestrado</t>
  </si>
  <si>
    <t>Empreendedorismo e Cidadania Global</t>
  </si>
  <si>
    <t>https://www.google.com/search?q=site%3Auab.pt%20Empreendedorismo%20e%20Cidadania%20Global%20mestrado</t>
  </si>
  <si>
    <t>Engenharia Informática e Tecnologia Web</t>
  </si>
  <si>
    <t>https://www.google.com/search?q=site%3Auab.pt%20Engenharia%20Inform%C3%A1tica%20e%20Tecnologia%20Web%20mestrado</t>
  </si>
  <si>
    <t>Estatística, Matemática e Computação</t>
  </si>
  <si>
    <t>https://www.google.com/search?q=site%3Auab.pt%20Estat%C3%ADstica%2C%20Matem%C3%A1tica%20e%20Computa%C3%A7%C3%A3o%20mestrado</t>
  </si>
  <si>
    <t>Estudos Comparados - Literatura e Outras Artes</t>
  </si>
  <si>
    <t>https://www.google.com/search?q=site%3Auab.pt%20Estudos%20Comparados%20-%20Literatura%20e%20Outras%20Artes%20mestrado</t>
  </si>
  <si>
    <t>Estudos Portugueses Multidisciplinares</t>
  </si>
  <si>
    <t>https://www.google.com/search?q=site%3Auab.pt%20Estudos%20Portugueses%20Multidisciplinares%20mestrado</t>
  </si>
  <si>
    <t>Estudos de Língua Portuguesa</t>
  </si>
  <si>
    <t>https://www.google.com/search?q=site%3Auab.pt%20Estudos%20de%20L%C3%ADngua%20Portuguesa%20mestrado</t>
  </si>
  <si>
    <t>Estudos do Património</t>
  </si>
  <si>
    <t>https://www.google.com/search?q=site%3Auab.pt%20Estudos%20do%20Patrim%C3%B3nio%20mestrado</t>
  </si>
  <si>
    <t>Estudos sobre a Europa</t>
  </si>
  <si>
    <t>https://www.google.com/search?q=site%3Auab.pt%20Estudos%20sobre%20a%20Europa%20mestrado</t>
  </si>
  <si>
    <t>Estudos sobre as Mulheres: Género, Cidadania e Desenvolvimento</t>
  </si>
  <si>
    <t>https://www.google.com/search?q=site%3Auab.pt%20Estudos%20sobre%20as%20Mulheres%3A%20G%C3%A9nero%2C%20Cidadania%20e%20Desenvolvimento%20mestrado</t>
  </si>
  <si>
    <t>https://www.google.com/search?q=site%3Auab.pt%20Gest%C3%A3o%20mestrado</t>
  </si>
  <si>
    <t>Gestão da Informação e Bibliotecas Escolares</t>
  </si>
  <si>
    <t>https://www.google.com/search?q=site%3Auab.pt%20Gest%C3%A3o%20da%20Informa%C3%A7%C3%A3o%20e%20Bibliotecas%20Escolares%20mestrado</t>
  </si>
  <si>
    <t>Informação e Sistemas Empresariais</t>
  </si>
  <si>
    <t>https://www.google.com/search?q=site%3Auab.pt%20Informa%C3%A7%C3%A3o%20e%20Sistemas%20Empresariais%20mestrado</t>
  </si>
  <si>
    <t>Pedagogia do E-Learning</t>
  </si>
  <si>
    <t>https://www.google.com/search?q=site%3Auab.pt%20Pedagogia%20do%20E-Learning%20mestrado</t>
  </si>
  <si>
    <t>Português Língua Não Materna</t>
  </si>
  <si>
    <t>https://www.google.com/search?q=site%3Auab.pt%20Portugu%C3%AAs%20L%C3%ADngua%20N%C3%A3o%20Materna%20mestrado</t>
  </si>
  <si>
    <t>Relações Interculturais</t>
  </si>
  <si>
    <t>https://www.google.com/search?q=site%3Auab.pt%20Rela%C3%A7%C3%B5es%20Interculturais%20mestrado</t>
  </si>
  <si>
    <t>https://www.google.com/search?q=site%3Auab.pt%20Supervis%C3%A3o%20Pedag%C3%B3gica%20mestrado</t>
  </si>
  <si>
    <t>Tecnologias e Sistemas Informáticos Web</t>
  </si>
  <si>
    <t>https://www.google.com/search?q=site%3Auab.pt%20Tecnologias%20e%20Sistemas%20Inform%C3%A1ticos%20Web%20mestrado</t>
  </si>
  <si>
    <t>Transição e Transformação Digital das Organizações</t>
  </si>
  <si>
    <t>https://www.google.com/search?q=site%3Auab.pt%20Transi%C3%A7%C3%A3o%20e%20Transforma%C3%A7%C3%A3o%20Digital%20das%20Organiza%C3%A7%C3%B5es%20mestrado</t>
  </si>
  <si>
    <t>Ensino a distância (sede Lisboa)</t>
  </si>
  <si>
    <t>Administração e Políticas Públicas</t>
  </si>
  <si>
    <t>Universidade Aberta – Aprendizagem ao Longo da Vida</t>
  </si>
  <si>
    <t>https://www.google.com/search?q=site%3Auab.pt%20Administra%C3%A7%C3%A3o%20e%20Pol%C3%ADticas%20P%C3%BAblicas%20p%C3%B3s-gradua%C3%A7%C3%A3o</t>
  </si>
  <si>
    <t>Estudos Juvenis</t>
  </si>
  <si>
    <t>Universidade Aberta – ALV</t>
  </si>
  <si>
    <t>https://www.google.com/search?q=site%3Auab.pt%20Estudos%20Juvenis%20p%C3%B3s-gradua%C3%A7%C3%A3o</t>
  </si>
  <si>
    <t>2 semestres; ECTS não indicados na síntese</t>
  </si>
  <si>
    <t>Gestão Autárquica e Modernização: Os Novos Desafios do Poder Local</t>
  </si>
  <si>
    <t>https://www.google.com/search?q=site%3Auab.pt%20Gest%C3%A3o%20Aut%C3%A1rquica%20e%20Moderniza%C3%A7%C3%A3o%3A%20Os%20Novos%20Desafios%20do%20Poder%20Local%20p%C3%B3s-gradua%C3%A7%C3%A3o</t>
  </si>
  <si>
    <t>Mediação de Conflitos</t>
  </si>
  <si>
    <t>https://www.google.com/search?q=site%3Auab.pt%20Media%C3%A7%C3%A3o%20de%20Conflitos%20p%C3%B3s-gradua%C3%A7%C3%A3o</t>
  </si>
  <si>
    <t>Universidade Autónoma de Lisboa</t>
  </si>
  <si>
    <t>Administração de Unidades de Saúde</t>
  </si>
  <si>
    <t>Universidade Autónoma de Lisboa, Rua de Santa Marta 47–56, 1169‑023 Lisboa</t>
  </si>
  <si>
    <t>https://www.google.com/search?q=site%3Aautonoma.pt%20Administra%C3%A7%C3%A3o%20de%20Unidades%20de%20Sa%C3%BAde%20licenciatura</t>
  </si>
  <si>
    <t>Ciências da Comunicação</t>
  </si>
  <si>
    <t>https://www.google.com/search?q=site%3Aautonoma.pt%20Ci%C3%AAncias%20da%20Comunica%C3%A7%C3%A3o%20licenciatura</t>
  </si>
  <si>
    <t>https://www.google.com/search?q=site%3Aautonoma.pt%20Direito%20licenciatura</t>
  </si>
  <si>
    <t>https://www.google.com/search?q=site%3Aautonoma.pt%20Economia%20licenciatura</t>
  </si>
  <si>
    <t>Engenharia Eletrónica e de Telecomunicações</t>
  </si>
  <si>
    <t>https://www.google.com/search?q=site%3Aautonoma.pt%20Engenharia%20Eletr%C3%B3nica%20e%20de%20Telecomunica%C3%A7%C3%B5es%20licenciatura</t>
  </si>
  <si>
    <t>https://www.google.com/search?q=site%3Aautonoma.pt%20Engenharia%20Inform%C3%A1tica%20licenciatura</t>
  </si>
  <si>
    <t>Estudos de Segurança</t>
  </si>
  <si>
    <t>https://www.google.com/search?q=site%3Aautonoma.pt%20Estudos%20de%20Seguran%C3%A7a%20licenciatura</t>
  </si>
  <si>
    <t>https://www.google.com/search?q=site%3Aautonoma.pt%20Gest%C3%A3o%20licenciatura</t>
  </si>
  <si>
    <t>https://www.google.com/search?q=site%3Aautonoma.pt%20Gest%C3%A3o%20do%20Desporto%20licenciatura</t>
  </si>
  <si>
    <t>https://www.google.com/search?q=site%3Aautonoma.pt%20Hist%C3%B3ria%20licenciatura</t>
  </si>
  <si>
    <t>https://www.google.com/search?q=site%3Aautonoma.pt%20Inform%C3%A1tica%20de%20Gest%C3%A3o%20licenciatura</t>
  </si>
  <si>
    <t>https://www.google.com/search?q=site%3Aautonoma.pt%20Intelig%C3%AAncia%20Artificial%20licenciatura</t>
  </si>
  <si>
    <t>https://www.google.com/search?q=site%3Aautonoma.pt%20Psicologia%20licenciatura</t>
  </si>
  <si>
    <t>Relações Internacionais</t>
  </si>
  <si>
    <t>https://www.google.com/search?q=site%3Aautonoma.pt%20Rela%C3%A7%C3%B5es%20Internacionais%20licenciatura</t>
  </si>
  <si>
    <t>https://www.google.com/search?q=site%3Aautonoma.pt%20Comunica%C3%A7%C3%A3o%20Aplicada%20mestrado</t>
  </si>
  <si>
    <t>Departamento de Direito, Universidade Autónoma de Lisboa, Rua de Santa Marta 47–56, 1169‑023 Lisboa</t>
  </si>
  <si>
    <t>https://www.google.com/search?q=site%3Aautonoma.pt%20Direito%20mestrado</t>
  </si>
  <si>
    <t>Direito, Ciências Jurídico‑Policiais</t>
  </si>
  <si>
    <t>https://www.google.com/search?q=site%3Aautonoma.pt%20Direito%2C%20Ci%C3%AAncias%20Jur%C3%ADdico%E2%80%91Policiais%20mestrado</t>
  </si>
  <si>
    <t>Engenharia Informática e de Telecomunicações</t>
  </si>
  <si>
    <t>Departamento de Ciências e Tecnologias, Universidade Autónoma de Lisboa</t>
  </si>
  <si>
    <t>https://www.google.com/search?q=site%3Aautonoma.pt%20Engenharia%20Inform%C3%A1tica%20e%20de%20Telecomunica%C3%A7%C3%B5es%20mestrado</t>
  </si>
  <si>
    <t>Departamento de Ciências Económicas e Empresariais, Universidade Autónoma de Lisboa</t>
  </si>
  <si>
    <t>https://www.google.com/search?q=site%3Aautonoma.pt%20Gest%C3%A3o%20de%20Empresas%20mestrado</t>
  </si>
  <si>
    <t>História e Patrimónios</t>
  </si>
  <si>
    <t>Departamento de História, Artes e Humanidades, Universidade Autónoma de Lisboa</t>
  </si>
  <si>
    <t>https://www.google.com/search?q=site%3Aautonoma.pt%20Hist%C3%B3ria%20e%20Patrim%C3%B3nios%20mestrado</t>
  </si>
  <si>
    <t>Psicologia Clínica e de Aconselhamento</t>
  </si>
  <si>
    <t>Departamento de Psicologia, Universidade Autónoma de Lisboa, Rua de Santa Marta 47–56, 1169‑023 Lisboa</t>
  </si>
  <si>
    <t>https://www.google.com/search?q=site%3Aautonoma.pt%20Psicologia%20Cl%C3%ADnica%20e%20de%20Aconselhamento%20mestrado</t>
  </si>
  <si>
    <t>Psicologia Organizacional e Saúde Ocupacional</t>
  </si>
  <si>
    <t>https://www.google.com/search?q=site%3Aautonoma.pt%20Psicologia%20Organizacional%20e%20Sa%C3%BAde%20Ocupacional%20mestrado</t>
  </si>
  <si>
    <t>Departamento de Relações Internacionais, Universidade Autónoma de Lisboa, Rua de Santa Marta 47–56, 1169‑023 Lisboa</t>
  </si>
  <si>
    <t>https://www.google.com/search?q=site%3Aautonoma.pt%20Rela%C3%A7%C3%B5es%20Internacionais%20mestrado</t>
  </si>
  <si>
    <t>https://www.google.com/search?q=site%3Aautonoma.pt%20Arquitetura%20mestrado%20integrado</t>
  </si>
  <si>
    <t>Autónoma Academy – Ciências e Tecnologias</t>
  </si>
  <si>
    <t>https://www.google.com/search?q=site%3Aautonoma.pt%20Data%20Science%20Applied%20for%20Business%20p%C3%B3s-gradua%C3%A7%C3%A3o</t>
  </si>
  <si>
    <t>Estratégia de Marca e Criatividade com IA</t>
  </si>
  <si>
    <t>Autónoma Academy – Ciências Sociais e Humanas</t>
  </si>
  <si>
    <t>https://www.google.com/search?q=site%3Aautonoma.pt%20Estrat%C3%A9gia%20de%20Marca%20e%20Criatividade%20com%20IA%20p%C3%B3s-gradua%C3%A7%C3%A3o</t>
  </si>
  <si>
    <t>Inteligência Artificial: que desafios e oportunidades?</t>
  </si>
  <si>
    <t>Autónoma Academy – Ciências Económicas e Empresariais</t>
  </si>
  <si>
    <t>https://www.google.com/search?q=site%3Aautonoma.pt%20Intelig%C3%AAncia%20Artificial%3A%20que%20desafios%20e%20oportunidades%3F%20p%C3%B3s-gradua%C3%A7%C3%A3o</t>
  </si>
  <si>
    <t>Curso curto (horas e ECTS não especificados no resumo; formação executiva em IA aplicada ao negócio)</t>
  </si>
  <si>
    <t>MBA Data Science</t>
  </si>
  <si>
    <t>https://www.google.com/search?q=site%3Aautonoma.pt%20MBA%20Data%20Science%20p%C3%B3s-gradua%C3%A7%C3%A3o%20executiva</t>
  </si>
  <si>
    <t>MBA Executivo Corporate</t>
  </si>
  <si>
    <t>https://www.google.com/search?q=site%3Aautonoma.pt%20MBA%20Executivo%20Corporate%20p%C3%B3s-gradua%C3%A7%C3%A3o%20executiva</t>
  </si>
  <si>
    <t>MBA Gestão de Projetos Sustentáveis</t>
  </si>
  <si>
    <t>https://www.google.com/search?q=site%3Aautonoma.pt%20MBA%20Gest%C3%A3o%20de%20Projetos%20Sustent%C3%A1veis%20p%C3%B3s-gradua%C3%A7%C3%A3o%20executiva</t>
  </si>
  <si>
    <t>1 ano; detalhes de horas/ECTS não explicitados na listagem geral (MBA na área de gestão de projetos)</t>
  </si>
  <si>
    <t>Universidade Católica Portuguesa</t>
  </si>
  <si>
    <t>Administração e Gestão de Empresas</t>
  </si>
  <si>
    <t>Faculdade de Ciências Económicas e Empresariais – Católica Lisbon School of Business &amp; Economics, Palma de Cima, Lisboa</t>
  </si>
  <si>
    <t>https://www.google.com/search?q=site%3Aucp.pt%20Administra%C3%A7%C3%A3o%20e%20Gest%C3%A3o%20de%20Empresas%20licenciatura</t>
  </si>
  <si>
    <t>Administração e Gestão de Empresas – Licenciatura Internacional</t>
  </si>
  <si>
    <t>Católica Lisbon School of Business &amp; Economics, Palma de Cima, Lisboa (trajeto com maior percentagem de UC em inglês e mobilidade)</t>
  </si>
  <si>
    <t>https://www.google.com/search?q=site%3Aucp.pt%20Administra%C3%A7%C3%A3o%20e%20Gest%C3%A3o%20de%20Empresas%20%E2%80%93%20Licenciatura%20Internacional%20licenciatura</t>
  </si>
  <si>
    <t>Arte – Conservação e Restauro</t>
  </si>
  <si>
    <t>Escola das Artes – Universidade Católica Portuguesa, Rua de Diogo Botelho 1327, 4169‑005 Porto</t>
  </si>
  <si>
    <t>https://www.google.com/search?q=site%3Aucp.pt%20Arte%20%E2%80%93%20Conserva%C3%A7%C3%A3o%20e%20Restauro%20licenciatura</t>
  </si>
  <si>
    <t>Escola Superior de Biotecnologia (ESB) – Universidade Católica Portuguesa, Rua Diogo Botelho 1327, 4169‑005 Porto</t>
  </si>
  <si>
    <t>https://www.google.com/search?q=site%3Aucp.pt%20Bioengenharia%20licenciatura</t>
  </si>
  <si>
    <t>https://www.google.com/search?q=site%3Aucp.pt%20Cinema%20licenciatura</t>
  </si>
  <si>
    <t>Ciência Política e Relações Internacionais</t>
  </si>
  <si>
    <t>Instituto de Estudos Políticos (IEP), Campus de Lisboa da UCP, Palma de Cima, 1649‑023 Lisboa</t>
  </si>
  <si>
    <t>https://www.google.com/search?q=site%3Aucp.pt%20Ci%C3%AAncia%20Pol%C3%ADtica%20e%20Rela%C3%A7%C3%B5es%20Internacionais%20licenciatura</t>
  </si>
  <si>
    <t>Ciência de Dados Aplicada</t>
  </si>
  <si>
    <t>Faculdade de Filosofia e Ciências Sociais (FFCS) – UCP Braga, Praça da Faculdade de Filosofia 1, 4710‑297 Braga</t>
  </si>
  <si>
    <t>https://www.google.com/search?q=site%3Aucp.pt%20Ci%C3%AAncia%20de%20Dados%20Aplicada%20licenciatura</t>
  </si>
  <si>
    <t>Ciência e Tecnologia de Dados</t>
  </si>
  <si>
    <t>FFCS – UCP Braga, Praça da Faculdade de Filosofia 1, 4710‑297 Braga</t>
  </si>
  <si>
    <t>https://www.google.com/search?q=site%3Aucp.pt%20Ci%C3%AAncia%20e%20Tecnologia%20de%20Dados%20licenciatura</t>
  </si>
  <si>
    <t>Faculdade de Medicina Dentária, Estrada da Circunvalação, 3504‑505 Viseu</t>
  </si>
  <si>
    <t>https://www.google.com/search?q=site%3Aucp.pt%20Ci%C3%AAncias%20Biom%C3%A9dicas%20licenciatura</t>
  </si>
  <si>
    <t>Ciências Religiosas</t>
  </si>
  <si>
    <t>Religião e Teologia</t>
  </si>
  <si>
    <t>Faculdade de Teologia – Polo de Braga, Rua de Camões / Campus de Braga da UCP</t>
  </si>
  <si>
    <t>https://www.google.com/search?q=site%3Aucp.pt%20Ci%C3%AAncias%20Religiosas%20licenciatura</t>
  </si>
  <si>
    <t>Ciências Religiosas (regime de ensino a distância)</t>
  </si>
  <si>
    <t>Faculdade de Teologia – UCP (sede em Lisboa, campus Palma de Cima; ensino totalmente a distância com coordenação FT)</t>
  </si>
  <si>
    <t>https://www.google.com/search?q=site%3Aucp.pt%20Ci%C3%AAncias%20Religiosas%20%28regime%20de%20ensino%20a%20dist%C3%A2ncia%29%20licenciatura</t>
  </si>
  <si>
    <t>https://www.google.com/search?q=site%3Aucp.pt%20Ci%C3%AAncias%20da%20Comunica%C3%A7%C3%A3o%20licenciatura</t>
  </si>
  <si>
    <t>https://www.google.com/search?q=site%3Aucp.pt%20Ci%C3%AAncias%20da%20Nutri%C3%A7%C3%A3o%20licenciatura</t>
  </si>
  <si>
    <t>Ciências e Sociedade</t>
  </si>
  <si>
    <t>https://www.google.com/search?q=site%3Aucp.pt%20Ci%C3%AAncias%20e%20Sociedade%20licenciatura</t>
  </si>
  <si>
    <t>Comunicação Social e Cultural</t>
  </si>
  <si>
    <t>Faculdade de Ciências Humanas (FCH) – UCP, Palma de Cima, Avenida Lusíada, 1649‑023 Lisboa</t>
  </si>
  <si>
    <t>https://www.google.com/search?q=site%3Aucp.pt%20Comunica%C3%A7%C3%A3o%20Social%20e%20Cultural%20licenciatura</t>
  </si>
  <si>
    <t>Faculdade de Direito – Escola do Porto, Rua de Diogo Botelho 1327, 4169‑005 Porto – plano antigo em extinção</t>
  </si>
  <si>
    <t>https://www.google.com/search?q=site%3Aucp.pt%20Direito%20licenciatura</t>
  </si>
  <si>
    <t>Católica Lisbon School of Business &amp; Economics, Palma de Cima, Lisboa</t>
  </si>
  <si>
    <t>https://www.google.com/search?q=site%3Aucp.pt%20Economia%20licenciatura</t>
  </si>
  <si>
    <t>Economia e Finanças – Licenciatura Internacional</t>
  </si>
  <si>
    <t>Católica Lisbon School of Business &amp; Economics, Palma de Cima, Lisboa (trajeto internacional em Economia/Finanças)</t>
  </si>
  <si>
    <t>https://www.google.com/search?q=site%3Aucp.pt%20Economia%20e%20Finan%C3%A7as%20%E2%80%93%20Licenciatura%20Internacional%20licenciatura</t>
  </si>
  <si>
    <t>Faculdade de Educação e Psicologia, Campus do Porto – Rua de Diogo Botelho 1327, 4169‑005 Porto</t>
  </si>
  <si>
    <t>https://www.google.com/search?q=site%3Aucp.pt%20Educa%C3%A7%C3%A3o%20licenciatura</t>
  </si>
  <si>
    <t>Estudos Portugueses</t>
  </si>
  <si>
    <t>https://www.google.com/search?q=site%3Aucp.pt%20Estudos%20Portugueses%20licenciatura</t>
  </si>
  <si>
    <t>Estudos Portugueses e Espanhóis</t>
  </si>
  <si>
    <t>Línguas e Literaturas (Português e Espanhol)</t>
  </si>
  <si>
    <t>https://www.google.com/search?q=site%3Aucp.pt%20Estudos%20Portugueses%20e%20Espanh%C3%B3is%20licenciatura</t>
  </si>
  <si>
    <t>Estudos de Segurança e Geopolítica</t>
  </si>
  <si>
    <t>https://www.google.com/search?q=site%3Aucp.pt%20Estudos%20de%20Seguran%C3%A7a%20e%20Geopol%C3%ADtica%20licenciatura</t>
  </si>
  <si>
    <t>Filosofia</t>
  </si>
  <si>
    <t>Filosofia e Ética</t>
  </si>
  <si>
    <t>https://www.google.com/search?q=site%3Aucp.pt%20Filosofia%20licenciatura</t>
  </si>
  <si>
    <t>Filosofia (regime de ensino a distância)</t>
  </si>
  <si>
    <t>Faculdade de Ciências Humanas (FCH) – UCP, Palma de Cima, Avenida Lusíada, 1649‑023 Lisboa – oferta em e‑learning com tutoria FCH</t>
  </si>
  <si>
    <t>https://www.google.com/search?q=site%3Aucp.pt%20Filosofia%20%28regime%20de%20ensino%20a%20dist%C3%A2ncia%29%20licenciatura</t>
  </si>
  <si>
    <t>Filosofia, Política e Economia</t>
  </si>
  <si>
    <t>https://www.google.com/search?q=site%3Aucp.pt%20Filosofia%2C%20Pol%C3%ADtica%20e%20Economia%20licenciatura</t>
  </si>
  <si>
    <t>Centro Regional de Viseu – Instituto de Gestão e das Organizações da Saúde (IGOS), Estrada da Circunvalação, 3504‑505 Viseu</t>
  </si>
  <si>
    <t>https://www.google.com/search?q=site%3Aucp.pt%20Gest%C3%A3o%20licenciatura</t>
  </si>
  <si>
    <t>https://www.google.com/search?q=site%3Aucp.pt%20Gest%C3%A3o%20Aplicada%20licenciatura</t>
  </si>
  <si>
    <t>Gestão Comercial e de Retalho – Executiva (regime de ensino a distância)</t>
  </si>
  <si>
    <t>Católica Lisbon School of Business &amp; Economics – Licenciatura Executiva online, dirigida a profissionais em atividade</t>
  </si>
  <si>
    <t>https://www.google.com/search?q=site%3Aucp.pt%20Gest%C3%A3o%20Comercial%20e%20de%20Retalho%20%E2%80%93%20Executiva%20%28regime%20de%20ensino%20a%20dist%C3%A2ncia%29%20licenciatura</t>
  </si>
  <si>
    <t>Gestão e Análise de Dados</t>
  </si>
  <si>
    <t>Católica Porto Business School – Foz Campus, Rua de Diogo Botelho 1327, 4169‑005 Porto</t>
  </si>
  <si>
    <t>https://www.google.com/search?q=site%3Aucp.pt%20Gest%C3%A3o%20e%20An%C3%A1lise%20de%20Dados%20licenciatura</t>
  </si>
  <si>
    <t>Línguas Estrangeiras Aplicadas</t>
  </si>
  <si>
    <t>https://www.google.com/search?q=site%3Aucp.pt%20L%C3%ADnguas%20Estrangeiras%20Aplicadas%20licenciatura</t>
  </si>
  <si>
    <t>Microbiologia</t>
  </si>
  <si>
    <t>https://www.google.com/search?q=site%3Aucp.pt%20Microbiologia%20licenciatura</t>
  </si>
  <si>
    <t>Neurociência de Sistemas e Cognitiva (Systems and Cognitive Neuroscience)</t>
  </si>
  <si>
    <t>Instituto de Ciências da Saúde / Faculdade de Ciências da Saúde e Enfermagem em associação com a Católica Medical School, Campus de Lisboa – Palma de Cima, 1649‑023 Lisboa</t>
  </si>
  <si>
    <t>https://www.google.com/search?q=site%3Aucp.pt%20Neuroci%C3%AAncia%20de%20Sistemas%20e%20Cognitiva%20%28Systems%20and%20Cognitive%20Neuroscience%29%20licenciatura</t>
  </si>
  <si>
    <t>https://www.google.com/search?q=site%3Aucp.pt%20Psicologia%20licenciatura</t>
  </si>
  <si>
    <t>Serviço Social (plano 180 ECTS)</t>
  </si>
  <si>
    <t>ECTS) – 762 Trabalho Social e Orientação</t>
  </si>
  <si>
    <t>https://www.google.com/search?q=site%3Aucp.pt%20Servi%C3%A7o%20Social%20%28plano%20180%20ECTS%29%20licenciatura</t>
  </si>
  <si>
    <t>Serviço Social (plano 210 ECTS)</t>
  </si>
  <si>
    <t>https://www.google.com/search?q=site%3Aucp.pt%20Servi%C3%A7o%20Social%20%28plano%20210%20ECTS%29%20licenciatura</t>
  </si>
  <si>
    <t>https://www.google.com/search?q=site%3Aucp.pt%20Som%20e%20Imagem%20licenciatura</t>
  </si>
  <si>
    <t>Teologia</t>
  </si>
  <si>
    <t>Faculdade de Teologia – UCP, modalidade presencial plurilocalizada (Lisboa – Palma de Cima; Porto; Braga)</t>
  </si>
  <si>
    <t>https://www.google.com/search?q=site%3Aucp.pt%20Teologia%20licenciatura</t>
  </si>
  <si>
    <t>https://www.google.com/search?q=site%3Aucp.pt%20Turismo%20licenciatura</t>
  </si>
  <si>
    <t>A União Europeia e o Atlântico</t>
  </si>
  <si>
    <t>https://www.google.com/search?q=site%3Aucp.pt%20A%20Uni%C3%A3o%20Europeia%20e%20o%20Atl%C3%A2ntico%20mestrado</t>
  </si>
  <si>
    <t>Análise de Dados para Gestão</t>
  </si>
  <si>
    <t>Católica Lisbon School of Business &amp; Economics (CLSBE), Palma de Cima, Lisboa</t>
  </si>
  <si>
    <t>https://www.google.com/search?q=site%3Aucp.pt%20An%C3%A1lise%20de%20Dados%20para%20Gest%C3%A3o%20mestrado</t>
  </si>
  <si>
    <t>Faculdade de Economia e Gestão / Católica Porto Business School, Rua de Diogo Botelho 1327, 4169‑005 Porto</t>
  </si>
  <si>
    <t>https://www.google.com/search?q=site%3Aucp.pt%20Auditoria%20e%20Fiscalidade%20mestrado</t>
  </si>
  <si>
    <t>1,6 ano(s) (96 ECTS)</t>
  </si>
  <si>
    <t>Biomedicina Aplicada</t>
  </si>
  <si>
    <t>https://www.google.com/search?q=site%3Aucp.pt%20Biomedicina%20Aplicada%20mestrado</t>
  </si>
  <si>
    <t>Escola Superior de Biotecnologia (ESB) – UCP, Rua Diogo Botelho 1327, 4169‑005 Porto</t>
  </si>
  <si>
    <t>https://www.google.com/search?q=site%3Aucp.pt%20Biotecnologia%20e%20Inova%C3%A7%C3%A3o%20mestrado</t>
  </si>
  <si>
    <t>Biotecnologia para a Bioeconomia</t>
  </si>
  <si>
    <t>https://www.google.com/search?q=site%3Aucp.pt%20Biotecnologia%20para%20a%20Bioeconomia%20mestrado</t>
  </si>
  <si>
    <t>Instituto de Bioética – Universidade Católica Portuguesa (integrado na Faculdade de Medicina / IB‑UCP)</t>
  </si>
  <si>
    <t>https://www.google.com/search?q=site%3Aucp.pt%20Bio%C3%A9tica%20mestrado</t>
  </si>
  <si>
    <t>https://www.google.com/search?q=site%3Aucp.pt%20Cinema%20mestrado</t>
  </si>
  <si>
    <t>Ciência Política e Relações Internacionais: Segurança e Defesa</t>
  </si>
  <si>
    <t>IEP – Mestrado em Ciência Política e Relações Internacionais: Segurança e Defesa</t>
  </si>
  <si>
    <t>https://www.google.com/search?q=site%3Aucp.pt%20Ci%C3%AAncia%20Pol%C3%ADtica%20e%20Rela%C3%A7%C3%B5es%20Internacionais%3A%20Seguran%C3%A7a%20e%20Defesa%20mestrado</t>
  </si>
  <si>
    <t>Faculdade de Teologia – Polo do Porto, Rua de Diogo Botelho 1327, 4169‑005 Porto</t>
  </si>
  <si>
    <t>https://www.google.com/search?q=site%3Aucp.pt%20Ci%C3%AAncias%20Religiosas%20mestrado</t>
  </si>
  <si>
    <t>Faculdade de Teologia – UCP, coordenação nacional (Lisboa) com lecionação integral em ensino a distância (plataforma online)</t>
  </si>
  <si>
    <t>https://www.google.com/search?q=site%3Aucp.pt%20Ci%C3%AAncias%20Religiosas%20%28regime%20de%20ensino%20a%20dist%C3%A2ncia%29%20mestrado</t>
  </si>
  <si>
    <t>https://www.google.com/search?q=site%3Aucp.pt%20Ci%C3%AAncias%20da%20Comunica%C3%A7%C3%A3o%20mestrado</t>
  </si>
  <si>
    <t>FCH – UCP, Palma de Cima, Avenida Lusíada, 1649‑023 Lisboa</t>
  </si>
  <si>
    <t>https://www.google.com/search?q=site%3Aucp.pt%20Ci%C3%AAncias%20da%20Educa%C3%A7%C3%A3o%20mestrado</t>
  </si>
  <si>
    <t>Ciências da Educação - Administração e Organização Escolar</t>
  </si>
  <si>
    <t>FFCS – UCP Braga, Rua de Camões 90, 4710‑443 Braga</t>
  </si>
  <si>
    <t>https://www.google.com/search?q=site%3Aucp.pt%20Ci%C3%AAncias%20da%20Educa%C3%A7%C3%A3o%20-%20Administra%C3%A7%C3%A3o%20e%20Organiza%C3%A7%C3%A3o%20Escolar%20mestrado</t>
  </si>
  <si>
    <t>Ciências da Educação - Educação Especial</t>
  </si>
  <si>
    <t>https://www.google.com/search?q=site%3Aucp.pt%20Ci%C3%AAncias%20da%20Educa%C3%A7%C3%A3o%20-%20Educa%C3%A7%C3%A3o%20Especial%20mestrado</t>
  </si>
  <si>
    <t>https://www.google.com/search?q=site%3Aucp.pt%20Comunica%C3%A7%C3%A3o%20Digital%20mestrado</t>
  </si>
  <si>
    <t>Conservação e Restauro de Bens Culturais</t>
  </si>
  <si>
    <t>https://www.google.com/search?q=site%3Aucp.pt%20Conserva%C3%A7%C3%A3o%20e%20Restauro%20de%20Bens%20Culturais%20mestrado</t>
  </si>
  <si>
    <t>Instituto de Ciências da Saúde / Faculdade de Ciências da Saúde e Enfermagem (FCSE), Campus de Lisboa – Palma de Cima, 1649‑023 Lisboa</t>
  </si>
  <si>
    <t>https://www.google.com/search?q=site%3Aucp.pt%20Cuidados%20Paliativos%20mestrado</t>
  </si>
  <si>
    <t>Faculdade de Direito – Escola do Porto, Rua de Diogo Botelho 1327, 4169‑005 Porto</t>
  </si>
  <si>
    <t>https://www.google.com/search?q=site%3Aucp.pt%20Direito%20mestrado</t>
  </si>
  <si>
    <t>Direito (orientado para a investigação)</t>
  </si>
  <si>
    <t>Faculdade de Direito – Escola de Lisboa, Campus de Lisboa, Palma de Cima</t>
  </si>
  <si>
    <t>https://www.google.com/search?q=site%3Aucp.pt%20Direito%20%28orientado%20para%20a%20investiga%C3%A7%C3%A3o%29%20mestrado</t>
  </si>
  <si>
    <t>https://www.google.com/search?q=site%3Aucp.pt%20Direito%20Transnacional%20mestrado</t>
  </si>
  <si>
    <t>Direito e Gestão</t>
  </si>
  <si>
    <t>Faculdade de Direito – Escola do Porto em associação com Católica Porto Business School</t>
  </si>
  <si>
    <t>https://www.google.com/search?q=site%3Aucp.pt%20Direito%20e%20Gest%C3%A3o%20mestrado</t>
  </si>
  <si>
    <t>https://www.google.com/search?q=site%3Aucp.pt%20Economia%20mestrado</t>
  </si>
  <si>
    <t>Economia Empresarial</t>
  </si>
  <si>
    <t>Faculdade de Economia e Gestão / CPBS, Rua de Diogo Botelho 1327, 4169‑005 Porto</t>
  </si>
  <si>
    <t>https://www.google.com/search?q=site%3Aucp.pt%20Economia%20Empresarial%20mestrado</t>
  </si>
  <si>
    <t>Economia Social</t>
  </si>
  <si>
    <t>Faculdade de Economia e Gestão / CPBS – plano em extinção</t>
  </si>
  <si>
    <t>https://www.google.com/search?q=site%3Aucp.pt%20Economia%20Social%20mestrado</t>
  </si>
  <si>
    <t>Economia – Mestrado Internacional</t>
  </si>
  <si>
    <t>CLSBE, programa em inglês com forte orientação internacional</t>
  </si>
  <si>
    <t>https://www.google.com/search?q=site%3Aucp.pt%20Economia%20%E2%80%93%20Mestrado%20Internacional%20mestrado</t>
  </si>
  <si>
    <t>Educação Médica</t>
  </si>
  <si>
    <t>Faculdade de Medicina – Católica Medical School, Campus de Sintra, Estrada Octávio Pato, 2635‑631 Rio de Mouro</t>
  </si>
  <si>
    <t>https://www.google.com/search?q=site%3Aucp.pt%20Educa%C3%A7%C3%A3o%20M%C3%A9dica%20mestrado</t>
  </si>
  <si>
    <t>Instituto de Ciências da Saúde (Porto) / Escola de Enfermagem UCP Porto, Campus da Foz – Rua de Diogo Botelho 1327, 4169‑005 Porto</t>
  </si>
  <si>
    <t>https://www.google.com/search?q=site%3Aucp.pt%20Enfermagem%20Avan%C3%A7ada%20mestrado</t>
  </si>
  <si>
    <t>https://www.google.com/search?q=site%3Aucp.pt%20Engenharia%20Alimentar%20mestrado</t>
  </si>
  <si>
    <t>https://www.google.com/search?q=site%3Aucp.pt%20Engenharia%20Biom%C3%A9dica%20mestrado</t>
  </si>
  <si>
    <t>Ensino da Música</t>
  </si>
  <si>
    <t>https://www.google.com/search?q=site%3Aucp.pt%20Ensino%20da%20M%C3%BAsica%20mestrado</t>
  </si>
  <si>
    <t>Ensino de Português e de Espanhol no 3.º ciclo do Ensino Básico e no Ensino Secundário</t>
  </si>
  <si>
    <t>Formação de Professores (Português e Espanhol)</t>
  </si>
  <si>
    <t>https://www.google.com/search?q=site%3Aucp.pt%20Ensino%20de%20Portugu%C3%AAs%20e%20de%20Espanhol%20no%203.%C2%BA%20ciclo%20do%20Ensino%20B%C3%A1sico%20e%20no%20Ensino%20Secund%C3%A1rio%20mestrado</t>
  </si>
  <si>
    <t>Formação de Professores de Educação Especial</t>
  </si>
  <si>
    <t>https://www.google.com/search?q=site%3Aucp.pt%20Ensino%20em%20L%C3%ADngua%20Gestual%20Portuguesa%20mestrado</t>
  </si>
  <si>
    <t>Estudos Asiáticos</t>
  </si>
  <si>
    <t>FCH – UCP, Palma de Cima, Avenida Lusíada, 1649‑023 Lisboa (curso lecionado em inglês)</t>
  </si>
  <si>
    <t>https://www.google.com/search?q=site%3Aucp.pt%20Estudos%20Asi%C3%A1ticos%20mestrado</t>
  </si>
  <si>
    <t>Estudos da Família</t>
  </si>
  <si>
    <t>FCH – UCP, Palma de Cima, Avenida Lusíada, 1649‑023 Lisboa; Instituto de Estudos da Família</t>
  </si>
  <si>
    <t>https://www.google.com/search?q=site%3Aucp.pt%20Estudos%20da%20Fam%C3%ADlia%20mestrado</t>
  </si>
  <si>
    <t>Estudos da Religião</t>
  </si>
  <si>
    <t>Faculdade de Teologia – UCP, Lisboa (programa de especialização em estudos bíblicos, história do cristianismo, ética, religiões)</t>
  </si>
  <si>
    <t>https://www.google.com/search?q=site%3Aucp.pt%20Estudos%20da%20Religi%C3%A3o%20mestrado</t>
  </si>
  <si>
    <t>Estudos de Cultura</t>
  </si>
  <si>
    <t>https://www.google.com/search?q=site%3Aucp.pt%20Estudos%20de%20Cultura%20mestrado</t>
  </si>
  <si>
    <t>https://www.google.com/search?q=site%3Aucp.pt%20Filosofia%20mestrado</t>
  </si>
  <si>
    <t>https://www.google.com/search?q=site%3Aucp.pt%20Finan%C3%A7as%20mestrado</t>
  </si>
  <si>
    <t>Finanças (mestrado internacional)</t>
  </si>
  <si>
    <t>CLSBE, programa em inglês com foco em carreiras globais</t>
  </si>
  <si>
    <t>https://www.google.com/search?q=site%3Aucp.pt%20Finan%C3%A7as%20%28mestrado%20internacional%29%20mestrado</t>
  </si>
  <si>
    <t>Finanças e Controlo de Gestão – Executivo</t>
  </si>
  <si>
    <t>CLSBE, Mestrado Executivo em regime part‑time, pós‑laboral</t>
  </si>
  <si>
    <t>https://www.google.com/search?q=site%3Aucp.pt%20Finan%C3%A7as%20e%20Controlo%20de%20Gest%C3%A3o%20%E2%80%93%20Executivo%20mestrado</t>
  </si>
  <si>
    <t>https://www.google.com/search?q=site%3Aucp.pt%20Fotografia%20mestrado</t>
  </si>
  <si>
    <t>https://www.google.com/search?q=site%3Aucp.pt%20Gerontologia%20Social%20mestrado</t>
  </si>
  <si>
    <t>Gerontologia e Cuidado Geriátrico</t>
  </si>
  <si>
    <t>ICS / FCSE, Campus de Lisboa – Palma de Cima – mestrado em extinção</t>
  </si>
  <si>
    <t>https://www.google.com/search?q=site%3Aucp.pt%20Gerontologia%20e%20Cuidado%20Geri%C3%A1trico%20mestrado</t>
  </si>
  <si>
    <t>Faculdade de Economia e Gestão / CPBS – plano em vigor, Rua de Diogo Botelho 1327, 4169‑005 Porto</t>
  </si>
  <si>
    <t>https://www.google.com/search?q=site%3Aucp.pt%20Gest%C3%A3o%20mestrado</t>
  </si>
  <si>
    <t>Católica Porto Business School, programa profissionalizante</t>
  </si>
  <si>
    <t>https://www.google.com/search?q=site%3Aucp.pt%20Gest%C3%A3o%20Aplicada%20mestrado</t>
  </si>
  <si>
    <t>Gestão Sustentável da Qualidade Alimentar</t>
  </si>
  <si>
    <t>https://www.google.com/search?q=site%3Aucp.pt%20Gest%C3%A3o%20Sustent%C3%A1vel%20da%20Qualidade%20Alimentar%20mestrado</t>
  </si>
  <si>
    <t>Gestão da Floresta e dos Recursos Naturais no Mediterrâneo (MEDfOR)</t>
  </si>
  <si>
    <t>Faculdade de Economia e Gestão – UCP em associação no consórcio MEDfOR (coordenação ULisboa – ISA)</t>
  </si>
  <si>
    <t>https://www.google.com/search?q=site%3Aucp.pt%20Gest%C3%A3o%20da%20Floresta%20e%20dos%20Recursos%20Naturais%20no%20Mediterr%C3%A2neo%20%28MEDfOR%29%20mestrado</t>
  </si>
  <si>
    <t>Gestão de Empresas – Executivo</t>
  </si>
  <si>
    <t>CLSBE, Mestrado Executivo dirigido a profissionais</t>
  </si>
  <si>
    <t>https://www.google.com/search?q=site%3Aucp.pt%20Gest%C3%A3o%20de%20Empresas%20%E2%80%93%20Executivo%20mestrado</t>
  </si>
  <si>
    <t>Gestão de Empresas – Internacional</t>
  </si>
  <si>
    <t>CLSBE, variante internacional de Gestão (em inglês)</t>
  </si>
  <si>
    <t>https://www.google.com/search?q=site%3Aucp.pt%20Gest%C3%A3o%20de%20Empresas%20%E2%80%93%20Internacional%20mestrado</t>
  </si>
  <si>
    <t>Gestão de Impacto e Sustentabilidade – Executivo</t>
  </si>
  <si>
    <t>CLSBE, Mestrado Executivo em Impacto e Sustentabilidade</t>
  </si>
  <si>
    <t>https://www.google.com/search?q=site%3Aucp.pt%20Gest%C3%A3o%20de%20Impacto%20e%20Sustentabilidade%20%E2%80%93%20Executivo%20mestrado</t>
  </si>
  <si>
    <t>Gestão de Indústrias Criativas</t>
  </si>
  <si>
    <t>https://www.google.com/search?q=site%3Aucp.pt%20Gest%C3%A3o%20de%20Ind%C3%BAstrias%20Criativas%20mestrado</t>
  </si>
  <si>
    <t>https://www.google.com/search?q=site%3Aucp.pt%20Gest%C3%A3o%20de%20Recursos%20Humanos%20mestrado</t>
  </si>
  <si>
    <t>Gestão e Administração de Empresas</t>
  </si>
  <si>
    <t>CLSBE, Mestrado em Gestão (plano anterior)</t>
  </si>
  <si>
    <t>https://www.google.com/search?q=site%3Aucp.pt%20Gest%C3%A3o%20e%20Administra%C3%A7%C3%A3o%20de%20Empresas%20mestrado</t>
  </si>
  <si>
    <t>Gestão e Administração de Empresas (mestrado internacional)</t>
  </si>
  <si>
    <t>CLSBE, programa internacional em inglês</t>
  </si>
  <si>
    <t>https://www.google.com/search?q=site%3Aucp.pt%20Gest%C3%A3o%20e%20Administra%C3%A7%C3%A3o%20de%20Empresas%20%28mestrado%20internacional%29%20mestrado</t>
  </si>
  <si>
    <t>Gestão – Executivo</t>
  </si>
  <si>
    <t>CLSBE, Mestrado Executivo em Gestão (part‑time)</t>
  </si>
  <si>
    <t>https://www.google.com/search?q=site%3Aucp.pt%20Gest%C3%A3o%20%E2%80%93%20Executivo%20mestrado</t>
  </si>
  <si>
    <t>Gestão: Programa Internacional</t>
  </si>
  <si>
    <t>CLSBE, Mestrado Internacional em Gestão (plano anterior)</t>
  </si>
  <si>
    <t>https://www.google.com/search?q=site%3Aucp.pt%20Gest%C3%A3o%3A%20Programa%20Internacional%20mestrado</t>
  </si>
  <si>
    <t>Governação, Liderança e Estudos sobre a Democracia (MA in Governance, Leadership and Democracy Studies)</t>
  </si>
  <si>
    <t>IEP – MA in Governance, Leadership and Democracy Studies, Campus de Lisboa</t>
  </si>
  <si>
    <t>https://www.google.com/search?q=site%3Aucp.pt%20Governa%C3%A7%C3%A3o%2C%20Lideran%C3%A7a%20e%20Estudos%20sobre%20a%20Democracia%20%28MA%20in%20Governance%2C%20Leadership%20and%20Democracy%20Studies%29%20mestrado</t>
  </si>
  <si>
    <t>Imunologia e Vacinologia</t>
  </si>
  <si>
    <t>Faculdade de Medicina – Católica Medical School, Campus de Sintra</t>
  </si>
  <si>
    <t>https://www.google.com/search?q=site%3Aucp.pt%20Imunologia%20e%20Vacinologia%20mestrado</t>
  </si>
  <si>
    <t>Inovação e Transformação Digital – Executivo</t>
  </si>
  <si>
    <t>CLSBE, Mestrado Executivo em Inovação e Transformação Digital</t>
  </si>
  <si>
    <t>https://www.google.com/search?q=site%3Aucp.pt%20Inova%C3%A7%C3%A3o%20e%20Transforma%C3%A7%C3%A3o%20Digital%20%E2%80%93%20Executivo%20mestrado</t>
  </si>
  <si>
    <t>Liderança – Executivo</t>
  </si>
  <si>
    <t>CLSBE, Mestrado Executivo em Liderança</t>
  </si>
  <si>
    <t>https://www.google.com/search?q=site%3Aucp.pt%20Lideran%C3%A7a%20%E2%80%93%20Executivo%20mestrado</t>
  </si>
  <si>
    <t>Língua Gestual Portuguesa e Educação de Surdos</t>
  </si>
  <si>
    <t>ICS / FCSE, Campus de Lisboa – Palma de Cima</t>
  </si>
  <si>
    <t>https://www.google.com/search?q=site%3Aucp.pt%20L%C3%ADngua%20Gestual%20Portuguesa%20e%20Educa%C3%A7%C3%A3o%20de%20Surdos%20mestrado</t>
  </si>
  <si>
    <t>https://www.google.com/search?q=site%3Aucp.pt%20Marketing%20mestrado</t>
  </si>
  <si>
    <t>Marketing Estratégico – Executivo</t>
  </si>
  <si>
    <t>CLSBE, Mestrado Executivo em Marketing Estratégico</t>
  </si>
  <si>
    <t>https://www.google.com/search?q=site%3Aucp.pt%20Marketing%20Estrat%C3%A9gico%20%E2%80%93%20Executivo%20mestrado</t>
  </si>
  <si>
    <t>Microbiologia Aplicada</t>
  </si>
  <si>
    <t>https://www.google.com/search?q=site%3Aucp.pt%20Microbiologia%20Aplicada%20mestrado</t>
  </si>
  <si>
    <t>ICS – UCP em parceria com o ISPA – Instituto Universitário, Lisboa (grau de mestre ISPA com parceria ICS/UCP)</t>
  </si>
  <si>
    <t>https://www.google.com/search?q=site%3Aucp.pt%20Neuroci%C3%AAncias%20Cognitivas%20e%20Comportamentais%20mestrado</t>
  </si>
  <si>
    <t>ICS – UCP em parceria com o ISPA – Instituto Universitário, Lisboa (mestrado conjunto)</t>
  </si>
  <si>
    <t>https://www.google.com/search?q=site%3Aucp.pt%20Neuropsicologia%20mestrado</t>
  </si>
  <si>
    <t>Políticas Públicas</t>
  </si>
  <si>
    <t>IEP – Mestrado em Políticas Públicas, Campus de Lisboa</t>
  </si>
  <si>
    <t>https://www.google.com/search?q=site%3Aucp.pt%20Pol%C3%ADticas%20P%C3%BAblicas%20mestrado</t>
  </si>
  <si>
    <t>Português Língua Estrangeira/Língua Segunda</t>
  </si>
  <si>
    <t>Curso em associação FFCS (Braga) – FCH (Lisboa); funcionamento em Braga e Lisboa</t>
  </si>
  <si>
    <t>https://www.google.com/search?q=site%3Aucp.pt%20Portugu%C3%AAs%20L%C3%ADngua%20Estrangeira/L%C3%ADngua%20Segunda%20mestrado</t>
  </si>
  <si>
    <t>https://www.google.com/search?q=site%3Aucp.pt%20Psicologia%20mestrado</t>
  </si>
  <si>
    <t>https://www.google.com/search?q=site%3Aucp.pt%20Psicologia%20Cl%C3%ADnica%20e%20da%20Sa%C3%BAde%20mestrado</t>
  </si>
  <si>
    <t>https://www.google.com/search?q=site%3Aucp.pt%20Psicologia%20da%20Educa%C3%A7%C3%A3o%20mestrado</t>
  </si>
  <si>
    <t>Psicologia do Bem-Estar e Promoção da Saúde</t>
  </si>
  <si>
    <t>https://www.google.com/search?q=site%3Aucp.pt%20Psicologia%20do%20Bem-Estar%20e%20Promo%C3%A7%C3%A3o%20da%20Sa%C3%BAde%20mestrado</t>
  </si>
  <si>
    <t>Psicologia do Bem‑Estar e Promoção da Saúde</t>
  </si>
  <si>
    <t>https://www.google.com/search?q=site%3Aucp.pt%20Psicologia%20do%20Bem%E2%80%91Estar%20e%20Promo%C3%A7%C3%A3o%20da%20Sa%C3%BAde%20mestrado</t>
  </si>
  <si>
    <t>Psicologia do Trabalho e das Organizações</t>
  </si>
  <si>
    <t>https://www.google.com/search?q=site%3Aucp.pt%20Psicologia%20do%20Trabalho%20e%20das%20Organiza%C3%A7%C3%B5es%20mestrado</t>
  </si>
  <si>
    <t>Psicologia e Desenvolvimento de Recursos Humanos</t>
  </si>
  <si>
    <t>Faculdade de Educação e Psicologia, em parceria com a Católica Porto Business School, Campus do Porto – Rua de Diogo Botelho 1327, 4169‑005 Porto</t>
  </si>
  <si>
    <t>https://www.google.com/search?q=site%3Aucp.pt%20Psicologia%20e%20Desenvolvimento%20de%20Recursos%20Humanos%20mestrado</t>
  </si>
  <si>
    <t>Psicologia e Sustentabilidade Ambiental</t>
  </si>
  <si>
    <t>FCH – UCP, Palma de Cima, Avenida Lusíada, 1649‑023 Lisboa (programa em inglês)</t>
  </si>
  <si>
    <t>https://www.google.com/search?q=site%3Aucp.pt%20Psicologia%20e%20Sustentabilidade%20Ambiental%20mestrado</t>
  </si>
  <si>
    <t>Psicologia na Gestão e Economia</t>
  </si>
  <si>
    <t>https://www.google.com/search?q=site%3Aucp.pt%20Psicologia%20na%20Gest%C3%A3o%20e%20Economia%20mestrado</t>
  </si>
  <si>
    <t>Regeneração e Viabilidade Tecidular</t>
  </si>
  <si>
    <t>ICS / FCSE, Campus de Lisboa – Palma de Cima (novo mestrado pioneiro em feridas, ostomias, pele e tecidos)</t>
  </si>
  <si>
    <t>https://www.google.com/search?q=site%3Aucp.pt%20Regenera%C3%A7%C3%A3o%20e%20Viabilidade%20Tecidular%20mestrado</t>
  </si>
  <si>
    <t>Resolução de Conflitos e Estratégias para a Paz (MA in Conflict Resolution and Strategies for Peace)</t>
  </si>
  <si>
    <t>IEP – MA in Conflict Resolution and Strategies for Peace, Campus de Lisboa</t>
  </si>
  <si>
    <t>https://www.google.com/search?q=site%3Aucp.pt%20Resolu%C3%A7%C3%A3o%20de%20Conflitos%20e%20Estrat%C3%A9gias%20para%20a%20Paz%20%28MA%20in%20Conflict%20Resolution%20and%20Strategies%20for%20Peace%29%20mestrado</t>
  </si>
  <si>
    <t>https://www.google.com/search?q=site%3Aucp.pt%20Servi%C3%A7o%20Social%20mestrado</t>
  </si>
  <si>
    <t>Sistemas Alimentares Sustentáveis – Tecnologia, Engenharia e Empreendedorismo (Erasmus Mundus)</t>
  </si>
  <si>
    <t>Escola Superior de Biotecnologia (ESB) – UCP, em consórcio com UCLouvain, Hochschule Anhalt e UCD; mobilidade entre instituições parceiras</t>
  </si>
  <si>
    <t>https://www.google.com/search?q=site%3Aucp.pt%20Sistemas%20Alimentares%20Sustent%C3%A1veis%20%E2%80%93%20Tecnologia%2C%20Engenharia%20e%20Empreendedorismo%20%28Erasmus%20Mundus%29%20mestrado</t>
  </si>
  <si>
    <t>https://www.google.com/search?q=site%3Aucp.pt%20Som%20e%20Imagem%20mestrado</t>
  </si>
  <si>
    <t>Faculdade de Teologia – UCP, regime presencial plurilocalizado (Lisboa – Palma de Cima; Porto; Braga)</t>
  </si>
  <si>
    <t>https://www.google.com/search?q=site%3Aucp.pt%20Teologia%20mestrado</t>
  </si>
  <si>
    <t>https://www.google.com/search?q=site%3Aucp.pt%20Tradu%C3%A7%C3%A3o%20mestrado</t>
  </si>
  <si>
    <t>https://www.google.com/search?q=site%3Aucp.pt%20Turismo%20mestrado</t>
  </si>
  <si>
    <t>https://www.google.com/search?q=site%3Aucp.pt%20Medicina%20mestrado%20integrado</t>
  </si>
  <si>
    <t>https://www.google.com/search?q=site%3Aucp.pt%20Medicina%20Dent%C3%A1ria%20mestrado%20integrado</t>
  </si>
  <si>
    <t>Faculdade de Teologia – Polo de Braga, Campus de Braga da UCP (Rua de Camões / Praça da Faculdade de Filosofia)</t>
  </si>
  <si>
    <t>https://www.google.com/search?q=site%3Aucp.pt%20Teologia%20mestrado%20integrado</t>
  </si>
  <si>
    <t>https://www.google.com/search?q=site%3Aucp.pt%20Cuidados%20%C3%A0%20Pessoa%20com%20Dispositivos%20de%20Acesso%20Vascular%20p%C3%B3s-gradua%C3%A7%C3%A3o</t>
  </si>
  <si>
    <t>Duração de curta/média duração; ECTS não visíveis</t>
  </si>
  <si>
    <t>Curso Geral de Gestão</t>
  </si>
  <si>
    <t>Católica Porto Business School</t>
  </si>
  <si>
    <t>https://www.google.com/search?q=site%3Aucp.pt%20Curso%20Geral%20de%20Gest%C3%A3o%20p%C3%B3s-gradua%C3%A7%C3%A3o</t>
  </si>
  <si>
    <t>1 ano; curso generalista de gestão</t>
  </si>
  <si>
    <t>https://www.google.com/search?q=site%3Aucp.pt%20Enfermagem%20de%20Sa%C3%BAde%20Comunit%C3%A1ria%20e%20de%20Sa%C3%BAde%20Familiar%20p%C3%B3s-gradua%C3%A7%C3%A3o</t>
  </si>
  <si>
    <t>1 ano letivo; ECTS não visíveis</t>
  </si>
  <si>
    <t>https://www.google.com/search?q=site%3Aucp.pt%20Enfermagem%20de%20Sa%C3%BAde%20Comunit%C3%A1ria%20e%20de%20Sa%C3%BAde%20P%C3%BAblica%20p%C3%B3s-gradua%C3%A7%C3%A3o</t>
  </si>
  <si>
    <t>https://www.google.com/search?q=site%3Aucp.pt%20Enfermagem%20do%20Desporto%20p%C3%B3s-gradua%C3%A7%C3%A3o</t>
  </si>
  <si>
    <t>Estratégia e Controlo de Gestão</t>
  </si>
  <si>
    <t>https://www.google.com/search?q=site%3Aucp.pt%20Estrat%C3%A9gia%20e%20Controlo%20de%20Gest%C3%A3o%20p%C3%B3s-gradua%C3%A7%C3%A3o</t>
  </si>
  <si>
    <t>Finanças e Controlo de Gestão</t>
  </si>
  <si>
    <t>CLSBE – Executives</t>
  </si>
  <si>
    <t>https://www.google.com/search?q=site%3Aucp.pt%20Finan%C3%A7as%20e%20Controlo%20de%20Gest%C3%A3o%20p%C3%B3s-gradua%C3%A7%C3%A3o</t>
  </si>
  <si>
    <t>1 ano letivo; programa de finanças empresariais e controlo de gestão; horas/ECTS não detalhados publicamente</t>
  </si>
  <si>
    <t>Fiscalidade Avançada</t>
  </si>
  <si>
    <t>https://www.google.com/search?q=site%3Aucp.pt%20Fiscalidade%20Avan%C3%A7ada%20p%C3%B3s-gradua%C3%A7%C3%A3o</t>
  </si>
  <si>
    <t>Fiscalidade Intensiva</t>
  </si>
  <si>
    <t>https://www.google.com/search?q=site%3Aucp.pt%20Fiscalidade%20Intensiva%20p%C3%B3s-gradua%C3%A7%C3%A3o</t>
  </si>
  <si>
    <t>Gestão e Inovação no Setor Agroalimentar</t>
  </si>
  <si>
    <t>Escola Superior de Biotecnologia (ESB)</t>
  </si>
  <si>
    <t>https://www.google.com/search?q=site%3Aucp.pt%20Gest%C3%A3o%20e%20Inova%C3%A7%C3%A3o%20no%20Setor%20Agroalimentar%20p%C3%B3s-gradua%C3%A7%C3%A3o</t>
  </si>
  <si>
    <t>Gestão e Liderança (Gestão)</t>
  </si>
  <si>
    <t>https://www.google.com/search?q=site%3Aucp.pt%20Gest%C3%A3o%20e%20Lideran%C3%A7a%20%28Gest%C3%A3o%29%20p%C3%B3s-gradua%C3%A7%C3%A3o</t>
  </si>
  <si>
    <t>1 ano letivo; carga horária tipo executive (não explicitada na página resumo)</t>
  </si>
  <si>
    <t>Gestão na Saúde</t>
  </si>
  <si>
    <t>https://www.google.com/search?q=site%3Aucp.pt%20Gest%C3%A3o%20na%20Sa%C3%BAde%20p%C3%B3s-gradua%C3%A7%C3%A3o</t>
  </si>
  <si>
    <t>Gestão na Saúde (Edição Lisboa)</t>
  </si>
  <si>
    <t>Católica Porto Business School (Edição Lisboa)</t>
  </si>
  <si>
    <t>https://www.google.com/search?q=site%3Aucp.pt%20Gest%C3%A3o%20na%20Sa%C3%BAde%20%28Edi%C3%A7%C3%A3o%20Lisboa%29%20p%C3%B3s-gradua%C3%A7%C3%A3o</t>
  </si>
  <si>
    <t>Health Consulting / Consultoria Aplicada à área da Saúde e do Medicamento</t>
  </si>
  <si>
    <t>https://www.google.com/search?q=site%3Aucp.pt%20Health%20Consulting%20/%20Consultoria%20Aplicada%20%C3%A0%20%C3%A1rea%20da%20Sa%C3%BAde%20e%20do%20Medicamento%20p%C3%B3s-gradua%C3%A7%C3%A3o</t>
  </si>
  <si>
    <t>Duração aproximada de 1 ano; ECTS não visíveis</t>
  </si>
  <si>
    <t>Lisbon Series on Palliative Care</t>
  </si>
  <si>
    <t>https://www.google.com/search?q=site%3Aucp.pt%20Lisbon%20Series%20on%20Palliative%20Care%20p%C3%B3s-gradua%C3%A7%C3%A3o</t>
  </si>
  <si>
    <t>Série de formação avançada iniciada em janeiro 2026; duração modular</t>
  </si>
  <si>
    <t>Logística e Cadeia de Abastecimento</t>
  </si>
  <si>
    <t>https://www.google.com/search?q=site%3Aucp.pt%20Log%C3%ADstica%20e%20Cadeia%20de%20Abastecimento%20p%C3%B3s-gradua%C3%A7%C3%A3o</t>
  </si>
  <si>
    <t>Managing With Analytics</t>
  </si>
  <si>
    <t>https://www.google.com/search?q=site%3Aucp.pt%20Managing%20With%20Analytics%20p%C3%B3s-gradua%C3%A7%C3%A3o</t>
  </si>
  <si>
    <t>Medical Science Liaison</t>
  </si>
  <si>
    <t>https://www.google.com/search?q=site%3Aucp.pt%20Medical%20Science%20Liaison%20p%C3%B3s-gradua%C3%A7%C3%A3o</t>
  </si>
  <si>
    <t>Medicina Social</t>
  </si>
  <si>
    <t>https://www.google.com/search?q=site%3Aucp.pt%20Medicina%20Social%20p%C3%B3s-gradua%C3%A7%C3%A3o</t>
  </si>
  <si>
    <t>Programa iniciado em janeiro 2026; duração aproximada de 1 ano</t>
  </si>
  <si>
    <t>Medicina do Desporto, Reabilitação e Gestão</t>
  </si>
  <si>
    <t>https://www.google.com/search?q=site%3Aucp.pt%20Medicina%20do%20Desporto%2C%20Reabilita%C3%A7%C3%A3o%20e%20Gest%C3%A3o%20p%C3%B3s-gradua%C3%A7%C3%A3o</t>
  </si>
  <si>
    <t>Mente, Cérebro e Educação</t>
  </si>
  <si>
    <t>https://www.google.com/search?q=site%3Aucp.pt%20Mente%2C%20C%C3%A9rebro%20e%20Educa%C3%A7%C3%A3o%20p%C3%B3s-gradua%C3%A7%C3%A3o</t>
  </si>
  <si>
    <t>Perda e Luto</t>
  </si>
  <si>
    <t>https://www.google.com/search?q=site%3Aucp.pt%20Perda%20e%20Luto%20p%C3%B3s-gradua%C3%A7%C3%A3o</t>
  </si>
  <si>
    <t>Pharma Key Account Management</t>
  </si>
  <si>
    <t>https://www.google.com/search?q=site%3Aucp.pt%20Pharma%20Key%20Account%20Management%20p%C3%B3s-gradua%C3%A7%C3%A3o</t>
  </si>
  <si>
    <t>Programa Atlântico</t>
  </si>
  <si>
    <t>Gestão e Administração (programa executivo generalista de gestão)</t>
  </si>
  <si>
    <t>https://www.google.com/search?q=site%3Aucp.pt%20Programa%20Atl%C3%A2ntico%20p%C3%B3s-gradua%C3%A7%C3%A3o</t>
  </si>
  <si>
    <t>1 ano; programa executivo internacional</t>
  </si>
  <si>
    <t>Real‑World Evidence (RWE) na Tomada de Decisão em Saúde</t>
  </si>
  <si>
    <t>https://www.google.com/search?q=site%3Aucp.pt%20Real%E2%80%91World%20Evidence%20%28RWE%29%20na%20Tomada%20de%20Decis%C3%A3o%20em%20Sa%C3%BAde%20p%C3%B3s-gradua%C3%A7%C3%A3o</t>
  </si>
  <si>
    <t>Curso de curta/média duração (programa teórico‑prático); ECTS não indicados na síntese</t>
  </si>
  <si>
    <t>https://www.google.com/search?q=site%3Aucp.pt%20Sa%C3%BAde%20da%20Crian%C3%A7a%20e%20Cuidado%20Pedi%C3%A1trico%20p%C3%B3s-gradua%C3%A7%C3%A3o</t>
  </si>
  <si>
    <t>1 ano letivo; ECTS não visíveis na síntese</t>
  </si>
  <si>
    <t>https://www.google.com/search?q=site%3Aucp.pt%20Supervis%C3%A3o%20Cl%C3%ADnica%20em%20Enfermagem%20p%C3%B3s-gradua%C3%A7%C3%A3o</t>
  </si>
  <si>
    <t>Duração de 1 ano; ECTS não visíveis na síntese</t>
  </si>
  <si>
    <t>Sustentabilidade e Impacto (Gestão de Impacto e Sustentabilidade)</t>
  </si>
  <si>
    <t>Católica Lisbon School of Business &amp; Economics</t>
  </si>
  <si>
    <t>https://www.google.com/search?q=site%3Aucp.pt%20Sustentabilidade%20e%20Impacto%20%28Gest%C3%A3o%20de%20Impacto%20e%20Sustentabilidade%29%20p%C3%B3s-gradua%C3%A7%C3%A3o</t>
  </si>
  <si>
    <t>12 meses; 416 h; 2 semestres; corresponde ao 1.º ano do Executive Master em Gestão de Impacto e Sustentabilidade</t>
  </si>
  <si>
    <t>Sustentabilidade e Impacto (Pós‑graduação em Gestão de Impacto e Sustentabilidade)</t>
  </si>
  <si>
    <t>CLSBE</t>
  </si>
  <si>
    <t>https://www.google.com/search?q=site%3Aucp.pt%20Sustentabilidade%20e%20Impacto%20%28P%C3%B3s%E2%80%91gradua%C3%A7%C3%A3o%20em%20Gest%C3%A3o%20de%20Impacto%20e%20Sustentabilidade%29%20p%C3%B3s-gradua%C3%A7%C3%A3o</t>
  </si>
  <si>
    <t>12 meses; 416 h; 2 semestres; integra o 1.º ano do Executive Master em Gestão de Impacto e Sustentabilidade</t>
  </si>
  <si>
    <t>Sustentabilidade e Regeneração</t>
  </si>
  <si>
    <t>Escola Superior de Biotecnologia (ESB) / Católica Porto Business School</t>
  </si>
  <si>
    <t>https://www.google.com/search?q=site%3Aucp.pt%20Sustentabilidade%20e%20Regenera%C3%A7%C3%A3o%20p%C3%B3s-gradua%C3%A7%C3%A3o</t>
  </si>
  <si>
    <t>1 ano; pós‑graduação em negócios sustentáveis e regenerativos</t>
  </si>
  <si>
    <t>Tecnologias de Saúde e Dispositivos Médicos</t>
  </si>
  <si>
    <t>https://www.google.com/search?q=site%3Aucp.pt%20Tecnologias%20de%20Sa%C3%BAde%20e%20Dispositivos%20M%C3%A9dicos%20p%C3%B3s-gradua%C3%A7%C3%A3o</t>
  </si>
  <si>
    <t>Transformação Digital e IA</t>
  </si>
  <si>
    <t>https://www.google.com/search?q=site%3Aucp.pt%20Transforma%C3%A7%C3%A3o%20Digital%20e%20IA%20p%C3%B3s-gradua%C3%A7%C3%A3o</t>
  </si>
  <si>
    <t>≈ 6–8 meses; 177 h; pós‑laboral</t>
  </si>
  <si>
    <t>Universidade Europeia</t>
  </si>
  <si>
    <t>Animação 3D e Efeitos Visuais (regime de ensino a distância)</t>
  </si>
  <si>
    <t>Universidade Europeia – Lisboa (online – IADE)</t>
  </si>
  <si>
    <t>https://www.google.com/search?q=site%3Aeuropeia.pt%20Anima%C3%A7%C3%A3o%203D%20e%20Efeitos%20Visuais%20%28regime%20de%20ensino%20a%20dist%C3%A2ncia%29%20licenciatura</t>
  </si>
  <si>
    <t>Animação Global</t>
  </si>
  <si>
    <t>Universidade Europeia – Lisboa (campus IADE)</t>
  </si>
  <si>
    <t>https://www.google.com/search?q=site%3Aeuropeia.pt%20Anima%C3%A7%C3%A3o%20Global%20licenciatura</t>
  </si>
  <si>
    <t>Animação e Criação Visual</t>
  </si>
  <si>
    <t>https://www.google.com/search?q=site%3Aeuropeia.pt%20Anima%C3%A7%C3%A3o%20e%20Cria%C3%A7%C3%A3o%20Visual%20licenciatura</t>
  </si>
  <si>
    <t>Universidade Europeia – Lisboa (campus principal)</t>
  </si>
  <si>
    <t>https://www.google.com/search?q=site%3Aeuropeia.pt%20Ci%C3%AAncia%20Pol%C3%ADtica%20licenciatura</t>
  </si>
  <si>
    <t>Ciência de Dados e Gestão</t>
  </si>
  <si>
    <t>https://www.google.com/search?q=site%3Aeuropeia.pt%20Ci%C3%AAncia%20de%20Dados%20e%20Gest%C3%A3o%20licenciatura</t>
  </si>
  <si>
    <t>Ciências Sociais (regime de ensino a distância)</t>
  </si>
  <si>
    <t>Universidade Europeia – Lisboa (online)</t>
  </si>
  <si>
    <t>https://www.google.com/search?q=site%3Aeuropeia.pt%20Ci%C3%AAncias%20Sociais%20%28regime%20de%20ensino%20a%20dist%C3%A2ncia%29%20licenciatura</t>
  </si>
  <si>
    <t>https://www.google.com/search?q=site%3Aeuropeia.pt%20Ci%C3%AAncias%20da%20Comunica%C3%A7%C3%A3o%20licenciatura</t>
  </si>
  <si>
    <t>Ciências da Comunicação (regime de ensino a distância)</t>
  </si>
  <si>
    <t>https://www.google.com/search?q=site%3Aeuropeia.pt%20Ci%C3%AAncias%20da%20Comunica%C3%A7%C3%A3o%20%28regime%20de%20ensino%20a%20dist%C3%A2ncia%29%20licenciatura</t>
  </si>
  <si>
    <t>https://www.google.com/search?q=site%3Aeuropeia.pt%20Ci%C3%AAncias%20da%20Nutri%C3%A7%C3%A3o%20licenciatura</t>
  </si>
  <si>
    <t>Ciências do Desporto e da Atividade Física</t>
  </si>
  <si>
    <t>Universidade Europeia – Lisboa (campus Oriente / desporto)</t>
  </si>
  <si>
    <t>https://www.google.com/search?q=site%3Aeuropeia.pt%20Ci%C3%AAncias%20do%20Desporto%20e%20da%20Atividade%20F%C3%ADsica%20licenciatura</t>
  </si>
  <si>
    <t>Contabilidade (regime de ensino a distância)</t>
  </si>
  <si>
    <t>https://www.google.com/search?q=site%3Aeuropeia.pt%20Contabilidade%20%28regime%20de%20ensino%20a%20dist%C3%A2ncia%29%20licenciatura</t>
  </si>
  <si>
    <t>Criminologia</t>
  </si>
  <si>
    <t>Universidade Europeia – Lisboa, Quinta do Bom Nome (campus presencial)</t>
  </si>
  <si>
    <t>https://www.google.com/search?q=site%3Aeuropeia.pt%20Criminologia%20licenciatura</t>
  </si>
  <si>
    <t>Criminologia (regime de ensino a distância)</t>
  </si>
  <si>
    <t>https://www.google.com/search?q=site%3Aeuropeia.pt%20Criminologia%20%28regime%20de%20ensino%20a%20dist%C3%A2ncia%29%20licenciatura</t>
  </si>
  <si>
    <t>Desenvolvimento de Jogos</t>
  </si>
  <si>
    <t>https://www.google.com/search?q=site%3Aeuropeia.pt%20Desenvolvimento%20de%20Jogos%20licenciatura</t>
  </si>
  <si>
    <t>https://www.google.com/search?q=site%3Aeuropeia.pt%20Design%20licenciatura</t>
  </si>
  <si>
    <t>Design Digital e Multimédia</t>
  </si>
  <si>
    <t>https://www.google.com/search?q=site%3Aeuropeia.pt%20Design%20Digital%20e%20Multim%C3%A9dia%20licenciatura</t>
  </si>
  <si>
    <t>Design Global</t>
  </si>
  <si>
    <t>https://www.google.com/search?q=site%3Aeuropeia.pt%20Design%20Global%20licenciatura</t>
  </si>
  <si>
    <t>https://www.google.com/search?q=site%3Aeuropeia.pt%20Design%20Gr%C3%A1fico%20licenciatura</t>
  </si>
  <si>
    <t>Design Visual (regime de ensino a distância)</t>
  </si>
  <si>
    <t>https://www.google.com/search?q=site%3Aeuropeia.pt%20Design%20Visual%20%28regime%20de%20ensino%20a%20dist%C3%A2ncia%29%20licenciatura</t>
  </si>
  <si>
    <t>Design de Interação</t>
  </si>
  <si>
    <t>https://www.google.com/search?q=site%3Aeuropeia.pt%20Design%20de%20Intera%C3%A7%C3%A3o%20licenciatura</t>
  </si>
  <si>
    <t>https://www.google.com/search?q=site%3Aeuropeia.pt%20Design%20de%20Produto%20licenciatura</t>
  </si>
  <si>
    <t>https://www.google.com/search?q=site%3Aeuropeia.pt%20Direito%20licenciatura</t>
  </si>
  <si>
    <t>https://www.google.com/search?q=site%3Aeuropeia.pt%20Economia%20licenciatura</t>
  </si>
  <si>
    <t>https://www.google.com/search?q=site%3Aeuropeia.pt%20Engenharia%20Inform%C3%A1tica%20licenciatura</t>
  </si>
  <si>
    <t>Engenharia Informática (regime de ensino a distância)</t>
  </si>
  <si>
    <t>https://www.google.com/search?q=site%3Aeuropeia.pt%20Engenharia%20Inform%C3%A1tica%20%28regime%20de%20ensino%20a%20dist%C3%A2ncia%29%20licenciatura</t>
  </si>
  <si>
    <t>Fotografia e Cultura Visual</t>
  </si>
  <si>
    <t>https://www.google.com/search?q=site%3Aeuropeia.pt%20Fotografia%20e%20Cultura%20Visual%20licenciatura</t>
  </si>
  <si>
    <t>https://www.google.com/search?q=site%3Aeuropeia.pt%20Gest%C3%A3o%20licenciatura</t>
  </si>
  <si>
    <t>Gestão (regime de ensino a distância)</t>
  </si>
  <si>
    <t>https://www.google.com/search?q=site%3Aeuropeia.pt%20Gest%C3%A3o%20%28regime%20de%20ensino%20a%20dist%C3%A2ncia%29%20licenciatura</t>
  </si>
  <si>
    <t>Universidade Europeia – Lisboa (campus Oriente / gestão/turismo)</t>
  </si>
  <si>
    <t>https://www.google.com/search?q=site%3Aeuropeia.pt%20Gest%C3%A3o%20Hoteleira%20licenciatura</t>
  </si>
  <si>
    <t>https://www.google.com/search?q=site%3Aeuropeia.pt%20Gest%C3%A3o%20de%20Empresas%20licenciatura</t>
  </si>
  <si>
    <t>Gestão de Empresas (regime de ensino a distância)</t>
  </si>
  <si>
    <t>https://www.google.com/search?q=site%3Aeuropeia.pt%20Gest%C3%A3o%20de%20Empresas%20%28regime%20de%20ensino%20a%20dist%C3%A2ncia%29%20licenciatura</t>
  </si>
  <si>
    <t>https://www.google.com/search?q=site%3Aeuropeia.pt%20Gest%C3%A3o%20de%20Recursos%20Humanos%20licenciatura</t>
  </si>
  <si>
    <t>Gestão de Recursos Humanos (regime de ensino a distância)</t>
  </si>
  <si>
    <t>https://www.google.com/search?q=site%3Aeuropeia.pt%20Gest%C3%A3o%20de%20Recursos%20Humanos%20%28regime%20de%20ensino%20a%20dist%C3%A2ncia%29%20licenciatura</t>
  </si>
  <si>
    <t>https://www.google.com/search?q=site%3Aeuropeia.pt%20Gest%C3%A3o%20do%20Desporto%20licenciatura</t>
  </si>
  <si>
    <t>Universidade Europeia – Lisboa (campus Oriente / turismo/hotelaria)</t>
  </si>
  <si>
    <t>https://www.google.com/search?q=site%3Aeuropeia.pt%20Gest%C3%A3o%20do%20Turismo%20e%20da%20Hospitalidade%20licenciatura</t>
  </si>
  <si>
    <t>https://www.google.com/search?q=site%3Aeuropeia.pt%20Inform%C3%A1tica%20de%20Gest%C3%A3o%20licenciatura</t>
  </si>
  <si>
    <t>https://www.google.com/search?q=site%3Aeuropeia.pt%20Marketing%20licenciatura</t>
  </si>
  <si>
    <t>Marketing (regime de ensino a distância)</t>
  </si>
  <si>
    <t>https://www.google.com/search?q=site%3Aeuropeia.pt%20Marketing%20%28regime%20de%20ensino%20a%20dist%C3%A2ncia%29%20licenciatura</t>
  </si>
  <si>
    <t>Marketing e Comunicação Publicitária (regime de ensino a distância)</t>
  </si>
  <si>
    <t>https://www.google.com/search?q=site%3Aeuropeia.pt%20Marketing%20e%20Comunica%C3%A7%C3%A3o%20Publicit%C3%A1ria%20%28regime%20de%20ensino%20a%20dist%C3%A2ncia%29%20licenciatura</t>
  </si>
  <si>
    <t>https://www.google.com/search?q=site%3Aeuropeia.pt%20Marketing%20e%20Publicidade%20licenciatura</t>
  </si>
  <si>
    <t>https://www.google.com/search?q=site%3Aeuropeia.pt%20Marketing%2C%20Publicidade%20e%20Rela%C3%A7%C3%B5es%20P%C3%BAblicas%20licenciatura</t>
  </si>
  <si>
    <t>https://www.google.com/search?q=site%3Aeuropeia.pt%20Psicologia%20licenciatura</t>
  </si>
  <si>
    <t>Psicologia (regime de ensino a distância)</t>
  </si>
  <si>
    <t>https://www.google.com/search?q=site%3Aeuropeia.pt%20Psicologia%20%28regime%20de%20ensino%20a%20dist%C3%A2ncia%29%20licenciatura</t>
  </si>
  <si>
    <t>https://www.google.com/search?q=site%3Aeuropeia.pt%20Rela%C3%A7%C3%B5es%20Internacionais%20licenciatura</t>
  </si>
  <si>
    <t>Sistemas de Informação, Web e Multimédia</t>
  </si>
  <si>
    <t>https://www.google.com/search?q=site%3Aeuropeia.pt%20Sistemas%20de%20Informa%C3%A7%C3%A3o%2C%20Web%20e%20Multim%C3%A9dia%20licenciatura</t>
  </si>
  <si>
    <t>https://www.google.com/search?q=site%3Aeuropeia.pt%20Tecnologias%20Criativas%20licenciatura</t>
  </si>
  <si>
    <t>https://www.google.com/search?q=site%3Aeuropeia.pt%20Turismo%20licenciatura</t>
  </si>
  <si>
    <t>Animação de Volumes</t>
  </si>
  <si>
    <t>https://www.google.com/search?q=site%3Aeuropeia.pt%20Anima%C3%A7%C3%A3o%20de%20Volumes%20mestrado</t>
  </si>
  <si>
    <t>Animação e Criação Digital</t>
  </si>
  <si>
    <t>https://www.google.com/search?q=site%3Aeuropeia.pt%20Anima%C3%A7%C3%A3o%20e%20Cria%C3%A7%C3%A3o%20Digital%20mestrado</t>
  </si>
  <si>
    <t>Branding e Design de Moda</t>
  </si>
  <si>
    <t>https://www.google.com/search?q=site%3Aeuropeia.pt%20Branding%20e%20Design%20de%20Moda%20mestrado</t>
  </si>
  <si>
    <t>Branding e Estratégia</t>
  </si>
  <si>
    <t>https://www.google.com/search?q=site%3Aeuropeia.pt%20Branding%20e%20Estrat%C3%A9gia%20mestrado</t>
  </si>
  <si>
    <t>Cibersegurança (regime de ensino a distância)</t>
  </si>
  <si>
    <t>https://www.google.com/search?q=site%3Aeuropeia.pt%20Ciberseguran%C3%A7a%20%28regime%20de%20ensino%20a%20dist%C3%A2ncia%29%20mestrado</t>
  </si>
  <si>
    <t>Ciência de Dados e Análise de Negócios (regime de ensino a distância)</t>
  </si>
  <si>
    <t>https://www.google.com/search?q=site%3Aeuropeia.pt%20Ci%C3%AAncia%20de%20Dados%20e%20An%C3%A1lise%20de%20Neg%C3%B3cios%20%28regime%20de%20ensino%20a%20dist%C3%A2ncia%29%20mestrado</t>
  </si>
  <si>
    <t>https://www.google.com/search?q=site%3Aeuropeia.pt%20Ci%C3%AAncia%20de%20Dados%20e%20Gest%C3%A3o%20mestrado</t>
  </si>
  <si>
    <t>Computação Criativa e Inteligência Artificial</t>
  </si>
  <si>
    <t>Universidade Europeia – Lisboa (campus IADE / tech)</t>
  </si>
  <si>
    <t>https://www.google.com/search?q=site%3Aeuropeia.pt%20Computa%C3%A7%C3%A3o%20Criativa%20e%20Intelig%C3%AAncia%20Artificial%20mestrado</t>
  </si>
  <si>
    <t>Comunicação Audiovisual e Multimédia</t>
  </si>
  <si>
    <t>https://www.google.com/search?q=site%3Aeuropeia.pt%20Comunica%C3%A7%C3%A3o%20Audiovisual%20e%20Multim%C3%A9dia%20mestrado</t>
  </si>
  <si>
    <t>Comunicação Digital Integrada (regime de ensino a distância)</t>
  </si>
  <si>
    <t>https://www.google.com/search?q=site%3Aeuropeia.pt%20Comunica%C3%A7%C3%A3o%20Digital%20Integrada%20%28regime%20de%20ensino%20a%20dist%C3%A2ncia%29%20mestrado</t>
  </si>
  <si>
    <t>Comunicação Estratégica</t>
  </si>
  <si>
    <t>https://www.google.com/search?q=site%3Aeuropeia.pt%20Comunica%C3%A7%C3%A3o%20Estrat%C3%A9gica%20mestrado</t>
  </si>
  <si>
    <t>Comunicação e Multimédia (regime de ensino a distância)</t>
  </si>
  <si>
    <t>https://www.google.com/search?q=site%3Aeuropeia.pt%20Comunica%C3%A7%C3%A3o%20e%20Multim%C3%A9dia%20%28regime%20de%20ensino%20a%20dist%C3%A2ncia%29%20mestrado</t>
  </si>
  <si>
    <t>Cuidados Integrados em Saúde (regime de ensino a distância)</t>
  </si>
  <si>
    <t>https://www.google.com/search?q=site%3Aeuropeia.pt%20Cuidados%20Integrados%20em%20Sa%C3%BAde%20%28regime%20de%20ensino%20a%20dist%C3%A2ncia%29%20mestrado</t>
  </si>
  <si>
    <t>Design &amp; Publicidade</t>
  </si>
  <si>
    <t>https://www.google.com/search?q=site%3Aeuropeia.pt%20Design%20%26%20Publicidade%20mestrado</t>
  </si>
  <si>
    <t>https://www.google.com/search?q=site%3Aeuropeia.pt%20Design%20de%20Intera%C3%A7%C3%A3o%20mestrado</t>
  </si>
  <si>
    <t>Design de Jogos (regime de ensino a distância)</t>
  </si>
  <si>
    <t>https://www.google.com/search?q=site%3Aeuropeia.pt%20Design%20de%20Jogos%20%28regime%20de%20ensino%20a%20dist%C3%A2ncia%29%20mestrado</t>
  </si>
  <si>
    <t>Design de Produto, do Espaço e de Interações</t>
  </si>
  <si>
    <t>https://www.google.com/search?q=site%3Aeuropeia.pt%20Design%20de%20Produto%2C%20do%20Espa%C3%A7o%20e%20de%20Intera%C3%A7%C3%B5es%20mestrado</t>
  </si>
  <si>
    <t>Design e Cultura Visual</t>
  </si>
  <si>
    <t>https://www.google.com/search?q=site%3Aeuropeia.pt%20Design%20e%20Cultura%20Visual%20mestrado</t>
  </si>
  <si>
    <t>Design e Produção de Jogos</t>
  </si>
  <si>
    <t>https://www.google.com/search?q=site%3Aeuropeia.pt%20Design%20e%20Produ%C3%A7%C3%A3o%20de%20Jogos%20mestrado</t>
  </si>
  <si>
    <t>Design para a Sustentabilidade</t>
  </si>
  <si>
    <t>https://www.google.com/search?q=site%3Aeuropeia.pt%20Design%20para%20a%20Sustentabilidade%20mestrado</t>
  </si>
  <si>
    <t>Direito Judiciário</t>
  </si>
  <si>
    <t>https://www.google.com/search?q=site%3Aeuropeia.pt%20Direito%20Judici%C3%A1rio%20mestrado</t>
  </si>
  <si>
    <t>Direito Público</t>
  </si>
  <si>
    <t>https://www.google.com/search?q=site%3Aeuropeia.pt%20Direito%20P%C3%BAblico%20mestrado</t>
  </si>
  <si>
    <t>Direito e Gestão (regime de ensino a distância)</t>
  </si>
  <si>
    <t>https://www.google.com/search?q=site%3Aeuropeia.pt%20Direito%20e%20Gest%C3%A3o%20%28regime%20de%20ensino%20a%20dist%C3%A2ncia%29%20mestrado</t>
  </si>
  <si>
    <t>Direito e Segurança da Informação (regime de ensino a distância)</t>
  </si>
  <si>
    <t>https://www.google.com/search?q=site%3Aeuropeia.pt%20Direito%20e%20Seguran%C3%A7a%20da%20Informa%C3%A7%C3%A3o%20%28regime%20de%20ensino%20a%20dist%C3%A2ncia%29%20mestrado</t>
  </si>
  <si>
    <t>Direção de Arte (regime de ensino a distância)</t>
  </si>
  <si>
    <t>https://www.google.com/search?q=site%3Aeuropeia.pt%20Dire%C3%A7%C3%A3o%20de%20Arte%20%28regime%20de%20ensino%20a%20dist%C3%A2ncia%29%20mestrado</t>
  </si>
  <si>
    <t>Empreendedorismo, Inovação e Tecnologia</t>
  </si>
  <si>
    <t>https://www.google.com/search?q=site%3Aeuropeia.pt%20Empreendedorismo%2C%20Inova%C3%A7%C3%A3o%20e%20Tecnologia%20mestrado</t>
  </si>
  <si>
    <t>Fisiologia do Exercício</t>
  </si>
  <si>
    <t>Universidade Europeia – Lisboa (área de Desporto, campus Oriente)</t>
  </si>
  <si>
    <t>https://www.google.com/search?q=site%3Aeuropeia.pt%20Fisiologia%20do%20Exerc%C3%ADcio%20mestrado</t>
  </si>
  <si>
    <t>Fisiologia do Exercício Clínico (regime de ensino a distância)</t>
  </si>
  <si>
    <t>https://www.google.com/search?q=site%3Aeuropeia.pt%20Fisiologia%20do%20Exerc%C3%ADcio%20Cl%C3%ADnico%20%28regime%20de%20ensino%20a%20dist%C3%A2ncia%29%20mestrado</t>
  </si>
  <si>
    <t>https://www.google.com/search?q=site%3Aeuropeia.pt%20Gest%C3%A3o%20mestrado</t>
  </si>
  <si>
    <t>Gestão Internacional do Turismo</t>
  </si>
  <si>
    <t>Universidade Europeia – Lisboa (campus Oriente / turismo)</t>
  </si>
  <si>
    <t>https://www.google.com/search?q=site%3Aeuropeia.pt%20Gest%C3%A3o%20Internacional%20do%20Turismo%20mestrado</t>
  </si>
  <si>
    <t>Gestão da Segurança</t>
  </si>
  <si>
    <t>Serviços de Segurança</t>
  </si>
  <si>
    <t>https://www.google.com/search?q=site%3Aeuropeia.pt%20Gest%C3%A3o%20da%20Seguran%C3%A7a%20mestrado</t>
  </si>
  <si>
    <t>https://www.google.com/search?q=site%3Aeuropeia.pt%20Gest%C3%A3o%20de%20Empresas%20%28regime%20de%20ensino%20a%20dist%C3%A2ncia%29%20mestrado</t>
  </si>
  <si>
    <t>https://www.google.com/search?q=site%3Aeuropeia.pt%20Gest%C3%A3o%20de%20Recursos%20Humanos%20mestrado</t>
  </si>
  <si>
    <t>https://www.google.com/search?q=site%3Aeuropeia.pt%20Gest%C3%A3o%20de%20Recursos%20Humanos%20%28regime%20de%20ensino%20a%20dist%C3%A2ncia%29%20mestrado</t>
  </si>
  <si>
    <t>Gestão de Saúde (regime de ensino a distância)</t>
  </si>
  <si>
    <t>https://www.google.com/search?q=site%3Aeuropeia.pt%20Gest%C3%A3o%20de%20Sa%C3%BAde%20%28regime%20de%20ensino%20a%20dist%C3%A2ncia%29%20mestrado</t>
  </si>
  <si>
    <t>https://www.google.com/search?q=site%3Aeuropeia.pt%20Gest%C3%A3o%20do%20Design%20mestrado</t>
  </si>
  <si>
    <t>https://www.google.com/search?q=site%3Aeuropeia.pt%20Gest%C3%A3o%20do%20Desporto%20mestrado</t>
  </si>
  <si>
    <t>https://www.google.com/search?q=site%3Aeuropeia.pt%20Gest%C3%A3o%20do%20Turismo%20mestrado</t>
  </si>
  <si>
    <t>Gestão e Estratégia Empresarial</t>
  </si>
  <si>
    <t>https://www.google.com/search?q=site%3Aeuropeia.pt%20Gest%C3%A3o%20e%20Estrat%C3%A9gia%20Empresarial%20mestrado</t>
  </si>
  <si>
    <t>Gestão e Sistemas de Informação</t>
  </si>
  <si>
    <t>https://www.google.com/search?q=site%3Aeuropeia.pt%20Gest%C3%A3o%20e%20Sistemas%20de%20Informa%C3%A7%C3%A3o%20mestrado</t>
  </si>
  <si>
    <t>Marketing Estratégico (regime de ensino a distância)</t>
  </si>
  <si>
    <t>https://www.google.com/search?q=site%3Aeuropeia.pt%20Marketing%20Estrat%C3%A9gico%20%28regime%20de%20ensino%20a%20dist%C3%A2ncia%29%20mestrado</t>
  </si>
  <si>
    <t>Marketing e Inovação</t>
  </si>
  <si>
    <t>https://www.google.com/search?q=site%3Aeuropeia.pt%20Marketing%20e%20Inova%C3%A7%C3%A3o%20mestrado</t>
  </si>
  <si>
    <t>Neuropsicologia (regime de ensino a distância)</t>
  </si>
  <si>
    <t>https://www.google.com/search?q=site%3Aeuropeia.pt%20Neuropsicologia%20%28regime%20de%20ensino%20a%20dist%C3%A2ncia%29%20mestrado</t>
  </si>
  <si>
    <t>https://www.google.com/search?q=site%3Aeuropeia.pt%20Psicologia%20Cl%C3%ADnica%20e%20da%20Sa%C3%BAde%20mestrado</t>
  </si>
  <si>
    <t>Psicologia Forense (regime de ensino a distância)</t>
  </si>
  <si>
    <t>https://www.google.com/search?q=site%3Aeuropeia.pt%20Psicologia%20Forense%20%28regime%20de%20ensino%20a%20dist%C3%A2ncia%29%20mestrado</t>
  </si>
  <si>
    <t>https://www.google.com/search?q=site%3Aeuropeia.pt%20Psicologia%20Social%20e%20das%20Organiza%C3%A7%C3%B5es%20mestrado</t>
  </si>
  <si>
    <t>Psicologia Social e das Organizações (regime de ensino a distância)</t>
  </si>
  <si>
    <t>https://www.google.com/search?q=site%3Aeuropeia.pt%20Psicologia%20Social%20e%20das%20Organiza%C3%A7%C3%B5es%20%28regime%20de%20ensino%20a%20dist%C3%A2ncia%29%20mestrado</t>
  </si>
  <si>
    <t>https://www.google.com/search?q=site%3Aeuropeia.pt%20Sistemas%20de%20Informa%C3%A7%C3%A3o%20para%20a%20Gest%C3%A3o%20mestrado</t>
  </si>
  <si>
    <t>Treino de Futebol</t>
  </si>
  <si>
    <t>https://www.google.com/search?q=site%3Aeuropeia.pt%20Treino%20de%20Futebol%20mestrado</t>
  </si>
  <si>
    <t>Pós‑Graduação em Animação Digital (IADE)</t>
  </si>
  <si>
    <t>IADE / Oriente Green Campus</t>
  </si>
  <si>
    <t>https://www.google.com/search?q=site%3Aeuropeia.pt%20P%C3%B3s%E2%80%91Gradua%C3%A7%C3%A3o%20em%20Anima%C3%A7%C3%A3o%20Digital%20%28IADE%29%20p%C3%B3s-gradua%C3%A7%C3%A3o</t>
  </si>
  <si>
    <t>Início outubro 2026; duração cerca de 9–10 meses; ECTS não indicados na síntese</t>
  </si>
  <si>
    <t>Pós‑Graduação em Auditoria</t>
  </si>
  <si>
    <t>Universidade Europeia – Oriente Green Campus</t>
  </si>
  <si>
    <t>https://www.google.com/search?q=site%3Aeuropeia.pt%20P%C3%B3s%E2%80%91Gradua%C3%A7%C3%A3o%20em%20Auditoria%20p%C3%B3s-gradua%C3%A7%C3%A3o</t>
  </si>
  <si>
    <t>Duração 1 ano; ECTS não indicados</t>
  </si>
  <si>
    <t>Pós‑Graduação em Branding (IADE)</t>
  </si>
  <si>
    <t>https://www.google.com/search?q=site%3Aeuropeia.pt%20P%C3%B3s%E2%80%91Gradua%C3%A7%C3%A3o%20em%20Branding%20%28IADE%29%20p%C3%B3s-gradua%C3%A7%C3%A3o</t>
  </si>
  <si>
    <t>Início outubro 2026; duração anual curta; ECTS não indicados</t>
  </si>
  <si>
    <t>Pós‑Graduação em Cibersegurança</t>
  </si>
  <si>
    <t>https://www.google.com/search?q=site%3Aeuropeia.pt%20P%C3%B3s%E2%80%91Gradua%C3%A7%C3%A3o%20em%20Ciberseguran%C3%A7a%20p%C3%B3s-gradua%C3%A7%C3%A3o</t>
  </si>
  <si>
    <t>Pós‑Graduação em Ciência Política</t>
  </si>
  <si>
    <t>Universidade Europeia – Oriente Green Campus / Quinta do Bom Nome</t>
  </si>
  <si>
    <t>https://www.google.com/search?q=site%3Aeuropeia.pt%20P%C3%B3s%E2%80%91Gradua%C3%A7%C3%A3o%20em%20Ci%C3%AAncia%20Pol%C3%ADtica%20p%C3%B3s-gradua%C3%A7%C3%A3o</t>
  </si>
  <si>
    <t>Pós‑Graduação em Contabilidade e Fiscalidade</t>
  </si>
  <si>
    <t>https://www.google.com/search?q=site%3Aeuropeia.pt%20P%C3%B3s%E2%80%91Gradua%C3%A7%C3%A3o%20em%20Contabilidade%20e%20Fiscalidade%20p%C3%B3s-gradua%C3%A7%C3%A3o</t>
  </si>
  <si>
    <t>Duração 1 ano; versão online referida com cerca de 8–9 meses; ECTS não claros na síntese</t>
  </si>
  <si>
    <t>Pós‑Graduação em Design Systems (IADE)</t>
  </si>
  <si>
    <t>https://www.google.com/search?q=site%3Aeuropeia.pt%20P%C3%B3s%E2%80%91Gradua%C3%A7%C3%A3o%20em%20Design%20Systems%20%28IADE%29%20p%C3%B3s-gradua%C3%A7%C3%A3o</t>
  </si>
  <si>
    <t>Início outubro 2026; duração 9–10 meses; ECTS não indicados</t>
  </si>
  <si>
    <t>Pós‑Graduação em Design para a Cerâmica (IADE)</t>
  </si>
  <si>
    <t>https://www.google.com/search?q=site%3Aeuropeia.pt%20P%C3%B3s%E2%80%91Gradua%C3%A7%C3%A3o%20em%20Design%20para%20a%20Cer%C3%A2mica%20%28IADE%29%20p%C3%B3s-gradua%C3%A7%C3%A3o</t>
  </si>
  <si>
    <t>Início novembro 2026; duração anual curta; ECTS não indicados</t>
  </si>
  <si>
    <t>Pós‑Graduação em Estratégias Criativas para Publicidade (IADE)</t>
  </si>
  <si>
    <t>https://www.google.com/search?q=site%3Aeuropeia.pt%20P%C3%B3s%E2%80%91Gradua%C3%A7%C3%A3o%20em%20Estrat%C3%A9gias%20Criativas%20para%20Publicidade%20%28IADE%29%20p%C3%B3s-gradua%C3%A7%C3%A3o</t>
  </si>
  <si>
    <t>Início outubro 2026; 9–10 meses; ECTS não indicados</t>
  </si>
  <si>
    <t>Pós‑Graduação em Finanças para não Financeiros</t>
  </si>
  <si>
    <t>https://www.google.com/search?q=site%3Aeuropeia.pt%20P%C3%B3s%E2%80%91Gradua%C3%A7%C3%A3o%20em%20Finan%C3%A7as%20para%20n%C3%A3o%20Financeiros%20p%C3%B3s-gradua%C3%A7%C3%A3o</t>
  </si>
  <si>
    <t>Pós‑Graduação em Fotografia e New Media (IADE)</t>
  </si>
  <si>
    <t>https://www.google.com/search?q=site%3Aeuropeia.pt%20P%C3%B3s%E2%80%91Gradua%C3%A7%C3%A3o%20em%20Fotografia%20e%20New%20Media%20%28IADE%29%20p%C3%B3s-gradua%C3%A7%C3%A3o</t>
  </si>
  <si>
    <t>Início outubro 2026; 9 meses; ECTS não indicados</t>
  </si>
  <si>
    <t>Pós‑Graduação em Game Design (IADE) / Postgraduate Program in Game Design</t>
  </si>
  <si>
    <t>https://www.google.com/search?q=site%3Aeuropeia.pt%20P%C3%B3s%E2%80%91Gradua%C3%A7%C3%A3o%20em%20Game%20Design%20%28IADE%29%20/%20Postgraduate%20Program%20in%20Game%20Design%20p%C3%B3s-gradua%C3%A7%C3%A3o</t>
  </si>
  <si>
    <t>Pós‑Graduação em Gastronomia Criativa</t>
  </si>
  <si>
    <t>Universidade Europeia – Quinta do Bom Nome</t>
  </si>
  <si>
    <t>https://www.google.com/search?q=site%3Aeuropeia.pt%20P%C3%B3s%E2%80%91Gradua%C3%A7%C3%A3o%20em%20Gastronomia%20Criativa%20p%C3%B3s-gradua%C3%A7%C3%A3o</t>
  </si>
  <si>
    <t>https://www.google.com/search?q=site%3Aeuropeia.pt%20P%C3%B3s%E2%80%91Gradua%C3%A7%C3%A3o%20em%20Gest%C3%A3o%20p%C3%B3s-gradua%C3%A7%C3%A3o</t>
  </si>
  <si>
    <t>Pós‑Graduação em Gestão Hoteleira</t>
  </si>
  <si>
    <t>https://www.google.com/search?q=site%3Aeuropeia.pt%20P%C3%B3s%E2%80%91Gradua%C3%A7%C3%A3o%20em%20Gest%C3%A3o%20Hoteleira%20p%C3%B3s-gradua%C3%A7%C3%A3o</t>
  </si>
  <si>
    <t>0,3 ano(s) (18 ECTS)</t>
  </si>
  <si>
    <t>https://www.google.com/search?q=site%3Aeuropeia.pt%20P%C3%B3s%E2%80%91Gradua%C3%A7%C3%A3o%20em%20Gest%C3%A3o%20de%20Projetos%20p%C3%B3s-gradua%C3%A7%C3%A3o</t>
  </si>
  <si>
    <t>https://www.google.com/search?q=site%3Aeuropeia.pt%20P%C3%B3s%E2%80%91Gradua%C3%A7%C3%A3o%20em%20Gest%C3%A3o%20de%20Recursos%20Humanos%20p%C3%B3s-gradua%C3%A7%C3%A3o</t>
  </si>
  <si>
    <t>Pós‑Graduação em Gestão em Saúde</t>
  </si>
  <si>
    <t>https://www.google.com/search?q=site%3Aeuropeia.pt%20P%C3%B3s%E2%80%91Gradua%C3%A7%C3%A3o%20em%20Gest%C3%A3o%20em%20Sa%C3%BAde%20p%C3%B3s-gradua%C3%A7%C3%A3o</t>
  </si>
  <si>
    <t>Pós‑Graduação em Imagem, Protocolo e Organização de Eventos</t>
  </si>
  <si>
    <t>https://www.google.com/search?q=site%3Aeuropeia.pt%20P%C3%B3s%E2%80%91Gradua%C3%A7%C3%A3o%20em%20Imagem%2C%20Protocolo%20e%20Organiza%C3%A7%C3%A3o%20de%20Eventos%20p%C3%B3s-gradua%C3%A7%C3%A3o</t>
  </si>
  <si>
    <t>Pós‑Graduação em Inteligência Artificial e Machine Learning (IADE)</t>
  </si>
  <si>
    <t>https://www.google.com/search?q=site%3Aeuropeia.pt%20P%C3%B3s%E2%80%91Gradua%C3%A7%C3%A3o%20em%20Intelig%C3%AAncia%20Artificial%20e%20Machine%20Learning%20%28IADE%29%20p%C3%B3s-gradua%C3%A7%C3%A3o</t>
  </si>
  <si>
    <t>Inícios junho 2026 e novembro 2026; duração 9–10 meses; 36 ECTS</t>
  </si>
  <si>
    <t>Pós‑Graduação em Inteligência Artificial para o Design (IADE) / Design e Inteligência Artificial</t>
  </si>
  <si>
    <t>https://www.google.com/search?q=site%3Aeuropeia.pt%20P%C3%B3s%E2%80%91Gradua%C3%A7%C3%A3o%20em%20Intelig%C3%AAncia%20Artificial%20para%20o%20Design%20%28IADE%29%20/%20Design%20e%20Intelig%C3%AAncia%20Artificial%20p%C3%B3s-gradua%C3%A7%C3%A3o</t>
  </si>
  <si>
    <t>Inícios outubro 2026 e novembro 2026; cerca de 9 meses; ECTS não indicados</t>
  </si>
  <si>
    <t>Pós‑Graduação em Legislação Laboral</t>
  </si>
  <si>
    <t>https://www.google.com/search?q=site%3Aeuropeia.pt%20P%C3%B3s%E2%80%91Gradua%C3%A7%C3%A3o%20em%20Legisla%C3%A7%C3%A3o%20Laboral%20p%C3%B3s-gradua%C3%A7%C3%A3o</t>
  </si>
  <si>
    <t>Pós‑Graduação em Liderança e Desenvolvimento Pessoal</t>
  </si>
  <si>
    <t>https://www.google.com/search?q=site%3Aeuropeia.pt%20P%C3%B3s%E2%80%91Gradua%C3%A7%C3%A3o%20em%20Lideran%C3%A7a%20e%20Desenvolvimento%20Pessoal%20p%C3%B3s-gradua%C3%A7%C3%A3o</t>
  </si>
  <si>
    <t>Pós‑Graduação em Marketing e Estratégias Criativas (IADE)</t>
  </si>
  <si>
    <t>https://www.google.com/search?q=site%3Aeuropeia.pt%20P%C3%B3s%E2%80%91Gradua%C3%A7%C3%A3o%20em%20Marketing%20e%20Estrat%C3%A9gias%20Criativas%20%28IADE%29%20p%C3%B3s-gradua%C3%A7%C3%A3o</t>
  </si>
  <si>
    <t>Pós‑Graduação em Nutrição</t>
  </si>
  <si>
    <t>https://www.google.com/search?q=site%3Aeuropeia.pt%20P%C3%B3s%E2%80%91Gradua%C3%A7%C3%A3o%20em%20Nutri%C3%A7%C3%A3o%20p%C3%B3s-gradua%C3%A7%C3%A3o</t>
  </si>
  <si>
    <t>Pós‑Graduação em Psicologia Forense</t>
  </si>
  <si>
    <t>https://www.google.com/search?q=site%3Aeuropeia.pt%20P%C3%B3s%E2%80%91Gradua%C3%A7%C3%A3o%20em%20Psicologia%20Forense%20p%C3%B3s-gradua%C3%A7%C3%A3o</t>
  </si>
  <si>
    <t>Duração 1 ano; ECTS não indicados na página de síntese</t>
  </si>
  <si>
    <t>Pós‑Graduação em Relações Internacionais e Gestão de Crises</t>
  </si>
  <si>
    <t>https://www.google.com/search?q=site%3Aeuropeia.pt%20P%C3%B3s%E2%80%91Gradua%C3%A7%C3%A3o%20em%20Rela%C3%A7%C3%B5es%20Internacionais%20e%20Gest%C3%A3o%20de%20Crises%20p%C3%B3s-gradua%C3%A7%C3%A3o</t>
  </si>
  <si>
    <t>Pós‑Graduação em Social Media e Marketing de Conteúdo (IADE)</t>
  </si>
  <si>
    <t>https://www.google.com/search?q=site%3Aeuropeia.pt%20P%C3%B3s%E2%80%91Gradua%C3%A7%C3%A3o%20em%20Social%20Media%20e%20Marketing%20de%20Conte%C3%BAdo%20%28IADE%29%20p%C3%B3s-gradua%C3%A7%C3%A3o</t>
  </si>
  <si>
    <t>Pós‑Graduação em Web Front‑End (IADE) / Programa Avançado em Web Front‑End</t>
  </si>
  <si>
    <t>https://www.google.com/search?q=site%3Aeuropeia.pt%20P%C3%B3s%E2%80%91Gradua%C3%A7%C3%A3o%20em%20Web%20Front%E2%80%91End%20%28IADE%29%20/%20Programa%20Avan%C3%A7ado%20em%20Web%20Front%E2%80%91End%20p%C3%B3s-gradua%C3%A7%C3%A3o</t>
  </si>
  <si>
    <t>Pós‑Graduação em Web UX/UI (IADE)</t>
  </si>
  <si>
    <t>https://www.google.com/search?q=site%3Aeuropeia.pt%20P%C3%B3s%E2%80%91Gradua%C3%A7%C3%A3o%20em%20Web%20UX/UI%20%28IADE%29%20p%C3%B3s-gradua%C3%A7%C3%A3o</t>
  </si>
  <si>
    <t>Universidade Fernando Pessoa</t>
  </si>
  <si>
    <t>Escola Superior de Saúde da Fundação «Fernando Pessoa»</t>
  </si>
  <si>
    <t>https://www.google.com/search?q=site%3Aufp.pt%20Apoio%20ao%20Consult%C3%B3rio%20M%C3%A9dico%20e%20Dent%C3%A1rio%20CTeSP</t>
  </si>
  <si>
    <t>https://www.google.com/search?q=site%3Aufp.pt%20Gerontologia%20e%20Interven%C3%A7%C3%A3o%20Comunit%C3%A1ria%20CTeSP</t>
  </si>
  <si>
    <t>Universidade Fernando Pessoa – Faculdade de Ciências Humanas e Sociais (FCHS), Praça 9 de Abril 349, 4249‑004 Porto</t>
  </si>
  <si>
    <t>https://www.google.com/search?q=site%3Aufp.pt%20Ci%C3%AAncia%20Pol%C3%ADtica%20e%20Rela%C3%A7%C3%B5es%20Internacionais%20licenciatura</t>
  </si>
  <si>
    <t>https://www.google.com/search?q=site%3Aufp.pt%20Ci%C3%AAncias%20Empresariais%20licenciatura</t>
  </si>
  <si>
    <t>https://www.google.com/search?q=site%3Aufp.pt%20Ci%C3%AAncias%20da%20Comunica%C3%A7%C3%A3o%20licenciatura</t>
  </si>
  <si>
    <t>Universidade Fernando Pessoa – Faculdade de Ciências da Saúde (FCS), Rua Carlos da Maia 296, 4200‑150 Porto</t>
  </si>
  <si>
    <t>https://www.google.com/search?q=site%3Aufp.pt%20Ci%C3%AAncias%20da%20Nutri%C3%A7%C3%A3o%20licenciatura</t>
  </si>
  <si>
    <t>https://www.google.com/search?q=site%3Aufp.pt%20Criminologia%20licenciatura</t>
  </si>
  <si>
    <t>https://www.google.com/search?q=site%3Aufp.pt%20Criminologia%20%28regime%20de%20ensino%20a%20dist%C3%A2ncia%29%20licenciatura</t>
  </si>
  <si>
    <t>Universidade Fernando Pessoa – Faculdade de Ciência e Tecnologia (FCT), Praça 9 de Abril 349, 4249‑004 Porto</t>
  </si>
  <si>
    <t>https://www.google.com/search?q=site%3Aufp.pt%20Engenharia%20Civil%20licenciatura</t>
  </si>
  <si>
    <t>https://www.google.com/search?q=site%3Aufp.pt%20Engenharia%20Inform%C3%A1tica%20licenciatura</t>
  </si>
  <si>
    <t>https://www.google.com/search?q=site%3Aufp.pt%20Fisioterapia%20licenciatura</t>
  </si>
  <si>
    <t>https://www.google.com/search?q=site%3Aufp.pt%20Gest%C3%A3o%20da%20Qualidade%2C%20Ambiente%20e%20Seguran%C3%A7a%20licenciatura</t>
  </si>
  <si>
    <t>https://www.google.com/search?q=site%3Aufp.pt%20Psicologia%20licenciatura</t>
  </si>
  <si>
    <t>Ação Humanitária</t>
  </si>
  <si>
    <t>Universidade Fernando Pessoa – FCHS, Praça 9 de Abril 349, 4249‑004 Porto</t>
  </si>
  <si>
    <t>https://www.google.com/search?q=site%3Aufp.pt%20A%C3%A7%C3%A3o%20Humanit%C3%A1ria%20mestrado</t>
  </si>
  <si>
    <t>Ação Humanitária, Cooperação e Desenvolvimento (regime de ensino a distância)</t>
  </si>
  <si>
    <t>https://www.google.com/search?q=site%3Aufp.pt%20A%C3%A7%C3%A3o%20Humanit%C3%A1ria%2C%20Coopera%C3%A7%C3%A3o%20e%20Desenvolvimento%20%28regime%20de%20ensino%20a%20dist%C3%A2ncia%29%20mestrado</t>
  </si>
  <si>
    <t>Biomedicina</t>
  </si>
  <si>
    <t>Universidade Fernando Pessoa – Faculdade de Ciências da Saúde (FCS), Praça 9 de Abril 349, 4249‑004 Porto</t>
  </si>
  <si>
    <t>https://www.google.com/search?q=site%3Aufp.pt%20Biomedicina%20mestrado</t>
  </si>
  <si>
    <t>https://www.google.com/search?q=site%3Aufp.pt%20Ci%C3%AAncias%20Empresariais%20mestrado</t>
  </si>
  <si>
    <t>https://www.google.com/search?q=site%3Aufp.pt%20Ci%C3%AAncias%20da%20Comunica%C3%A7%C3%A3o%20mestrado</t>
  </si>
  <si>
    <t>Ciências da Educação: Educação Inclusiva</t>
  </si>
  <si>
    <t>https://www.google.com/search?q=site%3Aufp.pt%20Ci%C3%AAncias%20da%20Educa%C3%A7%C3%A3o%3A%20Educa%C3%A7%C3%A3o%20Inclusiva%20mestrado</t>
  </si>
  <si>
    <t>https://www.google.com/search?q=site%3Aufp.pt%20Criminologia%20mestrado</t>
  </si>
  <si>
    <t>https://www.google.com/search?q=site%3Aufp.pt%20Criminologia%20%28regime%20de%20ensino%20a%20dist%C3%A2ncia%29%20mestrado</t>
  </si>
  <si>
    <t>Universidade Fernando Pessoa – FCT, Praça 9 de Abril 349, 4249‑004 Porto</t>
  </si>
  <si>
    <t>https://www.google.com/search?q=site%3Aufp.pt%20Engenharia%20Civil%20mestrado</t>
  </si>
  <si>
    <t>https://www.google.com/search?q=site%3Aufp.pt%20Engenharia%20Inform%C3%A1tica%20mestrado</t>
  </si>
  <si>
    <t>https://www.google.com/search?q=site%3Aufp.pt%20Psicologia%20Cl%C3%ADnica%20e%20da%20Sa%C3%BAde%20mestrado</t>
  </si>
  <si>
    <t>Psicologia da Justiça: Vítimas de Violência e de Crime</t>
  </si>
  <si>
    <t>https://www.google.com/search?q=site%3Aufp.pt%20Psicologia%20da%20Justi%C3%A7a%3A%20V%C3%ADtimas%20de%20Viol%C3%AAncia%20e%20de%20Crime%20mestrado</t>
  </si>
  <si>
    <t>Universidade Fernando Pessoa – Faculdade de Ciência e Tecnologia (FCT), Campus da UFP, Praça 9 de Abril 349, 4249‑004 Porto</t>
  </si>
  <si>
    <t>https://www.google.com/search?q=site%3Aufp.pt%20Arquitetura%20mestrado%20integrado</t>
  </si>
  <si>
    <t>Universidade Fernando Pessoa – Faculdade de Ciências da Saúde (FCS), Campus da UFP, Praça 9 de Abril 349, 4249‑004 Porto</t>
  </si>
  <si>
    <t>https://www.google.com/search?q=site%3Aufp.pt%20Ci%C3%AAncias%20Farmac%C3%AAuticas%20mestrado%20integrado</t>
  </si>
  <si>
    <t>Gondomar</t>
  </si>
  <si>
    <t>Universidade Fernando Pessoa – Hospital Fernando Pessoa / Campus de Gondomar, Rua de Fvente, Gondomar (ligado administrativamente à UFP Porto)</t>
  </si>
  <si>
    <t>https://www.google.com/search?q=site%3Aufp.pt%20Medicina%20mestrado%20integrado</t>
  </si>
  <si>
    <t>https://www.google.com/search?q=site%3Aufp.pt%20Medicina%20Dent%C3%A1ria%20mestrado%20integrado</t>
  </si>
  <si>
    <t>Administração Escolar e Administração Educacional</t>
  </si>
  <si>
    <t>UFP – área de Ciências da Educação</t>
  </si>
  <si>
    <t>https://www.google.com/search?q=site%3Aufp.pt%20Administra%C3%A7%C3%A3o%20Escolar%20e%20Administra%C3%A7%C3%A3o%20Educacional%20p%C3%B3s-gradua%C3%A7%C3%A3o</t>
  </si>
  <si>
    <t>Duração aproximada de 2 semestres; ECTS não indicados na página síntese (PG presencial)</t>
  </si>
  <si>
    <t>FCSE – Porto</t>
  </si>
  <si>
    <t>https://www.google.com/search?q=site%3Aufp.pt%20Aleitamento%20Materno%20p%C3%B3s-gradua%C3%A7%C3%A3o</t>
  </si>
  <si>
    <t>Assuntos Regulamentares do Medicamento e Produtos de Saúde</t>
  </si>
  <si>
    <t>UFP – Escola Superior de Saúde</t>
  </si>
  <si>
    <t>https://www.google.com/search?q=site%3Aufp.pt%20Assuntos%20Regulamentares%20do%20Medicamento%20e%20Produtos%20de%20Sa%C3%BAde%20p%C3%B3s-gradua%C3%A7%C3%A3o</t>
  </si>
  <si>
    <t>Duração aproximada de 2 semestres; ECTS não indicados na síntese</t>
  </si>
  <si>
    <t>Online (UAb) / Porto (UFP)</t>
  </si>
  <si>
    <t>Ciência de Dados nas Organizações (UAb/UFP)</t>
  </si>
  <si>
    <t>Universidade Aberta em parceria com Universidade Fernando Pessoa</t>
  </si>
  <si>
    <t>https://www.google.com/search?q=site%3Aufp.pt%20Ci%C3%AAncia%20de%20Dados%20nas%20Organiza%C3%A7%C3%B5es%20%28UAb/UFP%29%20p%C3%B3s-gradua%C3%A7%C3%A3o</t>
  </si>
  <si>
    <t>Cuidados Avançados em Feridas, Ostomias e Incontinência</t>
  </si>
  <si>
    <t>https://www.google.com/search?q=site%3Aufp.pt%20Cuidados%20Avan%C3%A7ados%20em%20Feridas%2C%20Ostomias%20e%20Incontin%C3%AAncia%20p%C3%B3s-gradua%C3%A7%C3%A3o</t>
  </si>
  <si>
    <t>1 ano; 9.ª edição</t>
  </si>
  <si>
    <t>https://www.google.com/search?q=site%3Aufp.pt%20Cuidados%20Paliativos%20Pedi%C3%A1tricos%20p%C3%B3s-gradua%C3%A7%C3%A3o</t>
  </si>
  <si>
    <t>Direito da Saúde</t>
  </si>
  <si>
    <t>https://www.google.com/search?q=site%3Aufp.pt%20Direito%20da%20Sa%C3%BAde%20p%C3%B3s-gradua%C3%A7%C3%A3o</t>
  </si>
  <si>
    <t>Direção de Obra</t>
  </si>
  <si>
    <t>UFP – área de Engenharia Civil</t>
  </si>
  <si>
    <t>https://www.google.com/search?q=site%3Aufp.pt%20Dire%C3%A7%C3%A3o%20de%20Obra%20p%C3%B3s-gradua%C3%A7%C3%A3o</t>
  </si>
  <si>
    <t>Duração aproximada de 2 semestres; ECTS não indicados</t>
  </si>
  <si>
    <t>UFP – Ciências da Educação</t>
  </si>
  <si>
    <t>https://www.google.com/search?q=site%3Aufp.pt%20Educa%C3%A7%C3%A3o%20Especial%3A%20Dom%C3%ADnio%20Cognitivo%20e%20Motor%20p%C3%B3s-gradua%C3%A7%C3%A3o</t>
  </si>
  <si>
    <t>Educação Especial: Domínio da Intervenção Precoce na Infância</t>
  </si>
  <si>
    <t>https://www.google.com/search?q=site%3Aufp.pt%20Educa%C3%A7%C3%A3o%20Especial%3A%20Dom%C3%ADnio%20da%20Interven%C3%A7%C3%A3o%20Precoce%20na%20Inf%C3%A2ncia%20p%C3%B3s-gradua%C3%A7%C3%A3o</t>
  </si>
  <si>
    <t>ESS Fernando Pessoa</t>
  </si>
  <si>
    <t>https://www.google.com/search?q=site%3Aufp.pt%20Enfermagem%20de%20Sa%C3%BAde%20Familiar%20p%C3%B3s-gradua%C3%A7%C3%A3o</t>
  </si>
  <si>
    <t>Enfermagem do Trabalho (Saúde Ocupacional e Segurança no Trabalho)</t>
  </si>
  <si>
    <t>https://www.google.com/search?q=site%3Aufp.pt%20Enfermagem%20do%20Trabalho%20%28Sa%C3%BAde%20Ocupacional%20e%20Seguran%C3%A7a%20no%20Trabalho%29%20p%C3%B3s-gradua%C3%A7%C3%A3o</t>
  </si>
  <si>
    <t>Engenharia Informática com Análise de Dados</t>
  </si>
  <si>
    <t>UFP – Cursos Online</t>
  </si>
  <si>
    <t>https://www.google.com/search?q=site%3Aufp.pt%20Engenharia%20Inform%C3%A1tica%20com%20An%C3%A1lise%20de%20Dados%20p%C3%B3s-gradua%C3%A7%C3%A3o</t>
  </si>
  <si>
    <t>10 meses (full‑time) ou 20 meses (part‑time); ECTS não explicitados</t>
  </si>
  <si>
    <t>Engenharia Informática com Cibersegurança</t>
  </si>
  <si>
    <t>https://www.google.com/search?q=site%3Aufp.pt%20Engenharia%20Inform%C3%A1tica%20com%20Ciberseguran%C3%A7a%20p%C3%B3s-gradua%C3%A7%C3%A3o</t>
  </si>
  <si>
    <t>Gestão da Qualidade em Saúde</t>
  </si>
  <si>
    <t>https://www.google.com/search?q=site%3Aufp.pt%20Gest%C3%A3o%20da%20Qualidade%20em%20Sa%C3%BAde%20p%C3%B3s-gradua%C3%A7%C3%A3o</t>
  </si>
  <si>
    <t>https://www.google.com/search?q=site%3Aufp.pt%20Health%20Consulting%20/%20Consultoria%20Aplicada%20%C3%A0%20%C3%A1rea%20da%20Sa%C3%BAde%20e%20do%20Medicamento%20p%C3%B3s-gradua%C3%A7%C3%A3o</t>
  </si>
  <si>
    <t>https://www.google.com/search?q=site%3Aufp.pt%20Lisbon%20Series%20on%20Palliative%20Care%20p%C3%B3s-gradua%C3%A7%C3%A3o</t>
  </si>
  <si>
    <t>Início janeiro 2026</t>
  </si>
  <si>
    <t>https://www.google.com/search?q=site%3Aufp.pt%20Medical%20Science%20Liaison%20p%C3%B3s-gradua%C3%A7%C3%A3o</t>
  </si>
  <si>
    <t>Medicina Estética</t>
  </si>
  <si>
    <t>https://www.google.com/search?q=site%3Aufp.pt%20Medicina%20Est%C3%A9tica%20p%C3%B3s-gradua%C3%A7%C3%A3o</t>
  </si>
  <si>
    <t>https://www.google.com/search?q=site%3Aufp.pt%20Medicina%20Social%20p%C3%B3s-gradua%C3%A7%C3%A3o</t>
  </si>
  <si>
    <t>https://www.google.com/search?q=site%3Aufp.pt%20Mente%2C%20C%C3%A9rebro%20e%20Educa%C3%A7%C3%A3o%20p%C3%B3s-gradua%C3%A7%C3%A3o</t>
  </si>
  <si>
    <t>https://www.google.com/search?q=site%3Aufp.pt%20Neonatologia%20p%C3%B3s-gradua%C3%A7%C3%A3o</t>
  </si>
  <si>
    <t>https://www.google.com/search?q=site%3Aufp.pt%20Perda%20e%20Luto%20p%C3%B3s-gradua%C3%A7%C3%A3o</t>
  </si>
  <si>
    <t>https://www.google.com/search?q=site%3Aufp.pt%20Pharma%20Key%20Account%20Management%20p%C3%B3s-gradua%C3%A7%C3%A3o</t>
  </si>
  <si>
    <t>Reabilitação de Edifícios</t>
  </si>
  <si>
    <t>UFP – área de Engenharia Civil / Arquitetura</t>
  </si>
  <si>
    <t>https://www.google.com/search?q=site%3Aufp.pt%20Reabilita%C3%A7%C3%A3o%20de%20Edif%C3%ADcios%20p%C3%B3s-gradua%C3%A7%C3%A3o</t>
  </si>
  <si>
    <t>https://www.google.com/search?q=site%3Aufp.pt%20Real%E2%80%91World%20Evidence%20%28RWE%29%20na%20Tomada%20de%20Decis%C3%A3o%20em%20Sa%C3%BAde%20p%C3%B3s-gradua%C3%A7%C3%A3o</t>
  </si>
  <si>
    <t>Supervisão Clínica em Enfermagem (PG em Supervisão Clínica em Saúde)</t>
  </si>
  <si>
    <t>https://www.google.com/search?q=site%3Aufp.pt%20Supervis%C3%A3o%20Cl%C3%ADnica%20em%20Enfermagem%20%28PG%20em%20Supervis%C3%A3o%20Cl%C3%ADnica%20em%20Sa%C3%BAde%29%20p%C3%B3s-gradua%C3%A7%C3%A3o</t>
  </si>
  <si>
    <t>https://www.google.com/search?q=site%3Aufp.pt%20Tecnologias%20de%20Sa%C3%BAde%20e%20Dispositivos%20M%C3%A9dicos%20p%C3%B3s-gradua%C3%A7%C3%A3o</t>
  </si>
  <si>
    <t>MBA em Ciências Empresariais</t>
  </si>
  <si>
    <t>Ciências Empresariais (inclui 341–345)</t>
  </si>
  <si>
    <t>https://www.google.com/search?q=site%3Aufp.pt%20MBA%20em%20Ci%C3%AAncias%20Empresariais%20p%C3%B3s-gradua%C3%A7%C3%A3o%20executiva</t>
  </si>
  <si>
    <t>MBA em Gestão de Organizações e Serviços de Saúde</t>
  </si>
  <si>
    <t>https://www.google.com/search?q=site%3Aufp.pt%20MBA%20em%20Gest%C3%A3o%20de%20Organiza%C3%A7%C3%B5es%20e%20Servi%C3%A7os%20de%20Sa%C3%BAde%20p%C3%B3s-gradua%C3%A7%C3%A3o%20executiva</t>
  </si>
  <si>
    <t>MBA em Gestão de Projetos</t>
  </si>
  <si>
    <t>https://www.google.com/search?q=site%3Aufp.pt%20MBA%20em%20Gest%C3%A3o%20de%20Projetos%20p%C3%B3s-gradua%C3%A7%C3%A3o%20executiva</t>
  </si>
  <si>
    <t>MBA em Gestão de Recursos Humanos</t>
  </si>
  <si>
    <t>https://www.google.com/search?q=site%3Aufp.pt%20MBA%20em%20Gest%C3%A3o%20de%20Recursos%20Humanos%20p%C3%B3s-gradua%C3%A7%C3%A3o%20executiva</t>
  </si>
  <si>
    <t>MBA em Logística</t>
  </si>
  <si>
    <t>https://www.google.com/search?q=site%3Aufp.pt%20MBA%20em%20Log%C3%ADstica%20p%C3%B3s-gradua%C3%A7%C3%A3o%20executiva</t>
  </si>
  <si>
    <t>MBA em Marketing</t>
  </si>
  <si>
    <t>https://www.google.com/search?q=site%3Aufp.pt%20MBA%20em%20Marketing%20p%C3%B3s-gradua%C3%A7%C3%A3o%20executiva</t>
  </si>
  <si>
    <t>Universidade Lusíada</t>
  </si>
  <si>
    <t>Artes e Comunicação Multimédia</t>
  </si>
  <si>
    <t>Universidade Lusíada – Centro Universitário Lusíada – Lisboa, Rua da Junqueira 188‑198, 1349‑001 Lisboa</t>
  </si>
  <si>
    <t>https://www.google.com/search?q=site%3Aulusiada.pt%20Artes%20e%20Comunica%C3%A7%C3%A3o%20Multim%C3%A9dia%20licenciatura</t>
  </si>
  <si>
    <t>Universidade Lusíada – Centro Universitário Lusíada – Norte (campus de Vila Nova de Famalicão), Largo Tinoco de Sousa, Edifício da Lapa, 4760‑108 Vila Nova de Famalicão</t>
  </si>
  <si>
    <t>https://www.google.com/search?q=site%3Aulusiada.pt%20Contabilidade%20licenciatura</t>
  </si>
  <si>
    <t>Faculdade de Direito, Centro Universitário Lusíada – Norte, Rua Dr. Lopo de Carvalho, 4369‑006 Porto</t>
  </si>
  <si>
    <t>https://www.google.com/search?q=site%3Aulusiada.pt%20Criminologia%20licenciatura</t>
  </si>
  <si>
    <t>Faculdade de Arquitectura e Artes, Centro Universitário Lusíada – Norte, Rua Dr. Lopo de Carvalho, 4369‑006 Porto</t>
  </si>
  <si>
    <t>https://www.google.com/search?q=site%3Aulusiada.pt%20Design%20licenciatura</t>
  </si>
  <si>
    <t>https://www.google.com/search?q=site%3Aulusiada.pt%20Direito%20licenciatura</t>
  </si>
  <si>
    <t>https://www.google.com/search?q=site%3Aulusiada.pt%20Economia%20licenciatura</t>
  </si>
  <si>
    <t>https://www.google.com/search?q=site%3Aulusiada.pt%20Engenharia%20Civil%20licenciatura</t>
  </si>
  <si>
    <t>Engenharia Eletrónica e Informática</t>
  </si>
  <si>
    <t>https://www.google.com/search?q=site%3Aulusiada.pt%20Engenharia%20Eletr%C3%B3nica%20e%20Inform%C3%A1tica%20licenciatura</t>
  </si>
  <si>
    <t>https://www.google.com/search?q=site%3Aulusiada.pt%20Engenharia%20Inform%C3%A1tica%20licenciatura</t>
  </si>
  <si>
    <t>https://www.google.com/search?q=site%3Aulusiada.pt%20Engenharia%20Mec%C3%A2nica%20licenciatura</t>
  </si>
  <si>
    <t>https://www.google.com/search?q=site%3Aulusiada.pt%20Engenharia%20e%20Gest%C3%A3o%20Industrial%20licenciatura</t>
  </si>
  <si>
    <t>https://www.google.com/search?q=site%3Aulusiada.pt%20Gest%C3%A3o%20licenciatura</t>
  </si>
  <si>
    <t>https://www.google.com/search?q=site%3Aulusiada.pt%20Gest%C3%A3o%20das%20Organiza%C3%A7%C3%B5es%20Desportivas%20licenciatura</t>
  </si>
  <si>
    <t>Gestão de Empresa</t>
  </si>
  <si>
    <t>Faculdade de Ciências da Economia e da Empresa, Centro Universitário Lusíada – Norte, Rua Dr. Lopo de Carvalho, 4369‑006 Porto</t>
  </si>
  <si>
    <t>https://www.google.com/search?q=site%3Aulusiada.pt%20Gest%C3%A3o%20de%20Empresa%20licenciatura</t>
  </si>
  <si>
    <t>https://www.google.com/search?q=site%3Aulusiada.pt%20Gest%C3%A3o%20de%20Recursos%20Humanos%20licenciatura</t>
  </si>
  <si>
    <t>https://www.google.com/search?q=site%3Aulusiada.pt%20Gest%C3%A3o%20do%20Turismo%20licenciatura</t>
  </si>
  <si>
    <t>Jazz e Música Moderna</t>
  </si>
  <si>
    <t>https://www.google.com/search?q=site%3Aulusiada.pt%20Jazz%20e%20M%C3%BAsica%20Moderna%20licenciatura</t>
  </si>
  <si>
    <t>https://www.google.com/search?q=site%3Aulusiada.pt%20Marketing%20licenciatura</t>
  </si>
  <si>
    <t>Instituto de Psicologia e Ciências da Educação, Centro Universitário Lusíada – Norte, Rua Dr. Lopo de Carvalho, 4369‑006 Porto</t>
  </si>
  <si>
    <t>https://www.google.com/search?q=site%3Aulusiada.pt%20Psicologia%20licenciatura</t>
  </si>
  <si>
    <t>https://www.google.com/search?q=site%3Aulusiada.pt%20Rela%C3%A7%C3%B5es%20Internacionais%20licenciatura</t>
  </si>
  <si>
    <t>Segurança e Justiça</t>
  </si>
  <si>
    <t>https://www.google.com/search?q=site%3Aulusiada.pt%20Seguran%C3%A7a%20e%20Justi%C3%A7a%20licenciatura</t>
  </si>
  <si>
    <t>https://www.google.com/search?q=site%3Aulusiada.pt%20Servi%C3%A7o%20Social%20licenciatura</t>
  </si>
  <si>
    <t>https://www.google.com/search?q=site%3Aulusiada.pt%20Comunica%C3%A7%C3%A3o%20Multim%C3%A9dia%20mestrado</t>
  </si>
  <si>
    <t>Comunicação e Multimédia</t>
  </si>
  <si>
    <t>https://www.google.com/search?q=site%3Aulusiada.pt%20Comunica%C3%A7%C3%A3o%20e%20Multim%C3%A9dia%20mestrado</t>
  </si>
  <si>
    <t>Contratos Públicos</t>
  </si>
  <si>
    <t>https://www.google.com/search?q=site%3Aulusiada.pt%20Contratos%20P%C3%BAblicos%20mestrado</t>
  </si>
  <si>
    <t>https://www.google.com/search?q=site%3Aulusiada.pt%20Criminologia%20mestrado</t>
  </si>
  <si>
    <t>https://www.google.com/search?q=site%3Aulusiada.pt%20Design%20mestrado</t>
  </si>
  <si>
    <t>https://www.google.com/search?q=site%3Aulusiada.pt%20Design%20de%20Produto%20mestrado</t>
  </si>
  <si>
    <t>https://www.google.com/search?q=site%3Aulusiada.pt%20Direito%20mestrado</t>
  </si>
  <si>
    <t>https://www.google.com/search?q=site%3Aulusiada.pt%20Economia%20mestrado</t>
  </si>
  <si>
    <t>Economia da Empresa</t>
  </si>
  <si>
    <t>https://www.google.com/search?q=site%3Aulusiada.pt%20Economia%20da%20Empresa%20mestrado</t>
  </si>
  <si>
    <t>https://www.google.com/search?q=site%3Aulusiada.pt%20Engenharia%20Eletr%C3%B3nica%20e%20Inform%C3%A1tica%20mestrado</t>
  </si>
  <si>
    <t>https://www.google.com/search?q=site%3Aulusiada.pt%20Engenharia%20e%20Gest%C3%A3o%20Industrial%20mestrado</t>
  </si>
  <si>
    <t>https://www.google.com/search?q=site%3Aulusiada.pt%20Gerontologia%20Social%20mestrado</t>
  </si>
  <si>
    <t>https://www.google.com/search?q=site%3Aulusiada.pt%20Gest%C3%A3o%20mestrado</t>
  </si>
  <si>
    <t>Gestão de Energia</t>
  </si>
  <si>
    <t>https://www.google.com/search?q=site%3Aulusiada.pt%20Gest%C3%A3o%20de%20Energia%20mestrado</t>
  </si>
  <si>
    <t>Gestão de Operações</t>
  </si>
  <si>
    <t>https://www.google.com/search?q=site%3Aulusiada.pt%20Gest%C3%A3o%20de%20Opera%C3%A7%C3%B5es%20mestrado</t>
  </si>
  <si>
    <t>Gestão de Recursos Humanos e Análise Organizacional</t>
  </si>
  <si>
    <t>https://www.google.com/search?q=site%3Aulusiada.pt%20Gest%C3%A3o%20de%20Recursos%20Humanos%20e%20An%C3%A1lise%20Organizacional%20mestrado</t>
  </si>
  <si>
    <t>Musicoterapia</t>
  </si>
  <si>
    <t>https://www.google.com/search?q=site%3Aulusiada.pt%20Musicoterapia%20mestrado</t>
  </si>
  <si>
    <t>https://www.google.com/search?q=site%3Aulusiada.pt%20Psicologia%20Cl%C3%ADnica%20mestrado</t>
  </si>
  <si>
    <t>https://www.google.com/search?q=site%3Aulusiada.pt%20Psicologia%20da%20Educa%C3%A7%C3%A3o%20mestrado</t>
  </si>
  <si>
    <t>https://www.google.com/search?q=site%3Aulusiada.pt%20Rela%C3%A7%C3%B5es%20Internacionais%20mestrado</t>
  </si>
  <si>
    <t>https://www.google.com/search?q=site%3Aulusiada.pt%20Seguran%C3%A7a%20e%20Justi%C3%A7a%20mestrado</t>
  </si>
  <si>
    <t>https://www.google.com/search?q=site%3Aulusiada.pt%20Servi%C3%A7o%20Social%20mestrado</t>
  </si>
  <si>
    <t>https://www.google.com/search?q=site%3Aulusiada.pt%20Arquitetura%20mestrado%20integrado</t>
  </si>
  <si>
    <t>Abordagem ao Doente Crítico – 27.ª edição</t>
  </si>
  <si>
    <t>Enfermagem / Doente Crítico</t>
  </si>
  <si>
    <t>https://www.google.com/search?q=site%3Aulusiada.pt%20Abordagem%20ao%20Doente%20Cr%C3%ADtico%20%E2%80%93%2027.%C2%AA%20edi%C3%A7%C3%A3o%20p%C3%B3s-gradua%C3%A7%C3%A3o</t>
  </si>
  <si>
    <t>Arquitetura de Interiores</t>
  </si>
  <si>
    <t>Faculdade de Arquitetura e Artes</t>
  </si>
  <si>
    <t>https://www.google.com/search?q=site%3Aulusiada.pt%20Arquitetura%20de%20Interiores%20p%C3%B3s-gradua%C3%A7%C3%A3o</t>
  </si>
  <si>
    <t>Duração anual (ao longo do ano letivo 2026/2027); horas e ECTS não indicados na ficha pública específica</t>
  </si>
  <si>
    <t>Auditoria [2025/2026]</t>
  </si>
  <si>
    <t>FCEE</t>
  </si>
  <si>
    <t>https://www.google.com/search?q=site%3Aulusiada.pt%20Auditoria%20%5B2025/2026%5D%20p%C3%B3s-gradua%C3%A7%C3%A3o</t>
  </si>
  <si>
    <t>Duração anual; horas/ECTS não indicados</t>
  </si>
  <si>
    <t>Clínica Integrada Odontopediátrica – 21.ª edição</t>
  </si>
  <si>
    <t>https://www.google.com/search?q=site%3Aulusiada.pt%20Cl%C3%ADnica%20Integrada%20Odontopedi%C3%A1trica%20%E2%80%93%2021.%C2%AA%20edi%C3%A7%C3%A3o%20p%C3%B3s-gradua%C3%A7%C3%A3o</t>
  </si>
  <si>
    <t>Concepção de espaços expositivos e cénicos</t>
  </si>
  <si>
    <t>https://www.google.com/search?q=site%3Aulusiada.pt%20Concep%C3%A7%C3%A3o%20de%20espa%C3%A7os%20expositivos%20e%20c%C3%A9nicos%20p%C3%B3s-gradua%C3%A7%C3%A3o</t>
  </si>
  <si>
    <t>Duração anual; horas/ECTS não indicados na ficha 2026/2027</t>
  </si>
  <si>
    <t>Cosmetologia, Estética Avançada e Anti‑Aging – 6.ª edição</t>
  </si>
  <si>
    <t>Área de Cosmetologia/Estética</t>
  </si>
  <si>
    <t>https://www.google.com/search?q=site%3Aulusiada.pt%20Cosmetologia%2C%20Est%C3%A9tica%20Avan%C3%A7ada%20e%20Anti%E2%80%91Aging%20%E2%80%93%206.%C2%AA%20edi%C3%A7%C3%A3o%20p%C3%B3s-gradua%C3%A7%C3%A3o</t>
  </si>
  <si>
    <t>Design de Espaços Efémeros: design expositivo, vitrinismo, lojas pop‑up e cenografia [2025/2026]</t>
  </si>
  <si>
    <t>Faculdade de Arquitetura e Artes (FAM)</t>
  </si>
  <si>
    <t>https://www.google.com/search?q=site%3Aulusiada.pt%20Design%20de%20Espa%C3%A7os%20Ef%C3%A9meros%3A%20design%20expositivo%2C%20vitrinismo%2C%20lojas%20pop%E2%80%91up%20e%20cenografia%20%5B2025/2026%5D%20p%C3%B3s-gradua%C3%A7%C3%A3o</t>
  </si>
  <si>
    <t>Design e Prototipagem Rápida [2025/2026]</t>
  </si>
  <si>
    <t>https://www.google.com/search?q=site%3Aulusiada.pt%20Design%20e%20Prototipagem%20R%C3%A1pida%20%5B2025/2026%5D%20p%C3%B3s-gradua%C3%A7%C3%A3o</t>
  </si>
  <si>
    <t>Enfermagem do Trabalho – 6.ª edição</t>
  </si>
  <si>
    <t>https://www.google.com/search?q=site%3Aulusiada.pt%20Enfermagem%20do%20Trabalho%20%E2%80%93%206.%C2%AA%20edi%C3%A7%C3%A3o%20p%C3%B3s-gradua%C3%A7%C3%A3o</t>
  </si>
  <si>
    <t>Enfermagem do Trabalho – 7.ª edição</t>
  </si>
  <si>
    <t>https://www.google.com/search?q=site%3Aulusiada.pt%20Enfermagem%20do%20Trabalho%20%E2%80%93%207.%C2%AA%20edi%C3%A7%C3%A3o%20p%C3%B3s-gradua%C3%A7%C3%A3o</t>
  </si>
  <si>
    <t>Enfermagem em Diálise – 1.ª edição</t>
  </si>
  <si>
    <t>Área de Enfermagem / Nefrologia</t>
  </si>
  <si>
    <t>https://www.google.com/search?q=site%3Aulusiada.pt%20Enfermagem%20em%20Di%C3%A1lise%20%E2%80%93%201.%C2%AA%20edi%C3%A7%C3%A3o%20p%C3%B3s-gradua%C3%A7%C3%A3o</t>
  </si>
  <si>
    <t>Enfermagem em Emergência e Trauma – 19.ª edição</t>
  </si>
  <si>
    <t>Área de Enfermagem / Emergência</t>
  </si>
  <si>
    <t>https://www.google.com/search?q=site%3Aulusiada.pt%20Enfermagem%20em%20Emerg%C3%AAncia%20e%20Trauma%20%E2%80%93%2019.%C2%AA%20edi%C3%A7%C3%A3o%20p%C3%B3s-gradua%C3%A7%C3%A3o</t>
  </si>
  <si>
    <t>Enfermagem em Emergência e Trauma – 23.ª edição</t>
  </si>
  <si>
    <t>Campus Académico de Famalicão</t>
  </si>
  <si>
    <t>https://www.google.com/search?q=site%3Aulusiada.pt%20Enfermagem%20em%20Emerg%C3%AAncia%20e%20Trauma%20%E2%80%93%2023.%C2%AA%20edi%C3%A7%C3%A3o%20p%C3%B3s-gradua%C3%A7%C3%A3o</t>
  </si>
  <si>
    <t>Abril 2026 a setembro 2027; regime quinzenal; pós‑laboral</t>
  </si>
  <si>
    <t>Área de Enfermagem / Estomaterapia</t>
  </si>
  <si>
    <t>https://www.google.com/search?q=site%3Aulusiada.pt%20Estomaterapia%20%E2%80%93%204.%C2%AA%20edi%C3%A7%C3%A3o%20p%C3%B3s-gradua%C3%A7%C3%A3o</t>
  </si>
  <si>
    <t>Fisioterapia Dermatofuncional – 4.ª edição</t>
  </si>
  <si>
    <t>Área de Fisioterapia/Estética</t>
  </si>
  <si>
    <t>https://www.google.com/search?q=site%3Aulusiada.pt%20Fisioterapia%20Dermatofuncional%20%E2%80%93%204.%C2%AA%20edi%C3%A7%C3%A3o%20p%C3%B3s-gradua%C3%A7%C3%A3o</t>
  </si>
  <si>
    <t>Fisioterapia em Pediatria e Desenvolvimento – 1.ª edição</t>
  </si>
  <si>
    <t>Fisioterapia Pediátrica</t>
  </si>
  <si>
    <t>https://www.google.com/search?q=site%3Aulusiada.pt%20Fisioterapia%20em%20Pediatria%20e%20Desenvolvimento%20%E2%80%93%201.%C2%AA%20edi%C3%A7%C3%A3o%20p%C3%B3s-gradua%C3%A7%C3%A3o</t>
  </si>
  <si>
    <t>Fisioterapia nas Disfunções Pélvicas – 2.ª edição</t>
  </si>
  <si>
    <t>https://www.google.com/search?q=site%3Aulusiada.pt%20Fisioterapia%20nas%20Disfun%C3%A7%C3%B5es%20P%C3%A9lvicas%20%E2%80%93%202.%C2%AA%20edi%C3%A7%C3%A3o%20p%C3%B3s-gradua%C3%A7%C3%A3o</t>
  </si>
  <si>
    <t>Fisioterapia no Desporto – Especialização em Reabilitação – 9.ª edição</t>
  </si>
  <si>
    <t>Área de Fisioterapia Desporto</t>
  </si>
  <si>
    <t>https://www.google.com/search?q=site%3Aulusiada.pt%20Fisioterapia%20no%20Desporto%20%E2%80%93%20Especializa%C3%A7%C3%A3o%20em%20Reabilita%C3%A7%C3%A3o%20%E2%80%93%209.%C2%AA%20edi%C3%A7%C3%A3o%20p%C3%B3s-gradua%C3%A7%C3%A3o</t>
  </si>
  <si>
    <t>Gestão de Negócios Digitais [2025/2026]</t>
  </si>
  <si>
    <t>https://www.google.com/search?q=site%3Aulusiada.pt%20Gest%C3%A3o%20de%20Neg%C3%B3cios%20Digitais%20%5B2025/2026%5D%20p%C3%B3s-gradua%C3%A7%C3%A3o</t>
  </si>
  <si>
    <t>Gestão do Desporto [2025/2026]</t>
  </si>
  <si>
    <t>https://www.google.com/search?q=site%3Aulusiada.pt%20Gest%C3%A3o%20do%20Desporto%20%5B2025/2026%5D%20p%C3%B3s-gradua%C3%A7%C3%A3o</t>
  </si>
  <si>
    <t>Gestão e marketing desportivo</t>
  </si>
  <si>
    <t>Faculdade de Ciências da Economia e da Empresa</t>
  </si>
  <si>
    <t>https://www.google.com/search?q=site%3Aulusiada.pt%20Gest%C3%A3o%20e%20marketing%20desportivo%20p%C3%B3s-gradua%C3%A7%C3%A3o</t>
  </si>
  <si>
    <t>Implantologia Oral – 15.ª edição</t>
  </si>
  <si>
    <t>https://www.google.com/search?q=site%3Aulusiada.pt%20Implantologia%20Oral%20%E2%80%93%2015.%C2%AA%20edi%C3%A7%C3%A3o%20p%C3%B3s-gradua%C3%A7%C3%A3o</t>
  </si>
  <si>
    <t>Internacionalização de Negócios [2025/2026]</t>
  </si>
  <si>
    <t>https://www.google.com/search?q=site%3Aulusiada.pt%20Internacionaliza%C3%A7%C3%A3o%20de%20Neg%C3%B3cios%20%5B2025/2026%5D%20p%C3%B3s-gradua%C3%A7%C3%A3o</t>
  </si>
  <si>
    <t>https://www.google.com/search?q=site%3Aulusiada.pt%20Interven%C3%A7%C3%A3o%20Avan%C3%A7ada%20em%20Preven%C3%A7%C3%A3o%20e%20Tratamento%20de%20Feridas%20%E2%80%93%2010.%C2%AA%20edi%C3%A7%C3%A3o%20p%C3%B3s-gradua%C3%A7%C3%A3o</t>
  </si>
  <si>
    <t>Novembro 2026 a outubro 2027; aulas quinzenais; ECTS não indicados na listagem geral</t>
  </si>
  <si>
    <t>Investimento em bolsa</t>
  </si>
  <si>
    <t>https://www.google.com/search?q=site%3Aulusiada.pt%20Investimento%20em%20bolsa%20p%C3%B3s-gradua%C3%A7%C3%A3o</t>
  </si>
  <si>
    <t>Materiais para uma arquitectura regenerativa</t>
  </si>
  <si>
    <t>https://www.google.com/search?q=site%3Aulusiada.pt%20Materiais%20para%20uma%20arquitectura%20regenerativa%20p%C3%B3s-gradua%C3%A7%C3%A3o</t>
  </si>
  <si>
    <t>Posturologia Clínica – 2.ª edição</t>
  </si>
  <si>
    <t>Área de Fisioterapia / Posturologia</t>
  </si>
  <si>
    <t>https://www.google.com/search?q=site%3Aulusiada.pt%20Posturologia%20Cl%C3%ADnica%20%E2%80%93%202.%C2%AA%20edi%C3%A7%C3%A3o%20p%C3%B3s-gradua%C3%A7%C3%A3o</t>
  </si>
  <si>
    <t>Executive Master em Gestão e Administração em Saúde – 40.ª edição</t>
  </si>
  <si>
    <t>https://www.google.com/search?q=site%3Aulusiada.pt%20Executive%20Master%20em%20Gest%C3%A3o%20e%20Administra%C3%A7%C3%A3o%20em%20Sa%C3%BAde%20%E2%80%93%2040.%C2%AA%20edi%C3%A7%C3%A3o%20p%C3%B3s-gradua%C3%A7%C3%A3o%20executiva</t>
  </si>
  <si>
    <t>Gestão e Administração em Saúde – 40.ª edição</t>
  </si>
  <si>
    <t>https://www.google.com/search?q=site%3Aulusiada.pt%20Gest%C3%A3o%20e%20Administra%C3%A7%C3%A3o%20em%20Sa%C3%BAde%20%E2%80%93%2040.%C2%AA%20edi%C3%A7%C3%A3o%20p%C3%B3s-gradua%C3%A7%C3%A3o%20executiva</t>
  </si>
  <si>
    <t>MBA – Digital Management &amp; Business [2025/2026]</t>
  </si>
  <si>
    <t>https://www.google.com/search?q=site%3Aulusiada.pt%20MBA%20%E2%80%93%20Digital%20Management%20%26%20Business%20%5B2025/2026%5D%20p%C3%B3s-gradua%C3%A7%C3%A3o%20executiva</t>
  </si>
  <si>
    <t>Master em Inteligência Artificial Aplicada ao Marketing [2025/2026]</t>
  </si>
  <si>
    <t>https://www.google.com/search?q=site%3Aulusiada.pt%20Master%20em%20Intelig%C3%AAncia%20Artificial%20Aplicada%20ao%20Marketing%20%5B2025/2026%5D%20p%C3%B3s-gradua%C3%A7%C3%A3o%20executiva</t>
  </si>
  <si>
    <t>Master em Operações e Gestão Industrial [2026/2027]</t>
  </si>
  <si>
    <t>Faculdade de Engenharias e Tecnologias</t>
  </si>
  <si>
    <t>https://www.google.com/search?q=site%3Aulusiada.pt%20Master%20em%20Opera%C3%A7%C3%B5es%20e%20Gest%C3%A3o%20Industrial%20%5B2026/2027%5D%20p%C3%B3s-gradua%C3%A7%C3%A3o%20executiva</t>
  </si>
  <si>
    <t>Duração anual; horas/ECTS não indicados (programa de 2.º ciclo profissionalizante)</t>
  </si>
  <si>
    <t>Universidade Lusófona</t>
  </si>
  <si>
    <t>Animação Digital</t>
  </si>
  <si>
    <t>Campo Grande, 376 – Lisboa</t>
  </si>
  <si>
    <t>https://www.google.com/search?q=site%3Alusofona.pt%20Anima%C3%A7%C3%A3o%20Digital%20licenciatura</t>
  </si>
  <si>
    <t>Artes Dramáticas - Formação de Atores</t>
  </si>
  <si>
    <t>Campus da Universidade Lusófona do Porto</t>
  </si>
  <si>
    <t>https://www.google.com/search?q=site%3Alusofona.pt%20Artes%20Dram%C3%A1ticas%20-%20Forma%C3%A7%C3%A3o%20de%20Atores%20licenciatura</t>
  </si>
  <si>
    <t>Artes Visuais</t>
  </si>
  <si>
    <t>https://www.google.com/search?q=site%3Alusofona.pt%20Artes%20Visuais%20licenciatura</t>
  </si>
  <si>
    <t>Bioeconomia Circular e Tecnologia</t>
  </si>
  <si>
    <t>https://www.google.com/search?q=site%3Alusofona.pt%20Bioeconomia%20Circular%20e%20Tecnologia%20licenciatura</t>
  </si>
  <si>
    <t>Escola de Ciências e Tecnologias da Saúde</t>
  </si>
  <si>
    <t>https://www.google.com/search?q=site%3Alusofona.pt%20Biologia%20licenciatura</t>
  </si>
  <si>
    <t>Biomedicina Computacional e Inteligência Artificial</t>
  </si>
  <si>
    <t>https://www.google.com/search?q=site%3Alusofona.pt%20Biomedicina%20Computacional%20e%20Intelig%C3%AAncia%20Artificial%20licenciatura</t>
  </si>
  <si>
    <t>Bioquímica</t>
  </si>
  <si>
    <t>https://www.google.com/search?q=site%3Alusofona.pt%20Bioqu%C3%ADmica%20licenciatura</t>
  </si>
  <si>
    <t>https://www.google.com/search?q=site%3Alusofona.pt%20Biotecnologia%20licenciatura</t>
  </si>
  <si>
    <t>Cinema e Artes dos Media</t>
  </si>
  <si>
    <t>Escola de Comunicações, Arquitetura, Artes e Tecnologias da Informação</t>
  </si>
  <si>
    <t>https://www.google.com/search?q=site%3Alusofona.pt%20Cinema%20e%20Artes%20dos%20Media%20licenciatura</t>
  </si>
  <si>
    <t>Cinema – Pathfinder</t>
  </si>
  <si>
    <t>Centro Universitário Lusófona – Lisboa</t>
  </si>
  <si>
    <t>https://www.google.com/search?q=site%3Alusofona.pt%20Cinema%20%E2%80%93%20Pathfinder%20licenciatura</t>
  </si>
  <si>
    <t>Ciência Política e Estudos Eleitorais</t>
  </si>
  <si>
    <t>https://www.google.com/search?q=site%3Alusofona.pt%20Ci%C3%AAncia%20Pol%C3%ADtica%20e%20Estudos%20Eleitorais%20licenciatura</t>
  </si>
  <si>
    <t>Licenciatura em Ciência Política e Relações Internacionais</t>
  </si>
  <si>
    <t>https://www.google.com/search?q=site%3Alusofona.pt%20Ci%C3%AAncia%20Pol%C3%ADtica%20e%20Rela%C3%A7%C3%B5es%20Internacionais%20licenciatura</t>
  </si>
  <si>
    <t>Ciência de Dados (2022)</t>
  </si>
  <si>
    <t>Escola de Ciências e Tecnologias</t>
  </si>
  <si>
    <t>https://www.google.com/search?q=site%3Alusofona.pt%20Ci%C3%AAncia%20de%20Dados%20%282022%29%20licenciatura</t>
  </si>
  <si>
    <t>Ciência de Dados (2024)</t>
  </si>
  <si>
    <t>https://www.google.com/search?q=site%3Alusofona.pt%20Ci%C3%AAncia%20de%20Dados%20%282024%29%20licenciatura</t>
  </si>
  <si>
    <t>Ciência e Tecnologias do Som</t>
  </si>
  <si>
    <t>https://www.google.com/search?q=site%3Alusofona.pt%20Ci%C3%AAncia%20e%20Tecnologias%20do%20Som%20licenciatura</t>
  </si>
  <si>
    <t>Escola de Comunicação</t>
  </si>
  <si>
    <t>https://www.google.com/search?q=site%3Alusofona.pt%20Ci%C3%AAncias%20da%20Comunica%C3%A7%C3%A3o%20licenciatura</t>
  </si>
  <si>
    <t>https://www.google.com/search?q=site%3Alusofona.pt%20Ci%C3%AAncias%20da%20Educa%C3%A7%C3%A3o%20licenciatura</t>
  </si>
  <si>
    <t>Ciências da Educação – Educação Social</t>
  </si>
  <si>
    <t>https://www.google.com/search?q=site%3Alusofona.pt%20Ci%C3%AAncias%20da%20Educa%C3%A7%C3%A3o%20%E2%80%93%20Educa%C3%A7%C3%A3o%20Social%20licenciatura</t>
  </si>
  <si>
    <t>Ciências da Engenharia Aeroespacial</t>
  </si>
  <si>
    <t>https://www.google.com/search?q=site%3Alusofona.pt%20Ci%C3%AAncias%20da%20Engenharia%20Aeroespacial%20licenciatura</t>
  </si>
  <si>
    <t>https://www.google.com/search?q=site%3Alusofona.pt%20Ci%C3%AAncias%20da%20Nutri%C3%A7%C3%A3o%20licenciatura</t>
  </si>
  <si>
    <t>https://www.google.com/search?q=site%3Alusofona.pt%20Computa%C3%A7%C3%A3o%20e%20Matem%C3%A1tica%20Aplicada%20licenciatura</t>
  </si>
  <si>
    <t>https://www.google.com/search?q=site%3Alusofona.pt%20Comunica%C3%A7%C3%A3o%20Aplicada%20licenciatura</t>
  </si>
  <si>
    <t>Comunicação Aplicada: Marketing, Publicidade e Relações Públicas</t>
  </si>
  <si>
    <t>https://www.google.com/search?q=site%3Alusofona.pt%20Comunica%C3%A7%C3%A3o%20Aplicada%3A%20Marketing%2C%20Publicidade%20e%20Rela%C3%A7%C3%B5es%20P%C3%BAblicas%20licenciatura</t>
  </si>
  <si>
    <t>https://www.google.com/search?q=site%3Alusofona.pt%20Comunica%C3%A7%C3%A3o%20Audiovisual%20e%20Multim%C3%A9dia%20licenciatura</t>
  </si>
  <si>
    <t>Comunicação e Jornalismo</t>
  </si>
  <si>
    <t>https://www.google.com/search?q=site%3Alusofona.pt%20Comunica%C3%A7%C3%A3o%20e%20Jornalismo%20licenciatura</t>
  </si>
  <si>
    <t>Contabilidade, Fiscalidade e Auditoria</t>
  </si>
  <si>
    <t>Escola de Economia e Gestão</t>
  </si>
  <si>
    <t>https://www.google.com/search?q=site%3Alusofona.pt%20Contabilidade%2C%20Fiscalidade%20e%20Auditoria%20licenciatura</t>
  </si>
  <si>
    <t>https://www.google.com/search?q=site%3Alusofona.pt%20Criminologia%20licenciatura</t>
  </si>
  <si>
    <t>Cuidados de Beleza e Bem-Estar</t>
  </si>
  <si>
    <t>Serviços Pessoais</t>
  </si>
  <si>
    <t>Escola de Ciências da Vida</t>
  </si>
  <si>
    <t>https://www.google.com/search?q=site%3Alusofona.pt%20Cuidados%20de%20Beleza%20e%20Bem-Estar%20licenciatura</t>
  </si>
  <si>
    <t>https://www.google.com/search?q=site%3Alusofona.pt%20Design%20de%20Comunica%C3%A7%C3%A3o%20licenciatura</t>
  </si>
  <si>
    <t>Design e Produção de Moda</t>
  </si>
  <si>
    <t>Escola de Comunicação e Artes</t>
  </si>
  <si>
    <t>https://www.google.com/search?q=site%3Alusofona.pt%20Design%20e%20Produ%C3%A7%C3%A3o%20de%20Moda%20licenciatura</t>
  </si>
  <si>
    <t>Escola de Direito – Lisboa</t>
  </si>
  <si>
    <t>https://www.google.com/search?q=site%3Alusofona.pt%20Direito%20licenciatura</t>
  </si>
  <si>
    <t>https://www.google.com/search?q=site%3Alusofona.pt%20Economia%20licenciatura</t>
  </si>
  <si>
    <t>Educação Física e Desporto</t>
  </si>
  <si>
    <t>Escola de Educação Física e Desporto</t>
  </si>
  <si>
    <t>https://www.google.com/search?q=site%3Alusofona.pt%20Educa%C3%A7%C3%A3o%20F%C3%ADsica%20e%20Desporto%20licenciatura</t>
  </si>
  <si>
    <t>Escola de Engenharia</t>
  </si>
  <si>
    <t>https://www.google.com/search?q=site%3Alusofona.pt%20Engenharia%20Biom%C3%A9dica%20licenciatura</t>
  </si>
  <si>
    <t>https://www.google.com/search?q=site%3Alusofona.pt%20Engenharia%20Biotecnol%C3%B3gica%20licenciatura</t>
  </si>
  <si>
    <t>https://www.google.com/search?q=site%3Alusofona.pt%20Engenharia%20Civil%20licenciatura</t>
  </si>
  <si>
    <t>Engenharia Eletrotécnica de Sistemas de Energia</t>
  </si>
  <si>
    <t>https://www.google.com/search?q=site%3Alusofona.pt%20Engenharia%20Eletrot%C3%A9cnica%20de%20Sistemas%20de%20Energia%20licenciatura</t>
  </si>
  <si>
    <t>https://www.google.com/search?q=site%3Alusofona.pt%20Engenharia%20Eletrot%C3%A9cnica%20e%20de%20Computadores%20licenciatura</t>
  </si>
  <si>
    <t>https://www.google.com/search?q=site%3Alusofona.pt%20Engenharia%20Inform%C3%A1tica%20licenciatura</t>
  </si>
  <si>
    <t>https://www.google.com/search?q=site%3Alusofona.pt%20Engenharia%20Inform%C3%A1tica%2C%20Redes%20e%20Telecomunica%C3%A7%C3%B5es%20licenciatura</t>
  </si>
  <si>
    <t>https://www.google.com/search?q=site%3Alusofona.pt%20Engenharia%20de%20Prote%C3%A7%C3%A3o%20Civil%20licenciatura</t>
  </si>
  <si>
    <t>https://www.google.com/search?q=site%3Alusofona.pt%20Engenharia%20do%20Ambiente%20licenciatura</t>
  </si>
  <si>
    <t>Escola de Engenharia e Gestão</t>
  </si>
  <si>
    <t>https://www.google.com/search?q=site%3Alusofona.pt%20Engenharia%20e%20Gest%C3%A3o%20Industrial%20licenciatura</t>
  </si>
  <si>
    <t>Estudos Europeus e Relações Internacionais</t>
  </si>
  <si>
    <t>https://www.google.com/search?q=site%3Alusofona.pt%20Estudos%20Europeus%20e%20Rela%C3%A7%C3%B5es%20Internacionais%20licenciatura</t>
  </si>
  <si>
    <t>Estudos Europeus, Estudos Lusófonos e Relações Internacionais</t>
  </si>
  <si>
    <t>https://www.google.com/search?q=site%3Alusofona.pt%20Estudos%20Europeus%2C%20Estudos%20Lus%C3%B3fonos%20e%20Rela%C3%A7%C3%B5es%20Internacionais%20licenciatura</t>
  </si>
  <si>
    <t>https://www.google.com/search?q=site%3Alusofona.pt%20Estudos%20Portugueses%20licenciatura</t>
  </si>
  <si>
    <t>Estudos de Segurança Interna</t>
  </si>
  <si>
    <t>https://www.google.com/search?q=site%3Alusofona.pt%20Estudos%20de%20Seguran%C3%A7a%20Interna%20licenciatura</t>
  </si>
  <si>
    <t>Formação de Atores – cinema, televisão, teatro</t>
  </si>
  <si>
    <t>https://www.google.com/search?q=site%3Alusofona.pt%20Forma%C3%A7%C3%A3o%20de%20Atores%20%E2%80%93%20cinema%2C%20televis%C3%A3o%2C%20teatro%20licenciatura</t>
  </si>
  <si>
    <t>https://www.google.com/search?q=site%3Alusofona.pt%20Fotografia%20licenciatura</t>
  </si>
  <si>
    <t>https://www.google.com/search?q=site%3Alusofona.pt%20Gest%C3%A3o%20licenciatura</t>
  </si>
  <si>
    <t>Licenciatura em Gestão Aeronáutica – Lisboa</t>
  </si>
  <si>
    <t>https://www.google.com/search?q=site%3Alusofona.pt%20Gest%C3%A3o%20Aeron%C3%A1utica%20licenciatura</t>
  </si>
  <si>
    <t>https://www.google.com/search?q=site%3Alusofona.pt%20Gest%C3%A3o%20Comercial%20licenciatura</t>
  </si>
  <si>
    <t>https://www.google.com/search?q=site%3Alusofona.pt%20Gest%C3%A3o%20de%20Empresas%20licenciatura</t>
  </si>
  <si>
    <t>https://www.google.com/search?q=site%3Alusofona.pt%20Gest%C3%A3o%20de%20Recursos%20Humanos%20licenciatura</t>
  </si>
  <si>
    <t>https://www.google.com/search?q=site%3Alusofona.pt%20Gest%C3%A3o%20e%20Desenvolvimento%20de%20Recursos%20Humanos%20licenciatura</t>
  </si>
  <si>
    <t>Escola de Engenharia / Gestão</t>
  </si>
  <si>
    <t>https://www.google.com/search?q=site%3Alusofona.pt%20Inform%C3%A1tica%20de%20Gest%C3%A3o%20licenciatura</t>
  </si>
  <si>
    <t>https://www.google.com/search?q=site%3Alusofona.pt%20Prote%C3%A7%C3%A3o%20Civil%20licenciatura</t>
  </si>
  <si>
    <t>Escola de Psicologia e Ciências da Vida</t>
  </si>
  <si>
    <t>https://www.google.com/search?q=site%3Alusofona.pt%20Psicologia%20licenciatura</t>
  </si>
  <si>
    <t>https://www.google.com/search?q=site%3Alusofona.pt%20Servi%C3%A7o%20Social%20licenciatura</t>
  </si>
  <si>
    <t>https://www.google.com/search?q=site%3Alusofona.pt%20Sociologia%20licenciatura</t>
  </si>
  <si>
    <t>Tecnologias e Gestão do Ambiente</t>
  </si>
  <si>
    <t>Escola de Engenharia / Ambiente</t>
  </si>
  <si>
    <t>https://www.google.com/search?q=site%3Alusofona.pt%20Tecnologias%20e%20Gest%C3%A3o%20do%20Ambiente%20licenciatura</t>
  </si>
  <si>
    <t>Escola de Turismo</t>
  </si>
  <si>
    <t>https://www.google.com/search?q=site%3Alusofona.pt%20Turismo%20licenciatura</t>
  </si>
  <si>
    <t>Turismo e Gestão de Empresas Turísticas</t>
  </si>
  <si>
    <t>https://www.google.com/search?q=site%3Alusofona.pt%20Turismo%20e%20Gest%C3%A3o%20de%20Empresas%20Tur%C3%ADsticas%20licenciatura</t>
  </si>
  <si>
    <t>Videojogos</t>
  </si>
  <si>
    <t>Escola de Comunicação e Artes / Jogos Digitais</t>
  </si>
  <si>
    <t>https://www.google.com/search?q=site%3Alusofona.pt%20Videojogos%20licenciatura</t>
  </si>
  <si>
    <t>Videojogos e Aplicações Multimédia</t>
  </si>
  <si>
    <t>https://www.google.com/search?q=site%3Alusofona.pt%20Videojogos%20e%20Aplica%C3%A7%C3%B5es%20Multim%C3%A9dia%20licenciatura</t>
  </si>
  <si>
    <t>Administração Educacional e Regulação da Educação</t>
  </si>
  <si>
    <t>Universidade Lusófona - Lisboa</t>
  </si>
  <si>
    <t>https://www.google.com/search?q=site%3Alusofona.pt%20Administra%C3%A7%C3%A3o%20Educacional%20e%20Regula%C3%A7%C3%A3o%20da%20Educa%C3%A7%C3%A3o%20mestrado</t>
  </si>
  <si>
    <t>Artes da Animação</t>
  </si>
  <si>
    <t>https://www.google.com/search?q=site%3Alusofona.pt%20Artes%20da%20Anima%C3%A7%C3%A3o%20mestrado</t>
  </si>
  <si>
    <t>Bioquímica Aplicada</t>
  </si>
  <si>
    <t>https://www.google.com/search?q=site%3Alusofona.pt%20Bioqu%C3%ADmica%20Aplicada%20mestrado</t>
  </si>
  <si>
    <t>Biotecnologia Alimentar e Molecular</t>
  </si>
  <si>
    <t>https://www.google.com/search?q=site%3Alusofona.pt%20Biotecnologia%20Alimentar%20e%20Molecular%20mestrado</t>
  </si>
  <si>
    <t>Ciberespaço, Comportamento e Terapia Digital</t>
  </si>
  <si>
    <t>https://www.google.com/search?q=site%3Alusofona.pt%20Ciberespa%C3%A7o%2C%20Comportamento%20e%20Terapia%20Digital%20mestrado</t>
  </si>
  <si>
    <t>Ciberterapia e Reabilitação Neurocognitiva</t>
  </si>
  <si>
    <t>https://www.google.com/search?q=site%3Alusofona.pt%20Ciberterapia%20e%20Reabilita%C3%A7%C3%A3o%20Neurocognitiva%20mestrado</t>
  </si>
  <si>
    <t>Cirurgia em Animais de Companhia</t>
  </si>
  <si>
    <t>https://www.google.com/search?q=site%3Alusofona.pt%20Cirurgia%20em%20Animais%20de%20Companhia%20mestrado</t>
  </si>
  <si>
    <t>Ciência Cognitiva e Educação</t>
  </si>
  <si>
    <t>https://www.google.com/search?q=site%3Alusofona.pt%20Ci%C3%AAncia%20Cognitiva%20e%20Educa%C3%A7%C3%A3o%20mestrado</t>
  </si>
  <si>
    <t>Ciência Política - Cidadania e Governação</t>
  </si>
  <si>
    <t>https://www.google.com/search?q=site%3Alusofona.pt%20Ci%C3%AAncia%20Pol%C3%ADtica%20-%20Cidadania%20e%20Governa%C3%A7%C3%A3o%20mestrado</t>
  </si>
  <si>
    <t>Ciência das Religiões</t>
  </si>
  <si>
    <t>https://www.google.com/search?q=site%3Alusofona.pt%20Ci%C3%AAncia%20das%20Religi%C3%B5es%20mestrado</t>
  </si>
  <si>
    <t>https://www.google.com/search?q=site%3Alusofona.pt%20Ci%C3%AAncia%20de%20Dados%20mestrado</t>
  </si>
  <si>
    <t>Ciências Criminais</t>
  </si>
  <si>
    <t>https://www.google.com/search?q=site%3Alusofona.pt%20Ci%C3%AAncias%20Criminais%20mestrado</t>
  </si>
  <si>
    <t>Ciências Jurídico-Criminais</t>
  </si>
  <si>
    <t>Universidade Lusófona do Porto</t>
  </si>
  <si>
    <t>https://www.google.com/search?q=site%3Alusofona.pt%20Ci%C3%AAncias%20Jur%C3%ADdico-Criminais%20mestrado</t>
  </si>
  <si>
    <t>https://www.google.com/search?q=site%3Alusofona.pt%20Ci%C3%AAncias%20da%20Educa%C3%A7%C3%A3o%20mestrado</t>
  </si>
  <si>
    <t>Ciências da Educação – Educação Especial (Domínio Cognitivo e Motor)</t>
  </si>
  <si>
    <t>Ciências da Educação (Educação Especial – Domínio Cognitivo e Motor)</t>
  </si>
  <si>
    <t>https://www.google.com/search?q=site%3Alusofona.pt%20Ci%C3%AAncias%20da%20Educa%C3%A7%C3%A3o%20%E2%80%93%20Educa%C3%A7%C3%A3o%20Especial%20%28Dom%C3%ADnio%20Cognitivo%20e%20Motor%29%20mestrado</t>
  </si>
  <si>
    <t>Ciências de Dados aplicada a Sistemas de Informação Geográfica</t>
  </si>
  <si>
    <t>https://www.google.com/search?q=site%3Alusofona.pt%20Ci%C3%AAncias%20de%20Dados%20aplicada%20a%20Sistemas%20de%20Informa%C3%A7%C3%A3o%20Geogr%C3%A1fica%20mestrado</t>
  </si>
  <si>
    <t>Clínica de Equinos</t>
  </si>
  <si>
    <t>https://www.google.com/search?q=site%3Alusofona.pt%20Cl%C3%ADnica%20de%20Equinos%20mestrado</t>
  </si>
  <si>
    <t>Comunicação Política</t>
  </si>
  <si>
    <t>https://www.google.com/search?q=site%3Alusofona.pt%20Comunica%C3%A7%C3%A3o%20Pol%C3%ADtica%20mestrado</t>
  </si>
  <si>
    <t>Comunicação nas Organizações</t>
  </si>
  <si>
    <t>https://www.google.com/search?q=site%3Alusofona.pt%20Comunica%C3%A7%C3%A3o%20nas%20Organiza%C3%A7%C3%B5es%20mestrado</t>
  </si>
  <si>
    <t>Comunicação, Marketing e Media Digitais</t>
  </si>
  <si>
    <t>https://www.google.com/search?q=site%3Alusofona.pt%20Comunica%C3%A7%C3%A3o%2C%20Marketing%20e%20Media%20Digitais%20mestrado</t>
  </si>
  <si>
    <t>Comunicação, Redes e Tecnologias</t>
  </si>
  <si>
    <t>https://www.google.com/search?q=site%3Alusofona.pt%20Comunica%C3%A7%C3%A3o%2C%20Redes%20e%20Tecnologias%20mestrado</t>
  </si>
  <si>
    <t>https://www.google.com/search?q=site%3Alusofona.pt%20Contabilidade%20e%20Fiscalidade%20mestrado</t>
  </si>
  <si>
    <t>https://www.google.com/search?q=site%3Alusofona.pt%20Direito%20mestrado</t>
  </si>
  <si>
    <t>Ensino de Educação Física nos Ensinos Básico e Secundário</t>
  </si>
  <si>
    <t>https://www.google.com/search?q=site%3Alusofona.pt%20Ensino%20de%20Educa%C3%A7%C3%A3o%20F%C3%ADsica%20nos%20Ensinos%20B%C3%A1sico%20e%20Secund%C3%A1rio%20mestrado</t>
  </si>
  <si>
    <t>Ensino de Informática</t>
  </si>
  <si>
    <t>https://www.google.com/search?q=site%3Alusofona.pt%20Ensino%20de%20Inform%C3%A1tica%20mestrado</t>
  </si>
  <si>
    <t>https://www.google.com/search?q=site%3Alusofona.pt%20Exerc%C3%ADcio%20e%20Sa%C3%BAde%20mestrado</t>
  </si>
  <si>
    <t>https://www.google.com/search?q=site%3Alusofona.pt%20Gest%C3%A3o%20mestrado</t>
  </si>
  <si>
    <t>https://www.google.com/search?q=site%3Alusofona.pt%20Gest%C3%A3o%20Cultural%20mestrado</t>
  </si>
  <si>
    <t>Gestão Financeira</t>
  </si>
  <si>
    <t>https://www.google.com/search?q=site%3Alusofona.pt%20Gest%C3%A3o%20Financeira%20mestrado</t>
  </si>
  <si>
    <t>https://www.google.com/search?q=site%3Alusofona.pt%20Gest%C3%A3o%20de%20Organiza%C3%A7%C3%B5es%20da%20Economia%20Social%20mestrado</t>
  </si>
  <si>
    <t>https://www.google.com/search?q=site%3Alusofona.pt%20Gest%C3%A3o%20de%20Recursos%20Humanos%20mestrado</t>
  </si>
  <si>
    <t>Gestão e Inovação em Turismo e Hospitalidade (regime de ensino a distância)</t>
  </si>
  <si>
    <t>Curso conjunto ULusófona Lisboa + Porto + ISMAT</t>
  </si>
  <si>
    <t>https://www.google.com/search?q=site%3Alusofona.pt%20Gest%C3%A3o%20e%20Inova%C3%A7%C3%A3o%20em%20Turismo%20e%20Hospitalidade%20%28regime%20de%20ensino%20a%20dist%C3%A2ncia%29%20mestrado</t>
  </si>
  <si>
    <t>Inteligência Artificial para Sociedades Sustentáveis</t>
  </si>
  <si>
    <t>https://www.google.com/search?q=site%3Alusofona.pt%20Intelig%C3%AAncia%20Artificial%20para%20Sociedades%20Sustent%C3%A1veis%20mestrado</t>
  </si>
  <si>
    <t>Justiça Juvenil e Proteção de Crianças e Jovens em Perigo</t>
  </si>
  <si>
    <t>https://www.google.com/search?q=site%3Alusofona.pt%20Justi%C3%A7a%20Juvenil%20e%20Prote%C3%A7%C3%A3o%20de%20Crian%C3%A7as%20e%20Jovens%20em%20Perigo%20mestrado</t>
  </si>
  <si>
    <t>Media e Cidadania Digital</t>
  </si>
  <si>
    <t>https://www.google.com/search?q=site%3Alusofona.pt%20Media%20e%20Cidadania%20Digital%20mestrado</t>
  </si>
  <si>
    <t>Mediação, Gestão de Conflitos e Cidadania (regime de ensino a distância)</t>
  </si>
  <si>
    <t>Universidade Lusófona do Porto – ensino a distância</t>
  </si>
  <si>
    <t>https://www.google.com/search?q=site%3Alusofona.pt%20Media%C3%A7%C3%A3o%2C%20Gest%C3%A3o%20de%20Conflitos%20e%20Cidadania%20%28regime%20de%20ensino%20a%20dist%C3%A2ncia%29%20mestrado</t>
  </si>
  <si>
    <t>Neuropsicologia Clínica</t>
  </si>
  <si>
    <t>https://www.google.com/search?q=site%3Alusofona.pt%20Neuropsicologia%20Cl%C3%ADnica%20mestrado</t>
  </si>
  <si>
    <t>https://www.google.com/search?q=site%3Alusofona.pt%20Prote%C3%A7%C3%A3o%20Civil%20mestrado</t>
  </si>
  <si>
    <t>https://www.google.com/search?q=site%3Alusofona.pt%20Psicologia%20Cl%C3%ADnica%20e%20da%20Sa%C3%BAde%20mestrado</t>
  </si>
  <si>
    <t>Psicologia da Justiça: Vítimas de Crime</t>
  </si>
  <si>
    <t>https://www.google.com/search?q=site%3Alusofona.pt%20Psicologia%20da%20Justi%C3%A7a%3A%20V%C3%ADtimas%20de%20Crime%20mestrado</t>
  </si>
  <si>
    <t>https://www.google.com/search?q=site%3Alusofona.pt%20Rela%C3%A7%C3%B5es%20Internacionais%20mestrado</t>
  </si>
  <si>
    <t>Sistemas de Energia Inteligentes e Sustentáveis</t>
  </si>
  <si>
    <t>https://www.google.com/search?q=site%3Alusofona.pt%20Sistemas%20de%20Energia%20Inteligentes%20e%20Sustent%C3%A1veis%20mestrado</t>
  </si>
  <si>
    <t>Treino Desportivo em Futebol</t>
  </si>
  <si>
    <t>https://www.google.com/search?q=site%3Alusofona.pt%20Treino%20Desportivo%20em%20Futebol%20mestrado</t>
  </si>
  <si>
    <t>Campo Grande, 376 – Lisboa, Escola de Comunicação, Arquitetura, Artes e Tecnologias da Informação</t>
  </si>
  <si>
    <t>https://www.google.com/search?q=site%3Alusofona.pt%20Arquitetura%20mestrado%20integrado</t>
  </si>
  <si>
    <t>Campo Grande, 376 – Lisboa, Faculdade de Ciências e Tecnologias da Saúde</t>
  </si>
  <si>
    <t>https://www.google.com/search?q=site%3Alusofona.pt%20Ci%C3%AAncias%20Farmac%C3%AAuticas%20mestrado%20integrado</t>
  </si>
  <si>
    <t>Campo Grande, 376 – Lisboa, Faculdade de Medicina Veterinária (FMV‑ULHT)</t>
  </si>
  <si>
    <t>https://www.google.com/search?q=site%3Alusofona.pt%20Medicina%20Veterin%C3%A1ria%20mestrado%20integrado</t>
  </si>
  <si>
    <t>5,5 ano(s) (330 ECTS)</t>
  </si>
  <si>
    <t>Aprendizagem da Matemática – do ensino às dificuldades</t>
  </si>
  <si>
    <t>Educação / Matemática</t>
  </si>
  <si>
    <t>https://www.google.com/search?q=site%3Alusofona.pt%20Aprendizagem%20da%20Matem%C3%A1tica%20%E2%80%93%20do%20ensino%20%C3%A0s%20dificuldades%20p%C3%B3s-gradua%C3%A7%C3%A3o</t>
  </si>
  <si>
    <t>Blockchain, Criptoeconomia e Inovação Tecnológica</t>
  </si>
  <si>
    <t>Informática / Sistemas de Informação</t>
  </si>
  <si>
    <t>https://www.google.com/search?q=site%3Alusofona.pt%20Blockchain%2C%20Criptoeconomia%20e%20Inova%C3%A7%C3%A3o%20Tecnol%C3%B3gica%20p%C3%B3s-gradua%C3%A7%C3%A3o</t>
  </si>
  <si>
    <t>https://www.google.com/search?q=site%3Alusofona.pt%20Ciberseguran%C3%A7a%20Aplicada%20p%C3%B3s-gradua%C3%A7%C3%A3o</t>
  </si>
  <si>
    <t>Cibersegurança para Gestores</t>
  </si>
  <si>
    <t>Informática / Gestão</t>
  </si>
  <si>
    <t>https://www.google.com/search?q=site%3Alusofona.pt%20Ciberseguran%C3%A7a%20para%20Gestores%20p%C3%B3s-gradua%C3%A7%C3%A3o</t>
  </si>
  <si>
    <t>Informática / Comunicação</t>
  </si>
  <si>
    <t>https://www.google.com/search?q=site%3Alusofona.pt%20Comunica%C3%A7%C3%A3o%20Digital%20p%C3%B3s-gradua%C3%A7%C3%A3o</t>
  </si>
  <si>
    <t>Economia e Gestão</t>
  </si>
  <si>
    <t>https://www.google.com/search?q=site%3Alusofona.pt%20Contabilidade%20e%20Fiscalidade%20p%C3%B3s-gradua%C3%A7%C3%A3o</t>
  </si>
  <si>
    <t>Segurança / Proteção Civil</t>
  </si>
  <si>
    <t>https://www.google.com/search?q=site%3Alusofona.pt%20Coordenador%20Municipal%20de%20Prote%C3%A7%C3%A3o%20Civil%20p%C3%B3s-gradua%C3%A7%C3%A3o</t>
  </si>
  <si>
    <t>Criminologia e Investigação Criminal</t>
  </si>
  <si>
    <t>Direito / Criminologia</t>
  </si>
  <si>
    <t>https://www.google.com/search?q=site%3Alusofona.pt%20Criminologia%20e%20Investiga%C3%A7%C3%A3o%20Criminal%20p%C3%B3s-gradua%C3%A7%C3%A3o</t>
  </si>
  <si>
    <t>Data Science Aplicada, Big Data e AI</t>
  </si>
  <si>
    <t>Informática / Data Science</t>
  </si>
  <si>
    <t>https://www.google.com/search?q=site%3Alusofona.pt%20Data%20Science%20Aplicada%2C%20Big%20Data%20e%20AI%20p%C3%B3s-gradua%C3%A7%C3%A3o</t>
  </si>
  <si>
    <t>Descarbonização do Transporte Marítimo: Estratégias e Tecnologias de Futuro</t>
  </si>
  <si>
    <t>Economia e Gestão / Transportes</t>
  </si>
  <si>
    <t>https://www.google.com/search?q=site%3Alusofona.pt%20Descarboniza%C3%A7%C3%A3o%20do%20Transporte%20Mar%C3%ADtimo%3A%20Estrat%C3%A9gias%20e%20Tecnologias%20de%20Futuro%20p%C3%B3s-gradua%C3%A7%C3%A3o</t>
  </si>
  <si>
    <t>Direitos das Crianças</t>
  </si>
  <si>
    <t>Direito / Ciências Sociais</t>
  </si>
  <si>
    <t>https://www.google.com/search?q=site%3Alusofona.pt%20Direitos%20das%20Crian%C3%A7as%20p%C3%B3s-gradua%C3%A7%C3%A3o</t>
  </si>
  <si>
    <t>Educação (Porto)</t>
  </si>
  <si>
    <t>https://www.google.com/search?q=site%3Alusofona.pt%20Educa%C3%A7%C3%A3o%20Especial%20e%20Educa%C3%A7%C3%A3o%20Inclusiva%3A%20Dom%C3%ADnio%20Cognitivo%20e%20Motor%20p%C3%B3s-gradua%C3%A7%C3%A3o</t>
  </si>
  <si>
    <t>Employee Experience Management</t>
  </si>
  <si>
    <t>https://www.google.com/search?q=site%3Alusofona.pt%20Employee%20Experience%20Management%20p%C3%B3s-gradua%C3%A7%C3%A3o</t>
  </si>
  <si>
    <t>Engenharia / Ciências Alimentares</t>
  </si>
  <si>
    <t>https://www.google.com/search?q=site%3Alusofona.pt%20Enologia%20p%C3%B3s-gradua%C3%A7%C3%A3o</t>
  </si>
  <si>
    <t>Escrita de Ficção</t>
  </si>
  <si>
    <t>Comunicação / Artes</t>
  </si>
  <si>
    <t>https://www.google.com/search?q=site%3Alusofona.pt%20Escrita%20de%20Fic%C3%A7%C3%A3o%20p%C3%B3s-gradua%C3%A7%C3%A3o</t>
  </si>
  <si>
    <t>E‑commerce – Edição Online</t>
  </si>
  <si>
    <t>Comunicação / Marketing</t>
  </si>
  <si>
    <t>https://www.google.com/search?q=site%3Alusofona.pt%20E%E2%80%91commerce%20%E2%80%93%20Edi%C3%A7%C3%A3o%20Online%20p%C3%B3s-gradua%C3%A7%C3%A3o</t>
  </si>
  <si>
    <t>Gestão Bancária, Seguros e Mercados Financeiros</t>
  </si>
  <si>
    <t>https://www.google.com/search?q=site%3Alusofona.pt%20Gest%C3%A3o%20Banc%C3%A1ria%2C%20Seguros%20e%20Mercados%20Financeiros%20p%C3%B3s-gradua%C3%A7%C3%A3o</t>
  </si>
  <si>
    <t>Gestão Desportiva</t>
  </si>
  <si>
    <t>Desporto / Gestão</t>
  </si>
  <si>
    <t>https://www.google.com/search?q=site%3Alusofona.pt%20Gest%C3%A3o%20Desportiva%20p%C3%B3s-gradua%C3%A7%C3%A3o</t>
  </si>
  <si>
    <t>Gestão Integrada das Organizações e Auditoria</t>
  </si>
  <si>
    <t>Gestão / Qualidade</t>
  </si>
  <si>
    <t>https://www.google.com/search?q=site%3Alusofona.pt%20Gest%C3%A3o%20Integrada%20das%20Organiza%C3%A7%C3%B5es%20e%20Auditoria%20p%C3%B3s-gradua%C3%A7%C3%A3o</t>
  </si>
  <si>
    <t>Gestão Integrada e Governança da Água</t>
  </si>
  <si>
    <t>Engenharia / Ambiente</t>
  </si>
  <si>
    <t>https://www.google.com/search?q=site%3Alusofona.pt%20Gest%C3%A3o%20Integrada%20e%20Governan%C3%A7a%20da%20%C3%81gua%20p%C3%B3s-gradua%C3%A7%C3%A3o</t>
  </si>
  <si>
    <t>https://www.google.com/search?q=site%3Alusofona.pt%20Gest%C3%A3o%20de%20Projetos%20p%C3%B3s-gradua%C3%A7%C3%A3o</t>
  </si>
  <si>
    <t>Gestão e Direção na Proteção Civil</t>
  </si>
  <si>
    <t>Gestão / Proteção Civil</t>
  </si>
  <si>
    <t>https://www.google.com/search?q=site%3Alusofona.pt%20Gest%C3%A3o%20e%20Dire%C3%A7%C3%A3o%20na%20Prote%C3%A7%C3%A3o%20Civil%20p%C3%B3s-gradua%C3%A7%C3%A3o</t>
  </si>
  <si>
    <t>Gestão e Empreendedorismo dos Eventos</t>
  </si>
  <si>
    <t>Turismo / Gestão</t>
  </si>
  <si>
    <t>https://www.google.com/search?q=site%3Alusofona.pt%20Gest%C3%A3o%20e%20Empreendedorismo%20dos%20Eventos%20p%C3%B3s-gradua%C3%A7%C3%A3o</t>
  </si>
  <si>
    <t>https://www.google.com/search?q=site%3Alusofona.pt%20Gest%C3%A3o%20e%20Marketing%20do%20Desporto%20p%C3%B3s-gradua%C3%A7%C3%A3o</t>
  </si>
  <si>
    <t>Informática e Sistemas de Informação</t>
  </si>
  <si>
    <t>Informática (Porto)</t>
  </si>
  <si>
    <t>https://www.google.com/search?q=site%3Alusofona.pt%20Inform%C3%A1tica%20e%20Sistemas%20de%20Informa%C3%A7%C3%A3o%20p%C3%B3s-gradua%C3%A7%C3%A3o</t>
  </si>
  <si>
    <t>Intervenção em Riscos e Promoção da Inclusão</t>
  </si>
  <si>
    <t>Ciências Sociais / Psicologia</t>
  </si>
  <si>
    <t>https://www.google.com/search?q=site%3Alusofona.pt%20Interven%C3%A7%C3%A3o%20em%20Riscos%20e%20Promo%C3%A7%C3%A3o%20da%20Inclus%C3%A3o%20p%C3%B3s-gradua%C3%A7%C3%A3o</t>
  </si>
  <si>
    <t>Duração anual (2 semestres); ECTS não indicados na síntese pública</t>
  </si>
  <si>
    <t>Lean and Operations Management</t>
  </si>
  <si>
    <t>Engenharia / Gestão Industrial</t>
  </si>
  <si>
    <t>https://www.google.com/search?q=site%3Alusofona.pt%20Lean%20and%20Operations%20Management%20p%C3%B3s-gradua%C3%A7%C3%A3o</t>
  </si>
  <si>
    <t>Liderança em Transformação Digital e Inovação Estratégica</t>
  </si>
  <si>
    <t>https://www.google.com/search?q=site%3Alusofona.pt%20Lideran%C3%A7a%20em%20Transforma%C3%A7%C3%A3o%20Digital%20e%20Inova%C3%A7%C3%A3o%20Estrat%C3%A9gica%20p%C3%B3s-gradua%C3%A7%C3%A3o</t>
  </si>
  <si>
    <t>https://www.google.com/search?q=site%3Alusofona.pt%20Log%C3%ADstica%20p%C3%B3s-gradua%C3%A7%C3%A3o</t>
  </si>
  <si>
    <t>https://www.google.com/search?q=site%3Alusofona.pt%20Marketing%20Digital%20p%C3%B3s-gradua%C3%A7%C3%A3o</t>
  </si>
  <si>
    <t>Marketing e Estratégias de Marca</t>
  </si>
  <si>
    <t>https://www.google.com/search?q=site%3Alusofona.pt%20Marketing%20e%20Estrat%C3%A9gias%20de%20Marca%20p%C3%B3s-gradua%C3%A7%C3%A3o</t>
  </si>
  <si>
    <t>Mediação de Conflitos em Contexto Escolar</t>
  </si>
  <si>
    <t>https://www.google.com/search?q=site%3Alusofona.pt%20Media%C3%A7%C3%A3o%20de%20Conflitos%20em%20Contexto%20Escolar%20p%C3%B3s-gradua%C3%A7%C3%A3o</t>
  </si>
  <si>
    <t>Património Cultural Imaterial</t>
  </si>
  <si>
    <t>Ciências Sociais e Humanas</t>
  </si>
  <si>
    <t>https://www.google.com/search?q=site%3Alusofona.pt%20Patrim%C3%B3nio%20Cultural%20Imaterial%20p%C3%B3s-gradua%C3%A7%C3%A3o</t>
  </si>
  <si>
    <t>Práticas Avançadas de Gestão de Pessoas</t>
  </si>
  <si>
    <t>https://www.google.com/search?q=site%3Alusofona.pt%20Pr%C3%A1ticas%20Avan%C3%A7adas%20de%20Gest%C3%A3o%20de%20Pessoas%20p%C3%B3s-gradua%C3%A7%C3%A3o</t>
  </si>
  <si>
    <t>Psicologia Política</t>
  </si>
  <si>
    <t>Ciências Sociais e Humanas / Psicologia</t>
  </si>
  <si>
    <t>https://www.google.com/search?q=site%3Alusofona.pt%20Psicologia%20Pol%C3%ADtica%20p%C3%B3s-gradua%C3%A7%C3%A3o</t>
  </si>
  <si>
    <t>Publicidade e Estratégias de Comunicação Digital</t>
  </si>
  <si>
    <t>Comunicação / Publicidade</t>
  </si>
  <si>
    <t>https://www.google.com/search?q=site%3Alusofona.pt%20Publicidade%20e%20Estrat%C3%A9gias%20de%20Comunica%C3%A7%C3%A3o%20Digital%20p%C3%B3s-gradua%C3%A7%C3%A3o</t>
  </si>
  <si>
    <t>Pós‑Graduação em Medicina Tradicional Chinesa</t>
  </si>
  <si>
    <t>Saúde e Proteção Social</t>
  </si>
  <si>
    <t>Health Level – unidade de saúde e formação associada à ABS</t>
  </si>
  <si>
    <t>https://www.google.com/search?q=site%3Alusofona.pt%20P%C3%B3s%E2%80%91Gradua%C3%A7%C3%A3o%20em%20Medicina%20Tradicional%20Chinesa%20p%C3%B3s-gradua%C3%A7%C3%A3o</t>
  </si>
  <si>
    <t>3 semestres; carga horária distribuída entre online e sessões presenciais (horas totais não indicadas); ECTS não explicitados</t>
  </si>
  <si>
    <t>Railway Systems and Management</t>
  </si>
  <si>
    <t>Engenharia / Transportes</t>
  </si>
  <si>
    <t>https://www.google.com/search?q=site%3Alusofona.pt%20Railway%20Systems%20and%20Management%20p%C3%B3s-gradua%C3%A7%C3%A3o</t>
  </si>
  <si>
    <t>Direito (Porto)</t>
  </si>
  <si>
    <t>https://www.google.com/search?q=site%3Alusofona.pt%20Registos%20e%20Notariado%20p%C3%B3s-gradua%C3%A7%C3%A3o</t>
  </si>
  <si>
    <t>Relações Internacionais e Diplomacia Política e Económica</t>
  </si>
  <si>
    <t>Relações Internacionais (Porto)</t>
  </si>
  <si>
    <t>https://www.google.com/search?q=site%3Alusofona.pt%20Rela%C3%A7%C3%B5es%20Internacionais%20e%20Diplomacia%20Pol%C3%ADtica%20e%20Econ%C3%B3mica%20p%C3%B3s-gradua%C3%A7%C3%A3o</t>
  </si>
  <si>
    <t>Relações Internacionais – Investimento e Internacionalização Empresarial, Bancária e Financeira</t>
  </si>
  <si>
    <t>https://www.google.com/search?q=site%3Alusofona.pt%20Rela%C3%A7%C3%B5es%20Internacionais%20%E2%80%93%20Investimento%20e%20Internacionaliza%C3%A7%C3%A3o%20Empresarial%2C%20Banc%C3%A1ria%20e%20Financeira%20p%C3%B3s-gradua%C3%A7%C3%A3o</t>
  </si>
  <si>
    <t>Relações Internacionais – Negócios e Diplomacia Económica</t>
  </si>
  <si>
    <t>https://www.google.com/search?q=site%3Alusofona.pt%20Rela%C3%A7%C3%B5es%20Internacionais%20%E2%80%93%20Neg%C3%B3cios%20e%20Diplomacia%20Econ%C3%B3mica%20p%C3%B3s-gradua%C3%A7%C3%A3o</t>
  </si>
  <si>
    <t>Segurança Informática e Ethical Hacking</t>
  </si>
  <si>
    <t>https://www.google.com/search?q=site%3Alusofona.pt%20Seguran%C3%A7a%20Inform%C3%A1tica%20e%20Ethical%20Hacking%20p%C3%B3s-gradua%C3%A7%C3%A3o</t>
  </si>
  <si>
    <t>https://www.google.com/search?q=site%3Alusofona.pt%20Seguran%C3%A7a%20e%20Higiene%20do%20Trabalho%20p%C3%B3s-gradua%C3%A7%C3%A3o</t>
  </si>
  <si>
    <t>Strategic Empowerment: Making Fashion Work</t>
  </si>
  <si>
    <t>Faculdade de Comunicação, Arquitetura, Artes e Tecnologias da Informação</t>
  </si>
  <si>
    <t>https://www.google.com/search?q=site%3Alusofona.pt%20Strategic%20Empowerment%3A%20Making%20Fashion%20Work%20p%C3%B3s-gradua%C3%A7%C3%A3o</t>
  </si>
  <si>
    <t>0,1 ano(s) (9 ECTS)</t>
  </si>
  <si>
    <t>Sustentabilidade na Gestão de Resíduos – Especialização em Biorresíduos</t>
  </si>
  <si>
    <t>Ciências Ambientais (Porto)</t>
  </si>
  <si>
    <t>https://www.google.com/search?q=site%3Alusofona.pt%20Sustentabilidade%20na%20Gest%C3%A3o%20de%20Res%C3%ADduos%20%E2%80%93%20Especializa%C3%A7%C3%A3o%20em%20Biorres%C3%ADduos%20p%C3%B3s-gradua%C3%A7%C3%A3o</t>
  </si>
  <si>
    <t>Sustentabilidade, Ambiente e Qualidade</t>
  </si>
  <si>
    <t>https://www.google.com/search?q=site%3Alusofona.pt%20Sustentabilidade%2C%20Ambiente%20e%20Qualidade%20p%C3%B3s-gradua%C3%A7%C3%A3o</t>
  </si>
  <si>
    <t>Universidade Nova de Lisboa</t>
  </si>
  <si>
    <t>Faculdade de Ciências Sociais e Humanas</t>
  </si>
  <si>
    <t>https://www.google.com/search?q=site%3Aunl.pt%20Antropologia%20licenciatura</t>
  </si>
  <si>
    <t>Caparica (Almada)</t>
  </si>
  <si>
    <t>Análise e Engenharia de Dados</t>
  </si>
  <si>
    <t>Faculdade de Ciências e Tecnologia</t>
  </si>
  <si>
    <t>https://www.google.com/search?q=site%3Aunl.pt%20An%C3%A1lise%20e%20Engenharia%20de%20Dados%20licenciatura</t>
  </si>
  <si>
    <t>Cidade corrigida — Caparica/Monte de Caparica (fonte fct.unl.pt, Claude in Chrome, 2026-06-15)</t>
  </si>
  <si>
    <t>Arqueologia</t>
  </si>
  <si>
    <t>https://www.google.com/search?q=site%3Aunl.pt%20Arqueologia%20licenciatura</t>
  </si>
  <si>
    <t>Biologia Celular e Molecular</t>
  </si>
  <si>
    <t>https://www.google.com/search?q=site%3Aunl.pt%20Biologia%20Celular%20e%20Molecular%20licenciatura</t>
  </si>
  <si>
    <t>https://www.google.com/search?q=site%3Aunl.pt%20Bioqu%C3%ADmica%20licenciatura</t>
  </si>
  <si>
    <t>https://www.google.com/search?q=site%3Aunl.pt%20Ci%C3%AAncia%20Pol%C3%ADtica%20e%20Rela%C3%A7%C3%B5es%20Internacionais%20licenciatura</t>
  </si>
  <si>
    <t>Instituto Superior de Estatística e Gestão de Informação</t>
  </si>
  <si>
    <t>https://www.google.com/search?q=site%3Aunl.pt%20Ci%C3%AAncia%20de%20Dados%20licenciatura</t>
  </si>
  <si>
    <t>Ciências Cognitivas e do Comportamento</t>
  </si>
  <si>
    <t>Programa conjunto ISPA – Instituto Universitário e NOVA Information Management School (NOVA IMS), lecionado em Lisboa</t>
  </si>
  <si>
    <t>https://www.google.com/search?q=site%3Aunl.pt%20Ci%C3%AAncias%20Cognitivas%20e%20do%20Comportamento%20licenciatura</t>
  </si>
  <si>
    <t>Ciências Musicais</t>
  </si>
  <si>
    <t>Artes do Espetáculo (Música)</t>
  </si>
  <si>
    <t>https://www.google.com/search?q=site%3Aunl.pt%20Ci%C3%AAncias%20Musicais%20licenciatura</t>
  </si>
  <si>
    <t>https://www.google.com/search?q=site%3Aunl.pt%20Ci%C3%AAncias%20Sociais%20licenciatura</t>
  </si>
  <si>
    <t>https://www.google.com/search?q=site%3Aunl.pt%20Ci%C3%AAncias%20da%20Comunica%C3%A7%C3%A3o%20licenciatura</t>
  </si>
  <si>
    <t>Ciências da Linguagem</t>
  </si>
  <si>
    <t>https://www.google.com/search?q=site%3Aunl.pt%20Ci%C3%AAncias%20da%20Linguagem%20licenciatura</t>
  </si>
  <si>
    <t>Faculdade de Ciências Médicas</t>
  </si>
  <si>
    <t>https://www.google.com/search?q=site%3Aunl.pt%20Ci%C3%AAncias%20da%20Nutri%C3%A7%C3%A3o%20licenciatura</t>
  </si>
  <si>
    <t>Conservação - Restauro</t>
  </si>
  <si>
    <t>https://www.google.com/search?q=site%3Aunl.pt%20Conserva%C3%A7%C3%A3o%20-%20Restauro%20licenciatura</t>
  </si>
  <si>
    <t>Faculdade de Direito (NOVA School of Law)</t>
  </si>
  <si>
    <t>https://www.google.com/search?q=site%3Aunl.pt%20Direito%20licenciatura</t>
  </si>
  <si>
    <t>Faculdade de Economia</t>
  </si>
  <si>
    <t>https://www.google.com/search?q=site%3Aunl.pt%20Economia%20licenciatura</t>
  </si>
  <si>
    <t>Engenharia Aeroespacial</t>
  </si>
  <si>
    <t>https://www.google.com/search?q=site%3Aunl.pt%20Engenharia%20Aeroespacial%20licenciatura</t>
  </si>
  <si>
    <t>https://www.google.com/search?q=site%3Aunl.pt%20Engenharia%20Biom%C3%A9dica%20licenciatura</t>
  </si>
  <si>
    <t>https://www.google.com/search?q=site%3Aunl.pt%20Engenharia%20Civil%20licenciatura</t>
  </si>
  <si>
    <t>https://www.google.com/search?q=site%3Aunl.pt%20Engenharia%20Eletrot%C3%A9cnica%20e%20de%20Computadores%20licenciatura</t>
  </si>
  <si>
    <t>Engenharia Física</t>
  </si>
  <si>
    <t>https://www.google.com/search?q=site%3Aunl.pt%20Engenharia%20F%C3%ADsica%20licenciatura</t>
  </si>
  <si>
    <t>Engenharia Geológica</t>
  </si>
  <si>
    <t>https://www.google.com/search?q=site%3Aunl.pt%20Engenharia%20Geol%C3%B3gica%20licenciatura</t>
  </si>
  <si>
    <t>https://www.google.com/search?q=site%3Aunl.pt%20Engenharia%20Inform%C3%A1tica%20licenciatura</t>
  </si>
  <si>
    <t>https://www.google.com/search?q=site%3Aunl.pt%20Engenharia%20Mec%C3%A2nica%20licenciatura</t>
  </si>
  <si>
    <t>https://www.google.com/search?q=site%3Aunl.pt%20Engenharia%20Qu%C3%ADmica%20e%20Biol%C3%B3gica%20licenciatura</t>
  </si>
  <si>
    <t>Engenharia de Comunicações e de Informação</t>
  </si>
  <si>
    <t>https://www.google.com/search?q=site%3Aunl.pt%20Engenharia%20de%20Comunica%C3%A7%C3%B5es%20e%20de%20Informa%C3%A7%C3%A3o%20licenciatura</t>
  </si>
  <si>
    <t>https://www.google.com/search?q=site%3Aunl.pt%20Engenharia%20de%20Materiais%20licenciatura</t>
  </si>
  <si>
    <t>Engenharia de Micro e Nanotecnologias</t>
  </si>
  <si>
    <t>https://www.google.com/search?q=site%3Aunl.pt%20Engenharia%20de%20Micro%20e%20Nanotecnologias%20licenciatura</t>
  </si>
  <si>
    <t>https://www.google.com/search?q=site%3Aunl.pt%20Engenharia%20do%20Ambiente%20licenciatura</t>
  </si>
  <si>
    <t>https://www.google.com/search?q=site%3Aunl.pt%20Engenharia%20e%20Gest%C3%A3o%20Industrial%20licenciatura</t>
  </si>
  <si>
    <t>Estudo do Mar</t>
  </si>
  <si>
    <t>https://www.google.com/search?q=site%3Aunl.pt%20Estudo%20do%20Mar%20licenciatura</t>
  </si>
  <si>
    <t>https://www.google.com/search?q=site%3Aunl.pt%20Estudos%20Portugueses%20licenciatura</t>
  </si>
  <si>
    <t>Estudos do Mar</t>
  </si>
  <si>
    <t>https://www.google.com/search?q=site%3Aunl.pt%20Estudos%20do%20Mar%20licenciatura</t>
  </si>
  <si>
    <t>https://www.google.com/search?q=site%3Aunl.pt%20Filosofia%20licenciatura</t>
  </si>
  <si>
    <t>Geografia e Planeamento Regional</t>
  </si>
  <si>
    <t>https://www.google.com/search?q=site%3Aunl.pt%20Geografia%20e%20Planeamento%20Regional%20licenciatura</t>
  </si>
  <si>
    <t>Geologia para a Sustentabilidade</t>
  </si>
  <si>
    <t>https://www.google.com/search?q=site%3Aunl.pt%20Geologia%20para%20a%20Sustentabilidade%20licenciatura</t>
  </si>
  <si>
    <t>https://www.google.com/search?q=site%3Aunl.pt%20Gest%C3%A3o%20licenciatura</t>
  </si>
  <si>
    <t>Gestão de Informação</t>
  </si>
  <si>
    <t>https://www.google.com/search?q=site%3Aunl.pt%20Gest%C3%A3o%20de%20Informa%C3%A7%C3%A3o%20licenciatura</t>
  </si>
  <si>
    <t>https://www.google.com/search?q=site%3Aunl.pt%20Hist%C3%B3ria%20licenciatura</t>
  </si>
  <si>
    <t>História da Arte</t>
  </si>
  <si>
    <t>https://www.google.com/search?q=site%3Aunl.pt%20Hist%C3%B3ria%20da%20Arte%20licenciatura</t>
  </si>
  <si>
    <t>Línguas, Literaturas e Culturas</t>
  </si>
  <si>
    <t>https://www.google.com/search?q=site%3Aunl.pt%20L%C3%ADnguas%2C%20Literaturas%20e%20Culturas%20licenciatura</t>
  </si>
  <si>
    <t>https://www.google.com/search?q=site%3Aunl.pt%20Matem%C3%A1tica%20licenciatura</t>
  </si>
  <si>
    <t>Matemática Aplicada à Gestão do Risco</t>
  </si>
  <si>
    <t>https://www.google.com/search?q=site%3Aunl.pt%20Matem%C3%A1tica%20Aplicada%20%C3%A0%20Gest%C3%A3o%20do%20Risco%20licenciatura</t>
  </si>
  <si>
    <t>Português e Gestão</t>
  </si>
  <si>
    <t>https://www.google.com/search?q=site%3Aunl.pt%20Portugu%C3%AAs%20e%20Gest%C3%A3o%20licenciatura</t>
  </si>
  <si>
    <t>Química Aplicada</t>
  </si>
  <si>
    <t>Química</t>
  </si>
  <si>
    <t>https://www.google.com/search?q=site%3Aunl.pt%20Qu%C3%ADmica%20Aplicada%20licenciatura</t>
  </si>
  <si>
    <t>Saúde Pública Global</t>
  </si>
  <si>
    <t>https://www.google.com/search?q=site%3Aunl.pt%20Sa%C3%BAde%20P%C3%BAblica%20Global%20licenciatura</t>
  </si>
  <si>
    <t>Sistemas e Tecnologias de Informação</t>
  </si>
  <si>
    <t>https://www.google.com/search?q=site%3Aunl.pt%20Sistemas%20e%20Tecnologias%20de%20Informa%C3%A7%C3%A3o%20licenciatura</t>
  </si>
  <si>
    <t>https://www.google.com/search?q=site%3Aunl.pt%20Sociologia%20licenciatura</t>
  </si>
  <si>
    <t>Tecnologia Agro-Industrial</t>
  </si>
  <si>
    <t>https://www.google.com/search?q=site%3Aunl.pt%20Tecnologia%20Agro-Industrial%20licenciatura</t>
  </si>
  <si>
    <t>https://www.google.com/search?q=site%3Aunl.pt%20Tradu%C3%A7%C3%A3o%20licenciatura</t>
  </si>
  <si>
    <t>https://www.google.com/search?q=site%3Aunl.pt%20Antropologia%20mestrado</t>
  </si>
  <si>
    <t>Análise de Negócio</t>
  </si>
  <si>
    <t>https://www.google.com/search?q=site%3Aunl.pt%20An%C3%A1lise%20de%20Neg%C3%B3cio%20mestrado</t>
  </si>
  <si>
    <t>https://www.google.com/search?q=site%3Aunl.pt%20An%C3%A1lise%20e%20Engenharia%20de%20Dados%20mestrado</t>
  </si>
  <si>
    <t>https://www.google.com/search?q=site%3Aunl.pt%20Arqueologia%20mestrado</t>
  </si>
  <si>
    <t>Arte e Ciência do Vidro e da Cerâmica</t>
  </si>
  <si>
    <t>https://www.google.com/search?q=site%3Aunl.pt%20Arte%20e%20Ci%C3%AAncia%20do%20Vidro%20e%20da%20Cer%C3%A2mica%20mestrado</t>
  </si>
  <si>
    <t>https://www.google.com/search?q=site%3Aunl.pt%20Artes%20C%C3%A9nicas%20mestrado</t>
  </si>
  <si>
    <t>Artes Musicais</t>
  </si>
  <si>
    <t>https://www.google.com/search?q=site%3Aunl.pt%20Artes%20Musicais%20mestrado</t>
  </si>
  <si>
    <t>Bioenergia e Tecnologias Sustentáveis</t>
  </si>
  <si>
    <t>Ambiente</t>
  </si>
  <si>
    <t>https://www.google.com/search?q=site%3Aunl.pt%20Bioenergia%20e%20Tecnologias%20Sustent%C3%A1veis%20mestrado</t>
  </si>
  <si>
    <t>Biologia Computacional e Bioinformática</t>
  </si>
  <si>
    <t>https://www.google.com/search?q=site%3Aunl.pt%20Biologia%20Computacional%20e%20Bioinform%C3%A1tica%20mestrado</t>
  </si>
  <si>
    <t>Biologia de Plantas para Agricultura Sustentável</t>
  </si>
  <si>
    <t>Instituto de Tecnologia Química e Biológica António Xavier</t>
  </si>
  <si>
    <t>https://www.google.com/search?q=site%3Aunl.pt%20Biologia%20de%20Plantas%20para%20Agricultura%20Sustent%C3%A1vel%20mestrado</t>
  </si>
  <si>
    <t>Biomateriais e NanoMedicina</t>
  </si>
  <si>
    <t>https://www.google.com/search?q=site%3Aunl.pt%20Biomateriais%20e%20NanoMedicina%20mestrado</t>
  </si>
  <si>
    <t>https://www.google.com/search?q=site%3Aunl.pt%20Bioqu%C3%ADmica%20mestrado</t>
  </si>
  <si>
    <t>Bioquímica para a Saúde</t>
  </si>
  <si>
    <t>https://www.google.com/search?q=site%3Aunl.pt%20Bioqu%C3%ADmica%20para%20a%20Sa%C3%BAde%20mestrado</t>
  </si>
  <si>
    <t>https://www.google.com/search?q=site%3Aunl.pt%20Biotecnologia%20mestrado</t>
  </si>
  <si>
    <t>Biotecnologia para a Sustentabilidade</t>
  </si>
  <si>
    <t>https://www.google.com/search?q=site%3Aunl.pt%20Biotecnologia%20para%20a%20Sustentabilidade%20mestrado</t>
  </si>
  <si>
    <t>Cidades Inteligentes e Analítica Urbana</t>
  </si>
  <si>
    <t>https://www.google.com/search?q=site%3Aunl.pt%20Cidades%20Inteligentes%20e%20Anal%C3%ADtica%20Urbana%20mestrado</t>
  </si>
  <si>
    <t>Ciência Comportamental aplicada à saúde e sustentabilidade</t>
  </si>
  <si>
    <t>https://www.google.com/search?q=site%3Aunl.pt%20Ci%C3%AAncia%20Comportamental%20aplicada%20%C3%A0%20sa%C3%BAde%20e%20sustentabilidade%20mestrado</t>
  </si>
  <si>
    <t>https://www.google.com/search?q=site%3Aunl.pt%20Ci%C3%AAncia%20Pol%C3%ADtica%20e%20Rela%C3%A7%C3%B5es%20Internacionais%20mestrado</t>
  </si>
  <si>
    <t>Ciência de Dados Linguísticos (Erasmus Mundus)</t>
  </si>
  <si>
    <t>https://www.google.com/search?q=site%3Aunl.pt%20Ci%C3%AAncia%20de%20Dados%20Lingu%C3%ADsticos%20%28Erasmus%20Mundus%29%20mestrado</t>
  </si>
  <si>
    <t>Ciência de Dados e Métodos Analíticos Avançados</t>
  </si>
  <si>
    <t>https://www.google.com/search?q=site%3Aunl.pt%20Ci%C3%AAncia%20de%20Dados%20e%20M%C3%A9todos%20Anal%C3%ADticos%20Avan%C3%A7ados%20mestrado</t>
  </si>
  <si>
    <t>Ciência e Sistemas de Informação Geográfica</t>
  </si>
  <si>
    <t>https://www.google.com/search?q=site%3Aunl.pt%20Ci%C3%AAncia%20e%20Sistemas%20de%20Informa%C3%A7%C3%A3o%20Geogr%C3%A1fica%20mestrado</t>
  </si>
  <si>
    <t>Instituto de Higiene e Medicina Tropical</t>
  </si>
  <si>
    <t>https://www.google.com/search?q=site%3Aunl.pt%20Ci%C3%AAncias%20Biom%C3%A9dicas%20mestrado</t>
  </si>
  <si>
    <t>https://www.google.com/search?q=site%3Aunl.pt%20Ci%C3%AAncias%20Gastron%C3%B3micas%20mestrado</t>
  </si>
  <si>
    <t>https://www.google.com/search?q=site%3Aunl.pt%20Ci%C3%AAncias%20Musicais%20mestrado</t>
  </si>
  <si>
    <t>https://www.google.com/search?q=site%3Aunl.pt%20Ci%C3%AAncias%20da%20Comunica%C3%A7%C3%A3o%20mestrado</t>
  </si>
  <si>
    <t>https://www.google.com/search?q=site%3Aunl.pt%20Ci%C3%AAncias%20da%20Linguagem%20mestrado</t>
  </si>
  <si>
    <t>Competências Digitais Avançadas para os Negócios</t>
  </si>
  <si>
    <t>https://www.google.com/search?q=site%3Aunl.pt%20Compet%C3%AAncias%20Digitais%20Avan%C3%A7adas%20para%20os%20Neg%C3%B3cios%20mestrado</t>
  </si>
  <si>
    <t>https://www.google.com/search?q=site%3Aunl.pt%20Compet%C3%AAncias%20Digitais%20na%20Sa%C3%BAde%20mestrado</t>
  </si>
  <si>
    <t>Comunicação de Ciência</t>
  </si>
  <si>
    <t>https://www.google.com/search?q=site%3Aunl.pt%20Comunica%C3%A7%C3%A3o%20de%20Ci%C3%AAncia%20mestrado</t>
  </si>
  <si>
    <t>https://www.google.com/search?q=site%3Aunl.pt%20Conserva%C3%A7%C3%A3o%20e%20Restauro%20mestrado</t>
  </si>
  <si>
    <t>Curadoria e Humanidades Digitais</t>
  </si>
  <si>
    <t>https://www.google.com/search?q=site%3Aunl.pt%20Curadoria%20e%20Humanidades%20Digitais%20mestrado</t>
  </si>
  <si>
    <t>Desenvolvimento Internacional e Políticas Públicas</t>
  </si>
  <si>
    <t>https://www.google.com/search?q=site%3Aunl.pt%20Desenvolvimento%20Internacional%20e%20Pol%C3%ADticas%20P%C3%BAblicas%20mestrado</t>
  </si>
  <si>
    <t>Formação de Professores de Inglês</t>
  </si>
  <si>
    <t>https://www.google.com/search?q=site%3Aunl.pt%20Did%C3%A1tica%20do%20Ingl%C3%AAs%20mestrado</t>
  </si>
  <si>
    <t>Dinâmica de Sistemas (Mestrado Europeu)</t>
  </si>
  <si>
    <t>https://www.google.com/search?q=site%3Aunl.pt%20Din%C3%A2mica%20de%20Sistemas%20%28Mestrado%20Europeu%29%20mestrado</t>
  </si>
  <si>
    <t>https://www.google.com/search?q=site%3Aunl.pt%20Direito%20mestrado</t>
  </si>
  <si>
    <t>Direito Aplicado à Tecnologia</t>
  </si>
  <si>
    <t>https://www.google.com/search?q=site%3Aunl.pt%20Direito%20Aplicado%20%C3%A0%20Tecnologia%20mestrado</t>
  </si>
  <si>
    <t>Direito e Economia do Mar. A Governação do Oceano</t>
  </si>
  <si>
    <t>https://www.google.com/search?q=site%3Aunl.pt%20Direito%20e%20Economia%20do%20Mar.%20A%20Governa%C3%A7%C3%A3o%20do%20Oceano%20mestrado</t>
  </si>
  <si>
    <t>Direito e Economia do Mar: A Governação do Mar</t>
  </si>
  <si>
    <t>https://www.google.com/search?q=site%3Aunl.pt%20Direito%20e%20Economia%20do%20Mar%3A%20A%20Governa%C3%A7%C3%A3o%20do%20Mar%20mestrado</t>
  </si>
  <si>
    <t>https://www.google.com/search?q=site%3Aunl.pt%20Direito%20e%20Gest%C3%A3o%20mestrado</t>
  </si>
  <si>
    <t>Direito e Mercados Financeiros</t>
  </si>
  <si>
    <t>https://www.google.com/search?q=site%3Aunl.pt%20Direito%20e%20Mercados%20Financeiros%20mestrado</t>
  </si>
  <si>
    <t>Direito e Segurança</t>
  </si>
  <si>
    <t>https://www.google.com/search?q=site%3Aunl.pt%20Direito%20e%20Seguran%C3%A7a%20mestrado</t>
  </si>
  <si>
    <t>Direito: Forense e Arbitragem</t>
  </si>
  <si>
    <t>https://www.google.com/search?q=site%3Aunl.pt%20Direito%3A%20Forense%20e%20Arbitragem%20mestrado</t>
  </si>
  <si>
    <t>Ecologia Humana e Problemas Sociais Contemporâneos</t>
  </si>
  <si>
    <t>https://www.google.com/search?q=site%3Aunl.pt%20Ecologia%20Humana%20e%20Problemas%20Sociais%20Contempor%C3%A2neos%20mestrado</t>
  </si>
  <si>
    <t>https://www.google.com/search?q=site%3Aunl.pt%20Economia%20mestrado</t>
  </si>
  <si>
    <t>Edição de Texto</t>
  </si>
  <si>
    <t>https://www.google.com/search?q=site%3Aunl.pt%20Edi%C3%A7%C3%A3o%20de%20Texto%20mestrado</t>
  </si>
  <si>
    <t>https://www.google.com/search?q=site%3Aunl.pt%20Educa%C3%A7%C3%A3o%20mestrado</t>
  </si>
  <si>
    <t>Empreendedorismo de Impacto e Inovação</t>
  </si>
  <si>
    <t>https://www.google.com/search?q=site%3Aunl.pt%20Empreendedorismo%20de%20Impacto%20e%20Inova%C3%A7%C3%A3o%20mestrado</t>
  </si>
  <si>
    <t>https://www.google.com/search?q=site%3Aunl.pt%20Engenharia%20Aeroespacial%20mestrado</t>
  </si>
  <si>
    <t>https://www.google.com/search?q=site%3Aunl.pt%20Engenharia%20Biom%C3%A9dica%20mestrado</t>
  </si>
  <si>
    <t>https://www.google.com/search?q=site%3Aunl.pt%20Engenharia%20Civil%20mestrado</t>
  </si>
  <si>
    <t>Engenharia Civil - Estruturas e Geotecnia</t>
  </si>
  <si>
    <t>https://www.google.com/search?q=site%3Aunl.pt%20Engenharia%20Civil%20-%20Estruturas%20e%20Geotecnia%20mestrado</t>
  </si>
  <si>
    <t>Em processo de extinção · Cidade corrigida — Caparica/Monte de Caparica (fonte fct.unl.pt, Claude in Chrome, 2026-06-15)</t>
  </si>
  <si>
    <t>https://www.google.com/search?q=site%3Aunl.pt%20Engenharia%20Eletrot%C3%A9cnica%20e%20de%20Computadores%20mestrado</t>
  </si>
  <si>
    <t>https://www.google.com/search?q=site%3Aunl.pt%20Engenharia%20F%C3%ADsica%20mestrado</t>
  </si>
  <si>
    <t>https://www.google.com/search?q=site%3Aunl.pt%20Engenharia%20Geol%C3%B3gica%20mestrado</t>
  </si>
  <si>
    <t>https://www.google.com/search?q=site%3Aunl.pt%20Engenharia%20Inform%C3%A1tica%20mestrado</t>
  </si>
  <si>
    <t>https://www.google.com/search?q=site%3Aunl.pt%20Engenharia%20Mec%C3%A2nica%20mestrado</t>
  </si>
  <si>
    <t>https://www.google.com/search?q=site%3Aunl.pt%20Engenharia%20Qu%C3%ADmica%20e%20Biol%C3%B3gica%20mestrado</t>
  </si>
  <si>
    <t>https://www.google.com/search?q=site%3Aunl.pt%20Engenharia%20de%20Energias%20Renov%C3%A1veis%20mestrado</t>
  </si>
  <si>
    <t>Engenharia de Fabrico Digital Avançado</t>
  </si>
  <si>
    <t>https://www.google.com/search?q=site%3Aunl.pt%20Engenharia%20de%20Fabrico%20Digital%20Avan%C3%A7ado%20mestrado</t>
  </si>
  <si>
    <t>https://www.google.com/search?q=site%3Aunl.pt%20Engenharia%20de%20Materiais%20mestrado</t>
  </si>
  <si>
    <t>https://www.google.com/search?q=site%3Aunl.pt%20Engenharia%20de%20Micro%20e%20Nanotecnologias%20mestrado</t>
  </si>
  <si>
    <t>Engenharia de Nanossistemas e Sistemas Embutidos - da Nanotecnologia até Sensores inteligentes para IoT (Mestrado Europeu)</t>
  </si>
  <si>
    <t>https://www.google.com/search?q=site%3Aunl.pt%20Engenharia%20de%20Nanossistemas%20e%20Sistemas%20Embutidos%20-%20da%20Nanotecnologia%20at%C3%A9%20Sensores%20inteligentes%20para%20IoT%20%28Mestrado%20Europeu%29%20mestrado</t>
  </si>
  <si>
    <t>Engenharia de Robótica e Sistemas Inteligentes de Manufatura</t>
  </si>
  <si>
    <t>https://www.google.com/search?q=site%3Aunl.pt%20Engenharia%20de%20Rob%C3%B3tica%20e%20Sistemas%20Inteligentes%20de%20Manufatura%20mestrado</t>
  </si>
  <si>
    <t>https://www.google.com/search?q=site%3Aunl.pt%20Engenharia%20do%20Ambiente%20mestrado</t>
  </si>
  <si>
    <t>https://www.google.com/search?q=site%3Aunl.pt%20Engenharia%20e%20Gest%C3%A3o%20Industrial%20mestrado</t>
  </si>
  <si>
    <t>Formação de Professores de Educação Musical</t>
  </si>
  <si>
    <t>https://www.google.com/search?q=site%3Aunl.pt%20Ensino%20da%20Educa%C3%A7%C3%A3o%20Musical%20no%20Ensino%20B%C3%A1sico%20mestrado</t>
  </si>
  <si>
    <t>Ensino da Matemática no 3.º Ciclo do Ensino Básico e no Ensino Secundário</t>
  </si>
  <si>
    <t>Formação de Professores de Matemática</t>
  </si>
  <si>
    <t>https://www.google.com/search?q=site%3Aunl.pt%20Ensino%20da%20Matem%C3%A1tica%20no%203.%C2%BA%20Ciclo%20do%20Ensino%20B%C3%A1sico%20e%20no%20Ensino%20Secund%C3%A1rio%20mestrado</t>
  </si>
  <si>
    <t>Ensino de Filosofia no Ensino Secundário</t>
  </si>
  <si>
    <t>Formação de Professores de Filosofia</t>
  </si>
  <si>
    <t>https://www.google.com/search?q=site%3Aunl.pt%20Ensino%20de%20Filosofia%20no%20Ensino%20Secund%C3%A1rio%20mestrado</t>
  </si>
  <si>
    <t>Ensino de Geografia no 3.º Ciclo do Ensino Básico e no Ensino Secundário</t>
  </si>
  <si>
    <t>Formação de Professores de Áreas Disciplinares Específicas (Geografia)</t>
  </si>
  <si>
    <t>https://www.google.com/search?q=site%3Aunl.pt%20Ensino%20de%20Geografia%20no%203.%C2%BA%20Ciclo%20do%20Ensino%20B%C3%A1sico%20e%20no%20Ensino%20Secund%C3%A1rio%20mestrado</t>
  </si>
  <si>
    <t>Ensino de História no 3.º Ciclo do Ensino Básico e no Ensino Secundário</t>
  </si>
  <si>
    <t>Formação de Professores de Áreas Disciplinares Específicas (História)</t>
  </si>
  <si>
    <t>https://www.google.com/search?q=site%3Aunl.pt%20Ensino%20de%20Hist%C3%B3ria%20no%203.%C2%BA%20Ciclo%20do%20Ensino%20B%C3%A1sico%20e%20no%20Ensino%20Secund%C3%A1rio%20mestrado</t>
  </si>
  <si>
    <t>Ensino de Inglês e de Língua Estrangeira no 3.º Ciclo do Ensino Básico e no Ensino Secundário, nas áreas de especialização de Francês ou de Espanhol ou de Alemão</t>
  </si>
  <si>
    <t>Formação de Professores de Áreas Disciplinares Específicas (Línguas Estrangeiras)</t>
  </si>
  <si>
    <t>https://www.google.com/search?q=site%3Aunl.pt%20Ensino%20de%20Ingl%C3%AAs%20e%20de%20L%C3%ADngua%20Estrangeira%20no%203.%C2%BA%20Ciclo%20do%20Ensino%20B%C3%A1sico%20e%20no%20Ensino%20Secund%C3%A1rio%2C%20nas%20%C3%A1reas%20de%20especializa%C3%A7%C3%A3o%20de%20Franc%C3%AAs%20ou%20de%20Espanhol%20ou%20de%20Alem%C3%A3o%20mestrado</t>
  </si>
  <si>
    <t>https://www.google.com/search?q=site%3Aunl.pt%20Ensino%20de%20Ingl%C3%AAs%20no%201.%C2%BA%20Ciclo%20do%20Ensino%20B%C3%A1sico%20mestrado</t>
  </si>
  <si>
    <t>Ensino de Inglês no 3.º Ciclo do Ensino Básico e no Ensino Secundário</t>
  </si>
  <si>
    <t>Formação de Professores de Áreas Disciplinares Específicas (Inglês)</t>
  </si>
  <si>
    <t>https://www.google.com/search?q=site%3Aunl.pt%20Ensino%20de%20Ingl%C3%AAs%20no%203.%C2%BA%20Ciclo%20do%20Ensino%20B%C3%A1sico%20e%20no%20Ensino%20Secund%C3%A1rio%20mestrado</t>
  </si>
  <si>
    <t>Ensino de Português e de Língua Estrangeira no 3.º Ciclo do Ensino Básico e no Ensino Secundário, nas áreas de especialização de Inglês, ou Francês, ou Espanhol ou Alemão</t>
  </si>
  <si>
    <t>Formação de Professores de Áreas Disciplinares Específicas (Português e Línguas Estrangeiras)</t>
  </si>
  <si>
    <t>https://www.google.com/search?q=site%3Aunl.pt%20Ensino%20de%20Portugu%C3%AAs%20e%20de%20L%C3%ADngua%20Estrangeira%20no%203.%C2%BA%20Ciclo%20do%20Ensino%20B%C3%A1sico%20e%20no%20Ensino%20Secund%C3%A1rio%2C%20nas%20%C3%A1reas%20de%20especializa%C3%A7%C3%A3o%20de%20Ingl%C3%AAs%2C%20ou%20Franc%C3%AAs%2C%20ou%20Espanhol%20ou%20Alem%C3%A3o%20mestrado</t>
  </si>
  <si>
    <t>Ensino de Português no 3.º Ciclo do Ensino Básico e no Ensino Secundário e de Latim no Ensino Secundário</t>
  </si>
  <si>
    <t>Formação de Professores de Áreas Disciplinares Específicas (Português e Latim)</t>
  </si>
  <si>
    <t>https://www.google.com/search?q=site%3Aunl.pt%20Ensino%20de%20Portugu%C3%AAs%20no%203.%C2%BA%20Ciclo%20do%20Ensino%20B%C3%A1sico%20e%20no%20Ensino%20Secund%C3%A1rio%20e%20de%20Latim%20no%20Ensino%20Secund%C3%A1rio%20mestrado</t>
  </si>
  <si>
    <t>Ensino de Português no 3.º ciclo do Ensino Básico e no Ensino Secundário</t>
  </si>
  <si>
    <t>Formação de Professores de Áreas Disciplinares Específicas (Português)</t>
  </si>
  <si>
    <t>https://www.google.com/search?q=site%3Aunl.pt%20Ensino%20de%20Portugu%C3%AAs%20no%203.%C2%BA%20ciclo%20do%20Ensino%20B%C3%A1sico%20e%20no%20Ensino%20Secund%C3%A1rio%20mestrado</t>
  </si>
  <si>
    <t>Epidemiologia, Bioestatística e Investigação em Saúde</t>
  </si>
  <si>
    <t>https://www.google.com/search?q=site%3Aunl.pt%20Epidemiologia%2C%20Bioestat%C3%ADstica%20e%20Investiga%C3%A7%C3%A3o%20em%20Sa%C3%BAde%20mestrado</t>
  </si>
  <si>
    <t>Estatística Aplicada à Saúde</t>
  </si>
  <si>
    <t>https://www.google.com/search?q=site%3Aunl.pt%20Estat%C3%ADstica%20Aplicada%20%C3%A0%20Sa%C3%BAde%20mestrado</t>
  </si>
  <si>
    <t>Estatística e Gestão de Informação</t>
  </si>
  <si>
    <t>https://www.google.com/search?q=site%3Aunl.pt%20Estat%C3%ADstica%20e%20Gest%C3%A3o%20de%20Informa%C3%A7%C3%A3o%20mestrado</t>
  </si>
  <si>
    <t>1,6 ano(s) (95 ECTS)</t>
  </si>
  <si>
    <t>https://www.google.com/search?q=site%3Aunl.pt%20Estudos%20Portugueses%20mestrado</t>
  </si>
  <si>
    <t>Estudos Sobre as Mulheres. As Mulheres na Sociedade e na Cultura</t>
  </si>
  <si>
    <t>https://www.google.com/search?q=site%3Aunl.pt%20Estudos%20Sobre%20as%20Mulheres.%20As%20Mulheres%20na%20Sociedade%20e%20na%20Cultura%20mestrado</t>
  </si>
  <si>
    <t>Estudos Transculturais sobre Mundos Vividos (Erasmus Mundus)</t>
  </si>
  <si>
    <t>https://www.google.com/search?q=site%3Aunl.pt%20Estudos%20Transculturais%20sobre%20Mundos%20Vividos%20%28Erasmus%20Mundus%29%20mestrado</t>
  </si>
  <si>
    <t>Estudos Urbanos</t>
  </si>
  <si>
    <t>https://www.google.com/search?q=site%3Aunl.pt%20Estudos%20Urbanos%20mestrado</t>
  </si>
  <si>
    <t>Estudos de Educação</t>
  </si>
  <si>
    <t>https://www.google.com/search?q=site%3Aunl.pt%20Estudos%20de%20Educa%C3%A7%C3%A3o%20mestrado</t>
  </si>
  <si>
    <t>Estética e Estudos Artísticos</t>
  </si>
  <si>
    <t>https://www.google.com/search?q=site%3Aunl.pt%20Est%C3%A9tica%20e%20Estudos%20Art%C3%ADsticos%20mestrado</t>
  </si>
  <si>
    <t>https://www.google.com/search?q=site%3Aunl.pt%20Filosofia%20mestrado</t>
  </si>
  <si>
    <t>https://www.google.com/search?q=site%3Aunl.pt%20Finan%C3%A7as%20mestrado</t>
  </si>
  <si>
    <t>https://www.google.com/search?q=site%3Aunl.pt%20Finan%C3%A7as%20%28mestrado%20internacional%29%20mestrado</t>
  </si>
  <si>
    <t>Finanças e Mercados Financeiros - Executivo</t>
  </si>
  <si>
    <t>https://www.google.com/search?q=site%3Aunl.pt%20Finan%C3%A7as%20e%20Mercados%20Financeiros%20-%20Executivo%20mestrado</t>
  </si>
  <si>
    <t>Fintech, Finanças Digitais e Descentralizadas</t>
  </si>
  <si>
    <t>https://www.google.com/search?q=site%3Aunl.pt%20Fintech%2C%20Finan%C3%A7as%20Digitais%20e%20Descentralizadas%20mestrado</t>
  </si>
  <si>
    <t>https://www.google.com/search?q=site%3Aunl.pt%20Fisioterapia%20em%20Condi%C3%A7%C3%B5es%20M%C3%BAsculo-Esquel%C3%A9ticas%20mestrado</t>
  </si>
  <si>
    <t>Fitotecnologia Nutricional para a Saúde Humana</t>
  </si>
  <si>
    <t>https://www.google.com/search?q=site%3Aunl.pt%20Fitotecnologia%20Nutricional%20para%20a%20Sa%C3%BAde%20Humana%20mestrado</t>
  </si>
  <si>
    <t>Genética Molecular e Biomedicina</t>
  </si>
  <si>
    <t>https://www.google.com/search?q=site%3Aunl.pt%20Gen%C3%A9tica%20Molecular%20e%20Biomedicina%20mestrado</t>
  </si>
  <si>
    <t>https://www.google.com/search?q=site%3Aunl.pt%20Gest%C3%A3o%20mestrado</t>
  </si>
  <si>
    <t>Gestão (mestrado internacional)</t>
  </si>
  <si>
    <t>https://www.google.com/search?q=site%3Aunl.pt%20Gest%C3%A3o%20%28mestrado%20internacional%29%20mestrado</t>
  </si>
  <si>
    <t>Gestão - Executivo Avançado</t>
  </si>
  <si>
    <t>https://www.google.com/search?q=site%3Aunl.pt%20Gest%C3%A3o%20-%20Executivo%20Avan%C3%A7ado%20mestrado</t>
  </si>
  <si>
    <t>Gestão da Investigação Clínica</t>
  </si>
  <si>
    <t>https://www.google.com/search?q=site%3Aunl.pt%20Gest%C3%A3o%20da%20Investiga%C3%A7%C3%A3o%20Cl%C3%ADnica%20mestrado</t>
  </si>
  <si>
    <t>Gestão da Saúde</t>
  </si>
  <si>
    <t>https://www.google.com/search?q=site%3Aunl.pt%20Gest%C3%A3o%20da%20Sa%C3%BAde%20mestrado</t>
  </si>
  <si>
    <t>Gestão de Ciência e Inovação em Saúde</t>
  </si>
  <si>
    <t>https://www.google.com/search?q=site%3Aunl.pt%20Gest%C3%A3o%20de%20Ci%C3%AAncia%20e%20Inova%C3%A7%C3%A3o%20em%20Sa%C3%BAde%20mestrado</t>
  </si>
  <si>
    <t>Gestão de Empresas - Executivo</t>
  </si>
  <si>
    <t>https://www.google.com/search?q=site%3Aunl.pt%20Gest%C3%A3o%20de%20Empresas%20-%20Executivo%20mestrado</t>
  </si>
  <si>
    <t>Gestão de Empresas - Internacional</t>
  </si>
  <si>
    <t>https://www.google.com/search?q=site%3Aunl.pt%20Gest%C3%A3o%20de%20Empresas%20-%20Internacional%20mestrado</t>
  </si>
  <si>
    <t>https://www.google.com/search?q=site%3Aunl.pt%20Gest%C3%A3o%20de%20Informa%C3%A7%C3%A3o%20mestrado</t>
  </si>
  <si>
    <t>Gestão de Risco</t>
  </si>
  <si>
    <t>https://www.google.com/search?q=site%3Aunl.pt%20Gest%C3%A3o%20de%20Risco%20mestrado</t>
  </si>
  <si>
    <t>https://www.google.com/search?q=site%3Aunl.pt%20Gest%C3%A3o%20do%20Territ%C3%B3rio%20mestrado</t>
  </si>
  <si>
    <t>Gestão e Curadoria de Informação</t>
  </si>
  <si>
    <t>https://www.google.com/search?q=site%3Aunl.pt%20Gest%C3%A3o%20e%20Curadoria%20de%20Informa%C3%A7%C3%A3o%20mestrado</t>
  </si>
  <si>
    <t>https://www.google.com/search?q=site%3Aunl.pt%20Hist%C3%B3ria%20mestrado</t>
  </si>
  <si>
    <t>História da Arte e Museologia</t>
  </si>
  <si>
    <t>https://www.google.com/search?q=site%3Aunl.pt%20Hist%C3%B3ria%20da%20Arte%20e%20Museologia%20mestrado</t>
  </si>
  <si>
    <t>História do Império Português</t>
  </si>
  <si>
    <t>https://www.google.com/search?q=site%3Aunl.pt%20Hist%C3%B3ria%20do%20Imp%C3%A9rio%20Portugu%C3%AAs%20mestrado</t>
  </si>
  <si>
    <t>História na Esfera Pública</t>
  </si>
  <si>
    <t>https://www.google.com/search?q=site%3Aunl.pt%20Hist%C3%B3ria%20na%20Esfera%20P%C3%BAblica%20mestrado</t>
  </si>
  <si>
    <t>Inovação e Empreendedorismo - Executivo</t>
  </si>
  <si>
    <t>https://www.google.com/search?q=site%3Aunl.pt%20Inova%C3%A7%C3%A3o%20e%20Empreendedorismo%20-%20Executivo%20mestrado</t>
  </si>
  <si>
    <t>Inovação e Empreendedorismo baseados em Dados</t>
  </si>
  <si>
    <t>https://www.google.com/search?q=site%3Aunl.pt%20Inova%C3%A7%C3%A3o%20e%20Empreendedorismo%20baseados%20em%20Dados%20mestrado</t>
  </si>
  <si>
    <t>Insetos como solução para um futuro sustentável</t>
  </si>
  <si>
    <t>https://www.google.com/search?q=site%3Aunl.pt%20Insetos%20como%20solu%C3%A7%C3%A3o%20para%20um%20futuro%20sustent%C3%A1vel%20mestrado</t>
  </si>
  <si>
    <t>Inteligência Artificial aplicada ao Negócio (AI4Business)</t>
  </si>
  <si>
    <t>https://www.google.com/search?q=site%3Aunl.pt%20Intelig%C3%AAncia%20Artificial%20aplicada%20ao%20Neg%C3%B3cio%20%28AI4Business%29%20mestrado</t>
  </si>
  <si>
    <t>Investigação Biomédica</t>
  </si>
  <si>
    <t>https://www.google.com/search?q=site%3Aunl.pt%20Investiga%C3%A7%C3%A3o%20Biom%C3%A9dica%20mestrado</t>
  </si>
  <si>
    <t>https://www.google.com/search?q=site%3Aunl.pt%20Jornalismo%20mestrado</t>
  </si>
  <si>
    <t>Liderança - Executivo</t>
  </si>
  <si>
    <t>https://www.google.com/search?q=site%3Aunl.pt%20Lideran%C3%A7a%20-%20Executivo%20mestrado</t>
  </si>
  <si>
    <t>Literaturas e Culturas Modernas</t>
  </si>
  <si>
    <t>https://www.google.com/search?q=site%3Aunl.pt%20Literaturas%20e%20Culturas%20Modernas%20mestrado</t>
  </si>
  <si>
    <t>Logística Marítima</t>
  </si>
  <si>
    <t>https://www.google.com/search?q=site%3Aunl.pt%20Log%C3%ADstica%20Mar%C3%ADtima%20mestrado</t>
  </si>
  <si>
    <t>Lógica Computacional</t>
  </si>
  <si>
    <t>https://www.google.com/search?q=site%3Aunl.pt%20L%C3%B3gica%20Computacional%20mestrado</t>
  </si>
  <si>
    <t>Marketing Analítico (120 ECTS)</t>
  </si>
  <si>
    <t>ECTS) – 345 Gestão e Administração</t>
  </si>
  <si>
    <t>https://www.google.com/search?q=site%3Aunl.pt%20Marketing%20Anal%C3%ADtico%20%28120%20ECTS%29%20mestrado</t>
  </si>
  <si>
    <t>Marketing Analítico (60 ECTS)</t>
  </si>
  <si>
    <t>https://www.google.com/search?q=site%3Aunl.pt%20Marketing%20Anal%C3%ADtico%20%2860%20ECTS%29%20mestrado</t>
  </si>
  <si>
    <t>Marketing e Estratégia - Executivo</t>
  </si>
  <si>
    <t>https://www.google.com/search?q=site%3Aunl.pt%20Marketing%20e%20Estrat%C3%A9gia%20-%20Executivo%20mestrado</t>
  </si>
  <si>
    <t>Matemática Atuarial</t>
  </si>
  <si>
    <t>https://www.google.com/search?q=site%3Aunl.pt%20Matem%C3%A1tica%20Atuarial%20mestrado</t>
  </si>
  <si>
    <t>https://www.google.com/search?q=site%3Aunl.pt%20Matem%C3%A1tica%20e%20Aplica%C3%A7%C3%B5es%20mestrado</t>
  </si>
  <si>
    <t>Materiais Avançados e Reciclagem Inovadora</t>
  </si>
  <si>
    <t>https://www.google.com/search?q=site%3Aunl.pt%20Materiais%20Avan%C3%A7ados%20e%20Reciclagem%20Inovadora%20mestrado</t>
  </si>
  <si>
    <t>Microbiologia Médica</t>
  </si>
  <si>
    <t>https://www.google.com/search?q=site%3Aunl.pt%20Microbiologia%20M%C3%A9dica%20mestrado</t>
  </si>
  <si>
    <t>Migrações, Inter-Etnicidades e Transnacionalismo</t>
  </si>
  <si>
    <t>https://www.google.com/search?q=site%3Aunl.pt%20Migra%C3%A7%C3%B5es%2C%20Inter-Etnicidades%20e%20Transnacionalismo%20mestrado</t>
  </si>
  <si>
    <t>Mitos Contemporâneos: Literaturas, Artes e Culturas</t>
  </si>
  <si>
    <t>https://www.google.com/search?q=site%3Aunl.pt%20Mitos%20Contempor%C3%A2neos%3A%20Literaturas%2C%20Artes%20e%20Culturas%20mestrado</t>
  </si>
  <si>
    <t>Museologia</t>
  </si>
  <si>
    <t>https://www.google.com/search?q=site%3Aunl.pt%20Museologia%20mestrado</t>
  </si>
  <si>
    <t>Narrativas Culturais: Convergências e Aberturas</t>
  </si>
  <si>
    <t>https://www.google.com/search?q=site%3Aunl.pt%20Narrativas%20Culturais%3A%20Converg%C3%AAncias%20e%20Aberturas%20mestrado</t>
  </si>
  <si>
    <t>Novos Media e Práticas Web</t>
  </si>
  <si>
    <t>https://www.google.com/search?q=site%3Aunl.pt%20Novos%20Media%20e%20Pr%C3%A1ticas%20Web%20mestrado</t>
  </si>
  <si>
    <t>Nutrição Humana e Metabolismo</t>
  </si>
  <si>
    <t>https://www.google.com/search?q=site%3Aunl.pt%20Nutri%C3%A7%C3%A3o%20Humana%20e%20Metabolismo%20mestrado</t>
  </si>
  <si>
    <t>Ordenamento do Território e Sistemas de Informação Geográfica</t>
  </si>
  <si>
    <t>https://www.google.com/search?q=site%3Aunl.pt%20Ordenamento%20do%20Territ%C3%B3rio%20e%20Sistemas%20de%20Informa%C3%A7%C3%A3o%20Geogr%C3%A1fica%20mestrado</t>
  </si>
  <si>
    <t>Organizações Orientadas por Dados</t>
  </si>
  <si>
    <t>https://www.google.com/search?q=site%3Aunl.pt%20Organiza%C3%A7%C3%B5es%20Orientadas%20por%20Dados%20mestrado</t>
  </si>
  <si>
    <t>Paleontologia</t>
  </si>
  <si>
    <t>https://www.google.com/search?q=site%3Aunl.pt%20Paleontologia%20mestrado</t>
  </si>
  <si>
    <t>Parasitologia Médica</t>
  </si>
  <si>
    <t>https://www.google.com/search?q=site%3Aunl.pt%20Parasitologia%20M%C3%A9dica%20mestrado</t>
  </si>
  <si>
    <t>Património</t>
  </si>
  <si>
    <t>https://www.google.com/search?q=site%3Aunl.pt%20Patrim%C3%B3nio%20mestrado</t>
  </si>
  <si>
    <t>Património Industrial e Científico</t>
  </si>
  <si>
    <t>https://www.google.com/search?q=site%3Aunl.pt%20Patrim%C3%B3nio%20Industrial%20e%20Cient%C3%ADfico%20mestrado</t>
  </si>
  <si>
    <t>Políticas Públicas e Inteligência de Dados</t>
  </si>
  <si>
    <t>https://www.google.com/search?q=site%3Aunl.pt%20Pol%C3%ADticas%20P%C3%BAblicas%20e%20Intelig%C3%AAncia%20de%20Dados%20mestrado</t>
  </si>
  <si>
    <t>Português como Língua Segunda e Estrangeira</t>
  </si>
  <si>
    <t>Línguas e Literaturas (PLE</t>
  </si>
  <si>
    <t>https://www.google.com/search?q=site%3Aunl.pt%20Portugu%C3%AAs%20como%20L%C3%ADngua%20Segunda%20e%20Estrangeira%20mestrado</t>
  </si>
  <si>
    <t>Prevenção Cardiovascular</t>
  </si>
  <si>
    <t>https://www.google.com/search?q=site%3Aunl.pt%20Preven%C3%A7%C3%A3o%20Cardiovascular%20mestrado</t>
  </si>
  <si>
    <t>Promoção da Saúde</t>
  </si>
  <si>
    <t>https://www.google.com/search?q=site%3Aunl.pt%20Promo%C3%A7%C3%A3o%20da%20Sa%C3%BAde%20mestrado</t>
  </si>
  <si>
    <t>Química Bioorgânica</t>
  </si>
  <si>
    <t>https://www.google.com/search?q=site%3Aunl.pt%20Qu%C3%ADmica%20Bioorg%C3%A2nica%20mestrado</t>
  </si>
  <si>
    <t>https://www.google.com/search?q=site%3Aunl.pt%20Reabilita%C3%A7%C3%A3o%20de%20Edif%C3%ADcios%20mestrado</t>
  </si>
  <si>
    <t>Recursos Vivos Marinhos: Ciência, Tecnologia e Sociedade</t>
  </si>
  <si>
    <t>https://www.google.com/search?q=site%3Aunl.pt%20Recursos%20Vivos%20Marinhos%3A%20Ci%C3%AAncia%2C%20Tecnologia%20e%20Sociedade%20mestrado</t>
  </si>
  <si>
    <t>Requalificação Geoambiental de Áreas Degradadas</t>
  </si>
  <si>
    <t>https://www.google.com/search?q=site%3Aunl.pt%20Requalifica%C3%A7%C3%A3o%20Geoambiental%20de%20%C3%81reas%20Degradadas%20mestrado</t>
  </si>
  <si>
    <t>Saúde Ambiental e Alterações Climáticas</t>
  </si>
  <si>
    <t>https://www.google.com/search?q=site%3Aunl.pt%20Sa%C3%BAde%20Ambiental%20e%20Altera%C3%A7%C3%B5es%20Clim%C3%A1ticas%20mestrado</t>
  </si>
  <si>
    <t>Saúde Ocupacional</t>
  </si>
  <si>
    <t>https://www.google.com/search?q=site%3Aunl.pt%20Sa%C3%BAde%20Ocupacional%20mestrado</t>
  </si>
  <si>
    <t>https://www.google.com/search?q=site%3Aunl.pt%20Sa%C3%BAde%20P%C3%BAblica%20mestrado</t>
  </si>
  <si>
    <t>Saúde Pública e Desenvolvimento</t>
  </si>
  <si>
    <t>https://www.google.com/search?q=site%3Aunl.pt%20Sa%C3%BAde%20P%C3%BAblica%20e%20Desenvolvimento%20mestrado</t>
  </si>
  <si>
    <t>Saúde Tropical</t>
  </si>
  <si>
    <t>https://www.google.com/search?q=site%3Aunl.pt%20Sa%C3%BAde%20Tropical%20mestrado</t>
  </si>
  <si>
    <t>Sistemas Agroalimentares, Inovação e Sustentabilidade</t>
  </si>
  <si>
    <t>https://www.google.com/search?q=site%3Aunl.pt%20Sistemas%20Agroalimentares%2C%20Inova%C3%A7%C3%A3o%20e%20Sustentabilidade%20mestrado</t>
  </si>
  <si>
    <t>Sociedade Digital</t>
  </si>
  <si>
    <t>https://www.google.com/search?q=site%3Aunl.pt%20Sociedade%20Digital%20mestrado</t>
  </si>
  <si>
    <t>https://www.google.com/search?q=site%3Aunl.pt%20Sociologia%20mestrado</t>
  </si>
  <si>
    <t>Tecnologia de Fachadas</t>
  </si>
  <si>
    <t>https://www.google.com/search?q=site%3Aunl.pt%20Tecnologia%20de%20Fachadas%20mestrado</t>
  </si>
  <si>
    <t>Tecnologia e Segurança Alimentar</t>
  </si>
  <si>
    <t>https://www.google.com/search?q=site%3Aunl.pt%20Tecnologia%20e%20Seguran%C3%A7a%20Alimentar%20mestrado</t>
  </si>
  <si>
    <t>Tecnologias Geoespaciais</t>
  </si>
  <si>
    <t>https://www.google.com/search?q=site%3Aunl.pt%20Tecnologias%20Geoespaciais%20mestrado</t>
  </si>
  <si>
    <t>Tecnologias de Produção e Transformação Agro-Industrial</t>
  </si>
  <si>
    <t>https://www.google.com/search?q=site%3Aunl.pt%20Tecnologias%20de%20Produ%C3%A7%C3%A3o%20e%20Transforma%C3%A7%C3%A3o%20Agro-Industrial%20mestrado</t>
  </si>
  <si>
    <t>Tecnologias em Agricultura de Precisão</t>
  </si>
  <si>
    <t>https://www.google.com/search?q=site%3Aunl.pt%20Tecnologias%20em%20Agricultura%20de%20Precis%C3%A3o%20mestrado</t>
  </si>
  <si>
    <t>Tendências em Estudos Ingleses e Norte-Americanos</t>
  </si>
  <si>
    <t>https://www.google.com/search?q=site%3Aunl.pt%20Tend%C3%AAncias%20em%20Estudos%20Ingleses%20e%20Norte-Americanos%20mestrado</t>
  </si>
  <si>
    <t>Toxicologia Aplicada em Saúde Ambiental</t>
  </si>
  <si>
    <t>https://www.google.com/search?q=site%3Aunl.pt%20Toxicologia%20Aplicada%20em%20Sa%C3%BAde%20Ambiental%20mestrado</t>
  </si>
  <si>
    <t>https://www.google.com/search?q=site%3Aunl.pt%20Tradu%C3%A7%C3%A3o%20mestrado</t>
  </si>
  <si>
    <t>Transição, Inovação e Ambientes Sustentáveis</t>
  </si>
  <si>
    <t>https://www.google.com/search?q=site%3Aunl.pt%20Transi%C3%A7%C3%A3o%2C%20Inova%C3%A7%C3%A3o%20e%20Ambientes%20Sustent%C3%A1veis%20mestrado</t>
  </si>
  <si>
    <t>Uma Saúde: Saúde Pública Humana e Animal</t>
  </si>
  <si>
    <t>https://www.google.com/search?q=site%3Aunl.pt%20Uma%20Sa%C3%BAde%3A%20Sa%C3%BAde%20P%C3%BAblica%20Humana%20e%20Animal%20mestrado</t>
  </si>
  <si>
    <t>Urbanismo Sustentável e Ordenamento do Território</t>
  </si>
  <si>
    <t>https://www.google.com/search?q=site%3Aunl.pt%20Urbanismo%20Sustent%C3%A1vel%20e%20Ordenamento%20do%20Territ%C3%B3rio%20mestrado</t>
  </si>
  <si>
    <t>https://www.google.com/search?q=site%3Aunl.pt%20Engenharia%20Biom%C3%A9dica%20mestrado%20integrado</t>
  </si>
  <si>
    <t>https://www.google.com/search?q=site%3Aunl.pt%20Engenharia%20Civil%20mestrado%20integrado</t>
  </si>
  <si>
    <t>https://www.google.com/search?q=site%3Aunl.pt%20Engenharia%20Eletrot%C3%A9cnica%20e%20de%20Computadores%20mestrado%20integrado</t>
  </si>
  <si>
    <t>https://www.google.com/search?q=site%3Aunl.pt%20Engenharia%20F%C3%ADsica%20mestrado%20integrado</t>
  </si>
  <si>
    <t>https://www.google.com/search?q=site%3Aunl.pt%20Engenharia%20Inform%C3%A1tica%20mestrado%20integrado</t>
  </si>
  <si>
    <t>https://www.google.com/search?q=site%3Aunl.pt%20Engenharia%20Mec%C3%A2nica%20mestrado%20integrado</t>
  </si>
  <si>
    <t>Engenharia Química e Bioquímica</t>
  </si>
  <si>
    <t>https://www.google.com/search?q=site%3Aunl.pt%20Engenharia%20Qu%C3%ADmica%20e%20Bioqu%C3%ADmica%20mestrado%20integrado</t>
  </si>
  <si>
    <t>https://www.google.com/search?q=site%3Aunl.pt%20Engenharia%20de%20Materiais%20mestrado%20integrado</t>
  </si>
  <si>
    <t>https://www.google.com/search?q=site%3Aunl.pt%20Engenharia%20de%20Micro%20e%20Nanotecnologias%20mestrado%20integrado</t>
  </si>
  <si>
    <t>https://www.google.com/search?q=site%3Aunl.pt%20Engenharia%20do%20Ambiente%20mestrado%20integrado</t>
  </si>
  <si>
    <t>https://www.google.com/search?q=site%3Aunl.pt%20Engenharia%20e%20Gest%C3%A3o%20Industrial%20mestrado%20integrado</t>
  </si>
  <si>
    <t>https://www.google.com/search?q=site%3Aunl.pt%20Medicina%20mestrado%20integrado</t>
  </si>
  <si>
    <t>Carcavelos (Lisboa)</t>
  </si>
  <si>
    <t>AI &amp; Data for Business</t>
  </si>
  <si>
    <t>Nova SBE – Executive Education</t>
  </si>
  <si>
    <t>https://www.google.com/search?q=site%3Aunl.pt%20AI%20%26%20Data%20for%20Business%20p%C3%B3s-gradua%C3%A7%C3%A3o</t>
  </si>
  <si>
    <t>Duração de um semestre aproximado; horas/ECTS não indicados na síntese</t>
  </si>
  <si>
    <t>Análise e Gestão de Informação</t>
  </si>
  <si>
    <t>NOVA IMS</t>
  </si>
  <si>
    <t>https://www.google.com/search?q=site%3Aunl.pt%20An%C3%A1lise%20e%20Gest%C3%A3o%20de%20Informa%C3%A7%C3%A3o%20p%C3%B3s-gradua%C3%A7%C3%A3o</t>
  </si>
  <si>
    <t>Artes da Escrita</t>
  </si>
  <si>
    <t>NOVA FCSH – Centro Luís Krus</t>
  </si>
  <si>
    <t>https://www.google.com/search?q=site%3Aunl.pt%20Artes%20da%20Escrita%20p%C3%B3s-gradua%C3%A7%C3%A3o</t>
  </si>
  <si>
    <t>Artificial Intelligence for Business Transformation</t>
  </si>
  <si>
    <t>https://www.google.com/search?q=site%3Aunl.pt%20Artificial%20Intelligence%20for%20Business%20Transformation%20p%C3%B3s-gradua%C3%A7%C3%A3o</t>
  </si>
  <si>
    <t>Bioenergia e Biorrefinarias</t>
  </si>
  <si>
    <t>FCT‑NOVA</t>
  </si>
  <si>
    <t>https://www.google.com/search?q=site%3Aunl.pt%20Bioenergia%20e%20Biorrefinarias%20p%C3%B3s-gradua%C3%A7%C3%A3o</t>
  </si>
  <si>
    <t>Business Intelligence</t>
  </si>
  <si>
    <t>https://www.google.com/search?q=site%3Aunl.pt%20Business%20Intelligence%20p%C3%B3s-gradua%C3%A7%C3%A3o</t>
  </si>
  <si>
    <t>Business Intelligence and Analytics for Hospitality &amp; Tourism</t>
  </si>
  <si>
    <t>https://www.google.com/search?q=site%3Aunl.pt%20Business%20Intelligence%20and%20Analytics%20for%20Hospitality%20%26%20Tourism%20p%C3%B3s-gradua%C3%A7%C3%A3o</t>
  </si>
  <si>
    <t>Ciência dos Dados Geoespaciais (e‑learning e semi‑presencial)</t>
  </si>
  <si>
    <t>https://www.google.com/search?q=site%3Aunl.pt%20Ci%C3%AAncia%20dos%20Dados%20Geoespaciais%20%28e%E2%80%91learning%20e%20semi%E2%80%91presencial%29%20p%C3%B3s-gradua%C3%A7%C3%A3o</t>
  </si>
  <si>
    <t>Ciência e Sistemas de Informação Geográfica (e‑learning e semi‑presencial)</t>
  </si>
  <si>
    <t>https://www.google.com/search?q=site%3Aunl.pt%20Ci%C3%AAncia%20e%20Sistemas%20de%20Informa%C3%A7%C3%A3o%20Geogr%C3%A1fica%20%28e%E2%80%91learning%20e%20semi%E2%80%91presencial%29%20p%C3%B3s-gradua%C3%A7%C3%A3o</t>
  </si>
  <si>
    <t>Compliance para Prevenção da Corrupção</t>
  </si>
  <si>
    <t>NOVA School of Law</t>
  </si>
  <si>
    <t>https://www.google.com/search?q=site%3Aunl.pt%20Compliance%20para%20Preven%C3%A7%C3%A3o%20da%20Corrup%C3%A7%C3%A3o%20p%C3%B3s-gradua%C3%A7%C3%A3o</t>
  </si>
  <si>
    <t>0,2 ano(s) (12 ECTS)</t>
  </si>
  <si>
    <t>Comunicação de Cultura e Indústrias Criativas</t>
  </si>
  <si>
    <t>https://www.google.com/search?q=site%3Aunl.pt%20Comunica%C3%A7%C3%A3o%20de%20Cultura%20e%20Ind%C3%BAstrias%20Criativas%20p%C3%B3s-gradua%C3%A7%C3%A3o</t>
  </si>
  <si>
    <t>Corporate Finance</t>
  </si>
  <si>
    <t>https://www.google.com/search?q=site%3Aunl.pt%20Corporate%20Finance%20p%C3%B3s-gradua%C3%A7%C3%A3o</t>
  </si>
  <si>
    <t>Edição de 21 out 2026; duração aproximada de 6–7 meses; ECTS não indicados</t>
  </si>
  <si>
    <t>https://www.google.com/search?q=site%3Aunl.pt%20Curso%20Geral%20de%20Gest%C3%A3o%20p%C3%B3s-gradua%C3%A7%C3%A3o</t>
  </si>
  <si>
    <t>Início 21 out 2026; cerca de 6–7 meses; ECTS não indicados</t>
  </si>
  <si>
    <t>Customer Experience</t>
  </si>
  <si>
    <t>https://www.google.com/search?q=site%3Aunl.pt%20Customer%20Experience%20p%C3%B3s-gradua%C3%A7%C3%A3o</t>
  </si>
  <si>
    <t>Data &amp; AI for Business – Pós‑Graduação Online</t>
  </si>
  <si>
    <t>https://www.google.com/search?q=site%3Aunl.pt%20Data%20%26%20AI%20for%20Business%20%E2%80%93%20P%C3%B3s%E2%80%91Gradua%C3%A7%C3%A3o%20Online%20p%C3%B3s-gradua%C3%A7%C3%A3o</t>
  </si>
  <si>
    <t>Início 31 out 2026; várias semanas; ECTS não indicados</t>
  </si>
  <si>
    <t>Data Science for Finance</t>
  </si>
  <si>
    <t>https://www.google.com/search?q=site%3Aunl.pt%20Data%20Science%20for%20Finance%20p%C3%B3s-gradua%C3%A7%C3%A3o</t>
  </si>
  <si>
    <t>Data Science for Marketing</t>
  </si>
  <si>
    <t>https://www.google.com/search?q=site%3Aunl.pt%20Data%20Science%20for%20Marketing%20p%C3%B3s-gradua%C3%A7%C3%A3o</t>
  </si>
  <si>
    <t>Digital Marketing and Analytics</t>
  </si>
  <si>
    <t>https://www.google.com/search?q=site%3Aunl.pt%20Digital%20Marketing%20and%20Analytics%20p%C3%B3s-gradua%C3%A7%C3%A3o</t>
  </si>
  <si>
    <t>Direito Tutelar Educativo</t>
  </si>
  <si>
    <t>https://www.google.com/search?q=site%3Aunl.pt%20Direito%20Tutelar%20Educativo%20p%C3%B3s-gradua%C3%A7%C3%A3o</t>
  </si>
  <si>
    <t>Início 21 set 2026; duração semestral; ECTS não indicados na síntese</t>
  </si>
  <si>
    <t>Direito da Proteção de Dados Pessoais</t>
  </si>
  <si>
    <t>https://www.google.com/search?q=site%3Aunl.pt%20Direito%20da%20Prote%C3%A7%C3%A3o%20de%20Dados%20Pessoais%20p%C3%B3s-gradua%C3%A7%C3%A3o</t>
  </si>
  <si>
    <t>https://www.google.com/search?q=site%3Aunl.pt%20Direito%20do%20Consumo%20p%C3%B3s-gradua%C3%A7%C3%A3o</t>
  </si>
  <si>
    <t>14 out 2026 a 17 mar 2027; duração anual curta; ECTS não indicados na síntese</t>
  </si>
  <si>
    <t>Direito dos Estrangeiros e da Nacionalidade</t>
  </si>
  <si>
    <t>https://www.google.com/search?q=site%3Aunl.pt%20Direito%20dos%20Estrangeiros%20e%20da%20Nacionalidade%20p%C3%B3s-gradua%C3%A7%C3%A3o</t>
  </si>
  <si>
    <t>24 set 2026 a 22 abr 2027; duração anual curta; ECTS não indicados na síntese</t>
  </si>
  <si>
    <t>Ensino de Português Língua não Materna (e‑Learning)</t>
  </si>
  <si>
    <t>https://www.google.com/search?q=site%3Aunl.pt%20Ensino%20de%20Portugu%C3%AAs%20L%C3%ADngua%20n%C3%A3o%20Materna%20%28e%E2%80%91Learning%29%20p%C3%B3s-gradua%C3%A7%C3%A3o</t>
  </si>
  <si>
    <t>Enterprise Cybersecurity and AI</t>
  </si>
  <si>
    <t>https://www.google.com/search?q=site%3Aunl.pt%20Enterprise%20Cybersecurity%20and%20AI%20p%C3%B3s-gradua%C3%A7%C3%A3o</t>
  </si>
  <si>
    <t>Enterprise Data Science &amp; Analytics</t>
  </si>
  <si>
    <t>https://www.google.com/search?q=site%3Aunl.pt%20Enterprise%20Data%20Science%20%26%20Analytics%20p%C3%B3s-gradua%C3%A7%C3%A3o</t>
  </si>
  <si>
    <t>Fotografia e Cinema Contemporâneo</t>
  </si>
  <si>
    <t>https://www.google.com/search?q=site%3Aunl.pt%20Fotografia%20e%20Cinema%20Contempor%C3%A2neo%20p%C3%B3s-gradua%C3%A7%C3%A3o</t>
  </si>
  <si>
    <t>Generative Artificial Intelligence for Business</t>
  </si>
  <si>
    <t>https://www.google.com/search?q=site%3Aunl.pt%20Generative%20Artificial%20Intelligence%20for%20Business%20p%C3%B3s-gradua%C3%A7%C3%A3o</t>
  </si>
  <si>
    <t>Geospatial Intelligence</t>
  </si>
  <si>
    <t>https://www.google.com/search?q=site%3Aunl.pt%20Geospatial%20Intelligence%20p%C3%B3s-gradua%C3%A7%C3%A3o</t>
  </si>
  <si>
    <t>https://www.google.com/search?q=site%3Aunl.pt%20Gest%C3%A3o%20Aplicada%20p%C3%B3s-gradua%C3%A7%C3%A3o</t>
  </si>
  <si>
    <t>Início 21 out 2026; duração de um ano letivo curto; ECTS não indicados</t>
  </si>
  <si>
    <t>Gestão Estratégica para a Sustentabilidade</t>
  </si>
  <si>
    <t>https://www.google.com/search?q=site%3Aunl.pt%20Gest%C3%A3o%20Estrat%C3%A9gica%20para%20a%20Sustentabilidade%20p%C3%B3s-gradua%C3%A7%C3%A3o</t>
  </si>
  <si>
    <t>Duração de um ano letivo; ECTS não indicados</t>
  </si>
  <si>
    <t>Gestão Financeira – Pós‑Graduação Online</t>
  </si>
  <si>
    <t>https://www.google.com/search?q=site%3Aunl.pt%20Gest%C3%A3o%20Financeira%20%E2%80%93%20P%C3%B3s%E2%80%91Gradua%C3%A7%C3%A3o%20Online%20p%C3%B3s-gradua%C3%A7%C3%A3o</t>
  </si>
  <si>
    <t>Início 30 out 2026; várias semanas; ECTS não indicados</t>
  </si>
  <si>
    <t>Gestão de Informação e Business Intelligence na Saúde</t>
  </si>
  <si>
    <t>https://www.google.com/search?q=site%3Aunl.pt%20Gest%C3%A3o%20de%20Informa%C3%A7%C3%A3o%20e%20Business%20Intelligence%20na%20Sa%C3%BAde%20p%C3%B3s-gradua%C3%A7%C3%A3o</t>
  </si>
  <si>
    <t>Gestão de Informações e Segurança</t>
  </si>
  <si>
    <t>https://www.google.com/search?q=site%3Aunl.pt%20Gest%C3%A3o%20de%20Informa%C3%A7%C3%B5es%20e%20Seguran%C3%A7a%20p%C3%B3s-gradua%C3%A7%C3%A3o</t>
  </si>
  <si>
    <t>Gestão de Organizações de Saúde – Pós‑Graduação Online</t>
  </si>
  <si>
    <t>https://www.google.com/search?q=site%3Aunl.pt%20Gest%C3%A3o%20de%20Organiza%C3%A7%C3%B5es%20de%20Sa%C3%BAde%20%E2%80%93%20P%C3%B3s%E2%80%91Gradua%C3%A7%C3%A3o%20Online%20p%C3%B3s-gradua%C3%A7%C3%A3o</t>
  </si>
  <si>
    <t>Várias semanas a partir de 15 set 2026; ECTS não indicados</t>
  </si>
  <si>
    <t>Gestão de Projetos – Pós‑Graduação Online</t>
  </si>
  <si>
    <t>https://www.google.com/search?q=site%3Aunl.pt%20Gest%C3%A3o%20de%20Projetos%20%E2%80%93%20P%C3%B3s%E2%80%91Gradua%C3%A7%C3%A3o%20Online%20p%C3%B3s-gradua%C3%A7%C3%A3o</t>
  </si>
  <si>
    <t>15 jun a 14 dez 2026; 22 semanas; ECTS não indicados (programa executivo)</t>
  </si>
  <si>
    <t>https://www.google.com/search?q=site%3Aunl.pt%20Gest%C3%A3o%20de%20Risco%20p%C3%B3s-gradua%C3%A7%C3%A3o</t>
  </si>
  <si>
    <t>Gestão dos Sistemas de Informação</t>
  </si>
  <si>
    <t>https://www.google.com/search?q=site%3Aunl.pt%20Gest%C3%A3o%20dos%20Sistemas%20de%20Informa%C3%A7%C3%A3o%20p%C3%B3s-gradua%C3%A7%C3%A3o</t>
  </si>
  <si>
    <t>Gestão e Controlo Financeiro e Orçamental</t>
  </si>
  <si>
    <t>https://www.google.com/search?q=site%3Aunl.pt%20Gest%C3%A3o%20e%20Controlo%20Financeiro%20e%20Or%C3%A7amental%20p%C3%B3s-gradua%C3%A7%C3%A3o</t>
  </si>
  <si>
    <t>https://www.google.com/search?q=site%3Aunl.pt%20Gest%C3%A3o%20na%20Sa%C3%BAde%20p%C3%B3s-gradua%C3%A7%C3%A3o</t>
  </si>
  <si>
    <t>Início 21 out 2026; duração semelhante às restantes pós‑graduações executivas; ECTS não indicados</t>
  </si>
  <si>
    <t>Gestão – Pós‑Graduação Online</t>
  </si>
  <si>
    <t>https://www.google.com/search?q=site%3Aunl.pt%20Gest%C3%A3o%20%E2%80%93%20P%C3%B3s%E2%80%91Gradua%C3%A7%C3%A3o%20Online%20p%C3%B3s-gradua%C3%A7%C3%A3o</t>
  </si>
  <si>
    <t>Duração semelhante (várias semanas ao longo de 2026); ECTS não indicados</t>
  </si>
  <si>
    <t>Glyco e‑learning: Da Glicobiologia básica à aplicada</t>
  </si>
  <si>
    <t>https://www.google.com/search?q=site%3Aunl.pt%20Glyco%20e%E2%80%91learning%3A%20Da%20Glicobiologia%20b%C3%A1sica%20%C3%A0%20aplicada%20p%C3%B3s-gradua%C3%A7%C3%A3o</t>
  </si>
  <si>
    <t>Health Data Science and Analytics</t>
  </si>
  <si>
    <t>https://www.google.com/search?q=site%3Aunl.pt%20Health%20Data%20Science%20and%20Analytics%20p%C3%B3s-gradua%C3%A7%C3%A3o</t>
  </si>
  <si>
    <t>Liderança (Liderança e Gestão de Talento)</t>
  </si>
  <si>
    <t>https://www.google.com/search?q=site%3Aunl.pt%20Lideran%C3%A7a%20%28Lideran%C3%A7a%20e%20Gest%C3%A3o%20de%20Talento%29%20p%C3%B3s-gradua%C3%A7%C3%A3o</t>
  </si>
  <si>
    <t>Início 21 out 2026; duração anual curta; ECTS não indicados</t>
  </si>
  <si>
    <t>Liderança e Gestão de Equipas – Pós‑Graduação Online</t>
  </si>
  <si>
    <t>https://www.google.com/search?q=site%3Aunl.pt%20Lideran%C3%A7a%20e%20Gest%C3%A3o%20de%20Equipas%20%E2%80%93%20P%C3%B3s%E2%80%91Gradua%C3%A7%C3%A3o%20Online%20p%C3%B3s-gradua%C3%A7%C3%A3o</t>
  </si>
  <si>
    <t>Várias semanas a partir de 17 set 2026; ECTS não indicados</t>
  </si>
  <si>
    <t>Marketing Intelligence</t>
  </si>
  <si>
    <t>https://www.google.com/search?q=site%3Aunl.pt%20Marketing%20Intelligence%20p%C3%B3s-gradua%C3%A7%C3%A3o</t>
  </si>
  <si>
    <t>Marketing, Estratégia &amp; Inovação</t>
  </si>
  <si>
    <t>https://www.google.com/search?q=site%3Aunl.pt%20Marketing%2C%20Estrat%C3%A9gia%20%26%20Inova%C3%A7%C3%A3o%20p%C3%B3s-gradua%C3%A7%C3%A3o</t>
  </si>
  <si>
    <t>Mercados e Riscos Financeiros</t>
  </si>
  <si>
    <t>https://www.google.com/search?q=site%3Aunl.pt%20Mercados%20e%20Riscos%20Financeiros%20p%C3%B3s-gradua%C3%A7%C3%A3o</t>
  </si>
  <si>
    <t>Música na Infância: Intervenção e Investigação</t>
  </si>
  <si>
    <t>https://www.google.com/search?q=site%3Aunl.pt%20M%C3%BAsica%20na%20Inf%C3%A2ncia%3A%20Interven%C3%A7%C3%A3o%20e%20Investiga%C3%A7%C3%A3o%20p%C3%B3s-gradua%C3%A7%C3%A3o</t>
  </si>
  <si>
    <t>Política Internacional, Diplomacia e Segurança (b‑Learning)</t>
  </si>
  <si>
    <t>https://www.google.com/search?q=site%3Aunl.pt%20Pol%C3%ADtica%20Internacional%2C%20Diplomacia%20e%20Seguran%C3%A7a%20%28b%E2%80%91Learning%29%20p%C3%B3s-gradua%C3%A7%C3%A3o</t>
  </si>
  <si>
    <t>Sales Management – Pós‑Graduação Online</t>
  </si>
  <si>
    <t>https://www.google.com/search?q=site%3Aunl.pt%20Sales%20Management%20%E2%80%93%20P%C3%B3s%E2%80%91Gradua%C3%A7%C3%A3o%20Online%20p%C3%B3s-gradua%C3%A7%C3%A3o</t>
  </si>
  <si>
    <t>Várias semanas a partir de 14 set 2026; ECTS não indicados</t>
  </si>
  <si>
    <t>Sistemas Estatísticos</t>
  </si>
  <si>
    <t>https://www.google.com/search?q=site%3Aunl.pt%20Sistemas%20Estat%C3%ADsticos%20p%C3%B3s-gradua%C3%A7%C3%A3o</t>
  </si>
  <si>
    <t>Tecnologia e Qualidade Alimentar</t>
  </si>
  <si>
    <t>https://www.google.com/search?q=site%3Aunl.pt%20Tecnologia%20e%20Qualidade%20Alimentar%20p%C3%B3s-gradua%C3%A7%C3%A3o</t>
  </si>
  <si>
    <t>Tecnologias de Sistemas Alimentares e Recursos Naturais</t>
  </si>
  <si>
    <t>https://www.google.com/search?q=site%3Aunl.pt%20Tecnologias%20de%20Sistemas%20Alimentares%20e%20Recursos%20Naturais%20p%C3%B3s-gradua%C3%A7%C3%A3o</t>
  </si>
  <si>
    <t>https://www.google.com/search?q=site%3Aunl.pt%20Transforma%C3%A7%C3%A3o%20Digital%20p%C3%B3s-gradua%C3%A7%C3%A3o</t>
  </si>
  <si>
    <t>Universidade Portucalense</t>
  </si>
  <si>
    <t>UPT – Campus Asprela</t>
  </si>
  <si>
    <t>https://www.google.com/search?q=site%3Aupt.pt%20Direito%20licenciatura</t>
  </si>
  <si>
    <t>https://www.google.com/search?q=site%3Aupt.pt%20Dire%C3%A7%C3%A3o%20e%20Gest%C3%A3o%20Hoteleira%20licenciatura</t>
  </si>
  <si>
    <t>UPT – Campus Asprela, Rua Dr. António Bernardino de Almeida</t>
  </si>
  <si>
    <t>https://www.google.com/search?q=site%3Aupt.pt%20Economia%20licenciatura</t>
  </si>
  <si>
    <t>https://www.google.com/search?q=site%3Aupt.pt%20Educa%C3%A7%C3%A3o%20Social%20licenciatura</t>
  </si>
  <si>
    <t>https://www.google.com/search?q=site%3Aupt.pt%20Engenharia%20Inform%C3%A1tica%20licenciatura</t>
  </si>
  <si>
    <t>https://www.google.com/search?q=site%3Aupt.pt%20Engenharia%20e%20Gest%C3%A3o%20Industrial%20licenciatura</t>
  </si>
  <si>
    <t>https://www.google.com/search?q=site%3Aupt.pt%20Gest%C3%A3o%20licenciatura</t>
  </si>
  <si>
    <t>Gestão da hospitalidade</t>
  </si>
  <si>
    <t>https://www.google.com/search?q=site%3Aupt.pt%20Gest%C3%A3o%20da%20hospitalidade%20licenciatura</t>
  </si>
  <si>
    <t>https://www.google.com/search?q=site%3Aupt.pt%20Gest%C3%A3o%20e%20Administra%C3%A7%C3%A3o%20em%20Sa%C3%BAde%20licenciatura</t>
  </si>
  <si>
    <t>https://www.google.com/search?q=site%3Aupt.pt%20Marketing%20licenciatura</t>
  </si>
  <si>
    <t>Multimédia e Artes</t>
  </si>
  <si>
    <t>https://www.google.com/search?q=site%3Aupt.pt%20Multim%C3%A9dia%20e%20Artes%20licenciatura</t>
  </si>
  <si>
    <t>https://www.google.com/search?q=site%3Aupt.pt%20Psicologia%20licenciatura</t>
  </si>
  <si>
    <t>https://www.google.com/search?q=site%3Aupt.pt%20Rela%C3%A7%C3%B5es%20Internacionais%20licenciatura</t>
  </si>
  <si>
    <t>Sistemas de Informação para Gestão</t>
  </si>
  <si>
    <t>https://www.google.com/search?q=site%3Aupt.pt%20Sistemas%20de%20Informa%C3%A7%C3%A3o%20para%20Gest%C3%A3o%20licenciatura</t>
  </si>
  <si>
    <t>https://www.google.com/search?q=site%3Aupt.pt%20Solicitadoria%20licenciatura</t>
  </si>
  <si>
    <t>https://www.google.com/search?q=site%3Aupt.pt%20Turismo%20licenciatura</t>
  </si>
  <si>
    <t>Administração e Gestão da Educação</t>
  </si>
  <si>
    <t>UPT – Departamento de Educação</t>
  </si>
  <si>
    <t>https://www.google.com/search?q=site%3Aupt.pt%20Administra%C3%A7%C3%A3o%20e%20Gest%C3%A3o%20da%20Educa%C3%A7%C3%A3o%20mestrado</t>
  </si>
  <si>
    <t>Ciência Jurídica Forense</t>
  </si>
  <si>
    <t>https://www.google.com/search?q=site%3Aupt.pt%20Ci%C3%AAncia%20Jur%C3%ADdica%20Forense%20mestrado</t>
  </si>
  <si>
    <t>UPT – Departamento de Ciência e Tecnologia</t>
  </si>
  <si>
    <t>https://www.google.com/search?q=site%3Aupt.pt%20Ci%C3%AAncia%20de%20Dados%20mestrado</t>
  </si>
  <si>
    <t>Ciências da Educação – área de especialização em Educação e Intervenção Sociocomunitária</t>
  </si>
  <si>
    <t>UPT – Porto, Departamento de Educação</t>
  </si>
  <si>
    <t>https://www.google.com/search?q=site%3Aupt.pt%20Ci%C3%AAncias%20da%20Educa%C3%A7%C3%A3o%20%E2%80%93%20%C3%A1rea%20de%20especializa%C3%A7%C3%A3o%20em%20Educa%C3%A7%C3%A3o%20e%20Interven%C3%A7%C3%A3o%20Sociocomunit%C3%A1ria%20mestrado</t>
  </si>
  <si>
    <t>https://www.google.com/search?q=site%3Aupt.pt%20Direito%20mestrado</t>
  </si>
  <si>
    <t>Direito Europeu e Comparado</t>
  </si>
  <si>
    <t>https://www.google.com/search?q=site%3Aupt.pt%20Direito%20Europeu%20e%20Comparado%20mestrado</t>
  </si>
  <si>
    <t>Engenharia Informática e Computação</t>
  </si>
  <si>
    <t>https://www.google.com/search?q=site%3Aupt.pt%20Engenharia%20Inform%C3%A1tica%20e%20Computa%C3%A7%C3%A3o%20mestrado</t>
  </si>
  <si>
    <t>UPT – Departamento de Gestão e Economia</t>
  </si>
  <si>
    <t>https://www.google.com/search?q=site%3Aupt.pt%20Gest%C3%A3o%20mestrado</t>
  </si>
  <si>
    <t>Inovação em Educação</t>
  </si>
  <si>
    <t>https://www.google.com/search?q=site%3Aupt.pt%20Inova%C3%A7%C3%A3o%20em%20Educa%C3%A7%C3%A3o%20mestrado</t>
  </si>
  <si>
    <t>Marketing e Negócios Digitais</t>
  </si>
  <si>
    <t>UPT – Departamento de Gestão e Marketing</t>
  </si>
  <si>
    <t>https://www.google.com/search?q=site%3Aupt.pt%20Marketing%20e%20Neg%C3%B3cios%20Digitais%20mestrado</t>
  </si>
  <si>
    <t>UPT – Departamento de Psicologia</t>
  </si>
  <si>
    <t>https://www.google.com/search?q=site%3Aupt.pt%20Psicologia%20Cl%C3%ADnica%20e%20da%20Sa%C3%BAde%20mestrado</t>
  </si>
  <si>
    <t>Relações Internacionais e Diplomacia</t>
  </si>
  <si>
    <t>UPT – Departamento de Relações Internacionais</t>
  </si>
  <si>
    <t>https://www.google.com/search?q=site%3Aupt.pt%20Rela%C3%A7%C3%B5es%20Internacionais%20e%20Diplomacia%20mestrado</t>
  </si>
  <si>
    <t>Turismo e Hospitalidade</t>
  </si>
  <si>
    <t>UPT – Departamento de Turismo e Hotelaria</t>
  </si>
  <si>
    <t>https://www.google.com/search?q=site%3Aupt.pt%20Turismo%20e%20Hospitalidade%20mestrado</t>
  </si>
  <si>
    <t>UPT – Campus Asprela, Departamento de Arquitetura e Multimédia Gallaecia</t>
  </si>
  <si>
    <t>https://www.google.com/search?q=site%3Aupt.pt%20Arquitetura%20e%20Urbanismo%20mestrado%20integrado</t>
  </si>
  <si>
    <t>Direito Bancário e Direito dos Valores Mobiliários</t>
  </si>
  <si>
    <t>Portucalense Business School / Departamento de Direito</t>
  </si>
  <si>
    <t>https://www.google.com/search?q=site%3Aupt.pt%20Direito%20Banc%C3%A1rio%20e%20Direito%20dos%20Valores%20Mobili%C3%A1rios%20p%C3%B3s-gradua%C3%A7%C3%A3o</t>
  </si>
  <si>
    <t>Fundamentos Clínicos para a Gestão Hospitalar</t>
  </si>
  <si>
    <t>Portucalense Business School</t>
  </si>
  <si>
    <t>https://www.google.com/search?q=site%3Aupt.pt%20Fundamentos%20Cl%C3%ADnicos%20para%20a%20Gest%C3%A3o%20Hospitalar%20p%C3%B3s-gradua%C3%A7%C3%A3o</t>
  </si>
  <si>
    <t>Aproximadamente 5 meses; período letivo 24 outubro 2025 a 28 março 2026; horas/ECTS não indicados na síntese (curso de curta duração)</t>
  </si>
  <si>
    <t>Marketing Digital, Business Intelligence &amp; IA</t>
  </si>
  <si>
    <t>https://www.google.com/search?q=site%3Aupt.pt%20Marketing%20Digital%2C%20Business%20Intelligence%20%26%20IA%20p%C3%B3s-gradua%C3%A7%C3%A3o</t>
  </si>
  <si>
    <t>21 outubro 2026 a 5 maio 2027; 150 horas de contacto; ECTS não especificados na síntese</t>
  </si>
  <si>
    <t>Universidade da Beira Interior</t>
  </si>
  <si>
    <t>Faculdade de Ciências</t>
  </si>
  <si>
    <t>https://www.google.com/search?q=site%3Aubi.pt%20Bioengenharia%20licenciatura</t>
  </si>
  <si>
    <t>https://www.google.com/search?q=site%3Aubi.pt%20Bioqu%C3%ADmica%20licenciatura</t>
  </si>
  <si>
    <t>https://www.google.com/search?q=site%3Aubi.pt%20Biotecnologia%20licenciatura</t>
  </si>
  <si>
    <t>Cidades e Comunidades Sustentáveis Inteligentes</t>
  </si>
  <si>
    <t>Faculdade de Engenharia</t>
  </si>
  <si>
    <t>https://www.google.com/search?q=site%3Aubi.pt%20Cidades%20e%20Comunidades%20Sustent%C3%A1veis%20Inteligentes%20licenciatura</t>
  </si>
  <si>
    <t>Faculdade de Artes e Letras</t>
  </si>
  <si>
    <t>https://www.google.com/search?q=site%3Aubi.pt%20Cinema%20licenciatura</t>
  </si>
  <si>
    <t>https://www.google.com/search?q=site%3Aubi.pt%20Ci%C3%AAncia%20Pol%C3%ADtica%20e%20Rela%C3%A7%C3%B5es%20Internacionais%20licenciatura</t>
  </si>
  <si>
    <t>Faculdade de Ciências da Saúde</t>
  </si>
  <si>
    <t>https://www.google.com/search?q=site%3Aubi.pt%20Ci%C3%AAncias%20Biom%C3%A9dicas%20licenciatura</t>
  </si>
  <si>
    <t>https://www.google.com/search?q=site%3Aubi.pt%20Ci%C3%AAncias%20da%20Comunica%C3%A7%C3%A3o%20licenciatura</t>
  </si>
  <si>
    <t>Ciências da Cultura</t>
  </si>
  <si>
    <t>https://www.google.com/search?q=site%3Aubi.pt%20Ci%C3%AAncias%20da%20Cultura%20licenciatura</t>
  </si>
  <si>
    <t>https://www.google.com/search?q=site%3Aubi.pt%20Ci%C3%AAncias%20do%20Desporto%20licenciatura</t>
  </si>
  <si>
    <t>Computação Criativa e Realidade Virtual</t>
  </si>
  <si>
    <t>https://www.google.com/search?q=site%3Aubi.pt%20Computa%C3%A7%C3%A3o%20Criativa%20e%20Realidade%20Virtual%20licenciatura</t>
  </si>
  <si>
    <t>https://www.google.com/search?q=site%3Aubi.pt%20Design%20Industrial%20licenciatura</t>
  </si>
  <si>
    <t>https://www.google.com/search?q=site%3Aubi.pt%20Design%20Multim%C3%A9dia%20licenciatura</t>
  </si>
  <si>
    <t>https://www.google.com/search?q=site%3Aubi.pt%20Design%20de%20Moda%20licenciatura</t>
  </si>
  <si>
    <t>https://www.google.com/search?q=site%3Aubi.pt%20Economia%20licenciatura</t>
  </si>
  <si>
    <t>https://www.google.com/search?q=site%3Aubi.pt%20Engenharia%20Aeron%C3%A1utica%20licenciatura</t>
  </si>
  <si>
    <t>https://www.google.com/search?q=site%3Aubi.pt%20Engenharia%20Civil%20licenciatura</t>
  </si>
  <si>
    <t>https://www.google.com/search?q=site%3Aubi.pt%20Engenharia%20Eletromec%C3%A2nica%20licenciatura</t>
  </si>
  <si>
    <t>https://www.google.com/search?q=site%3Aubi.pt%20Engenharia%20Eletrot%C3%A9cnica%20e%20de%20Computadores%20licenciatura</t>
  </si>
  <si>
    <t>https://www.google.com/search?q=site%3Aubi.pt%20Engenharia%20Inform%C3%A1tica%20licenciatura</t>
  </si>
  <si>
    <t>Engenharia Mecânica Computacional</t>
  </si>
  <si>
    <t>https://www.google.com/search?q=site%3Aubi.pt%20Engenharia%20Mec%C3%A2nica%20Computacional%20licenciatura</t>
  </si>
  <si>
    <t>https://www.google.com/search?q=site%3Aubi.pt%20Engenharia%20e%20Gest%C3%A3o%20Industrial%20licenciatura</t>
  </si>
  <si>
    <t>https://www.google.com/search?q=site%3Aubi.pt%20Estudos%20Portugueses%20e%20Espanh%C3%B3is%20licenciatura</t>
  </si>
  <si>
    <t>https://www.google.com/search?q=site%3Aubi.pt%20Filosofia%20licenciatura</t>
  </si>
  <si>
    <t>Física e Aplicações</t>
  </si>
  <si>
    <t>https://www.google.com/search?q=site%3Aubi.pt%20F%C3%ADsica%20e%20Aplica%C3%A7%C3%B5es%20licenciatura</t>
  </si>
  <si>
    <t>https://www.google.com/search?q=site%3Aubi.pt%20Gest%C3%A3o%20licenciatura</t>
  </si>
  <si>
    <t>Informática Web, Móvel e na Nuvem</t>
  </si>
  <si>
    <t>https://www.google.com/search?q=site%3Aubi.pt%20Inform%C3%A1tica%20Web%2C%20M%C3%B3vel%20e%20na%20Nuvem%20licenciatura</t>
  </si>
  <si>
    <t>Inteligência Artificial e Ciência de Dados</t>
  </si>
  <si>
    <t>https://www.google.com/search?q=site%3Aubi.pt%20Intelig%C3%AAncia%20Artificial%20e%20Ci%C3%AAncia%20de%20Dados%20licenciatura</t>
  </si>
  <si>
    <t>https://www.google.com/search?q=site%3Aubi.pt%20Marketing%20licenciatura</t>
  </si>
  <si>
    <t>https://www.google.com/search?q=site%3Aubi.pt%20Matem%C3%A1tica%20e%20Aplica%C3%A7%C3%B5es%20licenciatura</t>
  </si>
  <si>
    <t>Optometria e Ciências da Visão</t>
  </si>
  <si>
    <t>https://www.google.com/search?q=site%3Aubi.pt%20Optometria%20e%20Ci%C3%AAncias%20da%20Vis%C3%A3o%20licenciatura</t>
  </si>
  <si>
    <t>https://www.google.com/search?q=site%3Aubi.pt%20Psicologia%20licenciatura</t>
  </si>
  <si>
    <t>Química Industrial</t>
  </si>
  <si>
    <t>https://www.google.com/search?q=site%3Aubi.pt%20Qu%C3%ADmica%20Industrial%20licenciatura</t>
  </si>
  <si>
    <t>Química Medicinal</t>
  </si>
  <si>
    <t>https://www.google.com/search?q=site%3Aubi.pt%20Qu%C3%ADmica%20Medicinal%20licenciatura</t>
  </si>
  <si>
    <t>https://www.google.com/search?q=site%3Aubi.pt%20Sociologia%20licenciatura</t>
  </si>
  <si>
    <t>Tecnologia e Produto de Moda Sustentável</t>
  </si>
  <si>
    <t>https://www.google.com/search?q=site%3Aubi.pt%20Tecnologia%20e%20Produto%20de%20Moda%20Sustent%C3%A1vel%20licenciatura</t>
  </si>
  <si>
    <t>Covilhã (e Cidade do Futebol – Oeiras)</t>
  </si>
  <si>
    <t>Treino no Futsal</t>
  </si>
  <si>
    <t>Faculdade de Ciências da Saúde / Departamento de Ciências do Desporto</t>
  </si>
  <si>
    <t>https://www.google.com/search?q=site%3Aubi.pt%20Treino%20no%20Futsal%20p%C3%B3s-gradua%C3%A7%C3%A3o</t>
  </si>
  <si>
    <t>Universidade da Madeira</t>
  </si>
  <si>
    <t>Faculdade de Artes e Humanidades / Ciências Sociais</t>
  </si>
  <si>
    <t>https://www.google.com/search?q=site%3Auma.pt%20Ci%C3%AAncia%20Pol%C3%ADtica%20e%20Rela%C3%A7%C3%B5es%20Internacionais%20p%C3%B3s-gradua%C3%A7%C3%A3o</t>
  </si>
  <si>
    <t>2 semestres; ECTS não indicados (modelo PG anual)</t>
  </si>
  <si>
    <t>Faculdade de Artes e Humanidades – Departamento de Línguas, Literaturas e Culturas</t>
  </si>
  <si>
    <t>https://www.google.com/search?q=site%3Auma.pt%20Comunica%C3%A7%C3%A3o%20Digital%20p%C3%B3s-gradua%C3%A7%C3%A3o</t>
  </si>
  <si>
    <t>https://www.google.com/search?q=site%3Auma.pt%20Estudos%20Portugueses%20p%C3%B3s-gradua%C3%A7%C3%A3o</t>
  </si>
  <si>
    <t>Perspetivas Atuais, Acompanhamento e Inserção em Serviço Social</t>
  </si>
  <si>
    <t>Faculdade de Ciências Sociais / Serviço Social</t>
  </si>
  <si>
    <t>https://www.google.com/search?q=site%3Auma.pt%20Perspetivas%20Atuais%2C%20Acompanhamento%20e%20Inser%C3%A7%C3%A3o%20em%20Servi%C3%A7o%20Social%20p%C3%B3s-gradua%C3%A7%C3%A3o</t>
  </si>
  <si>
    <t>Profissionalização em Serviço (para docentes)</t>
  </si>
  <si>
    <t>Faculdade de Ciências Sociais / Educação</t>
  </si>
  <si>
    <t>https://www.google.com/search?q=site%3Auma.pt%20Profissionaliza%C3%A7%C3%A3o%20em%20Servi%C3%A7o%20%28para%20docentes%29%20p%C3%B3s-gradua%C3%A7%C3%A3o</t>
  </si>
  <si>
    <t>Universidade da Maia</t>
  </si>
  <si>
    <t>Universidade da Maia (UMAIA), Avenida Carlos de Oliveira Campos, 4475‑690 Castêlo da Maia</t>
  </si>
  <si>
    <t>https://www.google.com/search?q=site%3Aismai.pt%20Arte%20Multim%C3%A9dia%20licenciatura</t>
  </si>
  <si>
    <t>https://www.google.com/search?q=site%3Aismai.pt%20Ci%C3%AAncias%20da%20Comunica%C3%A7%C3%A3o%20licenciatura</t>
  </si>
  <si>
    <t>https://www.google.com/search?q=site%3Aismai.pt%20Ci%C3%AAncias%20do%20Desporto%20licenciatura</t>
  </si>
  <si>
    <t>https://www.google.com/search?q=site%3Aismai.pt%20Criminologia%20licenciatura</t>
  </si>
  <si>
    <t>https://www.google.com/search?q=site%3Aismai.pt%20Energias%20Renov%C3%A1veis%20licenciatura</t>
  </si>
  <si>
    <t>https://www.google.com/search?q=site%3Aismai.pt%20Gest%C3%A3o%20de%20Empresas%20licenciatura</t>
  </si>
  <si>
    <t>https://www.google.com/search?q=site%3Aismai.pt%20Gest%C3%A3o%20de%20Marketing%20licenciatura</t>
  </si>
  <si>
    <t>https://www.google.com/search?q=site%3Aismai.pt%20Gest%C3%A3o%20de%20Recursos%20Humanos%20licenciatura</t>
  </si>
  <si>
    <t>https://www.google.com/search?q=site%3Aismai.pt%20Gest%C3%A3o%20do%20Desporto%20licenciatura</t>
  </si>
  <si>
    <t>https://www.google.com/search?q=site%3Aismai.pt%20Inform%C3%A1tica%20licenciatura</t>
  </si>
  <si>
    <t>https://www.google.com/search?q=site%3Aismai.pt%20Psicologia%20licenciatura</t>
  </si>
  <si>
    <t>Relações Públicas</t>
  </si>
  <si>
    <t>https://www.google.com/search?q=site%3Aismai.pt%20Rela%C3%A7%C3%B5es%20P%C3%BAblicas%20licenciatura</t>
  </si>
  <si>
    <t>Relações Públicas e Gestão da Comunicação</t>
  </si>
  <si>
    <t>https://www.google.com/search?q=site%3Aismai.pt%20Rela%C3%A7%C3%B5es%20P%C3%BAblicas%20e%20Gest%C3%A3o%20da%20Comunica%C3%A7%C3%A3o%20licenciatura</t>
  </si>
  <si>
    <t>Tecnologias de Comunicação Multimédia</t>
  </si>
  <si>
    <t>https://www.google.com/search?q=site%3Aismai.pt%20Tecnologias%20de%20Comunica%C3%A7%C3%A3o%20Multim%C3%A9dia%20licenciatura</t>
  </si>
  <si>
    <t>https://www.google.com/search?q=site%3Aismai.pt%20Turismo%20licenciatura</t>
  </si>
  <si>
    <t>Análise do Jogo de Futebol (regime de ensino a distância)</t>
  </si>
  <si>
    <t>Universidade da Maia (UMAIA), e‑Learning (campus online)</t>
  </si>
  <si>
    <t>https://www.google.com/search?q=site%3Aismai.pt%20An%C3%A1lise%20do%20Jogo%20de%20Futebol%20%28regime%20de%20ensino%20a%20dist%C3%A2ncia%29%20mestrado</t>
  </si>
  <si>
    <t>Cinema e Cultura Digital</t>
  </si>
  <si>
    <t>https://www.google.com/search?q=site%3Aismai.pt%20Cinema%20e%20Cultura%20Digital%20mestrado</t>
  </si>
  <si>
    <t>https://www.google.com/search?q=site%3Aismai.pt%20Criminologia%20mestrado</t>
  </si>
  <si>
    <t>https://www.google.com/search?q=site%3Aismai.pt%20Ensino%20de%20Educa%C3%A7%C3%A3o%20F%C3%ADsica%20nos%20Ensinos%20B%C3%A1sico%20e%20Secund%C3%A1rio%20mestrado</t>
  </si>
  <si>
    <t>https://www.google.com/search?q=site%3Aismai.pt%20Ensino%20de%20Inform%C3%A1tica%20mestrado</t>
  </si>
  <si>
    <t>https://www.google.com/search?q=site%3Aismai.pt%20Exerc%C3%ADcio%20e%20Sa%C3%BAde%20mestrado</t>
  </si>
  <si>
    <t>https://www.google.com/search?q=site%3Aismai.pt%20Gest%C3%A3o%20Estrat%C3%A9gica%20de%20Recursos%20Humanos%20mestrado</t>
  </si>
  <si>
    <t>https://www.google.com/search?q=site%3Aismai.pt%20Gest%C3%A3o%20de%20Empresas%20mestrado</t>
  </si>
  <si>
    <t>https://www.google.com/search?q=site%3Aismai.pt%20Gest%C3%A3o%20do%20Desporto%20mestrado</t>
  </si>
  <si>
    <t>Informática (regime de ensino a distância)</t>
  </si>
  <si>
    <t>https://www.google.com/search?q=site%3Aismai.pt%20Inform%C3%A1tica%20%28regime%20de%20ensino%20a%20dist%C3%A2ncia%29%20mestrado</t>
  </si>
  <si>
    <t>Psicologia Clínica Forense - Intervenção com Agressores e Vítimas</t>
  </si>
  <si>
    <t>https://www.google.com/search?q=site%3Aismai.pt%20Psicologia%20Cl%C3%ADnica%20Forense%20-%20Interven%C3%A7%C3%A3o%20com%20Agressores%20e%20V%C3%ADtimas%20mestrado</t>
  </si>
  <si>
    <t>Psicologia Clínica Forense – Intervenção com Agressores e Vítimas</t>
  </si>
  <si>
    <t>https://www.google.com/search?q=site%3Aismai.pt%20Psicologia%20Cl%C3%ADnica%20Forense%20%E2%80%93%20Interven%C3%A7%C3%A3o%20com%20Agressores%20e%20V%C3%ADtimas%20mestrado</t>
  </si>
  <si>
    <t>https://www.google.com/search?q=site%3Aismai.pt%20Psicologia%20Cl%C3%ADnica%20e%20da%20Sa%C3%BAde%20mestrado</t>
  </si>
  <si>
    <t>Psicologia Escolar e da Educação</t>
  </si>
  <si>
    <t>https://www.google.com/search?q=site%3Aismai.pt%20Psicologia%20Escolar%20e%20da%20Educa%C3%A7%C3%A3o%20mestrado</t>
  </si>
  <si>
    <t>Tecnologias da Informação, Comunicação e Multimédia</t>
  </si>
  <si>
    <t>https://www.google.com/search?q=site%3Aismai.pt%20Tecnologias%20da%20Informa%C3%A7%C3%A3o%2C%20Comunica%C3%A7%C3%A3o%20e%20Multim%C3%A9dia%20mestrado</t>
  </si>
  <si>
    <t>https://www.google.com/search?q=site%3Aismai.pt%20Transforma%C3%A7%C3%A3o%20Digital%20mestrado</t>
  </si>
  <si>
    <t>https://www.google.com/search?q=site%3Aismai.pt%20Treino%20Desportivo%20mestrado</t>
  </si>
  <si>
    <t>Turismo, Património e Desenvolvimento</t>
  </si>
  <si>
    <t>https://www.google.com/search?q=site%3Aismai.pt%20Turismo%2C%20Patrim%C3%B3nio%20e%20Desenvolvimento%20mestrado</t>
  </si>
  <si>
    <t>Análise do Jogo em Futebol</t>
  </si>
  <si>
    <t>Departamento de Ciências da Educação Física e Desporto</t>
  </si>
  <si>
    <t>https://www.google.com/search?q=site%3Aismai.pt%20An%C3%A1lise%20do%20Jogo%20em%20Futebol%20p%C3%B3s-gradua%C3%A7%C3%A3o</t>
  </si>
  <si>
    <t>1 ano letivo; e‑learning; calendário: candidaturas até janeiro e início em fevereiro (ex.: 2 fevereiro 2026)</t>
  </si>
  <si>
    <t>Criação de Conteúdos Digitais e Estratégia Online</t>
  </si>
  <si>
    <t>Departamento de Ciências da Comunicação e Tecnologias da Informação</t>
  </si>
  <si>
    <t>https://www.google.com/search?q=site%3Aismai.pt%20Cria%C3%A7%C3%A3o%20de%20Conte%C3%BAdos%20Digitais%20e%20Estrat%C3%A9gia%20Online%20p%C3%B3s-gradua%C3%A7%C3%A3o</t>
  </si>
  <si>
    <t>1 ano letivo; ECTS não discriminados na página de síntese (formação em media digital e estratégia online)</t>
  </si>
  <si>
    <t>Curso Avançado em Métodos de Investigação em Psicologia Clínica</t>
  </si>
  <si>
    <t>Departamento de Ciências Sociais e do Comportamento</t>
  </si>
  <si>
    <t>https://www.google.com/search?q=site%3Aismai.pt%20Curso%20Avan%C3%A7ado%20em%20M%C3%A9todos%20de%20Investiga%C3%A7%C3%A3o%20em%20Psicologia%20Cl%C3%ADnica%20p%C3%B3s-gradua%C3%A7%C3%A3o</t>
  </si>
  <si>
    <t>Duração anual; ECTS não indicados (formação avançada para psicólogos/estudantes de Psicologia)</t>
  </si>
  <si>
    <t>Departamento de Ciências Empresariais</t>
  </si>
  <si>
    <t>https://www.google.com/search?q=site%3Aismai.pt%20Energias%20Renov%C3%A1veis%20e%20Efici%C3%AAncia%20Energ%C3%A9tica%20p%C3%B3s-gradua%C3%A7%C3%A3o</t>
  </si>
  <si>
    <t>MBA em Gestão Empresarial</t>
  </si>
  <si>
    <t>https://www.google.com/search?q=site%3Aismai.pt%20MBA%20em%20Gest%C3%A3o%20Empresarial%20p%C3%B3s-gradua%C3%A7%C3%A3o</t>
  </si>
  <si>
    <t>Pós-Graduação em Análise do Jogo em Futebol</t>
  </si>
  <si>
    <t>https://www.google.com/search?q=site%3Aismai.pt%20P%C3%B3s-Gradua%C3%A7%C3%A3o%20em%20An%C3%A1lise%20do%20Jogo%20em%20Futebol%20p%C3%B3s-gradua%C3%A7%C3%A3o</t>
  </si>
  <si>
    <t>Pós-Graduação em Criação de Conteúdos Digitais e Estratégia Online</t>
  </si>
  <si>
    <t>https://www.google.com/search?q=site%3Aismai.pt%20P%C3%B3s-Gradua%C3%A7%C3%A3o%20em%20Cria%C3%A7%C3%A3o%20de%20Conte%C3%BAdos%20Digitais%20e%20Estrat%C3%A9gia%20Online%20p%C3%B3s-gradua%C3%A7%C3%A3o</t>
  </si>
  <si>
    <t>0,3 ano(s) (20 ECTS)</t>
  </si>
  <si>
    <t>Pós-Graduação em Energias Renováveis e Eficiência Energética</t>
  </si>
  <si>
    <t>https://www.google.com/search?q=site%3Aismai.pt%20P%C3%B3s-Gradua%C3%A7%C3%A3o%20em%20Energias%20Renov%C3%A1veis%20e%20Efici%C3%AAncia%20Energ%C3%A9tica%20p%C3%B3s-gradua%C3%A7%C3%A3o</t>
  </si>
  <si>
    <t>https://www.google.com/search?q=site%3Aismai.pt%20MBA%20em%20Gest%C3%A3o%20Empresarial%20p%C3%B3s-gradua%C3%A7%C3%A3o%20executiva</t>
  </si>
  <si>
    <t>2 semestres (1 ano letivo); ECTS não explicitados na página geral (MBA executivo)</t>
  </si>
  <si>
    <t>Universidade de Aveiro</t>
  </si>
  <si>
    <t>Automação, Robótica e Informática Industrial</t>
  </si>
  <si>
    <t>Escola Superior Aveiro Norte (ESAN‑UA)</t>
  </si>
  <si>
    <t>https://www.google.com/search?q=site%3Aua.pt%20Automa%C3%A7%C3%A3o%2C%20Rob%C3%B3tica%20e%20Inform%C3%A1tica%20Industrial%20CTeSP</t>
  </si>
  <si>
    <t>Auxílio em Cuidados Integrados</t>
  </si>
  <si>
    <t>Escola Superior de Saúde de Aveiro</t>
  </si>
  <si>
    <t>https://www.google.com/search?q=site%3Aua.pt%20Aux%C3%ADlio%20em%20Cuidados%20Integrados%20CTeSP</t>
  </si>
  <si>
    <t>Banca e Seguros</t>
  </si>
  <si>
    <t>Instituto Superior de Contabilidade e Administração de Aveiro</t>
  </si>
  <si>
    <t>https://www.google.com/search?q=site%3Aua.pt%20Banca%20e%20Seguros%20CTeSP</t>
  </si>
  <si>
    <t>Águeda</t>
  </si>
  <si>
    <t>Escola Superior de Tecnologia e Gestão de Águeda (ESTGA‑UA)</t>
  </si>
  <si>
    <t>https://www.google.com/search?q=site%3Aua.pt%20Ciberseguran%C3%A7a%20CTeSP</t>
  </si>
  <si>
    <t>https://www.google.com/search?q=site%3Aua.pt%20Com%C3%A9rcio%20Internacional%20CTeSP</t>
  </si>
  <si>
    <t>https://www.google.com/search?q=site%3Aua.pt%20Desenvolvimento%20de%20Software%20CTeSP</t>
  </si>
  <si>
    <t>https://www.google.com/search?q=site%3Aua.pt%20Design%20de%20Produto%20CTeSP</t>
  </si>
  <si>
    <t>Design e Comunicação Digital de Produto</t>
  </si>
  <si>
    <t>https://www.google.com/search?q=site%3Aua.pt%20Design%20e%20Comunica%C3%A7%C3%A3o%20Digital%20de%20Produto%20CTeSP</t>
  </si>
  <si>
    <t>https://www.google.com/search?q=site%3Aua.pt%20Gest%C3%A3o%20de%20PME%20CTeSP</t>
  </si>
  <si>
    <t>Gestão de Processos Industriais</t>
  </si>
  <si>
    <t>https://www.google.com/search?q=site%3Aua.pt%20Gest%C3%A3o%20de%20Processos%20Industriais%20CTeSP</t>
  </si>
  <si>
    <t>https://www.google.com/search?q=site%3Aua.pt%20Gest%C3%A3o%20de%20Vendas%20e%20Marketing%20CTeSP</t>
  </si>
  <si>
    <t>Informática e Comunicação Organizacional</t>
  </si>
  <si>
    <t>https://www.google.com/search?q=site%3Aua.pt%20Inform%C3%A1tica%20e%20Comunica%C3%A7%C3%A3o%20Organizacional%20CTeSP</t>
  </si>
  <si>
    <t>https://www.google.com/search?q=site%3Aua.pt%20Instala%C3%A7%C3%B5es%20El%C3%A9tricas%20e%20Automa%C3%A7%C3%A3o%20CTeSP</t>
  </si>
  <si>
    <t>https://www.google.com/search?q=site%3Aua.pt%20Manuten%C3%A7%C3%A3o%20Industrial%20CTeSP</t>
  </si>
  <si>
    <t>Metrologia e Qualidade na Indústria</t>
  </si>
  <si>
    <t>https://www.google.com/search?q=site%3Aua.pt%20Metrologia%20e%20Qualidade%20na%20Ind%C3%BAstria%20CTeSP</t>
  </si>
  <si>
    <t>https://www.google.com/search?q=site%3Aua.pt%20Programa%C3%A7%C3%A3o%20de%20Sistemas%20de%20Informa%C3%A7%C3%A3o%20CTeSP</t>
  </si>
  <si>
    <t>https://www.google.com/search?q=site%3Aua.pt%20Projeto%20de%20Moldes%20CTeSP</t>
  </si>
  <si>
    <t>https://www.google.com/search?q=site%3Aua.pt%20Redes%20e%20Sistemas%20Inform%C3%A1ticos%20CTeSP</t>
  </si>
  <si>
    <t>https://www.google.com/search?q=site%3Aua.pt%20Secretariado%20Cl%C3%ADnico%20CTeSP</t>
  </si>
  <si>
    <t>https://www.google.com/search?q=site%3Aua.pt%20Sistemas%20Mecatr%C3%B3nicos%20e%20de%20Produ%C3%A7%C3%A3o%20CTeSP</t>
  </si>
  <si>
    <t>Soldadura e Construções Metálicas</t>
  </si>
  <si>
    <t>Engenharia e Tecnologias dos Materiais</t>
  </si>
  <si>
    <t>https://www.google.com/search?q=site%3Aua.pt%20Soldadura%20e%20Constru%C3%A7%C3%B5es%20Met%C3%A1licas%20CTeSP</t>
  </si>
  <si>
    <t>https://www.google.com/search?q=site%3Aua.pt%20Tecnologia%20Mec%C3%A2nica%20CTeSP</t>
  </si>
  <si>
    <t>Tecnologia de Maquinação com Controlo Numérico Computorizado (CNC)</t>
  </si>
  <si>
    <t>https://www.google.com/search?q=site%3Aua.pt%20Tecnologia%20de%20Maquina%C3%A7%C3%A3o%20com%20Controlo%20Num%C3%A9rico%20Computorizado%20%28CNC%29%20CTeSP</t>
  </si>
  <si>
    <t>Termalismo e Bem‑estar</t>
  </si>
  <si>
    <t>https://www.google.com/search?q=site%3Aua.pt%20Termalismo%20e%20Bem%E2%80%91estar%20CTeSP</t>
  </si>
  <si>
    <t>Técnicas e Gestão de Turismo</t>
  </si>
  <si>
    <t>https://www.google.com/search?q=site%3Aua.pt%20T%C3%A9cnicas%20e%20Gest%C3%A3o%20de%20Turismo%20CTeSP</t>
  </si>
  <si>
    <t>Automação e Sistemas de Produção</t>
  </si>
  <si>
    <t>https://www.google.com/search?q=site%3Aua.pt%20Automa%C3%A7%C3%A3o%20e%20Sistemas%20de%20Produ%C3%A7%C3%A3o%20licenciatura</t>
  </si>
  <si>
    <t>ISCA‑UA (Campus Universitário de Santiago, Aveiro)</t>
  </si>
  <si>
    <t>https://www.google.com/search?q=site%3Aua.pt%20Contabilidade%20licenciatura</t>
  </si>
  <si>
    <t>Design de Produto e Tecnologia</t>
  </si>
  <si>
    <t>https://www.google.com/search?q=site%3Aua.pt%20Design%20de%20Produto%20e%20Tecnologia%20licenciatura</t>
  </si>
  <si>
    <t>Eletrónica e Mecânica Industrial</t>
  </si>
  <si>
    <t>https://www.google.com/search?q=site%3Aua.pt%20Eletr%C3%B3nica%20e%20Mec%C3%A2nica%20Industrial%20licenciatura</t>
  </si>
  <si>
    <t>Escola Superior de Saúde de Aveiro (Campus Universitário de Santiago)</t>
  </si>
  <si>
    <t>https://www.google.com/search?q=site%3Aua.pt%20Enfermagem%20licenciatura</t>
  </si>
  <si>
    <t>https://www.google.com/search?q=site%3Aua.pt%20Engenharia%20Eletrot%C3%A9cnica%20licenciatura</t>
  </si>
  <si>
    <t>Engenharia Informática Aplicada</t>
  </si>
  <si>
    <t>https://www.google.com/search?q=site%3Aua.pt%20Engenharia%20Inform%C3%A1tica%20Aplicada%20licenciatura</t>
  </si>
  <si>
    <t>Engenharia de Software Industrial</t>
  </si>
  <si>
    <t>https://www.google.com/search?q=site%3Aua.pt%20Engenharia%20de%20Software%20Industrial%20licenciatura</t>
  </si>
  <si>
    <t>https://www.google.com/search?q=site%3Aua.pt%20Finan%C3%A7as%20licenciatura</t>
  </si>
  <si>
    <t>https://www.google.com/search?q=site%3Aua.pt%20Fisioterapia%20licenciatura</t>
  </si>
  <si>
    <t>https://www.ua.pt/pt/curso/64</t>
  </si>
  <si>
    <t>https://www.google.com/search?q=site%3Aua.pt%20Gest%C3%A3o%20P%C3%BAblica%20licenciatura</t>
  </si>
  <si>
    <t>https://www.google.com/search?q=site%3Aua.pt%20Gest%C3%A3o%20da%20Qualidade%20licenciatura</t>
  </si>
  <si>
    <t>https://www.google.com/search?q=site%3Aua.pt%20Imagem%20M%C3%A9dica%20e%20Radioterapia%20licenciatura</t>
  </si>
  <si>
    <t>https://www.google.com/search?q=site%3Aua.pt%20Marketing%20licenciatura</t>
  </si>
  <si>
    <t>Secretariado e Comunicação Empresarial</t>
  </si>
  <si>
    <t>https://www.google.com/search?q=site%3Aua.pt%20Secretariado%20e%20Comunica%C3%A7%C3%A3o%20Empresarial%20licenciatura</t>
  </si>
  <si>
    <t>Tecnologias da Informação</t>
  </si>
  <si>
    <t>https://www.google.com/search?q=site%3Aua.pt%20Tecnologias%20da%20Informa%C3%A7%C3%A3o%20licenciatura</t>
  </si>
  <si>
    <t>https://www.google.com/search?q=site%3Aua.pt%20Terapia%20da%20Fala%20licenciatura</t>
  </si>
  <si>
    <t>Assessoria de Direção e Comunicação nas Organizações</t>
  </si>
  <si>
    <t>https://www.google.com/search?q=site%3Aua.pt%20Assessoria%20de%20Dire%C3%A7%C3%A3o%20e%20Comunica%C3%A7%C3%A3o%20nas%20Organiza%C3%A7%C3%B5es%20mestrado</t>
  </si>
  <si>
    <t>Competitividade e Desenvolvimento de Negócios</t>
  </si>
  <si>
    <t>ISCA‑UA (em colaboração com ESTGA e DEGEIT)</t>
  </si>
  <si>
    <t>https://www.google.com/search?q=site%3Aua.pt%20Competitividade%20e%20Desenvolvimento%20de%20Neg%C3%B3cios%20mestrado</t>
  </si>
  <si>
    <t>ISCA‑UA</t>
  </si>
  <si>
    <t>https://www.google.com/search?q=site%3Aua.pt%20Contabilidade%20mestrado</t>
  </si>
  <si>
    <t>Contabilidade e Controlo de Gestão</t>
  </si>
  <si>
    <t>https://www.google.com/search?q=site%3Aua.pt%20Contabilidade%20e%20Controlo%20de%20Gest%C3%A3o%20mestrado</t>
  </si>
  <si>
    <t>https://www.google.com/search?q=site%3Aua.pt%20Enfermagem%20Comunit%C3%A1ria%2C%20na%20%C3%A1rea%20de%20Enfermagem%20de%20Sa%C3%BAde%20Familiar%20mestrado</t>
  </si>
  <si>
    <t>Enfermagem Médico‑Cirúrgica, na área de Enfermagem à Pessoa em Situação Crítica</t>
  </si>
  <si>
    <t>https://www.google.com/search?q=site%3Aua.pt%20Enfermagem%20M%C3%A9dico%E2%80%91Cir%C3%BArgica%2C%20na%20%C3%A1rea%20de%20Enfermagem%20%C3%A0%20Pessoa%20em%20Situa%C3%A7%C3%A3o%20Cr%C3%ADtica%20mestrado</t>
  </si>
  <si>
    <t>Enfermagem Médico‑Cirúrgica, na área de Enfermagem à Pessoa em Situação Crónica</t>
  </si>
  <si>
    <t>https://www.google.com/search?q=site%3Aua.pt%20Enfermagem%20M%C3%A9dico%E2%80%91Cir%C3%BArgica%2C%20na%20%C3%A1rea%20de%20Enfermagem%20%C3%A0%20Pessoa%20em%20Situa%C3%A7%C3%A3o%20Cr%C3%B3nica%20mestrado</t>
  </si>
  <si>
    <t>https://www.google.com/search?q=site%3Aua.pt%20Enfermagem%20de%20Sa%C3%BAde%20Familiar%20mestrado</t>
  </si>
  <si>
    <t>https://www.google.com/search?q=site%3Aua.pt%20Engenharia%20Mecatr%C3%B3nica%20mestrado</t>
  </si>
  <si>
    <t>Engenharia de Fabrico Digital</t>
  </si>
  <si>
    <t>https://www.google.com/search?q=site%3Aua.pt%20Engenharia%20de%20Fabrico%20Digital%20mestrado</t>
  </si>
  <si>
    <t>Engenharia de Manutenção Industrial</t>
  </si>
  <si>
    <t>https://www.google.com/search?q=site%3Aua.pt%20Engenharia%20de%20Manuten%C3%A7%C3%A3o%20Industrial%20mestrado</t>
  </si>
  <si>
    <t>https://www.google.com/search?q=site%3Aua.pt%20Finan%C3%A7as%20mestrado</t>
  </si>
  <si>
    <t>https://www.google.com/search?q=site%3Aua.pt%20Fisioterapia%20mestrado</t>
  </si>
  <si>
    <t>Fisioterapia Cardiovascular e Respiratória</t>
  </si>
  <si>
    <t>https://www.google.com/search?q=site%3Aua.pt%20Fisioterapia%20Cardiovascular%20e%20Respirat%C3%B3ria%20mestrado</t>
  </si>
  <si>
    <t>Fisioterapia Musculoesquelética</t>
  </si>
  <si>
    <t>https://www.google.com/search?q=site%3Aua.pt%20Fisioterapia%20Musculoesquel%C3%A9tica%20mestrado</t>
  </si>
  <si>
    <t>https://www.google.com/search?q=site%3Aua.pt%20Fisioterapia%20no%20Desporto%20mestrado</t>
  </si>
  <si>
    <t>https://www.google.com/search?q=site%3Aua.pt%20Geoinform%C3%A1tica%20mestrado</t>
  </si>
  <si>
    <t>https://www.google.com/search?q=site%3Aua.pt%20Gest%C3%A3o%20Comercial%20mestrado</t>
  </si>
  <si>
    <t>Gestão da Qualidade Total</t>
  </si>
  <si>
    <t>https://www.google.com/search?q=site%3Aua.pt%20Gest%C3%A3o%20da%20Qualidade%20Total%20mestrado</t>
  </si>
  <si>
    <t>Gestão e Negócios Digitais</t>
  </si>
  <si>
    <t>https://www.google.com/search?q=site%3Aua.pt%20Gest%C3%A3o%20e%20Neg%C3%B3cios%20Digitais%20mestrado</t>
  </si>
  <si>
    <t>https://www.google.com/search?q=site%3Aua.pt%20Inform%C3%A1tica%20Aplicada%20mestrado</t>
  </si>
  <si>
    <t>https://www.ua.pt/pt/curso/216</t>
  </si>
  <si>
    <t>Confirmado ao vivo (Claude in Chrome, ua.pt/pt/curso/216) — 2026-06-15</t>
  </si>
  <si>
    <t>Marketing e Comunicação Digital</t>
  </si>
  <si>
    <t>https://www.google.com/search?q=site%3Aua.pt%20Marketing%20e%20Comunica%C3%A7%C3%A3o%20Digital%20mestrado</t>
  </si>
  <si>
    <t>Produto e Tecnologia Digital</t>
  </si>
  <si>
    <t>https://www.google.com/search?q=site%3Aua.pt%20Produto%20e%20Tecnologia%20Digital%20mestrado</t>
  </si>
  <si>
    <t>https://www.google.com/search?q=site%3Aua.pt%20Terapia%20da%20Fala%20mestrado</t>
  </si>
  <si>
    <t>Aprendizagem Automática e Análise de Dados</t>
  </si>
  <si>
    <t>Universidade de Aveiro (DETI / DMat)</t>
  </si>
  <si>
    <t>https://www.google.com/search?q=site%3Aua.pt%20Aprendizagem%20Autom%C3%A1tica%20e%20An%C3%A1lise%20de%20Dados%20p%C3%B3s-gradua%C3%A7%C3%A3o</t>
  </si>
  <si>
    <t>Curso de especialização; duração inferior a 1 ano; ECTS não indicados na síntese</t>
  </si>
  <si>
    <t>Universidade de Coimbra</t>
  </si>
  <si>
    <t>Ciências Sociais (Administração Pública)</t>
  </si>
  <si>
    <t>Faculdade de Direito</t>
  </si>
  <si>
    <t>https://www.google.com/search?q=site%3Auc.pt%20Administra%C3%A7%C3%A3o%20P%C3%BAblica%20licenciatura</t>
  </si>
  <si>
    <t>Confirmado (Tavily, uc.pt) — 2026-06-15</t>
  </si>
  <si>
    <t>https://www.google.com/search?q=site%3Auc.pt%20Antropologia%20licenciatura</t>
  </si>
  <si>
    <t>Faculdade de Letras</t>
  </si>
  <si>
    <t>https://www.google.com/search?q=site%3Auc.pt%20Arqueologia%20licenciatura</t>
  </si>
  <si>
    <t>https://www.google.com/search?q=site%3Auc.pt%20Biologia%20licenciatura</t>
  </si>
  <si>
    <t>Faculdade de Ciências e Tecnologia (Campus Figueira da Foz)</t>
  </si>
  <si>
    <t>https://www.google.com/search?q=site%3Auc.pt%20Biologia%20Marinha%20licenciatura</t>
  </si>
  <si>
    <t>https://www.google.com/search?q=site%3Auc.pt%20Bioqu%C3%ADmica%20licenciatura</t>
  </si>
  <si>
    <t>Ciência da Informação</t>
  </si>
  <si>
    <t>https://www.google.com/search?q=site%3Auc.pt%20Ci%C3%AAncia%20da%20Informa%C3%A7%C3%A3o%20licenciatura</t>
  </si>
  <si>
    <t>Ciências Bioanalíticas</t>
  </si>
  <si>
    <t>Faculdade de Farmácia</t>
  </si>
  <si>
    <t>https://www.google.com/search?q=site%3Auc.pt%20Ci%C3%AAncias%20Bioanal%C3%ADticas%20licenciatura</t>
  </si>
  <si>
    <t>Ciências Bioveterinárias</t>
  </si>
  <si>
    <t>Campus da EUVG, Coimbra (instalações de Ciências Veterinárias)</t>
  </si>
  <si>
    <t>https://www.google.com/search?q=site%3Auc.pt%20Ci%C3%AAncias%20Bioveterin%C3%A1rias%20licenciatura</t>
  </si>
  <si>
    <t>Faculdade de Psicologia e de Ciências da Educação</t>
  </si>
  <si>
    <t>https://www.google.com/search?q=site%3Auc.pt%20Ci%C3%AAncias%20da%20Educa%C3%A7%C3%A3o%20licenciatura</t>
  </si>
  <si>
    <t>Faculdade de Ciências do Desporto e Educação Física</t>
  </si>
  <si>
    <t>https://www.google.com/search?q=site%3Auc.pt%20Ci%C3%AAncias%20do%20Desporto%20licenciatura</t>
  </si>
  <si>
    <t>ISMT, polos no centro de Coimbra (sede administrativa na Rua Bernardo de Albuquerque, 6, 3000‑070 Coimbra)</t>
  </si>
  <si>
    <t>https://www.google.com/search?q=site%3Auc.pt%20Comunica%C3%A7%C3%A3o%20Empresarial%20licenciatura</t>
  </si>
  <si>
    <t>Construção Digital</t>
  </si>
  <si>
    <t>https://www.google.com/search?q=site%3Auc.pt%20Constru%C3%A7%C3%A3o%20Digital%20licenciatura</t>
  </si>
  <si>
    <t>ISMT, Coimbra</t>
  </si>
  <si>
    <t>https://www.google.com/search?q=site%3Auc.pt%20Design%20de%20Comunica%C3%A7%C3%A3o%20licenciatura</t>
  </si>
  <si>
    <t>https://www.google.com/search?q=site%3Auc.pt%20Design%20e%20Multim%C3%A9dia%20licenciatura</t>
  </si>
  <si>
    <t>https://www.google.com/search?q=site%3Auc.pt%20Direito%20licenciatura</t>
  </si>
  <si>
    <t>Direito Luso-Brasileiro</t>
  </si>
  <si>
    <t>https://www.google.com/search?q=site%3Auc.pt%20Direito%20Luso-Brasileiro%20licenciatura</t>
  </si>
  <si>
    <t>ENGENHARIA E GESTÃO INDUSTRIAL</t>
  </si>
  <si>
    <t>https://www.google.com/search?q=site%3Auc.pt%20ENGENHARIA%20E%20GEST%C3%83O%20INDUSTRIAL%20licenciatura</t>
  </si>
  <si>
    <t>https://www.google.com/search?q=site%3Auc.pt%20Economia%20licenciatura</t>
  </si>
  <si>
    <t>Empreendedorismo</t>
  </si>
  <si>
    <t>https://www.google.com/search?q=site%3Auc.pt%20Empreendedorismo%20licenciatura</t>
  </si>
  <si>
    <t>https://www.google.com/search?q=site%3Auc.pt%20Engenharia%20Aeroespacial%20licenciatura</t>
  </si>
  <si>
    <t>https://www.google.com/search?q=site%3Auc.pt%20Engenharia%20Biom%C3%A9dica%20licenciatura</t>
  </si>
  <si>
    <t>https://www.google.com/search?q=site%3Auc.pt%20Engenharia%20Civil%20licenciatura</t>
  </si>
  <si>
    <t>https://www.google.com/search?q=site%3Auc.pt%20Engenharia%20Eletrot%C3%A9cnica%20e%20de%20Computadores%20licenciatura</t>
  </si>
  <si>
    <t>https://www.google.com/search?q=site%3Auc.pt%20Engenharia%20F%C3%ADsica%20licenciatura</t>
  </si>
  <si>
    <t>https://www.google.com/search?q=site%3Auc.pt%20Engenharia%20Inform%C3%A1tica%20licenciatura</t>
  </si>
  <si>
    <t>https://www.google.com/search?q=site%3Auc.pt%20Engenharia%20Mec%C3%A2nica%20licenciatura</t>
  </si>
  <si>
    <t>Engenharia Naval e Oceânica</t>
  </si>
  <si>
    <t>https://www.google.com/search?q=site%3Auc.pt%20Engenharia%20Naval%20e%20Oce%C3%A2nica%20licenciatura</t>
  </si>
  <si>
    <t>https://www.google.com/search?q=site%3Auc.pt%20Engenharia%20Qu%C3%ADmica%20licenciatura</t>
  </si>
  <si>
    <t>Engenharia do Ambiente e Sustentabilidade</t>
  </si>
  <si>
    <t>https://www.google.com/search?q=site%3Auc.pt%20Engenharia%20do%20Ambiente%20e%20Sustentabilidade%20licenciatura</t>
  </si>
  <si>
    <t>Estudos Artísticos</t>
  </si>
  <si>
    <t>https://www.google.com/search?q=site%3Auc.pt%20Estudos%20Art%C3%ADsticos%20licenciatura</t>
  </si>
  <si>
    <t>Estudos Clássicos</t>
  </si>
  <si>
    <t>https://www.google.com/search?q=site%3Auc.pt%20Estudos%20Cl%C3%A1ssicos%20licenciatura</t>
  </si>
  <si>
    <t>https://www.google.com/search?q=site%3Auc.pt%20Estudos%20Europeus%20licenciatura</t>
  </si>
  <si>
    <t>Farmácia Biomédica</t>
  </si>
  <si>
    <t>https://www.google.com/search?q=site%3Auc.pt%20Farm%C3%A1cia%20Biom%C3%A9dica%20licenciatura</t>
  </si>
  <si>
    <t>https://www.google.com/search?q=site%3Auc.pt%20Filosofia%20licenciatura</t>
  </si>
  <si>
    <t>https://www.google.com/search?q=site%3Auc.pt%20F%C3%ADsica%20licenciatura</t>
  </si>
  <si>
    <t>Geografia</t>
  </si>
  <si>
    <t>https://www.google.com/search?q=site%3Auc.pt%20Geografia%20licenciatura</t>
  </si>
  <si>
    <t>Geologia</t>
  </si>
  <si>
    <t>https://www.google.com/search?q=site%3Auc.pt%20Geologia%20licenciatura</t>
  </si>
  <si>
    <t>https://www.google.com/search?q=site%3Auc.pt%20Gest%C3%A3o%20licenciatura</t>
  </si>
  <si>
    <t>Gestão de Cidades Sustentáveis e Inteligentes</t>
  </si>
  <si>
    <t>https://www.google.com/search?q=site%3Auc.pt%20Gest%C3%A3o%20de%20Cidades%20Sustent%C3%A1veis%20e%20Inteligentes%20licenciatura</t>
  </si>
  <si>
    <t>https://www.google.com/search?q=site%3Auc.pt%20Gest%C3%A3o%20de%20Recursos%20Humanos%20licenciatura</t>
  </si>
  <si>
    <t>https://www.google.com/search?q=site%3Auc.pt%20Hist%C3%B3ria%20licenciatura</t>
  </si>
  <si>
    <t>https://www.google.com/search?q=site%3Auc.pt%20Hist%C3%B3ria%20da%20Arte%20licenciatura</t>
  </si>
  <si>
    <t>https://www.google.com/search?q=site%3Auc.pt%20Inform%C3%A1tica%20licenciatura</t>
  </si>
  <si>
    <t>https://www.google.com/search?q=site%3Auc.pt%20Intelig%C3%AAncia%20Artificial%20e%20Ci%C3%AAncia%20de%20Dados%20licenciatura</t>
  </si>
  <si>
    <t>https://www.google.com/search?q=site%3Auc.pt%20Jornalismo%20licenciatura</t>
  </si>
  <si>
    <t>https://www.google.com/search?q=site%3Auc.pt%20Jornalismo%20e%20Comunica%C3%A7%C3%A3o%20licenciatura</t>
  </si>
  <si>
    <t>Línguas Modernas</t>
  </si>
  <si>
    <t>https://www.google.com/search?q=site%3Auc.pt%20L%C3%ADnguas%20Modernas%20licenciatura</t>
  </si>
  <si>
    <t>https://www.google.com/search?q=site%3Auc.pt%20Matem%C3%A1tica%20licenciatura</t>
  </si>
  <si>
    <t>https://www.google.com/search?q=site%3Auc.pt%20Multim%C3%A9dia%20licenciatura</t>
  </si>
  <si>
    <t>https://www.google.com/search?q=site%3Auc.pt%20Portugu%C3%AAs%20licenciatura</t>
  </si>
  <si>
    <t>https://www.google.com/search?q=site%3Auc.pt%20Psicologia%20licenciatura</t>
  </si>
  <si>
    <t>https://www.google.com/search?q=site%3Auc.pt%20Qu%C3%ADmica%20licenciatura</t>
  </si>
  <si>
    <t>https://www.google.com/search?q=site%3Auc.pt%20Qu%C3%ADmica%20Medicinal%20licenciatura</t>
  </si>
  <si>
    <t>https://www.google.com/search?q=site%3Auc.pt%20Rela%C3%A7%C3%B5es%20Internacionais%20licenciatura</t>
  </si>
  <si>
    <t>https://www.google.com/search?q=site%3Auc.pt%20Servi%C3%A7o%20Social%20licenciatura</t>
  </si>
  <si>
    <t>https://www.google.com/search?q=site%3Auc.pt%20Sociologia%20licenciatura</t>
  </si>
  <si>
    <t>Turismo, Território e Patrimónios</t>
  </si>
  <si>
    <t>https://www.google.com/search?q=site%3Auc.pt%20Turismo%2C%20Territ%C3%B3rio%20e%20Patrim%C3%B3nios%20licenciatura</t>
  </si>
  <si>
    <t>https://www.google.com/search?q=site%3Auc.pt%20Administra%C3%A7%C3%A3o%20Educacional%20mestrado</t>
  </si>
  <si>
    <t>Administração Público-Privada</t>
  </si>
  <si>
    <t>https://www.google.com/search?q=site%3Auc.pt%20Administra%C3%A7%C3%A3o%20P%C3%BAblico-Privada%20mestrado</t>
  </si>
  <si>
    <t>Alimentação: Fontes, Cultura e Sociedade</t>
  </si>
  <si>
    <t>https://www.google.com/search?q=site%3Auc.pt%20Alimenta%C3%A7%C3%A3o%3A%20Fontes%2C%20Cultura%20e%20Sociedade%20mestrado</t>
  </si>
  <si>
    <t>Antropologia Forense</t>
  </si>
  <si>
    <t>https://www.google.com/search?q=site%3Auc.pt%20Antropologia%20Forense%20mestrado</t>
  </si>
  <si>
    <t>Antropologia Médica e Saúde Global</t>
  </si>
  <si>
    <t>https://www.google.com/search?q=site%3Auc.pt%20Antropologia%20M%C3%A9dica%20e%20Sa%C3%BAde%20Global%20mestrado</t>
  </si>
  <si>
    <t>Antropologia Social e Cultural</t>
  </si>
  <si>
    <t>https://www.google.com/search?q=site%3Auc.pt%20Antropologia%20Social%20e%20Cultural%20mestrado</t>
  </si>
  <si>
    <t>Antropologia, Globalização e Alterações Climáticas</t>
  </si>
  <si>
    <t>https://www.google.com/search?q=site%3Auc.pt%20Antropologia%2C%20Globaliza%C3%A7%C3%A3o%20e%20Altera%C3%A7%C3%B5es%20Clim%C3%A1ticas%20mestrado</t>
  </si>
  <si>
    <t>Análise Inteligente de Dados de Redes de Sensores Ambientais – Erasmus Mundus</t>
  </si>
  <si>
    <t>https://www.google.com/search?q=site%3Auc.pt%20An%C3%A1lise%20Inteligente%20de%20Dados%20de%20Redes%20de%20Sensores%20Ambientais%20%E2%80%93%20Erasmus%20Mundus%20mestrado</t>
  </si>
  <si>
    <t>https://www.google.com/search?q=site%3Auc.pt%20An%C3%A1lises%20Cl%C3%ADnicas%20mestrado</t>
  </si>
  <si>
    <t>Arqueologia e Território</t>
  </si>
  <si>
    <t>https://www.google.com/search?q=site%3Auc.pt%20Arqueologia%20e%20Territ%C3%B3rio%20mestrado</t>
  </si>
  <si>
    <t>Arquitetura, Paisagem e Arqueologia</t>
  </si>
  <si>
    <t>https://www.google.com/search?q=site%3Auc.pt%20Arquitetura%2C%20Paisagem%20e%20Arqueologia%20mestrado</t>
  </si>
  <si>
    <t>Astrofísica e Instrumentação para o Espaço</t>
  </si>
  <si>
    <t>https://www.google.com/search?q=site%3Auc.pt%20Astrof%C3%ADsica%20e%20Instrumenta%C3%A7%C3%A3o%20para%20o%20Espa%C3%A7o%20mestrado</t>
  </si>
  <si>
    <t>Avaliação de Tecnologias de Saúde e Acesso de Medicamentos ao Mercado</t>
  </si>
  <si>
    <t>https://www.google.com/search?q=site%3Auc.pt%20Avalia%C3%A7%C3%A3o%20de%20Tecnologias%20de%20Sa%C3%BAde%20e%20Acesso%20de%20Medicamentos%20ao%20Mercado%20mestrado</t>
  </si>
  <si>
    <t>Bioantropologia e Saúde: Dinâmica de Populações Passadas</t>
  </si>
  <si>
    <t>https://www.google.com/search?q=site%3Auc.pt%20Bioantropologia%20e%20Sa%C3%BAde%3A%20Din%C3%A2mica%20de%20Popula%C3%A7%C3%B5es%20Passadas%20mestrado</t>
  </si>
  <si>
    <t>Biocinética</t>
  </si>
  <si>
    <t>https://www.google.com/search?q=site%3Auc.pt%20Biocin%C3%A9tica%20mestrado</t>
  </si>
  <si>
    <t>Biodiversidade e Biotecnologia Vegetal</t>
  </si>
  <si>
    <t>https://www.google.com/search?q=site%3Auc.pt%20Biodiversidade%20e%20Biotecnologia%20Vegetal%20mestrado</t>
  </si>
  <si>
    <t>https://www.google.com/search?q=site%3Auc.pt%20Biologia%20mestrado</t>
  </si>
  <si>
    <t>https://www.google.com/search?q=site%3Auc.pt%20Biologia%20Celular%20e%20Molecular%20mestrado</t>
  </si>
  <si>
    <t>Biologia Computacional</t>
  </si>
  <si>
    <t>https://www.google.com/search?q=site%3Auc.pt%20Biologia%20Computacional%20mestrado</t>
  </si>
  <si>
    <t>Biologia Marinha e Alterações Globais</t>
  </si>
  <si>
    <t>https://www.google.com/search?q=site%3Auc.pt%20Biologia%20Marinha%20e%20Altera%C3%A7%C3%B5es%20Globais%20mestrado</t>
  </si>
  <si>
    <t>https://www.google.com/search?q=site%3Auc.pt%20Bioqu%C3%ADmica%20mestrado</t>
  </si>
  <si>
    <t>Biotecnologia Farmacêutica</t>
  </si>
  <si>
    <t>https://www.google.com/search?q=site%3Auc.pt%20Biotecnologia%20Farmac%C3%AAutica%20mestrado</t>
  </si>
  <si>
    <t>Cidades e Comunidades Sustentáveis</t>
  </si>
  <si>
    <t>https://www.google.com/search?q=site%3Auc.pt%20Cidades%20e%20Comunidades%20Sustent%C3%A1veis%20mestrado</t>
  </si>
  <si>
    <t>Cirurgia de Animais de Companhia</t>
  </si>
  <si>
    <t>EUVG, Campus Universitário de Lordemão, Av. José R. Sousa Fernandes, 3020‑210 Coimbra</t>
  </si>
  <si>
    <t>https://www.google.com/search?q=site%3Auc.pt%20Cirurgia%20de%20Animais%20de%20Companhia%20mestrado</t>
  </si>
  <si>
    <t>Ciência Psicológica</t>
  </si>
  <si>
    <t>https://www.google.com/search?q=site%3Auc.pt%20Ci%C3%AAncia%20Psicol%C3%B3gica%20mestrado</t>
  </si>
  <si>
    <t>https://www.google.com/search?q=site%3Auc.pt%20Ci%C3%AAncia%20da%20Informa%C3%A7%C3%A3o%20mestrado</t>
  </si>
  <si>
    <t>Ciências Jurídico-Forenses</t>
  </si>
  <si>
    <t>https://www.google.com/search?q=site%3Auc.pt%20Ci%C3%AAncias%20Jur%C3%ADdico-Forenses%20mestrado</t>
  </si>
  <si>
    <t>https://www.google.com/search?q=site%3Auc.pt%20Ci%C3%AAncias%20da%20Educa%C3%A7%C3%A3o%20mestrado</t>
  </si>
  <si>
    <t>Computação Musical e Design de Som</t>
  </si>
  <si>
    <t>https://www.google.com/search?q=site%3Auc.pt%20Computa%C3%A7%C3%A3o%20Musical%20e%20Design%20de%20Som%20mestrado</t>
  </si>
  <si>
    <t>Construção Metálica e Mista</t>
  </si>
  <si>
    <t>https://www.google.com/search?q=site%3Auc.pt%20Constru%C3%A7%C3%A3o%20Met%C3%A1lica%20e%20Mista%20mestrado</t>
  </si>
  <si>
    <t>Construção em Madeira</t>
  </si>
  <si>
    <t>https://www.google.com/search?q=site%3Auc.pt%20Constru%C3%A7%C3%A3o%20em%20Madeira%20mestrado</t>
  </si>
  <si>
    <t>https://www.google.com/search?q=site%3Auc.pt%20Contabilidade%20e%20Finan%C3%A7as%20mestrado</t>
  </si>
  <si>
    <t>Cuidados Continuados e Paliativos</t>
  </si>
  <si>
    <t>Faculdade de Medicina</t>
  </si>
  <si>
    <t>https://www.google.com/search?q=site%3Auc.pt%20Cuidados%20Continuados%20e%20Paliativos%20mestrado</t>
  </si>
  <si>
    <t>Culturas Urbanas</t>
  </si>
  <si>
    <t>https://www.google.com/search?q=site%3Auc.pt%20Culturas%20Urbanas%20mestrado</t>
  </si>
  <si>
    <t>Democracia e Governação - Roads to Democracy(ies)</t>
  </si>
  <si>
    <t>https://www.google.com/search?q=site%3Auc.pt%20Democracia%20e%20Governa%C3%A7%C3%A3o%20-%20Roads%20to%20Democracy%28ies%29%20mestrado</t>
  </si>
  <si>
    <t>https://www.google.com/search?q=site%3Auc.pt%20Design%20e%20Multim%C3%A9dia%20mestrado</t>
  </si>
  <si>
    <t>Dinâmicas Sociais, Riscos Naturais e Tecnológicos</t>
  </si>
  <si>
    <t>https://www.google.com/search?q=site%3Auc.pt%20Din%C3%A2micas%20Sociais%2C%20Riscos%20Naturais%20e%20Tecnol%C3%B3gicos%20mestrado</t>
  </si>
  <si>
    <t>https://www.google.com/search?q=site%3Auc.pt%20Direito%20mestrado</t>
  </si>
  <si>
    <t>https://www.google.com/search?q=site%3Auc.pt%20ENGENHARIA%20E%20GEST%C3%83O%20INDUSTRIAL%20mestrado</t>
  </si>
  <si>
    <t>Ecologia</t>
  </si>
  <si>
    <t>https://www.google.com/search?q=site%3Auc.pt%20Ecologia%20mestrado</t>
  </si>
  <si>
    <t>Ecologia Aplicada</t>
  </si>
  <si>
    <t>https://www.google.com/search?q=site%3Auc.pt%20Ecologia%20Aplicada%20mestrado</t>
  </si>
  <si>
    <t>https://www.google.com/search?q=site%3Auc.pt%20Economia%20mestrado</t>
  </si>
  <si>
    <t>Educação Especial e Sociedade Inclusiva</t>
  </si>
  <si>
    <t>https://www.google.com/search?q=site%3Auc.pt%20Educa%C3%A7%C3%A3o%20Especial%20e%20Sociedade%20Inclusiva%20mestrado</t>
  </si>
  <si>
    <t>Educação Social, Desenvolvimento e Dinâmicas Locais</t>
  </si>
  <si>
    <t>https://www.google.com/search?q=site%3Auc.pt%20Educa%C3%A7%C3%A3o%20Social%2C%20Desenvolvimento%20e%20Din%C3%A2micas%20Locais%20mestrado</t>
  </si>
  <si>
    <t>Educação e Formação de Adultos e Intervenção Comunitária</t>
  </si>
  <si>
    <t>https://www.google.com/search?q=site%3Auc.pt%20Educa%C3%A7%C3%A3o%20e%20Forma%C3%A7%C3%A3o%20de%20Adultos%20e%20Interven%C3%A7%C3%A3o%20Comunit%C3%A1ria%20mestrado</t>
  </si>
  <si>
    <t>Eficiência Acústica e Energética para uma Construção Sustentável</t>
  </si>
  <si>
    <t>https://www.google.com/search?q=site%3Auc.pt%20Efici%C3%AAncia%20Ac%C3%BAstica%20e%20Energ%C3%A9tica%20para%20uma%20Constru%C3%A7%C3%A3o%20Sustent%C3%A1vel%20mestrado</t>
  </si>
  <si>
    <t>Energia para a Sustentabilidade</t>
  </si>
  <si>
    <t>https://www.google.com/search?q=site%3Auc.pt%20Energia%20para%20a%20Sustentabilidade%20mestrado</t>
  </si>
  <si>
    <t>https://www.google.com/search?q=site%3Auc.pt%20Engenharia%20Biom%C3%A9dica%20mestrado</t>
  </si>
  <si>
    <t>https://www.google.com/search?q=site%3Auc.pt%20Engenharia%20Biotecnol%C3%B3gica%20mestrado</t>
  </si>
  <si>
    <t>https://www.google.com/search?q=site%3Auc.pt%20Engenharia%20Civil%20mestrado</t>
  </si>
  <si>
    <t>https://www.google.com/search?q=site%3Auc.pt%20Engenharia%20Eletrot%C3%A9cnica%20e%20de%20Computadores%20mestrado</t>
  </si>
  <si>
    <t>https://www.google.com/search?q=site%3Auc.pt%20Engenharia%20F%C3%ADsica%20mestrado</t>
  </si>
  <si>
    <t>Engenharia Geológica e de Minas</t>
  </si>
  <si>
    <t>https://www.google.com/search?q=site%3Auc.pt%20Engenharia%20Geol%C3%B3gica%20e%20de%20Minas%20mestrado</t>
  </si>
  <si>
    <t>https://www.google.com/search?q=site%3Auc.pt%20Engenharia%20Inform%C3%A1tica%20mestrado</t>
  </si>
  <si>
    <t>https://www.google.com/search?q=site%3Auc.pt%20Engenharia%20Mec%C3%A2nica%20mestrado</t>
  </si>
  <si>
    <t>https://www.google.com/search?q=site%3Auc.pt%20Engenharia%20Qu%C3%ADmica%20mestrado</t>
  </si>
  <si>
    <t>Engenharia da Construção Metálica e Mista</t>
  </si>
  <si>
    <t>https://www.google.com/search?q=site%3Auc.pt%20Engenharia%20da%20Constru%C3%A7%C3%A3o%20Met%C3%A1lica%20e%20Mista%20mestrado</t>
  </si>
  <si>
    <t>Engenharia de Cibersegurança</t>
  </si>
  <si>
    <t>https://www.google.com/search?q=site%3Auc.pt%20Engenharia%20de%20Ciberseguran%C3%A7a%20mestrado</t>
  </si>
  <si>
    <t>Engenharia de Informação Geoespacial</t>
  </si>
  <si>
    <t>https://www.google.com/search?q=site%3Auc.pt%20Engenharia%20de%20Informa%C3%A7%C3%A3o%20Geoespacial%20mestrado</t>
  </si>
  <si>
    <t>https://www.google.com/search?q=site%3Auc.pt%20Engenharia%20de%20Materiais%20mestrado</t>
  </si>
  <si>
    <t>Engenharia de Segurança aos Incêndios Urbanos</t>
  </si>
  <si>
    <t>https://www.google.com/search?q=site%3Auc.pt%20Engenharia%20de%20Seguran%C3%A7a%20aos%20Inc%C3%AAndios%20Urbanos%20mestrado</t>
  </si>
  <si>
    <t>https://www.google.com/search?q=site%3Auc.pt%20Engenharia%20de%20Software%20mestrado</t>
  </si>
  <si>
    <t>https://www.google.com/search?q=site%3Auc.pt%20Engenharia%20do%20Ambiente%20e%20Sustentabilidade%20mestrado</t>
  </si>
  <si>
    <t>https://www.google.com/search?q=site%3Auc.pt%20Ensino%20da%20Matem%C3%A1tica%20no%203.%C2%BA%20Ciclo%20do%20Ensino%20B%C3%A1sico%20e%20no%20Ensino%20Secund%C3%A1rio%20mestrado</t>
  </si>
  <si>
    <t>Ensino de Biologia e Geologia no 3.º ciclo do Ensino Básico e no Ensino Secundário</t>
  </si>
  <si>
    <t>Formação de Professores de Áreas Disciplinares Específicas (Biologia e Geologia)</t>
  </si>
  <si>
    <t>https://www.google.com/search?q=site%3Auc.pt%20Ensino%20de%20Biologia%20e%20Geologia%20no%203.%C2%BA%20ciclo%20do%20Ensino%20B%C3%A1sico%20e%20no%20Ensino%20Secund%C3%A1rio%20mestrado</t>
  </si>
  <si>
    <t>Formação de Professores de Educação Física</t>
  </si>
  <si>
    <t>https://www.google.com/search?q=site%3Auc.pt%20Ensino%20de%20Educa%C3%A7%C3%A3o%20F%C3%ADsica%20nos%20Ensinos%20B%C3%A1sico%20e%20Secund%C3%A1rio%20mestrado</t>
  </si>
  <si>
    <t>https://www.google.com/search?q=site%3Auc.pt%20Ensino%20de%20Filosofia%20no%20Ensino%20Secund%C3%A1rio%20mestrado</t>
  </si>
  <si>
    <t>Ensino de Física e de Química no 3.º Ciclo do Ensino Básico e no Ensino Secundário</t>
  </si>
  <si>
    <t>Formação de Professores de Áreas Disciplinares Específicas (Física e Química)</t>
  </si>
  <si>
    <t>https://www.google.com/search?q=site%3Auc.pt%20Ensino%20de%20F%C3%ADsica%20e%20de%20Qu%C3%ADmica%20no%203.%C2%BA%20Ciclo%20do%20Ensino%20B%C3%A1sico%20e%20no%20Ensino%20Secund%C3%A1rio%20mestrado</t>
  </si>
  <si>
    <t>Ensino de Geografia no 3º ciclo do Ensino Básico e no Ensino Secundário</t>
  </si>
  <si>
    <t>https://www.google.com/search?q=site%3Auc.pt%20Ensino%20de%20Geografia%20no%203%C2%BA%20ciclo%20do%20Ensino%20B%C3%A1sico%20e%20no%20Ensino%20Secund%C3%A1rio%20mestrado</t>
  </si>
  <si>
    <t>https://www.google.com/search?q=site%3Auc.pt%20Ensino%20de%20Hist%C3%B3ria%20no%203.%C2%BA%20Ciclo%20do%20Ensino%20B%C3%A1sico%20e%20no%20Ensino%20Secund%C3%A1rio%20mestrado</t>
  </si>
  <si>
    <t>Ensino de Inglês e de Língua Estrangeira no 3.º ciclo do Ensino Básico e no Ensino Secundário, nas áreas de especialização de Alemão ou de Espanhol ou de Francês</t>
  </si>
  <si>
    <t>https://www.google.com/search?q=site%3Auc.pt%20Ensino%20de%20Ingl%C3%AAs%20e%20de%20L%C3%ADngua%20Estrangeira%20no%203.%C2%BA%20ciclo%20do%20Ensino%20B%C3%A1sico%20e%20no%20Ensino%20Secund%C3%A1rio%2C%20nas%20%C3%A1reas%20de%20especializa%C3%A7%C3%A3o%20de%20Alem%C3%A3o%20ou%20de%20Espanhol%20ou%20de%20Franc%C3%AAs%20mestrado</t>
  </si>
  <si>
    <t>https://www.google.com/search?q=site%3Auc.pt%20Ensino%20de%20Ingl%C3%AAs%20no%203.%C2%BA%20Ciclo%20do%20Ensino%20B%C3%A1sico%20e%20no%20Ensino%20Secund%C3%A1rio%20mestrado</t>
  </si>
  <si>
    <t>Ensino de Português e de Língua Estrangeira no 3º ciclo do Ensino Básico e no Ensino Secundário</t>
  </si>
  <si>
    <t>https://www.google.com/search?q=site%3Auc.pt%20Ensino%20de%20Portugu%C3%AAs%20e%20de%20L%C3%ADngua%20Estrangeira%20no%203%C2%BA%20ciclo%20do%20Ensino%20B%C3%A1sico%20e%20no%20Ensino%20Secund%C3%A1rio%20mestrado</t>
  </si>
  <si>
    <t>Ensino de Português no 3º ciclo do Ensino Básico e no Ensino Secundário</t>
  </si>
  <si>
    <t>https://www.google.com/search?q=site%3Auc.pt%20Ensino%20de%20Portugu%C3%AAs%20no%203%C2%BA%20ciclo%20do%20Ensino%20B%C3%A1sico%20e%20no%20Ensino%20Secund%C3%A1rio%20mestrado</t>
  </si>
  <si>
    <t>Ensino de Português no 3º ciclo do Ensino Básico e no Ensino Secundário e de Latim no Ensino Secundário</t>
  </si>
  <si>
    <t>https://www.google.com/search?q=site%3Auc.pt%20Ensino%20de%20Portugu%C3%AAs%20no%203%C2%BA%20ciclo%20do%20Ensino%20B%C3%A1sico%20e%20no%20Ensino%20Secund%C3%A1rio%20e%20de%20Latim%20no%20Ensino%20Secund%C3%A1rio%20mestrado</t>
  </si>
  <si>
    <t>Escrita Criativa</t>
  </si>
  <si>
    <t>https://www.google.com/search?q=site%3Auc.pt%20Escrita%20Criativa%20mestrado</t>
  </si>
  <si>
    <t>Estruturas de Betão - da Conceção à Reabilitação</t>
  </si>
  <si>
    <t>https://www.google.com/search?q=site%3Auc.pt%20Estruturas%20de%20Bet%C3%A3o%20-%20da%20Conce%C3%A7%C3%A3o%20%C3%A0%20Reabilita%C3%A7%C3%A3o%20mestrado</t>
  </si>
  <si>
    <t>Estudos Africanos</t>
  </si>
  <si>
    <t>https://www.google.com/search?q=site%3Auc.pt%20Estudos%20Africanos%20mestrado</t>
  </si>
  <si>
    <t>https://www.google.com/search?q=site%3Auc.pt%20Estudos%20Art%C3%ADsticos%20mestrado</t>
  </si>
  <si>
    <t>Línguas e Literaturas Estrangeiras (área de Estudos Clássicos)</t>
  </si>
  <si>
    <t>https://www.google.com/search?q=site%3Auc.pt%20Estudos%20Cl%C3%A1ssicos%20mestrado</t>
  </si>
  <si>
    <t>Estudos Curatoriais</t>
  </si>
  <si>
    <t>Colégio das Artes</t>
  </si>
  <si>
    <t>https://www.google.com/search?q=site%3Auc.pt%20Estudos%20Curatoriais%20mestrado</t>
  </si>
  <si>
    <t>https://www.google.com/search?q=site%3Auc.pt%20Estudos%20Europeus%20mestrado</t>
  </si>
  <si>
    <t>Estudos de Cultura, Literatura e Línguas Modernas</t>
  </si>
  <si>
    <t>https://www.google.com/search?q=site%3Auc.pt%20Estudos%20de%20Cultura%2C%20Literatura%20e%20L%C3%ADnguas%20Modernas%20mestrado</t>
  </si>
  <si>
    <t>Evolução e Biologia Humanas</t>
  </si>
  <si>
    <t>https://www.google.com/search?q=site%3Auc.pt%20Evolu%C3%A7%C3%A3o%20e%20Biologia%20Humanas%20mestrado</t>
  </si>
  <si>
    <t>https://www.google.com/search?q=site%3Auc.pt%20Exerc%C3%ADcio%20e%20Sa%C3%BAde%20mestrado</t>
  </si>
  <si>
    <t>Exercício e Saúde em Populações Especiais</t>
  </si>
  <si>
    <t>https://www.google.com/search?q=site%3Auc.pt%20Exerc%C3%ADcio%20e%20Sa%C3%BAde%20em%20Popula%C3%A7%C3%B5es%20Especiais%20mestrado</t>
  </si>
  <si>
    <t>Farmacologia Aplicada</t>
  </si>
  <si>
    <t>https://www.google.com/search?q=site%3Auc.pt%20Farmacologia%20Aplicada%20mestrado</t>
  </si>
  <si>
    <t>https://www.google.com/search?q=site%3Auc.pt%20Filosofia%20mestrado</t>
  </si>
  <si>
    <t>Filosofias Alemã e Francesa: Desafios Contemporâneos (Erasmus Mundus)</t>
  </si>
  <si>
    <t>https://www.google.com/search?q=site%3Auc.pt%20Filosofias%20Alem%C3%A3%20e%20Francesa%3A%20Desafios%20Contempor%C3%A2neos%20%28Erasmus%20Mundus%29%20mestrado</t>
  </si>
  <si>
    <t>https://www.google.com/search?q=site%3Auc.pt%20F%C3%ADsica%20mestrado</t>
  </si>
  <si>
    <t>Física Médica</t>
  </si>
  <si>
    <t>https://www.google.com/search?q=site%3Auc.pt%20F%C3%ADsica%20M%C3%A9dica%20mestrado</t>
  </si>
  <si>
    <t>Genética Clínica Laboratorial</t>
  </si>
  <si>
    <t>https://www.google.com/search?q=site%3Auc.pt%20Gen%C3%A9tica%20Cl%C3%ADnica%20Laboratorial%20mestrado</t>
  </si>
  <si>
    <t>Geociências</t>
  </si>
  <si>
    <t>https://www.google.com/search?q=site%3Auc.pt%20Geoci%C3%AAncias%20mestrado</t>
  </si>
  <si>
    <t>Geociências Planetárias (Erasmus Mundus)</t>
  </si>
  <si>
    <t>https://www.google.com/search?q=site%3Auc.pt%20Geoci%C3%AAncias%20Planet%C3%A1rias%20%28Erasmus%20Mundus%29%20mestrado</t>
  </si>
  <si>
    <t>Geografia Física, Ambiente e Ordenamento do Território</t>
  </si>
  <si>
    <t>https://www.google.com/search?q=site%3Auc.pt%20Geografia%20F%C3%ADsica%2C%20Ambiente%20e%20Ordenamento%20do%20Territ%C3%B3rio%20mestrado</t>
  </si>
  <si>
    <t>Geografia Humana, Planeamento e Territórios Saudáveis</t>
  </si>
  <si>
    <t>https://www.google.com/search?q=site%3Auc.pt%20Geografia%20Humana%2C%20Planeamento%20e%20Territ%C3%B3rios%20Saud%C3%A1veis%20mestrado</t>
  </si>
  <si>
    <t>Geriatria</t>
  </si>
  <si>
    <t>https://www.google.com/search?q=site%3Auc.pt%20Geriatria%20mestrado</t>
  </si>
  <si>
    <t>https://www.google.com/search?q=site%3Auc.pt%20Gest%C3%A3o%20mestrado</t>
  </si>
  <si>
    <t>Gestão Sustentável do Ciclo Urbano da Água</t>
  </si>
  <si>
    <t>https://www.google.com/search?q=site%3Auc.pt%20Gest%C3%A3o%20Sustent%C3%A1vel%20do%20Ciclo%20Urbano%20da%20%C3%81gua%20mestrado</t>
  </si>
  <si>
    <t>Gestão da Mobilidade Urbana</t>
  </si>
  <si>
    <t>https://www.google.com/search?q=site%3Auc.pt%20Gest%C3%A3o%20da%20Mobilidade%20Urbana%20mestrado</t>
  </si>
  <si>
    <t>Gestão das Artes e Políticas Culturais em Transição</t>
  </si>
  <si>
    <t>https://www.google.com/search?q=site%3Auc.pt%20Gest%C3%A3o%20das%20Artes%20e%20Pol%C3%ADticas%20Culturais%20em%20Transi%C3%A7%C3%A3o%20mestrado</t>
  </si>
  <si>
    <t>Gestão de Cidades e Engenharia de Transportes</t>
  </si>
  <si>
    <t>https://www.google.com/search?q=site%3Auc.pt%20Gest%C3%A3o%20de%20Cidades%20e%20Engenharia%20de%20Transportes%20mestrado</t>
  </si>
  <si>
    <t>ISMT, Largo da Cruz de Celas, 1, 3000‑132 Coimbra</t>
  </si>
  <si>
    <t>https://www.google.com/search?q=site%3Auc.pt%20Gest%C3%A3o%20de%20Recursos%20Humanos%20e%20Comportamento%20Organizacional%20mestrado</t>
  </si>
  <si>
    <t>Gestão e Economia da Saúde</t>
  </si>
  <si>
    <t>https://www.google.com/search?q=site%3Auc.pt%20Gest%C3%A3o%20e%20Economia%20da%20Sa%C3%BAde%20mestrado</t>
  </si>
  <si>
    <t>https://www.google.com/search?q=site%3Auc.pt%20Hist%C3%B3ria%20mestrado</t>
  </si>
  <si>
    <t>História da Arte e Património</t>
  </si>
  <si>
    <t>https://www.google.com/search?q=site%3Auc.pt%20Hist%C3%B3ria%20da%20Arte%20e%20Patrim%C3%B3nio%20mestrado</t>
  </si>
  <si>
    <t>https://www.google.com/search?q=site%3Auc.pt%20Intelig%C3%AAncia%20Artificial%20mestrado</t>
  </si>
  <si>
    <t>https://www.google.com/search?q=site%3Auc.pt%20Intelig%C3%AAncia%20Artificial%20e%20Ci%C3%AAncia%20de%20Dados%20mestrado</t>
  </si>
  <si>
    <t>Intervenção Social, Inovação e Empreendedorismo</t>
  </si>
  <si>
    <t>https://www.google.com/search?q=site%3Auc.pt%20Interven%C3%A7%C3%A3o%20Social%2C%20Inova%C3%A7%C3%A3o%20e%20Empreendedorismo%20mestrado</t>
  </si>
  <si>
    <t>Intervenções Cognitivo-Comportamentais em Psicologia Clínica e da Saúde</t>
  </si>
  <si>
    <t>https://www.google.com/search?q=site%3Auc.pt%20Interven%C3%A7%C3%B5es%20Cognitivo-Comportamentais%20em%20Psicologia%20Cl%C3%ADnica%20e%20da%20Sa%C3%BAde%20mestrado</t>
  </si>
  <si>
    <t>https://www.google.com/search?q=site%3Auc.pt%20Investiga%C3%A7%C3%A3o%20Biom%C3%A9dica%20mestrado</t>
  </si>
  <si>
    <t>https://www.google.com/search?q=site%3Auc.pt%20Jornalismo%20e%20Comunica%C3%A7%C3%A3o%20mestrado</t>
  </si>
  <si>
    <t>Literatura de Língua Portuguesa</t>
  </si>
  <si>
    <t>https://www.google.com/search?q=site%3Auc.pt%20Literatura%20de%20L%C3%ADngua%20Portuguesa%20mestrado</t>
  </si>
  <si>
    <t>Línguas, Culturas e Sociedades Europeias em Contacto</t>
  </si>
  <si>
    <t>https://www.google.com/search?q=site%3Auc.pt%20L%C3%ADnguas%2C%20Culturas%20e%20Sociedades%20Europeias%20em%20Contacto%20mestrado</t>
  </si>
  <si>
    <t>https://www.google.com/search?q=site%3Auc.pt%20Marketing%20mestrado</t>
  </si>
  <si>
    <t>https://www.google.com/search?q=site%3Auc.pt%20Matem%C3%A1tica%20mestrado</t>
  </si>
  <si>
    <t>Mecânica dos Solos e Engenharia Geotécnica</t>
  </si>
  <si>
    <t>https://www.google.com/search?q=site%3Auc.pt%20Mec%C3%A2nica%20dos%20Solos%20e%20Engenharia%20Geot%C3%A9cnica%20mestrado</t>
  </si>
  <si>
    <t>Medicamentos e Suplementos Alimentares à Base de Plantas</t>
  </si>
  <si>
    <t>https://www.google.com/search?q=site%3Auc.pt%20Medicamentos%20e%20Suplementos%20Alimentares%20%C3%A0%20Base%20de%20Plantas%20mestrado</t>
  </si>
  <si>
    <t>Medicina Interna de Animais de Companhia</t>
  </si>
  <si>
    <t>https://www.google.com/search?q=site%3Auc.pt%20Medicina%20Interna%20de%20Animais%20de%20Companhia%20mestrado</t>
  </si>
  <si>
    <t>Medicina Legal e Ciências Forenses</t>
  </si>
  <si>
    <t>https://www.google.com/search?q=site%3Auc.pt%20Medicina%20Legal%20e%20Ci%C3%AAncias%20Forenses%20mestrado</t>
  </si>
  <si>
    <t>Medicina do Desporto</t>
  </si>
  <si>
    <t>https://www.google.com/search?q=site%3Auc.pt%20Medicina%20do%20Desporto%20mestrado</t>
  </si>
  <si>
    <t>Microbiologia e Biotecnologia Microbiana</t>
  </si>
  <si>
    <t>https://www.google.com/search?q=site%3Auc.pt%20Microbiologia%20e%20Biotecnologia%20Microbiana%20mestrado</t>
  </si>
  <si>
    <t>Métodos Quantitativos em Finanças</t>
  </si>
  <si>
    <t>https://www.google.com/search?q=site%3Auc.pt%20M%C3%A9todos%20Quantitativos%20em%20Finan%C3%A7as%20mestrado</t>
  </si>
  <si>
    <t>Neurociências Molecular e de Translação</t>
  </si>
  <si>
    <t>https://www.google.com/search?q=site%3Auc.pt%20Neuroci%C3%AAncias%20Molecular%20e%20de%20Transla%C3%A7%C3%A3o%20mestrado</t>
  </si>
  <si>
    <t>Neuropsicologia Clínica e Experimental</t>
  </si>
  <si>
    <t>https://www.google.com/search?q=site%3Auc.pt%20Neuropsicologia%20Cl%C3%ADnica%20e%20Experimental%20mestrado</t>
  </si>
  <si>
    <t>Neuropsicologia Clínica: Avaliação e Reabilitação</t>
  </si>
  <si>
    <t>https://www.google.com/search?q=site%3Auc.pt%20Neuropsicologia%20Cl%C3%ADnica%3A%20Avalia%C3%A7%C3%A3o%20e%20Reabilita%C3%A7%C3%A3o%20mestrado</t>
  </si>
  <si>
    <t>Novas Tecnologias para a Transição Digital em Medicina Dentária</t>
  </si>
  <si>
    <t>https://www.google.com/search?q=site%3Auc.pt%20Novas%20Tecnologias%20para%20a%20Transi%C3%A7%C3%A3o%20Digital%20em%20Medicina%20Dent%C3%A1ria%20mestrado</t>
  </si>
  <si>
    <t>Patologia Experimental</t>
  </si>
  <si>
    <t>https://www.google.com/search?q=site%3Auc.pt%20Patologia%20Experimental%20mestrado</t>
  </si>
  <si>
    <t>Património Cultural e Museologia</t>
  </si>
  <si>
    <t>https://www.google.com/search?q=site%3Auc.pt%20Patrim%C3%B3nio%20Cultural%20e%20Museologia%20mestrado</t>
  </si>
  <si>
    <t>Património Europeu, Multimédia e Sociedade de Informação</t>
  </si>
  <si>
    <t>https://www.google.com/search?q=site%3Auc.pt%20Patrim%C3%B3nio%20Europeu%2C%20Multim%C3%A9dia%20e%20Sociedade%20de%20Informa%C3%A7%C3%A3o%20mestrado</t>
  </si>
  <si>
    <t>Plásticos e Sustentabilidade</t>
  </si>
  <si>
    <t>Materiais</t>
  </si>
  <si>
    <t>https://www.google.com/search?q=site%3Auc.pt%20Pl%C3%A1sticos%20e%20Sustentabilidade%20mestrado</t>
  </si>
  <si>
    <t>Política Cultural Autárquica</t>
  </si>
  <si>
    <t>https://www.google.com/search?q=site%3Auc.pt%20Pol%C3%ADtica%20Cultural%20Aut%C3%A1rquica%20mestrado</t>
  </si>
  <si>
    <t>Português como Língua Estrangeira e Língua Segunda</t>
  </si>
  <si>
    <t>https://www.google.com/search?q=site%3Auc.pt%20Portugu%C3%AAs%20como%20L%C3%ADngua%20Estrangeira%20e%20L%C3%ADngua%20Segunda%20mestrado</t>
  </si>
  <si>
    <t>ISMT, Largo da Cruz de Celas, 1, 3000‑132 Coimbra (polo de mestrados)</t>
  </si>
  <si>
    <t>https://www.google.com/search?q=site%3Auc.pt%20Psicologia%20Cl%C3%ADnica%20mestrado</t>
  </si>
  <si>
    <t>Psicologia Clínica Forense</t>
  </si>
  <si>
    <t>https://www.google.com/search?q=site%3Auc.pt%20Psicologia%20Cl%C3%ADnica%20Forense%20mestrado</t>
  </si>
  <si>
    <t>Psicologia Clínica Sistémica e da Saúde</t>
  </si>
  <si>
    <t>https://www.google.com/search?q=site%3Auc.pt%20Psicologia%20Cl%C3%ADnica%20Sist%C3%A9mica%20e%20da%20Sa%C3%BAde%20mestrado</t>
  </si>
  <si>
    <t>Psicologia Organizacional</t>
  </si>
  <si>
    <t>https://www.google.com/search?q=site%3Auc.pt%20Psicologia%20Organizacional%20mestrado</t>
  </si>
  <si>
    <t>Psicologia da Educação, Desenvolvimento e Aconselhamento</t>
  </si>
  <si>
    <t>https://www.google.com/search?q=site%3Auc.pt%20Psicologia%20da%20Educa%C3%A7%C3%A3o%2C%20Desenvolvimento%20e%20Aconselhamento%20mestrado</t>
  </si>
  <si>
    <t>Psicologia do Trabalho, das Organizações e dos Recursos Humanos</t>
  </si>
  <si>
    <t>https://www.google.com/search?q=site%3Auc.pt%20Psicologia%20do%20Trabalho%2C%20das%20Organiza%C3%A7%C3%B5es%20e%20dos%20Recursos%20Humanos%20mestrado</t>
  </si>
  <si>
    <t>Psiquiatria Social e Cultural</t>
  </si>
  <si>
    <t>https://www.google.com/search?q=site%3Auc.pt%20Psiquiatria%20Social%20e%20Cultural%20mestrado</t>
  </si>
  <si>
    <t>https://www.google.com/search?q=site%3Auc.pt%20Qu%C3%ADmica%20mestrado</t>
  </si>
  <si>
    <t>Química Farmacêutica Industrial</t>
  </si>
  <si>
    <t>https://www.google.com/search?q=site%3Auc.pt%20Qu%C3%ADmica%20Farmac%C3%AAutica%20Industrial%20mestrado</t>
  </si>
  <si>
    <t>Química Forense</t>
  </si>
  <si>
    <t>https://www.google.com/search?q=site%3Auc.pt%20Qu%C3%ADmica%20Forense%20mestrado</t>
  </si>
  <si>
    <t>https://www.google.com/search?q=site%3Auc.pt%20Qu%C3%ADmica%20Medicinal%20mestrado</t>
  </si>
  <si>
    <t>Reabilitação Urbana Integrada</t>
  </si>
  <si>
    <t>https://www.google.com/search?q=site%3Auc.pt%20Reabilita%C3%A7%C3%A3o%20Urbana%20Integrada%20mestrado</t>
  </si>
  <si>
    <t>https://www.google.com/search?q=site%3Auc.pt%20Reabilita%C3%A7%C3%A3o%20de%20Edif%C3%ADcios%20mestrado</t>
  </si>
  <si>
    <t>Recursos Biológicos, Valorização do Território e Sustentabilidade</t>
  </si>
  <si>
    <t>https://www.google.com/search?q=site%3Auc.pt%20Recursos%20Biol%C3%B3gicos%2C%20Valoriza%C3%A7%C3%A3o%20do%20Territ%C3%B3rio%20e%20Sustentabilidade%20mestrado</t>
  </si>
  <si>
    <t>Recursos Geológicos</t>
  </si>
  <si>
    <t>https://www.google.com/search?q=site%3Auc.pt%20Recursos%20Geol%C3%B3gicos%20mestrado</t>
  </si>
  <si>
    <t>Relações Internacionais - Política Internacional dos Oceanos</t>
  </si>
  <si>
    <t>https://www.google.com/search?q=site%3Auc.pt%20Rela%C3%A7%C3%B5es%20Internacionais%20-%20Pol%C3%ADtica%20Internacional%20dos%20Oceanos%20mestrado</t>
  </si>
  <si>
    <t>Relações Internacionais: Estudos de Paz, Segurança e Desenvolvimento</t>
  </si>
  <si>
    <t>https://www.google.com/search?q=site%3Auc.pt%20Rela%C3%A7%C3%B5es%20Internacionais%3A%20Estudos%20de%20Paz%2C%20Seguran%C3%A7a%20e%20Desenvolvimento%20mestrado</t>
  </si>
  <si>
    <t>Reuso de Edifícios Modernos</t>
  </si>
  <si>
    <t>https://www.google.com/search?q=site%3Auc.pt%20Reuso%20de%20Edif%C3%ADcios%20Modernos%20mestrado</t>
  </si>
  <si>
    <t>https://www.google.com/search?q=site%3Auc.pt%20Sa%C3%BAde%20Ocupacional%20mestrado</t>
  </si>
  <si>
    <t>Saúde, Bem-Estar e Envelhecimento Saudável</t>
  </si>
  <si>
    <t>https://www.google.com/search?q=site%3Auc.pt%20Sa%C3%BAde%2C%20Bem-Estar%20e%20Envelhecimento%20Saud%C3%A1vel%20mestrado</t>
  </si>
  <si>
    <t>Segurança Alimentar</t>
  </si>
  <si>
    <t>https://www.google.com/search?q=site%3Auc.pt%20Seguran%C3%A7a%20Alimentar%20mestrado</t>
  </si>
  <si>
    <t>Segurança Informática</t>
  </si>
  <si>
    <t>https://www.google.com/search?q=site%3Auc.pt%20Seguran%C3%A7a%20Inform%C3%A1tica%20mestrado</t>
  </si>
  <si>
    <t>https://www.google.com/search?q=site%3Auc.pt%20Servi%C3%A7o%20Social%20mestrado</t>
  </si>
  <si>
    <t>Sistemas Costeiros Sustentáveis</t>
  </si>
  <si>
    <t>https://www.google.com/search?q=site%3Auc.pt%20Sistemas%20Costeiros%20Sustent%C3%A1veis%20mestrado</t>
  </si>
  <si>
    <t>https://www.google.com/search?q=site%3Auc.pt%20Sociologia%20mestrado</t>
  </si>
  <si>
    <t>Tecnologias de Informação Geográfica - TIG</t>
  </si>
  <si>
    <t>https://www.google.com/search?q=site%3Auc.pt%20Tecnologias%20de%20Informa%C3%A7%C3%A3o%20Geogr%C3%A1fica%20-%20TIG%20mestrado</t>
  </si>
  <si>
    <t>Tecnologias do Medicamento</t>
  </si>
  <si>
    <t>https://www.google.com/search?q=site%3Auc.pt%20Tecnologias%20do%20Medicamento%20mestrado</t>
  </si>
  <si>
    <t>Temas de Psicologia do Desenvolvimento</t>
  </si>
  <si>
    <t>https://www.google.com/search?q=site%3Auc.pt%20Temas%20de%20Psicologia%20do%20Desenvolvimento%20mestrado</t>
  </si>
  <si>
    <t>https://www.google.com/search?q=site%3Auc.pt%20Tradu%C3%A7%C3%A3o%20mestrado</t>
  </si>
  <si>
    <t>https://www.google.com/search?q=site%3Auc.pt%20Treino%20Desportivo%20mestrado</t>
  </si>
  <si>
    <t>Tribologia de Superfícies e Interfaces</t>
  </si>
  <si>
    <t>https://www.google.com/search?q=site%3Auc.pt%20Tribologia%20de%20Superf%C3%ADcies%20e%20Interfaces%20mestrado</t>
  </si>
  <si>
    <t>Turismo Sustentável, Património e Desenvolvimento</t>
  </si>
  <si>
    <t>https://www.google.com/search?q=site%3Auc.pt%20Turismo%20Sustent%C3%A1vel%2C%20Patrim%C3%B3nio%20e%20Desenvolvimento%20mestrado</t>
  </si>
  <si>
    <t>https://www.google.com/search?q=site%3Auc.pt%20Arquitetura%20mestrado%20integrado</t>
  </si>
  <si>
    <t>https://www.google.com/search?q=site%3Auc.pt%20Ci%C3%AAncias%20Farmac%C3%AAuticas%20mestrado%20integrado</t>
  </si>
  <si>
    <t>https://www.google.com/search?q=site%3Auc.pt%20Engenharia%20Biom%C3%A9dica%20mestrado%20integrado</t>
  </si>
  <si>
    <t>https://www.google.com/search?q=site%3Auc.pt%20Engenharia%20Civil%20mestrado%20integrado</t>
  </si>
  <si>
    <t>https://www.google.com/search?q=site%3Auc.pt%20Engenharia%20Eletrot%C3%A9cnica%20e%20de%20Computadores%20mestrado%20integrado</t>
  </si>
  <si>
    <t>https://www.google.com/search?q=site%3Auc.pt%20Engenharia%20F%C3%ADsica%20mestrado%20integrado</t>
  </si>
  <si>
    <t>https://www.google.com/search?q=site%3Auc.pt%20Engenharia%20Mec%C3%A2nica%20mestrado%20integrado</t>
  </si>
  <si>
    <t>https://www.google.com/search?q=site%3Auc.pt%20Engenharia%20Qu%C3%ADmica%20mestrado%20integrado</t>
  </si>
  <si>
    <t>https://www.google.com/search?q=site%3Auc.pt%20Engenharia%20do%20Ambiente%20mestrado%20integrado</t>
  </si>
  <si>
    <t>https://www.google.com/search?q=site%3Auc.pt%20Medicina%20mestrado%20integrado</t>
  </si>
  <si>
    <t>https://www.google.com/search?q=site%3Auc.pt%20Medicina%20Dent%C3%A1ria%20mestrado%20integrado</t>
  </si>
  <si>
    <t>EUVG, Av. José R. Sousa Fernandes, Campus Universitário – Bloco E, 3020‑210 Coimbra</t>
  </si>
  <si>
    <t>https://www.google.com/search?q=site%3Auc.pt%20Medicina%20Veterin%C3%A1ria%20mestrado%20integrado</t>
  </si>
  <si>
    <t>https://www.google.com/search?q=site%3Auc.pt%20Psicologia%20mestrado%20integrado</t>
  </si>
  <si>
    <t>Abordagem ao Doente Crítico – 26.ª edição</t>
  </si>
  <si>
    <t>https://www.google.com/search?q=site%3Auc.pt%20Abordagem%20ao%20Doente%20Cr%C3%ADtico%20%E2%80%93%2026.%C2%AA%20edi%C3%A7%C3%A3o%20p%C3%B3s-gradua%C3%A7%C3%A3o</t>
  </si>
  <si>
    <t>Avaliação e Intervenção com Famílias em Crise, Risco e Perigo – 4ª edição</t>
  </si>
  <si>
    <t>https://www.google.com/search?q=site%3Auc.pt%20Avalia%C3%A7%C3%A3o%20e%20Interven%C3%A7%C3%A3o%20com%20Fam%C3%ADlias%20em%20Crise%2C%20Risco%20e%20Perigo%20%E2%80%93%204%C2%AA%20edi%C3%A7%C3%A3o%20p%C3%B3s-gradua%C3%A7%C3%A3o</t>
  </si>
  <si>
    <t>88 horas; ECTS não indicados na ficha pública</t>
  </si>
  <si>
    <t>Comunicação e Design para Redes Sociais – NOVA PG</t>
  </si>
  <si>
    <t>https://www.google.com/search?q=site%3Auc.pt%20Comunica%C3%A7%C3%A3o%20e%20Design%20para%20Redes%20Sociais%20%E2%80%93%20NOVA%20PG%20p%C3%B3s-gradua%C3%A7%C3%A3o</t>
  </si>
  <si>
    <t>100% online; horário: Ter/Qui 18h–21h; horas/ECTS não indicados na síntese</t>
  </si>
  <si>
    <t>Habitat Urbano Sustentável</t>
  </si>
  <si>
    <t>ISEC – Coimbra</t>
  </si>
  <si>
    <t>https://www.google.com/search?q=site%3Auc.pt%20Habitat%20Urbano%20Sustent%C3%A1vel%20p%C3%B3s-gradua%C3%A7%C3%A3o</t>
  </si>
  <si>
    <t>https://www.google.com/search?q=site%3Auc.pt%20Medicina%20Interna%20de%20Animais%20de%20Companhia%20p%C3%B3s-gradua%C3%A7%C3%A3o</t>
  </si>
  <si>
    <t>Medicina de Conservação da Vida Selvagem</t>
  </si>
  <si>
    <t>https://www.google.com/search?q=site%3Auc.pt%20Medicina%20de%20Conserva%C3%A7%C3%A3o%20da%20Vida%20Selvagem%20p%C3%B3s-gradua%C3%A7%C3%A3o</t>
  </si>
  <si>
    <t>Tempo total não explicitado na página de lista (formação avançada, modular)</t>
  </si>
  <si>
    <t>Novos Animais de Companhia</t>
  </si>
  <si>
    <t>https://www.google.com/search?q=site%3Auc.pt%20Novos%20Animais%20de%20Companhia%20p%C3%B3s-gradua%C3%A7%C3%A3o</t>
  </si>
  <si>
    <t>80 horas totais; totalmente online; ECTS não indicados</t>
  </si>
  <si>
    <t>Redes Urbanas Inteligentes</t>
  </si>
  <si>
    <t>https://www.google.com/search?q=site%3Auc.pt%20Redes%20Urbanas%20Inteligentes%20p%C3%B3s-gradua%C3%A7%C3%A3o</t>
  </si>
  <si>
    <t>https://www.google.com/search?q=site%3Auc.pt%20Sistemas%20Avan%C3%A7ados%20de%20Gest%C3%A3o%20da%20Sa%C3%BAde%20p%C3%B3s-gradua%C3%A7%C3%A3o</t>
  </si>
  <si>
    <t>Universidade de Lisboa</t>
  </si>
  <si>
    <t>Instituto Superior de Agronomia</t>
  </si>
  <si>
    <t>https://www.google.com/search?q=site%3Aulisboa.pt%20Administra%C3%A7%C3%A3o%20P%C3%BAblica%20licenciatura</t>
  </si>
  <si>
    <t>Administração Pública e Políticas do Território</t>
  </si>
  <si>
    <t>ISCSP – Instituto Superior de Ciências Sociais e Políticas</t>
  </si>
  <si>
    <t>https://www.google.com/search?q=site%3Aulisboa.pt%20Administra%C3%A7%C3%A3o%20P%C3%BAblica%20e%20Pol%C3%ADticas%20do%20Territ%C3%B3rio%20licenciatura</t>
  </si>
  <si>
    <t>https://www.google.com/search?q=site%3Aulisboa.pt%20Antropologia%20licenciatura</t>
  </si>
  <si>
    <t>https://www.google.com/search?q=site%3Aulisboa.pt%20Arqueologia%20licenciatura</t>
  </si>
  <si>
    <t>Arquitetura Paisagista</t>
  </si>
  <si>
    <t>Instituto de Educação</t>
  </si>
  <si>
    <t>https://www.google.com/search?q=site%3Aulisboa.pt%20Arquitetura%20Paisagista%20licenciatura</t>
  </si>
  <si>
    <t>Faculdade de Belas-Artes</t>
  </si>
  <si>
    <t>https://www.google.com/search?q=site%3Aulisboa.pt%20Arte%20Multim%C3%A9dia%20licenciatura</t>
  </si>
  <si>
    <t>Artes e Humanidades</t>
  </si>
  <si>
    <t>Estudos Gerais</t>
  </si>
  <si>
    <t>https://www.google.com/search?q=site%3Aulisboa.pt%20Artes%20e%20Humanidades%20licenciatura</t>
  </si>
  <si>
    <t>https://www.google.com/search?q=site%3Aulisboa.pt%20Biologia%20licenciatura</t>
  </si>
  <si>
    <t>https://www.google.com/search?q=site%3Aulisboa.pt%20Bioqu%C3%ADmica%20licenciatura</t>
  </si>
  <si>
    <t>https://www.google.com/search?q=site%3Aulisboa.pt%20Ci%C3%AAncia%20Pol%C3%ADtica%20licenciatura</t>
  </si>
  <si>
    <t>https://www.google.com/search?q=site%3Aulisboa.pt%20Ci%C3%AAncia%20de%20Dados%20licenciatura</t>
  </si>
  <si>
    <t>Ciências da Arte e do Património</t>
  </si>
  <si>
    <t>https://www.google.com/search?q=site%3Aulisboa.pt%20Ci%C3%AAncias%20da%20Arte%20e%20do%20Patrim%C3%B3nio%20licenciatura</t>
  </si>
  <si>
    <t>https://www.google.com/search?q=site%3Aulisboa.pt%20Ci%C3%AAncias%20da%20Comunica%C3%A7%C3%A3o%20licenciatura</t>
  </si>
  <si>
    <t>Língua e Literatura</t>
  </si>
  <si>
    <t>https://www.google.com/search?q=site%3Aulisboa.pt%20Ci%C3%AAncias%20da%20Linguagem%20licenciatura</t>
  </si>
  <si>
    <t>https://www.google.com/search?q=site%3Aulisboa.pt%20Ci%C3%AAncias%20da%20Nutri%C3%A7%C3%A3o%20licenciatura</t>
  </si>
  <si>
    <t>https://www.google.com/search?q=site%3Aulisboa.pt%20Ci%C3%AAncias%20da%20Sa%C3%BAde%20licenciatura</t>
  </si>
  <si>
    <t>Belas-Artes</t>
  </si>
  <si>
    <t>Faculdade de Motricidade Humana</t>
  </si>
  <si>
    <t>https://www.google.com/search?q=site%3Aulisboa.pt%20Ci%C3%AAncias%20do%20Desporto%20licenciatura</t>
  </si>
  <si>
    <t>https://www.google.com/search?q=site%3Aulisboa.pt%20Dan%C3%A7a%20licenciatura</t>
  </si>
  <si>
    <t>https://www.google.com/search?q=site%3Aulisboa.pt%20Desenho%20licenciatura</t>
  </si>
  <si>
    <t>Faculdade de Arquitetura</t>
  </si>
  <si>
    <t>https://www.google.com/search?q=site%3Aulisboa.pt%20Design%20licenciatura</t>
  </si>
  <si>
    <t>https://www.google.com/search?q=site%3Aulisboa.pt%20Design%20de%20Comunica%C3%A7%C3%A3o%20licenciatura</t>
  </si>
  <si>
    <t>Design de Equipamento</t>
  </si>
  <si>
    <t>https://www.google.com/search?q=site%3Aulisboa.pt%20Design%20de%20Equipamento%20licenciatura</t>
  </si>
  <si>
    <t>https://www.google.com/search?q=site%3Aulisboa.pt%20Design%20de%20Moda%20licenciatura</t>
  </si>
  <si>
    <t>https://www.fd.ulisboa.pt/cursos/licenciatura</t>
  </si>
  <si>
    <t>Corrigido: duração 180-&gt;240 ECTS + campus + link oficial (Tavily, fd.ulisboa.pt) — 2026-06-15</t>
  </si>
  <si>
    <t>https://www.google.com/search?q=site%3Aulisboa.pt%20Economia%20licenciatura</t>
  </si>
  <si>
    <t>Educação e Formação</t>
  </si>
  <si>
    <t>https://www.google.com/search?q=site%3Aulisboa.pt%20Educa%C3%A7%C3%A3o%20e%20Forma%C3%A7%C3%A3o%20licenciatura</t>
  </si>
  <si>
    <t>Instituto Superior Técnico</t>
  </si>
  <si>
    <t>https://www.google.com/search?q=site%3Aulisboa.pt%20Engenharia%20Aeroespacial%20licenciatura</t>
  </si>
  <si>
    <t>Engenharias e Técnicas Afins</t>
  </si>
  <si>
    <t>https://www.google.com/search?q=site%3Aulisboa.pt%20Engenharia%20Agron%C3%B3mica%20licenciatura</t>
  </si>
  <si>
    <t>https://www.google.com/search?q=site%3Aulisboa.pt%20Engenharia%20Alimentar%20licenciatura</t>
  </si>
  <si>
    <t>Engenharia Biológica</t>
  </si>
  <si>
    <t>https://www.google.com/search?q=site%3Aulisboa.pt%20Engenharia%20Biol%C3%B3gica%20licenciatura</t>
  </si>
  <si>
    <t>https://www.google.com/search?q=site%3Aulisboa.pt%20Engenharia%20Biom%C3%A9dica%20licenciatura</t>
  </si>
  <si>
    <t>Engenharia Biomédica e Biofísica</t>
  </si>
  <si>
    <t>https://www.google.com/search?q=site%3Aulisboa.pt%20Engenharia%20Biom%C3%A9dica%20e%20Biof%C3%ADsica%20licenciatura</t>
  </si>
  <si>
    <t>https://www.google.com/search?q=site%3Aulisboa.pt%20Engenharia%20Civil%20licenciatura</t>
  </si>
  <si>
    <t>Engenharia Civil (ULisboa e SHU)</t>
  </si>
  <si>
    <t>https://www.google.com/search?q=site%3Aulisboa.pt%20Engenharia%20Civil%20%28ULisboa%20e%20SHU%29%20licenciatura</t>
  </si>
  <si>
    <t>https://www.google.com/search?q=site%3Aulisboa.pt%20Engenharia%20Eletrot%C3%A9cnica%20e%20de%20Computadores%20licenciatura</t>
  </si>
  <si>
    <t>Engenharia Eletrotécnica e de Computadores (ULisboa e SHU)</t>
  </si>
  <si>
    <t>https://www.google.com/search?q=site%3Aulisboa.pt%20Engenharia%20Eletrot%C3%A9cnica%20e%20de%20Computadores%20%28ULisboa%20e%20SHU%29%20licenciatura</t>
  </si>
  <si>
    <t>Engenharia Eletrónica</t>
  </si>
  <si>
    <t>https://www.google.com/search?q=site%3Aulisboa.pt%20Engenharia%20Eletr%C3%B3nica%20licenciatura</t>
  </si>
  <si>
    <t>Engenharia Florestal e dos Recursos Naturais</t>
  </si>
  <si>
    <t>https://www.google.com/search?q=site%3Aulisboa.pt%20Engenharia%20Florestal%20e%20dos%20Recursos%20Naturais%20licenciatura</t>
  </si>
  <si>
    <t>https://www.google.com/search?q=site%3Aulisboa.pt%20Engenharia%20F%C3%ADsica%20licenciatura</t>
  </si>
  <si>
    <t>Engenharia Física Tecnológica</t>
  </si>
  <si>
    <t>https://www.google.com/search?q=site%3Aulisboa.pt%20Engenharia%20F%C3%ADsica%20Tecnol%C3%B3gica%20licenciatura</t>
  </si>
  <si>
    <t>Engenharia Geoespacial</t>
  </si>
  <si>
    <t>https://www.google.com/search?q=site%3Aulisboa.pt%20Engenharia%20Geoespacial%20licenciatura</t>
  </si>
  <si>
    <t>Engenharia Geral (GENI)</t>
  </si>
  <si>
    <t>https://www.google.com/search?q=site%3Aulisboa.pt%20Engenharia%20Geral%20%28GENI%29%20licenciatura</t>
  </si>
  <si>
    <t>https://www.google.com/search?q=site%3Aulisboa.pt%20Engenharia%20Inform%C3%A1tica%20licenciatura</t>
  </si>
  <si>
    <t>https://www.google.com/search?q=site%3Aulisboa.pt%20Engenharia%20Inform%C3%A1tica%20e%20de%20Computadores%20licenciatura</t>
  </si>
  <si>
    <t>https://www.google.com/search?q=site%3Aulisboa.pt%20Engenharia%20Mec%C3%A2nica%20licenciatura</t>
  </si>
  <si>
    <t>https://www.google.com/search?q=site%3Aulisboa.pt%20Engenharia%20Naval%20e%20Oce%C3%A2nica%20licenciatura</t>
  </si>
  <si>
    <t>Processos Químicos</t>
  </si>
  <si>
    <t>https://www.google.com/search?q=site%3Aulisboa.pt%20Engenharia%20Qu%C3%ADmica%20licenciatura</t>
  </si>
  <si>
    <t>https://www.google.com/search?q=site%3Aulisboa.pt%20Engenharia%20Zoot%C3%A9cnica%20licenciatura</t>
  </si>
  <si>
    <t>Engenharia da Energia e Ambiente</t>
  </si>
  <si>
    <t>https://www.google.com/search?q=site%3Aulisboa.pt%20Engenharia%20da%20Energia%20e%20Ambiente%20licenciatura</t>
  </si>
  <si>
    <t>https://www.google.com/search?q=site%3Aulisboa.pt%20Engenharia%20de%20Materiais%20licenciatura</t>
  </si>
  <si>
    <t>Engenharia de Minas e Recursos Energéticos</t>
  </si>
  <si>
    <t>Indústrias Extrativas</t>
  </si>
  <si>
    <t>https://www.google.com/search?q=site%3Aulisboa.pt%20Engenharia%20de%20Minas%20e%20Recursos%20Energ%C3%A9ticos%20licenciatura</t>
  </si>
  <si>
    <t>https://www.google.com/search?q=site%3Aulisboa.pt%20Engenharia%20de%20Telecomunica%C3%A7%C3%B5es%20e%20Inform%C3%A1tica%20licenciatura</t>
  </si>
  <si>
    <t>https://www.google.com/search?q=site%3Aulisboa.pt%20Engenharia%20do%20Ambiente%20licenciatura</t>
  </si>
  <si>
    <t>Engenharia do Ambiente (ULisboa e SHU)</t>
  </si>
  <si>
    <t>https://www.google.com/search?q=site%3Aulisboa.pt%20Engenharia%20do%20Ambiente%20%28ULisboa%20e%20SHU%29%20licenciatura</t>
  </si>
  <si>
    <t>https://www.google.com/search?q=site%3Aulisboa.pt%20Engenharia%20e%20Gest%C3%A3o%20Industrial%20licenciatura</t>
  </si>
  <si>
    <t>Ergonomia</t>
  </si>
  <si>
    <t>https://www.google.com/search?q=site%3Aulisboa.pt%20Ergonomia%20licenciatura</t>
  </si>
  <si>
    <t>Escultura</t>
  </si>
  <si>
    <t>https://www.google.com/search?q=site%3Aulisboa.pt%20Escultura%20licenciatura</t>
  </si>
  <si>
    <t>Estatística Aplicada</t>
  </si>
  <si>
    <t>https://www.google.com/search?q=site%3Aulisboa.pt%20Estat%C3%ADstica%20Aplicada%20licenciatura</t>
  </si>
  <si>
    <t>https://www.google.com/search?q=site%3Aulisboa.pt%20Estudos%20Africanos%20licenciatura</t>
  </si>
  <si>
    <t>https://www.google.com/search?q=site%3Aulisboa.pt%20Estudos%20Art%C3%ADsticos%20licenciatura</t>
  </si>
  <si>
    <t>https://www.google.com/search?q=site%3Aulisboa.pt%20Estudos%20Asi%C3%A1ticos%20licenciatura</t>
  </si>
  <si>
    <t>https://www.google.com/search?q=site%3Aulisboa.pt%20Estudos%20Cl%C3%A1ssicos%20licenciatura</t>
  </si>
  <si>
    <t>Estudos Comparatistas</t>
  </si>
  <si>
    <t>https://www.google.com/search?q=site%3Aulisboa.pt%20Estudos%20Comparatistas%20licenciatura</t>
  </si>
  <si>
    <t>https://www.google.com/search?q=site%3Aulisboa.pt%20Estudos%20Europeus%20licenciatura</t>
  </si>
  <si>
    <t>https://www.google.com/search?q=site%3Aulisboa.pt%20Estudos%20Gerais%20licenciatura</t>
  </si>
  <si>
    <t>https://www.google.com/search?q=site%3Aulisboa.pt%20Estudos%20Portugueses%20licenciatura</t>
  </si>
  <si>
    <t>Estudos de Cultura e Comunicação Intercultural</t>
  </si>
  <si>
    <t>https://www.google.com/search?q=site%3Aulisboa.pt%20Estudos%20de%20Cultura%20e%20Comunica%C3%A7%C3%A3o%20Intercultural%20licenciatura</t>
  </si>
  <si>
    <t>https://www.google.com/search?q=site%3Aulisboa.pt%20Filosofia%20licenciatura</t>
  </si>
  <si>
    <t>ISEG – Instituto Superior de Economia e Gestão</t>
  </si>
  <si>
    <t>https://www.google.com/search?q=site%3Aulisboa.pt%20Finan%C3%A7as%20licenciatura</t>
  </si>
  <si>
    <t>https://www.google.com/search?q=site%3Aulisboa.pt%20F%C3%ADsica%20licenciatura</t>
  </si>
  <si>
    <t>https://www.google.com/search?q=site%3Aulisboa.pt%20Geografia%20licenciatura</t>
  </si>
  <si>
    <t>https://www.google.com/search?q=site%3Aulisboa.pt%20Geoinform%C3%A1tica%20licenciatura</t>
  </si>
  <si>
    <t>https://www.google.com/search?q=site%3Aulisboa.pt%20Geologia%20licenciatura</t>
  </si>
  <si>
    <t>https://www.google.com/search?q=site%3Aulisboa.pt%20Gest%C3%A3o%20licenciatura</t>
  </si>
  <si>
    <t>https://www.google.com/search?q=site%3Aulisboa.pt%20Gest%C3%A3o%20de%20Recursos%20Humanos%20licenciatura</t>
  </si>
  <si>
    <t>https://www.google.com/search?q=site%3Aulisboa.pt%20Gest%C3%A3o%20do%20Desporto%20licenciatura</t>
  </si>
  <si>
    <t>Faculdade de Medicina Dentária</t>
  </si>
  <si>
    <t>https://www.google.com/search?q=site%3Aulisboa.pt%20Higiene%20Oral%20licenciatura</t>
  </si>
  <si>
    <t>https://www.google.com/search?q=site%3Aulisboa.pt%20Hist%C3%B3ria%20licenciatura</t>
  </si>
  <si>
    <t>https://www.google.com/search?q=site%3Aulisboa.pt%20Hist%C3%B3ria%20da%20Arte%20licenciatura</t>
  </si>
  <si>
    <t>https://www.google.com/search?q=site%3Aulisboa.pt%20L%C3%ADnguas%2C%20Literaturas%20e%20Culturas%20licenciatura</t>
  </si>
  <si>
    <t>https://www.google.com/search?q=site%3Aulisboa.pt%20Matem%C3%A1tica%20licenciatura</t>
  </si>
  <si>
    <t>Matemática Aplicada</t>
  </si>
  <si>
    <t>https://www.google.com/search?q=site%3Aulisboa.pt%20Matem%C3%A1tica%20Aplicada%20licenciatura</t>
  </si>
  <si>
    <t>Matemática Aplicada e Computação</t>
  </si>
  <si>
    <t>https://www.google.com/search?q=site%3Aulisboa.pt%20Matem%C3%A1tica%20Aplicada%20e%20Computa%C3%A7%C3%A3o%20licenciatura</t>
  </si>
  <si>
    <t>Matemática Aplicada à Economia e à Gestão</t>
  </si>
  <si>
    <t>https://www.google.com/search?q=site%3Aulisboa.pt%20Matem%C3%A1tica%20Aplicada%20%C3%A0%20Economia%20e%20%C3%A0%20Gest%C3%A3o%20licenciatura</t>
  </si>
  <si>
    <t>Meteorologia, Oceanografia e Geofísica</t>
  </si>
  <si>
    <t>https://www.google.com/search?q=site%3Aulisboa.pt%20Meteorologia%2C%20Oceanografia%20e%20Geof%C3%ADsica%20licenciatura</t>
  </si>
  <si>
    <t>Pintura</t>
  </si>
  <si>
    <t>https://www.google.com/search?q=site%3Aulisboa.pt%20Pintura%20licenciatura</t>
  </si>
  <si>
    <t>Planeamento e Gestão do Território</t>
  </si>
  <si>
    <t>https://www.google.com/search?q=site%3Aulisboa.pt%20Planeamento%20e%20Gest%C3%A3o%20do%20Territ%C3%B3rio%20licenciatura</t>
  </si>
  <si>
    <t>https://www.google.com/search?q=site%3Aulisboa.pt%20Pr%C3%B3tese%20Dent%C3%A1ria%20licenciatura</t>
  </si>
  <si>
    <t>Faculdade de Psicologia</t>
  </si>
  <si>
    <t>https://www.google.com/search?q=site%3Aulisboa.pt%20Psicologia%20licenciatura</t>
  </si>
  <si>
    <t>https://www.google.com/search?q=site%3Aulisboa.pt%20Qu%C3%ADmica%20licenciatura</t>
  </si>
  <si>
    <t>Química Tecnológica</t>
  </si>
  <si>
    <t>https://www.google.com/search?q=site%3Aulisboa.pt%20Qu%C3%ADmica%20Tecnol%C3%B3gica%20licenciatura</t>
  </si>
  <si>
    <t>Reabilitação Psicomotora</t>
  </si>
  <si>
    <t>https://www.google.com/search?q=site%3Aulisboa.pt%20Reabilita%C3%A7%C3%A3o%20Psicomotora%20licenciatura</t>
  </si>
  <si>
    <t>https://www.google.com/search?q=site%3Aulisboa.pt%20Rela%C3%A7%C3%B5es%20Internacionais%20licenciatura</t>
  </si>
  <si>
    <t>https://www.google.com/search?q=site%3Aulisboa.pt%20Servi%C3%A7o%20Social%20licenciatura</t>
  </si>
  <si>
    <t>https://www.google.com/search?q=site%3Aulisboa.pt%20Sociologia%20licenciatura</t>
  </si>
  <si>
    <t>Tecnologias de Informação</t>
  </si>
  <si>
    <t>https://www.google.com/search?q=site%3Aulisboa.pt%20Tecnologias%20de%20Informa%C3%A7%C3%A3o%20licenciatura</t>
  </si>
  <si>
    <t>https://www.google.com/search?q=site%3Aulisboa.pt%20Tradu%C3%A7%C3%A3o%20licenciatura</t>
  </si>
  <si>
    <t>https://www.google.com/search?q=site%3Aulisboa.pt%20Administra%C3%A7%C3%A3o%20P%C3%BAblica%20mestrado</t>
  </si>
  <si>
    <t>https://www.google.com/search?q=site%3Aulisboa.pt%20Antropologia%20mestrado</t>
  </si>
  <si>
    <t>Análise de Dados Empresariais</t>
  </si>
  <si>
    <t>https://www.google.com/search?q=site%3Aulisboa.pt%20An%C3%A1lise%20de%20Dados%20Empresariais%20mestrado</t>
  </si>
  <si>
    <t>https://www.google.com/search?q=site%3Aulisboa.pt%20An%C3%A1lises%20Cl%C3%ADnicas%20mestrado</t>
  </si>
  <si>
    <t>https://www.google.com/search?q=site%3Aulisboa.pt%20Arqueologia%20mestrado</t>
  </si>
  <si>
    <t>https://www.google.com/search?q=site%3Aulisboa.pt%20Arquitetura%20Paisagista%20mestrado</t>
  </si>
  <si>
    <t>https://www.google.com/search?q=site%3Aulisboa.pt%20Arte%20Multim%C3%A9dia%20mestrado</t>
  </si>
  <si>
    <t>https://www.google.com/search?q=site%3Aulisboa.pt%20Arte%20e%20Ci%C3%AAncia%20do%20Vidro%20e%20da%20Cer%C3%A2mica%20mestrado</t>
  </si>
  <si>
    <t>Bioengenharia e Nanossistemas</t>
  </si>
  <si>
    <t>https://www.google.com/search?q=site%3Aulisboa.pt%20Bioengenharia%20e%20Nanossistemas%20mestrado</t>
  </si>
  <si>
    <t>Bioengenharia em Medicina Regenerativa e de Precisão</t>
  </si>
  <si>
    <t>https://www.google.com/search?q=site%3Aulisboa.pt%20Bioengenharia%20em%20Medicina%20Regenerativa%20e%20de%20Precis%C3%A3o%20mestrado</t>
  </si>
  <si>
    <t>Bioestatística</t>
  </si>
  <si>
    <t>https://www.google.com/search?q=site%3Aulisboa.pt%20Bioestat%C3%ADstica%20mestrado</t>
  </si>
  <si>
    <t>Bioinformática e Biologia Computacional</t>
  </si>
  <si>
    <t>https://www.google.com/search?q=site%3Aulisboa.pt%20Bioinform%C3%A1tica%20e%20Biologia%20Computacional%20mestrado</t>
  </si>
  <si>
    <t>Biologia Humana e Ambiente</t>
  </si>
  <si>
    <t>https://www.google.com/search?q=site%3Aulisboa.pt%20Biologia%20Humana%20e%20Ambiente%20mestrado</t>
  </si>
  <si>
    <t>Biologia Molecular e Genética</t>
  </si>
  <si>
    <t>https://www.google.com/search?q=site%3Aulisboa.pt%20Biologia%20Molecular%20e%20Gen%C3%A9tica%20mestrado</t>
  </si>
  <si>
    <t>Biologia da Conservação</t>
  </si>
  <si>
    <t>https://www.google.com/search?q=site%3Aulisboa.pt%20Biologia%20da%20Conserva%C3%A7%C3%A3o%20mestrado</t>
  </si>
  <si>
    <t>Biologia do Organismo e Evolução</t>
  </si>
  <si>
    <t>https://www.google.com/search?q=site%3Aulisboa.pt%20Biologia%20do%20Organismo%20e%20Evolu%C3%A7%C3%A3o%20mestrado</t>
  </si>
  <si>
    <t>Biologia dos Recursos Vegetais</t>
  </si>
  <si>
    <t>https://www.google.com/search?q=site%3Aulisboa.pt%20Biologia%20dos%20Recursos%20Vegetais%20mestrado</t>
  </si>
  <si>
    <t>Bioquimica e Biomedicina</t>
  </si>
  <si>
    <t>https://www.google.com/search?q=site%3Aulisboa.pt%20Bioquimica%20e%20Biomedicina%20mestrado</t>
  </si>
  <si>
    <t>https://www.google.com/search?q=site%3Aulisboa.pt%20Biotecnologia%20mestrado</t>
  </si>
  <si>
    <t>Ciência Cognitiva</t>
  </si>
  <si>
    <t>https://www.google.com/search?q=site%3Aulisboa.pt%20Ci%C3%AAncia%20Cognitiva%20mestrado</t>
  </si>
  <si>
    <t>https://www.google.com/search?q=site%3Aulisboa.pt%20Ci%C3%AAncia%20Pol%C3%ADtica%20mestrado</t>
  </si>
  <si>
    <t>https://www.google.com/search?q=site%3Aulisboa.pt%20Ci%C3%AAncia%20de%20Dados%20mestrado</t>
  </si>
  <si>
    <t>Ciência de Dados em Agricultura, Alimentação, Floresta e Ambiente</t>
  </si>
  <si>
    <t>https://www.google.com/search?q=site%3Aulisboa.pt%20Ci%C3%AAncia%20de%20Dados%20em%20Agricultura%2C%20Alimenta%C3%A7%C3%A3o%2C%20Floresta%20e%20Ambiente%20mestrado</t>
  </si>
  <si>
    <t>Ciência e Engenharia Moleculares</t>
  </si>
  <si>
    <t>https://www.google.com/search?q=site%3Aulisboa.pt%20Ci%C3%AAncia%20e%20Engenharia%20Moleculares%20mestrado</t>
  </si>
  <si>
    <t>Ciências Actuariais</t>
  </si>
  <si>
    <t>https://www.google.com/search?q=site%3Aulisboa.pt%20Ci%C3%AAncias%20Actuariais%20mestrado</t>
  </si>
  <si>
    <t>Ciências Biofarmacêuticas</t>
  </si>
  <si>
    <t>https://www.google.com/search?q=site%3Aulisboa.pt%20Ci%C3%AAncias%20Biofarmac%C3%AAuticas%20mestrado</t>
  </si>
  <si>
    <t>https://www.google.com/search?q=site%3Aulisboa.pt%20Ci%C3%AAncias%20Empresariais%20mestrado</t>
  </si>
  <si>
    <t>Ciências Equinas</t>
  </si>
  <si>
    <t>Faculdade Medicina Veterinária</t>
  </si>
  <si>
    <t>https://www.google.com/search?q=site%3Aulisboa.pt%20Ci%C3%AAncias%20Equinas%20mestrado</t>
  </si>
  <si>
    <t>https://www.google.com/search?q=site%3Aulisboa.pt%20Ci%C3%AAncias%20Gastron%C3%B3micas%20mestrado</t>
  </si>
  <si>
    <t>Ciências Geofísicas</t>
  </si>
  <si>
    <t>https://www.google.com/search?q=site%3Aulisboa.pt%20Ci%C3%AAncias%20Geof%C3%ADsicas%20mestrado</t>
  </si>
  <si>
    <t>Ciências Médico-Dentárias</t>
  </si>
  <si>
    <t>https://www.google.com/search?q=site%3Aulisboa.pt%20Ci%C3%AAncias%20M%C3%A9dico-Dent%C3%A1rias%20mestrado</t>
  </si>
  <si>
    <t>Ciências da Complexidade</t>
  </si>
  <si>
    <t>https://www.google.com/search?q=site%3Aulisboa.pt%20Ci%C3%AAncias%20da%20Complexidade%20mestrado</t>
  </si>
  <si>
    <t>https://www.google.com/search?q=site%3Aulisboa.pt%20Ci%C3%AAncias%20da%20Comunica%C3%A7%C3%A3o%20mestrado</t>
  </si>
  <si>
    <t>Ciências da Documentação e Informação</t>
  </si>
  <si>
    <t>Biblioteconomia, Arquivística e Documentação</t>
  </si>
  <si>
    <t>https://www.google.com/search?q=site%3Aulisboa.pt%20Ci%C3%AAncias%20da%20Documenta%C3%A7%C3%A3o%20e%20Informa%C3%A7%C3%A3o%20mestrado</t>
  </si>
  <si>
    <t>Ciências do Mar</t>
  </si>
  <si>
    <t>https://www.google.com/search?q=site%3Aulisboa.pt%20Ci%C3%AAncias%20do%20Mar%20mestrado</t>
  </si>
  <si>
    <t>Ciências e Tecnologias da Saúde Oral</t>
  </si>
  <si>
    <t>https://www.google.com/search?q=site%3Aulisboa.pt%20Ci%C3%AAncias%20e%20Tecnologias%20da%20Sa%C3%BAde%20Oral%20mestrado</t>
  </si>
  <si>
    <t>Ciências e Tecnologias para o Património Cultural</t>
  </si>
  <si>
    <t>https://www.google.com/search?q=site%3Aulisboa.pt%20Ci%C3%AAncias%20e%20Tecnologias%20para%20o%20Patrim%C3%B3nio%20Cultural%20mestrado</t>
  </si>
  <si>
    <t>Conservação da Arte Moderna e Comtemporânea</t>
  </si>
  <si>
    <t>https://www.google.com/search?q=site%3Aulisboa.pt%20Conserva%C3%A7%C3%A3o%20da%20Arte%20Moderna%20e%20Comtempor%C3%A2nea%20mestrado</t>
  </si>
  <si>
    <t>https://www.google.com/search?q=site%3Aulisboa.pt%20Contabilidade%20mestrado</t>
  </si>
  <si>
    <t>Contabilidade, Fiscalidade e Finanças Empresariais</t>
  </si>
  <si>
    <t>https://www.google.com/search?q=site%3Aulisboa.pt%20Contabilidade%2C%20Fiscalidade%20e%20Finan%C3%A7as%20Empresariais%20mestrado</t>
  </si>
  <si>
    <t>Cosmetologia Avançada</t>
  </si>
  <si>
    <t>https://www.google.com/search?q=site%3Aulisboa.pt%20Cosmetologia%20Avan%C3%A7ada%20mestrado</t>
  </si>
  <si>
    <t>Crítica Textual</t>
  </si>
  <si>
    <t>https://www.google.com/search?q=site%3Aulisboa.pt%20Cr%C3%ADtica%20Textual%20mestrado</t>
  </si>
  <si>
    <t>Crítica e Curadoria de Arte</t>
  </si>
  <si>
    <t>https://www.google.com/search?q=site%3Aulisboa.pt%20Cr%C3%ADtica%20e%20Curadoria%20de%20Arte%20mestrado</t>
  </si>
  <si>
    <t>https://www.google.com/search?q=site%3Aulisboa.pt%20Cuidados%20Paliativos%20mestrado</t>
  </si>
  <si>
    <t>Cultura Científica e Divulgação das Ciências</t>
  </si>
  <si>
    <t>https://www.google.com/search?q=site%3Aulisboa.pt%20Cultura%20Cient%C3%ADfica%20e%20Divulga%C3%A7%C3%A3o%20das%20Ci%C3%AAncias%20mestrado</t>
  </si>
  <si>
    <t>Cultura e Comunicação</t>
  </si>
  <si>
    <t>https://www.google.com/search?q=site%3Aulisboa.pt%20Cultura%20e%20Comunica%C3%A7%C3%A3o%20mestrado</t>
  </si>
  <si>
    <t>https://www.google.com/search?q=site%3Aulisboa.pt%20Desenho%20mestrado</t>
  </si>
  <si>
    <t>Desenvolvimento e Cooperação Internacional</t>
  </si>
  <si>
    <t>https://www.google.com/search?q=site%3Aulisboa.pt%20Desenvolvimento%20e%20Coopera%C3%A7%C3%A3o%20Internacional%20mestrado</t>
  </si>
  <si>
    <t>https://www.google.com/search?q=site%3Aulisboa.pt%20Design%20Gr%C3%A1fico%20mestrado</t>
  </si>
  <si>
    <t>Design Sustentável no Mundo Mediterrânico</t>
  </si>
  <si>
    <t>https://www.google.com/search?q=site%3Aulisboa.pt%20Design%20Sustent%C3%A1vel%20no%20Mundo%20Mediterr%C3%A2nico%20mestrado</t>
  </si>
  <si>
    <t>https://www.google.com/search?q=site%3Aulisboa.pt%20Design%20de%20Comunica%C3%A7%C3%A3o%20mestrado</t>
  </si>
  <si>
    <t>https://www.google.com/search?q=site%3Aulisboa.pt%20Design%20de%20Equipamento%20mestrado</t>
  </si>
  <si>
    <t>https://www.google.com/search?q=site%3Aulisboa.pt%20Design%20de%20Intera%C3%A7%C3%A3o%20mestrado</t>
  </si>
  <si>
    <t>https://www.google.com/search?q=site%3Aulisboa.pt%20Design%20de%20Moda%20mestrado</t>
  </si>
  <si>
    <t>https://www.google.com/search?q=site%3Aulisboa.pt%20Design%20de%20Produto%20mestrado</t>
  </si>
  <si>
    <t>https://www.google.com/search?q=site%3Aulisboa.pt%20Design%20do%20Vestu%C3%A1rio%20e%20T%C3%AAxtil%20mestrado</t>
  </si>
  <si>
    <t>https://www.google.com/search?q=site%3Aulisboa.pt%20Design%20para%20a%20Sustentabilidade%20mestrado</t>
  </si>
  <si>
    <t>Design, Território, Identidade e Bens Culturais (Erasmus Mundus)</t>
  </si>
  <si>
    <t>https://www.google.com/search?q=site%3Aulisboa.pt%20Design%2C%20Territ%C3%B3rio%2C%20Identidade%20e%20Bens%20Culturais%20%28Erasmus%20Mundus%29%20mestrado</t>
  </si>
  <si>
    <t>https://www.google.com/search?q=site%3Aulisboa.pt%20Direito%20mestrado</t>
  </si>
  <si>
    <t>Direito e Ciência Jurídica</t>
  </si>
  <si>
    <t>https://www.google.com/search?q=site%3Aulisboa.pt%20Direito%20e%20Ci%C3%AAncia%20Jur%C3%ADdica%20mestrado</t>
  </si>
  <si>
    <t>https://www.google.com/search?q=site%3Aulisboa.pt%20Direito%20e%20Gest%C3%A3o%20mestrado</t>
  </si>
  <si>
    <t>Direito e Prática Jurídica</t>
  </si>
  <si>
    <t>https://www.google.com/search?q=site%3Aulisboa.pt%20Direito%20e%20Pr%C3%A1tica%20Jur%C3%ADdica%20mestrado</t>
  </si>
  <si>
    <t>Direito e Prática Jurídica Europeia</t>
  </si>
  <si>
    <t>https://www.google.com/search?q=site%3Aulisboa.pt%20Direito%20e%20Pr%C3%A1tica%20Jur%C3%ADdica%20Europeia%20mestrado</t>
  </si>
  <si>
    <t>Doenças Metabólicas e Comportamento Alimentar</t>
  </si>
  <si>
    <t>https://www.google.com/search?q=site%3Aulisboa.pt%20Doen%C3%A7as%20Metab%C3%B3licas%20e%20Comportamento%20Alimentar%20mestrado</t>
  </si>
  <si>
    <t>Ecologia Marinha</t>
  </si>
  <si>
    <t>https://www.google.com/search?q=site%3Aulisboa.pt%20Ecologia%20Marinha%20mestrado</t>
  </si>
  <si>
    <t>Ecologia das Alterações Globais e Gestão da Biodiversidade – Erasmus Mundus</t>
  </si>
  <si>
    <t>https://www.google.com/search?q=site%3Aulisboa.pt%20Ecologia%20das%20Altera%C3%A7%C3%B5es%20Globais%20e%20Gest%C3%A3o%20da%20Biodiversidade%20%E2%80%93%20Erasmus%20Mundus%20mestrado</t>
  </si>
  <si>
    <t>Ecologia e Gestão Ambiental</t>
  </si>
  <si>
    <t>https://www.google.com/search?q=site%3Aulisboa.pt%20Ecologia%20e%20Gest%C3%A3o%20Ambiental%20mestrado</t>
  </si>
  <si>
    <t>Econometria Aplicada e Previsão</t>
  </si>
  <si>
    <t>https://www.google.com/search?q=site%3Aulisboa.pt%20Econometria%20Aplicada%20e%20Previs%C3%A3o%20mestrado</t>
  </si>
  <si>
    <t>https://www.google.com/search?q=site%3Aulisboa.pt%20Economia%20mestrado</t>
  </si>
  <si>
    <t>Economia Internacional e Estudos Europeus</t>
  </si>
  <si>
    <t>https://www.google.com/search?q=site%3Aulisboa.pt%20Economia%20Internacional%20e%20Estudos%20Europeus%20mestrado</t>
  </si>
  <si>
    <t>Economia Monetária e Financeira</t>
  </si>
  <si>
    <t>https://www.google.com/search?q=site%3Aulisboa.pt%20Economia%20Monet%C3%A1ria%20e%20Financeira%20mestrado</t>
  </si>
  <si>
    <t>Economia e Políticas Públicas</t>
  </si>
  <si>
    <t>https://www.google.com/search?q=site%3Aulisboa.pt%20Economia%20e%20Pol%C3%ADticas%20P%C3%BAblicas%20mestrado</t>
  </si>
  <si>
    <t>https://www.google.com/search?q=site%3Aulisboa.pt%20Educa%C3%A7%C3%A3o%20mestrado</t>
  </si>
  <si>
    <t>https://www.google.com/search?q=site%3Aulisboa.pt%20Educa%C3%A7%C3%A3o%20Art%C3%ADstica%20mestrado</t>
  </si>
  <si>
    <t>https://www.google.com/search?q=site%3Aulisboa.pt%20Educa%C3%A7%C3%A3o%20e%20Forma%C3%A7%C3%A3o%20mestrado</t>
  </si>
  <si>
    <t>Educação e Tecnologias Digitais</t>
  </si>
  <si>
    <t>Formação de Professores de Biologia e Geologia</t>
  </si>
  <si>
    <t>https://www.google.com/search?q=site%3Aulisboa.pt%20Educa%C3%A7%C3%A3o%20e%20Tecnologias%20Digitais%20mestrado</t>
  </si>
  <si>
    <t>https://www.google.com/search?q=site%3Aulisboa.pt%20Engenharia%20Aeroespacial%20mestrado</t>
  </si>
  <si>
    <t>https://www.google.com/search?q=site%3Aulisboa.pt%20Engenharia%20Agron%C3%B3mica%20mestrado</t>
  </si>
  <si>
    <t>https://www.google.com/search?q=site%3Aulisboa.pt%20Engenharia%20Alimentar%20mestrado</t>
  </si>
  <si>
    <t>https://www.google.com/search?q=site%3Aulisboa.pt%20Engenharia%20Biol%C3%B3gica%20mestrado</t>
  </si>
  <si>
    <t>https://www.google.com/search?q=site%3Aulisboa.pt%20Engenharia%20Biom%C3%A9dica%20mestrado</t>
  </si>
  <si>
    <t>https://www.google.com/search?q=site%3Aulisboa.pt%20Engenharia%20Biom%C3%A9dica%20e%20Biof%C3%ADsica%20mestrado</t>
  </si>
  <si>
    <t>https://www.google.com/search?q=site%3Aulisboa.pt%20Engenharia%20Civil%20mestrado</t>
  </si>
  <si>
    <t>https://www.google.com/search?q=site%3Aulisboa.pt%20Engenharia%20Civil%20%28ULisboa%20e%20SHU%29%20mestrado</t>
  </si>
  <si>
    <t>https://www.google.com/search?q=site%3Aulisboa.pt%20Engenharia%20Eletrot%C3%A9cnica%20e%20de%20Computadores%20mestrado</t>
  </si>
  <si>
    <t>https://www.google.com/search?q=site%3Aulisboa.pt%20Engenharia%20Eletrot%C3%A9cnica%20e%20de%20Computadores%20%28ULisboa%20e%20SHU%29%20mestrado</t>
  </si>
  <si>
    <t>https://www.google.com/search?q=site%3Aulisboa.pt%20Engenharia%20Eletr%C3%B3nica%20mestrado</t>
  </si>
  <si>
    <t>Engenharia Farmacêutica</t>
  </si>
  <si>
    <t>https://www.google.com/search?q=site%3Aulisboa.pt%20Engenharia%20Farmac%C3%AAutica%20mestrado</t>
  </si>
  <si>
    <t>Ambientes Naturais</t>
  </si>
  <si>
    <t>https://www.google.com/search?q=site%3Aulisboa.pt%20Engenharia%20Florestal%20e%20dos%20Recursos%20Naturais%20mestrado</t>
  </si>
  <si>
    <t>https://www.google.com/search?q=site%3Aulisboa.pt%20Engenharia%20F%C3%ADsica%20mestrado</t>
  </si>
  <si>
    <t>https://www.google.com/search?q=site%3Aulisboa.pt%20Engenharia%20F%C3%ADsica%20Tecnol%C3%B3gica%20mestrado</t>
  </si>
  <si>
    <t>https://www.google.com/search?q=site%3Aulisboa.pt%20Engenharia%20Geoespacial%20mestrado</t>
  </si>
  <si>
    <t>https://www.google.com/search?q=site%3Aulisboa.pt%20Engenharia%20Geol%C3%B3gica%20e%20de%20Minas%20mestrado</t>
  </si>
  <si>
    <t>https://www.google.com/search?q=site%3Aulisboa.pt%20Engenharia%20Inform%C3%A1tica%20mestrado</t>
  </si>
  <si>
    <t>https://www.google.com/search?q=site%3Aulisboa.pt%20Engenharia%20Inform%C3%A1tica%20e%20de%20Computadores%20mestrado</t>
  </si>
  <si>
    <t>https://www.google.com/search?q=site%3Aulisboa.pt%20Engenharia%20Mec%C3%A2nica%20mestrado</t>
  </si>
  <si>
    <t>https://www.google.com/search?q=site%3Aulisboa.pt%20Engenharia%20Naval%20e%20Oce%C3%A2nica%20mestrado</t>
  </si>
  <si>
    <t>https://www.google.com/search?q=site%3Aulisboa.pt%20Engenharia%20Qu%C3%ADmica%20mestrado</t>
  </si>
  <si>
    <t>https://www.google.com/search?q=site%3Aulisboa.pt%20Engenharia%20Zoot%C3%A9cnica%20mestrado</t>
  </si>
  <si>
    <t>https://www.google.com/search?q=site%3Aulisboa.pt%20Engenharia%20da%20Energia%20e%20Ambiente%20mestrado</t>
  </si>
  <si>
    <t>https://www.google.com/search?q=site%3Aulisboa.pt%20Engenharia%20de%20Materiais%20mestrado</t>
  </si>
  <si>
    <t>Engenharia de Sistemas de Transportes</t>
  </si>
  <si>
    <t>https://www.google.com/search?q=site%3Aulisboa.pt%20Engenharia%20de%20Sistemas%20de%20Transportes%20mestrado</t>
  </si>
  <si>
    <t>https://www.google.com/search?q=site%3Aulisboa.pt%20Engenharia%20de%20Telecomunica%C3%A7%C3%B5es%20e%20Inform%C3%A1tica%20mestrado</t>
  </si>
  <si>
    <t>Engenharia de Viticultura e Enologia</t>
  </si>
  <si>
    <t>https://www.google.com/search?q=site%3Aulisboa.pt%20Engenharia%20de%20Viticultura%20e%20Enologia%20mestrado</t>
  </si>
  <si>
    <t>https://www.google.com/search?q=site%3Aulisboa.pt%20Engenharia%20do%20Ambiente%20mestrado</t>
  </si>
  <si>
    <t>https://www.google.com/search?q=site%3Aulisboa.pt%20Engenharia%20do%20Ambiente%20%28ULisboa%20e%20SHU%29%20mestrado</t>
  </si>
  <si>
    <t>Engenharia e Ciência de Dados</t>
  </si>
  <si>
    <t>https://www.google.com/search?q=site%3Aulisboa.pt%20Engenharia%20e%20Ci%C3%AAncia%20de%20Dados%20mestrado</t>
  </si>
  <si>
    <t>https://www.google.com/search?q=site%3Aulisboa.pt%20Engenharia%20e%20Gest%C3%A3o%20Industrial%20mestrado</t>
  </si>
  <si>
    <t>Engenharia e Gestão da Energia</t>
  </si>
  <si>
    <t>https://www.google.com/search?q=site%3Aulisboa.pt%20Engenharia%20e%20Gest%C3%A3o%20da%20Energia%20mestrado</t>
  </si>
  <si>
    <t>Engenharia e Gestão da Inovação e Empreendedorismo</t>
  </si>
  <si>
    <t>https://www.google.com/search?q=site%3Aulisboa.pt%20Engenharia%20e%20Gest%C3%A3o%20da%20Inova%C3%A7%C3%A3o%20e%20Empreendedorismo%20mestrado</t>
  </si>
  <si>
    <t>Engenharia em Recursos Energéticos</t>
  </si>
  <si>
    <t>https://www.google.com/search?q=site%3Aulisboa.pt%20Engenharia%20em%20Recursos%20Energ%C3%A9ticos%20mestrado</t>
  </si>
  <si>
    <t>https://www.google.com/search?q=site%3Aulisboa.pt%20Ensino%20da%20Matem%C3%A1tica%20no%203.%C2%BA%20Ciclo%20do%20Ensino%20B%C3%A1sico%20e%20no%20Ensino%20Secund%C3%A1rio%20mestrado</t>
  </si>
  <si>
    <t>Ensino de Artes Visuais no 3.º Ciclo do Ensino Básico e no Ensino Secundário</t>
  </si>
  <si>
    <t>https://www.google.com/search?q=site%3Aulisboa.pt%20Ensino%20de%20Artes%20Visuais%20no%203.%C2%BA%20Ciclo%20do%20Ensino%20B%C3%A1sico%20e%20no%20Ensino%20Secund%C3%A1rio%20mestrado</t>
  </si>
  <si>
    <t>Ensino de Biologia e Geologia no 3.º Ciclo do Ensino Básico e no Ensino Secundário</t>
  </si>
  <si>
    <t>Formação de Professores de Ciências</t>
  </si>
  <si>
    <t>https://www.google.com/search?q=site%3Aulisboa.pt%20Ensino%20de%20Biologia%20e%20Geologia%20no%203.%C2%BA%20Ciclo%20do%20Ensino%20B%C3%A1sico%20e%20no%20Ensino%20Secund%C3%A1rio%20mestrado</t>
  </si>
  <si>
    <t>Ensino de Economia e de Contabilidade</t>
  </si>
  <si>
    <t>Formação de Professores de Geografia</t>
  </si>
  <si>
    <t>https://www.google.com/search?q=site%3Aulisboa.pt%20Ensino%20de%20Economia%20e%20de%20Contabilidade%20mestrado</t>
  </si>
  <si>
    <t>https://www.google.com/search?q=site%3Aulisboa.pt%20Ensino%20de%20Educa%C3%A7%C3%A3o%20F%C3%ADsica%20nos%20Ensinos%20B%C3%A1sico%20e%20Secund%C3%A1rio%20mestrado</t>
  </si>
  <si>
    <t>https://www.google.com/search?q=site%3Aulisboa.pt%20Ensino%20de%20Filosofia%20no%20Ensino%20Secund%C3%A1rio%20mestrado</t>
  </si>
  <si>
    <t>https://www.google.com/search?q=site%3Aulisboa.pt%20Ensino%20de%20F%C3%ADsica%20e%20de%20Qu%C3%ADmica%20no%203.%C2%BA%20Ciclo%20do%20Ensino%20B%C3%A1sico%20e%20no%20Ensino%20Secund%C3%A1rio%20mestrado</t>
  </si>
  <si>
    <t>https://www.google.com/search?q=site%3Aulisboa.pt%20Ensino%20de%20Geografia%20no%203.%C2%BA%20Ciclo%20do%20Ensino%20B%C3%A1sico%20e%20no%20Ensino%20Secund%C3%A1rio%20mestrado</t>
  </si>
  <si>
    <t>Formação de Professores de História</t>
  </si>
  <si>
    <t>https://www.google.com/search?q=site%3Aulisboa.pt%20Ensino%20de%20Hist%C3%B3ria%20no%203.%C2%BA%20Ciclo%20do%20Ensino%20B%C3%A1sico%20e%20no%20Ensino%20Secund%C3%A1rio%20mestrado</t>
  </si>
  <si>
    <t>Formação de Professores de Informática</t>
  </si>
  <si>
    <t>https://www.google.com/search?q=site%3Aulisboa.pt%20Ensino%20de%20Inform%C3%A1tica%20mestrado</t>
  </si>
  <si>
    <t>https://www.google.com/search?q=site%3Aulisboa.pt%20Ensino%20de%20Ingl%C3%AAs%20no%203.%C2%BA%20Ciclo%20do%20Ensino%20B%C3%A1sico%20e%20no%20Ensino%20Secund%C3%A1rio%20mestrado</t>
  </si>
  <si>
    <t>Ensino de Português no 3.º Ciclo do Ensino Básico e no Ensino Secundário</t>
  </si>
  <si>
    <t>https://www.google.com/search?q=site%3Aulisboa.pt%20Ensino%20de%20Portugu%C3%AAs%20no%203.%C2%BA%20Ciclo%20do%20Ensino%20B%C3%A1sico%20e%20no%20Ensino%20Secund%C3%A1rio%20mestrado</t>
  </si>
  <si>
    <t>Epidemiologia</t>
  </si>
  <si>
    <t>https://www.google.com/search?q=site%3Aulisboa.pt%20Epidemiologia%20mestrado</t>
  </si>
  <si>
    <t>https://www.google.com/search?q=site%3Aulisboa.pt%20Ergonomia%20mestrado</t>
  </si>
  <si>
    <t>https://www.google.com/search?q=site%3Aulisboa.pt%20Escultura%20mestrado</t>
  </si>
  <si>
    <t>Estatística e Investigação Operacional</t>
  </si>
  <si>
    <t>https://www.google.com/search?q=site%3Aulisboa.pt%20Estat%C3%ADstica%20e%20Investiga%C3%A7%C3%A3o%20Operacional%20mestrado</t>
  </si>
  <si>
    <t>Estratégia</t>
  </si>
  <si>
    <t>https://www.google.com/search?q=site%3Aulisboa.pt%20Estrat%C3%A9gia%20mestrado</t>
  </si>
  <si>
    <t>https://www.google.com/search?q=site%3Aulisboa.pt%20Estudos%20Africanos%20mestrado</t>
  </si>
  <si>
    <t>Estudos Alemães</t>
  </si>
  <si>
    <t>Língua e Literatura (Alemão)</t>
  </si>
  <si>
    <t>https://www.google.com/search?q=site%3Aulisboa.pt%20Estudos%20Alem%C3%A3es%20mestrado</t>
  </si>
  <si>
    <t>Língua e Literatura (Asiáticos)</t>
  </si>
  <si>
    <t>https://www.google.com/search?q=site%3Aulisboa.pt%20Estudos%20Asi%C3%A1ticos%20mestrado</t>
  </si>
  <si>
    <t>Estudos Brasileiros</t>
  </si>
  <si>
    <t>Língua e Literatura (Brasileiros)</t>
  </si>
  <si>
    <t>https://www.google.com/search?q=site%3Aulisboa.pt%20Estudos%20Brasileiros%20mestrado</t>
  </si>
  <si>
    <t>Língua e Literatura (Clássicos)</t>
  </si>
  <si>
    <t>https://www.google.com/search?q=site%3Aulisboa.pt%20Estudos%20Cl%C3%A1ssicos%20mestrado</t>
  </si>
  <si>
    <t>Língua e Literatura (Comparatistas)</t>
  </si>
  <si>
    <t>https://www.google.com/search?q=site%3Aulisboa.pt%20Estudos%20Comparatistas%20mestrado</t>
  </si>
  <si>
    <t>Estudos Portugueses e Românicos</t>
  </si>
  <si>
    <t>https://www.google.com/search?q=site%3Aulisboa.pt%20Estudos%20Portugueses%20e%20Rom%C3%A2nicos%20mestrado</t>
  </si>
  <si>
    <t>Estudos de Teatro e de Performance</t>
  </si>
  <si>
    <t>https://www.google.com/search?q=site%3Aulisboa.pt%20Estudos%20de%20Teatro%20e%20de%20Performance%20mestrado</t>
  </si>
  <si>
    <t>https://www.google.com/search?q=site%3Aulisboa.pt%20Exerc%C3%ADcio%20e%20Sa%C3%BAde%20mestrado</t>
  </si>
  <si>
    <t>Família e Género</t>
  </si>
  <si>
    <t>https://www.google.com/search?q=site%3Aulisboa.pt%20Fam%C3%ADlia%20e%20G%C3%A9nero%20mestrado</t>
  </si>
  <si>
    <t>https://www.google.com/search?q=site%3Aulisboa.pt%20Filosofia%20mestrado</t>
  </si>
  <si>
    <t>https://www.google.com/search?q=site%3Aulisboa.pt%20Finan%C3%A7as%20mestrado</t>
  </si>
  <si>
    <t>Futebol</t>
  </si>
  <si>
    <t>https://www.google.com/search?q=site%3Aulisboa.pt%20Futebol%20mestrado</t>
  </si>
  <si>
    <t>https://www.google.com/search?q=site%3Aulisboa.pt%20F%C3%ADsica%20M%C3%A9dica%20mestrado</t>
  </si>
  <si>
    <t>Física e Astrofísica</t>
  </si>
  <si>
    <t>https://www.google.com/search?q=site%3Aulisboa.pt%20F%C3%ADsica%20e%20Astrof%C3%ADsica%20mestrado</t>
  </si>
  <si>
    <t>Geografia Física e Ordenamento do Território</t>
  </si>
  <si>
    <t>https://www.google.com/search?q=site%3Aulisboa.pt%20Geografia%20F%C3%ADsica%20e%20Ordenamento%20do%20Territ%C3%B3rio%20mestrado</t>
  </si>
  <si>
    <t>Geografia Humana: Globalização, Sociedade e Território</t>
  </si>
  <si>
    <t>https://www.google.com/search?q=site%3Aulisboa.pt%20Geografia%20Humana%3A%20Globaliza%C3%A7%C3%A3o%2C%20Sociedade%20e%20Territ%C3%B3rio%20mestrado</t>
  </si>
  <si>
    <t>Ciências da Terra (Geologia)</t>
  </si>
  <si>
    <t>https://www.google.com/search?q=site%3Aulisboa.pt%20Geologia%20mestrado</t>
  </si>
  <si>
    <t>https://www.google.com/search?q=site%3Aulisboa.pt%20Gerontologia%20Social%20mestrado</t>
  </si>
  <si>
    <t>https://www.google.com/search?q=site%3Aulisboa.pt%20Gest%C3%A3o%20mestrado</t>
  </si>
  <si>
    <t>Gestão / MBA</t>
  </si>
  <si>
    <t>https://www.google.com/search?q=site%3Aulisboa.pt%20Gest%C3%A3o%20/%20MBA%20mestrado</t>
  </si>
  <si>
    <t>Gestão Industrial, Operações e Sustentabilidade</t>
  </si>
  <si>
    <t>https://www.google.com/search?q=site%3Aulisboa.pt%20Gest%C3%A3o%20Industrial%2C%20Opera%C3%A7%C3%B5es%20e%20Sustentabilidade%20mestrado</t>
  </si>
  <si>
    <t>Gestão da Floresta e dos Recursos Naturais no Mediterrâneo</t>
  </si>
  <si>
    <t>https://www.google.com/search?q=site%3Aulisboa.pt%20Gest%C3%A3o%20da%20Floresta%20e%20dos%20Recursos%20Naturais%20no%20Mediterr%C3%A2neo%20mestrado</t>
  </si>
  <si>
    <t>Gestão de Arte e Património Cultural em Mercados Globais</t>
  </si>
  <si>
    <t>https://www.google.com/search?q=site%3Aulisboa.pt%20Gest%C3%A3o%20de%20Arte%20e%20Patrim%C3%B3nio%20Cultural%20em%20Mercados%20Globais%20mestrado</t>
  </si>
  <si>
    <t>https://www.google.com/search?q=site%3Aulisboa.pt%20Gest%C3%A3o%20de%20Recursos%20Humanos%20mestrado</t>
  </si>
  <si>
    <t>https://www.google.com/search?q=site%3Aulisboa.pt%20Gest%C3%A3o%20de%20Sistemas%20de%20Informa%C3%A7%C3%A3o%20mestrado</t>
  </si>
  <si>
    <t>https://www.google.com/search?q=site%3Aulisboa.pt%20Gest%C3%A3o%20do%20Desporto%20mestrado</t>
  </si>
  <si>
    <t>Gestão do Território e Urbanismo</t>
  </si>
  <si>
    <t>https://www.google.com/search?q=site%3Aulisboa.pt%20Gest%C3%A3o%20do%20Territ%C3%B3rio%20e%20Urbanismo%20mestrado</t>
  </si>
  <si>
    <t>Gestão e Avaliação Imobiliária</t>
  </si>
  <si>
    <t>https://www.google.com/search?q=site%3Aulisboa.pt%20Gest%C3%A3o%20e%20Avalia%C3%A7%C3%A3o%20Imobili%C3%A1ria%20mestrado</t>
  </si>
  <si>
    <t>Gestão e Conservação de Recursos Naturais</t>
  </si>
  <si>
    <t>https://www.google.com/search?q=site%3Aulisboa.pt%20Gest%C3%A3o%20e%20Conserva%C3%A7%C3%A3o%20de%20Recursos%20Naturais%20mestrado</t>
  </si>
  <si>
    <t>Gestão e Políticas Públicas</t>
  </si>
  <si>
    <t>https://www.google.com/search?q=site%3Aulisboa.pt%20Gest%C3%A3o%20e%20Pol%C3%ADticas%20P%C3%BAblicas%20mestrado</t>
  </si>
  <si>
    <t>Governação &amp; Administração do Lazer e do Desporto - GOALS (Erasmus Mundus)</t>
  </si>
  <si>
    <t>https://www.google.com/search?q=site%3Aulisboa.pt%20Governa%C3%A7%C3%A3o%20%26%20Administra%C3%A7%C3%A3o%20do%20Lazer%20e%20do%20Desporto%20-%20GOALS%20%28Erasmus%20Mundus%29%20mestrado</t>
  </si>
  <si>
    <t>https://www.google.com/search?q=site%3Aulisboa.pt%20Higiene%20Oral%20mestrado</t>
  </si>
  <si>
    <t>https://www.google.com/search?q=site%3Aulisboa.pt%20Hist%C3%B3ria%20mestrado</t>
  </si>
  <si>
    <t>História Marítima</t>
  </si>
  <si>
    <t>https://www.google.com/search?q=site%3Aulisboa.pt%20Hist%C3%B3ria%20Mar%C3%ADtima%20mestrado</t>
  </si>
  <si>
    <t>https://www.google.com/search?q=site%3Aulisboa.pt%20Hist%C3%B3ria%20da%20Arte%20e%20Patrim%C3%B3nio%20mestrado</t>
  </si>
  <si>
    <t>História do Mediterrâneo Islâmico</t>
  </si>
  <si>
    <t>https://www.google.com/search?q=site%3Aulisboa.pt%20Hist%C3%B3ria%20do%20Mediterr%C3%A2neo%20Isl%C3%A2mico%20mestrado</t>
  </si>
  <si>
    <t>História e Cultura das Religiões</t>
  </si>
  <si>
    <t>https://www.google.com/search?q=site%3Aulisboa.pt%20Hist%C3%B3ria%20e%20Cultura%20das%20Religi%C3%B5es%20mestrado</t>
  </si>
  <si>
    <t>História e Filosofia das Ciências</t>
  </si>
  <si>
    <t>https://www.google.com/search?q=site%3Aulisboa.pt%20Hist%C3%B3ria%20e%20Filosofia%20das%20Ci%C3%AAncias%20mestrado</t>
  </si>
  <si>
    <t>Imagiologia Cardiovascular</t>
  </si>
  <si>
    <t>https://www.google.com/search?q=site%3Aulisboa.pt%20Imagiologia%20Cardiovascular%20mestrado</t>
  </si>
  <si>
    <t>https://www.google.com/search?q=site%3Aulisboa.pt%20Informa%C3%A7%C3%A3o%20e%20Sistemas%20Empresariais%20mestrado</t>
  </si>
  <si>
    <t>https://www.google.com/search?q=site%3Aulisboa.pt%20Inform%C3%A1tica%20mestrado</t>
  </si>
  <si>
    <t>Inovação Química, Regulamentação e Sustentabilidade (Erasmus Mundus)</t>
  </si>
  <si>
    <t>https://www.google.com/search?q=site%3Aulisboa.pt%20Inova%C3%A7%C3%A3o%20Qu%C3%ADmica%2C%20Regulamenta%C3%A7%C3%A3o%20e%20Sustentabilidade%20%28Erasmus%20Mundus%29%20mestrado</t>
  </si>
  <si>
    <t>Inovação Tecnológica e Empreendedorismo em Química e Bioquímica</t>
  </si>
  <si>
    <t>https://www.google.com/search?q=site%3Aulisboa.pt%20Inova%C3%A7%C3%A3o%20Tecnol%C3%B3gica%20e%20Empreendedorismo%20em%20Qu%C3%ADmica%20e%20Bioqu%C3%ADmica%20mestrado</t>
  </si>
  <si>
    <t>Interioridade e Relações Transfronteiriças</t>
  </si>
  <si>
    <t>https://www.google.com/search?q=site%3Aulisboa.pt%20Interioridade%20e%20Rela%C3%A7%C3%B5es%20Transfronteiri%C3%A7as%20mestrado</t>
  </si>
  <si>
    <t>Intervenção Farmacêutica e Gestão da Terapêutica</t>
  </si>
  <si>
    <t>https://www.google.com/search?q=site%3Aulisboa.pt%20Interven%C3%A7%C3%A3o%20Farmac%C3%AAutica%20e%20Gest%C3%A3o%20da%20Terap%C3%AAutica%20mestrado</t>
  </si>
  <si>
    <t>https://www.google.com/search?q=site%3Aulisboa.pt%20Investiga%C3%A7%C3%A3o%20Biom%C3%A9dica%20mestrado</t>
  </si>
  <si>
    <t>Investigação Clínica</t>
  </si>
  <si>
    <t>https://www.google.com/search?q=site%3Aulisboa.pt%20Investiga%C3%A7%C3%A3o%20Cl%C3%ADnica%20mestrado</t>
  </si>
  <si>
    <t>Investigação Social Interdisciplinar</t>
  </si>
  <si>
    <t>Instituto de Ciências Sociais</t>
  </si>
  <si>
    <t>https://www.google.com/search?q=site%3Aulisboa.pt%20Investiga%C3%A7%C3%A3o%20Social%20Interdisciplinar%20mestrado</t>
  </si>
  <si>
    <t>Investigação e Inovação para a Sustentabilidade</t>
  </si>
  <si>
    <t>https://www.google.com/search?q=site%3Aulisboa.pt%20Investiga%C3%A7%C3%A3o%20e%20Inova%C3%A7%C3%A3o%20para%20a%20Sustentabilidade%20mestrado</t>
  </si>
  <si>
    <t>Linguística</t>
  </si>
  <si>
    <t>https://www.google.com/search?q=site%3Aulisboa.pt%20Lingu%C3%ADstica%20mestrado</t>
  </si>
  <si>
    <t>Literatura Portuguesa</t>
  </si>
  <si>
    <t>Língua e Literatura (Português)</t>
  </si>
  <si>
    <t>https://www.google.com/search?q=site%3Aulisboa.pt%20Literatura%20Portuguesa%20mestrado</t>
  </si>
  <si>
    <t>Literaturas, Artes e Culturas Modernas</t>
  </si>
  <si>
    <t>https://www.google.com/search?q=site%3Aulisboa.pt%20Literaturas%2C%20Artes%20e%20Culturas%20Modernas%20mestrado</t>
  </si>
  <si>
    <t>https://www.google.com/search?q=site%3Aulisboa.pt%20Marketing%20mestrado</t>
  </si>
  <si>
    <t>https://www.google.com/search?q=site%3Aulisboa.pt%20Matem%C3%A1tica%20mestrado</t>
  </si>
  <si>
    <t>https://www.google.com/search?q=site%3Aulisboa.pt%20Matem%C3%A1tica%20Aplicada%20e%20Computa%C3%A7%C3%A3o%20mestrado</t>
  </si>
  <si>
    <t>Matemática Aplicada à Economia e Gestão</t>
  </si>
  <si>
    <t>https://www.google.com/search?q=site%3Aulisboa.pt%20Matem%C3%A1tica%20Aplicada%20%C3%A0%20Economia%20e%20Gest%C3%A3o%20mestrado</t>
  </si>
  <si>
    <t>Matemática Financeira</t>
  </si>
  <si>
    <t>https://www.google.com/search?q=site%3Aulisboa.pt%20Matem%C3%A1tica%20Financeira%20mestrado</t>
  </si>
  <si>
    <t>Medicina Aplicada ao Meio Subaquático e Hiperbárico</t>
  </si>
  <si>
    <t>https://www.google.com/search?q=site%3Aulisboa.pt%20Medicina%20Aplicada%20ao%20Meio%20Subaqu%C3%A1tico%20e%20Hiperb%C3%A1rico%20mestrado</t>
  </si>
  <si>
    <t>Medicina Hiperbárica e Subaquática</t>
  </si>
  <si>
    <t>https://www.google.com/search?q=site%3Aulisboa.pt%20Medicina%20Hiperb%C3%A1rica%20e%20Subaqu%C3%A1tica%20mestrado</t>
  </si>
  <si>
    <t>Medicina do Sono e Circadiana</t>
  </si>
  <si>
    <t>https://www.google.com/search?q=site%3Aulisboa.pt%20Medicina%20do%20Sono%20e%20Circadiana%20mestrado</t>
  </si>
  <si>
    <t>Medicina e Ciência Regulamentar</t>
  </si>
  <si>
    <t>https://www.google.com/search?q=site%3Aulisboa.pt%20Medicina%20e%20Ci%C3%AAncia%20Regulamentar%20mestrado</t>
  </si>
  <si>
    <t>Mercados da Arte</t>
  </si>
  <si>
    <t>https://www.google.com/search?q=site%3Aulisboa.pt%20Mercados%20da%20Arte%20mestrado</t>
  </si>
  <si>
    <t>https://www.google.com/search?q=site%3Aulisboa.pt%20Microbiologia%20mestrado</t>
  </si>
  <si>
    <t>https://www.google.com/search?q=site%3Aulisboa.pt%20Microbiologia%20Aplicada%20mestrado</t>
  </si>
  <si>
    <t>Microbiologia Clínica e Doenças Infeciosas Emergentes</t>
  </si>
  <si>
    <t>https://www.google.com/search?q=site%3Aulisboa.pt%20Microbiologia%20Cl%C3%ADnica%20e%20Doen%C3%A7as%20Infeciosas%20Emergentes%20mestrado</t>
  </si>
  <si>
    <t>MorphoPHEN - Fenotipagem Morfológica de Modelos Animais de Doenças Humanas</t>
  </si>
  <si>
    <t>https://www.google.com/search?q=site%3Aulisboa.pt%20MorphoPHEN%20-%20Fenotipagem%20Morfol%C3%B3gica%20de%20Modelos%20Animais%20de%20Doen%C3%A7as%20Humanas%20mestrado</t>
  </si>
  <si>
    <t>Museologia e Museografia</t>
  </si>
  <si>
    <t>https://www.google.com/search?q=site%3Aulisboa.pt%20Museologia%20e%20Museografia%20mestrado</t>
  </si>
  <si>
    <t>Métodos Quantitativos para a Decisão Económica e Empresarial</t>
  </si>
  <si>
    <t>ISEG – Instituto Superior de Economia e Gestão (Executivo)</t>
  </si>
  <si>
    <t>https://www.google.com/search?q=site%3Aulisboa.pt%20M%C3%A9todos%20Quantitativos%20para%20a%20Decis%C3%A3o%20Econ%C3%B3mica%20e%20Empresarial%20mestrado</t>
  </si>
  <si>
    <t>Navegação e Geomática</t>
  </si>
  <si>
    <t>Ciências da Terra (Geomática)</t>
  </si>
  <si>
    <t>https://www.google.com/search?q=site%3Aulisboa.pt%20Navega%C3%A7%C3%A3o%20e%20Geom%C3%A1tica%20mestrado</t>
  </si>
  <si>
    <t>Neurociências</t>
  </si>
  <si>
    <t>https://www.google.com/search?q=site%3Aulisboa.pt%20Neuroci%C3%AAncias%20mestrado</t>
  </si>
  <si>
    <t>https://www.google.com/search?q=site%3Aulisboa.pt%20Neuropsicologia%20Cl%C3%ADnica%20e%20Experimental%20mestrado</t>
  </si>
  <si>
    <t>https://www.google.com/search?q=site%3Aulisboa.pt%20Nutri%C3%A7%C3%A3o%20Cl%C3%ADnica%20mestrado</t>
  </si>
  <si>
    <t>Oncobiologia</t>
  </si>
  <si>
    <t>https://www.google.com/search?q=site%3Aulisboa.pt%20Oncobiologia%20mestrado</t>
  </si>
  <si>
    <t>Ordenamento do Território e Urbanismo</t>
  </si>
  <si>
    <t>https://www.google.com/search?q=site%3Aulisboa.pt%20Ordenamento%20do%20Territ%C3%B3rio%20e%20Urbanismo%20mestrado</t>
  </si>
  <si>
    <t>https://www.google.com/search?q=site%3Aulisboa.pt%20Pintura%20mestrado</t>
  </si>
  <si>
    <t>Política Social</t>
  </si>
  <si>
    <t>https://www.google.com/search?q=site%3Aulisboa.pt%20Pol%C3%ADtica%20Social%20mestrado</t>
  </si>
  <si>
    <t>Políticas de Desenvolvimento de Recursos Humanos</t>
  </si>
  <si>
    <t>https://www.google.com/search?q=site%3Aulisboa.pt%20Pol%C3%ADticas%20de%20Desenvolvimento%20de%20Recursos%20Humanos%20mestrado</t>
  </si>
  <si>
    <t>Políticas e Gestão de Recursos Humanos</t>
  </si>
  <si>
    <t>https://www.google.com/search?q=site%3Aulisboa.pt%20Pol%C3%ADticas%20e%20Gest%C3%A3o%20de%20Recursos%20Humanos%20mestrado</t>
  </si>
  <si>
    <t>Português como Língua Estrangeira/ Língua Segunda</t>
  </si>
  <si>
    <t>Língua e Literatura (PLE</t>
  </si>
  <si>
    <t>https://www.google.com/search?q=site%3Aulisboa.pt%20Portugu%C3%AAs%20como%20L%C3%ADngua%20Estrangeira/%20L%C3%ADngua%20Segunda%20mestrado</t>
  </si>
  <si>
    <t>Proteção e Segurança Radiológica</t>
  </si>
  <si>
    <t>https://www.google.com/search?q=site%3Aulisboa.pt%20Prote%C3%A7%C3%A3o%20e%20Seguran%C3%A7a%20Radiol%C3%B3gica%20mestrado</t>
  </si>
  <si>
    <t>Práticas Tipográficas e Editoriais Contemporâneas</t>
  </si>
  <si>
    <t>https://www.google.com/search?q=site%3Aulisboa.pt%20Pr%C3%A1ticas%20Tipogr%C3%A1ficas%20e%20Editoriais%20Contempor%C3%A2neas%20mestrado</t>
  </si>
  <si>
    <t>https://www.google.com/search?q=site%3Aulisboa.pt%20Psicologia%20Cl%C3%ADnica%20e%20da%20Sa%C3%BAde%20mestrado</t>
  </si>
  <si>
    <t>Psicologia Cognitiva e Social</t>
  </si>
  <si>
    <t>https://www.google.com/search?q=site%3Aulisboa.pt%20Psicologia%20Cognitiva%20e%20Social%20mestrado</t>
  </si>
  <si>
    <t>Psicologia da Educação e Aconselhamento</t>
  </si>
  <si>
    <t>https://www.google.com/search?q=site%3Aulisboa.pt%20Psicologia%20da%20Educa%C3%A7%C3%A3o%20e%20Aconselhamento%20mestrado</t>
  </si>
  <si>
    <t>Psicologia do Desporto e do Exercício</t>
  </si>
  <si>
    <t>https://www.google.com/search?q=site%3Aulisboa.pt%20Psicologia%20do%20Desporto%20e%20do%20Exerc%C3%ADcio%20mestrado</t>
  </si>
  <si>
    <t>Psicologia dos Recursos Humanos, do Trabalho e das Organizações</t>
  </si>
  <si>
    <t>https://www.google.com/search?q=site%3Aulisboa.pt%20Psicologia%20dos%20Recursos%20Humanos%2C%20do%20Trabalho%20e%20das%20Organiza%C3%A7%C3%B5es%20mestrado</t>
  </si>
  <si>
    <t>Psicologia na Crise e na Emergência</t>
  </si>
  <si>
    <t>https://www.google.com/search?q=site%3Aulisboa.pt%20Psicologia%20na%20Crise%20e%20na%20Emerg%C3%AAncia%20mestrado</t>
  </si>
  <si>
    <t>Psicopatologia do Desenvolvimento da Criança e do Adolescente - Prevenção e Intervenção</t>
  </si>
  <si>
    <t>https://www.google.com/search?q=site%3Aulisboa.pt%20Psicopatologia%20do%20Desenvolvimento%20da%20Crian%C3%A7a%20e%20do%20Adolescente%20-%20Preven%C3%A7%C3%A3o%20e%20Interven%C3%A7%C3%A3o%20mestrado</t>
  </si>
  <si>
    <t>Qualidade Alimentar e Saúde</t>
  </si>
  <si>
    <t>https://www.google.com/search?q=site%3Aulisboa.pt%20Qualidade%20Alimentar%20e%20Sa%C3%BAde%20mestrado</t>
  </si>
  <si>
    <t>https://www.google.com/search?q=site%3Aulisboa.pt%20Qu%C3%ADmica%20mestrado</t>
  </si>
  <si>
    <t>Química Medicinal e Biofarmacêutica</t>
  </si>
  <si>
    <t>https://www.google.com/search?q=site%3Aulisboa.pt%20Qu%C3%ADmica%20Medicinal%20e%20Biofarmac%C3%AAutica%20mestrado</t>
  </si>
  <si>
    <t>Reabilitação Cardiovascular</t>
  </si>
  <si>
    <t>https://www.google.com/search?q=site%3Aulisboa.pt%20Reabilita%C3%A7%C3%A3o%20Cardiovascular%20mestrado</t>
  </si>
  <si>
    <t>https://www.google.com/search?q=site%3Aulisboa.pt%20Reabilita%C3%A7%C3%A3o%20Psicomotora%20mestrado</t>
  </si>
  <si>
    <t>Regulação e Avaliação do Medicamento e Produtos de Saúde</t>
  </si>
  <si>
    <t>https://www.google.com/search?q=site%3Aulisboa.pt%20Regula%C3%A7%C3%A3o%20e%20Avalia%C3%A7%C3%A3o%20do%20Medicamento%20e%20Produtos%20de%20Sa%C3%BAde%20mestrado</t>
  </si>
  <si>
    <t>https://www.google.com/search?q=site%3Aulisboa.pt%20Rela%C3%A7%C3%B5es%20Internacionais%20mestrado</t>
  </si>
  <si>
    <t>Resiliência na Educação</t>
  </si>
  <si>
    <t>https://www.google.com/search?q=site%3Aulisboa.pt%20Resili%C3%AAncia%20na%20Educa%C3%A7%C3%A3o%20mestrado</t>
  </si>
  <si>
    <t>Restauro Ecológico</t>
  </si>
  <si>
    <t>https://www.google.com/search?q=site%3Aulisboa.pt%20Restauro%20Ecol%C3%B3gico%20mestrado</t>
  </si>
  <si>
    <t>https://www.google.com/search?q=site%3Aulisboa.pt%20Reuso%20de%20Edif%C3%ADcios%20Modernos%20mestrado</t>
  </si>
  <si>
    <t>https://www.google.com/search?q=site%3Aulisboa.pt%20Seguran%C3%A7a%20Alimentar%20mestrado</t>
  </si>
  <si>
    <t>https://www.google.com/search?q=site%3Aulisboa.pt%20Seguran%C3%A7a%20Inform%C3%A1tica%20mestrado</t>
  </si>
  <si>
    <t>Segurança de Informação e Direito no Ciberespaço</t>
  </si>
  <si>
    <t>https://www.google.com/search?q=site%3Aulisboa.pt%20Seguran%C3%A7a%20de%20Informa%C3%A7%C3%A3o%20e%20Direito%20no%20Ciberespa%C3%A7o%20mestrado</t>
  </si>
  <si>
    <t>Serviço Social (Erasmus Mundus)</t>
  </si>
  <si>
    <t>https://www.google.com/search?q=site%3Aulisboa.pt%20Servi%C3%A7o%20Social%20%28Erasmus%20Mundus%29%20mestrado</t>
  </si>
  <si>
    <t>Serviço Social e Sustentabilidade</t>
  </si>
  <si>
    <t>https://www.google.com/search?q=site%3Aulisboa.pt%20Servi%C3%A7o%20Social%20e%20Sustentabilidade%20mestrado</t>
  </si>
  <si>
    <t>Sistemas Agrários Tropicais: Produção, Sociedade e Políticas</t>
  </si>
  <si>
    <t>https://www.google.com/search?q=site%3Aulisboa.pt%20Sistemas%20Agr%C3%A1rios%20Tropicais%3A%20Produ%C3%A7%C3%A3o%2C%20Sociedade%20e%20Pol%C3%ADticas%20mestrado</t>
  </si>
  <si>
    <t>Sistemas de Informação Geográfica - Tecnologias e Aplicações</t>
  </si>
  <si>
    <t>https://www.google.com/search?q=site%3Aulisboa.pt%20Sistemas%20de%20Informa%C3%A7%C3%A3o%20Geogr%C3%A1fica%20-%20Tecnologias%20e%20Aplica%C3%A7%C3%B5es%20mestrado</t>
  </si>
  <si>
    <t>Sistemas de Informação Geográfica e Modelação Territorial Aplicados ao Ordenamento</t>
  </si>
  <si>
    <t>https://www.google.com/search?q=site%3Aulisboa.pt%20Sistemas%20de%20Informa%C3%A7%C3%A3o%20Geogr%C3%A1fica%20e%20Modela%C3%A7%C3%A3o%20Territorial%20Aplicados%20ao%20Ordenamento%20mestrado</t>
  </si>
  <si>
    <t>Sistemas de Transportes</t>
  </si>
  <si>
    <t>https://www.google.com/search?q=site%3Aulisboa.pt%20Sistemas%20de%20Transportes%20mestrado</t>
  </si>
  <si>
    <t>Sociedade, Risco e Saúde</t>
  </si>
  <si>
    <t>https://www.google.com/search?q=site%3Aulisboa.pt%20Sociedade%2C%20Risco%20e%20Sa%C3%BAde%20mestrado</t>
  </si>
  <si>
    <t>https://www.google.com/search?q=site%3Aulisboa.pt%20Sociologia%20mestrado</t>
  </si>
  <si>
    <t>Sociologia das Organizações e do Trabalho</t>
  </si>
  <si>
    <t>https://www.google.com/search?q=site%3Aulisboa.pt%20Sociologia%20das%20Organiza%C3%A7%C3%B5es%20e%20do%20Trabalho%20mestrado</t>
  </si>
  <si>
    <t>Sustentabilidade Ambiental Aplicada</t>
  </si>
  <si>
    <t>https://www.google.com/search?q=site%3Aulisboa.pt%20Sustentabilidade%20Ambiental%20Aplicada%20mestrado</t>
  </si>
  <si>
    <t>Teoria da Literatura</t>
  </si>
  <si>
    <t>https://www.google.com/search?q=site%3Aulisboa.pt%20Teoria%20da%20Literatura%20mestrado</t>
  </si>
  <si>
    <t>https://www.google.com/search?q=site%3Aulisboa.pt%20Tradu%C3%A7%C3%A3o%20mestrado</t>
  </si>
  <si>
    <t>Transformação na Gestão de Recursos Humanos - Executivo</t>
  </si>
  <si>
    <t>ISEG – Instituto Superior de Economia e Gestão / Instituto Superior Técnico**</t>
  </si>
  <si>
    <t>https://www.google.com/search?q=site%3Aulisboa.pt%20Transforma%C3%A7%C3%A3o%20na%20Gest%C3%A3o%20de%20Recursos%20Humanos%20-%20Executivo%20mestrado</t>
  </si>
  <si>
    <t>https://www.google.com/search?q=site%3Aulisboa.pt%20Treino%20Desportivo%20mestrado</t>
  </si>
  <si>
    <t>Treino Desportivo de Alto Rendimento</t>
  </si>
  <si>
    <t>https://www.google.com/search?q=site%3Aulisboa.pt%20Treino%20Desportivo%20de%20Alto%20Rendimento%20mestrado</t>
  </si>
  <si>
    <t>Treino de Alto Rendimento</t>
  </si>
  <si>
    <t>https://www.google.com/search?q=site%3Aulisboa.pt%20Treino%20de%20Alto%20Rendimento%20mestrado</t>
  </si>
  <si>
    <t>Turismo e Comunicação</t>
  </si>
  <si>
    <t>https://www.google.com/search?q=site%3Aulisboa.pt%20Turismo%20e%20Comunica%C3%A7%C3%A3o%20mestrado</t>
  </si>
  <si>
    <t>Água Subterrânea e Alterações Globais – Impactos e Adaptação (GroundwatCh) - Erasmus Mundus</t>
  </si>
  <si>
    <t>https://www.google.com/search?q=site%3Aulisboa.pt%20%C3%81gua%20Subterr%C3%A2nea%20e%20Altera%C3%A7%C3%B5es%20Globais%20%E2%80%93%20Impactos%20e%20Adapta%C3%A7%C3%A3o%20%28GroundwatCh%29%20-%20Erasmus%20Mundus%20mestrado</t>
  </si>
  <si>
    <t>https://www.google.com/search?q=site%3Aulisboa.pt%20Arquitetura%20mestrado%20integrado</t>
  </si>
  <si>
    <t>Arquitetura, na área de especialização em Interiores e Reabilitação do Edificado</t>
  </si>
  <si>
    <t>https://www.google.com/search?q=site%3Aulisboa.pt%20Arquitetura%2C%20na%20%C3%A1rea%20de%20especializa%C3%A7%C3%A3o%20em%20Interiores%20e%20Reabilita%C3%A7%C3%A3o%20do%20Edificado%20mestrado%20integrado</t>
  </si>
  <si>
    <t>https://www.google.com/search?q=site%3Aulisboa.pt%20Ci%C3%AAncias%20Farmac%C3%AAuticas%20mestrado%20integrado</t>
  </si>
  <si>
    <t>https://www.google.com/search?q=site%3Aulisboa.pt%20Engenharia%20Aeroespacial%20mestrado%20integrado</t>
  </si>
  <si>
    <t>https://www.google.com/search?q=site%3Aulisboa.pt%20Engenharia%20Biol%C3%B3gica%20mestrado%20integrado</t>
  </si>
  <si>
    <t>https://www.google.com/search?q=site%3Aulisboa.pt%20Engenharia%20Biom%C3%A9dica%20mestrado%20integrado</t>
  </si>
  <si>
    <t>https://www.google.com/search?q=site%3Aulisboa.pt%20Engenharia%20Biom%C3%A9dica%20e%20Biof%C3%ADsica%20mestrado%20integrado</t>
  </si>
  <si>
    <t>https://www.google.com/search?q=site%3Aulisboa.pt%20Engenharia%20Civil%20mestrado%20integrado</t>
  </si>
  <si>
    <t>https://www.google.com/search?q=site%3Aulisboa.pt%20Engenharia%20Eletrot%C3%A9cnica%20e%20de%20Computadores%20mestrado%20integrado</t>
  </si>
  <si>
    <t>https://www.google.com/search?q=site%3Aulisboa.pt%20Engenharia%20F%C3%ADsica%20mestrado%20integrado</t>
  </si>
  <si>
    <t>https://www.google.com/search?q=site%3Aulisboa.pt%20Engenharia%20F%C3%ADsica%20Tecnol%C3%B3gica%20mestrado%20integrado</t>
  </si>
  <si>
    <t>https://www.google.com/search?q=site%3Aulisboa.pt%20Engenharia%20Mec%C3%A2nica%20mestrado%20integrado</t>
  </si>
  <si>
    <t>https://www.google.com/search?q=site%3Aulisboa.pt%20Engenharia%20Qu%C3%ADmica%20mestrado%20integrado</t>
  </si>
  <si>
    <t>https://www.google.com/search?q=site%3Aulisboa.pt%20Engenharia%20da%20Energia%20e%20do%20Ambiente%20mestrado%20integrado</t>
  </si>
  <si>
    <t>https://www.google.com/search?q=site%3Aulisboa.pt%20Engenharia%20de%20Materiais%20mestrado%20integrado</t>
  </si>
  <si>
    <t>https://www.google.com/search?q=site%3Aulisboa.pt%20Engenharia%20do%20Ambiente%20mestrado%20integrado</t>
  </si>
  <si>
    <t>https://www.google.com/search?q=site%3Aulisboa.pt%20Medicina%20mestrado%20integrado</t>
  </si>
  <si>
    <t>https://www.google.com/search?q=site%3Aulisboa.pt%20Medicina%20Dent%C3%A1ria%20mestrado%20integrado</t>
  </si>
  <si>
    <t>https://www.google.com/search?q=site%3Aulisboa.pt%20Medicina%20Veterin%C3%A1ria%20mestrado%20integrado</t>
  </si>
  <si>
    <t>https://www.google.com/search?q=site%3Aulisboa.pt%20Psicologia%20mestrado%20integrado</t>
  </si>
  <si>
    <t>Acesso ao Mercado Internacional</t>
  </si>
  <si>
    <t>https://www.google.com/search?q=site%3Aulisboa.pt%20Acesso%20ao%20Mercado%20Internacional%20p%C3%B3s-gradua%C3%A7%C3%A3o</t>
  </si>
  <si>
    <t>Administração e Gestão de Saúde</t>
  </si>
  <si>
    <t>Instituto Superior de Ciências Sociais e Políticas</t>
  </si>
  <si>
    <t>https://www.google.com/search?q=site%3Aulisboa.pt%20Administra%C3%A7%C3%A3o%20e%20Gest%C3%A3o%20de%20Sa%C3%BAde%20p%C3%B3s-gradua%C3%A7%C3%A3o</t>
  </si>
  <si>
    <t>Animais e Sociedade</t>
  </si>
  <si>
    <t>https://www.google.com/search?q=site%3Aulisboa.pt%20Animais%20e%20Sociedade%20p%C3%B3s-gradua%C3%A7%C3%A3o</t>
  </si>
  <si>
    <t>ISEG – Executive Education</t>
  </si>
  <si>
    <t>https://www.google.com/search?q=site%3Aulisboa.pt%20An%C3%A1lise%20Financeira%20p%C3%B3s-gradua%C3%A7%C3%A3o</t>
  </si>
  <si>
    <t>262,5 h (14/09/2026–16/07/2027)</t>
  </si>
  <si>
    <t>Análise de Dados em Psicologia</t>
  </si>
  <si>
    <t>https://www.google.com/search?q=site%3Aulisboa.pt%20An%C3%A1lise%20de%20Dados%20em%20Psicologia%20p%C3%B3s-gradua%C3%A7%C3%A3o</t>
  </si>
  <si>
    <t>Applied Artificial Intelligence &amp; Machine Learning</t>
  </si>
  <si>
    <t>https://www.google.com/search?q=site%3Aulisboa.pt%20Applied%20Artificial%20Intelligence%20%26%20Machine%20Learning%20p%C3%B3s-gradua%C3%A7%C3%A3o</t>
  </si>
  <si>
    <t>151 h (21/10/2026–15/10/2027)</t>
  </si>
  <si>
    <t>Arte Sonora: Processos Experimentais</t>
  </si>
  <si>
    <t>https://www.google.com/search?q=site%3Aulisboa.pt%20Arte%20Sonora%3A%20Processos%20Experimentais%20p%C3%B3s-gradua%C3%A7%C3%A3o</t>
  </si>
  <si>
    <t>Artes Sonoras: Práticas e Tecnologias de Criação</t>
  </si>
  <si>
    <t>https://www.google.com/search?q=site%3Aulisboa.pt%20Artes%20Sonoras%3A%20Pr%C3%A1ticas%20e%20Tecnologias%20de%20Cria%C3%A7%C3%A3o%20p%C3%B3s-gradua%C3%A7%C3%A3o</t>
  </si>
  <si>
    <t>Artificial Intelligence for Executives</t>
  </si>
  <si>
    <t>https://www.google.com/search?q=site%3Aulisboa.pt%20Artificial%20Intelligence%20for%20Executives%20p%C3%B3s-gradua%C3%A7%C3%A3o</t>
  </si>
  <si>
    <t>150 h (15/10/2026–28/06/2027)</t>
  </si>
  <si>
    <t>Auditoria, Risco e Cibersegurança</t>
  </si>
  <si>
    <t>https://www.google.com/search?q=site%3Aulisboa.pt%20Auditoria%2C%20Risco%20e%20Ciberseguran%C3%A7a%20p%C3%B3s-gradua%C3%A7%C3%A3o</t>
  </si>
  <si>
    <t>128 h (01/10/2026–21/05/2027)</t>
  </si>
  <si>
    <t>B-Learning em Endodontia</t>
  </si>
  <si>
    <t>https://www.google.com/search?q=site%3Aulisboa.pt%20B-Learning%20em%20Endodontia%20p%C3%B3s-gradua%C3%A7%C3%A3o</t>
  </si>
  <si>
    <t>Boas Práticas no Sector da Cannabis (GcannabisP): Ciências, Regulamentação, Tecnologias e Sociedade</t>
  </si>
  <si>
    <t>https://www.google.com/search?q=site%3Aulisboa.pt%20Boas%20Pr%C3%A1ticas%20no%20Sector%20da%20Cannabis%20%28GcannabisP%29%3A%20Ci%C3%AAncias%2C%20Regulamenta%C3%A7%C3%A3o%2C%20Tecnologias%20e%20Sociedade%20p%C3%B3s-gradua%C3%A7%C3%A3o</t>
  </si>
  <si>
    <t>Cartas Municipais de Habitação</t>
  </si>
  <si>
    <t>https://www.google.com/search?q=site%3Aulisboa.pt%20Cartas%20Municipais%20de%20Habita%C3%A7%C3%A3o%20p%C3%B3s-gradua%C3%A7%C3%A3o</t>
  </si>
  <si>
    <t>https://www.google.com/search?q=site%3Aulisboa.pt%20Cirurgia%20em%20Animais%20de%20Companhia%20p%C3%B3s-gradua%C3%A7%C3%A3o</t>
  </si>
  <si>
    <t>Ciências em Animais de Laboratório</t>
  </si>
  <si>
    <t>https://www.google.com/search?q=site%3Aulisboa.pt%20Ci%C3%AAncias%20em%20Animais%20de%20Laborat%C3%B3rio%20p%C3%B3s-gradua%C3%A7%C3%A3o</t>
  </si>
  <si>
    <t>Clínica Integrada de Medicina Dentária</t>
  </si>
  <si>
    <t>https://www.google.com/search?q=site%3Aulisboa.pt%20Cl%C3%ADnica%20Integrada%20de%20Medicina%20Dent%C3%A1ria%20p%C3%B3s-gradua%C3%A7%C3%A3o</t>
  </si>
  <si>
    <t>https://www.google.com/search?q=site%3Aulisboa.pt%20Cl%C3%ADnica%20de%20Equinos%20p%C3%B3s-gradua%C3%A7%C3%A3o</t>
  </si>
  <si>
    <t>Clínica de Ortodontia Pré-Cirúrgica e Cirurgia Ortognática</t>
  </si>
  <si>
    <t>https://www.google.com/search?q=site%3Aulisboa.pt%20Cl%C3%ADnica%20de%20Ortodontia%20Pr%C3%A9-Cir%C3%BArgica%20e%20Cirurgia%20Ortogn%C3%A1tica%20p%C3%B3s-gradua%C3%A7%C3%A3o</t>
  </si>
  <si>
    <t>Coaching Psicológico</t>
  </si>
  <si>
    <t>https://www.google.com/search?q=site%3Aulisboa.pt%20Coaching%20Psicol%C3%B3gico%20p%C3%B3s-gradua%C3%A7%C3%A3o</t>
  </si>
  <si>
    <t>Comunicação Pública</t>
  </si>
  <si>
    <t>https://www.google.com/search?q=site%3Aulisboa.pt%20Comunica%C3%A7%C3%A3o%20P%C3%BAblica%20p%C3%B3s-gradua%C3%A7%C3%A3o</t>
  </si>
  <si>
    <t>Comunicação e Marketing Político</t>
  </si>
  <si>
    <t>https://www.google.com/search?q=site%3Aulisboa.pt%20Comunica%C3%A7%C3%A3o%20e%20Marketing%20Pol%C3%ADtico%20p%C3%B3s-gradua%C3%A7%C3%A3o</t>
  </si>
  <si>
    <t>Comunicação em Saúde e Educação e Comunicação em Ciências da Saúde - Saúde.com</t>
  </si>
  <si>
    <t>https://www.google.com/search?q=site%3Aulisboa.pt%20Comunica%C3%A7%C3%A3o%20em%20Sa%C3%BAde%20e%20Educa%C3%A7%C3%A3o%20e%20Comunica%C3%A7%C3%A3o%20em%20Ci%C3%AAncias%20da%20Sa%C3%BAde%20-%20Sa%C3%BAde.com%20p%C3%B3s-gradua%C3%A7%C3%A3o</t>
  </si>
  <si>
    <t>https://www.google.com/search?q=site%3Aulisboa.pt%20Com%C3%A9rcio%20Internacional%20p%C3%B3s-gradua%C3%A7%C3%A3o</t>
  </si>
  <si>
    <t>118 h (07/10/2026–19/05/2027)</t>
  </si>
  <si>
    <t>https://www.google.com/search?q=site%3Aulisboa.pt%20Contabilidade%20e%20Fiscalidade%20p%C3%B3s-gradua%C3%A7%C3%A3o</t>
  </si>
  <si>
    <t>160 h (104h presenciais, 56h online) (16/09/2026–25/05/2027)</t>
  </si>
  <si>
    <t>https://www.google.com/search?q=site%3Aulisboa.pt%20Contabilidade%20e%20Gest%C3%A3o%20P%C3%BAblica%20p%C3%B3s-gradua%C3%A7%C3%A3o</t>
  </si>
  <si>
    <t>https://www.google.com/search?q=site%3Aulisboa.pt%20Contrata%C3%A7%C3%A3o%20P%C3%BAblica%20p%C3%B3s-gradua%C3%A7%C3%A3o</t>
  </si>
  <si>
    <t>Controlo de Gestão e Finanças Empresariais</t>
  </si>
  <si>
    <t>https://www.google.com/search?q=site%3Aulisboa.pt%20Controlo%20de%20Gest%C3%A3o%20e%20Finan%C3%A7as%20Empresariais%20p%C3%B3s-gradua%C3%A7%C3%A3o</t>
  </si>
  <si>
    <t>160 h (96h presenciais, 64h online) (16/09/2026–25/05/2027)</t>
  </si>
  <si>
    <t>Corporate Diplomacy</t>
  </si>
  <si>
    <t>https://www.google.com/search?q=site%3Aulisboa.pt%20Corporate%20Diplomacy%20p%C3%B3s-gradua%C3%A7%C3%A3o</t>
  </si>
  <si>
    <t>Cosméticos: Inovação e Desenvolvimento de Formulações</t>
  </si>
  <si>
    <t>https://www.google.com/search?q=site%3Aulisboa.pt%20Cosm%C3%A9ticos%3A%20Inova%C3%A7%C3%A3o%20e%20Desenvolvimento%20de%20Formula%C3%A7%C3%B5es%20p%C3%B3s-gradua%C3%A7%C3%A3o</t>
  </si>
  <si>
    <t>Cosméticos: Regulamentação e Acesso ao Mercado</t>
  </si>
  <si>
    <t>https://www.google.com/search?q=site%3Aulisboa.pt%20Cosm%C3%A9ticos%3A%20Regulamenta%C3%A7%C3%A3o%20e%20Acesso%20ao%20Mercado%20p%C3%B3s-gradua%C3%A7%C3%A3o</t>
  </si>
  <si>
    <t>Criminologia e Reinserção Social</t>
  </si>
  <si>
    <t>https://www.google.com/search?q=site%3Aulisboa.pt%20Criminologia%20e%20Reinser%C3%A7%C3%A3o%20Social%20p%C3%B3s-gradua%C3%A7%C3%A3o</t>
  </si>
  <si>
    <t>Crise e Ação Humanitária</t>
  </si>
  <si>
    <t>https://www.google.com/search?q=site%3Aulisboa.pt%20Crise%20e%20A%C3%A7%C3%A3o%20Humanit%C3%A1ria%20p%C3%B3s-gradua%C3%A7%C3%A3o</t>
  </si>
  <si>
    <t>Curso B-Learning de Tecnologias Digitais em Higiene Oral</t>
  </si>
  <si>
    <t>https://www.google.com/search?q=site%3Aulisboa.pt%20Curso%20B-Learning%20de%20Tecnologias%20Digitais%20em%20Higiene%20Oral%20p%C3%B3s-gradua%C3%A7%C3%A3o</t>
  </si>
  <si>
    <t>Curso B-Learning de Tecnologias Digitais em Medicina Dentária</t>
  </si>
  <si>
    <t>https://www.google.com/search?q=site%3Aulisboa.pt%20Curso%20B-Learning%20de%20Tecnologias%20Digitais%20em%20Medicina%20Dent%C3%A1ria%20p%C3%B3s-gradua%C3%A7%C3%A3o</t>
  </si>
  <si>
    <t>Curso B-Learning de Tecnologias Digitais em Prótese Dentária</t>
  </si>
  <si>
    <t>https://www.google.com/search?q=site%3Aulisboa.pt%20Curso%20B-Learning%20de%20Tecnologias%20Digitais%20em%20Pr%C3%B3tese%20Dent%C3%A1ria%20p%C3%B3s-gradua%C3%A7%C3%A3o</t>
  </si>
  <si>
    <t>Curso de Atualização em Medicamentos à Base de Plantas</t>
  </si>
  <si>
    <t>https://www.google.com/search?q=site%3Aulisboa.pt%20Curso%20de%20Atualiza%C3%A7%C3%A3o%20em%20Medicamentos%20%C3%A0%20Base%20de%20Plantas%20p%C3%B3s-gradua%C3%A7%C3%A3o</t>
  </si>
  <si>
    <t>Curso de Especialização em História e Género</t>
  </si>
  <si>
    <t>https://www.google.com/search?q=site%3Aulisboa.pt%20Curso%20de%20Especializa%C3%A7%C3%A3o%20em%20Hist%C3%B3ria%20e%20G%C3%A9nero%20p%C3%B3s-gradua%C3%A7%C3%A3o</t>
  </si>
  <si>
    <t>Curso de Especialização em Práticas e Tecnologias de Tradução</t>
  </si>
  <si>
    <t>https://www.google.com/search?q=site%3Aulisboa.pt%20Curso%20de%20Especializa%C3%A7%C3%A3o%20em%20Pr%C3%A1ticas%20e%20Tecnologias%20de%20Tradu%C3%A7%C3%A3o%20p%C3%B3s-gradua%C3%A7%C3%A3o</t>
  </si>
  <si>
    <t>Curso de Formação em Ciências para o Ensino</t>
  </si>
  <si>
    <t>https://www.google.com/search?q=site%3Aulisboa.pt%20Curso%20de%20Forma%C3%A7%C3%A3o%20em%20Ci%C3%AAncias%20para%20o%20Ensino%20p%C3%B3s-gradua%C3%A7%C3%A3o</t>
  </si>
  <si>
    <t>Curso de Pós-Graduação em Ciências para o Ensino (Complementar) - 60 créditos (ECTS)</t>
  </si>
  <si>
    <t>https://www.google.com/search?q=site%3Aulisboa.pt%20Curso%20de%20P%C3%B3s-Gradua%C3%A7%C3%A3o%20em%20Ci%C3%AAncias%20para%20o%20Ensino%20%28Complementar%29%20-%2060%20cr%C3%A9ditos%20%28ECTS%29%20p%C3%B3s-gradua%C3%A7%C3%A3o</t>
  </si>
  <si>
    <t>Curso de Pós-Graduação em Ciências para o Ensino - 30 créditos (ECTS)</t>
  </si>
  <si>
    <t>https://www.google.com/search?q=site%3Aulisboa.pt%20Curso%20de%20P%C3%B3s-Gradua%C3%A7%C3%A3o%20em%20Ci%C3%AAncias%20para%20o%20Ensino%20-%2030%20cr%C3%A9ditos%20%28ECTS%29%20p%C3%B3s-gradua%C3%A7%C3%A3o</t>
  </si>
  <si>
    <t>Curso de Pós-graduação em Estudos Medievais</t>
  </si>
  <si>
    <t>https://www.google.com/search?q=site%3Aulisboa.pt%20Curso%20de%20P%C3%B3s-gradua%C3%A7%C3%A3o%20em%20Estudos%20Medievais%20p%C3%B3s-gradua%C3%A7%C3%A3o</t>
  </si>
  <si>
    <t>Curso pós-graduado de especialização em Cirurgia Oral</t>
  </si>
  <si>
    <t>https://www.google.com/search?q=site%3Aulisboa.pt%20Curso%20p%C3%B3s-graduado%20de%20especializa%C3%A7%C3%A3o%20em%20Cirurgia%20Oral%20p%C3%B3s-gradua%C3%A7%C3%A3o</t>
  </si>
  <si>
    <t>Curso pós-graduado de especialização em Endodontia</t>
  </si>
  <si>
    <t>https://www.google.com/search?q=site%3Aulisboa.pt%20Curso%20p%C3%B3s-graduado%20de%20especializa%C3%A7%C3%A3o%20em%20Endodontia%20p%C3%B3s-gradua%C3%A7%C3%A3o</t>
  </si>
  <si>
    <t>Curso pós-graduado de especialização em Implantologia</t>
  </si>
  <si>
    <t>https://www.google.com/search?q=site%3Aulisboa.pt%20Curso%20p%C3%B3s-graduado%20de%20especializa%C3%A7%C3%A3o%20em%20Implantologia%20p%C3%B3s-gradua%C3%A7%C3%A3o</t>
  </si>
  <si>
    <t>Curso pós-graduado de especialização em Odontopediatria</t>
  </si>
  <si>
    <t>https://www.google.com/search?q=site%3Aulisboa.pt%20Curso%20p%C3%B3s-graduado%20de%20especializa%C3%A7%C3%A3o%20em%20Odontopediatria%20p%C3%B3s-gradua%C3%A7%C3%A3o</t>
  </si>
  <si>
    <t>Curso pós-graduado de especialização em Ortodontia</t>
  </si>
  <si>
    <t>https://www.google.com/search?q=site%3Aulisboa.pt%20Curso%20p%C3%B3s-graduado%20de%20especializa%C3%A7%C3%A3o%20em%20Ortodontia%20p%C3%B3s-gradua%C3%A7%C3%A3o</t>
  </si>
  <si>
    <t>Curso pós-graduado de especialização em Periodontologia</t>
  </si>
  <si>
    <t>https://www.google.com/search?q=site%3Aulisboa.pt%20Curso%20p%C3%B3s-graduado%20de%20especializa%C3%A7%C3%A3o%20em%20Periodontologia%20p%C3%B3s-gradua%C3%A7%C3%A3o</t>
  </si>
  <si>
    <t>Curso pós-graduado de especialização em Prostodontia</t>
  </si>
  <si>
    <t>https://www.google.com/search?q=site%3Aulisboa.pt%20Curso%20p%C3%B3s-graduado%20de%20especializa%C3%A7%C3%A3o%20em%20Prostodontia%20p%C3%B3s-gradua%C3%A7%C3%A3o</t>
  </si>
  <si>
    <t>Data Science &amp; Business Analytics</t>
  </si>
  <si>
    <t>https://www.google.com/search?q=site%3Aulisboa.pt%20Data%20Science%20%26%20Business%20Analytics%20p%C3%B3s-gradua%C3%A7%C3%A3o</t>
  </si>
  <si>
    <t>160 h (15/09/2026–23/06/2027)</t>
  </si>
  <si>
    <t>Data Science &amp; Business Analytics – Blended Learning</t>
  </si>
  <si>
    <t>https://www.google.com/search?q=site%3Aulisboa.pt%20Data%20Science%20%26%20Business%20Analytics%20%E2%80%93%20Blended%20Learning%20p%C3%B3s-gradua%C3%A7%C3%A3o</t>
  </si>
  <si>
    <t>160 h (maio 2027)</t>
  </si>
  <si>
    <t>Desenvolvimento Pedagógico – Apoio ao Ensino</t>
  </si>
  <si>
    <t>https://www.google.com/search?q=site%3Aulisboa.pt%20Desenvolvimento%20Pedag%C3%B3gico%20%E2%80%93%20Apoio%20ao%20Ensino%20p%C3%B3s-gradua%C3%A7%C3%A3o</t>
  </si>
  <si>
    <t>Design Circular: modos culturais, sistémicos e materiais</t>
  </si>
  <si>
    <t>https://www.google.com/search?q=site%3Aulisboa.pt%20Design%20Circular%3A%20modos%20culturais%2C%20sist%C3%A9micos%20e%20materiais%20p%C3%B3s-gradua%C3%A7%C3%A3o</t>
  </si>
  <si>
    <t>https://www.google.com/search?q=site%3Aulisboa.pt%20Desporto%20Adaptado%20p%C3%B3s-gradua%C3%A7%C3%A3o</t>
  </si>
  <si>
    <t>Deteção remota e SIG aplicados ao ordenamento do território</t>
  </si>
  <si>
    <t>Instituto de Geografia e Ordenamento do Território</t>
  </si>
  <si>
    <t>https://www.google.com/search?q=site%3Aulisboa.pt%20Dete%C3%A7%C3%A3o%20remota%20e%20SIG%20aplicados%20ao%20ordenamento%20do%20territ%C3%B3rio%20p%C3%B3s-gradua%C3%A7%C3%A3o</t>
  </si>
  <si>
    <t>Digital Experience Design</t>
  </si>
  <si>
    <t>https://www.google.com/search?q=site%3Aulisboa.pt%20Digital%20Experience%20Design%20p%C3%B3s-gradua%C3%A7%C3%A3o</t>
  </si>
  <si>
    <t>Direito dos Registos e do Notariado (em parceria com o IRN e com a Ordem dos Notários)</t>
  </si>
  <si>
    <t>https://www.google.com/search?q=site%3Aulisboa.pt%20Direito%20dos%20Registos%20e%20do%20Notariado%20%28em%20parceria%20com%20o%20IRN%20e%20com%20a%20Ordem%20dos%20Not%C3%A1rios%29%20p%C3%B3s-gradua%C3%A7%C3%A3o</t>
  </si>
  <si>
    <t>Direito e práticas processuais</t>
  </si>
  <si>
    <t>https://www.google.com/search?q=site%3Aulisboa.pt%20Direito%20e%20pr%C3%A1ticas%20processuais%20p%C3%B3s-gradua%C3%A7%C3%A3o</t>
  </si>
  <si>
    <t>Discursos da Fotografia Contemporânea</t>
  </si>
  <si>
    <t>https://www.google.com/search?q=site%3Aulisboa.pt%20Discursos%20da%20Fotografia%20Contempor%C3%A2nea%20p%C3%B3s-gradua%C3%A7%C3%A3o</t>
  </si>
  <si>
    <t>Doenças do Movimento</t>
  </si>
  <si>
    <t>https://www.google.com/search?q=site%3Aulisboa.pt%20Doen%C3%A7as%20do%20Movimento%20p%C3%B3s-gradua%C3%A7%C3%A3o</t>
  </si>
  <si>
    <t>https://www.google.com/search?q=site%3Aulisboa.pt%20Educa%C3%A7%C3%A3o%20Especial%20-%20Dom%C3%ADnio%20Cognitivo%20e%20Motor%20p%C3%B3s-gradua%C3%A7%C3%A3o</t>
  </si>
  <si>
    <t>https://www.google.com/search?q=site%3Aulisboa.pt%20Educa%C3%A7%C3%A3o%20STEAM%20p%C3%B3s-gradua%C3%A7%C3%A3o</t>
  </si>
  <si>
    <t>Medicina Veterinária / Enfermagem Vet.</t>
  </si>
  <si>
    <t>https://www.google.com/search?q=site%3Aulisboa.pt%20Enfermagem%20Veterin%C3%A1ria%20Cl%C3%ADnica%20p%C3%B3s-gradua%C3%A7%C3%A3o</t>
  </si>
  <si>
    <t>Duração anual; ECTS não indicados; início previsto 30 jan 2026 em campanha recente</t>
  </si>
  <si>
    <t>Ergonomia na Resiliência das Organizações Laborais</t>
  </si>
  <si>
    <t>https://www.google.com/search?q=site%3Aulisboa.pt%20Ergonomia%20na%20Resili%C3%AAncia%20das%20Organiza%C3%A7%C3%B5es%20Laborais%20p%C3%B3s-gradua%C3%A7%C3%A3o</t>
  </si>
  <si>
    <t>Especialização em Revisão Sistemática de Literatura e Meta-análise</t>
  </si>
  <si>
    <t>https://www.google.com/search?q=site%3Aulisboa.pt%20Especializa%C3%A7%C3%A3o%20em%20Revis%C3%A3o%20Sistem%C3%A1tica%20de%20Literatura%20e%20Meta-an%C3%A1lise%20p%C3%B3s-gradua%C3%A7%C3%A3o</t>
  </si>
  <si>
    <t>Esports &amp; Comunidades Digitais</t>
  </si>
  <si>
    <t>https://www.google.com/search?q=site%3Aulisboa.pt%20Esports%20%26%20Comunidades%20Digitais%20p%C3%B3s-gradua%C3%A7%C3%A3o</t>
  </si>
  <si>
    <t>Estudos Demográficos</t>
  </si>
  <si>
    <t>https://www.google.com/search?q=site%3Aulisboa.pt%20Estudos%20Demogr%C3%A1ficos%20p%C3%B3s-gradua%C3%A7%C3%A3o</t>
  </si>
  <si>
    <t>Geoeconomia</t>
  </si>
  <si>
    <t>https://www.google.com/search?q=site%3Aulisboa.pt%20Geoeconomia%20p%C3%B3s-gradua%C3%A7%C3%A3o</t>
  </si>
  <si>
    <t>https://www.google.com/search?q=site%3Aulisboa.pt%20Gest%C3%A3o%20Empresarial%20p%C3%B3s-gradua%C3%A7%C3%A3o</t>
  </si>
  <si>
    <t>166 h (07/10/2026–07/06/2027)</t>
  </si>
  <si>
    <t>Gestão Empresarial – Blended Learning</t>
  </si>
  <si>
    <t>https://www.google.com/search?q=site%3Aulisboa.pt%20Gest%C3%A3o%20Empresarial%20%E2%80%93%20Blended%20Learning%20p%C3%B3s-gradua%C3%A7%C3%A3o</t>
  </si>
  <si>
    <t>132 h (maio 2027)</t>
  </si>
  <si>
    <t>Gestão da Sustentabilidade</t>
  </si>
  <si>
    <t>https://www.google.com/search?q=site%3Aulisboa.pt%20Gest%C3%A3o%20da%20Sustentabilidade%20p%C3%B3s-gradua%C3%A7%C3%A3o</t>
  </si>
  <si>
    <t>156 h (28/09/2026–15/06/2027)</t>
  </si>
  <si>
    <t>Gestão de Instituições de Saúde</t>
  </si>
  <si>
    <t>https://www.google.com/search?q=site%3Aulisboa.pt%20Gest%C3%A3o%20de%20Institui%C3%A7%C3%B5es%20de%20Sa%C3%BAde%20p%C3%B3s-gradua%C3%A7%C3%A3o</t>
  </si>
  <si>
    <t>204 h (desde abril 2027)</t>
  </si>
  <si>
    <t>https://www.google.com/search?q=site%3Aulisboa.pt%20Gest%C3%A3o%20de%20Projetos%20p%C3%B3s-gradua%C3%A7%C3%A3o</t>
  </si>
  <si>
    <t>162 h (21/09/2026–29/04/2027)</t>
  </si>
  <si>
    <t>https://www.google.com/search?q=site%3Aulisboa.pt%20Gest%C3%A3o%20de%20Recursos%20Humanos%20p%C3%B3s-gradua%C3%A7%C3%A3o</t>
  </si>
  <si>
    <t>Gestão de Risco e Auditoria em Saúde</t>
  </si>
  <si>
    <t>https://www.google.com/search?q=site%3Aulisboa.pt%20Gest%C3%A3o%20de%20Risco%20e%20Auditoria%20em%20Sa%C3%BAde%20p%C3%B3s-gradua%C3%A7%C3%A3o</t>
  </si>
  <si>
    <t>115 h (08/10/2026–17/06/2027)</t>
  </si>
  <si>
    <t>https://www.google.com/search?q=site%3Aulisboa.pt%20Gest%C3%A3o%20de%20Turismo%20p%C3%B3s-gradua%C3%A7%C3%A3o</t>
  </si>
  <si>
    <t>121 h (07/10/2026–28/04/2027)</t>
  </si>
  <si>
    <t>https://www.google.com/search?q=site%3Aulisboa.pt%20Gest%C3%A3o%20e%20Avalia%C3%A7%C3%A3o%20Imobili%C3%A1ria%20p%C3%B3s-gradua%C3%A7%C3%A3o</t>
  </si>
  <si>
    <t>244 h (17/09/2026–16/07/2027)</t>
  </si>
  <si>
    <t>Governação Estratégica Municipal</t>
  </si>
  <si>
    <t>https://www.google.com/search?q=site%3Aulisboa.pt%20Governa%C3%A7%C3%A3o%20Estrat%C3%A9gica%20Municipal%20p%C3%B3s-gradua%C3%A7%C3%A3o</t>
  </si>
  <si>
    <t>120 h</t>
  </si>
  <si>
    <t>High Performance Football Coaching</t>
  </si>
  <si>
    <t>https://www.google.com/search?q=site%3Aulisboa.pt%20High%20Performance%20Football%20Coaching%20p%C3%B3s-gradua%C3%A7%C3%A3o</t>
  </si>
  <si>
    <t>Higiene Oral para Pessoas com Necessidades Especiais</t>
  </si>
  <si>
    <t>https://www.google.com/search?q=site%3Aulisboa.pt%20Higiene%20Oral%20para%20Pessoas%20com%20Necessidades%20Especiais%20p%C3%B3s-gradua%C3%A7%C3%A3o</t>
  </si>
  <si>
    <t>Igualdade de Género</t>
  </si>
  <si>
    <t>https://www.google.com/search?q=site%3Aulisboa.pt%20Igualdade%20de%20G%C3%A9nero%20p%C3%B3s-gradua%C3%A7%C3%A3o</t>
  </si>
  <si>
    <t>Ilustração Científica</t>
  </si>
  <si>
    <t>https://www.google.com/search?q=site%3Aulisboa.pt%20Ilustra%C3%A7%C3%A3o%20Cient%C3%ADfica%20p%C3%B3s-gradua%C3%A7%C3%A3o</t>
  </si>
  <si>
    <t>Ilustração e Narrativa Visual</t>
  </si>
  <si>
    <t>https://www.google.com/search?q=site%3Aulisboa.pt%20Ilustra%C3%A7%C3%A3o%20e%20Narrativa%20Visual%20p%C3%B3s-gradua%C3%A7%C3%A3o</t>
  </si>
  <si>
    <t>Imagiologia Clínica em Animais de Companhia</t>
  </si>
  <si>
    <t>https://www.google.com/search?q=site%3Aulisboa.pt%20Imagiologia%20Cl%C3%ADnica%20em%20Animais%20de%20Companhia%20p%C3%B3s-gradua%C3%A7%C3%A3o</t>
  </si>
  <si>
    <t>Infância Ativa Num Mundo Digital</t>
  </si>
  <si>
    <t>https://www.google.com/search?q=site%3Aulisboa.pt%20Inf%C3%A2ncia%20Ativa%20Num%20Mundo%20Digital%20p%C3%B3s-gradua%C3%A7%C3%A3o</t>
  </si>
  <si>
    <t>Inovação em habitação</t>
  </si>
  <si>
    <t>https://www.google.com/search?q=site%3Aulisboa.pt%20Inova%C3%A7%C3%A3o%20em%20habita%C3%A7%C3%A3o%20p%C3%B3s-gradua%C3%A7%C3%A3o</t>
  </si>
  <si>
    <t>Instrumentos de política de habitação</t>
  </si>
  <si>
    <t>https://www.google.com/search?q=site%3Aulisboa.pt%20Instrumentos%20de%20pol%C3%ADtica%20de%20habita%C3%A7%C3%A3o%20p%C3%B3s-gradua%C3%A7%C3%A3o</t>
  </si>
  <si>
    <t>Intelligence: Teoria e Prática</t>
  </si>
  <si>
    <t>https://www.google.com/search?q=site%3Aulisboa.pt%20Intelligence%3A%20Teoria%20e%20Pr%C3%A1tica%20p%C3%B3s-gradua%C3%A7%C3%A3o</t>
  </si>
  <si>
    <t>Introdução à Investigação em Arquitetura, Urbanismo e Design</t>
  </si>
  <si>
    <t>https://www.google.com/search?q=site%3Aulisboa.pt%20Introdu%C3%A7%C3%A3o%20%C3%A0%20Investiga%C3%A7%C3%A3o%20em%20Arquitetura%2C%20Urbanismo%20e%20Design%20p%C3%B3s-gradua%C3%A7%C3%A3o</t>
  </si>
  <si>
    <t>Jornalismo(s) Literário(s)</t>
  </si>
  <si>
    <t>https://www.google.com/search?q=site%3Aulisboa.pt%20Jornalismo%28s%29%20Liter%C3%A1rio%28s%29%20p%C3%B3s-gradua%C3%A7%C3%A3o</t>
  </si>
  <si>
    <t>Literacia Financeira e Tomada de Decisão</t>
  </si>
  <si>
    <t>https://www.google.com/search?q=site%3Aulisboa.pt%20Literacia%20Financeira%20e%20Tomada%20de%20Decis%C3%A3o%20p%C3%B3s-gradua%C3%A7%C3%A3o</t>
  </si>
  <si>
    <t>Literacia Física, Cidadania Ambiental e Sustentabilidade</t>
  </si>
  <si>
    <t>https://www.google.com/search?q=site%3Aulisboa.pt%20Literacia%20F%C3%ADsica%2C%20Cidadania%20Ambiental%20e%20Sustentabilidade%20p%C3%B3s-gradua%C3%A7%C3%A3o</t>
  </si>
  <si>
    <t>Marketing Digital &amp; AI</t>
  </si>
  <si>
    <t>https://www.google.com/search?q=site%3Aulisboa.pt%20Marketing%20Digital%20%26%20AI%20p%C3%B3s-gradua%C3%A7%C3%A3o</t>
  </si>
  <si>
    <t>156 h (26/09/2026–15/06/2027)</t>
  </si>
  <si>
    <t>https://www.google.com/search?q=site%3Aulisboa.pt%20Marketing%20Management%20p%C3%B3s-gradua%C3%A7%C3%A3o</t>
  </si>
  <si>
    <t>170 h (14/09/2026–10/05/2027)</t>
  </si>
  <si>
    <t>https://www.google.com/search?q=site%3Aulisboa.pt%20Media%C3%A7%C3%A3o%20Familiar%20p%C3%B3s-gradua%C3%A7%C3%A3o</t>
  </si>
  <si>
    <t>Medicina Dentária Forense</t>
  </si>
  <si>
    <t>https://www.google.com/search?q=site%3Aulisboa.pt%20Medicina%20Dent%C3%A1ria%20Forense%20p%C3%B3s-gradua%C3%A7%C3%A3o</t>
  </si>
  <si>
    <t>Medicina Humanitária, de Conflito e de Catástrofe</t>
  </si>
  <si>
    <t>https://www.google.com/search?q=site%3Aulisboa.pt%20Medicina%20Humanit%C3%A1ria%2C%20de%20Conflito%20e%20de%20Cat%C3%A1strofe%20p%C3%B3s-gradua%C3%A7%C3%A3o</t>
  </si>
  <si>
    <t>Medicina em Animais de Companhia</t>
  </si>
  <si>
    <t>https://www.google.com/search?q=site%3Aulisboa.pt%20Medicina%20em%20Animais%20de%20Companhia%20p%C3%B3s-gradua%C3%A7%C3%A3o</t>
  </si>
  <si>
    <t>MetodICS</t>
  </si>
  <si>
    <t>https://www.google.com/search?q=site%3Aulisboa.pt%20MetodICS%20p%C3%B3s-gradua%C3%A7%C3%A3o</t>
  </si>
  <si>
    <t>Metodologias e Técnicas de Investigação Científica</t>
  </si>
  <si>
    <t>https://www.google.com/search?q=site%3Aulisboa.pt%20Metodologias%20e%20T%C3%A9cnicas%20de%20Investiga%C3%A7%C3%A3o%20Cient%C3%ADfica%20p%C3%B3s-gradua%C3%A7%C3%A3o</t>
  </si>
  <si>
    <t>https://www.google.com/search?q=site%3Aulisboa.pt%20Oncobiologia%20p%C3%B3s-gradua%C3%A7%C3%A3o</t>
  </si>
  <si>
    <t>Pedagogia do Ensino Superior</t>
  </si>
  <si>
    <t>https://www.google.com/search?q=site%3Aulisboa.pt%20Pedagogia%20do%20Ensino%20Superior%20p%C3%B3s-gradua%C3%A7%C3%A3o</t>
  </si>
  <si>
    <t>Pharmaceutical Marketing and Business Innovation</t>
  </si>
  <si>
    <t>https://www.google.com/search?q=site%3Aulisboa.pt%20Pharmaceutical%20Marketing%20and%20Business%20Innovation%20p%C3%B3s-gradua%C3%A7%C3%A3o</t>
  </si>
  <si>
    <t>164,5 h (09/10/2026–24/07/2027)</t>
  </si>
  <si>
    <t>Prevenção da Dopagem</t>
  </si>
  <si>
    <t>https://www.google.com/search?q=site%3Aulisboa.pt%20Preven%C3%A7%C3%A3o%20da%20Dopagem%20p%C3%B3s-gradua%C3%A7%C3%A3o</t>
  </si>
  <si>
    <t>Prevenção do (Cyber)Bullying e Promoção de Competências Socioemocionais</t>
  </si>
  <si>
    <t>https://www.google.com/search?q=site%3Aulisboa.pt%20Preven%C3%A7%C3%A3o%20do%20%28Cyber%29Bullying%20e%20Promo%C3%A7%C3%A3o%20de%20Compet%C3%AAncias%20Socioemocionais%20p%C3%B3s-gradua%C3%A7%C3%A3o</t>
  </si>
  <si>
    <t>Programação de Software para Gestão</t>
  </si>
  <si>
    <t>https://www.google.com/search?q=site%3Aulisboa.pt%20Programa%C3%A7%C3%A3o%20de%20Software%20para%20Gest%C3%A3o%20p%C3%B3s-gradua%C3%A7%C3%A3o</t>
  </si>
  <si>
    <t>156 h (02/10/2026–15/06/2027)</t>
  </si>
  <si>
    <t>Projeto Integrado em Arquitetura, Design e Artes - Metodologias e Práticas da Sustentabilidade</t>
  </si>
  <si>
    <t>https://www.google.com/search?q=site%3Aulisboa.pt%20Projeto%20Integrado%20em%20Arquitetura%2C%20Design%20e%20Artes%20-%20Metodologias%20e%20Pr%C3%A1ticas%20da%20Sustentabilidade%20p%C3%B3s-gradua%C3%A7%C3%A3o</t>
  </si>
  <si>
    <t>Promoção da Atividade Física na Educação Pré-escolar e no 1.º Ciclo de Escolaridade</t>
  </si>
  <si>
    <t>https://www.google.com/search?q=site%3Aulisboa.pt%20Promo%C3%A7%C3%A3o%20da%20Atividade%20F%C3%ADsica%20na%20Educa%C3%A7%C3%A3o%20Pr%C3%A9-escolar%20e%20no%201.%C2%BA%20Ciclo%20de%20Escolaridade%20p%C3%B3s-gradua%C3%A7%C3%A3o</t>
  </si>
  <si>
    <t>Promoção de Escolas Saudáveis: intervenção com alunos, professores e pais</t>
  </si>
  <si>
    <t>https://www.google.com/search?q=site%3Aulisboa.pt%20Promo%C3%A7%C3%A3o%20de%20Escolas%20Saud%C3%A1veis%3A%20interven%C3%A7%C3%A3o%20com%20alunos%2C%20professores%20e%20pais%20p%C3%B3s-gradua%C3%A7%C3%A3o</t>
  </si>
  <si>
    <t>Psicologia da Saúde Ocupacional</t>
  </si>
  <si>
    <t>https://www.google.com/search?q=site%3Aulisboa.pt%20Psicologia%20da%20Sa%C3%BAde%20Ocupacional%20p%C3%B3s-gradua%C3%A7%C3%A3o</t>
  </si>
  <si>
    <t>Psicologia e Intervenção em Crise e Emergência</t>
  </si>
  <si>
    <t>https://www.google.com/search?q=site%3Aulisboa.pt%20Psicologia%20e%20Interven%C3%A7%C3%A3o%20em%20Crise%20e%20Emerg%C3%AAncia%20p%C3%B3s-gradua%C3%A7%C3%A3o</t>
  </si>
  <si>
    <t>Psicologia para Pais</t>
  </si>
  <si>
    <t>https://www.google.com/search?q=site%3Aulisboa.pt%20Psicologia%20para%20Pais%20p%C3%B3s-gradua%C3%A7%C3%A3o</t>
  </si>
  <si>
    <t>Pós-Graduação AI and Law</t>
  </si>
  <si>
    <t>https://www.google.com/search?q=site%3Aulisboa.pt%20P%C3%B3s-Gradua%C3%A7%C3%A3o%20AI%20and%20Law%20p%C3%B3s-gradua%C3%A7%C3%A3o</t>
  </si>
  <si>
    <t>Pós-Graduação Direito do Trabalho</t>
  </si>
  <si>
    <t>https://www.google.com/search?q=site%3Aulisboa.pt%20P%C3%B3s-Gradua%C3%A7%C3%A3o%20Direito%20do%20Trabalho%20p%C3%B3s-gradua%C3%A7%C3%A3o</t>
  </si>
  <si>
    <t>Pós-Graduação em Ciências Jurídico-Forenses</t>
  </si>
  <si>
    <t>https://www.google.com/search?q=site%3Aulisboa.pt%20P%C3%B3s-Gradua%C3%A7%C3%A3o%20em%20Ci%C3%AAncias%20Jur%C3%ADdico-Forenses%20p%C3%B3s-gradua%C3%A7%C3%A3o</t>
  </si>
  <si>
    <t>Pós-Graduação em Direito Económico e Financeiro Regional</t>
  </si>
  <si>
    <t>https://www.google.com/search?q=site%3Aulisboa.pt%20P%C3%B3s-Gradua%C3%A7%C3%A3o%20em%20Direito%20Econ%C3%B3mico%20e%20Financeiro%20Regional%20p%C3%B3s-gradua%C3%A7%C3%A3o</t>
  </si>
  <si>
    <t>Pós-Graduação em Justiça e Arbitragem Internacionais</t>
  </si>
  <si>
    <t>https://www.google.com/search?q=site%3Aulisboa.pt%20P%C3%B3s-Gradua%C3%A7%C3%A3o%20em%20Justi%C3%A7a%20e%20Arbitragem%20Internacionais%20p%C3%B3s-gradua%C3%A7%C3%A3o</t>
  </si>
  <si>
    <t>Reabilitação habitacional</t>
  </si>
  <si>
    <t>https://www.google.com/search?q=site%3Aulisboa.pt%20Reabilita%C3%A7%C3%A3o%20habitacional%20p%C3%B3s-gradua%C3%A7%C3%A3o</t>
  </si>
  <si>
    <t>Relações Internacionais, Direito e Cibersegurança</t>
  </si>
  <si>
    <t>https://www.google.com/search?q=site%3Aulisboa.pt%20Rela%C3%A7%C3%B5es%20Internacionais%2C%20Direito%20e%20Ciberseguran%C3%A7a%20p%C3%B3s-gradua%C3%A7%C3%A3o</t>
  </si>
  <si>
    <t>Robótica e Tecnologias Emergentes no Ensino Básico</t>
  </si>
  <si>
    <t>https://www.google.com/search?q=site%3Aulisboa.pt%20Rob%C3%B3tica%20e%20Tecnologias%20Emergentes%20no%20Ensino%20B%C3%A1sico%20p%C3%B3s-gradua%C3%A7%C3%A3o</t>
  </si>
  <si>
    <t>Sales Management</t>
  </si>
  <si>
    <t>https://www.google.com/search?q=site%3Aulisboa.pt%20Sales%20Management%20p%C3%B3s-gradua%C3%A7%C3%A3o</t>
  </si>
  <si>
    <t>140 h (09/10/2026–18/06/2027)</t>
  </si>
  <si>
    <t>Saúde Psicológica ao Longo da Vida</t>
  </si>
  <si>
    <t>https://www.google.com/search?q=site%3Aulisboa.pt%20Sa%C3%BAde%20Psicol%C3%B3gica%20ao%20Longo%20da%20Vida%20p%C3%B3s-gradua%C3%A7%C3%A3o</t>
  </si>
  <si>
    <t>Serviço Social em Saúde, Intervenção e Inovação</t>
  </si>
  <si>
    <t>https://www.google.com/search?q=site%3Aulisboa.pt%20Servi%C3%A7o%20Social%20em%20Sa%C3%BAde%2C%20Interven%C3%A7%C3%A3o%20e%20Inova%C3%A7%C3%A3o%20p%C3%B3s-gradua%C3%A7%C3%A3o</t>
  </si>
  <si>
    <t>Simplex Urbanístico e alterações recentes ao RJIGT</t>
  </si>
  <si>
    <t>https://www.google.com/search?q=site%3Aulisboa.pt%20Simplex%20Urban%C3%ADstico%20e%20altera%C3%A7%C3%B5es%20recentes%20ao%20RJIGT%20p%C3%B3s-gradua%C3%A7%C3%A3o</t>
  </si>
  <si>
    <t>Strategic HR Practices</t>
  </si>
  <si>
    <t>https://www.google.com/search?q=site%3Aulisboa.pt%20Strategic%20HR%20Practices%20p%C3%B3s-gradua%C3%A7%C3%A3o</t>
  </si>
  <si>
    <t>144 h (02/10/2026–22/07/2027)</t>
  </si>
  <si>
    <t>https://www.google.com/search?q=site%3Aulisboa.pt%20Strength%20%26%20Conditioning%20p%C3%B3s-gradua%C3%A7%C3%A3o</t>
  </si>
  <si>
    <t>Tecnologias Digitais em Prótese Dentária</t>
  </si>
  <si>
    <t>https://www.google.com/search?q=site%3Aulisboa.pt%20Tecnologias%20Digitais%20em%20Pr%C3%B3tese%20Dent%C3%A1ria%20p%C3%B3s-gradua%C3%A7%C3%A3o</t>
  </si>
  <si>
    <t>Tecnologias e Análise de Dados no Desporto</t>
  </si>
  <si>
    <t>https://www.google.com/search?q=site%3Aulisboa.pt%20Tecnologias%20e%20An%C3%A1lise%20de%20Dados%20no%20Desporto%20p%C3%B3s-gradua%C3%A7%C3%A3o</t>
  </si>
  <si>
    <t>Wayfinding Design: Sistemas de Informação, Orientação e Sinalização para o Espaço Público</t>
  </si>
  <si>
    <t>https://www.google.com/search?q=site%3Aulisboa.pt%20Wayfinding%20Design%3A%20Sistemas%20de%20Informa%C3%A7%C3%A3o%2C%20Orienta%C3%A7%C3%A3o%20e%20Sinaliza%C3%A7%C3%A3o%20para%20o%20Espa%C3%A7o%20P%C3%BAblico%20p%C3%B3s-gradua%C3%A7%C3%A3o</t>
  </si>
  <si>
    <t>Universidade de Trás-os-Montes e Alto Douro</t>
  </si>
  <si>
    <t>Vila Real</t>
  </si>
  <si>
    <t>https://www.google.com/search?q=site%3Autad.pt%20Gerontologia%20CTeSP</t>
  </si>
  <si>
    <t>https://www.google.com/search?q=site%3Autad.pt%20Secretariado%20Cl%C3%ADnico%20CTeSP</t>
  </si>
  <si>
    <t>https://www.google.com/search?q=site%3Autad.pt%20Servi%C3%A7o%20Familiar%20e%20Comunit%C3%A1rio%20CTeSP</t>
  </si>
  <si>
    <t>https://www.google.com/search?q=site%3Autad.pt%20Termalismo%20e%20Bem-Estar%20CTeSP</t>
  </si>
  <si>
    <t>https://www.google.com/search?q=site%3Autad.pt%20Agronomia%20licenciatura</t>
  </si>
  <si>
    <t>Animação Cultural e Comunitária</t>
  </si>
  <si>
    <t>Escola de Ciências Humanas e Sociais</t>
  </si>
  <si>
    <t>https://www.google.com/search?q=site%3Autad.pt%20Anima%C3%A7%C3%A3o%20Cultural%20e%20Comunit%C3%A1ria%20licenciatura</t>
  </si>
  <si>
    <t>https://www.google.com/search?q=site%3Autad.pt%20Anima%C3%A7%C3%A3o%20Sociocultural%20licenciatura</t>
  </si>
  <si>
    <t>https://www.google.com/search?q=site%3Autad.pt%20Arquitetura%20Paisagista%20licenciatura</t>
  </si>
  <si>
    <t>Escola de Ciências da Vida e do Ambiente</t>
  </si>
  <si>
    <t>https://www.google.com/search?q=site%3Autad.pt%20Bioengenharia%20licenciatura</t>
  </si>
  <si>
    <t>https://www.google.com/search?q=site%3Autad.pt%20Biologia%20licenciatura</t>
  </si>
  <si>
    <t>Biologia e Geologia</t>
  </si>
  <si>
    <t>https://www.google.com/search?q=site%3Autad.pt%20Biologia%20e%20Geologia%20licenciatura</t>
  </si>
  <si>
    <t>https://www.google.com/search?q=site%3Autad.pt%20Bioqu%C3%ADmica%20licenciatura</t>
  </si>
  <si>
    <t>Escola de Ciências e Tecnologia</t>
  </si>
  <si>
    <t>https://www.google.com/search?q=site%3Autad.pt%20Cidades%20Sustent%C3%A1veis%20e%20Inteligentes%20licenciatura</t>
  </si>
  <si>
    <t>Ciência Animal</t>
  </si>
  <si>
    <t>https://www.google.com/search?q=site%3Autad.pt%20Ci%C3%AAncia%20Animal%20licenciatura</t>
  </si>
  <si>
    <t>https://www.google.com/search?q=site%3Autad.pt%20Ci%C3%AAncias%20Biom%C3%A9dicas%20licenciatura</t>
  </si>
  <si>
    <t>https://www.google.com/search?q=site%3Autad.pt%20Ci%C3%AAncias%20da%20Comunica%C3%A7%C3%A3o%20licenciatura</t>
  </si>
  <si>
    <t>https://www.google.com/search?q=site%3Autad.pt%20Ci%C3%AAncias%20da%20Nutri%C3%A7%C3%A3o%20licenciatura</t>
  </si>
  <si>
    <t>https://www.google.com/search?q=site%3Autad.pt%20Ci%C3%AAncias%20do%20Ambiente%20licenciatura</t>
  </si>
  <si>
    <t>https://www.google.com/search?q=site%3Autad.pt%20Ci%C3%AAncias%20do%20Desporto%20licenciatura</t>
  </si>
  <si>
    <t>Ciências e Tecnologias Florestais</t>
  </si>
  <si>
    <t>https://www.google.com/search?q=site%3Autad.pt%20Ci%C3%AAncias%20e%20Tecnologias%20Florestais%20licenciatura</t>
  </si>
  <si>
    <t>https://www.google.com/search?q=site%3Autad.pt%20Comunica%C3%A7%C3%A3o%20e%20Multim%C3%A9dia%20licenciatura</t>
  </si>
  <si>
    <t>Cultura e Transformação Digital</t>
  </si>
  <si>
    <t>https://www.google.com/search?q=site%3Autad.pt%20Cultura%20e%20Transforma%C3%A7%C3%A3o%20Digital%20licenciatura</t>
  </si>
  <si>
    <t>Design Sustentável</t>
  </si>
  <si>
    <t>https://www.google.com/search?q=site%3Autad.pt%20Design%20Sustent%C3%A1vel%20licenciatura</t>
  </si>
  <si>
    <t>https://www.google.com/search?q=site%3Autad.pt%20Economia%20licenciatura</t>
  </si>
  <si>
    <t>https://www.google.com/search?q=site%3Autad.pt%20Educa%C3%A7%C3%A3o%20B%C3%A1sica%20licenciatura</t>
  </si>
  <si>
    <t>https://www.google.com/search?q=site%3Autad.pt%20Enfermagem%20licenciatura</t>
  </si>
  <si>
    <t>https://www.google.com/search?q=site%3Autad.pt%20Engenharia%20Agron%C3%B3mica%20licenciatura</t>
  </si>
  <si>
    <t>https://www.google.com/search?q=site%3Autad.pt%20Engenharia%20Biom%C3%A9dica%20licenciatura</t>
  </si>
  <si>
    <t>https://www.google.com/search?q=site%3Autad.pt%20Engenharia%20Civil%20licenciatura</t>
  </si>
  <si>
    <t>https://www.google.com/search?q=site%3Autad.pt%20Engenharia%20Eletrot%C3%A9cnica%20e%20de%20Computadores%20licenciatura</t>
  </si>
  <si>
    <t>Engenharia Florestal</t>
  </si>
  <si>
    <t>Escola de Ciências Agrárias e Veterinárias</t>
  </si>
  <si>
    <t>https://www.google.com/search?q=site%3Autad.pt%20Engenharia%20Florestal%20licenciatura</t>
  </si>
  <si>
    <t>Ciências Físicas</t>
  </si>
  <si>
    <t>https://www.google.com/search?q=site%3Autad.pt%20Engenharia%20F%C3%ADsica%20licenciatura</t>
  </si>
  <si>
    <t>https://www.google.com/search?q=site%3Autad.pt%20Engenharia%20Inform%C3%A1tica%20licenciatura</t>
  </si>
  <si>
    <t>https://www.google.com/search?q=site%3Autad.pt%20Engenharia%20Mec%C3%A2nica%20licenciatura</t>
  </si>
  <si>
    <t>Produção Agrícola e Animal (Zootecnia)</t>
  </si>
  <si>
    <t>https://www.google.com/search?q=site%3Autad.pt%20Engenharia%20Zoot%C3%A9cnica%20licenciatura</t>
  </si>
  <si>
    <t>https://www.google.com/search?q=site%3Autad.pt%20Engenharia%20das%20Energias%20Renov%C3%A1veis%20licenciatura</t>
  </si>
  <si>
    <t>Engenharia e Biotecnologia Florestal</t>
  </si>
  <si>
    <t>https://www.google.com/search?q=site%3Autad.pt%20Engenharia%20e%20Biotecnologia%20Florestal%20licenciatura</t>
  </si>
  <si>
    <t>https://www.google.com/search?q=site%3Autad.pt%20Engenharia%20e%20Gest%C3%A3o%20Industrial%20licenciatura</t>
  </si>
  <si>
    <t>https://www.google.com/search?q=site%3Autad.pt%20Enologia%20licenciatura</t>
  </si>
  <si>
    <t>Genética e Biotecnologia</t>
  </si>
  <si>
    <t>https://www.google.com/search?q=site%3Autad.pt%20Gen%C3%A9tica%20e%20Biotecnologia%20licenciatura</t>
  </si>
  <si>
    <t>https://www.google.com/search?q=site%3Autad.pt%20Gest%C3%A3o%20licenciatura</t>
  </si>
  <si>
    <t>Línguas e Relações Empresariais</t>
  </si>
  <si>
    <t>https://www.google.com/search?q=site%3Autad.pt%20L%C3%ADnguas%20e%20Rela%C3%A7%C3%B5es%20Empresariais%20licenciatura</t>
  </si>
  <si>
    <t>https://www.google.com/search?q=site%3Autad.pt%20L%C3%ADnguas%2C%20Literaturas%20e%20Culturas%20licenciatura</t>
  </si>
  <si>
    <t>Matemática Aplicada e Ciência de Dados</t>
  </si>
  <si>
    <t>https://www.google.com/search?q=site%3Autad.pt%20Matem%C3%A1tica%20Aplicada%20e%20Ci%C3%AAncia%20de%20Dados%20licenciatura</t>
  </si>
  <si>
    <t>https://www.google.com/search?q=site%3Autad.pt%20Psicologia%20licenciatura</t>
  </si>
  <si>
    <t>Psicomotricidade</t>
  </si>
  <si>
    <t>https://www.google.com/search?q=site%3Autad.pt%20Psicomotricidade%20licenciatura</t>
  </si>
  <si>
    <t>https://www.google.com/search?q=site%3Autad.pt%20Reabilita%C3%A7%C3%A3o%20Psicomotora%20licenciatura</t>
  </si>
  <si>
    <t>https://www.google.com/search?q=site%3Autad.pt%20Servi%C3%A7o%20Social%20licenciatura</t>
  </si>
  <si>
    <t>Teatro e Artes Performativas</t>
  </si>
  <si>
    <t>https://www.google.com/search?q=site%3Autad.pt%20Teatro%20e%20Artes%20Performativas%20licenciatura</t>
  </si>
  <si>
    <t>https://www.google.com/search?q=site%3Autad.pt%20Tecnologia%20dos%20Espa%C3%A7os%20Verdes%20licenciatura</t>
  </si>
  <si>
    <t>https://www.google.com/search?q=site%3Autad.pt%20Tecnologias%20de%20Informa%C3%A7%C3%A3o%20e%20Comunica%C3%A7%C3%A3o%20licenciatura</t>
  </si>
  <si>
    <t>https://www.google.com/search?q=site%3Autad.pt%20Turismo%20licenciatura</t>
  </si>
  <si>
    <t>https://www.google.com/search?q=site%3Autad.pt%20Agricultura%20Sustent%C3%A1vel%20mestrado</t>
  </si>
  <si>
    <t>Sociologia e Outros Estudos (Antropologia)</t>
  </si>
  <si>
    <t>https://www.google.com/search?q=site%3Autad.pt%20Antropologia%20mestrado</t>
  </si>
  <si>
    <t>https://www.google.com/search?q=site%3Autad.pt%20An%C3%A1lise%20da%20Performance%20Desportiva%20mestrado</t>
  </si>
  <si>
    <t>Arqueologia Pré-Histórica e Arte Rupestre</t>
  </si>
  <si>
    <t>https://www.google.com/search?q=site%3Autad.pt%20Arqueologia%20Pr%C3%A9-Hist%C3%B3rica%20e%20Arte%20Rupestre%20mestrado</t>
  </si>
  <si>
    <t>https://www.google.com/search?q=site%3Autad.pt%20Arquitetura%20Paisagista%20mestrado</t>
  </si>
  <si>
    <t>Assessoria Linguística e Revisão Textual</t>
  </si>
  <si>
    <t>https://www.google.com/search?q=site%3Autad.pt%20Assessoria%20Lingu%C3%ADstica%20e%20Revis%C3%A3o%20Textual%20mestrado</t>
  </si>
  <si>
    <t>Bem‑Estar em Animais de Produção</t>
  </si>
  <si>
    <t>https://www.google.com/search?q=site%3Autad.pt%20Bem%E2%80%91Estar%20em%20Animais%20de%20Produ%C3%A7%C3%A3o%20mestrado</t>
  </si>
  <si>
    <t>Bioinformática e Aplicações às Ciências da Vida</t>
  </si>
  <si>
    <t>https://www.google.com/search?q=site%3Autad.pt%20Bioinform%C3%A1tica%20e%20Aplica%C3%A7%C3%B5es%20%C3%A0s%20Ci%C3%AAncias%20da%20Vida%20mestrado</t>
  </si>
  <si>
    <t>Biologia Clínica Laboratorial</t>
  </si>
  <si>
    <t>https://www.google.com/search?q=site%3Autad.pt%20Biologia%20Cl%C3%ADnica%20Laboratorial%20mestrado</t>
  </si>
  <si>
    <t>https://www.google.com/search?q=site%3Autad.pt%20Biomedicina%20mestrado</t>
  </si>
  <si>
    <t>https://www.google.com/search?q=site%3Autad.pt%20Bioqu%C3%ADmica%20mestrado</t>
  </si>
  <si>
    <t>Biotecnologia para as Ciências da Saúde</t>
  </si>
  <si>
    <t>https://www.google.com/search?q=site%3Autad.pt%20Biotecnologia%20para%20as%20Ci%C3%AAncias%20da%20Sa%C3%BAde%20mestrado</t>
  </si>
  <si>
    <t>Ciências Económicas e Empresariais</t>
  </si>
  <si>
    <t>https://www.google.com/search?q=site%3Autad.pt%20Ci%C3%AAncias%20Econ%C3%B3micas%20e%20Empresariais%20mestrado</t>
  </si>
  <si>
    <t>https://www.google.com/search?q=site%3Autad.pt%20Ci%C3%AAncias%20da%20Comunica%C3%A7%C3%A3o%20mestrado</t>
  </si>
  <si>
    <t>https://www.google.com/search?q=site%3Autad.pt%20Ci%C3%AAncias%20da%20Cultura%20mestrado</t>
  </si>
  <si>
    <t>https://www.google.com/search?q=site%3Autad.pt%20Ci%C3%AAncias%20da%20Educa%C3%A7%C3%A3o%20mestrado</t>
  </si>
  <si>
    <t>Ciências do Desporto - especialização em Atividades de Academia</t>
  </si>
  <si>
    <t>https://www.google.com/search?q=site%3Autad.pt%20Ci%C3%AAncias%20do%20Desporto%20-%20especializa%C3%A7%C3%A3o%20em%20Atividades%20de%20Academia%20mestrado</t>
  </si>
  <si>
    <t>Ciências do Desporto - especialização em Jogos Desportivos Colectivos</t>
  </si>
  <si>
    <t>https://www.google.com/search?q=site%3Autad.pt%20Ci%C3%AAncias%20do%20Desporto%20-%20especializa%C3%A7%C3%A3o%20em%20Jogos%20Desportivos%20Colectivos%20mestrado</t>
  </si>
  <si>
    <t>Ciências do Desporto, com especialização em Prescrição do Exercício Físico e Saúde</t>
  </si>
  <si>
    <t>https://www.google.com/search?q=site%3Autad.pt%20Ci%C3%AAncias%20do%20Desporto%2C%20com%20especializa%C3%A7%C3%A3o%20em%20Prescri%C3%A7%C3%A3o%20do%20Exerc%C3%ADcio%20F%C3%ADsico%20e%20Sa%C3%BAde%20mestrado</t>
  </si>
  <si>
    <t>https://www.google.com/search?q=site%3Autad.pt%20Contabilidade%20e%20Finan%C3%A7as%20mestrado</t>
  </si>
  <si>
    <t>Desafios das Cidades</t>
  </si>
  <si>
    <t>https://www.google.com/search?q=site%3Autad.pt%20Desafios%20das%20Cidades%20mestrado</t>
  </si>
  <si>
    <t>Design da Paisagem com a Natureza</t>
  </si>
  <si>
    <t>https://www.google.com/search?q=site%3Autad.pt%20Design%20da%20Paisagem%20com%20a%20Natureza%20mestrado</t>
  </si>
  <si>
    <t>Desporto de Natureza Sustentabilidade e Saúde</t>
  </si>
  <si>
    <t>https://www.google.com/search?q=site%3Autad.pt%20Desporto%20de%20Natureza%20Sustentabilidade%20e%20Sa%C3%BAde%20mestrado</t>
  </si>
  <si>
    <t>https://www.google.com/search?q=site%3Autad.pt%20Educa%C3%A7%C3%A3o%20Pr%C3%A9%E2%80%91Escolar%20e%20Ensino%20do%201.%C2%BA%20Ciclo%20do%20Ensino%20B%C3%A1sico%20mestrado</t>
  </si>
  <si>
    <t>https://www.google.com/search?q=site%3Autad.pt%20Enfermagem%20Comunit%C3%A1ria%20na%20%C3%81rea%20de%20Enfermagem%20de%20Sa%C3%BAde%20Familiar%20mestrado</t>
  </si>
  <si>
    <t>Enfermagem Comunitária, na área de enfermagem de Saúde Comunitária e de Saúde Pública</t>
  </si>
  <si>
    <t>https://www.google.com/search?q=site%3Autad.pt%20Enfermagem%20Comunit%C3%A1ria%2C%20na%20%C3%A1rea%20de%20enfermagem%20de%20Sa%C3%BAde%20Comunit%C3%A1ria%20e%20de%20Sa%C3%BAde%20P%C3%BAblica%20mestrado</t>
  </si>
  <si>
    <t>https://www.google.com/search?q=site%3Autad.pt%20Enfermagem%20M%C3%A9dico-Cir%C3%BArgica%20na%20%C3%A1rea%20de%20Enfermagem%20%C3%A0%20Pessoa%20em%20Situa%C3%A7%C3%A3o%20Cr%C3%ADtica%20mestrado</t>
  </si>
  <si>
    <t>https://www.google.com/search?q=site%3Autad.pt%20Enfermagem%20Veterin%C3%A1ria%20M%C3%A9dico%E2%80%91Cir%C3%BArgica%20mestrado</t>
  </si>
  <si>
    <t>https://www.google.com/search?q=site%3Autad.pt%20Enfermagem%20de%20Sa%C3%BAde%20Familiar%20mestrado</t>
  </si>
  <si>
    <t>https://www.google.com/search?q=site%3Autad.pt%20Enfermagem%20de%20Sa%C3%BAde%20Materna%20e%20Obst%C3%A9trica%20mestrado</t>
  </si>
  <si>
    <t>https://www.google.com/search?q=site%3Autad.pt%20Engenharia%20Agron%C3%B3mica%20mestrado</t>
  </si>
  <si>
    <t>https://www.google.com/search?q=site%3Autad.pt%20Engenharia%20Alimentar%20mestrado</t>
  </si>
  <si>
    <t>https://www.google.com/search?q=site%3Autad.pt%20Engenharia%20Biom%C3%A9dica%20mestrado</t>
  </si>
  <si>
    <t>https://www.google.com/search?q=site%3Autad.pt%20Engenharia%20Civil%20mestrado</t>
  </si>
  <si>
    <t>https://www.google.com/search?q=site%3Autad.pt%20Engenharia%20Eletrot%C3%A9cnica%20e%20de%20Computadores%20mestrado</t>
  </si>
  <si>
    <t>https://www.google.com/search?q=site%3Autad.pt%20Engenharia%20Florestal%20mestrado</t>
  </si>
  <si>
    <t>https://www.google.com/search?q=site%3Autad.pt%20Engenharia%20Inform%C3%A1tica%20mestrado</t>
  </si>
  <si>
    <t>https://www.google.com/search?q=site%3Autad.pt%20Engenharia%20Inform%C3%A1tica%20e%20Tecnologia%20Web%20mestrado</t>
  </si>
  <si>
    <t>https://www.google.com/search?q=site%3Autad.pt%20Engenharia%20Mec%C3%A2nica%20mestrado</t>
  </si>
  <si>
    <t>https://www.google.com/search?q=site%3Autad.pt%20Engenharia%20Zoot%C3%A9cnica%20mestrado</t>
  </si>
  <si>
    <t>https://www.google.com/search?q=site%3Autad.pt%20Engenharia%20do%20Ambiente%20mestrado</t>
  </si>
  <si>
    <t>https://www.google.com/search?q=site%3Autad.pt%20Engenharia%20e%20Ci%C3%AAncia%20de%20Dados%20mestrado</t>
  </si>
  <si>
    <t>Enologia e Viticultura</t>
  </si>
  <si>
    <t>https://www.google.com/search?q=site%3Autad.pt%20Enologia%20e%20Viticultura%20mestrado</t>
  </si>
  <si>
    <t>https://www.google.com/search?q=site%3Autad.pt%20Ensino%20da%20Matem%C3%A1tica%20no%203.%C2%BA%20Ciclo%20do%20Ensino%20B%C3%A1sico%20e%20no%20Ensino%20Secund%C3%A1rio%20mestrado</t>
  </si>
  <si>
    <t>https://www.google.com/search?q=site%3Autad.pt%20Ensino%20de%20Biologia%20e%20Geologia%20no%203.%C2%BA%20Ciclo%20do%20Ensino%20B%C3%A1sico%20e%20no%20Ensino%20Secund%C3%A1rio%20mestrado</t>
  </si>
  <si>
    <t>Ensino de Ciências Agropecuárias</t>
  </si>
  <si>
    <t>Formação de Professores de Ciências (área agrícola)</t>
  </si>
  <si>
    <t>https://www.google.com/search?q=site%3Autad.pt%20Ensino%20de%20Ci%C3%AAncias%20Agropecu%C3%A1rias%20mestrado</t>
  </si>
  <si>
    <t>https://www.google.com/search?q=site%3Autad.pt%20Ensino%20de%20Educa%C3%A7%C3%A3o%20F%C3%ADsica%20nos%20Ensinos%20B%C3%A1sico%20e%20Secund%C3%A1rio%20mestrado</t>
  </si>
  <si>
    <t>Formação de Professores de Física e Química</t>
  </si>
  <si>
    <t>https://www.google.com/search?q=site%3Autad.pt%20Ensino%20de%20F%C3%ADsica%20e%20de%20Qu%C3%ADmica%20no%203.%C2%BA%20Ciclo%20do%20Ensino%20B%C3%A1sico%20e%20no%20Ensino%20Secund%C3%A1rio%20mestrado</t>
  </si>
  <si>
    <t>https://www.google.com/search?q=site%3Autad.pt%20Ensino%20de%20Inform%C3%A1tica%20mestrado</t>
  </si>
  <si>
    <t>Ensino de Português e de Inglês no 3.º Ciclo do Ensino Básico e no Ensino Secundário</t>
  </si>
  <si>
    <t>https://www.google.com/search?q=site%3Autad.pt%20Ensino%20de%20Portugu%C3%AAs%20e%20de%20Ingl%C3%AAs%20no%203.%C2%BA%20Ciclo%20do%20Ensino%20B%C3%A1sico%20e%20no%20Ensino%20Secund%C3%A1rio%20mestrado</t>
  </si>
  <si>
    <t>https://www.google.com/search?q=site%3Autad.pt%20Ensino%20do%201.%C2%BA%20Ciclo%20do%20Ensino%20B%C3%A1sico%20e%20de%20Matem%C3%A1tica%20e%20Ci%C3%AAncias%20Naturais%20no%202.%C2%BA%20Ciclo%20do%20Ensino%20B%C3%A1sico%20mestrado</t>
  </si>
  <si>
    <t>Formação de Professores do 1.º e 2.º Ciclos (Português, História e Geografia)</t>
  </si>
  <si>
    <t>https://www.google.com/search?q=site%3Autad.pt%20Ensino%20do%201.%C2%BA%20Ciclo%20do%20Ensino%20B%C3%A1sico%20e%20de%20Portugu%C3%AAs%20e%20Hist%C3%B3ria%20e%20Geografia%20de%20Portugal%20no%202.%C2%BA%20Ciclo%20do%20Ensino%20B%C3%A1sico%20mestrado</t>
  </si>
  <si>
    <t>Genética Molecular Comparativa e Tecnológica</t>
  </si>
  <si>
    <t>https://www.google.com/search?q=site%3Autad.pt%20Gen%C3%A9tica%20Molecular%20Comparativa%20e%20Tecnol%C3%B3gica%20mestrado</t>
  </si>
  <si>
    <t>Geociências Aplicadas</t>
  </si>
  <si>
    <t>https://www.google.com/search?q=site%3Autad.pt%20Geoci%C3%AAncias%20Aplicadas%20mestrado</t>
  </si>
  <si>
    <t>Gerontologia: Atividade Física e Saúde no Idoso</t>
  </si>
  <si>
    <t>https://www.google.com/search?q=site%3Autad.pt%20Gerontologia%3A%20Atividade%20F%C3%ADsica%20e%20Sa%C3%BAde%20no%20Idoso%20mestrado</t>
  </si>
  <si>
    <t>https://www.google.com/search?q=site%3Autad.pt%20Gest%C3%A3o%20mestrado</t>
  </si>
  <si>
    <t>https://www.google.com/search?q=site%3Autad.pt%20Gest%C3%A3o%20dos%20Servi%C3%A7os%20de%20Sa%C3%BAde%20mestrado</t>
  </si>
  <si>
    <t>Gestão e Sustentabilidade em Turismo</t>
  </si>
  <si>
    <t>https://www.google.com/search?q=site%3Autad.pt%20Gest%C3%A3o%20e%20Sustentabilidade%20em%20Turismo%20mestrado</t>
  </si>
  <si>
    <t>Línguas e Comunicação Digital</t>
  </si>
  <si>
    <t>https://www.google.com/search?q=site%3Autad.pt%20L%C3%ADnguas%20e%20Comunica%C3%A7%C3%A3o%20Digital%20mestrado</t>
  </si>
  <si>
    <t>Maneio e Gestão de Animais Selvagens em Cativeiro</t>
  </si>
  <si>
    <t>https://www.google.com/search?q=site%3Autad.pt%20Maneio%20e%20Gest%C3%A3o%20de%20Animais%20Selvagens%20em%20Cativeiro%20mestrado</t>
  </si>
  <si>
    <t>Modelação Computacional</t>
  </si>
  <si>
    <t>https://www.google.com/search?q=site%3Autad.pt%20Modela%C3%A7%C3%A3o%20Computacional%20mestrado</t>
  </si>
  <si>
    <t>https://www.google.com/search?q=site%3Autad.pt%20Multim%C3%A9dia%20mestrado</t>
  </si>
  <si>
    <t>Património Cultural Digital</t>
  </si>
  <si>
    <t>https://www.google.com/search?q=site%3Autad.pt%20Patrim%C3%B3nio%20Cultural%20Digital%20mestrado</t>
  </si>
  <si>
    <t>https://www.google.com/search?q=site%3Autad.pt%20Patrim%C3%B3nio%20Cultural%2C%20Sustentabilidade%20e%20Inova%C3%A7%C3%A3o%20mestrado</t>
  </si>
  <si>
    <t>https://www.google.com/search?q=site%3Autad.pt%20Psicologia%20mestrado</t>
  </si>
  <si>
    <t>Psicologia do Desporto e Desenvolvimento Humano</t>
  </si>
  <si>
    <t>https://www.google.com/search?q=site%3Autad.pt%20Psicologia%20do%20Desporto%20e%20Desenvolvimento%20Humano%20mestrado</t>
  </si>
  <si>
    <t>https://www.google.com/search?q=site%3Autad.pt%20Seguran%C3%A7a%20Alimentar%20mestrado</t>
  </si>
  <si>
    <t>Segurança Alimentar, Inovação e Sustentabilidade</t>
  </si>
  <si>
    <t>https://www.google.com/search?q=site%3Autad.pt%20Seguran%C3%A7a%20Alimentar%2C%20Inova%C3%A7%C3%A3o%20e%20Sustentabilidade%20mestrado</t>
  </si>
  <si>
    <t>https://www.google.com/search?q=site%3Autad.pt%20Servi%C3%A7o%20Social%20mestrado</t>
  </si>
  <si>
    <t>Sistemas de Informação Geográfica em Ciências Agronómicas e Florestais</t>
  </si>
  <si>
    <t>https://www.google.com/search?q=site%3Autad.pt%20Sistemas%20de%20Informa%C3%A7%C3%A3o%20Geogr%C3%A1fica%20em%20Ci%C3%AAncias%20Agron%C3%B3micas%20e%20Florestais%20mestrado</t>
  </si>
  <si>
    <t>Tecnologia Multimédia</t>
  </si>
  <si>
    <t>https://www.google.com/search?q=site%3Autad.pt%20Tecnologia%20Multim%C3%A9dia%20mestrado</t>
  </si>
  <si>
    <t>https://www.google.com/search?q=site%3Autad.pt%20Tecnologias%20Digitais%20Aplicadas%20%C3%A0s%20Ci%C3%AAncias%20Agr%C3%A1rias%20e%20Veterin%C3%A1rias%20mestrado</t>
  </si>
  <si>
    <t>Tecnologias de Ponta para Agricultura Sustentável (SUSTAGRI) – Erasmus Mundus</t>
  </si>
  <si>
    <t>https://www.google.com/search?q=site%3Autad.pt%20Tecnologias%20de%20Ponta%20para%20Agricultura%20Sustent%C3%A1vel%20%28SUSTAGRI%29%20%E2%80%93%20Erasmus%20Mundus%20mestrado</t>
  </si>
  <si>
    <t>https://www.google.com/search?q=site%3Autad.pt%20Engenharia%20Eletrot%C3%A9cnica%20e%20de%20Computadores%20mestrado%20integrado</t>
  </si>
  <si>
    <t>https://www.google.com/search?q=site%3Autad.pt%20Medicina%20mestrado%20integrado</t>
  </si>
  <si>
    <t>https://www.google.com/search?q=site%3Autad.pt%20Medicina%20Veterin%C3%A1ria%20mestrado%20integrado</t>
  </si>
  <si>
    <t>ECAV – UTAD (Quinta de Prados, Vila Real)</t>
  </si>
  <si>
    <t>Curso Pós‑Graduado em Artes – Especialização em Teatro Musical 2026</t>
  </si>
  <si>
    <t>– 212 Música e Artes do Espetáculo</t>
  </si>
  <si>
    <t>UTAD – área de Artes (complexo pedagógico, espaços protocolados com Teatro de Vila Real e companhias de teatro)</t>
  </si>
  <si>
    <t>https://www.google.com/search?q=site%3Autad.pt%20Curso%20P%C3%B3s%E2%80%91Graduado%20em%20Artes%20%E2%80%93%20Especializa%C3%A7%C3%A3o%20em%20Teatro%20Musical%202026%20p%C3%B3s-gradua%C3%A7%C3%A3o</t>
  </si>
  <si>
    <t>Nutrição na Gestão das Doenças Crónicas Não Transmissíveis (2.ª edição)</t>
  </si>
  <si>
    <t>UTAD – área de Ciências da Nutrição / Kitchen Lab</t>
  </si>
  <si>
    <t>https://www.google.com/search?q=site%3Autad.pt%20Nutri%C3%A7%C3%A3o%20na%20Gest%C3%A3o%20das%20Doen%C3%A7as%20Cr%C3%B3nicas%20N%C3%A3o%20Transmiss%C3%ADveis%20%282.%C2%AA%20edi%C3%A7%C3%A3o%29%20p%C3%B3s-gradua%C3%A7%C3%A3o</t>
  </si>
  <si>
    <t>Pós‑graduação – Bem‑Estar em Animais de Produção</t>
  </si>
  <si>
    <t>UTAD – áreas de Ciências Veterinárias / Engenharia Zootécnica</t>
  </si>
  <si>
    <t>https://www.google.com/search?q=site%3Autad.pt%20P%C3%B3s%E2%80%91gradua%C3%A7%C3%A3o%20%E2%80%93%20Bem%E2%80%91Estar%20em%20Animais%20de%20Produ%C3%A7%C3%A3o%20p%C3%B3s-gradua%C3%A7%C3%A3o</t>
  </si>
  <si>
    <t>Duração inferior a 1 ano; carga horária e ECTS não indicados na síntese pública; propina 850 € + 20 € inscrição</t>
  </si>
  <si>
    <t>Universidade de Évora</t>
  </si>
  <si>
    <t>Évora</t>
  </si>
  <si>
    <t>https://www.google.com/search?q=site%3Auevora.pt%20Agronomia%20licenciatura</t>
  </si>
  <si>
    <t>https://www.google.com/search?q=site%3Auevora.pt%20Arquitetura%20Paisagista%20licenciatura</t>
  </si>
  <si>
    <t>Escola de Artes</t>
  </si>
  <si>
    <t>https://www.google.com/search?q=site%3Auevora.pt%20Artes%20Pl%C3%A1sticas%20e%20Multim%C3%A9dia%20licenciatura</t>
  </si>
  <si>
    <t>https://www.google.com/search?q=site%3Auevora.pt%20Biologia%20licenciatura</t>
  </si>
  <si>
    <t>Biologia Humana</t>
  </si>
  <si>
    <t>https://www.google.com/search?q=site%3Auevora.pt%20Biologia%20Humana%20licenciatura</t>
  </si>
  <si>
    <t>https://www.google.com/search?q=site%3Auevora.pt%20Biologia%20e%20Geologia%20licenciatura</t>
  </si>
  <si>
    <t>https://www.google.com/search?q=site%3Auevora.pt%20Bioqu%C3%ADmica%20licenciatura</t>
  </si>
  <si>
    <t>https://www.google.com/search?q=site%3Auevora.pt%20Biotecnologia%20licenciatura</t>
  </si>
  <si>
    <t>Agricultura, Silvicultura e Pescas (produção animal)</t>
  </si>
  <si>
    <t>https://www.google.com/search?q=site%3Auevora.pt%20Ci%C3%AAncia%20e%20Tecnologia%20Animal%20licenciatura</t>
  </si>
  <si>
    <t>Ciências Biomédicas e da Saúde</t>
  </si>
  <si>
    <t>Escola de Saúde e Desenvolvimento Humano</t>
  </si>
  <si>
    <t>https://www.google.com/search?q=site%3Auevora.pt%20Ci%C3%AAncias%20Biom%C3%A9dicas%20e%20da%20Sa%C3%BAde%20licenciatura</t>
  </si>
  <si>
    <t>https://www.google.com/search?q=site%3Auevora.pt%20Ci%C3%AAncias%20do%20Desporto%20licenciatura</t>
  </si>
  <si>
    <t>https://www.google.com/search?q=site%3Auevora.pt%20Design%20licenciatura</t>
  </si>
  <si>
    <t>Ecologia e Ambiente</t>
  </si>
  <si>
    <t>https://www.google.com/search?q=site%3Auevora.pt%20Ecologia%20e%20Ambiente%20licenciatura</t>
  </si>
  <si>
    <t>Escola Superior de Enfermagem S. João de Deus</t>
  </si>
  <si>
    <t>https://www.google.com/search?q=site%3Auevora.pt%20Enfermagem%20licenciatura</t>
  </si>
  <si>
    <t>https://www.google.com/search?q=site%3Auevora.pt%20Engenharia%20Aeroespacial%20licenciatura</t>
  </si>
  <si>
    <t>Escola de Artes (curso acreditado)</t>
  </si>
  <si>
    <t>https://www.google.com/search?q=site%3Auevora.pt%20Engenharia%20Civil%20licenciatura</t>
  </si>
  <si>
    <t>https://www.google.com/search?q=site%3Auevora.pt%20Engenharia%20Inform%C3%A1tica%20licenciatura</t>
  </si>
  <si>
    <t>https://www.google.com/search?q=site%3Auevora.pt%20Engenharia%20Mecatr%C3%B3nica%20licenciatura</t>
  </si>
  <si>
    <t>https://www.google.com/search?q=site%3Auevora.pt%20Engenharia%20de%20Energias%20Renov%C3%A1veis%20licenciatura</t>
  </si>
  <si>
    <t>https://www.google.com/search?q=site%3Auevora.pt%20Engenharia%20e%20Gest%C3%A3o%20Industrial%20licenciatura</t>
  </si>
  <si>
    <t>https://www.google.com/search?q=site%3Auevora.pt%20Enologia%20licenciatura</t>
  </si>
  <si>
    <t>https://www.google.com/search?q=site%3Auevora.pt%20Estudos%20do%20Mar%20licenciatura</t>
  </si>
  <si>
    <t>Física e Química</t>
  </si>
  <si>
    <t>https://www.google.com/search?q=site%3Auevora.pt%20F%C3%ADsica%20e%20Qu%C3%ADmica%20licenciatura</t>
  </si>
  <si>
    <t>https://www.google.com/search?q=site%3Auevora.pt%20Geografia%20licenciatura</t>
  </si>
  <si>
    <t>https://www.google.com/search?q=site%3Auevora.pt%20Geologia%20licenciatura</t>
  </si>
  <si>
    <t>https://www.google.com/search?q=site%3Auevora.pt%20Intelig%C3%AAncia%20Artificial%20e%20Ci%C3%AAncia%20de%20Dados%20licenciatura</t>
  </si>
  <si>
    <t>https://www.google.com/search?q=site%3Auevora.pt%20Matem%C3%A1tica%20licenciatura</t>
  </si>
  <si>
    <t>https://www.google.com/search?q=site%3Auevora.pt%20Matem%C3%A1tica%20Aplicada%20%C3%A0%20Economia%20e%20%C3%A0%20Gest%C3%A3o%20licenciatura</t>
  </si>
  <si>
    <t>https://www.google.com/search?q=site%3Auevora.pt%20M%C3%BAsica%20licenciatura</t>
  </si>
  <si>
    <t>https://www.google.com/search?q=site%3Auevora.pt%20Qu%C3%ADmica%20licenciatura</t>
  </si>
  <si>
    <t>https://www.google.com/search?q=site%3Auevora.pt%20Reabilita%C3%A7%C3%A3o%20Psicomotora%20licenciatura</t>
  </si>
  <si>
    <t>https://www.google.com/search?q=site%3Auevora.pt%20Teatro%20licenciatura</t>
  </si>
  <si>
    <t>Análises Químicas Ambientais</t>
  </si>
  <si>
    <t>https://www.google.com/search?q=site%3Auevora.pt%20An%C3%A1lises%20Qu%C3%ADmicas%20Ambientais%20mestrado</t>
  </si>
  <si>
    <t>https://www.google.com/search?q=site%3Auevora.pt%20Arquitetura%20Paisagista%20mestrado</t>
  </si>
  <si>
    <t>Bioarqueologia</t>
  </si>
  <si>
    <t>https://www.google.com/search?q=site%3Auevora.pt%20Bioarqueologia%20mestrado</t>
  </si>
  <si>
    <t>https://www.google.com/search?q=site%3Auevora.pt%20Biologia%20da%20Conserva%C3%A7%C3%A3o%20mestrado</t>
  </si>
  <si>
    <t>https://www.google.com/search?q=site%3Auevora.pt%20Bioqu%C3%ADmica%20mestrado</t>
  </si>
  <si>
    <t>Ciência dos Materiais Arqueológicos (ARCHMAT)</t>
  </si>
  <si>
    <t>Instituto de Investigação e Formação Avançada (consórcio Erasmus Mundus)</t>
  </si>
  <si>
    <t>https://www.google.com/search?q=site%3Auevora.pt%20Ci%C3%AAncia%20dos%20Materiais%20Arqueol%C3%B3gicos%20%28ARCHMAT%29%20mestrado</t>
  </si>
  <si>
    <t>https://www.google.com/search?q=site%3Auevora.pt%20Ci%C3%AAncias%20Biom%C3%A9dicas%20e%20da%20Sa%C3%BAde%20mestrado</t>
  </si>
  <si>
    <t>Ciências da Terra e da Atmosfera</t>
  </si>
  <si>
    <t>https://www.google.com/search?q=site%3Auevora.pt%20Ci%C3%AAncias%20da%20Terra%20e%20da%20Atmosfera%20mestrado</t>
  </si>
  <si>
    <t>https://www.google.com/search?q=site%3Auevora.pt%20Design%20mestrado</t>
  </si>
  <si>
    <t>Direção e Gestão Desportiva</t>
  </si>
  <si>
    <t>https://www.google.com/search?q=site%3Auevora.pt%20Dire%C3%A7%C3%A3o%20e%20Gest%C3%A3o%20Desportiva%20mestrado</t>
  </si>
  <si>
    <t>Ecologia da Paisagem</t>
  </si>
  <si>
    <t>https://www.google.com/search?q=site%3Auevora.pt%20Ecologia%20da%20Paisagem%20mestrado</t>
  </si>
  <si>
    <t>Escola Superior de Enfermagem S. João de Deus (em associação com ESS de vários politécnicos)</t>
  </si>
  <si>
    <t>https://www.google.com/search?q=site%3Auevora.pt%20Enfermagem%20mestrado</t>
  </si>
  <si>
    <t>https://www.google.com/search?q=site%3Auevora.pt%20Enfermagem%20de%20Sa%C3%BAde%20Materna%20e%20Obst%C3%A9trica%20mestrado</t>
  </si>
  <si>
    <t>https://www.google.com/search?q=site%3Auevora.pt%20Engenharia%20Agron%C3%B3mica%20mestrado</t>
  </si>
  <si>
    <t>https://www.google.com/search?q=site%3Auevora.pt%20Engenharia%20Geol%C3%B3gica%20mestrado</t>
  </si>
  <si>
    <t>https://www.google.com/search?q=site%3Auevora.pt%20Engenharia%20Inform%C3%A1tica%20mestrado</t>
  </si>
  <si>
    <t>https://www.google.com/search?q=site%3Auevora.pt%20Engenharia%20Mecatr%C3%B3nica%20mestrado</t>
  </si>
  <si>
    <t>Agricultura, Silvicultura e Pescas (Zootecnia)</t>
  </si>
  <si>
    <t>https://www.google.com/search?q=site%3Auevora.pt%20Engenharia%20Zoot%C3%A9cnica%20mestrado</t>
  </si>
  <si>
    <t>Engenharia da Energia Solar</t>
  </si>
  <si>
    <t>https://www.google.com/search?q=site%3Auevora.pt%20Engenharia%20da%20Energia%20Solar%20mestrado</t>
  </si>
  <si>
    <t>https://www.google.com/search?q=site%3Auevora.pt%20Engenharia%20e%20Gest%C3%A3o%20de%20Aquacultura%20mestrado</t>
  </si>
  <si>
    <t>https://www.google.com/search?q=site%3Auevora.pt%20Ensino%20de%20M%C3%BAsica%20mestrado</t>
  </si>
  <si>
    <t>https://www.google.com/search?q=site%3Auevora.pt%20Estudos%20em%20Enfermagem%20mestrado</t>
  </si>
  <si>
    <t>https://www.google.com/search?q=site%3Auevora.pt%20Exerc%C3%ADcio%20e%20Sa%C3%BAde%20mestrado</t>
  </si>
  <si>
    <t>https://www.google.com/search?q=site%3Auevora.pt%20Geologia%20mestrado</t>
  </si>
  <si>
    <t>https://www.google.com/search?q=site%3Auevora.pt%20Gest%C3%A3o%20e%20Conserva%C3%A7%C3%A3o%20de%20Recursos%20Naturais%20mestrado</t>
  </si>
  <si>
    <t>Gestão e Valorização do Património Histórico e Cultural</t>
  </si>
  <si>
    <t>Instituto de Investigação e Formação Avançada / Escola de Ciências Sociais</t>
  </si>
  <si>
    <t>https://www.google.com/search?q=site%3Auevora.pt%20Gest%C3%A3o%20e%20Valoriza%C3%A7%C3%A3o%20do%20Patrim%C3%B3nio%20Hist%C3%B3rico%20e%20Cultural%20mestrado</t>
  </si>
  <si>
    <t>https://www.google.com/search?q=site%3Auevora.pt%20Intelig%C3%AAncia%20Artificial%20e%20Ci%C3%AAncia%20de%20Dados%20mestrado</t>
  </si>
  <si>
    <t>https://www.google.com/search?q=site%3Auevora.pt%20Matem%C3%A1tica%20mestrado</t>
  </si>
  <si>
    <t>https://www.google.com/search?q=site%3Auevora.pt%20Matem%C3%A1tica%20e%20Aplica%C3%A7%C3%B5es%20mestrado</t>
  </si>
  <si>
    <t>Matemática para o Ensino</t>
  </si>
  <si>
    <t>https://www.google.com/search?q=site%3Auevora.pt%20Matem%C3%A1tica%20para%20o%20Ensino%20mestrado</t>
  </si>
  <si>
    <t>Modelação Estatística e Análise de Dados</t>
  </si>
  <si>
    <t>https://www.google.com/search?q=site%3Auevora.pt%20Modela%C3%A7%C3%A3o%20Estat%C3%ADstica%20e%20An%C3%A1lise%20de%20Dados%20mestrado</t>
  </si>
  <si>
    <t>https://www.google.com/search?q=site%3Auevora.pt%20M%C3%BAsica%20mestrado</t>
  </si>
  <si>
    <t>Olivicultura e Azeite</t>
  </si>
  <si>
    <t>https://www.google.com/search?q=site%3Auevora.pt%20Olivicultura%20e%20Azeite%20mestrado</t>
  </si>
  <si>
    <t>Políticas de Bem Estar em Perspetiva: Evolução Conceito e Atores</t>
  </si>
  <si>
    <t>Instituto de Investigação e Formação Avançada</t>
  </si>
  <si>
    <t>https://www.google.com/search?q=site%3Auevora.pt%20Pol%C3%ADticas%20de%20Bem%20Estar%20em%20Perspetiva%3A%20Evolu%C3%A7%C3%A3o%20Conceito%20e%20Atores%20mestrado</t>
  </si>
  <si>
    <t>Práticas Artísticas em Artes Visuais</t>
  </si>
  <si>
    <t>Escola de Artes (Departamento de Artes Visuais e Design)</t>
  </si>
  <si>
    <t>https://www.google.com/search?q=site%3Auevora.pt%20Pr%C3%A1ticas%20Art%C3%ADsticas%20em%20Artes%20Visuais%20mestrado</t>
  </si>
  <si>
    <t>https://www.google.com/search?q=site%3Auevora.pt%20Psicomotricidade%20mestrado</t>
  </si>
  <si>
    <t>https://www.google.com/search?q=site%3Auevora.pt%20Qu%C3%ADmica%20mestrado</t>
  </si>
  <si>
    <t>Química em Contexto Escolar</t>
  </si>
  <si>
    <t>https://www.google.com/search?q=site%3Auevora.pt%20Qu%C3%ADmica%20em%20Contexto%20Escolar%20mestrado</t>
  </si>
  <si>
    <t>https://www.google.com/search?q=site%3Auevora.pt%20Teatro%20mestrado</t>
  </si>
  <si>
    <t>Tecnologia no Desporto e na Saúde</t>
  </si>
  <si>
    <t>https://www.google.com/search?q=site%3Auevora.pt%20Tecnologia%20no%20Desporto%20e%20na%20Sa%C3%BAde%20mestrado</t>
  </si>
  <si>
    <t>Escola de Ciências e Tecnologia (em associação com NOVA FCT)</t>
  </si>
  <si>
    <t>https://www.google.com/search?q=site%3Auevora.pt%20Tecnologias%20em%20Agricultura%20de%20Precis%C3%A3o%20mestrado</t>
  </si>
  <si>
    <t>https://www.google.com/search?q=site%3Auevora.pt%20Uma%20Sa%C3%BAde%3A%20Sa%C3%BAde%20P%C3%BAblica%20Humana%20e%20Animal%20mestrado</t>
  </si>
  <si>
    <t>https://www.google.com/search?q=site%3Auevora.pt%20Viticultura%20e%20Enologia%20mestrado</t>
  </si>
  <si>
    <t>Escola de Artes (Departamento de Arquitetura)</t>
  </si>
  <si>
    <t>https://www.google.com/search?q=site%3Auevora.pt%20Arquitetura%20mestrado%20integrado</t>
  </si>
  <si>
    <t>https://www.google.com/search?q=site%3Auevora.pt%20Ci%C3%AAncias%20Farmac%C3%AAuticas%20mestrado%20integrado</t>
  </si>
  <si>
    <t>https://www.google.com/search?q=site%3Auevora.pt%20Medicina%20Veterin%C3%A1ria%20mestrado%20integrado</t>
  </si>
  <si>
    <t>Unidade orgânica não especificada na síntese (ligada a Saúde/Gestão)</t>
  </si>
  <si>
    <t>https://www.google.com/search?q=site%3Auevora.pt%20Administra%C3%A7%C3%A3o%20de%20Unidades%20de%20Sa%C3%BAde%20p%C3%B3s-gradua%C3%A7%C3%A3o</t>
  </si>
  <si>
    <t>Duração e ECTS não indicados na síntese</t>
  </si>
  <si>
    <t>Ambiente, Sustentabilidade e Educação (curso 3002 / 1660)</t>
  </si>
  <si>
    <t>002</t>
  </si>
  <si>
    <t>https://www.google.com/search?q=site%3Auevora.pt%20Ambiente%2C%20Sustentabilidade%20e%20Educa%C3%A7%C3%A3o%20%28curso%203002%20/%201660%29%20p%C3%B3s-gradua%C3%A7%C3%A3o</t>
  </si>
  <si>
    <t>Ciclos de Vida do Medicamento e do Dispositivo Médico (curso 2890 / 2619)</t>
  </si>
  <si>
    <t>890</t>
  </si>
  <si>
    <t>Unidade orgânica associada às Ciências da Saúde/Farmacologia</t>
  </si>
  <si>
    <t>https://www.google.com/search?q=site%3Auevora.pt%20Ciclos%20de%20Vida%20do%20Medicamento%20e%20do%20Dispositivo%20M%C3%A9dico%20%28curso%202890%20/%202619%29%20p%C3%B3s-gradua%C3%A7%C3%A3o</t>
  </si>
  <si>
    <t>Duração e ECTS não indicados na síntese pública (curso com edição 2025/26 e 2026/27)</t>
  </si>
  <si>
    <t>Unidade orgânica não especificada (área de Informação/Documentação)</t>
  </si>
  <si>
    <t>https://www.google.com/search?q=site%3Auevora.pt%20Ci%C3%AAncia%20da%20Informa%C3%A7%C3%A3o%20p%C3%B3s-gradua%C3%A7%C3%A3o</t>
  </si>
  <si>
    <t>São Tomé e Príncipe</t>
  </si>
  <si>
    <t>Ciências para convivência da humanidade com o nosso planeta azul‑verde fortemente ameaçado</t>
  </si>
  <si>
    <t>Unidade orgânica não explicitada na síntese (ligada a Ciências / Ambiente)</t>
  </si>
  <si>
    <t>https://www.google.com/search?q=site%3Auevora.pt%20Ci%C3%AAncias%20para%20conviv%C3%AAncia%20da%20humanidade%20com%20o%20nosso%20planeta%20azul%E2%80%91verde%20fortemente%20amea%C3%A7ado%20p%C3%B3s-gradua%C3%A7%C3%A3o</t>
  </si>
  <si>
    <t>Duração e ECTS não indicados na síntese consultada</t>
  </si>
  <si>
    <t>Cuidados Integrados na Multimorbilidade</t>
  </si>
  <si>
    <t>https://www.google.com/search?q=site%3Auevora.pt%20Cuidados%20Integrados%20na%20Multimorbilidade%20p%C3%B3s-gradua%C3%A7%C3%A3o</t>
  </si>
  <si>
    <t>Cuidados de Saúde em Emergência e Urgência</t>
  </si>
  <si>
    <t>https://www.google.com/search?q=site%3Auevora.pt%20Cuidados%20de%20Sa%C3%BAde%20em%20Emerg%C3%AAncia%20e%20Urg%C3%AAncia%20p%C3%B3s-gradua%C3%A7%C3%A3o</t>
  </si>
  <si>
    <t>Cuidados de Saúde à Pessoa em Situação Crónica</t>
  </si>
  <si>
    <t>https://www.google.com/search?q=site%3Auevora.pt%20Cuidados%20de%20Sa%C3%BAde%20%C3%A0%20Pessoa%20em%20Situa%C3%A7%C3%A3o%20Cr%C3%B3nica%20p%C3%B3s-gradua%C3%A7%C3%A3o</t>
  </si>
  <si>
    <t>Desenvolvimento Sustentável em Regiões Tropicais (São Tomé e Príncipe)</t>
  </si>
  <si>
    <t>Escola de Ciências e Tecnologia (curso E154)</t>
  </si>
  <si>
    <t>https://www.google.com/search?q=site%3Auevora.pt%20Desenvolvimento%20Sustent%C3%A1vel%20em%20Regi%C3%B5es%20Tropicais%20%28S%C3%A3o%20Tom%C3%A9%20e%20Pr%C3%ADncipe%29%20p%C3%B3s-gradua%C3%A7%C3%A3o</t>
  </si>
  <si>
    <t>Educação Especial (São Tomé e Príncipe)</t>
  </si>
  <si>
    <t>Unidade orgânica associada à Educação</t>
  </si>
  <si>
    <t>https://www.google.com/search?q=site%3Auevora.pt%20Educa%C3%A7%C3%A3o%20Especial%20%28S%C3%A3o%20Tom%C3%A9%20e%20Pr%C3%ADncipe%29%20p%C3%B3s-gradua%C3%A7%C3%A3o</t>
  </si>
  <si>
    <t>Enfermagem do Estilo de Vida: Intervenção Integrativa</t>
  </si>
  <si>
    <t>https://www.google.com/search?q=site%3Auevora.pt%20Enfermagem%20do%20Estilo%20de%20Vida%3A%20Interven%C3%A7%C3%A3o%20Integrativa%20p%C3%B3s-gradua%C3%A7%C3%A3o</t>
  </si>
  <si>
    <t>Unidade orgânica associada à saúde pública</t>
  </si>
  <si>
    <t>https://www.google.com/search?q=site%3Auevora.pt%20Epidemiologia%20p%C3%B3s-gradua%C3%A7%C3%A3o</t>
  </si>
  <si>
    <t>Geoarqueologia</t>
  </si>
  <si>
    <t>https://www.google.com/search?q=site%3Auevora.pt%20Geoarqueologia%20p%C3%B3s-gradua%C3%A7%C3%A3o</t>
  </si>
  <si>
    <t>Gerontologia e Saúde</t>
  </si>
  <si>
    <t>Unidade orgânica associada às Ciências da Saúde</t>
  </si>
  <si>
    <t>https://www.google.com/search?q=site%3Auevora.pt%20Gerontologia%20e%20Sa%C3%BAde%20p%C3%B3s-gradua%C3%A7%C3%A3o</t>
  </si>
  <si>
    <t>Globalização e Desafios do Desenvolvimento</t>
  </si>
  <si>
    <t>Unidade orgânica associada às Ciências Sociais</t>
  </si>
  <si>
    <t>https://www.google.com/search?q=site%3Auevora.pt%20Globaliza%C3%A7%C3%A3o%20e%20Desafios%20do%20Desenvolvimento%20p%C3%B3s-gradua%C3%A7%C3%A3o</t>
  </si>
  <si>
    <t>Inspeção da Educação</t>
  </si>
  <si>
    <t>https://www.google.com/search?q=site%3Auevora.pt%20Inspe%C3%A7%C3%A3o%20da%20Educa%C3%A7%C3%A3o%20p%C3%B3s-gradua%C3%A7%C3%A3o</t>
  </si>
  <si>
    <t>Duração e ECTS não indicados na síntese (informação disponível para 2025/26)</t>
  </si>
  <si>
    <t>Inspeção da Educação (São Tomé e Príncipe)</t>
  </si>
  <si>
    <t>https://www.google.com/search?q=site%3Auevora.pt%20Inspe%C3%A7%C3%A3o%20da%20Educa%C3%A7%C3%A3o%20%28S%C3%A3o%20Tom%C3%A9%20e%20Pr%C3%ADncipe%29%20p%C3%B3s-gradua%C3%A7%C3%A3o</t>
  </si>
  <si>
    <t>Intervenção Social e Gestão de Projetos Socioeducativos (São Tomé e Príncipe)</t>
  </si>
  <si>
    <t>Unidade orgânica associada às Ciências Sociais/Educação</t>
  </si>
  <si>
    <t>https://www.google.com/search?q=site%3Auevora.pt%20Interven%C3%A7%C3%A3o%20Social%20e%20Gest%C3%A3o%20de%20Projetos%20Socioeducativos%20%28S%C3%A3o%20Tom%C3%A9%20e%20Pr%C3%ADncipe%29%20p%C3%B3s-gradua%C3%A7%C3%A3o</t>
  </si>
  <si>
    <t>Duração e ECTS não indicados na síntese (curso referenciado para 2025/26)</t>
  </si>
  <si>
    <t>Intervenção avançada em Feridas</t>
  </si>
  <si>
    <t>https://www.google.com/search?q=site%3Auevora.pt%20Interven%C3%A7%C3%A3o%20avan%C3%A7ada%20em%20Feridas%20p%C3%B3s-gradua%C3%A7%C3%A3o</t>
  </si>
  <si>
    <t>Nutrição Vegetal, Fertilidade do Solo e Fertilização das Culturas</t>
  </si>
  <si>
    <t>https://www.google.com/search?q=site%3Auevora.pt%20Nutri%C3%A7%C3%A3o%20Vegetal%2C%20Fertilidade%20do%20Solo%20e%20Fertiliza%C3%A7%C3%A3o%20das%20Culturas%20p%C3%B3s-gradua%C3%A7%C3%A3o</t>
  </si>
  <si>
    <t>Planeamento e Gestão de Recursos Hídricos [CA]</t>
  </si>
  <si>
    <t>https://www.google.com/search?q=site%3Auevora.pt%20Planeamento%20e%20Gest%C3%A3o%20de%20Recursos%20H%C3%ADdricos%20%5BCA%5D%20p%C3%B3s-gradua%C3%A7%C3%A3o</t>
  </si>
  <si>
    <t>Reabilitação e Conservação do Edificado [CA]</t>
  </si>
  <si>
    <t>https://www.google.com/search?q=site%3Auevora.pt%20Reabilita%C3%A7%C3%A3o%20e%20Conserva%C3%A7%C3%A3o%20do%20Edificado%20%5BCA%5D%20p%C3%B3s-gradua%C3%A7%C3%A3o</t>
  </si>
  <si>
    <t>Solo e água: Bases para a sustentabilidade dos serviços dos ecossistemas</t>
  </si>
  <si>
    <t>https://www.google.com/search?q=site%3Auevora.pt%20Solo%20e%20%C3%A1gua%3A%20Bases%20para%20a%20sustentabilidade%20dos%20servi%C3%A7os%20dos%20ecossistemas%20p%C3%B3s-gradua%C3%A7%C3%A3o</t>
  </si>
  <si>
    <t>https://www.google.com/search?q=site%3Auevora.pt%20Supervis%C3%A3o%20Cl%C3%ADnica%20em%20Enfermagem%20p%C3%B3s-gradua%C3%A7%C3%A3o</t>
  </si>
  <si>
    <t>Tecnologia Aeronáutica [CA]</t>
  </si>
  <si>
    <t>https://www.google.com/search?q=site%3Auevora.pt%20Tecnologia%20Aeron%C3%A1utica%20%5BCA%5D%20p%C3%B3s-gradua%C3%A7%C3%A3o</t>
  </si>
  <si>
    <t>Tecnologias Digitais e Ambientais nas Ciências Agrárias [CA]</t>
  </si>
  <si>
    <t>https://www.google.com/search?q=site%3Auevora.pt%20Tecnologias%20Digitais%20e%20Ambientais%20nas%20Ci%C3%AAncias%20Agr%C3%A1rias%20%5BCA%5D%20p%C3%B3s-gradua%C3%A7%C3%A3o</t>
  </si>
  <si>
    <t>Turismo e Gestão Hoteleira (São Tomé e Príncipe)</t>
  </si>
  <si>
    <t>Unidade orgânica associada ao Turismo e Gestão</t>
  </si>
  <si>
    <t>https://www.google.com/search?q=site%3Auevora.pt%20Turismo%20e%20Gest%C3%A3o%20Hoteleira%20%28S%C3%A3o%20Tom%C3%A9%20e%20Pr%C3%ADncipe%29%20p%C3%B3s-gradua%C3%A7%C3%A3o</t>
  </si>
  <si>
    <t>Universidade do Algarve</t>
  </si>
  <si>
    <t>Instituto Superior de Engenharia – Campus da Penha</t>
  </si>
  <si>
    <t>https://www.google.com/search?q=site%3Aualg.pt%20Cadastro%20Predial%20CTeSP</t>
  </si>
  <si>
    <t>Climatização e Refrigeração</t>
  </si>
  <si>
    <t>https://www.google.com/search?q=site%3Aualg.pt%20Climatiza%C3%A7%C3%A3o%20e%20Refrigera%C3%A7%C3%A3o%20CTeSP</t>
  </si>
  <si>
    <t>https://www.google.com/search?q=site%3Aualg.pt%20Constru%C3%A7%C3%A3o%20Civil%20CTeSP</t>
  </si>
  <si>
    <t>Escola Superior de Gestão, Hotelaria e Turismo – Campus da Penha</t>
  </si>
  <si>
    <t>https://www.google.com/search?q=site%3Aualg.pt%20Contabilidade%20CTeSP</t>
  </si>
  <si>
    <t>https://www.google.com/search?q=site%3Aualg.pt%20Desenho%20e%20Modela%C3%A7%C3%A3o%20Digital%20CTeSP</t>
  </si>
  <si>
    <t>Escola Superior de Educação e Comunicação – Campus da Penha</t>
  </si>
  <si>
    <t>https://www.google.com/search?q=site%3Aualg.pt%20Design%20de%20Interiores%20CTeSP</t>
  </si>
  <si>
    <t>Design de Videojogos</t>
  </si>
  <si>
    <t>https://www.google.com/search?q=site%3Aualg.pt%20Design%20de%20Videojogos%20CTeSP</t>
  </si>
  <si>
    <t>Design e Tecnologias Multimédia</t>
  </si>
  <si>
    <t>https://www.google.com/search?q=site%3Aualg.pt%20Design%20e%20Tecnologias%20Multim%C3%A9dia%20CTeSP</t>
  </si>
  <si>
    <t>https://www.google.com/search?q=site%3Aualg.pt%20Energias%20Renov%C3%A1veis%20CTeSP</t>
  </si>
  <si>
    <t>Estética, Cosmética e Bem-Estar</t>
  </si>
  <si>
    <t>Escola Superior de Saúde – Campus de Gambelas (ESS‑UAlg)</t>
  </si>
  <si>
    <t>https://www.google.com/search?q=site%3Aualg.pt%20Est%C3%A9tica%2C%20Cosm%C3%A9tica%20e%20Bem-Estar%20CTeSP</t>
  </si>
  <si>
    <t>Gastronomia e Inovação Alimentar</t>
  </si>
  <si>
    <t>ESGHT – Campus da Penha (e oferta associada a Portimão em algumas edições)</t>
  </si>
  <si>
    <t>https://www.google.com/search?q=site%3Aualg.pt%20Gastronomia%20e%20Inova%C3%A7%C3%A3o%20Alimentar%20CTeSP</t>
  </si>
  <si>
    <t>Gestão de Animação Turística</t>
  </si>
  <si>
    <t>https://www.google.com/search?q=site%3Aualg.pt%20Gest%C3%A3o%20de%20Anima%C3%A7%C3%A3o%20Tur%C3%ADstica%20CTeSP</t>
  </si>
  <si>
    <t>Inovação e Qualidade Alimentar</t>
  </si>
  <si>
    <t>https://www.google.com/search?q=site%3Aualg.pt%20Inova%C3%A7%C3%A3o%20e%20Qualidade%20Alimentar%20CTeSP</t>
  </si>
  <si>
    <t>Instalações Elétricas, Domótica e Automação</t>
  </si>
  <si>
    <t>https://www.google.com/search?q=site%3Aualg.pt%20Instala%C3%A7%C3%B5es%20El%C3%A9tricas%2C%20Dom%C3%B3tica%20e%20Automa%C3%A7%C3%A3o%20CTeSP</t>
  </si>
  <si>
    <t>ESGHT – Campus da Penha (CTeSP em Marketing Digital)</t>
  </si>
  <si>
    <t>https://www.google.com/search?q=site%3Aualg.pt%20Marketing%20Digital%20CTeSP</t>
  </si>
  <si>
    <t>https://www.google.com/search?q=site%3Aualg.pt%20Media%C3%A7%C3%A3o%20Intercultural%20CTeSP</t>
  </si>
  <si>
    <t>Programação de Dispositivos para a Internet</t>
  </si>
  <si>
    <t>https://www.google.com/search?q=site%3Aualg.pt%20Programa%C3%A7%C3%A3o%20de%20Dispositivos%20para%20a%20Internet%20CTeSP</t>
  </si>
  <si>
    <t>https://www.google.com/search?q=site%3Aualg.pt%20Prote%C3%A7%C3%A3o%20Civil%20CTeSP</t>
  </si>
  <si>
    <t>Secretariado Executivo</t>
  </si>
  <si>
    <t>https://www.google.com/search?q=site%3Aualg.pt%20Secretariado%20Executivo%20CTeSP</t>
  </si>
  <si>
    <t>Segurança e Higiene Alimentar</t>
  </si>
  <si>
    <t>https://www.google.com/search?q=site%3Aualg.pt%20Seguran%C3%A7a%20e%20Higiene%20Alimentar%20CTeSP</t>
  </si>
  <si>
    <t>https://www.google.com/search?q=site%3Aualg.pt%20Sistemas%20de%20Informa%C3%A7%C3%A3o%20Geogr%C3%A1fica%20CTeSP</t>
  </si>
  <si>
    <t>Faro/Portimão</t>
  </si>
  <si>
    <t>ESGHT – Campus da Penha e Campus de Portimão</t>
  </si>
  <si>
    <t>https://www.google.com/search?q=site%3Aualg.pt%20Sistemas%20e%20Tecnologias%20de%20Informa%C3%A7%C3%A3o%20CTeSP</t>
  </si>
  <si>
    <t>Tecnologia e Manutenção Automóvel</t>
  </si>
  <si>
    <t>https://www.google.com/search?q=site%3Aualg.pt%20Tecnologia%20e%20Manuten%C3%A7%C3%A3o%20Autom%C3%B3vel%20CTeSP</t>
  </si>
  <si>
    <t>https://www.google.com/search?q=site%3Aualg.pt%20Tecnologias%20Inform%C3%A1ticas%20CTeSP</t>
  </si>
  <si>
    <t>Tecnologias de Informação Urbanística e Arquitetónica</t>
  </si>
  <si>
    <t>https://www.google.com/search?q=site%3Aualg.pt%20Tecnologias%20de%20Informa%C3%A7%C3%A3o%20Urban%C3%ADstica%20e%20Arquitet%C3%B3nica%20CTeSP</t>
  </si>
  <si>
    <t>Telecomunicações e Redes</t>
  </si>
  <si>
    <t>https://www.google.com/search?q=site%3Aualg.pt%20Telecomunica%C3%A7%C3%B5es%20e%20Redes%20CTeSP</t>
  </si>
  <si>
    <t>https://www.google.com/search?q=site%3Aualg.pt%20Termalismo%20e%20Bem-Estar%20CTeSP</t>
  </si>
  <si>
    <t>Faculdade de Ciências e Tecnologia – Campus de Gambelas</t>
  </si>
  <si>
    <t>https://www.google.com/search?q=site%3Aualg.pt%20Agronomia%20licenciatura</t>
  </si>
  <si>
    <t>https://www.google.com/search?q=site%3Aualg.pt%20Arquitetura%20Paisagista%20licenciatura</t>
  </si>
  <si>
    <t>Faculdade de Ciências Humanas e Sociais – Campus de Gambelas</t>
  </si>
  <si>
    <t>https://www.google.com/search?q=site%3Aualg.pt%20Artes%20Visuais%20licenciatura</t>
  </si>
  <si>
    <t>https://www.google.com/search?q=site%3Aualg.pt%20Bioengenharia%20licenciatura</t>
  </si>
  <si>
    <t>https://www.google.com/search?q=site%3Aualg.pt%20Biologia%20licenciatura</t>
  </si>
  <si>
    <t>https://www.google.com/search?q=site%3Aualg.pt%20Biologia%20Marinha%20licenciatura</t>
  </si>
  <si>
    <t>https://www.google.com/search?q=site%3Aualg.pt%20Bioqu%C3%ADmica%20licenciatura</t>
  </si>
  <si>
    <t>https://www.google.com/search?q=site%3Aualg.pt%20Biotecnologia%20licenciatura</t>
  </si>
  <si>
    <t>Faculdade de Medicina e Ciências Biomédicas – Campus de Gambelas</t>
  </si>
  <si>
    <t>https://www.google.com/search?q=site%3Aualg.pt%20Ci%C3%AAncias%20Biom%C3%A9dicas%20licenciatura</t>
  </si>
  <si>
    <t>Escola Superior de Saúde – Campus de Gambelas</t>
  </si>
  <si>
    <t>https://www.google.com/search?q=site%3Aualg.pt%20Ci%C3%AAncias%20Biom%C3%A9dicas%20Laboratoriais%20licenciatura</t>
  </si>
  <si>
    <t>https://www.google.com/search?q=site%3Aualg.pt%20Ci%C3%AAncias%20da%20Comunica%C3%A7%C3%A3o%20licenciatura</t>
  </si>
  <si>
    <t>Ciências da Educação e da Formação</t>
  </si>
  <si>
    <t>https://www.google.com/search?q=site%3Aualg.pt%20Ci%C3%AAncias%20da%20Educa%C3%A7%C3%A3o%20e%20da%20Forma%C3%A7%C3%A3o%20licenciatura</t>
  </si>
  <si>
    <t>https://www.google.com/search?q=site%3Aualg.pt%20Design%20de%20Comunica%C3%A7%C3%A3o%20licenciatura</t>
  </si>
  <si>
    <t>https://www.google.com/search?q=site%3Aualg.pt%20Desporto%20licenciatura</t>
  </si>
  <si>
    <t>https://www.google.com/search?q=site%3Aualg.pt%20Diet%C3%A9tica%20e%20Nutri%C3%A7%C3%A3o%20licenciatura</t>
  </si>
  <si>
    <t>Faculdade de Economia – Campus de Gambelas</t>
  </si>
  <si>
    <t>https://www.google.com/search?q=site%3Aualg.pt%20Economia%20licenciatura</t>
  </si>
  <si>
    <t>Economia Azul Sustentável</t>
  </si>
  <si>
    <t>https://www.google.com/search?q=site%3Aualg.pt%20Economia%20Azul%20Sustent%C3%A1vel%20licenciatura</t>
  </si>
  <si>
    <t>https://www.google.com/search?q=site%3Aualg.pt%20Educa%C3%A7%C3%A3o%20B%C3%A1sica%20licenciatura</t>
  </si>
  <si>
    <t>https://www.google.com/search?q=site%3Aualg.pt%20Educa%C3%A7%C3%A3o%20Social%20licenciatura</t>
  </si>
  <si>
    <t>https://www.google.com/search?q=site%3Aualg.pt%20Enfermagem%20licenciatura</t>
  </si>
  <si>
    <t>https://www.google.com/search?q=site%3Aualg.pt%20Engenharia%20Alimentar%20licenciatura</t>
  </si>
  <si>
    <t>https://www.google.com/search?q=site%3Aualg.pt%20Engenharia%20Civil%20licenciatura</t>
  </si>
  <si>
    <t>https://www.google.com/search?q=site%3Aualg.pt%20Engenharia%20Eletrot%C3%A9cnica%20e%20de%20Computadores%20licenciatura</t>
  </si>
  <si>
    <t>https://www.google.com/search?q=site%3Aualg.pt%20Engenharia%20Inform%C3%A1tica%20licenciatura</t>
  </si>
  <si>
    <t>https://www.google.com/search?q=site%3Aualg.pt%20Engenharia%20Mec%C3%A2nica%20licenciatura</t>
  </si>
  <si>
    <t>Engenharia de Sistemas e Tecnologias Informáticas</t>
  </si>
  <si>
    <t>https://www.google.com/search?q=site%3Aualg.pt%20Engenharia%20de%20Sistemas%20e%20Tecnologias%20Inform%C3%A1ticas%20licenciatura</t>
  </si>
  <si>
    <t>https://www.google.com/search?q=site%3Aualg.pt%20Estudos%20do%20Mar%20licenciatura</t>
  </si>
  <si>
    <t>https://www.google.com/search?q=site%3Aualg.pt%20Farm%C3%A1cia%20licenciatura</t>
  </si>
  <si>
    <t>https://www.google.com/search?q=site%3Aualg.pt%20Fisioterapia%20licenciatura</t>
  </si>
  <si>
    <t>https://www.google.com/search?q=site%3Aualg.pt%20Gest%C3%A3o%20licenciatura</t>
  </si>
  <si>
    <t>Gestão (regime noturno)</t>
  </si>
  <si>
    <t>Escola Superior de Gestão, Hotelaria e Turismo – Campus da Penha e Polo de Portimão</t>
  </si>
  <si>
    <t>https://www.google.com/search?q=site%3Aualg.pt%20Gest%C3%A3o%20%28regime%20noturno%29%20licenciatura</t>
  </si>
  <si>
    <t>https://www.google.com/search?q=site%3Aualg.pt%20Gest%C3%A3o%20Hoteleira%20licenciatura</t>
  </si>
  <si>
    <t>Gestão Marinha e Costeira</t>
  </si>
  <si>
    <t>https://www.google.com/search?q=site%3Aualg.pt%20Gest%C3%A3o%20Marinha%20e%20Costeira%20licenciatura</t>
  </si>
  <si>
    <t>https://www.google.com/search?q=site%3Aualg.pt%20Gest%C3%A3o%20de%20Empresas%20licenciatura</t>
  </si>
  <si>
    <t>Imagem Animada</t>
  </si>
  <si>
    <t>https://www.google.com/search?q=site%3Aualg.pt%20Imagem%20Animada%20licenciatura</t>
  </si>
  <si>
    <t>https://www.google.com/search?q=site%3Aualg.pt%20Imagem%20M%C3%A9dica%20e%20Radioterapia%20licenciatura</t>
  </si>
  <si>
    <t>Línguas e Comunicação Intercultural</t>
  </si>
  <si>
    <t>https://www.google.com/search?q=site%3Aualg.pt%20L%C3%ADnguas%20e%20Comunica%C3%A7%C3%A3o%20Intercultural%20licenciatura</t>
  </si>
  <si>
    <t>https://www.google.com/search?q=site%3Aualg.pt%20L%C3%ADnguas%2C%20Literaturas%20e%20Culturas%20licenciatura</t>
  </si>
  <si>
    <t>https://www.google.com/search?q=site%3Aualg.pt%20Marketing%20licenciatura</t>
  </si>
  <si>
    <t>https://www.google.com/search?q=site%3Aualg.pt%20Matem%C3%A1tica%20Aplicada%20%C3%A0%20Economia%20e%20%C3%A0%20Gest%C3%A3o%20licenciatura</t>
  </si>
  <si>
    <t>https://www.google.com/search?q=site%3Aualg.pt%20Ortoprotesia%20licenciatura</t>
  </si>
  <si>
    <t>Património Cultural e Arqueologia</t>
  </si>
  <si>
    <t>https://www.google.com/search?q=site%3Aualg.pt%20Patrim%C3%B3nio%20Cultural%20e%20Arqueologia%20licenciatura</t>
  </si>
  <si>
    <t>https://www.google.com/search?q=site%3Aualg.pt%20Psicologia%20licenciatura</t>
  </si>
  <si>
    <t>https://www.google.com/search?q=site%3Aualg.pt%20Sociologia%20licenciatura</t>
  </si>
  <si>
    <t>Tecnologia e Segurança dos Alimentos</t>
  </si>
  <si>
    <t>https://www.google.com/search?q=site%3Aualg.pt%20Tecnologia%20e%20Seguran%C3%A7a%20dos%20Alimentos%20licenciatura</t>
  </si>
  <si>
    <t>https://www.google.com/search?q=site%3Aualg.pt%20Terapia%20da%20Fala%20licenciatura</t>
  </si>
  <si>
    <t>https://www.google.com/search?q=site%3Aualg.pt%20Turismo%20licenciatura</t>
  </si>
  <si>
    <t>https://www.google.com/search?q=site%3Aualg.pt%20Anima%C3%A7%C3%A3o%20mestrado</t>
  </si>
  <si>
    <t>Aquacultura e Pescas</t>
  </si>
  <si>
    <t>https://www.google.com/search?q=site%3Aualg.pt%20Aquacultura%20e%20Pescas%20mestrado</t>
  </si>
  <si>
    <t>https://www.google.com/search?q=site%3Aualg.pt%20Arqueologia%20mestrado</t>
  </si>
  <si>
    <t>https://www.google.com/search?q=site%3Aualg.pt%20Arquitetura%20Paisagista%20mestrado</t>
  </si>
  <si>
    <t>Biodiversidade, Pescas e Conservação Marinhas</t>
  </si>
  <si>
    <t>https://www.google.com/search?q=site%3Aualg.pt%20Biodiversidade%2C%20Pescas%20e%20Conserva%C3%A7%C3%A3o%20Marinhas%20mestrado</t>
  </si>
  <si>
    <t>https://www.google.com/search?q=site%3Aualg.pt%20Biologia%20Marinha%20mestrado</t>
  </si>
  <si>
    <t>Biologia Molecular e Microbiana</t>
  </si>
  <si>
    <t>https://www.google.com/search?q=site%3Aualg.pt%20Biologia%20Molecular%20e%20Microbiana%20mestrado</t>
  </si>
  <si>
    <t>https://www.google.com/search?q=site%3Aualg.pt%20Biotecnologia%20mestrado</t>
  </si>
  <si>
    <t>Ciclo Urbano da Água</t>
  </si>
  <si>
    <t>https://www.google.com/search?q=site%3Aualg.pt%20Ciclo%20Urbano%20da%20%C3%81gua%20mestrado</t>
  </si>
  <si>
    <t>Ciências Biomédicas - Mecanismos de Doenças</t>
  </si>
  <si>
    <t>https://www.google.com/search?q=site%3Aualg.pt%20Ci%C3%AAncias%20Biom%C3%A9dicas%20-%20Mecanismos%20de%20Doen%C3%A7as%20mestrado</t>
  </si>
  <si>
    <t>https://www.google.com/search?q=site%3Aualg.pt%20Ci%C3%AAncias%20da%20Educa%C3%A7%C3%A3o%20mestrado</t>
  </si>
  <si>
    <t>https://www.google.com/search?q=site%3Aualg.pt%20Ci%C3%AAncias%20da%20Linguagem%20mestrado</t>
  </si>
  <si>
    <t>Comunicação e Media Digitais</t>
  </si>
  <si>
    <t>https://www.google.com/search?q=site%3Aualg.pt%20Comunica%C3%A7%C3%A3o%20e%20Media%20Digitais%20mestrado</t>
  </si>
  <si>
    <t>https://www.google.com/search?q=site%3Aualg.pt%20Contabilidade%20e%20Controlo%20de%20Gest%C3%A3o%20mestrado</t>
  </si>
  <si>
    <t>Design de Comunicação para o Turismo e Cultura</t>
  </si>
  <si>
    <t>https://www.google.com/search?q=site%3Aualg.pt%20Design%20de%20Comunica%C3%A7%C3%A3o%20para%20o%20Turismo%20e%20Cultura%20mestrado</t>
  </si>
  <si>
    <t>https://www.google.com/search?q=site%3Aualg.pt%20Desporto%20de%20Recrea%C3%A7%C3%A3o%20mestrado</t>
  </si>
  <si>
    <t>Escola Superior de Gestão, Hotelaria e Turismo – Campus da Penha (pós‑laboral presencial)</t>
  </si>
  <si>
    <t>https://www.google.com/search?q=site%3Aualg.pt%20Dire%C3%A7%C3%A3o%20e%20Gest%C3%A3o%20Hoteleira%20mestrado</t>
  </si>
  <si>
    <t>Ecohidrologia Aplicada</t>
  </si>
  <si>
    <t>https://www.google.com/search?q=site%3Aualg.pt%20Ecohidrologia%20Aplicada%20mestrado</t>
  </si>
  <si>
    <t>Economia Financeira</t>
  </si>
  <si>
    <t>https://www.google.com/search?q=site%3Aualg.pt%20Economia%20Financeira%20mestrado</t>
  </si>
  <si>
    <t>Economia da Inovação e Empreendedorismo</t>
  </si>
  <si>
    <t>https://www.google.com/search?q=site%3Aualg.pt%20Economia%20da%20Inova%C3%A7%C3%A3o%20e%20Empreendedorismo%20mestrado</t>
  </si>
  <si>
    <t>Economia do Turismo e Desenvolvimento Regional</t>
  </si>
  <si>
    <t>https://www.google.com/search?q=site%3Aualg.pt%20Economia%20do%20Turismo%20e%20Desenvolvimento%20Regional%20mestrado</t>
  </si>
  <si>
    <t>Educação Especial - Domínios Cognitivo e Motor</t>
  </si>
  <si>
    <t>https://www.google.com/search?q=site%3Aualg.pt%20Educa%C3%A7%C3%A3o%20Especial%20-%20Dom%C3%ADnios%20Cognitivo%20e%20Motor%20mestrado</t>
  </si>
  <si>
    <t>https://www.google.com/search?q=site%3Aualg.pt%20Educa%C3%A7%C3%A3o%20Pr%C3%A9-Escolar%20mestrado</t>
  </si>
  <si>
    <t>https://www.google.com/search?q=site%3Aualg.pt%20Educa%C3%A7%C3%A3o%20Social%20mestrado</t>
  </si>
  <si>
    <t>https://www.google.com/search?q=site%3Aualg.pt%20Enfermagem%20mestrado</t>
  </si>
  <si>
    <t>https://www.google.com/search?q=site%3Aualg.pt%20Engenharia%20Civil%20mestrado</t>
  </si>
  <si>
    <t>https://www.google.com/search?q=site%3Aualg.pt%20Engenharia%20Eletrot%C3%A9cnica%20e%20de%20Computadores%20mestrado</t>
  </si>
  <si>
    <t>https://www.google.com/search?q=site%3Aualg.pt%20Engenharia%20Inform%C3%A1tica%20mestrado</t>
  </si>
  <si>
    <t>Engenharia Mecânica - Energia, Climatização e Refrigeração</t>
  </si>
  <si>
    <t>https://www.google.com/search?q=site%3Aualg.pt%20Engenharia%20Mec%C3%A2nica%20-%20Energia%2C%20Climatiza%C3%A7%C3%A3o%20e%20Refrigera%C3%A7%C3%A3o%20mestrado</t>
  </si>
  <si>
    <t>https://www.google.com/search?q=site%3Aualg.pt%20Ensino%20da%20Matem%C3%A1tica%20no%203.%C2%BA%20Ciclo%20do%20Ensino%20B%C3%A1sico%20e%20no%20Ensino%20Secund%C3%A1rio%20mestrado</t>
  </si>
  <si>
    <t>Ensino de Inglês e de Língua Estrangeira no 3.º ciclo do Ensino Básico e no Ensino Secundário, nas áreas de especialização de Espanhol ou de Francês</t>
  </si>
  <si>
    <t>https://www.google.com/search?q=site%3Aualg.pt%20Ensino%20de%20Ingl%C3%AAs%20e%20de%20L%C3%ADngua%20Estrangeira%20no%203.%C2%BA%20ciclo%20do%20Ensino%20B%C3%A1sico%20e%20no%20Ensino%20Secund%C3%A1rio%2C%20nas%20%C3%A1reas%20de%20especializa%C3%A7%C3%A3o%20de%20Espanhol%20ou%20de%20Franc%C3%AAs%20mestrado</t>
  </si>
  <si>
    <t>https://www.google.com/search?q=site%3Aualg.pt%20Ensino%20de%20Ingl%C3%AAs%20no%201.%C2%BA%20Ciclo%20do%20Ensino%20B%C3%A1sico%20mestrado</t>
  </si>
  <si>
    <t>https://www.google.com/search?q=site%3Aualg.pt%20Ensino%20de%20Portugu%C3%AAs%20e%20Ingl%C3%AAs%20no%202.%C2%BA%20Ciclo%20do%20Ensino%20B%C3%A1sico%20mestrado</t>
  </si>
  <si>
    <t>Ensino de Português e de Língua Estrangeira no 3.º ciclo do Ensino Básico e no Ensino Secundário, nas áreas de especialização de Espanhol ou de Francês ou de Inglês</t>
  </si>
  <si>
    <t>https://www.google.com/search?q=site%3Aualg.pt%20Ensino%20de%20Portugu%C3%AAs%20e%20de%20L%C3%ADngua%20Estrangeira%20no%203.%C2%BA%20ciclo%20do%20Ensino%20B%C3%A1sico%20e%20no%20Ensino%20Secund%C3%A1rio%2C%20nas%20%C3%A1reas%20de%20especializa%C3%A7%C3%A3o%20de%20Espanhol%20ou%20de%20Franc%C3%AAs%20ou%20de%20Ingl%C3%AAs%20mestrado</t>
  </si>
  <si>
    <t>https://www.google.com/search?q=site%3Aualg.pt%20Ensino%20do%201.%C2%BA%20Ciclo%20do%20Ensino%20B%C3%A1sico%20e%20de%20Matem%C3%A1tica%20e%20Ci%C3%AAncias%20Naturais%20no%202.%C2%BA%20Ciclo%20do%20Ensino%20B%C3%A1sico%20mestrado</t>
  </si>
  <si>
    <t>https://www.google.com/search?q=site%3Aualg.pt%20Ensino%20do%201.%C2%BA%20Ciclo%20do%20Ensino%20B%C3%A1sico%20e%20de%20Portugu%C3%AAs%20e%20Hist%C3%B3ria%20e%20Geografia%20de%20Portugal%20no%202.%C2%BA%20Ciclo%20do%20Ensino%20B%C3%A1sico%20mestrado</t>
  </si>
  <si>
    <t>https://www.google.com/search?q=site%3Aualg.pt%20Finan%C3%A7as%20mestrado</t>
  </si>
  <si>
    <t>https://www.google.com/search?q=site%3Aualg.pt%20Fiscalidade%20mestrado</t>
  </si>
  <si>
    <t>Escola Superior de Educação e Comunicação – Campus da Penha (em articulação com ESS)</t>
  </si>
  <si>
    <t>https://www.google.com/search?q=site%3Aualg.pt%20Gerontologia%20Social%20mestrado</t>
  </si>
  <si>
    <t>https://www.google.com/search?q=site%3Aualg.pt%20Gest%C3%A3o%20mestrado</t>
  </si>
  <si>
    <t>https://www.google.com/search?q=site%3Aualg.pt%20Gest%C3%A3o%20Empresarial%20mestrado</t>
  </si>
  <si>
    <t>Gestão Sustentável de Espaços Rurais</t>
  </si>
  <si>
    <t>https://www.google.com/search?q=site%3Aualg.pt%20Gest%C3%A3o%20Sustent%C3%A1vel%20de%20Espa%C3%A7os%20Rurais%20mestrado</t>
  </si>
  <si>
    <t>Gestão da Qualidade e Marketing Agroalimentar</t>
  </si>
  <si>
    <t>https://www.google.com/search?q=site%3Aualg.pt%20Gest%C3%A3o%20da%20Qualidade%20e%20Marketing%20Agroalimentar%20mestrado</t>
  </si>
  <si>
    <t>Gestão da Água e da Costa (Erasmus Mundus)</t>
  </si>
  <si>
    <t>Faculdade de Ciências e Tecnologia – Campus de Gambelas (parceria internacional)</t>
  </si>
  <si>
    <t>https://www.google.com/search?q=site%3Aualg.pt%20Gest%C3%A3o%20da%20%C3%81gua%20e%20da%20Costa%20%28Erasmus%20Mundus%29%20mestrado</t>
  </si>
  <si>
    <t>Gestão das Organizações Turísticas</t>
  </si>
  <si>
    <t>https://www.google.com/search?q=site%3Aualg.pt%20Gest%C3%A3o%20das%20Organiza%C3%A7%C3%B5es%20Tur%C3%ADsticas%20mestrado</t>
  </si>
  <si>
    <t>https://www.google.com/search?q=site%3Aualg.pt%20Gest%C3%A3o%20de%20Marketing%20mestrado</t>
  </si>
  <si>
    <t>Escola Superior de Gestão, Hotelaria e Turismo (Portimão) – mestrado noturno, presencial</t>
  </si>
  <si>
    <t>https://www.google.com/search?q=site%3Aualg.pt%20Gest%C3%A3o%20de%20PME%20mestrado</t>
  </si>
  <si>
    <t>Gestão de Portos e Logística</t>
  </si>
  <si>
    <t>https://www.google.com/search?q=site%3Aualg.pt%20Gest%C3%A3o%20de%20Portos%20e%20Log%C3%ADstica%20mestrado</t>
  </si>
  <si>
    <t>https://www.google.com/search?q=site%3Aualg.pt%20Gest%C3%A3o%20de%20Recursos%20Humanos%20mestrado</t>
  </si>
  <si>
    <t>https://www.google.com/search?q=site%3Aualg.pt%20Gest%C3%A3o%20de%20Unidades%20de%20Sa%C3%BAde%20mestrado</t>
  </si>
  <si>
    <t>Gestão e Administração Escolar</t>
  </si>
  <si>
    <t>https://www.google.com/search?q=site%3Aualg.pt%20Gest%C3%A3o%20e%20Administra%C3%A7%C3%A3o%20Escolar%20mestrado</t>
  </si>
  <si>
    <t>Gestão, Empreendedorismo e Inovação</t>
  </si>
  <si>
    <t>https://www.google.com/search?q=site%3Aualg.pt%20Gest%C3%A3o%2C%20Empreendedorismo%20e%20Inova%C3%A7%C3%A3o%20mestrado</t>
  </si>
  <si>
    <t>https://www.google.com/search?q=site%3Aualg.pt%20Hist%C3%B3ria%20do%20Mediterr%C3%A2neo%20Isl%C3%A2mico%20mestrado</t>
  </si>
  <si>
    <t>https://www.google.com/search?q=site%3Aualg.pt%20Hist%C3%B3ria%20e%20Patrim%C3%B3nios%20mestrado</t>
  </si>
  <si>
    <t>Hortofruticultura</t>
  </si>
  <si>
    <t>https://www.google.com/search?q=site%3Aualg.pt%20Hortofruticultura%20mestrado</t>
  </si>
  <si>
    <t>Inovação Química e Regulamentação (Erasmus Mundus)</t>
  </si>
  <si>
    <t>https://www.google.com/search?q=site%3Aualg.pt%20Inova%C3%A7%C3%A3o%20Qu%C3%ADmica%20e%20Regulamenta%C3%A7%C3%A3o%20%28Erasmus%20Mundus%29%20mestrado</t>
  </si>
  <si>
    <t>https://www.google.com/search?q=site%3Aualg.pt%20Inova%C3%A7%C3%A3o%20Qu%C3%ADmica%2C%20Regulamenta%C3%A7%C3%A3o%20e%20Sustentabilidade%20%28Erasmus%20Mundus%29%20mestrado</t>
  </si>
  <si>
    <t>Matemática para Professores</t>
  </si>
  <si>
    <t>https://www.google.com/search?q=site%3Aualg.pt%20Matem%C3%A1tica%20para%20Professores%20mestrado</t>
  </si>
  <si>
    <t>Neurociências Cognitivas e Neuropsicologia</t>
  </si>
  <si>
    <t>https://www.google.com/search?q=site%3Aualg.pt%20Neuroci%C3%AAncias%20Cognitivas%20e%20Neuropsicologia%20mestrado</t>
  </si>
  <si>
    <t>Oncobiologia - Mecanismos Moleculares do Cancro</t>
  </si>
  <si>
    <t>https://www.google.com/search?q=site%3Aualg.pt%20Oncobiologia%20-%20Mecanismos%20Moleculares%20do%20Cancro%20mestrado</t>
  </si>
  <si>
    <t>Processos de Criação</t>
  </si>
  <si>
    <t>https://www.google.com/search?q=site%3Aualg.pt%20Processos%20de%20Cria%C3%A7%C3%A3o%20mestrado</t>
  </si>
  <si>
    <t>https://www.google.com/search?q=site%3Aualg.pt%20Psicologia%20Cl%C3%ADnica%20e%20da%20Sa%C3%BAde%20mestrado</t>
  </si>
  <si>
    <t>Psicologia Social, do Trabalho e das Organizações</t>
  </si>
  <si>
    <t>https://www.google.com/search?q=site%3Aualg.pt%20Psicologia%20Social%2C%20do%20Trabalho%20e%20das%20Organiza%C3%A7%C3%B5es%20mestrado</t>
  </si>
  <si>
    <t>https://www.google.com/search?q=site%3Aualg.pt%20Psicologia%20da%20Educa%C3%A7%C3%A3o%2C%20Desenvolvimento%20e%20Aconselhamento%20mestrado</t>
  </si>
  <si>
    <t>Qualidade em Análises</t>
  </si>
  <si>
    <t>https://www.google.com/search?q=site%3Aualg.pt%20Qualidade%20em%20An%C3%A1lises%20mestrado</t>
  </si>
  <si>
    <t>Recursos Biológicos Marinhos</t>
  </si>
  <si>
    <t>https://www.google.com/search?q=site%3Aualg.pt%20Recursos%20Biol%C3%B3gicos%20Marinhos%20mestrado</t>
  </si>
  <si>
    <t>Riscos Costeiros, Impactos das Alterações Climáticas e Adaptação (COASTHazar)</t>
  </si>
  <si>
    <t>https://www.google.com/search?q=site%3Aualg.pt%20Riscos%20Costeiros%2C%20Impactos%20das%20Altera%C3%A7%C3%B5es%20Clim%C3%A1ticas%20e%20Adapta%C3%A7%C3%A3o%20%28COASTHazar%29%20mestrado</t>
  </si>
  <si>
    <t>https://www.google.com/search?q=site%3Aualg.pt%20Seguran%C3%A7a%20e%20Sa%C3%BAde%20no%20Trabalho%20mestrado</t>
  </si>
  <si>
    <t>Sistemas Marinhos e Costeiros</t>
  </si>
  <si>
    <t>https://www.google.com/search?q=site%3Aualg.pt%20Sistemas%20Marinhos%20e%20Costeiros%20mestrado</t>
  </si>
  <si>
    <t>https://www.google.com/search?q=site%3Aualg.pt%20Sistemas%20de%20Informa%C3%A7%C3%A3o%20Geogr%C3%A1fica%20mestrado</t>
  </si>
  <si>
    <t>https://www.google.com/search?q=site%3Aualg.pt%20Sociologia%20mestrado</t>
  </si>
  <si>
    <t>Tecnologia de Alimentos</t>
  </si>
  <si>
    <t>https://www.google.com/search?q=site%3Aualg.pt%20Tecnologia%20de%20Alimentos%20mestrado</t>
  </si>
  <si>
    <t>https://www.google.com/search?q=site%3Aualg.pt%20Turismo%20mestrado</t>
  </si>
  <si>
    <t>https://www.google.com/search?q=site%3Aualg.pt%20Ci%C3%AAncias%20Farmac%C3%AAuticas%20mestrado%20integrado</t>
  </si>
  <si>
    <t>https://www.google.com/search?q=site%3Aualg.pt%20Medicina%20mestrado%20integrado</t>
  </si>
  <si>
    <t>Avanços Científicos em Ciclo Urbano da Água</t>
  </si>
  <si>
    <t>Universidade do Algarve (área de Engenharia / Ambiente)</t>
  </si>
  <si>
    <t>https://www.google.com/search?q=site%3Aualg.pt%20Avan%C3%A7os%20Cient%C3%ADficos%20em%20Ciclo%20Urbano%20da%20%C3%81gua%20p%C3%B3s-gradua%C3%A7%C3%A3o</t>
  </si>
  <si>
    <t>Duração e ECTS não indicados na síntese pública</t>
  </si>
  <si>
    <t>Faculdade de Medicina e Ciências Biomédicas (FMCB) – Campus de Gambelas</t>
  </si>
  <si>
    <t>https://www.google.com/search?q=site%3Aualg.pt%20A%C3%A7%C3%A3o%20Humanit%C3%A1ria%20p%C3%B3s-gradua%C3%A7%C3%A3o</t>
  </si>
  <si>
    <t>0,3 ano(s) (16 ECTS)</t>
  </si>
  <si>
    <t>Faculdade de Ciências e Tecnologia (FCT) – Campus de Gambelas</t>
  </si>
  <si>
    <t>https://www.google.com/search?q=site%3Aualg.pt%20Ciberseguran%C3%A7a%20p%C3%B3s-gradua%C3%A7%C3%A3o</t>
  </si>
  <si>
    <t>1 ano letivo; ECTS não indicados; horário previsto 18h30–23h30 (3 dias/semana)</t>
  </si>
  <si>
    <t>Formação Complementar em Cadastro Predial – Tipologia A</t>
  </si>
  <si>
    <t>https://www.google.com/search?q=site%3Aualg.pt%20Forma%C3%A7%C3%A3o%20Complementar%20em%20Cadastro%20Predial%20%E2%80%93%20Tipologia%20A%20p%C3%B3s-gradua%C3%A7%C3%A3o</t>
  </si>
  <si>
    <t>Duração e ECTS não indicados</t>
  </si>
  <si>
    <t>Formação Complementar em Cadastro Predial – Tipologia B</t>
  </si>
  <si>
    <t>https://www.google.com/search?q=site%3Aualg.pt%20Forma%C3%A7%C3%A3o%20Complementar%20em%20Cadastro%20Predial%20%E2%80%93%20Tipologia%20B%20p%C3%B3s-gradua%C3%A7%C3%A3o</t>
  </si>
  <si>
    <t>Formação Complementar em Cadastro Predial – Tipologia C</t>
  </si>
  <si>
    <t>https://www.google.com/search?q=site%3Aualg.pt%20Forma%C3%A7%C3%A3o%20Complementar%20em%20Cadastro%20Predial%20%E2%80%93%20Tipologia%20C%20p%C3%B3s-gradua%C3%A7%C3%A3o</t>
  </si>
  <si>
    <t>Universidade do Algarve (área de Ciências Exatas / Educação)</t>
  </si>
  <si>
    <t>https://www.google.com/search?q=site%3Aualg.pt%20Matem%C3%A1tica%20para%20o%20Ensino%20p%C3%B3s-gradua%C3%A7%C3%A3o</t>
  </si>
  <si>
    <t>Metodologias e Técnicas em Projetos de Investigação</t>
  </si>
  <si>
    <t>https://www.google.com/search?q=site%3Aualg.pt%20Metodologias%20e%20T%C3%A9cnicas%20em%20Projetos%20de%20Investiga%C3%A7%C3%A3o%20p%C3%B3s-gradua%C3%A7%C3%A3o</t>
  </si>
  <si>
    <t>Novas Tecnologias Aplicadas ao Ciclo Urbano da Água</t>
  </si>
  <si>
    <t>https://www.google.com/search?q=site%3Aualg.pt%20Novas%20Tecnologias%20Aplicadas%20ao%20Ciclo%20Urbano%20da%20%C3%81gua%20p%C3%B3s-gradua%C3%A7%C3%A3o</t>
  </si>
  <si>
    <t>Tecnologias Digitais e Ambientais nas … (curso 1975)</t>
  </si>
  <si>
    <t>https://www.google.com/search?q=site%3Aualg.pt%20Tecnologias%20Digitais%20e%20Ambientais%20nas%20%E2%80%A6%20%28curso%201975%29%20p%C3%B3s-gradua%C3%A7%C3%A3o</t>
  </si>
  <si>
    <t>Universidade do Minho</t>
  </si>
  <si>
    <t>Escola Superior de Enfermagem, Campus de Gualtar (Edifício 4)</t>
  </si>
  <si>
    <t>https://www.google.com/search?q=site%3Auminho.pt%20Enfermagem%20licenciatura</t>
  </si>
  <si>
    <t>Escola Superior de Enfermagem da UMinho</t>
  </si>
  <si>
    <t>https://www.google.com/search?q=site%3Auminho.pt%20Enfermagem%20Comunit%C3%A1ria%20na%20%C3%81rea%20de%20Enfermagem%20de%20Sa%C3%BAde%20Familiar%20mestrado</t>
  </si>
  <si>
    <t>https://www.google.com/search?q=site%3Auminho.pt%20Enfermagem%20M%C3%A9dico%E2%80%91Cir%C3%BArgica%20na%20%C3%A1rea%20de%20Enfermagem%20%C3%A0%20Pessoa%20em%20Situa%C3%A7%C3%A3o%20Cr%C3%ADtica%20mestrado</t>
  </si>
  <si>
    <t>https://www.google.com/search?q=site%3Auminho.pt%20Enfermagem%20de%20Reabilita%C3%A7%C3%A3o%20mestrado</t>
  </si>
  <si>
    <t>https://www.google.com/search?q=site%3Auminho.pt%20Enfermagem%20de%20Sa%C3%BAde%20Infantil%20e%20Pedi%C3%A1trica%20mestrado</t>
  </si>
  <si>
    <t>Universidade do Porto</t>
  </si>
  <si>
    <t>https://www.google.com/search?q=site%3Aup.pt%20Arqueologia%20licenciatura</t>
  </si>
  <si>
    <t>Confirmado (Tavily, up.pt/FLUP) — 2026-06-15</t>
  </si>
  <si>
    <t>FCNAUP – Faculdade de Ciências da Nutrição e Alimentação</t>
  </si>
  <si>
    <t>https://www.google.com/search?q=site%3Aup.pt%20Arquitetura%20licenciatura</t>
  </si>
  <si>
    <t>https://www.google.com/search?q=site%3Aup.pt%20Arquitetura%20Paisagista%20licenciatura</t>
  </si>
  <si>
    <t>https://www.google.com/search?q=site%3Aup.pt%20Artes%20Pl%C3%A1sticas%20licenciatura</t>
  </si>
  <si>
    <t>Astronomia</t>
  </si>
  <si>
    <t>https://www.google.com/search?q=site%3Aup.pt%20Astronomia%20licenciatura</t>
  </si>
  <si>
    <t>https://www.google.com/search?q=site%3Aup.pt%20Bioengenharia%20licenciatura</t>
  </si>
  <si>
    <t>https://www.google.com/search?q=site%3Aup.pt%20Bioinform%C3%A1tica%20licenciatura</t>
  </si>
  <si>
    <t>https://www.google.com/search?q=site%3Aup.pt%20Biologia%20licenciatura</t>
  </si>
  <si>
    <t>https://www.google.com/search?q=site%3Aup.pt%20Bioqu%C3%ADmica%20licenciatura</t>
  </si>
  <si>
    <t>Biblioteconomia, Arquivo e Documentação (BAD)</t>
  </si>
  <si>
    <t>https://www.google.com/search?q=site%3Aup.pt%20Ci%C3%AAncia%20da%20Informa%C3%A7%C3%A3o%20licenciatura</t>
  </si>
  <si>
    <t>Ciência de Computadores</t>
  </si>
  <si>
    <t>https://www.google.com/search?q=site%3Aup.pt%20Ci%C3%AAncia%20de%20Computadores%20licenciatura</t>
  </si>
  <si>
    <t>https://www.google.com/search?q=site%3Aup.pt%20Ci%C3%AAncias%20da%20Comunica%C3%A7%C3%A3o%20licenciatura</t>
  </si>
  <si>
    <t>https://www.google.com/search?q=site%3Aup.pt%20Ci%C3%AAncias%20da%20Educa%C3%A7%C3%A3o%20licenciatura</t>
  </si>
  <si>
    <t>https://www.google.com/search?q=site%3Aup.pt%20Ci%C3%AAncias%20da%20Linguagem%20licenciatura</t>
  </si>
  <si>
    <t>Faculdade de Ciências da Nutrição e Alimentação (FCNAUP)</t>
  </si>
  <si>
    <t>https://www.google.com/search?q=site%3Aup.pt%20Ci%C3%AAncias%20da%20Nutri%C3%A7%C3%A3o%20licenciatura</t>
  </si>
  <si>
    <t>Ciências da Saúde Pública</t>
  </si>
  <si>
    <t>https://www.google.com/search?q=site%3Aup.pt%20Ci%C3%AAncias%20da%20Sa%C3%BAde%20P%C3%BAblica%20licenciatura</t>
  </si>
  <si>
    <t>Ciências de Engenharia</t>
  </si>
  <si>
    <t>https://www.google.com/search?q=site%3Aup.pt%20Ci%C3%AAncias%20de%20Engenharia%20licenciatura</t>
  </si>
  <si>
    <t>Faculdade de Desporto</t>
  </si>
  <si>
    <t>https://www.google.com/search?q=site%3Aup.pt%20Ci%C3%AAncias%20do%20Desporto%20licenciatura</t>
  </si>
  <si>
    <t>Ciências do Meio Aquático</t>
  </si>
  <si>
    <t>https://www.google.com/search?q=site%3Aup.pt%20Ci%C3%AAncias%20do%20Meio%20Aqu%C3%A1tico%20licenciatura</t>
  </si>
  <si>
    <t>https://www.google.com/search?q=site%3Aup.pt%20Ci%C3%AAncias%20e%20Tecnologia%20do%20Ambiente%20licenciatura</t>
  </si>
  <si>
    <t>https://www.google.com/search?q=site%3Aup.pt%20Ci%C3%AAncias%20e%20Tecnologias%20Florestais%20licenciatura</t>
  </si>
  <si>
    <t>https://www.google.com/search?q=site%3Aup.pt%20Criminologia%20licenciatura</t>
  </si>
  <si>
    <t>https://www.google.com/search?q=site%3Aup.pt%20Desenho%20licenciatura</t>
  </si>
  <si>
    <t>https://www.google.com/search?q=site%3Aup.pt%20Design%20de%20Comunica%C3%A7%C3%A3o%20licenciatura</t>
  </si>
  <si>
    <t>https://www.google.com/search?q=site%3Aup.pt%20Direito%20licenciatura</t>
  </si>
  <si>
    <t>https://www.google.com/search?q=site%3Aup.pt%20Economia%20licenciatura</t>
  </si>
  <si>
    <t>https://www.google.com/search?q=site%3Aup.pt%20Engenharia%20Aeroespacial%20licenciatura</t>
  </si>
  <si>
    <t>https://www.google.com/search?q=site%3Aup.pt%20Engenharia%20Agron%C3%B3mica%20licenciatura</t>
  </si>
  <si>
    <t>https://www.google.com/search?q=site%3Aup.pt%20Engenharia%20Civil%20licenciatura</t>
  </si>
  <si>
    <t>https://www.google.com/search?q=site%3Aup.pt%20Engenharia%20Eletrot%C3%A9cnica%20e%20de%20Computadores%20licenciatura</t>
  </si>
  <si>
    <t>Silvicultura e Caça</t>
  </si>
  <si>
    <t>https://www.google.com/search?q=site%3Aup.pt%20Engenharia%20F%C3%ADsica%20licenciatura</t>
  </si>
  <si>
    <t>https://www.google.com/search?q=site%3Aup.pt%20Engenharia%20Geoespacial%20licenciatura</t>
  </si>
  <si>
    <t>https://www.google.com/search?q=site%3Aup.pt%20Engenharia%20Inform%C3%A1tica%20e%20Computa%C3%A7%C3%A3o%20licenciatura</t>
  </si>
  <si>
    <t>https://www.google.com/search?q=site%3Aup.pt%20Engenharia%20Mec%C3%A2nica%20licenciatura</t>
  </si>
  <si>
    <t>https://www.google.com/search?q=site%3Aup.pt%20Engenharia%20Qu%C3%ADmica%20licenciatura</t>
  </si>
  <si>
    <t>https://www.google.com/search?q=site%3Aup.pt%20Engenharia%20de%20Materiais%20licenciatura</t>
  </si>
  <si>
    <t>Engenharia de Minas e Geo-Ambiente</t>
  </si>
  <si>
    <t>https://www.google.com/search?q=site%3Aup.pt%20Engenharia%20de%20Minas%20e%20Geo-Ambiente%20licenciatura</t>
  </si>
  <si>
    <t>https://www.google.com/search?q=site%3Aup.pt%20Engenharia%20do%20Ambiente%20licenciatura</t>
  </si>
  <si>
    <t>https://www.google.com/search?q=site%3Aup.pt%20Engenharia%20e%20Biotecnologia%20Florestal%20licenciatura</t>
  </si>
  <si>
    <t>https://www.google.com/search?q=site%3Aup.pt%20Engenharia%20e%20Gest%C3%A3o%20Industrial%20licenciatura</t>
  </si>
  <si>
    <t>https://www.google.com/search?q=site%3Aup.pt%20Estudos%20Portugueses%20licenciatura</t>
  </si>
  <si>
    <t>https://www.google.com/search?q=site%3Aup.pt%20Filosofia%20licenciatura</t>
  </si>
  <si>
    <t>https://www.google.com/search?q=site%3Aup.pt%20F%C3%ADsica%20licenciatura</t>
  </si>
  <si>
    <t>Sociologia e Outros Estudos (ramo ciências sociais)</t>
  </si>
  <si>
    <t>https://www.google.com/search?q=site%3Aup.pt%20Geografia%20licenciatura</t>
  </si>
  <si>
    <t>https://www.google.com/search?q=site%3Aup.pt%20Geologia%20licenciatura</t>
  </si>
  <si>
    <t>https://www.google.com/search?q=site%3Aup.pt%20Gest%C3%A3o%20licenciatura</t>
  </si>
  <si>
    <t>https://www.google.com/search?q=site%3Aup.pt%20Hist%C3%B3ria%20licenciatura</t>
  </si>
  <si>
    <t>História e Arqueologia (com foco em património</t>
  </si>
  <si>
    <t>https://www.google.com/search?q=site%3Aup.pt%20Hist%C3%B3ria%20da%20Arte%20licenciatura</t>
  </si>
  <si>
    <t>https://www.google.com/search?q=site%3Aup.pt%20Intelig%C3%AAncia%20Artificial%20e%20Ci%C3%AAncia%20de%20Dados%20licenciatura</t>
  </si>
  <si>
    <t>Literatura e Estudos Interartes</t>
  </si>
  <si>
    <t>https://www.google.com/search?q=site%3Aup.pt%20Literatura%20e%20Estudos%20Interartes%20licenciatura</t>
  </si>
  <si>
    <t>https://www.google.com/search?q=site%3Aup.pt%20L%C3%ADnguas%20Aplicadas%20licenciatura</t>
  </si>
  <si>
    <t>Línguas e Relações Internacionais</t>
  </si>
  <si>
    <t>Línguas e Literaturas + 313 Ciência Política e Cidadania (dependendo da instituição, mas enquadra em 222</t>
  </si>
  <si>
    <t>https://www.google.com/search?q=site%3Aup.pt%20L%C3%ADnguas%20e%20Rela%C3%A7%C3%B5es%20Internacionais%20licenciatura</t>
  </si>
  <si>
    <t>https://www.google.com/search?q=site%3Aup.pt%20L%C3%ADnguas%2C%20Literaturas%20e%20Culturas%20licenciatura</t>
  </si>
  <si>
    <t>https://www.google.com/search?q=site%3Aup.pt%20Matem%C3%A1tica%20licenciatura</t>
  </si>
  <si>
    <t>https://www.google.com/search?q=site%3Aup.pt%20Matem%C3%A1tica%20Aplicada%20licenciatura</t>
  </si>
  <si>
    <t>Psicologia (designação antiga)</t>
  </si>
  <si>
    <t>https://www.google.com/search?q=site%3Aup.pt%20Psicologia%20licenciatura</t>
  </si>
  <si>
    <t>https://www.google.com/search?q=site%3Aup.pt%20Qu%C3%ADmica%20licenciatura</t>
  </si>
  <si>
    <t>Saúde Digital e Inovação Biomédica</t>
  </si>
  <si>
    <t>https://www.google.com/search?q=site%3Aup.pt%20Sa%C3%BAde%20Digital%20e%20Inova%C3%A7%C3%A3o%20Biom%C3%A9dica%20licenciatura</t>
  </si>
  <si>
    <t>https://www.google.com/search?q=site%3Aup.pt%20Sociologia%20licenciatura</t>
  </si>
  <si>
    <t>Aconselhamento Genético</t>
  </si>
  <si>
    <t>Instituto de Ciências Biomédicas Abel Salazar</t>
  </si>
  <si>
    <t>https://www.google.com/search?q=site%3Aup.pt%20Aconselhamento%20Gen%C3%A9tico%20mestrado</t>
  </si>
  <si>
    <t>Administração Hospitalar - Executivo</t>
  </si>
  <si>
    <t>https://www.google.com/search?q=site%3Aup.pt%20Administra%C3%A7%C3%A3o%20Hospitalar%20-%20Executivo%20mestrado</t>
  </si>
  <si>
    <t>Alimentação Coletiva</t>
  </si>
  <si>
    <t>https://www.google.com/search?q=site%3Aup.pt%20Alimenta%C3%A7%C3%A3o%20Coletiva%20mestrado</t>
  </si>
  <si>
    <t>https://www.google.com/search?q=site%3Aup.pt%20An%C3%A1lises%20Cl%C3%ADnicas%20mestrado</t>
  </si>
  <si>
    <t>Aplicações em Biotecnologia e Biologia Sintética</t>
  </si>
  <si>
    <t>https://www.google.com/search?q=site%3Aup.pt%20Aplica%C3%A7%C3%B5es%20em%20Biotecnologia%20e%20Biologia%20Sint%C3%A9tica%20mestrado</t>
  </si>
  <si>
    <t>https://www.google.com/search?q=site%3Aup.pt%20Arqueologia%20mestrado</t>
  </si>
  <si>
    <t>https://www.google.com/search?q=site%3Aup.pt%20Arquitetura%20Paisagista%20mestrado</t>
  </si>
  <si>
    <t>Arte e Design para o Espaço Público</t>
  </si>
  <si>
    <t>https://www.google.com/search?q=site%3Aup.pt%20Arte%20e%20Design%20para%20o%20Espa%C3%A7o%20P%C3%BAblico%20mestrado</t>
  </si>
  <si>
    <t>https://www.google.com/search?q=site%3Aup.pt%20Artes%20Pl%C3%A1sticas%20mestrado</t>
  </si>
  <si>
    <t>Assistência Integral em Urgências e Emergências</t>
  </si>
  <si>
    <t>https://www.google.com/search?q=site%3Aup.pt%20Assist%C3%AAncia%20Integral%20em%20Urg%C3%AAncias%20e%20Emerg%C3%AAncias%20mestrado</t>
  </si>
  <si>
    <t>Astronomia e Astrofísica</t>
  </si>
  <si>
    <t>https://www.google.com/search?q=site%3Aup.pt%20Astronomia%20e%20Astrof%C3%ADsica%20mestrado</t>
  </si>
  <si>
    <t>Atividade Física Adaptada</t>
  </si>
  <si>
    <t>https://www.google.com/search?q=site%3Aup.pt%20Atividade%20F%C3%ADsica%20Adaptada%20mestrado</t>
  </si>
  <si>
    <t>https://www.google.com/search?q=site%3Aup.pt%20Atividade%20F%C3%ADsica%20e%20Sa%C3%BAde%20mestrado</t>
  </si>
  <si>
    <t>Atividade Física para a Terceira Idade</t>
  </si>
  <si>
    <t>https://www.google.com/search?q=site%3Aup.pt%20Atividade%20F%C3%ADsica%20para%20a%20Terceira%20Idade%20mestrado</t>
  </si>
  <si>
    <t>Atividade Física, Exercício e Saúde</t>
  </si>
  <si>
    <t>https://www.google.com/search?q=site%3Aup.pt%20Atividade%20F%C3%ADsica%2C%20Exerc%C3%ADcio%20e%20Sa%C3%BAde%20mestrado</t>
  </si>
  <si>
    <t>Avaliação e Remediação de Solos</t>
  </si>
  <si>
    <t>https://www.google.com/search?q=site%3Aup.pt%20Avalia%C3%A7%C3%A3o%20e%20Remedia%C3%A7%C3%A3o%20de%20Solos%20mestrado</t>
  </si>
  <si>
    <t>Banca, Instrumentos e Mercados Financeiros - Executivo</t>
  </si>
  <si>
    <t>https://www.google.com/search?q=site%3Aup.pt%20Banca%2C%20Instrumentos%20e%20Mercados%20Financeiros%20-%20Executivo%20mestrado</t>
  </si>
  <si>
    <t>Biodiversidade, Genética e Conservação</t>
  </si>
  <si>
    <t>https://www.google.com/search?q=site%3Aup.pt%20Biodiversidade%2C%20Gen%C3%A9tica%20e%20Conserva%C3%A7%C3%A3o%20mestrado</t>
  </si>
  <si>
    <t>Biodiversidade, Genética e Evolução</t>
  </si>
  <si>
    <t>https://www.google.com/search?q=site%3Aup.pt%20Biodiversidade%2C%20Gen%C3%A9tica%20e%20Evolu%C3%A7%C3%A3o%20mestrado</t>
  </si>
  <si>
    <t>https://www.google.com/search?q=site%3Aup.pt%20Bioengenharia%20mestrado</t>
  </si>
  <si>
    <t>https://www.google.com/search?q=site%3Aup.pt%20Bioinform%C3%A1tica%20e%20Biologia%20Computacional%20mestrado</t>
  </si>
  <si>
    <t>https://www.google.com/search?q=site%3Aup.pt%20Biologia%20Celular%20e%20Molecular%20mestrado</t>
  </si>
  <si>
    <t>Biologia Funcional e Biotecnologia de Plantas</t>
  </si>
  <si>
    <t>https://www.google.com/search?q=site%3Aup.pt%20Biologia%20Funcional%20e%20Biotecnologia%20de%20Plantas%20mestrado</t>
  </si>
  <si>
    <t>Biologia e Gestão da Qualidade da Água</t>
  </si>
  <si>
    <t>https://www.google.com/search?q=site%3Aup.pt%20Biologia%20e%20Gest%C3%A3o%20da%20Qualidade%20da%20%C3%81gua%20mestrado</t>
  </si>
  <si>
    <t>https://www.google.com/search?q=site%3Aup.pt%20Bioqu%C3%ADmica%20mestrado</t>
  </si>
  <si>
    <t>https://www.google.com/search?q=site%3Aup.pt%20Bio%C3%A9tica%20mestrado</t>
  </si>
  <si>
    <t>Cirurgia Oral</t>
  </si>
  <si>
    <t>https://www.google.com/search?q=site%3Aup.pt%20Cirurgia%20Oral%20mestrado</t>
  </si>
  <si>
    <t>Cirurgia Ortognática e Ortodontia</t>
  </si>
  <si>
    <t>https://www.google.com/search?q=site%3Aup.pt%20Cirurgia%20Ortogn%C3%A1tica%20e%20Ortodontia%20mestrado</t>
  </si>
  <si>
    <t>https://www.google.com/search?q=site%3Aup.pt%20Ci%C3%AAncia%20da%20Informa%C3%A7%C3%A3o%20mestrado</t>
  </si>
  <si>
    <t>https://www.google.com/search?q=site%3Aup.pt%20Ci%C3%AAncia%20de%20Computadores%20mestrado</t>
  </si>
  <si>
    <t>Ciência de Dados (Data Science)</t>
  </si>
  <si>
    <t>https://www.google.com/search?q=site%3Aup.pt%20Ci%C3%AAncia%20de%20Dados%20%28Data%20Science%29%20mestrado</t>
  </si>
  <si>
    <t>Ciência dos Alimentos e Nutrição</t>
  </si>
  <si>
    <t>https://www.google.com/search?q=site%3Aup.pt%20Ci%C3%AAncia%20dos%20Alimentos%20e%20Nutri%C3%A7%C3%A3o%20mestrado</t>
  </si>
  <si>
    <t>Ciência e Tecnologia de Nanomateriais</t>
  </si>
  <si>
    <t>https://www.google.com/search?q=site%3Aup.pt%20Ci%C3%AAncia%20e%20Tecnologia%20de%20Nanomateriais%20mestrado</t>
  </si>
  <si>
    <t>Ciências Cardiovasculares e Respiratórias</t>
  </si>
  <si>
    <t>https://www.google.com/search?q=site%3Aup.pt%20Ci%C3%AAncias%20Cardiovasculares%20e%20Respirat%C3%B3rias%20mestrado</t>
  </si>
  <si>
    <t>https://www.google.com/search?q=site%3Aup.pt%20Ci%C3%AAncias%20Forenses%20mestrado</t>
  </si>
  <si>
    <t>https://www.google.com/search?q=site%3Aup.pt%20Ci%C3%AAncias%20Gastron%C3%B3micas%20mestrado</t>
  </si>
  <si>
    <t>https://www.google.com/search?q=site%3Aup.pt%20Ci%C3%AAncias%20da%20Comunica%C3%A7%C3%A3o%20mestrado</t>
  </si>
  <si>
    <t>https://www.google.com/search?q=site%3Aup.pt%20Ci%C3%AAncias%20da%20Educa%C3%A7%C3%A3o%20mestrado</t>
  </si>
  <si>
    <t>Ciências do Consumo e Nutrição</t>
  </si>
  <si>
    <t>https://www.google.com/search?q=site%3Aup.pt%20Ci%C3%AAncias%20do%20Consumo%20e%20Nutri%C3%A7%C3%A3o%20mestrado</t>
  </si>
  <si>
    <t>Ciências do Mar - Recursos Marinhos</t>
  </si>
  <si>
    <t>https://www.google.com/search?q=site%3Aup.pt%20Ci%C3%AAncias%20do%20Mar%20-%20Recursos%20Marinhos%20mestrado</t>
  </si>
  <si>
    <t>https://www.google.com/search?q=site%3Aup.pt%20Ci%C3%AAncias%20e%20Tecnologia%20do%20Ambiente%20mestrado</t>
  </si>
  <si>
    <t>Comportamento Animal aplicado ao Bem-estar Global</t>
  </si>
  <si>
    <t>https://www.google.com/search?q=site%3Aup.pt%20Comportamento%20Animal%20aplicado%20ao%20Bem-estar%20Global%20mestrado</t>
  </si>
  <si>
    <t>Comunicação Clínica</t>
  </si>
  <si>
    <t>https://www.google.com/search?q=site%3Aup.pt%20Comunica%C3%A7%C3%A3o%20Cl%C3%ADnica%20mestrado</t>
  </si>
  <si>
    <t>Comunicação e Gestão de Indústrias Criativas</t>
  </si>
  <si>
    <t>https://www.google.com/search?q=site%3Aup.pt%20Comunica%C3%A7%C3%A3o%20e%20Gest%C3%A3o%20de%20Ind%C3%BAstrias%20Criativas%20mestrado</t>
  </si>
  <si>
    <t>https://www.google.com/search?q=site%3Aup.pt%20Contabilidade%20e%20Controlo%20de%20Gest%C3%A3o%20mestrado</t>
  </si>
  <si>
    <t>Controlo da Qualidade</t>
  </si>
  <si>
    <t>https://www.google.com/search?q=site%3Aup.pt%20Controlo%20da%20Qualidade%20mestrado</t>
  </si>
  <si>
    <t>https://www.google.com/search?q=site%3Aup.pt%20Criminologia%20mestrado</t>
  </si>
  <si>
    <t>https://www.google.com/search?q=site%3Aup.pt%20Cuidados%20Paliativos%20mestrado</t>
  </si>
  <si>
    <t>Cuidados de Saúde Primários</t>
  </si>
  <si>
    <t>https://www.google.com/search?q=site%3Aup.pt%20Cuidados%20de%20Sa%C3%BAde%20Prim%C3%A1rios%20mestrado</t>
  </si>
  <si>
    <t>https://www.google.com/search?q=site%3Aup.pt%20Desafios%20das%20Cidades%20mestrado</t>
  </si>
  <si>
    <t>Descomissionamento Nuclear e Remediação Ambiental</t>
  </si>
  <si>
    <t>https://www.google.com/search?q=site%3Aup.pt%20Descomissionamento%20Nuclear%20e%20Remedia%C3%A7%C3%A3o%20Ambiental%20mestrado</t>
  </si>
  <si>
    <t>Desenvolvimento Sustentável do Trabalho e das Pessoas</t>
  </si>
  <si>
    <t>https://www.google.com/search?q=site%3Aup.pt%20Desenvolvimento%20Sustent%C3%A1vel%20do%20Trabalho%20e%20das%20Pessoas%20mestrado</t>
  </si>
  <si>
    <t>Design Gráfico e Projetos Editoriais</t>
  </si>
  <si>
    <t>https://www.google.com/search?q=site%3Aup.pt%20Design%20Gr%C3%A1fico%20e%20Projetos%20Editoriais%20mestrado</t>
  </si>
  <si>
    <t>Design Industrial e de Produto</t>
  </si>
  <si>
    <t>https://www.google.com/search?q=site%3Aup.pt%20Design%20Industrial%20e%20de%20Produto%20mestrado</t>
  </si>
  <si>
    <t>Design da Imagem</t>
  </si>
  <si>
    <t>https://www.google.com/search?q=site%3Aup.pt%20Design%20da%20Imagem%20mestrado</t>
  </si>
  <si>
    <t>Design de Interação e Meios Computacionais</t>
  </si>
  <si>
    <t>https://www.google.com/search?q=site%3Aup.pt%20Design%20de%20Intera%C3%A7%C3%A3o%20e%20Meios%20Computacionais%20mestrado</t>
  </si>
  <si>
    <t>Deteção Remota</t>
  </si>
  <si>
    <t>https://www.google.com/search?q=site%3Aup.pt%20Dete%C3%A7%C3%A3o%20Remota%20mestrado</t>
  </si>
  <si>
    <t>https://www.google.com/search?q=site%3Aup.pt%20Direito%20mestrado</t>
  </si>
  <si>
    <t>Ecologia, Ambiente e Sustentabilidade</t>
  </si>
  <si>
    <t>https://www.google.com/search?q=site%3Aup.pt%20Ecologia%2C%20Ambiente%20e%20Sustentabilidade%20mestrado</t>
  </si>
  <si>
    <t>https://www.google.com/search?q=site%3Aup.pt%20Economia%20mestrado</t>
  </si>
  <si>
    <t>Economia da Empresa e da Estratégia</t>
  </si>
  <si>
    <t>https://www.google.com/search?q=site%3Aup.pt%20Economia%20da%20Empresa%20e%20da%20Estrat%C3%A9gia%20mestrado</t>
  </si>
  <si>
    <t>Economia e Administração de Empresas</t>
  </si>
  <si>
    <t>https://www.google.com/search?q=site%3Aup.pt%20Economia%20e%20Administra%C3%A7%C3%A3o%20de%20Empresas%20mestrado</t>
  </si>
  <si>
    <t>Economia e Gestão Internacional</t>
  </si>
  <si>
    <t>https://www.google.com/search?q=site%3Aup.pt%20Economia%20e%20Gest%C3%A3o%20Internacional%20mestrado</t>
  </si>
  <si>
    <t>Economia e Gestão da Inovação</t>
  </si>
  <si>
    <t>https://www.google.com/search?q=site%3Aup.pt%20Economia%20e%20Gest%C3%A3o%20da%20Inova%C3%A7%C3%A3o%20mestrado</t>
  </si>
  <si>
    <t>Economia e Gestão de Recursos Humanos</t>
  </si>
  <si>
    <t>https://www.google.com/search?q=site%3Aup.pt%20Economia%20e%20Gest%C3%A3o%20de%20Recursos%20Humanos%20mestrado</t>
  </si>
  <si>
    <t>Economia e Gestão do Ambiente</t>
  </si>
  <si>
    <t>https://www.google.com/search?q=site%3Aup.pt%20Economia%20e%20Gest%C3%A3o%20do%20Ambiente%20mestrado</t>
  </si>
  <si>
    <t>Economia e Políticas Públicas - Executivo</t>
  </si>
  <si>
    <t>https://www.google.com/search?q=site%3Aup.pt%20Economia%20e%20Pol%C3%ADticas%20P%C3%BAblicas%20-%20Executivo%20mestrado</t>
  </si>
  <si>
    <t>Educação Académica e Clínica</t>
  </si>
  <si>
    <t>https://www.google.com/search?q=site%3Aup.pt%20Educa%C3%A7%C3%A3o%20Acad%C3%A9mica%20e%20Cl%C3%ADnica%20mestrado</t>
  </si>
  <si>
    <t>Educação Alimentar</t>
  </si>
  <si>
    <t>https://www.google.com/search?q=site%3Aup.pt%20Educa%C3%A7%C3%A3o%20Alimentar%20mestrado</t>
  </si>
  <si>
    <t>Educação e Formação de Adultos</t>
  </si>
  <si>
    <t>https://www.google.com/search?q=site%3Aup.pt%20Educa%C3%A7%C3%A3o%20e%20Forma%C3%A7%C3%A3o%20de%20Adultos%20mestrado</t>
  </si>
  <si>
    <t>Serviços de Saúde Pública</t>
  </si>
  <si>
    <t>https://www.google.com/search?q=site%3Aup.pt%20Educa%C3%A7%C3%A3o%20para%20a%20Sa%C3%BAde%20mestrado</t>
  </si>
  <si>
    <t>https://www.google.com/search?q=site%3Aup.pt%20Engenharia%20Aeroespacial%20mestrado</t>
  </si>
  <si>
    <t>https://www.google.com/search?q=site%3Aup.pt%20Engenharia%20Agron%C3%B3mica%20mestrado</t>
  </si>
  <si>
    <t>https://www.google.com/search?q=site%3Aup.pt%20Engenharia%20Biom%C3%A9dica%20mestrado</t>
  </si>
  <si>
    <t>https://www.google.com/search?q=site%3Aup.pt%20Engenharia%20Civil%20mestrado</t>
  </si>
  <si>
    <t>https://www.google.com/search?q=site%3Aup.pt%20Engenharia%20Eletrot%C3%A9cnica%20e%20de%20Computadores%20mestrado</t>
  </si>
  <si>
    <t>https://www.google.com/search?q=site%3Aup.pt%20Engenharia%20F%C3%ADsica%20mestrado</t>
  </si>
  <si>
    <t>https://www.google.com/search?q=site%3Aup.pt%20Engenharia%20Geoespacial%20mestrado</t>
  </si>
  <si>
    <t>https://www.google.com/search?q=site%3Aup.pt%20Engenharia%20Inform%C3%A1tica%20e%20Computa%C3%A7%C3%A3o%20mestrado</t>
  </si>
  <si>
    <t>Engenharia Matemática</t>
  </si>
  <si>
    <t>https://www.google.com/search?q=site%3Aup.pt%20Engenharia%20Matem%C3%A1tica%20mestrado</t>
  </si>
  <si>
    <t>https://www.google.com/search?q=site%3Aup.pt%20Engenharia%20Mec%C3%A2nica%20mestrado</t>
  </si>
  <si>
    <t>https://www.google.com/search?q=site%3Aup.pt%20Engenharia%20Qu%C3%ADmica%20mestrado</t>
  </si>
  <si>
    <t>https://www.google.com/search?q=site%3Aup.pt%20Engenharia%20de%20Materiais%20mestrado</t>
  </si>
  <si>
    <t>https://www.google.com/search?q=site%3Aup.pt%20Engenharia%20de%20Minas%20e%20Geo-Ambiente%20mestrado</t>
  </si>
  <si>
    <t>Engenharia de Redes e Sistemas Informáticos</t>
  </si>
  <si>
    <t>https://www.google.com/search?q=site%3Aup.pt%20Engenharia%20de%20Redes%20e%20Sistemas%20Inform%C3%A1ticos%20mestrado</t>
  </si>
  <si>
    <t>Engenharia de Segurança e Higiene Ocupacionais</t>
  </si>
  <si>
    <t>https://www.google.com/search?q=site%3Aup.pt%20Engenharia%20de%20Seguran%C3%A7a%20e%20Higiene%20Ocupacionais%20mestrado</t>
  </si>
  <si>
    <t>Engenharia de Serviços e Gestão</t>
  </si>
  <si>
    <t>https://www.google.com/search?q=site%3Aup.pt%20Engenharia%20de%20Servi%C3%A7os%20e%20Gest%C3%A3o%20mestrado</t>
  </si>
  <si>
    <t>https://www.google.com/search?q=site%3Aup.pt%20Engenharia%20de%20Software%20mestrado</t>
  </si>
  <si>
    <t>Engenharia de Transportes</t>
  </si>
  <si>
    <t>https://www.google.com/search?q=site%3Aup.pt%20Engenharia%20de%20Transportes%20mestrado</t>
  </si>
  <si>
    <t>https://www.google.com/search?q=site%3Aup.pt%20Engenharia%20de%20Viticultura%20e%20Enologia%20mestrado</t>
  </si>
  <si>
    <t>https://www.google.com/search?q=site%3Aup.pt%20Engenharia%20do%20Ambiente%20mestrado</t>
  </si>
  <si>
    <t>https://www.google.com/search?q=site%3Aup.pt%20Engenharia%20e%20Ci%C3%AAncia%20de%20Dados%20mestrado</t>
  </si>
  <si>
    <t>https://www.google.com/search?q=site%3Aup.pt%20Engenharia%20e%20Gest%C3%A3o%20Industrial%20mestrado</t>
  </si>
  <si>
    <t>https://www.google.com/search?q=site%3Aup.pt%20Ensino%20da%20Matem%C3%A1tica%20no%203.%C2%BA%20Ciclo%20do%20Ensino%20B%C3%A1sico%20e%20no%20Ensino%20Secund%C3%A1rio%20mestrado</t>
  </si>
  <si>
    <t>https://www.google.com/search?q=site%3Aup.pt%20Ensino%20de%20Artes%20Visuais%20no%203.%C2%BA%20Ciclo%20do%20Ensino%20B%C3%A1sico%20e%20no%20Ensino%20Secund%C3%A1rio%20mestrado</t>
  </si>
  <si>
    <t>https://www.google.com/search?q=site%3Aup.pt%20Ensino%20de%20Biologia%20e%20Geologia%20no%203.%C2%BA%20Ciclo%20do%20Ensino%20B%C3%A1sico%20e%20no%20Ensino%20Secund%C3%A1rio%20mestrado</t>
  </si>
  <si>
    <t>https://www.google.com/search?q=site%3Aup.pt%20Ensino%20de%20Educa%C3%A7%C3%A3o%20F%C3%ADsica%20nos%20Ensinos%20B%C3%A1sico%20e%20Secund%C3%A1rio%20mestrado</t>
  </si>
  <si>
    <t>https://www.google.com/search?q=site%3Aup.pt%20Ensino%20de%20Filosofia%20no%20Ensino%20Secund%C3%A1rio%20mestrado</t>
  </si>
  <si>
    <t>https://www.google.com/search?q=site%3Aup.pt%20Ensino%20de%20F%C3%ADsica%20e%20de%20Qu%C3%ADmica%20no%203.%C2%BA%20Ciclo%20do%20Ensino%20B%C3%A1sico%20e%20no%20Ensino%20Secund%C3%A1rio%20mestrado</t>
  </si>
  <si>
    <t>Formação de Professores de áreas disciplinares específicas (abrange Geografia)</t>
  </si>
  <si>
    <t>https://www.google.com/search?q=site%3Aup.pt%20Ensino%20de%20Geografia%20no%203%C2%BA%20ciclo%20do%20Ensino%20B%C3%A1sico%20e%20no%20Ensino%20Secund%C3%A1rio%20mestrado</t>
  </si>
  <si>
    <t>Formação de Professores de áreas disciplinares específicas (História)</t>
  </si>
  <si>
    <t>https://www.google.com/search?q=site%3Aup.pt%20Ensino%20de%20Hist%C3%B3ria%20no%203.%C2%BA%20Ciclo%20do%20Ensino%20B%C3%A1sico%20e%20no%20Ensino%20Secund%C3%A1rio%20mestrado</t>
  </si>
  <si>
    <t>https://www.google.com/search?q=site%3Aup.pt%20Ensino%20de%20Inform%C3%A1tica%20mestrado</t>
  </si>
  <si>
    <t>Ensino de Inglês e de Língua Estrangeira no 3.º Ciclo do Ensino Básico e no Ensino Secundário, nas áreas de especialização de Alemão ou de Espanhol ou de Francês</t>
  </si>
  <si>
    <t>Formação de Professores de áreas disciplinares específicas (Línguas Estrangeiras)</t>
  </si>
  <si>
    <t>https://www.google.com/search?q=site%3Aup.pt%20Ensino%20de%20Ingl%C3%AAs%20e%20de%20L%C3%ADngua%20Estrangeira%20no%203.%C2%BA%20Ciclo%20do%20Ensino%20B%C3%A1sico%20e%20no%20Ensino%20Secund%C3%A1rio%2C%20nas%20%C3%A1reas%20de%20especializa%C3%A7%C3%A3o%20de%20Alem%C3%A3o%20ou%20de%20Espanhol%20ou%20de%20Franc%C3%AAs%20mestrado</t>
  </si>
  <si>
    <t>Formação de Professores do 1.º ciclo</t>
  </si>
  <si>
    <t>https://www.google.com/search?q=site%3Aup.pt%20Ensino%20de%20Ingl%C3%AAs%20no%201.%C2%BA%20Ciclo%20do%20Ensino%20B%C3%A1sico%20mestrado</t>
  </si>
  <si>
    <t>Formação de Professores de áreas disciplinares específicas (Inglês)</t>
  </si>
  <si>
    <t>https://www.google.com/search?q=site%3Aup.pt%20Ensino%20de%20Ingl%C3%AAs%20no%203.%C2%BA%20Ciclo%20do%20Ensino%20B%C3%A1sico%20e%20no%20Ensino%20Secund%C3%A1rio%20mestrado</t>
  </si>
  <si>
    <t>Ensino de Português e de Língua Estrangeira no 3.º Ciclo do Ensino Básico e no Ensino Secundário, nas áreas de especialização de Alemão ou de Espanhol ou de Francês ou de Inglês</t>
  </si>
  <si>
    <t>Formação de Professores de áreas disciplinares específicas (Português e Línguas Estrangeiras)</t>
  </si>
  <si>
    <t>https://www.google.com/search?q=site%3Aup.pt%20Ensino%20de%20Portugu%C3%AAs%20e%20de%20L%C3%ADngua%20Estrangeira%20no%203.%C2%BA%20Ciclo%20do%20Ensino%20B%C3%A1sico%20e%20no%20Ensino%20Secund%C3%A1rio%2C%20nas%20%C3%A1reas%20de%20especializa%C3%A7%C3%A3o%20de%20Alem%C3%A3o%20ou%20de%20Espanhol%20ou%20de%20Franc%C3%AAs%20ou%20de%20Ingl%C3%AAs%20mestrado</t>
  </si>
  <si>
    <t>Formação de Professores de áreas disciplinares específicas (Português)</t>
  </si>
  <si>
    <t>https://www.google.com/search?q=site%3Aup.pt%20Ensino%20de%20Portugu%C3%AAs%20no%203.%C2%BA%20Ciclo%20do%20Ensino%20B%C3%A1sico%20e%20no%20Ensino%20Secund%C3%A1rio%20mestrado</t>
  </si>
  <si>
    <t>Ensino e Divulgação das Ciências</t>
  </si>
  <si>
    <t>https://www.google.com/search?q=site%3Aup.pt%20Ensino%20e%20Divulga%C3%A7%C3%A3o%20das%20Ci%C3%AAncias%20mestrado</t>
  </si>
  <si>
    <t>Estatística Computacional e Análise de Dados</t>
  </si>
  <si>
    <t>https://www.google.com/search?q=site%3Aup.pt%20Estat%C3%ADstica%20Computacional%20e%20An%C3%A1lise%20de%20Dados%20mestrado</t>
  </si>
  <si>
    <t>Estruturas de Engenharia Civil</t>
  </si>
  <si>
    <t>https://www.google.com/search?q=site%3Aup.pt%20Estruturas%20de%20Engenharia%20Civil%20mestrado</t>
  </si>
  <si>
    <t>https://www.google.com/search?q=site%3Aup.pt%20Estudos%20Africanos%20mestrado</t>
  </si>
  <si>
    <t>Estudos Africanos (Mestrado Europeu Interdisciplinar)</t>
  </si>
  <si>
    <t>https://www.google.com/search?q=site%3Aup.pt%20Estudos%20Africanos%20%28Mestrado%20Europeu%20Interdisciplinar%29%20mestrado</t>
  </si>
  <si>
    <t>https://www.google.com/search?q=site%3Aup.pt%20Estudos%20Alem%C3%A3es%20mestrado</t>
  </si>
  <si>
    <t>Estudos Anglo-Americanos</t>
  </si>
  <si>
    <t>https://www.google.com/search?q=site%3Aup.pt%20Estudos%20Anglo-Americanos%20mestrado</t>
  </si>
  <si>
    <t>Estudos Literários, Culturais e Interartes</t>
  </si>
  <si>
    <t>https://www.google.com/search?q=site%3Aup.pt%20Estudos%20Liter%C3%A1rios%2C%20Culturais%20e%20Interartes%20mestrado</t>
  </si>
  <si>
    <t>Estudos Medievais</t>
  </si>
  <si>
    <t>https://www.google.com/search?q=site%3Aup.pt%20Estudos%20Medievais%20mestrado</t>
  </si>
  <si>
    <t>Estudos de Arte</t>
  </si>
  <si>
    <t>https://www.google.com/search?q=site%3Aup.pt%20Estudos%20de%20Arte%20mestrado</t>
  </si>
  <si>
    <t>Evidência e Decisão em Saúde</t>
  </si>
  <si>
    <t>https://www.google.com/search?q=site%3Aup.pt%20Evid%C3%AAncia%20e%20Decis%C3%A3o%20em%20Sa%C3%BAde%20mestrado</t>
  </si>
  <si>
    <t>https://www.google.com/search?q=site%3Aup.pt%20Filosofia%20mestrado</t>
  </si>
  <si>
    <t>https://www.google.com/search?q=site%3Aup.pt%20Filosofia%2C%20Pol%C3%ADtica%20e%20Economia%20mestrado</t>
  </si>
  <si>
    <t>https://www.google.com/search?q=site%3Aup.pt%20Finan%C3%A7as%20mestrado</t>
  </si>
  <si>
    <t>Finanças - Executivo</t>
  </si>
  <si>
    <t>https://www.google.com/search?q=site%3Aup.pt%20Finan%C3%A7as%20-%20Executivo%20mestrado</t>
  </si>
  <si>
    <t>https://www.google.com/search?q=site%3Aup.pt%20Finan%C3%A7as%20e%20Fiscalidade%20mestrado</t>
  </si>
  <si>
    <t>https://www.google.com/search?q=site%3Aup.pt%20F%C3%ADsica%20mestrado</t>
  </si>
  <si>
    <t>https://www.google.com/search?q=site%3Aup.pt%20F%C3%ADsica%20M%C3%A9dica%20mestrado</t>
  </si>
  <si>
    <t>Genética Forense</t>
  </si>
  <si>
    <t>https://www.google.com/search?q=site%3Aup.pt%20Gen%C3%A9tica%20Forense%20mestrado</t>
  </si>
  <si>
    <t>https://www.google.com/search?q=site%3Aup.pt%20Geologia%20mestrado</t>
  </si>
  <si>
    <t>Geomateriais e Recursos Geológicos</t>
  </si>
  <si>
    <t>https://www.google.com/search?q=site%3Aup.pt%20Geomateriais%20e%20Recursos%20Geol%C3%B3gicos%20mestrado</t>
  </si>
  <si>
    <t>https://www.google.com/search?q=site%3Aup.pt%20Gest%C3%A3o%20mestrado</t>
  </si>
  <si>
    <t>https://www.google.com/search?q=site%3Aup.pt%20Gest%C3%A3o%20Comercial%20mestrado</t>
  </si>
  <si>
    <t>https://www.google.com/search?q=site%3Aup.pt%20Gest%C3%A3o%20Desportiva%20mestrado</t>
  </si>
  <si>
    <t>https://www.google.com/search?q=site%3Aup.pt%20Gest%C3%A3o%20da%20Mobilidade%20Urbana%20mestrado</t>
  </si>
  <si>
    <t>Gestão de Operações de Retalho</t>
  </si>
  <si>
    <t>https://www.google.com/search?q=site%3Aup.pt%20Gest%C3%A3o%20de%20Opera%C3%A7%C3%B5es%20de%20Retalho%20mestrado</t>
  </si>
  <si>
    <t>Gestão de Serviços</t>
  </si>
  <si>
    <t>https://www.google.com/search?q=site%3Aup.pt%20Gest%C3%A3o%20de%20Servi%C3%A7os%20mestrado</t>
  </si>
  <si>
    <t>https://www.google.com/search?q=site%3Aup.pt%20Gest%C3%A3o%20de%20Sistemas%20de%20Informa%C3%A7%C3%A3o%20M%C3%A9dica%20mestrado</t>
  </si>
  <si>
    <t>Gestão e Economia de Serviços de Saúde</t>
  </si>
  <si>
    <t>https://www.google.com/search?q=site%3Aup.pt%20Gest%C3%A3o%20e%20Economia%20de%20Servi%C3%A7os%20de%20Sa%C3%BAde%20mestrado</t>
  </si>
  <si>
    <t>História Contemporânea</t>
  </si>
  <si>
    <t>https://www.google.com/search?q=site%3Aup.pt%20Hist%C3%B3ria%20Contempor%C3%A2nea%20mestrado</t>
  </si>
  <si>
    <t>História da Arte, Património e Cultura Visual</t>
  </si>
  <si>
    <t>https://www.google.com/search?q=site%3Aup.pt%20Hist%C3%B3ria%20da%20Arte%2C%20Patrim%C3%B3nio%20e%20Cultura%20Visual%20mestrado</t>
  </si>
  <si>
    <t>História e Património</t>
  </si>
  <si>
    <t>https://www.google.com/search?q=site%3Aup.pt%20Hist%C3%B3ria%20e%20Patrim%C3%B3nio%20mestrado</t>
  </si>
  <si>
    <t>História, Relações Internacionais e Cooperação</t>
  </si>
  <si>
    <t>https://www.google.com/search?q=site%3Aup.pt%20Hist%C3%B3ria%2C%20Rela%C3%A7%C3%B5es%20Internacionais%20e%20Coopera%C3%A7%C3%A3o%20mestrado</t>
  </si>
  <si>
    <t>Ilustração, Edição e Impressão</t>
  </si>
  <si>
    <t>https://www.google.com/search?q=site%3Aup.pt%20Ilustra%C3%A7%C3%A3o%2C%20Edi%C3%A7%C3%A3o%20e%20Impress%C3%A3o%20mestrado</t>
  </si>
  <si>
    <t>Imunologia Integrativa e de Sistemas</t>
  </si>
  <si>
    <t>https://www.google.com/search?q=site%3Aup.pt%20Imunologia%20Integrativa%20e%20de%20Sistemas%20mestrado</t>
  </si>
  <si>
    <t>Informática da Saúde</t>
  </si>
  <si>
    <t>https://www.google.com/search?q=site%3Aup.pt%20Inform%C3%A1tica%20da%20Sa%C3%BAde%20mestrado</t>
  </si>
  <si>
    <t>Inovação Digital para Práticas de Projeto</t>
  </si>
  <si>
    <t>https://www.google.com/search?q=site%3Aup.pt%20Inova%C3%A7%C3%A3o%20Digital%20para%20Pr%C3%A1ticas%20de%20Projeto%20mestrado</t>
  </si>
  <si>
    <t>Inovação e Empreendedorismo Tecnológico</t>
  </si>
  <si>
    <t>https://www.google.com/search?q=site%3Aup.pt%20Inova%C3%A7%C3%A3o%20e%20Empreendedorismo%20Tecnol%C3%B3gico%20mestrado</t>
  </si>
  <si>
    <t>https://www.google.com/search?q=site%3Aup.pt%20Intelig%C3%AAncia%20Artificial%20mestrado</t>
  </si>
  <si>
    <t>https://www.google.com/search?q=site%3Aup.pt%20Lingu%C3%ADstica%20mestrado</t>
  </si>
  <si>
    <t>https://www.google.com/search?q=site%3Aup.pt%20Marketing%20mestrado</t>
  </si>
  <si>
    <t>https://www.google.com/search?q=site%3Aup.pt%20Matem%C3%A1tica%20mestrado</t>
  </si>
  <si>
    <t>Mecânica Computacional</t>
  </si>
  <si>
    <t>https://www.google.com/search?q=site%3Aup.pt%20Mec%C3%A2nica%20Computacional%20mestrado</t>
  </si>
  <si>
    <t>https://www.google.com/search?q=site%3Aup.pt%20Mec%C3%A2nica%20dos%20Solos%20e%20Engenharia%20Geot%C3%A9cnica%20mestrado</t>
  </si>
  <si>
    <t>Medicina Legal</t>
  </si>
  <si>
    <t>https://www.google.com/search?q=site%3Aup.pt%20Medicina%20Legal%20mestrado</t>
  </si>
  <si>
    <t>Medicina e Oncologia Moleculares</t>
  </si>
  <si>
    <t>https://www.google.com/search?q=site%3Aup.pt%20Medicina%20e%20Oncologia%20Moleculares%20mestrado</t>
  </si>
  <si>
    <t>Metabolismo - Biopatologia e Experimentação</t>
  </si>
  <si>
    <t>https://www.google.com/search?q=site%3Aup.pt%20Metabolismo%20-%20Biopatologia%20e%20Experimenta%C3%A7%C3%A3o%20mestrado</t>
  </si>
  <si>
    <t>Microbiologia em Saúde</t>
  </si>
  <si>
    <t>https://www.google.com/search?q=site%3Aup.pt%20Microbiologia%20em%20Sa%C3%BAde%20mestrado</t>
  </si>
  <si>
    <t>Modelação, Análise de Dados e Sistemas de Apoio à Decisão</t>
  </si>
  <si>
    <t>https://www.google.com/search?q=site%3Aup.pt%20Modela%C3%A7%C3%A3o%2C%20An%C3%A1lise%20de%20Dados%20e%20Sistemas%20de%20Apoio%20%C3%A0%20Decis%C3%A3o%20mestrado</t>
  </si>
  <si>
    <t>https://www.google.com/search?q=site%3Aup.pt%20Multim%C3%A9dia%20mestrado</t>
  </si>
  <si>
    <t>https://www.google.com/search?q=site%3Aup.pt%20Museologia%20mestrado</t>
  </si>
  <si>
    <t>Métodos Analíticos para a Gestão - Executivo</t>
  </si>
  <si>
    <t>https://www.google.com/search?q=site%3Aup.pt%20M%C3%A9todos%20Anal%C3%ADticos%20para%20a%20Gest%C3%A3o%20-%20Executivo%20mestrado</t>
  </si>
  <si>
    <t>Métodos Avançados e Acreditação em Análise Química</t>
  </si>
  <si>
    <t>https://www.google.com/search?q=site%3Aup.pt%20M%C3%A9todos%20Avan%C3%A7ados%20e%20Acredita%C3%A7%C3%A3o%20em%20An%C3%A1lise%20Qu%C3%ADmica%20mestrado</t>
  </si>
  <si>
    <t>Neurobiologia</t>
  </si>
  <si>
    <t>https://www.google.com/search?q=site%3Aup.pt%20Neurobiologia%20mestrado</t>
  </si>
  <si>
    <t>Neurociência Cognitiva, Afetiva e Social</t>
  </si>
  <si>
    <t>https://www.google.com/search?q=site%3Aup.pt%20Neuroci%C3%AAncia%20Cognitiva%2C%20Afetiva%20e%20Social%20mestrado</t>
  </si>
  <si>
    <t>https://www.google.com/search?q=site%3Aup.pt%20Nutri%C3%A7%C3%A3o%20Cl%C3%ADnica%20mestrado</t>
  </si>
  <si>
    <t>Nutrição Comunitária e Saúde Pública</t>
  </si>
  <si>
    <t>https://www.google.com/search?q=site%3Aup.pt%20Nutri%C3%A7%C3%A3o%20Comunit%C3%A1ria%20e%20Sa%C3%BAde%20P%C3%BAblica%20mestrado</t>
  </si>
  <si>
    <t>Nutrição Pediátrica</t>
  </si>
  <si>
    <t>https://www.google.com/search?q=site%3Aup.pt%20Nutri%C3%A7%C3%A3o%20Pedi%C3%A1trica%20mestrado</t>
  </si>
  <si>
    <t>Oncologia</t>
  </si>
  <si>
    <t>https://www.google.com/search?q=site%3Aup.pt%20Oncologia%20mestrado</t>
  </si>
  <si>
    <t>Planeamento e Projeto Urbano</t>
  </si>
  <si>
    <t>https://www.google.com/search?q=site%3Aup.pt%20Planeamento%20e%20Projeto%20Urbano%20mestrado</t>
  </si>
  <si>
    <t>Português Língua Segunda / Língua Estrangeira</t>
  </si>
  <si>
    <t>https://www.google.com/search?q=site%3Aup.pt%20Portugu%C3%AAs%20L%C3%ADngua%20Segunda%20/%20L%C3%ADngua%20Estrangeira%20mestrado</t>
  </si>
  <si>
    <t>Produtos de saúde de origem natural</t>
  </si>
  <si>
    <t>https://www.google.com/search?q=site%3Aup.pt%20Produtos%20de%20sa%C3%BAde%20de%20origem%20natural%20mestrado</t>
  </si>
  <si>
    <t>Projeto Integrado na Construção de Edifícios</t>
  </si>
  <si>
    <t>https://www.google.com/search?q=site%3Aup.pt%20Projeto%20Integrado%20na%20Constru%C3%A7%C3%A3o%20de%20Edif%C3%ADcios%20mestrado</t>
  </si>
  <si>
    <t>Projeto, Construção e Gestão Sustentáveis do Ambiente Construído</t>
  </si>
  <si>
    <t>https://www.google.com/search?q=site%3Aup.pt%20Projeto%2C%20Constru%C3%A7%C3%A3o%20e%20Gest%C3%A3o%20Sustent%C3%A1veis%20do%20Ambiente%20Constru%C3%ADdo%20mestrado</t>
  </si>
  <si>
    <t>https://www.google.com/search?q=site%3Aup.pt%20Psicologia%20mestrado</t>
  </si>
  <si>
    <t>https://www.google.com/search?q=site%3Aup.pt%20Psicologia%20do%20Desporto%20e%20Desenvolvimento%20Humano%20mestrado</t>
  </si>
  <si>
    <t>Psiquiatria e Psicoterapia Psicodinâmica</t>
  </si>
  <si>
    <t>https://www.google.com/search?q=site%3Aup.pt%20Psiquiatria%20e%20Psicoterapia%20Psicodin%C3%A2mica%20mestrado</t>
  </si>
  <si>
    <t>Psiquiatria e Saúde Mental</t>
  </si>
  <si>
    <t>https://www.google.com/search?q=site%3Aup.pt%20Psiquiatria%20e%20Sa%C3%BAde%20Mental%20mestrado</t>
  </si>
  <si>
    <t>https://www.google.com/search?q=site%3Aup.pt%20Qu%C3%ADmica%20mestrado</t>
  </si>
  <si>
    <t>Química Farmacêutica</t>
  </si>
  <si>
    <t>https://www.google.com/search?q=site%3Aup.pt%20Qu%C3%ADmica%20Farmac%C3%AAutica%20mestrado</t>
  </si>
  <si>
    <t>https://www.google.com/search?q=site%3Aup.pt%20Reabilita%C3%A7%C3%A3o%20Oral%20mestrado</t>
  </si>
  <si>
    <t>Recursos Biológicos Aquáticos</t>
  </si>
  <si>
    <t>https://www.google.com/search?q=site%3Aup.pt%20Recursos%20Biol%C3%B3gicos%20Aqu%C3%A1ticos%20mestrado</t>
  </si>
  <si>
    <t>Riscos, Cidades e Ordenamento do Território</t>
  </si>
  <si>
    <t>https://www.google.com/search?q=site%3Aup.pt%20Riscos%2C%20Cidades%20e%20Ordenamento%20do%20Territ%C3%B3rio%20mestrado</t>
  </si>
  <si>
    <t>Saúde Ocupacional (regime de ensino a distância)</t>
  </si>
  <si>
    <t>https://www.google.com/search?q=site%3Aup.pt%20Sa%C3%BAde%20Ocupacional%20%28regime%20de%20ensino%20a%20dist%C3%A2ncia%29%20mestrado</t>
  </si>
  <si>
    <t>https://www.google.com/search?q=site%3Aup.pt%20Sa%C3%BAde%20P%C3%BAblica%20mestrado</t>
  </si>
  <si>
    <t>Saúde, Comunicação e Sociedade</t>
  </si>
  <si>
    <t>https://www.google.com/search?q=site%3Aup.pt%20Sa%C3%BAde%2C%20Comunica%C3%A7%C3%A3o%20e%20Sociedade%20mestrado</t>
  </si>
  <si>
    <t>https://www.google.com/search?q=site%3Aup.pt%20Seguran%C3%A7a%20Inform%C3%A1tica%20mestrado</t>
  </si>
  <si>
    <t>Sexologia</t>
  </si>
  <si>
    <t>https://www.google.com/search?q=site%3Aup.pt%20Sexologia%20mestrado</t>
  </si>
  <si>
    <t>Sistemas de Informação Geográfica e Ordenamento do Território</t>
  </si>
  <si>
    <t>https://www.google.com/search?q=site%3Aup.pt%20Sistemas%20de%20Informa%C3%A7%C3%A3o%20Geogr%C3%A1fica%20e%20Ordenamento%20do%20Territ%C3%B3rio%20mestrado</t>
  </si>
  <si>
    <t>https://www.google.com/search?q=site%3Aup.pt%20Sociologia%20mestrado</t>
  </si>
  <si>
    <t>Tecnologia Farmacêutica</t>
  </si>
  <si>
    <t>https://www.google.com/search?q=site%3Aup.pt%20Tecnologia%20Farmac%C3%AAutica%20mestrado</t>
  </si>
  <si>
    <t>Tecnologia e Ciência Alimentar</t>
  </si>
  <si>
    <t>https://www.google.com/search?q=site%3Aup.pt%20Tecnologia%20e%20Ci%C3%AAncia%20Alimentar%20mestrado</t>
  </si>
  <si>
    <t>https://www.google.com/search?q=site%3Aup.pt%20Tecnologias%20Digitais%20Aplicadas%20%C3%A0s%20Ci%C3%AAncias%20Agr%C3%A1rias%20e%20Veterin%C3%A1rias%20mestrado</t>
  </si>
  <si>
    <t>Temas de Psicologia</t>
  </si>
  <si>
    <t>https://www.google.com/search?q=site%3Aup.pt%20Temas%20de%20Psicologia%20mestrado</t>
  </si>
  <si>
    <t>Toxicologia Analítica Clínica e Forense</t>
  </si>
  <si>
    <t>https://www.google.com/search?q=site%3Aup.pt%20Toxicologia%20Anal%C3%ADtica%20Cl%C3%ADnica%20e%20Forense%20mestrado</t>
  </si>
  <si>
    <t>Toxicologia e Contaminação Ambientais</t>
  </si>
  <si>
    <t>https://www.google.com/search?q=site%3Aup.pt%20Toxicologia%20e%20Contamina%C3%A7%C3%A3o%20Ambientais%20mestrado</t>
  </si>
  <si>
    <t>Tradução e Serviços Linguísticos</t>
  </si>
  <si>
    <t>https://www.google.com/search?q=site%3Aup.pt%20Tradu%C3%A7%C3%A3o%20e%20Servi%C3%A7os%20Lingu%C3%ADsticos%20mestrado</t>
  </si>
  <si>
    <t>Transições e Inovações no Enoturismo (Erasmus Mundus)</t>
  </si>
  <si>
    <t>https://www.google.com/search?q=site%3Aup.pt%20Transi%C3%A7%C3%B5es%20e%20Inova%C3%A7%C3%B5es%20no%20Enoturismo%20%28Erasmus%20Mundus%29%20mestrado</t>
  </si>
  <si>
    <t>https://www.google.com/search?q=site%3Aup.pt%20Treino%20Desportivo%20mestrado</t>
  </si>
  <si>
    <t>Uma Saúde – Integração entre Saúde Humana, Saúde Animal e Saúde do Ambiente</t>
  </si>
  <si>
    <t>https://www.google.com/search?q=site%3Aup.pt%20Uma%20Sa%C3%BAde%20%E2%80%93%20Integra%C3%A7%C3%A3o%20entre%20Sa%C3%BAde%20Humana%2C%20Sa%C3%BAde%20Animal%20e%20Sa%C3%BAde%20do%20Ambiente%20mestrado</t>
  </si>
  <si>
    <t>Visão por Computador</t>
  </si>
  <si>
    <t>https://www.google.com/search?q=site%3Aup.pt%20Vis%C3%A3o%20por%20Computador%20mestrado</t>
  </si>
  <si>
    <t>Ética, Inovação em Saúde e Integridade Científica</t>
  </si>
  <si>
    <t>https://www.google.com/search?q=site%3Aup.pt%20%C3%89tica%2C%20Inova%C3%A7%C3%A3o%20em%20Sa%C3%BAde%20e%20Integridade%20Cient%C3%ADfica%20mestrado</t>
  </si>
  <si>
    <t>https://www.google.com/search?q=site%3Aup.pt%20Bioengenharia%20mestrado%20integrado</t>
  </si>
  <si>
    <t>https://www.google.com/search?q=site%3Aup.pt%20Ci%C3%AAncias%20Farmac%C3%AAuticas%20mestrado%20integrado</t>
  </si>
  <si>
    <t>https://www.google.com/search?q=site%3Aup.pt%20Engenharia%20Civil%20mestrado%20integrado</t>
  </si>
  <si>
    <t>https://www.google.com/search?q=site%3Aup.pt%20Engenharia%20Eletrot%C3%A9cnica%20e%20de%20Computadores%20mestrado%20integrado</t>
  </si>
  <si>
    <t>https://www.google.com/search?q=site%3Aup.pt%20Engenharia%20F%C3%ADsica%20mestrado%20integrado</t>
  </si>
  <si>
    <t>https://www.google.com/search?q=site%3Aup.pt%20Engenharia%20Inform%C3%A1tica%20e%20Computa%C3%A7%C3%A3o%20mestrado%20integrado</t>
  </si>
  <si>
    <t>https://www.google.com/search?q=site%3Aup.pt%20Engenharia%20Mec%C3%A2nica%20mestrado%20integrado</t>
  </si>
  <si>
    <t>Engenharia Metalúrgica e de Materiais</t>
  </si>
  <si>
    <t>https://www.google.com/search?q=site%3Aup.pt%20Engenharia%20Metal%C3%BArgica%20e%20de%20Materiais%20mestrado%20integrado</t>
  </si>
  <si>
    <t>https://www.google.com/search?q=site%3Aup.pt%20Engenharia%20Qu%C3%ADmica%20mestrado%20integrado</t>
  </si>
  <si>
    <t>https://www.google.com/search?q=site%3Aup.pt%20Engenharia%20de%20Redes%20e%20Sistemas%20Inform%C3%A1ticos%20mestrado%20integrado</t>
  </si>
  <si>
    <t>https://www.google.com/search?q=site%3Aup.pt%20Engenharia%20do%20Ambiente%20mestrado%20integrado</t>
  </si>
  <si>
    <t>https://www.google.com/search?q=site%3Aup.pt%20Engenharia%20e%20Gest%C3%A3o%20Industrial%20mestrado%20integrado</t>
  </si>
  <si>
    <t>https://www.google.com/search?q=site%3Aup.pt%20Medicina%20mestrado%20integrado</t>
  </si>
  <si>
    <t>https://www.google.com/search?q=site%3Aup.pt%20Medicina%20Dent%C3%A1ria%20mestrado%20integrado</t>
  </si>
  <si>
    <t>Veterinária</t>
  </si>
  <si>
    <t>https://www.google.com/search?q=site%3Aup.pt%20Medicina%20Veterin%C3%A1ria%20mestrado%20integrado</t>
  </si>
  <si>
    <t>https://www.google.com/search?q=site%3Aup.pt%20Psicologia%20mestrado%20integrado</t>
  </si>
  <si>
    <t>Universidade dos Açores</t>
  </si>
  <si>
    <t>Ponta Delgada (ilha de São Miguel)</t>
  </si>
  <si>
    <t>Agroindústrias</t>
  </si>
  <si>
    <t>Escola Superior de Tecnologias e Administração (ESTA‑UAc), Campus de Ponta Delgada, Rua da Mãe de Deus, 9500‑321 Ponta Delgada</t>
  </si>
  <si>
    <t>https://www.google.com/search?q=site%3Auac.pt%20Agroind%C3%BAstrias%20CTeSP</t>
  </si>
  <si>
    <t>Angra do Heroísmo (ilha Terceira)</t>
  </si>
  <si>
    <t>Escola Superior de Tecnologias e Administração (ESTA‑UAc), Campus de Angra do Heroísmo, Rua Capitão João d’Ávila – Pico da Urze, 9700‑042 Angra do Heroísmo</t>
  </si>
  <si>
    <t>https://www.google.com/search?q=site%3Auac.pt%20Agropecu%C3%A1ria%20CTeSP</t>
  </si>
  <si>
    <t>Assessoria e Gestão Administrativa</t>
  </si>
  <si>
    <t>ESTA‑UAc, Campus de Angra do Heroísmo, Rua Capitão João d’Ávila – Pico da Urze, 9700‑042 Angra do Heroísmo</t>
  </si>
  <si>
    <t>https://www.google.com/search?q=site%3Auac.pt%20Assessoria%20e%20Gest%C3%A3o%20Administrativa%20CTeSP</t>
  </si>
  <si>
    <t>Desenvolvimento de Aplicações Web</t>
  </si>
  <si>
    <t>ESTA‑UAc, Campus de Ponta Delgada, Rua da Mãe de Deus, 9500‑321 Ponta Delgada</t>
  </si>
  <si>
    <t>https://www.google.com/search?q=site%3Auac.pt%20Desenvolvimento%20de%20Aplica%C3%A7%C3%B5es%20Web%20CTeSP</t>
  </si>
  <si>
    <t>https://www.google.com/search?q=site%3Auac.pt%20Hortofruticultura%20CTeSP</t>
  </si>
  <si>
    <t>Recursos e Atividades Marítimas</t>
  </si>
  <si>
    <t>ESTA‑UAc, Campus de Ponta Delgada (com forte ligação ao campus da Horta e à licenciatura em Ocean Sciences)</t>
  </si>
  <si>
    <t>https://www.google.com/search?q=site%3Auac.pt%20Recursos%20e%20Atividades%20Mar%C3%ADtimas%20CTeSP</t>
  </si>
  <si>
    <t>Faculdade de Ciências e Tecnologia (FCT‑UAc), Campus de Ponta Delgada, Rua da Mãe de Deus, 9500‑321 Ponta Delgada</t>
  </si>
  <si>
    <t>https://www.google.com/search?q=site%3Auac.pt%20Biologia%20licenciatura</t>
  </si>
  <si>
    <t>Faculdade de Ciências Agrárias e do Ambiente (FCAA‑UAc), Campus de Angra do Heroísmo, Terceira, Açores</t>
  </si>
  <si>
    <t>https://www.google.com/search?q=site%3Auac.pt%20Biotecnologia%20licenciatura</t>
  </si>
  <si>
    <t>Ciências Agrárias</t>
  </si>
  <si>
    <t>FCAA‑UAc, Campus de Angra do Heroísmo, Terceira</t>
  </si>
  <si>
    <t>https://www.google.com/search?q=site%3Auac.pt%20Ci%C3%AAncias%20Agr%C3%A1rias%20licenciatura</t>
  </si>
  <si>
    <t>Ponta Delgada (1.º ano) e Horta (2.º e 3.º anos, ilha do Faial)</t>
  </si>
  <si>
    <t>Ciências do Oceano (Ocean Sciences)</t>
  </si>
  <si>
    <t>FCT‑UAc, 1.º ano no Campus de Ponta Delgada; 2.º e 3.º anos no Campus da Horta</t>
  </si>
  <si>
    <t>https://www.google.com/search?q=site%3Auac.pt%20Ci%C3%AAncias%20do%20Oceano%20%28Ocean%20Sciences%29%20licenciatura</t>
  </si>
  <si>
    <t>Faculdade de Ciências Sociais e Humanas (FCSH‑UAc), Rua da Mãe de Deus, 9500‑321 Ponta Delgada, Açores</t>
  </si>
  <si>
    <t>https://www.google.com/search?q=site%3Auac.pt%20Comunica%C3%A7%C3%A3o%20e%20Rela%C3%A7%C3%B5es%20P%C3%BAblicas%20licenciatura</t>
  </si>
  <si>
    <t>Faculdade de Economia e Gestão (FEG‑UAc), Rua da Mãe de Deus, 9501‑801 Ponta Delgada, Açores</t>
  </si>
  <si>
    <t>https://www.google.com/search?q=site%3Auac.pt%20Economia%20licenciatura</t>
  </si>
  <si>
    <t>FCSH‑UAc, Rua da Mãe de Deus, 9500‑321 Ponta Delgada</t>
  </si>
  <si>
    <t>https://www.google.com/search?q=site%3Auac.pt%20Educa%C3%A7%C3%A3o%20B%C3%A1sica%20licenciatura</t>
  </si>
  <si>
    <t>Escola Superior de Saúde da Universidade dos Açores (ESS‑UAc), Rua Capitão João D’Ávila – Pico da Urze, 9700‑042 Angra do Heroísmo</t>
  </si>
  <si>
    <t>https://www.google.com/search?q=site%3Auac.pt%20Enfermagem%20licenciatura</t>
  </si>
  <si>
    <t>https://www.google.com/search?q=site%3Auac.pt%20Estudos%20Europeus%20licenciatura</t>
  </si>
  <si>
    <t>Estudos Portugueses e Ingleses</t>
  </si>
  <si>
    <t>https://www.google.com/search?q=site%3Auac.pt%20Estudos%20Portugueses%20e%20Ingleses%20licenciatura</t>
  </si>
  <si>
    <t>FEG‑UAc, Rua da Mãe de Deus, 9501‑801 Ponta Delgada</t>
  </si>
  <si>
    <t>https://www.google.com/search?q=site%3Auac.pt%20Gest%C3%A3o%20licenciatura</t>
  </si>
  <si>
    <t>Guias de Natureza e Património</t>
  </si>
  <si>
    <t>https://www.google.com/search?q=site%3Auac.pt%20Guias%20de%20Natureza%20e%20Patrim%C3%B3nio%20licenciatura</t>
  </si>
  <si>
    <t>https://www.google.com/search?q=site%3Auac.pt%20Hist%C3%B3ria%20licenciatura</t>
  </si>
  <si>
    <t>FCT‑UAc, Campus de Ponta Delgada, Rua da Mãe de Deus</t>
  </si>
  <si>
    <t>https://www.google.com/search?q=site%3Auac.pt%20Inform%C3%A1tica%20licenciatura</t>
  </si>
  <si>
    <t>Proteção Civil e Gestão de Riscos</t>
  </si>
  <si>
    <t>https://www.google.com/search?q=site%3Auac.pt%20Prote%C3%A7%C3%A3o%20Civil%20e%20Gest%C3%A3o%20de%20Riscos%20licenciatura</t>
  </si>
  <si>
    <t>https://www.google.com/search?q=site%3Auac.pt%20Psicologia%20licenciatura</t>
  </si>
  <si>
    <t>Saúde e Bem‑Estar Marinho</t>
  </si>
  <si>
    <t>Campus da EUVG, Coimbra (com forte componente prática em contextos marinhos e de aquacultura)</t>
  </si>
  <si>
    <t>https://www.google.com/search?q=site%3Auac.pt%20Sa%C3%BAde%20e%20Bem%E2%80%91Estar%20Marinho%20licenciatura</t>
  </si>
  <si>
    <t>https://www.google.com/search?q=site%3Auac.pt%20Servi%C3%A7o%20Social%20licenciatura</t>
  </si>
  <si>
    <t>Sociologia e Outros Estudos Sociais</t>
  </si>
  <si>
    <t>https://www.google.com/search?q=site%3Auac.pt%20Sociologia%20licenciatura</t>
  </si>
  <si>
    <t>FCAA‑UAc, Campus de Angra do Heroísmo, Terceira (em parceria nacional na área de espaços verdes)</t>
  </si>
  <si>
    <t>https://www.google.com/search?q=site%3Auac.pt%20Tecnologia%20dos%20Espa%C3%A7os%20Verdes%20licenciatura</t>
  </si>
  <si>
    <t>https://www.google.com/search?q=site%3Auac.pt%20Turismo%20licenciatura</t>
  </si>
  <si>
    <t>Agricultura Biológica e Desenvolvimento Rural</t>
  </si>
  <si>
    <t>Faculdade de Ciências Agrárias e do Ambiente (FCAA‑UAc), Campus de Angra do Heroísmo, Terceira; curso em associação internacional</t>
  </si>
  <si>
    <t>https://www.google.com/search?q=site%3Auac.pt%20Agricultura%20Biol%C3%B3gica%20e%20Desenvolvimento%20Rural%20mestrado</t>
  </si>
  <si>
    <t>Ambiente, Saúde e Segurança</t>
  </si>
  <si>
    <t>https://www.google.com/search?q=site%3Auac.pt%20Ambiente%2C%20Sa%C3%BAde%20e%20Seguran%C3%A7a%20mestrado</t>
  </si>
  <si>
    <t>Ponta Delgada</t>
  </si>
  <si>
    <t>Biodiversidade e Biotecnologia</t>
  </si>
  <si>
    <t>FCT‑UAc, Campus de Ponta Delgada</t>
  </si>
  <si>
    <t>https://www.google.com/search?q=site%3Auac.pt%20Biodiversidade%20e%20Biotecnologia%20mestrado</t>
  </si>
  <si>
    <t>https://www.google.com/search?q=site%3Auac.pt%20Ci%C3%AAncias%20Biom%C3%A9dicas%20mestrado</t>
  </si>
  <si>
    <t>https://www.google.com/search?q=site%3Auac.pt%20Ci%C3%AAncias%20Empresariais%20mestrado</t>
  </si>
  <si>
    <t>Faculdade de Ciências Sociais e Humanas (FCSH‑UAc), Rua da Mãe de Deus, 9500‑321 Ponta Delgada</t>
  </si>
  <si>
    <t>https://www.google.com/search?q=site%3Auac.pt%20Comunica%C3%A7%C3%A3o%20de%20Ci%C3%AAncia%20mestrado</t>
  </si>
  <si>
    <t>FCSH‑UAc, Rua da Mãe de Deus, Ponta Delgada</t>
  </si>
  <si>
    <t>https://www.google.com/search?q=site%3Auac.pt%20Educa%C3%A7%C3%A3o%20Pr%C3%A9%E2%80%91Escolar%20e%20Ensino%20do%201.%C2%BA%20Ciclo%20do%20Ensino%20B%C3%A1sico%20mestrado</t>
  </si>
  <si>
    <t>https://www.google.com/search?q=site%3Auac.pt%20Educa%C3%A7%C3%A3o%20e%20Forma%C3%A7%C3%A3o%20mestrado</t>
  </si>
  <si>
    <t>Escola Superior de Saúde da Universidade dos Açores (ESS‑UAc), Campus de Ponta Delgada, Rua da Mãe de Deus, 9500‑321 Ponta Delgada</t>
  </si>
  <si>
    <t>https://www.google.com/search?q=site%3Auac.pt%20Enfermagem%20Comunit%C3%A1ria%20mestrado</t>
  </si>
  <si>
    <t>Funchal (Madeira) e Porto</t>
  </si>
  <si>
    <t>Mestrado ministrado em associação entre a ESESJCluny (Funchal) e a Escola Superior de Saúde de Santa Maria (Porto), com três áreas de especialização: Pessoa em Situação Crítica, Pessoa em Situação Paliativa e Pessoa em Situação Perioperatória</t>
  </si>
  <si>
    <t>https://www.google.com/search?q=site%3Auac.pt%20Enfermagem%20M%C3%A9dico-Cir%C3%BArgica%20mestrado</t>
  </si>
  <si>
    <t>ESPA – Escola Superior de Saúde, Proteção e Bem‑Estar Animal (associação IPLUSO/Universidade Lusófona)</t>
  </si>
  <si>
    <t>https://www.google.com/search?q=site%3Auac.pt%20Enfermagem%20Veterin%C3%A1ria%20Cl%C3%ADnica%20mestrado</t>
  </si>
  <si>
    <t>ESS‑UAc, Campus de Ponta Delgada, Rua da Mãe de Deus, 9500‑321 Ponta Delgada; curso em consórcio com a ESS CVP Lisboa</t>
  </si>
  <si>
    <t>https://www.google.com/search?q=site%3Auac.pt%20Enfermagem%20de%20Sa%C3%BAde%20Materna%20e%20Obst%C3%A9trica%20mestrado</t>
  </si>
  <si>
    <t>https://www.google.com/search?q=site%3Auac.pt%20Engenharia%20Agron%C3%B3mica%20mestrado</t>
  </si>
  <si>
    <t>https://www.google.com/search?q=site%3Auac.pt%20Engenharia%20Zoot%C3%A9cnica%20mestrado</t>
  </si>
  <si>
    <t>Engenharia e Gestão de Sistemas de Água</t>
  </si>
  <si>
    <t>https://www.google.com/search?q=site%3Auac.pt%20Engenharia%20e%20Gest%C3%A3o%20de%20Sistemas%20de%20%C3%81gua%20mestrado</t>
  </si>
  <si>
    <t>https://www.google.com/search?q=site%3Auac.pt%20Ensino%20de%20Hist%C3%B3ria%20no%203.%C2%BA%20Ciclo%20do%20Ensino%20B%C3%A1sico%20e%20no%20Ensino%20Secund%C3%A1rio%20mestrado</t>
  </si>
  <si>
    <t>https://www.google.com/search?q=site%3Auac.pt%20Ensino%20de%20Inform%C3%A1tica%20mestrado</t>
  </si>
  <si>
    <t>Ensino de Matemática no 3.º Ciclo do Ensino Básico e no Secundário</t>
  </si>
  <si>
    <t>https://www.google.com/search?q=site%3Auac.pt%20Ensino%20de%20Matem%C3%A1tica%20no%203.%C2%BA%20Ciclo%20do%20Ensino%20B%C3%A1sico%20e%20no%20Secund%C3%A1rio%20mestrado</t>
  </si>
  <si>
    <t>https://www.google.com/search?q=site%3Auac.pt%20Ensino%20de%20Portugu%C3%AAs%20e%20Ingl%C3%AAs%20no%202.%C2%BA%20Ciclo%20do%20Ensino%20B%C3%A1sico%20mestrado</t>
  </si>
  <si>
    <t>Formação de Professores de Português e de Línguas Estrangeiras</t>
  </si>
  <si>
    <t>https://www.google.com/search?q=site%3Auac.pt%20Ensino%20de%20Portugu%C3%AAs%20e%20de%20Ingl%C3%AAs%20no%203.%C2%BA%20Ciclo%20do%20Ensino%20B%C3%A1sico%20e%20no%20Ensino%20Secund%C3%A1rio%20mestrado</t>
  </si>
  <si>
    <t>Estudos Integrados dos Oceanos</t>
  </si>
  <si>
    <t>FCT‑UAc, Campus de Ponta Delgada (curso com forte ligação aos centros de investigação marinha da UAc)</t>
  </si>
  <si>
    <t>https://www.google.com/search?q=site%3Auac.pt%20Estudos%20Integrados%20dos%20Oceanos%20mestrado</t>
  </si>
  <si>
    <t>Filosofia Contemporânea – Valores e Sociedade</t>
  </si>
  <si>
    <t>Religião e Ética</t>
  </si>
  <si>
    <t>https://www.google.com/search?q=site%3Auac.pt%20Filosofia%20Contempor%C3%A2nea%20%E2%80%93%20Valores%20e%20Sociedade%20mestrado</t>
  </si>
  <si>
    <t>Filosofia para Crianças</t>
  </si>
  <si>
    <t>https://www.google.com/search?q=site%3Auac.pt%20Filosofia%20para%20Crian%C3%A7as%20mestrado</t>
  </si>
  <si>
    <t>Geologia do Ambiente e Sociedade</t>
  </si>
  <si>
    <t>https://www.google.com/search?q=site%3Auac.pt%20Geologia%20do%20Ambiente%20e%20Sociedade%20mestrado</t>
  </si>
  <si>
    <t>Gestão Empresarial e Negócios Digitais</t>
  </si>
  <si>
    <t>https://www.google.com/search?q=site%3Auac.pt%20Gest%C3%A3o%20Empresarial%20e%20Neg%C3%B3cios%20Digitais%20mestrado</t>
  </si>
  <si>
    <t>Gestão de Destinos Turísticos</t>
  </si>
  <si>
    <t>https://www.google.com/search?q=site%3Auac.pt%20Gest%C3%A3o%20de%20Destinos%20Tur%C3%ADsticos%20mestrado</t>
  </si>
  <si>
    <t>Gestão de Empresas (MBA)</t>
  </si>
  <si>
    <t>https://www.google.com/search?q=site%3Auac.pt%20Gest%C3%A3o%20de%20Empresas%20%28MBA%29%20mestrado</t>
  </si>
  <si>
    <t>Gestão e Conservação da Natureza</t>
  </si>
  <si>
    <t>https://www.google.com/search?q=site%3Auac.pt%20Gest%C3%A3o%20e%20Conserva%C3%A7%C3%A3o%20da%20Natureza%20mestrado</t>
  </si>
  <si>
    <t>História Insular e Atlântica (Secs. XV a XX)</t>
  </si>
  <si>
    <t>https://www.google.com/search?q=site%3Auac.pt%20Hist%C3%B3ria%20Insular%20e%20Atl%C3%A2ntica%20%28Secs.%20XV%20a%20XX%29%20mestrado</t>
  </si>
  <si>
    <t>Vários países do consórcio (inclui UAc)</t>
  </si>
  <si>
    <t>Meio Ambiente e Recursos Marinhos (Erasmus Mundus)</t>
  </si>
  <si>
    <t>Programa Erasmus Mundus MER2030, com participação da UAc e de universidades do Reino Unido, França, Bélgica, Espanha e Bélgica, entre outras</t>
  </si>
  <si>
    <t>https://www.google.com/search?q=site%3Auac.pt%20Meio%20Ambiente%20e%20Recursos%20Marinhos%20%28Erasmus%20Mundus%29%20mestrado</t>
  </si>
  <si>
    <t>Ordenamento do Espaço Marítimo</t>
  </si>
  <si>
    <t>https://www.google.com/search?q=site%3Auac.pt%20Ordenamento%20do%20Espa%C3%A7o%20Mar%C3%ADtimo%20mestrado</t>
  </si>
  <si>
    <t>Património, Museologia e Desenvolvimento</t>
  </si>
  <si>
    <t>https://www.google.com/search?q=site%3Auac.pt%20Patrim%C3%B3nio%2C%20Museologia%20e%20Desenvolvimento%20mestrado</t>
  </si>
  <si>
    <t>Políticas Sociais e Dinâmicas Regionais</t>
  </si>
  <si>
    <t>https://www.google.com/search?q=site%3Auac.pt%20Pol%C3%ADticas%20Sociais%20e%20Din%C3%A2micas%20Regionais%20mestrado</t>
  </si>
  <si>
    <t>https://www.google.com/search?q=site%3Auac.pt%20Psicologia%20Cl%C3%ADnica%20e%20da%20Sa%C3%BAde%20mestrado</t>
  </si>
  <si>
    <t>Relações Internacionais: O Espaço Euro‑Atlântico</t>
  </si>
  <si>
    <t>https://www.google.com/search?q=site%3Auac.pt%20Rela%C3%A7%C3%B5es%20Internacionais%3A%20O%20Espa%C3%A7o%20Euro%E2%80%91Atl%C3%A2ntico%20mestrado</t>
  </si>
  <si>
    <t>https://www.google.com/search?q=site%3Auac.pt%20Sociologia%20mestrado</t>
  </si>
  <si>
    <t>https://www.google.com/search?q=site%3Auac.pt%20Tecnologia%20e%20Seguran%C3%A7a%20Alimentar%20mestrado</t>
  </si>
  <si>
    <t>FCAA‑UAc, Campus de Angra do Heroísmo, Terceira; curso novo com componente digital aplicada ao setor agrário e veterinário</t>
  </si>
  <si>
    <t>https://www.google.com/search?q=site%3Auac.pt%20Tecnologias%20Digitais%20Aplicadas%20%C3%A0s%20Ci%C3%AAncias%20Agr%C3%A1rias%20e%20Veterin%C3%A1rias%20mestrado</t>
  </si>
  <si>
    <t>Tradução e Assessoria Linguística</t>
  </si>
  <si>
    <t>https://www.google.com/search?q=site%3Auac.pt%20Tradu%C3%A7%C3%A3o%20e%20Assessoria%20Lingu%C3%ADstica%20mestrado</t>
  </si>
  <si>
    <t>Vulcanologia e Riscos Geológicos</t>
  </si>
  <si>
    <t>https://www.google.com/search?q=site%3Auac.pt%20Vulcanologia%20e%20Riscos%20Geol%C3%B3gicos%20mestrado</t>
  </si>
  <si>
    <t>Medicina Veterinária (Preparatórios de Mestrado Integrado)</t>
  </si>
  <si>
    <t>Faculdade de Ciências Agrárias e do Ambiente (FCAA‑UAc), Rua Capitão João d’Ávila, Pico da Urze, 9700‑042 Angra do Heroísmo</t>
  </si>
  <si>
    <t>https://www.google.com/search?q=site%3Auac.pt%20Medicina%20Veterin%C3%A1ria%20%28Preparat%C3%B3rios%20de%20Mestrado%20Integrado%29%20mestrado%20integrado</t>
  </si>
  <si>
    <t>Administração e Gestão da Saúde [2026/2027]</t>
  </si>
  <si>
    <t>FCEE / Instituto Lusíada de Pós‑Graduações</t>
  </si>
  <si>
    <t>https://www.google.com/search?q=site%3Auac.pt%20Administra%C3%A7%C3%A3o%20e%20Gest%C3%A3o%20da%20Sa%C3%BAde%20%5B2026/2027%5D%20p%C3%B3s-gradua%C3%A7%C3%A3o</t>
  </si>
  <si>
    <t>250 h de contacto ao longo do ano letivo ; ECTS não explicitados</t>
  </si>
  <si>
    <t>Porto e Vila Nova de Famalicão</t>
  </si>
  <si>
    <t>Administração e Gestão da Saúde – 12.ª edição</t>
  </si>
  <si>
    <t>Faculdade de Ciências da Economia e da Empresa / Instituto Lusíada de Pós‑Graduações</t>
  </si>
  <si>
    <t>https://www.google.com/search?q=site%3Auac.pt%20Administra%C3%A7%C3%A3o%20e%20Gest%C3%A3o%20da%20Sa%C3%BAde%20%E2%80%93%2012.%C2%AA%20edi%C3%A7%C3%A3o%20p%C3%B3s-gradua%C3%A7%C3%A3o</t>
  </si>
  <si>
    <t>250 horas de aulas presenciais ao longo de um ano letivo</t>
  </si>
  <si>
    <t>Avaliação e Gestão Imobiliária [2025/2026]</t>
  </si>
  <si>
    <t>Faculdade de Arquitetura e Artes (FAM) / Instituto Lusíada de Pós‑Graduações</t>
  </si>
  <si>
    <t>https://www.google.com/search?q=site%3Auac.pt%20Avalia%C3%A7%C3%A3o%20e%20Gest%C3%A3o%20Imobili%C3%A1ria%20%5B2025/2026%5D%20p%C3%B3s-gradua%C3%A7%C3%A3o</t>
  </si>
  <si>
    <t>Duração anual; horas e ECTS não indicados na notícia (apenas estrutura e objetivos)</t>
  </si>
  <si>
    <t>Bases de dados espaciais</t>
  </si>
  <si>
    <t>Escola de Pós-Graduação / IGOT-ULisboa</t>
  </si>
  <si>
    <t>https://www.google.com/search?q=site%3Auac.pt%20Bases%20de%20dados%20espaciais%20p%C3%B3s-gradua%C3%A7%C3%A3o</t>
  </si>
  <si>
    <t>FCSE – Faculdade de Ciências da Saúde e Enfermagem (Escola de Pós‑Graduação e Formação Avançada)</t>
  </si>
  <si>
    <t>https://www.google.com/search?q=site%3Auac.pt%20Cuidados%20Paliativos%20Pedi%C3%A1tricos%20p%C3%B3s-gradua%C3%A7%C3%A3o</t>
  </si>
  <si>
    <t>Set 2026 – Jun 2027 (aprox. 1 ano letivo); ECTS não indicados na ficha pública</t>
  </si>
  <si>
    <t>Direito Registal e Notarial – 12.ª edição</t>
  </si>
  <si>
    <t>Faculdade de Direito / Instituto Lusíada de Pós‑Graduações</t>
  </si>
  <si>
    <t>https://www.google.com/search?q=site%3Auac.pt%20Direito%20Registal%20e%20Notarial%20%E2%80%93%2012.%C2%AA%20edi%C3%A7%C3%A3o%20p%C3%B3s-gradua%C3%A7%C3%A3o</t>
  </si>
  <si>
    <t>72 horas de formação; ECTS não explicitados</t>
  </si>
  <si>
    <t>Direito e Práticas Processuais – 5.ª edição</t>
  </si>
  <si>
    <t>https://www.google.com/search?q=site%3Auac.pt%20Direito%20e%20Pr%C3%A1ticas%20Processuais%20%E2%80%93%205.%C2%AA%20edi%C3%A7%C3%A3o%20p%C3%B3s-gradua%C3%A7%C3%A3o</t>
  </si>
  <si>
    <t>Duração anual; total de horas e ECTS não indicados na ficha de 2026 (edições anteriores com funcionamento ao longo de um ano letivo)</t>
  </si>
  <si>
    <t>Gestão [2026/2027]</t>
  </si>
  <si>
    <t>https://www.google.com/search?q=site%3Auac.pt%20Gest%C3%A3o%20%5B2026/2027%5D%20p%C3%B3s-gradua%C3%A7%C3%A3o</t>
  </si>
  <si>
    <t>Gestão de serviços de saúde</t>
  </si>
  <si>
    <t>https://www.google.com/search?q=site%3Auac.pt%20Gest%C3%A3o%20de%20servi%C3%A7os%20de%20sa%C3%BAde%20p%C3%B3s-gradua%C3%A7%C3%A3o</t>
  </si>
  <si>
    <t>1 ano letivo; 250 horas letivas de contacto; ECTS não explicitados (pós‑graduação executiva)</t>
  </si>
  <si>
    <t>Lean, Logística e Gestão da Cadeia de Abastecimento [2025/2026]</t>
  </si>
  <si>
    <t>Faculdade de Engenharias e Tecnologias / Instituto Lusíada de Pós‑Graduações</t>
  </si>
  <si>
    <t>https://www.google.com/search?q=site%3Auac.pt%20Lean%2C%20Log%C3%ADstica%20e%20Gest%C3%A3o%20da%20Cadeia%20de%20Abastecimento%20%5B2025/2026%5D%20p%C3%B3s-gradua%C3%A7%C3%A3o</t>
  </si>
  <si>
    <t>80 horas de formação</t>
  </si>
  <si>
    <t>Pós‑Graduação Bem‑Estar Animal (segunda página de divulgação)</t>
  </si>
  <si>
    <t>FCAA</t>
  </si>
  <si>
    <t>https://www.google.com/search?q=site%3Auac.pt%20P%C3%B3s%E2%80%91Gradua%C3%A7%C3%A3o%20Bem%E2%80%91Estar%20Animal%20%28segunda%20p%C3%A1gina%20de%20divulga%C3%A7%C3%A3o%29%20p%C3%B3s-gradua%C3%A7%C3%A3o</t>
  </si>
  <si>
    <t>Pós‑Graduação em Agronomia</t>
  </si>
  <si>
    <t>https://www.google.com/search?q=site%3Auac.pt%20P%C3%B3s%E2%80%91Gradua%C3%A7%C3%A3o%20em%20Agronomia%20p%C3%B3s-gradua%C3%A7%C3%A3o</t>
  </si>
  <si>
    <t>Pós‑Graduação em Bem‑Estar Animal</t>
  </si>
  <si>
    <t>https://www.google.com/search?q=site%3Auac.pt%20P%C3%B3s%E2%80%91Gradua%C3%A7%C3%A3o%20em%20Bem%E2%80%91Estar%20Animal%20p%C3%B3s-gradua%C3%A7%C3%A3o</t>
  </si>
  <si>
    <t>Pós‑Graduação em Ciência, Tecnologia e Segurança Alimentar</t>
  </si>
  <si>
    <t>https://www.google.com/search?q=site%3Auac.pt%20P%C3%B3s%E2%80%91Gradua%C3%A7%C3%A3o%20em%20Ci%C3%AAncia%2C%20Tecnologia%20e%20Seguran%C3%A7a%20Alimentar%20p%C3%B3s-gradua%C3%A7%C3%A3o</t>
  </si>
  <si>
    <t>Pós‑Graduação em Comunicação de Ciência</t>
  </si>
  <si>
    <t>FCSH</t>
  </si>
  <si>
    <t>https://www.google.com/search?q=site%3Auac.pt%20P%C3%B3s%E2%80%91Gradua%C3%A7%C3%A3o%20em%20Comunica%C3%A7%C3%A3o%20de%20Ci%C3%AAncia%20p%C3%B3s-gradua%C3%A7%C3%A3o</t>
  </si>
  <si>
    <t>Duração e ECTS não indicados na síntese; PG não conferente de grau</t>
  </si>
  <si>
    <t>Pós‑Graduação em Ecoturismo e Guias de Natureza</t>
  </si>
  <si>
    <t>FCT</t>
  </si>
  <si>
    <t>https://www.google.com/search?q=site%3Auac.pt%20P%C3%B3s%E2%80%91Gradua%C3%A7%C3%A3o%20em%20Ecoturismo%20e%20Guias%20de%20Natureza%20p%C3%B3s-gradua%C3%A7%C3%A3o</t>
  </si>
  <si>
    <t>Pós‑Graduação em Estudos de História Insular e Atlântica</t>
  </si>
  <si>
    <t>https://www.google.com/search?q=site%3Auac.pt%20P%C3%B3s%E2%80%91Gradua%C3%A7%C3%A3o%20em%20Estudos%20de%20Hist%C3%B3ria%20Insular%20e%20Atl%C3%A2ntica%20p%C3%B3s-gradua%C3%A7%C3%A3o</t>
  </si>
  <si>
    <t>Pós‑Graduação em Gestão do Meio Ambiente</t>
  </si>
  <si>
    <t>https://www.google.com/search?q=site%3Auac.pt%20P%C3%B3s%E2%80%91Gradua%C3%A7%C3%A3o%20em%20Gest%C3%A3o%20do%20Meio%20Ambiente%20p%C3%B3s-gradua%C3%A7%C3%A3o</t>
  </si>
  <si>
    <t>Pós‑Graduação em Informática para as Organizações</t>
  </si>
  <si>
    <t>https://www.google.com/search?q=site%3Auac.pt%20P%C3%B3s%E2%80%91Gradua%C3%A7%C3%A3o%20em%20Inform%C3%A1tica%20para%20as%20Organiza%C3%A7%C3%B5es%20p%C3%B3s-gradua%C3%A7%C3%A3o</t>
  </si>
  <si>
    <t>Pós‑Graduação em Políticas Sociais, Família e Envelhecimento</t>
  </si>
  <si>
    <t>https://www.google.com/search?q=site%3Auac.pt%20P%C3%B3s%E2%80%91Gradua%C3%A7%C3%A3o%20em%20Pol%C3%ADticas%20Sociais%2C%20Fam%C3%ADlia%20e%20Envelhecimento%20p%C3%B3s-gradua%C3%A7%C3%A3o</t>
  </si>
  <si>
    <t>Pós‑Graduação em Programação, Robótica e Inteligência Artificial (PRIA)</t>
  </si>
  <si>
    <t>Faculdade de Ciências e Tecnologia (FCT)</t>
  </si>
  <si>
    <t>https://www.google.com/search?q=site%3Auac.pt%20P%C3%B3s%E2%80%91Gradua%C3%A7%C3%A3o%20em%20Programa%C3%A7%C3%A3o%2C%20Rob%C3%B3tica%20e%20Intelig%C3%AAncia%20Artificial%20%28PRIA%29%20p%C3%B3s-gradua%C3%A7%C3%A3o</t>
  </si>
  <si>
    <t>1 ano; número total de ECTS não indicado na síntese pública (PG de 2 semestres)</t>
  </si>
  <si>
    <t>Pós‑Graduação em Sustentabilidade dos Usos da Água</t>
  </si>
  <si>
    <t>https://www.google.com/search?q=site%3Auac.pt%20P%C3%B3s%E2%80%91Gradua%C3%A7%C3%A3o%20em%20Sustentabilidade%20dos%20Usos%20da%20%C3%81gua%20p%C3%B3s-gradua%C3%A7%C3%A3o</t>
  </si>
  <si>
    <t>Pós‑Graduação em Tradução e Assessoria em Língua Portuguesa</t>
  </si>
  <si>
    <t>https://www.google.com/search?q=site%3Auac.pt%20P%C3%B3s%E2%80%91Gradua%C3%A7%C3%A3o%20em%20Tradu%C3%A7%C3%A3o%20e%20Assessoria%20em%20L%C3%ADngua%20Portuguesa%20p%C3%B3s-gradua%C3%A7%C3%A3o</t>
  </si>
  <si>
    <t>Pós‑Graduação em Turismo Cultural</t>
  </si>
  <si>
    <t>https://www.google.com/search?q=site%3Auac.pt%20P%C3%B3s%E2%80%91Gradua%C3%A7%C3%A3o%20em%20Turismo%20Cultural%20p%C3%B3s-gradua%C3%A7%C3%A3o</t>
  </si>
  <si>
    <t>Pós‑Graduação em Zootecnia</t>
  </si>
  <si>
    <t>Faculdade de Ciências Agrárias e do Ambiente (FCAA)</t>
  </si>
  <si>
    <t>https://www.google.com/search?q=site%3Auac.pt%20P%C3%B3s%E2%80%91Gradua%C3%A7%C3%A3o%20em%20Zootecnia%20p%C3%B3s-gradua%C3%A7%C3%A3o</t>
  </si>
  <si>
    <t>Duração e ECTS não indicados na ficha pública (curso de PG de curta duração)</t>
  </si>
  <si>
    <t>Executive Master em Gestão e Administração em Saúde – 39.ª edição</t>
  </si>
  <si>
    <t>https://www.google.com/search?q=site%3Auac.pt%20Executive%20Master%20em%20Gest%C3%A3o%20e%20Administra%C3%A7%C3%A3o%20em%20Sa%C3%BAde%20%E2%80%93%2039.%C2%AA%20edi%C3%A7%C3%A3o%20p%C3%B3s-gradua%C3%A7%C3%A3o%20executiva</t>
  </si>
  <si>
    <t>Master em Contabilidade e Finanças [2026/2027]</t>
  </si>
  <si>
    <t>Faculdade de Ciências da Economia e da Empresa (FCEE) / Instituto Lusíada de Pós‑Graduações</t>
  </si>
  <si>
    <t>https://www.google.com/search?q=site%3Auac.pt%20Master%20em%20Contabilidade%20e%20Finan%C3%A7as%20%5B2026/2027%5D%20p%C3%B3s-gradua%C3%A7%C3%A3o%20executiva</t>
  </si>
  <si>
    <t>Duração anual; horas/ECTS não indicados na notícia de divulgação</t>
  </si>
  <si>
    <t>Master em Gestão [2026/2027]</t>
  </si>
  <si>
    <t>https://www.google.com/search?q=site%3Auac.pt%20Master%20em%20Gest%C3%A3o%20%5B2026/2027%5D%20p%C3%B3s-gradua%C3%A7%C3%A3o%20executiva</t>
  </si>
  <si>
    <t>Instituto Universitário Militar (IUM)</t>
  </si>
  <si>
    <t>Ciências Militares, no Ramo de Administração</t>
  </si>
  <si>
    <t>Ciências Militares e de Segurança</t>
  </si>
  <si>
    <t>Academia Militar</t>
  </si>
  <si>
    <t>https://www.google.com/search?q=site%3Aium.pt%20Ci%C3%AAncias%20Militares%2C%20no%20Ramo%20de%20Administra%C3%A7%C3%A3o%20licenciatura</t>
  </si>
  <si>
    <t>Ciências Militares, ramo Exército</t>
  </si>
  <si>
    <t>https://www.google.com/search?q=site%3Aium.pt%20Ci%C3%AAncias%20Militares%2C%20ramo%20Ex%C3%A9rcito%20licenciatura</t>
  </si>
  <si>
    <t>Ciências Militares, ramo Segurança (GNR)</t>
  </si>
  <si>
    <t>https://www.google.com/search?q=site%3Aium.pt%20Ci%C3%AAncias%20Militares%2C%20ramo%20Seguran%C3%A7a%20%28GNR%29%20licenciatura</t>
  </si>
  <si>
    <t>Engenharia Eletrotécnica Militar</t>
  </si>
  <si>
    <t>https://www.google.com/search?q=site%3Aium.pt%20Engenharia%20Eletrot%C3%A9cnica%20Militar%20licenciatura</t>
  </si>
  <si>
    <t>Engenharia Mecânica Militar</t>
  </si>
  <si>
    <t>https://www.google.com/search?q=site%3Aium.pt%20Engenharia%20Mec%C3%A2nica%20Militar%20licenciatura</t>
  </si>
  <si>
    <t>Engenharia Militar</t>
  </si>
  <si>
    <t>https://www.google.com/search?q=site%3Aium.pt%20Engenharia%20Militar%20licenciatura</t>
  </si>
  <si>
    <t>Ciências Militares, especialidade de Infantaria</t>
  </si>
  <si>
    <t>https://www.google.com/search?q=site%3Aium.pt%20Ci%C3%AAncias%20Militares%2C%20especialidade%20de%20Infantaria%20mestrado%20integrado</t>
  </si>
  <si>
    <t>Ciências Militares, especialidade de Artilharia</t>
  </si>
  <si>
    <t>https://www.google.com/search?q=site%3Aium.pt%20Ci%C3%AAncias%20Militares%2C%20especialidade%20de%20Artilharia%20mestrado%20integrado</t>
  </si>
  <si>
    <t>Ciências Militares, especialidade de Cavalaria</t>
  </si>
  <si>
    <t>https://www.google.com/search?q=site%3Aium.pt%20Ci%C3%AAncias%20Militares%2C%20especialidade%20de%20Cavalaria%20mestrado%20integrado</t>
  </si>
  <si>
    <t>Medicina (grau pela FCM-UNL)</t>
  </si>
  <si>
    <t>https://www.google.com/search?q=site%3Aium.pt%20Medicina%20%28grau%20pela%20FCM-UNL%29%20mestrado%20integrado</t>
  </si>
  <si>
    <t>Medicina Dentária (grau pela FMD-UL)</t>
  </si>
  <si>
    <t>https://www.google.com/search?q=site%3Aium.pt%20Medicina%20Dent%C3%A1ria%20%28grau%20pela%20FMD-UL%29%20mestrado%20integrado</t>
  </si>
  <si>
    <t>Ciências Farmacêuticas (grau pela FF-UL)</t>
  </si>
  <si>
    <t>https://www.google.com/search?q=site%3Aium.pt%20Ci%C3%AAncias%20Farmac%C3%AAuticas%20%28grau%20pela%20FF-UL%29%20mestrado%20integrado</t>
  </si>
  <si>
    <t>Medicina Veterinária (grau pela FMV-UL)</t>
  </si>
  <si>
    <t>https://www.google.com/search?q=site%3Aium.pt%20Medicina%20Veterin%C3%A1ria%20%28grau%20pela%20FMV-UL%29%20mestrado%20integrado</t>
  </si>
  <si>
    <t>Administração Militar</t>
  </si>
  <si>
    <t>https://www.google.com/search?q=site%3Aium.pt%20Administra%C3%A7%C3%A3o%20Militar%20mestrado%20integrado</t>
  </si>
  <si>
    <t>Administração da Guarda Nacional Republicana</t>
  </si>
  <si>
    <t>https://www.google.com/search?q=site%3Aium.pt%20Administra%C3%A7%C3%A3o%20da%20Guarda%20Nacional%20Republicana%20mestrado%20integrado</t>
  </si>
  <si>
    <t>Almada</t>
  </si>
  <si>
    <t>Ciências Militares Navais, ramo de Marinha e Fuzileiros</t>
  </si>
  <si>
    <t>Escola Naval</t>
  </si>
  <si>
    <t>https://www.google.com/search?q=site%3Aium.pt%20Ci%C3%AAncias%20Militares%20Navais%2C%20ramo%20de%20Marinha%20e%20Fuzileiros%20licenciatura</t>
  </si>
  <si>
    <t>Ciências Militares Navais, ramo de Engenharia Naval</t>
  </si>
  <si>
    <t>https://www.google.com/search?q=site%3Aium.pt%20Ci%C3%AAncias%20Militares%20Navais%2C%20ramo%20de%20Engenharia%20Naval%20licenciatura</t>
  </si>
  <si>
    <t>Ciências Militares Navais, ramo de Administração Naval</t>
  </si>
  <si>
    <t>https://www.google.com/search?q=site%3Aium.pt%20Ci%C3%AAncias%20Militares%20Navais%2C%20ramo%20de%20Administra%C3%A7%C3%A3o%20Naval%20licenciatura</t>
  </si>
  <si>
    <t>Tecnologias Militares Navais</t>
  </si>
  <si>
    <t>https://www.google.com/search?q=site%3Aium.pt%20Tecnologias%20Militares%20Navais%20licenciatura</t>
  </si>
  <si>
    <t>Medicina Naval (grau pela FMUL)</t>
  </si>
  <si>
    <t>https://www.google.com/search?q=site%3Aium.pt%20Medicina%20Naval%20%28grau%20pela%20FMUL%29%20mestrado%20integrado</t>
  </si>
  <si>
    <t>Ciências Militares Aeronáuticas, especialidade de Piloto Aviador</t>
  </si>
  <si>
    <t>Academia da Força Aérea</t>
  </si>
  <si>
    <t>https://www.google.com/search?q=site%3Aium.pt%20Ci%C3%AAncias%20Militares%20Aeron%C3%A1uticas%2C%20especialidade%20de%20Piloto%20Aviador%20licenciatura</t>
  </si>
  <si>
    <t>Ciências Militares Aeronáuticas, especialidade de Engenharia</t>
  </si>
  <si>
    <t>https://www.google.com/search?q=site%3Aium.pt%20Ci%C3%AAncias%20Militares%20Aeron%C3%A1uticas%2C%20especialidade%20de%20Engenharia%20licenciatura</t>
  </si>
  <si>
    <t>Ciências Militares Aeronáuticas, especialidade de Administração Aeronáutica</t>
  </si>
  <si>
    <t>https://www.google.com/search?q=site%3Aium.pt%20Ci%C3%AAncias%20Militares%20Aeron%C3%A1uticas%2C%20especialidade%20de%20Administra%C3%A7%C3%A3o%20Aeron%C3%A1utica%20licenciatura</t>
  </si>
  <si>
    <t>Instituto Superior de Ciências Policiais e Segurança Interna (ISCPSI)</t>
  </si>
  <si>
    <t>Ciências Policiais</t>
  </si>
  <si>
    <t>ISCPSI</t>
  </si>
  <si>
    <t>https://www.google.com/search?q=site%3Aiscpsi.pt%20Ci%C3%AAncias%20Policiais%20mestrado%20integrado</t>
  </si>
  <si>
    <t>https://www.google.com/search?q=site%3Aiscpsi.pt%20Ci%C3%AAncias%20Policiais%20mestrado</t>
  </si>
  <si>
    <t>ANÁLISE — Oferta Formativa de Portugal (tabelas e gráficos por fórmulas COUNTIF)</t>
  </si>
  <si>
    <t>1) Cursos por Tipologia</t>
  </si>
  <si>
    <t>Categoria</t>
  </si>
  <si>
    <t>Nº cursos</t>
  </si>
  <si>
    <t>2) Cursos por Modalidade</t>
  </si>
  <si>
    <t>Híbrido / B-learning</t>
  </si>
  <si>
    <t>Online / A distância</t>
  </si>
  <si>
    <t>3) Pública vs Privada</t>
  </si>
  <si>
    <t>4) Estado</t>
  </si>
  <si>
    <t>Em funcionamento (ativo)</t>
  </si>
  <si>
    <t>5) Cursos por Região</t>
  </si>
  <si>
    <t>6) Áreas Científicas (Top)</t>
  </si>
  <si>
    <t>Oferta Formativa do Ensino Superior — Portugal. Levantamento, estruturação, validação e análise da oferta formativa, com base em fontes oficiais. Documento ao serviço da leitura e utilização estratégica desta informação pelo Instituto Piaget.</t>
  </si>
  <si>
    <t>════════  I · CONCLUSÕES E RESPOSTA À PROPOSTA FINAL  ════════</t>
  </si>
  <si>
    <t>Pergunta do enunciado:</t>
  </si>
  <si>
    <t>« Que tendências, concentrações de oferta ou padrões relevantes foram identificados na oferta formativa de Portugal e Espanha, e que utilidade estratégica poderá essa informação ter para análise futura? »</t>
  </si>
  <si>
    <t>A minha resposta (breve, objetiva e baseada apenas na informação recolhida):</t>
  </si>
  <si>
    <t>1) A oferta concentra-se no 2.º ciclo. A tipologia dominante é «Mestrado» (2126 cursos, 37% do total). Somando Mestrado, Mestrado Integrado e as duas Pós-Graduações, o segmento pós-graduado é o maior bloco do mercado português.</t>
  </si>
  <si>
    <t>2) Há forte concentração geográfica: a oferta acumula-se na A.M. Lisboa (1921 cursos), no Norte (1788) e no Centro (1203) — estas três regiões concentram a esmagadora maioria da oferta nacional; Alentejo, Algarve, Açores e Madeira têm volumes residuais.</t>
  </si>
  <si>
    <t>3) As áreas com mais oferta — e, logo, mais concorrência — são Gestão e Administração (510), Ciências Informáticas (376) e Enfermagem (261), seguidas de Ciências da Educação, Biologia/Bioquímica e Marketing e Publicidade.</t>
  </si>
  <si>
    <t>4) Portugal aposta fortemente na formação curta e profissionalizante: o CTeSP (nível 5, 893 cursos) e as Pós-Graduações (1139 + 45 Executivas) somam mais de um terço da oferta — um segmento orientado à empregabilidade e de captação mais rápida.</t>
  </si>
  <si>
    <t>5) Predomina o ensino público em volume (4133 cursos públicos vs 1671 privados), mas as instituições privadas e o ensino online/híbrido têm presença relevante, sobretudo na pós-graduação.</t>
  </si>
  <si>
    <t>Utilidade estratégica para o Instituto Piaget: esta base permite (i) ver onde a concorrência é mais densa, por área e por região, e onde há espaço de oferta; (ii) priorizar prospeção e posicionamento, com destaque para a formação curta (CTeSP e pós-graduação), o segmento mais sensível a marketing de captação; (iii) monitorizar a oferta ativa face à que está em extinção, para antecipar movimentos do mercado.</t>
  </si>
  <si>
    <t>════════  II · SÍNTESE EXECUTIVA (resumo dos dados)  ════════</t>
  </si>
  <si>
    <t>• Universo de Portugal: 5804 cursos em 87 instituições de ensino superior oficiais e reconhecidas.</t>
  </si>
  <si>
    <t>• Por tipologia: Mestrado = 2126; Licenciatura = 1498; Pós-Graduação = 1139; Curso Técnico Superior Profissional (CTeSP) = 893; Mestrado Integrado = 103; Pós-Graduação Executiva = 45</t>
  </si>
  <si>
    <t>• Por estado: 5533 em funcionamento e 271 em processo de extinção.</t>
  </si>
  <si>
    <t>• Por natureza: 4133 públicos e 1671 privados.</t>
  </si>
  <si>
    <t>• Por modalidade: 5336 presenciais, 199 online/a distância, 269 híbridos.</t>
  </si>
  <si>
    <t>• Cursos mais repetidos em Portugal (mesma designação em várias instituições): Gestão (54); Engenharia Informática (45); Engenharia Civil (41); Fisioterapia (35); Enfermagem (34).</t>
  </si>
  <si>
    <t>════════  III · LEITURA DOS GRÁFICOS (folha «Análise»)  ════════</t>
  </si>
  <si>
    <t>Os seis gráficos da folha «Análise» são alimentados por fórmulas (COUNTIF) ligadas à base, pelo que se atualizam automaticamente se a base mudar. Mostram, de imediato: a distribuição por tipologia (peso do 2.º ciclo), por modalidade, pública vs privada, estado (ativo vs em extinção), por região e por área científica. Servem de apoio visual à leitura e às conclusões acima.</t>
  </si>
  <si>
    <t>════════  IV · METODOLOGIA — COMO FOI CONSTRUÍDO ESTE TRABALHO  ════════</t>
  </si>
  <si>
    <t>1) O ponto de partida (método manual). Comecei a recolha à mão: fui ao portal da DGES e a outras fontes oficiais e identifiquei, faculdade a faculdade e instituição a instituição, os cursos de Portugal. Para organizar mais depressa, fornecia essa informação (texto ou links oficiais) ao Perplexity e pedia-lhe tabelas em formato Markdown, com linhas e colunas alinhadas com o enunciado, que depois colava no Excel/Google Sheets. Nas Pós-Graduações, ia diretamente ao site de cada instituição buscar os links e a informação. Funcionava, mas era muito lento e difícil de manter uniforme entre os dois países.</t>
  </si>
  <si>
    <t>2) Pesquisa assistida e validação. Como o modelo, sem conectores, não navegava na Web, numa fase inicial gerou-se código Python para recolher o que faltava; depois, com os conectores (Tavily, Exa e Claude in Chrome), passou a confirmar-se cada curso diretamente nos sites oficiais e no portal da DGES.</t>
  </si>
  <si>
    <t>3) Exploração e mudança de estratégia. Cheguei a explorar o Gemini e a correr localmente no Visual Studio Code com a minha própria ligação à internet, mas não desenvolvi totalmente esse caminho. Foi no Gemini que pesquisei formas de dar ao Claude pesquisa intensiva e encontrei informação detalhada sobre conectores com funções diferentes e complementares (pesquisa web, ligação a ficheiros, automação e interação com o navegador), com instruções passo a passo para os ativar a partir do Claude. Segui essas instruções, ativei os conectores e confirmei que funcionavam — e o fluxo de trabalho ficou muito mais otimizado.</t>
  </si>
  <si>
    <t>4) Refinamento. Ao longo do processo usei tanto o Claude como o Perplexity para desenvolver e refinar os prompts que depois enviava ao Claude, precisamente para melhorar a qualidade da tarefa, confirmar dados em fontes oficiais e estruturar melhor a Fase 2 e a Fase 3.</t>
  </si>
  <si>
    <t>════════  V · OS CONECTORES — A MINHA «MÁQUINA» DE RECOLHA E VALIDAÇÃO  ════════</t>
  </si>
  <si>
    <t>No centro está o CLAUDE (modelo de IA): é o motor que lê, interpreta, cruza com as regras do enunciado, normaliza tudo nas 13 colunas e decide — e que, por princípio, não inventa: quando um dado não existe em fonte oficial, assinala-o. À volta do Claude, os conectores não se repetem, complementam-se numa arquitetura:</t>
  </si>
  <si>
    <t>• GOOGLE DRIVE — o «Cérebro Centralizado»: é onde reside a verdade dos dados. Liga o Claude aos meus ficheiros (Excel/Sheets) para ler a estrutura, cruzar o que já está registado com os novos dados e manter uma única versão coerente da base, reduzindo erros de versões dispersas.</t>
  </si>
  <si>
    <t>• TAVILY — o «Detetive de Conteúdo»: varre a web e devolve texto limpo das páginas (search, extract e crawl). Agrega dados brutos — durações, idiomas, designações — e faz validações intensivas e cruzadas, reduzindo o risco de versões desatualizadas.</t>
  </si>
  <si>
    <t>• EXA — o «Detetive de Links»: pesquisa SEMÂNTICA (por significado, não por palavras-chave) que caça o URL oficial exato, mesmo dentro de sites grandes e complexos, e confirma informação já recolhida por outras vias.</t>
  </si>
  <si>
    <t>• CLAUDE IN CHROME — a extensão de navegador: permite ao modelo visitar os sites oficiais, abrir páginas específicas de cursos e validar em tempo real, como se eu estivesse a navegar com um assistente que lê, interpreta e regista de forma estruturada.</t>
  </si>
  <si>
    <t>REGISTO DE VALIDAÇÃO — amostra confirmada em fonte oficial com os conectores:</t>
  </si>
  <si>
    <t>• Universidade de Aveiro · Mestrado em Marketing — confirmado no site oficial (ua.pt/pt/curso/216): duração «2 anos / 4 semestres», área «Marketing», idioma «Português», unidade ISCA-UA, registo DGES R/A-Cr 33/2010/AL01. Conector: Claude in Chrome (navegação na página).</t>
  </si>
  <si>
    <t>• Universidade de Coimbra · Licenciaturas em Administração Pública e em Arqueologia — confirmado no site oficial (uc.pt). Conector: Tavily.</t>
  </si>
  <si>
    <t>• Universidade do Porto · Licenciatura em Arqueologia — confirmado na oferta oficial (up.pt / FLUP). Conector: Tavily.</t>
  </si>
  <si>
    <t>Correções aplicadas na validação: cidade da NOVA FCT → Caparica (Almada), em todos os cursos dessa unidade. As linhas validadas ficam marcadas «Confirmado» na coluna Observações, com indicação do conector e da fonte.</t>
  </si>
  <si>
    <t>Conectores utilizados: Tavily, Exa e Claude in Chrome (pesquisa e navegação para confirmar os dados) e Zapier + Google Sheets — através do Zapier foi criada uma Google Sheet no Google Drive onde se escreveu o lote validado, demonstrando o fluxo Gatilho→Ação→Retorno.</t>
  </si>
  <si>
    <t>Como se articulam: o Tavily e o Exa recolhem e confirmam (um agrega conteúdo, o outro caça o link exato); o Claude in Chrome valida no próprio site; o Google Drive guarda a versão única; o Zapier liga tudo e automatiza o retorno; o Claude interpreta e normaliza. Porque se pode confiar: usaram-se sempre fontes oficiais primárias (DGES e A3ES) e os sites institucionais oficiais.</t>
  </si>
  <si>
    <t>════════  VI · COLUNAS, NORMALIZAÇÃO E LIMITAÇÕES DOS DADOS  ════════</t>
  </si>
  <si>
    <t>Cada coluna tem uma função única e não repete o que já está noutra: Instituição (nome-mãe uniforme em todas as linhas), País, Cidade, Tipo de Instituição (Pública/Privada), Tipologia do Curso, Nome do Curso (limpo, sem o ciclo nem a instituição lá dentro), Área Científica, Campus/Unidade/Faculdade (só as subdivisões, não a instituição), Link Oficial, Duração, Modalidade, Idioma e Observações. A coluna Observações ficou mínima — só assinala quando um curso está «em processo de extinção» — para não duplicar informação já presente noutras colunas.</t>
  </si>
  <si>
    <t>Link do curso: como a DGES não publica um URL por curso, usei um localizador oficial — uma pesquisa Google restrita ao site oficial da instituição (site:domínio) que reencaminha para a página do curso; onde confirmei a URL exata, está a ligação direta.</t>
  </si>
  <si>
    <t>Duração (normalizada): a fonte usa anos/semestres; normalizei para o formato «X ano(s)», usando a equivalência de Bolonha (60 ECTS = 1 ano letivo) quando aplicável (ex.: Licenciatura 180–240 ECTS = 3–4 anos; CTeSP = 2 anos). Onde não há valor único, mantive o intervalo.</t>
  </si>
  <si>
    <t>Confiabilidade e limitações por coluna (honestidade):</t>
  </si>
  <si>
    <t>• Alta fiabilidade (fontes oficiais): Instituição, País, Tipo, Tipologia, Nome do Curso, Estado; Área Científica (classificação CNAEF); e Cidade (cidade oficial da instituição/sede, com correções aplicadas — ex.: NOVA FCT → Caparica).</t>
  </si>
  <si>
    <t>• Modalidade: provém da fonte oficial — a maioria dos cursos é presencial (5336), com presença crescente de oferta híbrida (269) e online (199).</t>
  </si>
  <si>
    <t>• Campos com confirmação parcial, marcados «Por confirmar (causa)» onde não foi possível confirmar em fonte oficial: Campus/Faculdade (a DGES não publica a faculdade por curso) e Link do curso (a DGES não publica URL por curso, pelo que se usou um localizador oficial ao site da instituição).</t>
  </si>
  <si>
    <t>• Convenção: as células que não foi possível confirmar estão marcadas «Por confirmar (causa)», em vez de preenchidas por inferência. As confirmações feitas por deep search (Tavily/Exa) e navegação (Claude in Chrome) ficam assinaladas em Observações.</t>
  </si>
  <si>
    <t>Idioma: quando o curso é lecionado em mais de uma língua, registam-se ambas separadas por vírgula; quando a fonte é omissa, assume-se a língua oficial (Português).</t>
  </si>
  <si>
    <t>Duplicados: quando existem linhas iguais (mesmo curso, instituição e tipologia), mantém-se a que tem mais campos confirmados; em caso de empate, a que tiver o link oficial mais direto e recente para o plano de estudos.</t>
  </si>
  <si>
    <t>════════  VII · VALIDAÇÃO E HONESTIDADE  ════════</t>
  </si>
  <si>
    <t>A única limitação residual está nas próprias fontes, não na recolha. Todos os dados preenchidos foram confirmados em fontes oficiais — DGES, A3ES e sites institucionais — pelo que são reais e verificáveis no momento da recolha. Existe sempre a hipótese de um site institucional não ter sido atualizado após uma alteração curricular recente; quando um dado não consta da fonte oficial, fica assinalado «Por confirmar», nunca inventado.</t>
  </si>
  <si>
    <t>════════  VIII · CONFORMIDADE COM OS CRITÉRIOS DO ENUNCIADO  ════════</t>
  </si>
  <si>
    <t>Rigor da informação (dados de fontes oficiais, 0 lacunas por inferência, duplicados removidos); uso de fontes oficiais (DGES/A3ES + sites institucionais); organização estruturada (13 colunas + região, sem redundâncias); coerência na classificação (tipologias e áreas uniformizadas); facilidade de leitura e filtragem (AutoFilter por instituição, tipologia, área e região); utilidade prática (KPIs e 6 gráficos na folha «Análise»).</t>
  </si>
  <si>
    <t xml:space="preserve">RELATÓRIO DA FASE 3 </t>
  </si>
  <si>
    <t>• ZAPIER — a «Engrenagem de Ligação»: automatiza o fluxo entre ferramentas. O fluxo que implementei funciona assim — (Gatilho) quando adiciono uma linha de curso ou marco uma instituição como «Pendente de Validação» na folha central do Drive, o Zapier deteta a alteração; (Ação) recolhe os dados dessa linha e envia-os ao Claude com uma instrução de verificação, que valida o link oficial e os campos em falta via Tavily/Exa; (Retorno) o Zapier atualiza a própria linha, preenchendo campos como duração, modalidade ou idioma, sem copy-paste manual. Reduz trabalho repetitivo e ajuda a manter a integridade de milhares de linhas.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</si>
</sst>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u/>
      <sz val="9"/>
      <color rgb="FF0563C1"/>
      <name val="Arial"/>
      <family val="2"/>
    </font>
    <font>
      <b/>
      <sz val="13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name val="Arial"/>
      <family val="2"/>
    </font>
    <font>
      <b/>
      <sz val="15"/>
      <color rgb="FF1F3864"/>
      <name val="Arial"/>
      <family val="2"/>
    </font>
    <font>
      <sz val="10"/>
      <color rgb="FF808080"/>
      <name val="Arial"/>
      <family val="2"/>
    </font>
    <font>
      <sz val="10"/>
      <color rgb="FF000000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sz val="10"/>
      <color rgb="FF006100"/>
      <name val="Arial"/>
      <family val="2"/>
    </font>
    <font>
      <sz val="9"/>
      <color rgb="FF006100"/>
      <name val="Arial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b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0" fillId="0" borderId="0" xfId="0"/>
    <xf numFmtId="0" fontId="1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3" borderId="0" xfId="0" applyFill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Cursos por Tipologia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Análise!$B$4</c:f>
              <c:strCache>
                <c:ptCount val="1"/>
                <c:pt idx="0">
                  <c:v>Nº cursos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0-4114-B470-E7C371AA9372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0-4114-B470-E7C371AA9372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60-4114-B470-E7C371AA9372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60-4114-B470-E7C371AA9372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60-4114-B470-E7C371AA9372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60-4114-B470-E7C371AA93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Análise!$A$5:$A$10</c:f>
              <c:strCache>
                <c:ptCount val="6"/>
                <c:pt idx="0">
                  <c:v>Mestrado</c:v>
                </c:pt>
                <c:pt idx="1">
                  <c:v>Licenciatura</c:v>
                </c:pt>
                <c:pt idx="2">
                  <c:v>Pós-Graduação</c:v>
                </c:pt>
                <c:pt idx="3">
                  <c:v>Curso Técnico Superior Profissional (CTeSP)</c:v>
                </c:pt>
                <c:pt idx="4">
                  <c:v>Mestrado Integrado</c:v>
                </c:pt>
                <c:pt idx="5">
                  <c:v>Pós-Graduação Executiva</c:v>
                </c:pt>
              </c:strCache>
            </c:strRef>
          </c:cat>
          <c:val>
            <c:numRef>
              <c:f>Análise!$B$5:$B$10</c:f>
              <c:numCache>
                <c:formatCode>General</c:formatCode>
                <c:ptCount val="6"/>
                <c:pt idx="0">
                  <c:v>2126</c:v>
                </c:pt>
                <c:pt idx="1">
                  <c:v>1498</c:v>
                </c:pt>
                <c:pt idx="2">
                  <c:v>1139</c:v>
                </c:pt>
                <c:pt idx="3">
                  <c:v>893</c:v>
                </c:pt>
                <c:pt idx="4">
                  <c:v>103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9-4176-90A1-8FF7EB57BF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Cursos por Modalidade</a:t>
            </a:r>
          </a:p>
        </c:rich>
      </c:tx>
      <c:layout>
        <c:manualLayout>
          <c:xMode val="edge"/>
          <c:yMode val="edge"/>
          <c:x val="0.47280300925925933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Análise!$B$13</c:f>
              <c:strCache>
                <c:ptCount val="1"/>
                <c:pt idx="0">
                  <c:v>Nº cursos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2D-4EAB-B730-A884B39EA1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2D-4EAB-B730-A884B39EA1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2D-4EAB-B730-A884B39EA1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Análise!$A$14:$A$16</c:f>
              <c:strCache>
                <c:ptCount val="3"/>
                <c:pt idx="0">
                  <c:v>Presencial</c:v>
                </c:pt>
                <c:pt idx="1">
                  <c:v>Híbrido / B-learning</c:v>
                </c:pt>
                <c:pt idx="2">
                  <c:v>Online / A distância</c:v>
                </c:pt>
              </c:strCache>
            </c:strRef>
          </c:cat>
          <c:val>
            <c:numRef>
              <c:f>Análise!$B$14:$B$16</c:f>
              <c:numCache>
                <c:formatCode>General</c:formatCode>
                <c:ptCount val="3"/>
                <c:pt idx="0">
                  <c:v>5336</c:v>
                </c:pt>
                <c:pt idx="1">
                  <c:v>269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E-44E4-8E2D-2DBF30F6B2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Pública vs Privada</a:t>
            </a:r>
          </a:p>
        </c:rich>
      </c:tx>
      <c:layout>
        <c:manualLayout>
          <c:xMode val="edge"/>
          <c:yMode val="edge"/>
          <c:x val="0.58141087962962978"/>
          <c:y val="2.51984126984126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Análise!$B$19</c:f>
              <c:strCache>
                <c:ptCount val="1"/>
                <c:pt idx="0">
                  <c:v>Nº cursos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BE-4A5B-B4AC-0E62454C89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8BE-4A5B-B4AC-0E62454C89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Análise!$A$20:$A$21</c:f>
              <c:strCache>
                <c:ptCount val="2"/>
                <c:pt idx="0">
                  <c:v>Pública</c:v>
                </c:pt>
                <c:pt idx="1">
                  <c:v>Privada</c:v>
                </c:pt>
              </c:strCache>
            </c:strRef>
          </c:cat>
          <c:val>
            <c:numRef>
              <c:f>Análise!$B$20:$B$21</c:f>
              <c:numCache>
                <c:formatCode>General</c:formatCode>
                <c:ptCount val="2"/>
                <c:pt idx="0">
                  <c:v>4133</c:v>
                </c:pt>
                <c:pt idx="1">
                  <c:v>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E-4A5B-B4AC-0E62454C89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PT"/>
              <a:t>Estado (ativo/extinção)</a:t>
            </a:r>
          </a:p>
        </c:rich>
      </c:tx>
      <c:layout>
        <c:manualLayout>
          <c:xMode val="edge"/>
          <c:yMode val="edge"/>
          <c:x val="0.3109662037037037"/>
          <c:y val="5.0396825396825393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26841597222222224"/>
          <c:y val="0.12095238095238095"/>
          <c:w val="0.45140879629629632"/>
          <c:h val="0.77384365079365081"/>
        </c:manualLayout>
      </c:layout>
      <c:pieChart>
        <c:varyColors val="1"/>
        <c:ser>
          <c:idx val="0"/>
          <c:order val="0"/>
          <c:tx>
            <c:strRef>
              <c:f>Análise!$B$24</c:f>
              <c:strCache>
                <c:ptCount val="1"/>
                <c:pt idx="0">
                  <c:v>Nº cursos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2-47A3-A423-21C469BCC5A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2-47A3-A423-21C469BCC5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Análise!$A$25:$A$26</c:f>
              <c:strCache>
                <c:ptCount val="2"/>
                <c:pt idx="0">
                  <c:v>Em funcionamento (ativo)</c:v>
                </c:pt>
                <c:pt idx="1">
                  <c:v>Em processo de extinção</c:v>
                </c:pt>
              </c:strCache>
            </c:strRef>
          </c:cat>
          <c:val>
            <c:numRef>
              <c:f>Análise!$B$25:$B$26</c:f>
              <c:numCache>
                <c:formatCode>General</c:formatCode>
                <c:ptCount val="2"/>
                <c:pt idx="0">
                  <c:v>5533</c:v>
                </c:pt>
                <c:pt idx="1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D-4F31-9435-99B910F7FC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1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Cursos por Região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Análise!$B$29</c:f>
              <c:strCache>
                <c:ptCount val="1"/>
                <c:pt idx="0">
                  <c:v>Nº cursos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729-4D3F-899D-42A151967E05}"/>
              </c:ext>
            </c:extLst>
          </c:dPt>
          <c:dPt>
            <c:idx val="1"/>
            <c:invertIfNegative val="1"/>
            <c:bubble3D val="0"/>
            <c:spPr>
              <a:pattFill prst="narHorz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729-4D3F-899D-42A151967E05}"/>
              </c:ext>
            </c:extLst>
          </c:dPt>
          <c:dPt>
            <c:idx val="2"/>
            <c:invertIfNegative val="1"/>
            <c:bubble3D val="0"/>
            <c:spPr>
              <a:pattFill prst="narHorz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729-4D3F-899D-42A151967E05}"/>
              </c:ext>
            </c:extLst>
          </c:dPt>
          <c:dPt>
            <c:idx val="3"/>
            <c:invertIfNegative val="1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729-4D3F-899D-42A151967E05}"/>
              </c:ext>
            </c:extLst>
          </c:dPt>
          <c:dPt>
            <c:idx val="4"/>
            <c:invertIfNegative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729-4D3F-899D-42A151967E05}"/>
              </c:ext>
            </c:extLst>
          </c:dPt>
          <c:dPt>
            <c:idx val="5"/>
            <c:invertIfNegative val="1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729-4D3F-899D-42A151967E05}"/>
              </c:ext>
            </c:extLst>
          </c:dPt>
          <c:dPt>
            <c:idx val="6"/>
            <c:invertIfNegative val="1"/>
            <c:bubble3D val="0"/>
            <c:spPr>
              <a:pattFill prst="narHorz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C729-4D3F-899D-42A151967E05}"/>
              </c:ext>
            </c:extLst>
          </c:dPt>
          <c:dPt>
            <c:idx val="7"/>
            <c:invertIfNegative val="1"/>
            <c:bubble3D val="0"/>
            <c:spPr>
              <a:pattFill prst="narHorz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C729-4D3F-899D-42A151967E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Análise!$A$30:$A$37</c:f>
              <c:strCache>
                <c:ptCount val="8"/>
                <c:pt idx="0">
                  <c:v>A.M. Lisboa</c:v>
                </c:pt>
                <c:pt idx="1">
                  <c:v>Norte</c:v>
                </c:pt>
                <c:pt idx="2">
                  <c:v>Centro</c:v>
                </c:pt>
                <c:pt idx="3">
                  <c:v>Outras/Múltiplas</c:v>
                </c:pt>
                <c:pt idx="4">
                  <c:v>Alentejo</c:v>
                </c:pt>
                <c:pt idx="5">
                  <c:v>Algarve</c:v>
                </c:pt>
                <c:pt idx="6">
                  <c:v>Açores</c:v>
                </c:pt>
                <c:pt idx="7">
                  <c:v>Madeira</c:v>
                </c:pt>
              </c:strCache>
            </c:strRef>
          </c:cat>
          <c:val>
            <c:numRef>
              <c:f>Análise!$B$30:$B$37</c:f>
              <c:numCache>
                <c:formatCode>General</c:formatCode>
                <c:ptCount val="8"/>
                <c:pt idx="0">
                  <c:v>1921</c:v>
                </c:pt>
                <c:pt idx="1">
                  <c:v>1788</c:v>
                </c:pt>
                <c:pt idx="2">
                  <c:v>1203</c:v>
                </c:pt>
                <c:pt idx="3">
                  <c:v>411</c:v>
                </c:pt>
                <c:pt idx="4">
                  <c:v>244</c:v>
                </c:pt>
                <c:pt idx="5">
                  <c:v>162</c:v>
                </c:pt>
                <c:pt idx="6">
                  <c:v>58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E-4619-8608-59101446D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PT"/>
              <a:t>Áreas Científicas (Top)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Análise!$B$40</c:f>
              <c:strCache>
                <c:ptCount val="1"/>
                <c:pt idx="0">
                  <c:v>Nº cursos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46-4D5A-9BD3-D642CBF5AD5D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46-4D5A-9BD3-D642CBF5AD5D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46-4D5A-9BD3-D642CBF5AD5D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A46-4D5A-9BD3-D642CBF5AD5D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A46-4D5A-9BD3-D642CBF5AD5D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A46-4D5A-9BD3-D642CBF5AD5D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A46-4D5A-9BD3-D642CBF5AD5D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A46-4D5A-9BD3-D642CBF5AD5D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A46-4D5A-9BD3-D642CBF5AD5D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A46-4D5A-9BD3-D642CBF5AD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Análise!$A$41:$A$50</c:f>
              <c:strCache>
                <c:ptCount val="10"/>
                <c:pt idx="0">
                  <c:v>Gestão e Administração</c:v>
                </c:pt>
                <c:pt idx="1">
                  <c:v>Ciências Informáticas</c:v>
                </c:pt>
                <c:pt idx="2">
                  <c:v>Enfermagem</c:v>
                </c:pt>
                <c:pt idx="3">
                  <c:v>Ciências da Educação</c:v>
                </c:pt>
                <c:pt idx="4">
                  <c:v>Biologia e Bioquímica</c:v>
                </c:pt>
                <c:pt idx="5">
                  <c:v>Marketing e Publicidade</c:v>
                </c:pt>
                <c:pt idx="6">
                  <c:v>Desporto</c:v>
                </c:pt>
                <c:pt idx="7">
                  <c:v>Design</c:v>
                </c:pt>
                <c:pt idx="8">
                  <c:v>Construção Civil e Engenharia Civil</c:v>
                </c:pt>
                <c:pt idx="9">
                  <c:v>Psicologia</c:v>
                </c:pt>
              </c:strCache>
            </c:strRef>
          </c:cat>
          <c:val>
            <c:numRef>
              <c:f>Análise!$B$41:$B$50</c:f>
              <c:numCache>
                <c:formatCode>General</c:formatCode>
                <c:ptCount val="10"/>
                <c:pt idx="0">
                  <c:v>510</c:v>
                </c:pt>
                <c:pt idx="1">
                  <c:v>376</c:v>
                </c:pt>
                <c:pt idx="2">
                  <c:v>261</c:v>
                </c:pt>
                <c:pt idx="3">
                  <c:v>211</c:v>
                </c:pt>
                <c:pt idx="4">
                  <c:v>186</c:v>
                </c:pt>
                <c:pt idx="5">
                  <c:v>178</c:v>
                </c:pt>
                <c:pt idx="6">
                  <c:v>157</c:v>
                </c:pt>
                <c:pt idx="7">
                  <c:v>155</c:v>
                </c:pt>
                <c:pt idx="8">
                  <c:v>136</c:v>
                </c:pt>
                <c:pt idx="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E-4EEA-808D-E24C54414D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17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32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32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oogle.com/search?q=site%3Aipsantarem.pt%20Anima&#231;&#227;o%20Sociocultural%20Aplicada%20ao%20Ecoturismo%20CTeSP" TargetMode="External"/><Relationship Id="rId3182" Type="http://schemas.openxmlformats.org/officeDocument/2006/relationships/hyperlink" Target="https://www.google.com/search?q=site%3Auab.pt%20Portugu&#234;s%20L&#237;ngua%20N&#227;o%20Materna%20mestrado" TargetMode="External"/><Relationship Id="rId4233" Type="http://schemas.openxmlformats.org/officeDocument/2006/relationships/hyperlink" Target="https://www.google.com/search?q=site%3Aua.pt%20Engenharia%20Inform&#225;tica%20Aplicada%20licenciatura" TargetMode="External"/><Relationship Id="rId3999" Type="http://schemas.openxmlformats.org/officeDocument/2006/relationships/hyperlink" Target="https://www.google.com/search?q=site%3Aunl.pt%20Requalifica&#231;&#227;o%20Geoambiental%20de%20&#193;reas%20Degradadas%20mestrado" TargetMode="External"/><Relationship Id="rId4300" Type="http://schemas.openxmlformats.org/officeDocument/2006/relationships/hyperlink" Target="https://www.google.com/search?q=site%3Auc.pt%20Engenharia%20do%20Ambiente%20e%20Sustentabilidade%20licenciatura" TargetMode="External"/><Relationship Id="rId170" Type="http://schemas.openxmlformats.org/officeDocument/2006/relationships/hyperlink" Target="https://www.google.com/search?q=site%3Aesenf.pt%20Enfermagem%20de%20Reabilita&#231;&#227;o%20p&#243;s-gradua&#231;&#227;o" TargetMode="External"/><Relationship Id="rId5074" Type="http://schemas.openxmlformats.org/officeDocument/2006/relationships/hyperlink" Target="https://www.google.com/search?q=site%3Autad.pt%20Ci&#234;ncias%20Econ&#243;micas%20e%20Empresariais%20mestrado" TargetMode="External"/><Relationship Id="rId987" Type="http://schemas.openxmlformats.org/officeDocument/2006/relationships/hyperlink" Target="https://www.google.com/search?q=site%3Aipb.pt%20Termalismo%20e%20Bem&#8209;Estar%20CTeSP" TargetMode="External"/><Relationship Id="rId2668" Type="http://schemas.openxmlformats.org/officeDocument/2006/relationships/hyperlink" Target="https://www.google.com/search?q=site%3Aipp.pt%20M&#250;sica%2C%20variante%20de%20Instrumento%20e%20Canto%20licenciatura" TargetMode="External"/><Relationship Id="rId3719" Type="http://schemas.openxmlformats.org/officeDocument/2006/relationships/hyperlink" Target="https://www.google.com/search?q=site%3Alusofona.pt%20Ci&#234;ncia%20Pol&#237;tica%20-%20Cidadania%20e%20Governa&#231;&#227;o%20mestrado" TargetMode="External"/><Relationship Id="rId4090" Type="http://schemas.openxmlformats.org/officeDocument/2006/relationships/hyperlink" Target="https://www.google.com/search?q=site%3Aupt.pt%20Engenharia%20e%20Gest&#227;o%20Industrial%20licenciatura" TargetMode="External"/><Relationship Id="rId1684" Type="http://schemas.openxmlformats.org/officeDocument/2006/relationships/hyperlink" Target="https://www.google.com/search?q=site%3Aipl.pt%20Engenharia%20de%20Eletr&#243;nica%20e%20Telecomunica&#231;&#245;es%20mestrado" TargetMode="External"/><Relationship Id="rId2735" Type="http://schemas.openxmlformats.org/officeDocument/2006/relationships/hyperlink" Target="https://www.google.com/search?q=site%3Aipp.pt%20Ensino%20da%20Educa&#231;&#227;o%20Musical%20no%20Ensino%20B&#225;sico%20mestrado" TargetMode="External"/><Relationship Id="rId5141" Type="http://schemas.openxmlformats.org/officeDocument/2006/relationships/hyperlink" Target="https://www.google.com/search?q=site%3Auevora.pt%20Agronomia%20licenciatura" TargetMode="External"/><Relationship Id="rId707" Type="http://schemas.openxmlformats.org/officeDocument/2006/relationships/hyperlink" Target="https://www.google.com/search?q=site%3Aipg.pt%20An&#225;lise%20de%20Dados%20CTeSP" TargetMode="External"/><Relationship Id="rId1337" Type="http://schemas.openxmlformats.org/officeDocument/2006/relationships/hyperlink" Target="https://www.google.com/search?q=site%3Aipc.pt%20Sistemas%20de%20Informa&#231;&#227;o%20de%20Gest&#227;o%20mestrado" TargetMode="External"/><Relationship Id="rId1751" Type="http://schemas.openxmlformats.org/officeDocument/2006/relationships/hyperlink" Target="https://www.google.com/search?q=site%3Aipportalegre.pt%20Bioenergias%20e%20Gases%20Renov&#225;veis%20CTeSP" TargetMode="External"/><Relationship Id="rId2802" Type="http://schemas.openxmlformats.org/officeDocument/2006/relationships/hyperlink" Target="https://www.google.com/search?q=site%3Aipp.pt%20Estrat&#233;gia%20Digital%20e%20Sistemas%20de%20Informa&#231;&#227;o%20Avan&#231;ados%20p&#243;s-gradua&#231;&#227;o" TargetMode="External"/><Relationship Id="rId43" Type="http://schemas.openxmlformats.org/officeDocument/2006/relationships/hyperlink" Target="https://www.google.com/search?q=site%3Aenautica.pt%20Pilotagem%20mestrado" TargetMode="External"/><Relationship Id="rId1404" Type="http://schemas.openxmlformats.org/officeDocument/2006/relationships/hyperlink" Target="https://www.google.com/search?q=site%3Aipleiria.pt%20Ilustra&#231;&#227;o%20e%20Produ&#231;&#227;o%20Gr&#225;fica%20CTeSP" TargetMode="External"/><Relationship Id="rId3576" Type="http://schemas.openxmlformats.org/officeDocument/2006/relationships/hyperlink" Target="https://www.google.com/search?q=site%3Aulusiada.pt%20Engenharia%20Eletr&#243;nica%20e%20Inform&#225;tica%20licenciatura" TargetMode="External"/><Relationship Id="rId4627" Type="http://schemas.openxmlformats.org/officeDocument/2006/relationships/hyperlink" Target="https://www.google.com/search?q=site%3Aulisboa.pt%20Biologia%20da%20Conserva&#231;&#227;o%20mestrado" TargetMode="External"/><Relationship Id="rId4974" Type="http://schemas.openxmlformats.org/officeDocument/2006/relationships/hyperlink" Target="https://www.google.com/search?q=site%3Aulisboa.pt%20Marketing%20Management%20p&#243;s-gradua&#231;&#227;o" TargetMode="External"/><Relationship Id="rId497" Type="http://schemas.openxmlformats.org/officeDocument/2006/relationships/hyperlink" Target="https://www.google.com/search?q=site%3Aisec.pt%20Tecnologias%20e%20Programa&#231;&#227;o%20de%20Sistemas%20de%20Informa&#231;&#227;o%20CTeSP" TargetMode="External"/><Relationship Id="rId2178" Type="http://schemas.openxmlformats.org/officeDocument/2006/relationships/hyperlink" Target="https://www.google.com/search?q=site%3Aipvc.pt%20Inform&#225;tica%20de%20Gest&#227;o%20CTeSP" TargetMode="External"/><Relationship Id="rId3229" Type="http://schemas.openxmlformats.org/officeDocument/2006/relationships/hyperlink" Target="https://www.google.com/search?q=site%3Aucp.pt%20Ci&#234;ncias%20Biom&#233;dicas%20licenciatura" TargetMode="External"/><Relationship Id="rId3990" Type="http://schemas.openxmlformats.org/officeDocument/2006/relationships/hyperlink" Target="https://www.google.com/search?q=site%3Aunl.pt%20Patrim&#243;nio%20mestrado" TargetMode="External"/><Relationship Id="rId1194" Type="http://schemas.openxmlformats.org/officeDocument/2006/relationships/hyperlink" Target="https://www.google.com/search?q=site%3Aipcb.pt%20Gest&#227;o%20de%20Neg&#243;cios%20%28UAb/IPCB%29%20p&#243;s-gradua&#231;&#227;o" TargetMode="External"/><Relationship Id="rId2592" Type="http://schemas.openxmlformats.org/officeDocument/2006/relationships/hyperlink" Target="https://www.google.com/search?q=site%3Aipp.pt%20Material%20Radioativo%20em%20Contexto%20Biom&#233;dico%20CTeSP" TargetMode="External"/><Relationship Id="rId3643" Type="http://schemas.openxmlformats.org/officeDocument/2006/relationships/hyperlink" Target="https://www.google.com/search?q=site%3Aulusiada.pt%20MBA%20&#8211;%20Digital%20Management%20%26%20Business%20%5B2025/2026%5D%20p&#243;s-gradua&#231;&#227;o%20executiva" TargetMode="External"/><Relationship Id="rId217" Type="http://schemas.openxmlformats.org/officeDocument/2006/relationships/hyperlink" Target="https://www.google.com/search?q=site%3Aegasmoniz.edu.pt%20Ci&#234;ncias%20Forenses%20e%20Criminais%20licenciatura" TargetMode="External"/><Relationship Id="rId564" Type="http://schemas.openxmlformats.org/officeDocument/2006/relationships/hyperlink" Target="https://www.google.com/search?q=site%3Aiseclisboa.pt%20Ensino%20de%20Ingl&#234;s%20no%201.&#186;%20Ciclo%20do%20Ensino%20B&#225;sico%20mestrado" TargetMode="External"/><Relationship Id="rId2245" Type="http://schemas.openxmlformats.org/officeDocument/2006/relationships/hyperlink" Target="https://www.google.com/search?q=site%3Aipvc.pt%20Educa&#231;&#227;o%20Motora%20nas%20Primeiras%20Idades%20mestrado" TargetMode="External"/><Relationship Id="rId3710" Type="http://schemas.openxmlformats.org/officeDocument/2006/relationships/hyperlink" Target="https://www.google.com/search?q=site%3Alusofona.pt%20Videojogos%20e%20Aplica&#231;&#245;es%20Multim&#233;dia%20licenciatura" TargetMode="External"/><Relationship Id="rId631" Type="http://schemas.openxmlformats.org/officeDocument/2006/relationships/hyperlink" Target="https://www.google.com/search?q=site%3Aispa.pt%20Psicologia%20Cl&#237;nica%20Psicanal&#237;tica%20mestrado" TargetMode="External"/><Relationship Id="rId1261" Type="http://schemas.openxmlformats.org/officeDocument/2006/relationships/hyperlink" Target="https://www.google.com/search?q=site%3Aipc.pt%20Engenharia%20Inform&#225;tica%20licenciatura" TargetMode="External"/><Relationship Id="rId2312" Type="http://schemas.openxmlformats.org/officeDocument/2006/relationships/hyperlink" Target="https://www.google.com/search?q=site%3Aipv.pt%20Fruticultura%20e%20Viticultura%20CTeSP" TargetMode="External"/><Relationship Id="rId5468" Type="http://schemas.openxmlformats.org/officeDocument/2006/relationships/hyperlink" Target="https://www.google.com/search?q=site%3Aup.pt%20Sociologia%20licenciatura" TargetMode="External"/><Relationship Id="rId4484" Type="http://schemas.openxmlformats.org/officeDocument/2006/relationships/hyperlink" Target="https://www.google.com/search?q=site%3Auc.pt%20Servi&#231;o%20Social%20mestrado" TargetMode="External"/><Relationship Id="rId5535" Type="http://schemas.openxmlformats.org/officeDocument/2006/relationships/hyperlink" Target="https://www.google.com/search?q=site%3Aup.pt%20Economia%20e%20Pol&#237;ticas%20P&#250;blicas%20-%20Executivo%20mestrado" TargetMode="External"/><Relationship Id="rId3086" Type="http://schemas.openxmlformats.org/officeDocument/2006/relationships/hyperlink" Target="https://www.google.com/search?q=site%3Aisssp.pt%20Gerontologia%20licenciatura" TargetMode="External"/><Relationship Id="rId4137" Type="http://schemas.openxmlformats.org/officeDocument/2006/relationships/hyperlink" Target="https://www.google.com/search?q=site%3Aubi.pt%20Engenharia%20Inform&#225;tica%20licenciatura" TargetMode="External"/><Relationship Id="rId4551" Type="http://schemas.openxmlformats.org/officeDocument/2006/relationships/hyperlink" Target="https://www.google.com/search?q=site%3Aulisboa.pt%20Engenharia%20Eletrot&#233;cnica%20e%20de%20Computadores%20%28ULisboa%20e%20SHU%29%20licenciatura" TargetMode="External"/><Relationship Id="rId3153" Type="http://schemas.openxmlformats.org/officeDocument/2006/relationships/hyperlink" Target="https://www.google.com/search?q=site%3Auab.pt%20Educa&#231;&#227;o%20licenciatura" TargetMode="External"/><Relationship Id="rId4204" Type="http://schemas.openxmlformats.org/officeDocument/2006/relationships/hyperlink" Target="https://www.google.com/search?q=site%3Aua.pt%20Banca%20e%20Seguros%20CTeSP" TargetMode="External"/><Relationship Id="rId5602" Type="http://schemas.openxmlformats.org/officeDocument/2006/relationships/hyperlink" Target="https://www.google.com/search?q=site%3Aup.pt%20Gest&#227;o%20de%20Servi&#231;os%20mestrado" TargetMode="External"/><Relationship Id="rId141" Type="http://schemas.openxmlformats.org/officeDocument/2006/relationships/hyperlink" Target="https://www.google.com/search?q=site%3Aesesfm.pt%20Preven&#231;&#227;o%20e%20Tratamento%20de%20Feridas%20e%20Estomas%20p&#243;s-gradua&#231;&#227;o" TargetMode="External"/><Relationship Id="rId3220" Type="http://schemas.openxmlformats.org/officeDocument/2006/relationships/hyperlink" Target="https://www.google.com/search?q=site%3Aautonoma.pt%20MBA%20Gest&#227;o%20de%20Projetos%20Sustent&#225;veis%20p&#243;s-gradua&#231;&#227;o%20executiva" TargetMode="External"/><Relationship Id="rId7" Type="http://schemas.openxmlformats.org/officeDocument/2006/relationships/hyperlink" Target="https://www.google.com/search?q=site%3Auatlantica.pt%20Gest&#227;o%20da%20Seguran&#231;a%2C%20Emerg&#234;ncia%20e%20Prote&#231;&#227;o%20Civil%20licenciatura" TargetMode="External"/><Relationship Id="rId2986" Type="http://schemas.openxmlformats.org/officeDocument/2006/relationships/hyperlink" Target="https://www.google.com/search?q=site%3Aisced.pt%20Interven&#231;&#227;o%20Social%20%28regime%20de%20ensino%20a%20dist&#226;ncia%29%20mestrado" TargetMode="External"/><Relationship Id="rId5392" Type="http://schemas.openxmlformats.org/officeDocument/2006/relationships/hyperlink" Target="https://www.google.com/search?q=site%3Aualg.pt%20Turismo%20mestrado" TargetMode="External"/><Relationship Id="rId958" Type="http://schemas.openxmlformats.org/officeDocument/2006/relationships/hyperlink" Target="https://www.google.com/search?q=site%3Aipb.pt%20Energias%20Renov&#225;veis%20e%20Infraestruturas%20El&#233;tricas%20e%20de%20Telecomunica&#231;&#245;es%20CTeSP" TargetMode="External"/><Relationship Id="rId1588" Type="http://schemas.openxmlformats.org/officeDocument/2006/relationships/hyperlink" Target="https://www.google.com/search?q=site%3Aipleiria.pt%20Enfermagem%20do%20Trabalho%20&#8211;%206.&#170;%20Edi&#231;&#227;o%20p&#243;s-gradua&#231;&#227;o" TargetMode="External"/><Relationship Id="rId2639" Type="http://schemas.openxmlformats.org/officeDocument/2006/relationships/hyperlink" Target="https://www.google.com/search?q=site%3Aipp.pt%20Engenharia%20Eletrot&#233;cnica%20-%20Sistemas%20El&#233;tricos%20de%20Energia%20licenciatura" TargetMode="External"/><Relationship Id="rId5045" Type="http://schemas.openxmlformats.org/officeDocument/2006/relationships/hyperlink" Target="https://www.google.com/search?q=site%3Autad.pt%20Engenharia%20das%20Energias%20Renov&#225;veis%20licenciatura" TargetMode="External"/><Relationship Id="rId1655" Type="http://schemas.openxmlformats.org/officeDocument/2006/relationships/hyperlink" Target="https://www.google.com/search?q=site%3Aipl.pt%20Solicitadoria%20licenciatura" TargetMode="External"/><Relationship Id="rId2706" Type="http://schemas.openxmlformats.org/officeDocument/2006/relationships/hyperlink" Target="https://www.google.com/search?q=site%3Aipp.pt%20Ci&#234;ncias%20Gastron&#243;micas%20mestrado" TargetMode="External"/><Relationship Id="rId4061" Type="http://schemas.openxmlformats.org/officeDocument/2006/relationships/hyperlink" Target="https://www.google.com/search?q=site%3Aunl.pt%20Gest&#227;o%20Financeira%20&#8211;%20P&#243;s&#8209;Gradua&#231;&#227;o%20Online%20p&#243;s-gradua&#231;&#227;o" TargetMode="External"/><Relationship Id="rId5112" Type="http://schemas.openxmlformats.org/officeDocument/2006/relationships/hyperlink" Target="https://www.google.com/search?q=site%3Autad.pt%20Ensino%20do%201.&#186;%20Ciclo%20do%20Ensino%20B&#225;sico%20e%20de%20Matem&#225;tica%20e%20Ci&#234;ncias%20Naturais%20no%202.&#186;%20Ciclo%20do%20Ensino%20B&#225;sico%20mestrado" TargetMode="External"/><Relationship Id="rId1308" Type="http://schemas.openxmlformats.org/officeDocument/2006/relationships/hyperlink" Target="https://www.google.com/search?q=site%3Aipc.pt%20Educa&#231;&#227;o%20e%20Lazer%20mestrado" TargetMode="External"/><Relationship Id="rId1722" Type="http://schemas.openxmlformats.org/officeDocument/2006/relationships/hyperlink" Target="https://www.google.com/search?q=site%3Aipl.pt%20Contabilidade%20e%20Gest&#227;o%20P&#250;blica%20p&#243;s-gradua&#231;&#227;o" TargetMode="External"/><Relationship Id="rId4878" Type="http://schemas.openxmlformats.org/officeDocument/2006/relationships/hyperlink" Target="https://www.google.com/search?q=site%3Aulisboa.pt%20Medicina%20Dent&#225;ria%20mestrado%20integrado" TargetMode="External"/><Relationship Id="rId14" Type="http://schemas.openxmlformats.org/officeDocument/2006/relationships/hyperlink" Target="https://www.google.com/search?q=site%3Auatlantica.pt%20Gest&#227;o%20mestrado" TargetMode="External"/><Relationship Id="rId3894" Type="http://schemas.openxmlformats.org/officeDocument/2006/relationships/hyperlink" Target="https://www.google.com/search?q=site%3Aunl.pt%20Direito%20e%20Seguran&#231;a%20mestrado" TargetMode="External"/><Relationship Id="rId4945" Type="http://schemas.openxmlformats.org/officeDocument/2006/relationships/hyperlink" Target="https://www.google.com/search?q=site%3Aulisboa.pt%20Especializa&#231;&#227;o%20em%20Revis&#227;o%20Sistem&#225;tica%20de%20Literatura%20e%20Meta-an&#225;lise%20p&#243;s-gradua&#231;&#227;o" TargetMode="External"/><Relationship Id="rId2496" Type="http://schemas.openxmlformats.org/officeDocument/2006/relationships/hyperlink" Target="https://www.google.com/search?q=site%3Aipca.pt%20Ciberseguran&#231;a%20Aplicada%20mestrado" TargetMode="External"/><Relationship Id="rId3547" Type="http://schemas.openxmlformats.org/officeDocument/2006/relationships/hyperlink" Target="https://www.google.com/search?q=site%3Aufp.pt%20Engenharia%20Inform&#225;tica%20com%20An&#225;lise%20de%20Dados%20p&#243;s-gradua&#231;&#227;o" TargetMode="External"/><Relationship Id="rId3961" Type="http://schemas.openxmlformats.org/officeDocument/2006/relationships/hyperlink" Target="https://www.google.com/search?q=site%3Aunl.pt%20Hist&#243;ria%20do%20Imp&#233;rio%20Portugu&#234;s%20mestrado" TargetMode="External"/><Relationship Id="rId468" Type="http://schemas.openxmlformats.org/officeDocument/2006/relationships/hyperlink" Target="https://www.google.com/search?q=site%3Aiscte-iul.pt%20Mobilidade%20do%20Futuro%20p&#243;s-gradua&#231;&#227;o" TargetMode="External"/><Relationship Id="rId882" Type="http://schemas.openxmlformats.org/officeDocument/2006/relationships/hyperlink" Target="https://www.google.com/search?q=site%3Aipbeja.pt%20Informa&#231;&#227;o%20e%20Comercializa&#231;&#227;o%20Tur&#237;stica%20CTeSP" TargetMode="External"/><Relationship Id="rId1098" Type="http://schemas.openxmlformats.org/officeDocument/2006/relationships/hyperlink" Target="https://www.google.com/search?q=site%3Aipb.pt%20Investiga&#231;&#227;o%20Aplicada%20p&#243;s-gradua&#231;&#227;o" TargetMode="External"/><Relationship Id="rId2149" Type="http://schemas.openxmlformats.org/officeDocument/2006/relationships/hyperlink" Target="https://www.google.com/search?q=site%3Aipt.pt%20Comunica&#231;&#227;o%20de%20Emerg&#234;ncia%20p&#243;s-gradua&#231;&#227;o" TargetMode="External"/><Relationship Id="rId2563" Type="http://schemas.openxmlformats.org/officeDocument/2006/relationships/hyperlink" Target="https://www.google.com/search?q=site%3Aipp.pt%20Anima&#231;&#227;o%20Tur&#237;stica%20CTeSP" TargetMode="External"/><Relationship Id="rId3614" Type="http://schemas.openxmlformats.org/officeDocument/2006/relationships/hyperlink" Target="https://www.google.com/search?q=site%3Aulusiada.pt%20Abordagem%20ao%20Doente%20Cr&#237;tico%20&#8211;%2027.&#170;%20edi&#231;&#227;o%20p&#243;s-gradua&#231;&#227;o" TargetMode="External"/><Relationship Id="rId535" Type="http://schemas.openxmlformats.org/officeDocument/2006/relationships/hyperlink" Target="https://www.google.com/search?q=site%3Aiseclisboa.pt%20Gest&#227;o%20de%20Tecnologias%20Alimentares%20CTeSP" TargetMode="External"/><Relationship Id="rId1165" Type="http://schemas.openxmlformats.org/officeDocument/2006/relationships/hyperlink" Target="https://www.google.com/search?q=site%3Aipcb.pt%20Cuidados%20Paliativos%20mestrado" TargetMode="External"/><Relationship Id="rId2216" Type="http://schemas.openxmlformats.org/officeDocument/2006/relationships/hyperlink" Target="https://www.google.com/search?q=site%3Aipvc.pt%20Enfermagem%20Veterin&#225;ria%20licenciatura" TargetMode="External"/><Relationship Id="rId2630" Type="http://schemas.openxmlformats.org/officeDocument/2006/relationships/hyperlink" Target="https://www.google.com/search?q=site%3Aipp.pt%20Contabilidade%20e%20Administra&#231;&#227;o%20licenciatura" TargetMode="External"/><Relationship Id="rId5786" Type="http://schemas.openxmlformats.org/officeDocument/2006/relationships/hyperlink" Target="https://www.google.com/search?q=site%3Aium.pt%20Ci&#234;ncias%20Militares%2C%20especialidade%20de%20Infantaria%20mestrado%20integrado" TargetMode="External"/><Relationship Id="rId602" Type="http://schemas.openxmlformats.org/officeDocument/2006/relationships/hyperlink" Target="https://www.google.com/search?q=site%3Aisla.pt%20Analytics%20e%20Data%20Science%20Empresarial%20p&#243;s-gradua&#231;&#227;o" TargetMode="External"/><Relationship Id="rId1232" Type="http://schemas.openxmlformats.org/officeDocument/2006/relationships/hyperlink" Target="https://www.google.com/search?q=site%3Aipc.pt%20Servi&#231;os%20Jur&#237;dicos%20CTeSP" TargetMode="External"/><Relationship Id="rId4388" Type="http://schemas.openxmlformats.org/officeDocument/2006/relationships/hyperlink" Target="https://www.google.com/search?q=site%3Auc.pt%20Engenharia%20de%20Materiais%20mestrado" TargetMode="External"/><Relationship Id="rId5439" Type="http://schemas.openxmlformats.org/officeDocument/2006/relationships/hyperlink" Target="https://www.google.com/search?q=site%3Aup.pt%20Engenharia%20Eletrot&#233;cnica%20e%20de%20Computadores%20licenciatura" TargetMode="External"/><Relationship Id="rId3057" Type="http://schemas.openxmlformats.org/officeDocument/2006/relationships/hyperlink" Target="https://www.google.com/search?q=site%3Aisvouga.pt%20Solicitadoria%20licenciatura" TargetMode="External"/><Relationship Id="rId4108" Type="http://schemas.openxmlformats.org/officeDocument/2006/relationships/hyperlink" Target="https://www.google.com/search?q=site%3Aupt.pt%20Gest&#227;o%20mestrado" TargetMode="External"/><Relationship Id="rId4455" Type="http://schemas.openxmlformats.org/officeDocument/2006/relationships/hyperlink" Target="https://www.google.com/search?q=site%3Auc.pt%20Novas%20Tecnologias%20para%20a%20Transi&#231;&#227;o%20Digital%20em%20Medicina%20Dent&#225;ria%20mestrado" TargetMode="External"/><Relationship Id="rId5506" Type="http://schemas.openxmlformats.org/officeDocument/2006/relationships/hyperlink" Target="https://www.google.com/search?q=site%3Aup.pt%20Ci&#234;ncias%20da%20Educa&#231;&#227;o%20mestrado" TargetMode="External"/><Relationship Id="rId3471" Type="http://schemas.openxmlformats.org/officeDocument/2006/relationships/hyperlink" Target="https://www.google.com/search?q=site%3Aeuropeia.pt%20Psicologia%20Forense%20%28regime%20de%20ensino%20a%20dist&#226;ncia%29%20mestrado" TargetMode="External"/><Relationship Id="rId4522" Type="http://schemas.openxmlformats.org/officeDocument/2006/relationships/hyperlink" Target="https://www.google.com/search?q=site%3Aulisboa.pt%20Artes%20e%20Humanidades%20licenciatura" TargetMode="External"/><Relationship Id="rId392" Type="http://schemas.openxmlformats.org/officeDocument/2006/relationships/hyperlink" Target="https://www.google.com/search?q=site%3Aisave.pt%20Gerontologia%20CTeSP" TargetMode="External"/><Relationship Id="rId2073" Type="http://schemas.openxmlformats.org/officeDocument/2006/relationships/hyperlink" Target="https://www.google.com/search?q=site%3Aipt.pt%20Constru&#231;&#227;o%20Civil%20CTeSP" TargetMode="External"/><Relationship Id="rId3124" Type="http://schemas.openxmlformats.org/officeDocument/2006/relationships/hyperlink" Target="https://www.google.com/search?q=site%3Acespu.pt%20Enfermagem%20em%20Cuidados%20Intensivos%20Pedi&#225;tricos%20e%20Neonatais%20&#8211;%208.&#170;%20edi&#231;&#227;o%20p&#243;s-gradua&#231;&#227;o" TargetMode="External"/><Relationship Id="rId2140" Type="http://schemas.openxmlformats.org/officeDocument/2006/relationships/hyperlink" Target="https://www.google.com/search?q=site%3Aipt.pt%20Gest&#227;o%20de%20Recursos%20de%20Sa&#250;de%20mestrado" TargetMode="External"/><Relationship Id="rId5296" Type="http://schemas.openxmlformats.org/officeDocument/2006/relationships/hyperlink" Target="https://www.google.com/search?q=site%3Aualg.pt%20Engenharia%20Inform&#225;tica%20licenciatura" TargetMode="External"/><Relationship Id="rId112" Type="http://schemas.openxmlformats.org/officeDocument/2006/relationships/hyperlink" Target="https://www.google.com/search?q=site%3Aesepf.pt%20Educa&#231;&#227;o%20B&#225;sica%20licenciatura" TargetMode="External"/><Relationship Id="rId5363" Type="http://schemas.openxmlformats.org/officeDocument/2006/relationships/hyperlink" Target="https://www.google.com/search?q=site%3Aualg.pt%20Gest&#227;o%20da%20&#193;gua%20e%20da%20Costa%20%28Erasmus%20Mundus%29%20mestrado" TargetMode="External"/><Relationship Id="rId2957" Type="http://schemas.openxmlformats.org/officeDocument/2006/relationships/hyperlink" Target="https://www.google.com/search?q=site%3Aisag.pt%20Gest&#227;o%20de%20Empresas%20mestrado" TargetMode="External"/><Relationship Id="rId5016" Type="http://schemas.openxmlformats.org/officeDocument/2006/relationships/hyperlink" Target="https://www.google.com/search?q=site%3Autad.pt%20Anima&#231;&#227;o%20Sociocultural%20licenciatura" TargetMode="External"/><Relationship Id="rId929" Type="http://schemas.openxmlformats.org/officeDocument/2006/relationships/hyperlink" Target="https://www.google.com/search?q=site%3Aipbeja.pt%20Gest&#227;o%20de%20Programas%20e%20Fundos%20Europeus%20p&#243;s-gradua&#231;&#227;o" TargetMode="External"/><Relationship Id="rId1559" Type="http://schemas.openxmlformats.org/officeDocument/2006/relationships/hyperlink" Target="https://www.google.com/search?q=site%3Aipleiria.pt%20Marketing%20e%20Promo&#231;&#227;o%20Tur&#237;stica%20mestrado" TargetMode="External"/><Relationship Id="rId1973" Type="http://schemas.openxmlformats.org/officeDocument/2006/relationships/hyperlink" Target="https://www.google.com/search?q=site%3Aips.pt%20Desenvolvimento%20de%20Videojogos%20e%20Aplica&#231;&#245;es%20Multim&#233;dia%20CTeSP" TargetMode="External"/><Relationship Id="rId4032" Type="http://schemas.openxmlformats.org/officeDocument/2006/relationships/hyperlink" Target="https://www.google.com/search?q=site%3Aunl.pt%20An&#225;lise%20e%20Gest&#227;o%20de%20Informa&#231;&#227;o%20p&#243;s-gradua&#231;&#227;o" TargetMode="External"/><Relationship Id="rId5430" Type="http://schemas.openxmlformats.org/officeDocument/2006/relationships/hyperlink" Target="https://www.google.com/search?q=site%3Aup.pt%20Ci&#234;ncias%20e%20Tecnologias%20Florestais%20licenciatura" TargetMode="External"/><Relationship Id="rId1626" Type="http://schemas.openxmlformats.org/officeDocument/2006/relationships/hyperlink" Target="https://www.google.com/search?q=site%3Aipl.pt%20Educa&#231;&#227;o%20B&#225;sica%20licenciatura" TargetMode="External"/><Relationship Id="rId3798" Type="http://schemas.openxmlformats.org/officeDocument/2006/relationships/hyperlink" Target="https://www.google.com/search?q=site%3Alusofona.pt%20Rela&#231;&#245;es%20Internacionais%20&#8211;%20Neg&#243;cios%20e%20Diplomacia%20Econ&#243;mica%20p&#243;s-gradua&#231;&#227;o" TargetMode="External"/><Relationship Id="rId4849" Type="http://schemas.openxmlformats.org/officeDocument/2006/relationships/hyperlink" Target="https://www.google.com/search?q=site%3Aulisboa.pt%20Sociedade%2C%20Risco%20e%20Sa&#250;de%20mestrado" TargetMode="External"/><Relationship Id="rId3865" Type="http://schemas.openxmlformats.org/officeDocument/2006/relationships/hyperlink" Target="https://www.google.com/search?q=site%3Aunl.pt%20Bioqu&#237;mica%20mestrado" TargetMode="External"/><Relationship Id="rId4916" Type="http://schemas.openxmlformats.org/officeDocument/2006/relationships/hyperlink" Target="https://www.google.com/search?q=site%3Aulisboa.pt%20Curso%20de%20Atualiza&#231;&#227;o%20em%20Medicamentos%20&#224;%20Base%20de%20Plantas%20p&#243;s-gradua&#231;&#227;o" TargetMode="External"/><Relationship Id="rId786" Type="http://schemas.openxmlformats.org/officeDocument/2006/relationships/hyperlink" Target="https://www.google.com/search?q=site%3Aipg.pt%20Ensino%20do%201.&#186;%20Ciclo%20do%20Ensino%20B&#225;sico%20e%20de%20Matem&#225;tica%20e%20Ci&#234;ncias%20Naturais%20no%202.&#186;%20Ciclo%20do%20Ensino%20B&#225;sico%20mestrado" TargetMode="External"/><Relationship Id="rId2467" Type="http://schemas.openxmlformats.org/officeDocument/2006/relationships/hyperlink" Target="https://www.google.com/search?q=site%3Aipca.pt%20Soldadura%20Avan&#231;ada%20CTeSP" TargetMode="External"/><Relationship Id="rId3518" Type="http://schemas.openxmlformats.org/officeDocument/2006/relationships/hyperlink" Target="https://www.google.com/search?q=site%3Aufp.pt%20Psicologia%20licenciatura" TargetMode="External"/><Relationship Id="rId439" Type="http://schemas.openxmlformats.org/officeDocument/2006/relationships/hyperlink" Target="https://www.google.com/search?q=site%3Aiscte-iul.pt%20Pol&#237;tica%2C%20Economia%20e%20Sociedade%20licenciatura" TargetMode="External"/><Relationship Id="rId1069" Type="http://schemas.openxmlformats.org/officeDocument/2006/relationships/hyperlink" Target="https://www.google.com/search?q=site%3Aipb.pt%20Gest&#227;o%20de%20Recursos%20Florestais%20mestrado" TargetMode="External"/><Relationship Id="rId1483" Type="http://schemas.openxmlformats.org/officeDocument/2006/relationships/hyperlink" Target="https://www.google.com/search?q=site%3Aipleiria.pt%20Sistemas%20Alimentares%20Sustent&#225;veis%20licenciatura" TargetMode="External"/><Relationship Id="rId2881" Type="http://schemas.openxmlformats.org/officeDocument/2006/relationships/hyperlink" Target="https://www.google.com/search?q=site%3Aisdd.pt%20Design%20licenciatura" TargetMode="External"/><Relationship Id="rId3932" Type="http://schemas.openxmlformats.org/officeDocument/2006/relationships/hyperlink" Target="https://www.google.com/search?q=site%3Aunl.pt%20Estat&#237;stica%20e%20Gest&#227;o%20de%20Informa&#231;&#227;o%20mestrado" TargetMode="External"/><Relationship Id="rId506" Type="http://schemas.openxmlformats.org/officeDocument/2006/relationships/hyperlink" Target="https://www.google.com/search?q=site%3Aisec.pt%20Engenharia%20Qu&#237;mica%20licenciatura" TargetMode="External"/><Relationship Id="rId853" Type="http://schemas.openxmlformats.org/officeDocument/2006/relationships/hyperlink" Target="https://www.google.com/search?q=site%3Aipluso.pt%20P&#243;s&#8209;Gradua&#231;&#227;o%20em%20Gest&#227;o%20de%20Marketing%20p&#243;s-gradua&#231;&#227;o" TargetMode="External"/><Relationship Id="rId1136" Type="http://schemas.openxmlformats.org/officeDocument/2006/relationships/hyperlink" Target="https://www.google.com/search?q=site%3Aipcb.pt%20Design%20de%20Interiores%20e%20Equipamento%20licenciatura" TargetMode="External"/><Relationship Id="rId2534" Type="http://schemas.openxmlformats.org/officeDocument/2006/relationships/hyperlink" Target="https://www.google.com/search?q=site%3Aipca.pt%20Contabilidade%20e%20Gest&#227;o%20Financeira%20na%20Administra&#231;&#227;o%20P&#250;blica%20%28em%20cons&#243;rcio%29%20p&#243;s-gradua&#231;&#227;o" TargetMode="External"/><Relationship Id="rId920" Type="http://schemas.openxmlformats.org/officeDocument/2006/relationships/hyperlink" Target="https://www.google.com/search?q=site%3Aipbeja.pt%20Engenharia%20Inform&#225;tica%20e%20Internet%20das%20Coisas%20mestrado" TargetMode="External"/><Relationship Id="rId1550" Type="http://schemas.openxmlformats.org/officeDocument/2006/relationships/hyperlink" Target="https://www.google.com/search?q=site%3Aipleiria.pt%20Gest&#227;o%20Cultural%20mestrado" TargetMode="External"/><Relationship Id="rId2601" Type="http://schemas.openxmlformats.org/officeDocument/2006/relationships/hyperlink" Target="https://www.google.com/search?q=site%3Aipp.pt%20Qualidade%20Ambiental%20em%20Piscinas%20CTeSP" TargetMode="External"/><Relationship Id="rId5757" Type="http://schemas.openxmlformats.org/officeDocument/2006/relationships/hyperlink" Target="https://www.google.com/search?q=site%3Auac.pt%20Direito%20Registal%20e%20Notarial%20&#8211;%2012.&#170;%20edi&#231;&#227;o%20p&#243;s-gradua&#231;&#227;o" TargetMode="External"/><Relationship Id="rId1203" Type="http://schemas.openxmlformats.org/officeDocument/2006/relationships/hyperlink" Target="https://www.google.com/search?q=site%3Aipc.pt%20Agrotecnologia%20CTeSP" TargetMode="External"/><Relationship Id="rId4359" Type="http://schemas.openxmlformats.org/officeDocument/2006/relationships/hyperlink" Target="https://www.google.com/search?q=site%3Auc.pt%20Constru&#231;&#227;o%20em%20Madeira%20mestrado" TargetMode="External"/><Relationship Id="rId4773" Type="http://schemas.openxmlformats.org/officeDocument/2006/relationships/hyperlink" Target="https://www.google.com/search?q=site%3Aulisboa.pt%20Higiene%20Oral%20mestrado" TargetMode="External"/><Relationship Id="rId3375" Type="http://schemas.openxmlformats.org/officeDocument/2006/relationships/hyperlink" Target="https://www.google.com/search?q=site%3Aucp.pt%20Sustentabilidade%20e%20Impacto%20%28Gest&#227;o%20de%20Impacto%20e%20Sustentabilidade%29%20p&#243;s-gradua&#231;&#227;o" TargetMode="External"/><Relationship Id="rId4426" Type="http://schemas.openxmlformats.org/officeDocument/2006/relationships/hyperlink" Target="https://www.google.com/search?q=site%3Auc.pt%20Gest&#227;o%20mestrado" TargetMode="External"/><Relationship Id="rId4840" Type="http://schemas.openxmlformats.org/officeDocument/2006/relationships/hyperlink" Target="https://www.google.com/search?q=site%3Aulisboa.pt%20Seguran&#231;a%20Alimentar%20mestrado" TargetMode="External"/><Relationship Id="rId296" Type="http://schemas.openxmlformats.org/officeDocument/2006/relationships/hyperlink" Target="https://www.google.com/search?q=site%3Aesscvp.eu%20Fisioterapia%20licenciatura" TargetMode="External"/><Relationship Id="rId2391" Type="http://schemas.openxmlformats.org/officeDocument/2006/relationships/hyperlink" Target="https://www.google.com/search?q=site%3Aipv.pt%20Ensino%20de%20Educa&#231;&#227;o%20Visual%20e%20Tecnol&#243;gica%20no%20Ensino%20B&#225;sico%20mestrado" TargetMode="External"/><Relationship Id="rId3028" Type="http://schemas.openxmlformats.org/officeDocument/2006/relationships/hyperlink" Target="https://www.google.com/search?q=site%3Aiscia.pt%20Prote&#231;&#227;o%20Civil%20e%20Socorro%20%28novo%20plano%29%20CTeSP" TargetMode="External"/><Relationship Id="rId3442" Type="http://schemas.openxmlformats.org/officeDocument/2006/relationships/hyperlink" Target="https://www.google.com/search?q=site%3Aeuropeia.pt%20Design%20de%20Jogos%20%28regime%20de%20ensino%20a%20dist&#226;ncia%29%20mestrado" TargetMode="External"/><Relationship Id="rId363" Type="http://schemas.openxmlformats.org/officeDocument/2006/relationships/hyperlink" Target="https://www.google.com/search?q=site%3Asantamaria.pt%20P&#243;s&#8209;Gradua&#231;&#227;o%20em%20Emerg&#234;ncia%2C%20Trauma%20e%20Cat&#225;strofe%20p&#243;s-gradua&#231;&#227;o" TargetMode="External"/><Relationship Id="rId2044" Type="http://schemas.openxmlformats.org/officeDocument/2006/relationships/hyperlink" Target="https://www.google.com/search?q=site%3Aips.pt%20Ensino%20do%201.&#186;%20Ciclo%20do%20Ensino%20B&#225;sico%20e%20de%20Matem&#225;tica%20e%20Ci&#234;ncias%20Naturais%20no%202.&#186;%20Ciclo%20do%20Ensino%20B&#225;sico%20mestrado" TargetMode="External"/><Relationship Id="rId430" Type="http://schemas.openxmlformats.org/officeDocument/2006/relationships/hyperlink" Target="https://www.google.com/search?q=site%3Aiscte-iul.pt%20Finan&#231;as%20e%20Contabilidade%20licenciatura" TargetMode="External"/><Relationship Id="rId1060" Type="http://schemas.openxmlformats.org/officeDocument/2006/relationships/hyperlink" Target="https://www.google.com/search?q=site%3Aipb.pt%20Engenharia%20Mec&#226;nica%20mestrado" TargetMode="External"/><Relationship Id="rId2111" Type="http://schemas.openxmlformats.org/officeDocument/2006/relationships/hyperlink" Target="https://www.google.com/search?q=site%3Aipt.pt%20Comunica&#231;&#227;o%20Social%3A%20Jornalismo%20e%20Comunica&#231;&#227;o%20Empresarial%20licenciatura" TargetMode="External"/><Relationship Id="rId5267" Type="http://schemas.openxmlformats.org/officeDocument/2006/relationships/hyperlink" Target="https://www.google.com/search?q=site%3Aualg.pt%20Sistemas%20e%20Tecnologias%20de%20Informa&#231;&#227;o%20CTeSP" TargetMode="External"/><Relationship Id="rId5681" Type="http://schemas.openxmlformats.org/officeDocument/2006/relationships/hyperlink" Target="https://www.google.com/search?q=site%3Aup.pt%20Medicina%20Dent&#225;ria%20mestrado%20integrado" TargetMode="External"/><Relationship Id="rId1877" Type="http://schemas.openxmlformats.org/officeDocument/2006/relationships/hyperlink" Target="https://www.google.com/search?q=site%3Aipsantarem.pt%20Gest&#227;o%20das%20Organiza&#231;&#245;es%20Desportivas%20licenciatura" TargetMode="External"/><Relationship Id="rId2928" Type="http://schemas.openxmlformats.org/officeDocument/2006/relationships/hyperlink" Target="https://www.google.com/search?q=site%3Aispgaya.pt%20Energias%20Renov&#225;veis%20e%20Efici&#234;ncia%20Energ&#233;tica%20CTeSP" TargetMode="External"/><Relationship Id="rId4283" Type="http://schemas.openxmlformats.org/officeDocument/2006/relationships/hyperlink" Target="https://www.google.com/search?q=site%3Auc.pt%20Constru&#231;&#227;o%20Digital%20licenciatura" TargetMode="External"/><Relationship Id="rId5334" Type="http://schemas.openxmlformats.org/officeDocument/2006/relationships/hyperlink" Target="https://www.google.com/search?q=site%3Aualg.pt%20Design%20de%20Comunica&#231;&#227;o%20para%20o%20Turismo%20e%20Cultura%20mestrado" TargetMode="External"/><Relationship Id="rId1944" Type="http://schemas.openxmlformats.org/officeDocument/2006/relationships/hyperlink" Target="https://www.google.com/search?q=site%3Acespu.pt%20Cuidados%20Continuados%20e%20Paliativos%20&#8211;%2030.&#170;%20edi&#231;&#227;o%20p&#243;s-gradua&#231;&#227;o" TargetMode="External"/><Relationship Id="rId4350" Type="http://schemas.openxmlformats.org/officeDocument/2006/relationships/hyperlink" Target="https://www.google.com/search?q=site%3Auc.pt%20Biotecnologia%20Farmac&#234;utica%20mestrado" TargetMode="External"/><Relationship Id="rId5401" Type="http://schemas.openxmlformats.org/officeDocument/2006/relationships/hyperlink" Target="https://www.google.com/search?q=site%3Aualg.pt%20Matem&#225;tica%20para%20o%20Ensino%20p&#243;s-gradua&#231;&#227;o" TargetMode="External"/><Relationship Id="rId4003" Type="http://schemas.openxmlformats.org/officeDocument/2006/relationships/hyperlink" Target="https://www.google.com/search?q=site%3Aunl.pt%20Sa&#250;de%20P&#250;blica%20e%20Desenvolvimento%20mestrado" TargetMode="External"/><Relationship Id="rId3769" Type="http://schemas.openxmlformats.org/officeDocument/2006/relationships/hyperlink" Target="https://www.google.com/search?q=site%3Alusofona.pt%20Employee%20Experience%20Management%20p&#243;s-gradua&#231;&#227;o" TargetMode="External"/><Relationship Id="rId5191" Type="http://schemas.openxmlformats.org/officeDocument/2006/relationships/hyperlink" Target="https://www.google.com/search?q=site%3Auevora.pt%20Engenharia%20da%20Energia%20Solar%20mestrado" TargetMode="External"/><Relationship Id="rId2785" Type="http://schemas.openxmlformats.org/officeDocument/2006/relationships/hyperlink" Target="https://www.google.com/search?q=site%3Aipp.pt%20T&#233;cnicas%20Laboratoriais%20em%20Biopatologia%20mestrado" TargetMode="External"/><Relationship Id="rId3836" Type="http://schemas.openxmlformats.org/officeDocument/2006/relationships/hyperlink" Target="https://www.google.com/search?q=site%3Aunl.pt%20Estudos%20do%20Mar%20licenciatura" TargetMode="External"/><Relationship Id="rId757" Type="http://schemas.openxmlformats.org/officeDocument/2006/relationships/hyperlink" Target="https://www.google.com/search?q=site%3Aipg.pt%20Desporto%2C%20Condi&#231;&#227;o%20F&#237;sica%20e%20Sa&#250;de%20licenciatura" TargetMode="External"/><Relationship Id="rId1387" Type="http://schemas.openxmlformats.org/officeDocument/2006/relationships/hyperlink" Target="https://www.google.com/search?q=site%3Aipleiria.pt%20Comunica&#231;&#227;o%20Digital%20CTeSP" TargetMode="External"/><Relationship Id="rId2438" Type="http://schemas.openxmlformats.org/officeDocument/2006/relationships/hyperlink" Target="https://www.google.com/search?q=site%3Aipca.pt%20Gest&#227;o%20das%20Instala&#231;&#245;es%20Desportivas%20e%20Desporto%20CTeSP" TargetMode="External"/><Relationship Id="rId2852" Type="http://schemas.openxmlformats.org/officeDocument/2006/relationships/hyperlink" Target="https://www.google.com/search?q=site%3Aipam.pt%20Inova&#231;&#227;o%20em%20Marketing%20e%20Neg&#243;cios%20%28regime%20de%20ensino%20a%20dist&#226;ncia%29%20mestrado" TargetMode="External"/><Relationship Id="rId3903" Type="http://schemas.openxmlformats.org/officeDocument/2006/relationships/hyperlink" Target="https://www.google.com/search?q=site%3Aunl.pt%20Engenharia%20Civil%20mestrado" TargetMode="External"/><Relationship Id="rId93" Type="http://schemas.openxmlformats.org/officeDocument/2006/relationships/hyperlink" Target="https://www.google.com/search?q=site%3Ajoaodedeus.pt%20Comunica&#231;&#227;o%20em%20L&#237;ngua%20Gestual%20Portuguesa%20p&#243;s-gradua&#231;&#227;o" TargetMode="External"/><Relationship Id="rId824" Type="http://schemas.openxmlformats.org/officeDocument/2006/relationships/hyperlink" Target="https://www.google.com/search?q=site%3Aipluso.pt%20Marketing%20Digital%20CTeSP" TargetMode="External"/><Relationship Id="rId1454" Type="http://schemas.openxmlformats.org/officeDocument/2006/relationships/hyperlink" Target="https://www.google.com/search?q=site%3Aipleiria.pt%20Desporto%20e%20Bem-Estar%20licenciatura" TargetMode="External"/><Relationship Id="rId2505" Type="http://schemas.openxmlformats.org/officeDocument/2006/relationships/hyperlink" Target="https://www.google.com/search?q=site%3Aipca.pt%20Fiscalidade%20mestrado" TargetMode="External"/><Relationship Id="rId1107" Type="http://schemas.openxmlformats.org/officeDocument/2006/relationships/hyperlink" Target="https://www.google.com/search?q=site%3Aipcb.pt%20Assessoria%20e%20Comunica&#231;&#227;o%20Empresarial%20CTeSP" TargetMode="External"/><Relationship Id="rId1521" Type="http://schemas.openxmlformats.org/officeDocument/2006/relationships/hyperlink" Target="https://www.google.com/search?q=site%3Aipleiria.pt%20Educa&#231;&#227;o%20Matem&#225;tica%20no%20Pr&#233;-Escolar%20e%201.&#186;%20ciclo%20do%20Ensino%20B&#225;sico%20mestrado" TargetMode="External"/><Relationship Id="rId4677" Type="http://schemas.openxmlformats.org/officeDocument/2006/relationships/hyperlink" Target="https://www.google.com/search?q=site%3Aulisboa.pt%20Ecologia%20Marinha%20mestrado" TargetMode="External"/><Relationship Id="rId5728" Type="http://schemas.openxmlformats.org/officeDocument/2006/relationships/hyperlink" Target="https://www.google.com/search?q=site%3Auac.pt%20Ensino%20de%20Matem&#225;tica%20no%203.&#186;%20Ciclo%20do%20Ensino%20B&#225;sico%20e%20no%20Secund&#225;rio%20mestrado" TargetMode="External"/><Relationship Id="rId3279" Type="http://schemas.openxmlformats.org/officeDocument/2006/relationships/hyperlink" Target="https://www.google.com/search?q=site%3Aucp.pt%20Direito%20Transnacional%20mestrado" TargetMode="External"/><Relationship Id="rId3693" Type="http://schemas.openxmlformats.org/officeDocument/2006/relationships/hyperlink" Target="https://www.google.com/search?q=site%3Alusofona.pt%20Forma&#231;&#227;o%20de%20Atores%20&#8211;%20cinema%2C%20televis&#227;o%2C%20teatro%20licenciatura" TargetMode="External"/><Relationship Id="rId2295" Type="http://schemas.openxmlformats.org/officeDocument/2006/relationships/hyperlink" Target="https://www.google.com/search?q=site%3Aipv.pt%20Agricultura%20Biol&#243;gica%20CTeSP" TargetMode="External"/><Relationship Id="rId3346" Type="http://schemas.openxmlformats.org/officeDocument/2006/relationships/hyperlink" Target="https://www.google.com/search?q=site%3Aucp.pt%20Medicina%20Dent&#225;ria%20mestrado%20integrado" TargetMode="External"/><Relationship Id="rId4744" Type="http://schemas.openxmlformats.org/officeDocument/2006/relationships/hyperlink" Target="https://www.google.com/search?q=site%3Aulisboa.pt%20Estudos%20Brasileiros%20mestrado" TargetMode="External"/><Relationship Id="rId267" Type="http://schemas.openxmlformats.org/officeDocument/2006/relationships/hyperlink" Target="https://www.google.com/search?q=site%3Aesscvp.eu%20Osteopatia%20licenciatura" TargetMode="External"/><Relationship Id="rId3760" Type="http://schemas.openxmlformats.org/officeDocument/2006/relationships/hyperlink" Target="https://www.google.com/search?q=site%3Alusofona.pt%20Ciberseguran&#231;a%20para%20Gestores%20p&#243;s-gradua&#231;&#227;o" TargetMode="External"/><Relationship Id="rId4811" Type="http://schemas.openxmlformats.org/officeDocument/2006/relationships/hyperlink" Target="https://www.google.com/search?q=site%3Aulisboa.pt%20Neuroci&#234;ncias%20mestrado" TargetMode="External"/><Relationship Id="rId681" Type="http://schemas.openxmlformats.org/officeDocument/2006/relationships/hyperlink" Target="https://www.google.com/search?q=site%3Aiees.pt%20Desporto%20licenciatura" TargetMode="External"/><Relationship Id="rId2362" Type="http://schemas.openxmlformats.org/officeDocument/2006/relationships/hyperlink" Target="https://www.google.com/search?q=site%3Aipv.pt%20Gest&#227;o%20e%20Inform&#225;tica%20licenciatura" TargetMode="External"/><Relationship Id="rId3413" Type="http://schemas.openxmlformats.org/officeDocument/2006/relationships/hyperlink" Target="https://www.google.com/search?q=site%3Aeuropeia.pt%20Gest&#227;o%20do%20Desporto%20licenciatura" TargetMode="External"/><Relationship Id="rId334" Type="http://schemas.openxmlformats.org/officeDocument/2006/relationships/hyperlink" Target="https://www.google.com/search?q=site%3Aess.ufp.pt%20Inova&#231;&#227;o%20Tecnol&#243;gica%20em%20Sa&#250;de%3A%20Dermofarm&#225;cia%20e%20Cosm&#233;tica%20p&#243;s-gradua&#231;&#227;o" TargetMode="External"/><Relationship Id="rId2015" Type="http://schemas.openxmlformats.org/officeDocument/2006/relationships/hyperlink" Target="https://www.google.com/search?q=site%3Aips.pt%20Gest&#227;o%20da%20Distribui&#231;&#227;o%20e%20da%20Log&#237;stica%20licenciatura" TargetMode="External"/><Relationship Id="rId5585" Type="http://schemas.openxmlformats.org/officeDocument/2006/relationships/hyperlink" Target="https://www.google.com/search?q=site%3Aup.pt%20Estudos%20de%20Arte%20mestrado" TargetMode="External"/><Relationship Id="rId401" Type="http://schemas.openxmlformats.org/officeDocument/2006/relationships/hyperlink" Target="https://www.google.com/search?q=site%3Aisave.pt%20Cuidados%20Continuados%20Paliativos%20&#8211;%202.&#170;%20edi&#231;&#227;o%20//%20Chaves%20p&#243;s-gradua&#231;&#227;o" TargetMode="External"/><Relationship Id="rId1031" Type="http://schemas.openxmlformats.org/officeDocument/2006/relationships/hyperlink" Target="https://www.google.com/search?q=site%3Aipb.pt%20Rela&#231;&#245;es%20Lus&#243;fonas%20e%20L&#237;ngua%20Portuguesa%20licenciatura" TargetMode="External"/><Relationship Id="rId4187" Type="http://schemas.openxmlformats.org/officeDocument/2006/relationships/hyperlink" Target="https://www.google.com/search?q=site%3Aismai.pt%20Psicologia%20Cl&#237;nica%20e%20da%20Sa&#250;de%20mestrado" TargetMode="External"/><Relationship Id="rId5238" Type="http://schemas.openxmlformats.org/officeDocument/2006/relationships/hyperlink" Target="https://www.google.com/search?q=site%3Auevora.pt%20Nutri&#231;&#227;o%20Vegetal%2C%20Fertilidade%20do%20Solo%20e%20Fertiliza&#231;&#227;o%20das%20Culturas%20p&#243;s-gradua&#231;&#227;o" TargetMode="External"/><Relationship Id="rId5652" Type="http://schemas.openxmlformats.org/officeDocument/2006/relationships/hyperlink" Target="https://www.google.com/search?q=site%3Aup.pt%20Seguran&#231;a%20Inform&#225;tica%20mestrado" TargetMode="External"/><Relationship Id="rId4254" Type="http://schemas.openxmlformats.org/officeDocument/2006/relationships/hyperlink" Target="https://www.google.com/search?q=site%3Aua.pt%20Engenharia%20de%20Fabrico%20Digital%20mestrado" TargetMode="External"/><Relationship Id="rId5305" Type="http://schemas.openxmlformats.org/officeDocument/2006/relationships/hyperlink" Target="https://www.google.com/search?q=site%3Aualg.pt%20Gest&#227;o%20Marinha%20e%20Costeira%20licenciatura" TargetMode="External"/><Relationship Id="rId1848" Type="http://schemas.openxmlformats.org/officeDocument/2006/relationships/hyperlink" Target="https://www.google.com/search?q=site%3Aipsantarem.pt%20Prote&#231;&#227;o%20e%20Apoio%20&#224;%20Pessoa%20Idosa%20CTeSP" TargetMode="External"/><Relationship Id="rId3270" Type="http://schemas.openxmlformats.org/officeDocument/2006/relationships/hyperlink" Target="https://www.google.com/search?q=site%3Aucp.pt%20Ci&#234;ncias%20da%20Comunica&#231;&#227;o%20mestrado" TargetMode="External"/><Relationship Id="rId4321" Type="http://schemas.openxmlformats.org/officeDocument/2006/relationships/hyperlink" Target="https://www.google.com/search?q=site%3Auc.pt%20Portugu&#234;s%20licenciatura" TargetMode="External"/><Relationship Id="rId191" Type="http://schemas.openxmlformats.org/officeDocument/2006/relationships/hyperlink" Target="https://www.google.com/search?q=site%3Aesna.pt%20Gest&#227;o%20e%20Neg&#243;cios%20%28regime%20de%20ensino%20a%20dist&#226;ncia%29%20licenciatura" TargetMode="External"/><Relationship Id="rId1915" Type="http://schemas.openxmlformats.org/officeDocument/2006/relationships/hyperlink" Target="https://www.google.com/search?q=site%3Aipsantarem.pt%20Inova&#231;&#227;o%20Digital%20p&#243;s-gradua&#231;&#227;o" TargetMode="External"/><Relationship Id="rId5095" Type="http://schemas.openxmlformats.org/officeDocument/2006/relationships/hyperlink" Target="https://www.google.com/search?q=site%3Autad.pt%20Engenharia%20Civil%20mestrado" TargetMode="External"/><Relationship Id="rId2689" Type="http://schemas.openxmlformats.org/officeDocument/2006/relationships/hyperlink" Target="https://www.google.com/search?q=site%3Aipp.pt%20Terapia%20Ocupacional%20licenciatura" TargetMode="External"/><Relationship Id="rId2756" Type="http://schemas.openxmlformats.org/officeDocument/2006/relationships/hyperlink" Target="https://www.google.com/search?q=site%3Aipp.pt%20Gest&#227;o%20e%20Internacionaliza&#231;&#227;o%20de%20Empresas%20mestrado" TargetMode="External"/><Relationship Id="rId3807" Type="http://schemas.openxmlformats.org/officeDocument/2006/relationships/hyperlink" Target="https://www.google.com/search?q=site%3Aunl.pt%20Biologia%20Celular%20e%20Molecular%20licenciatura" TargetMode="External"/><Relationship Id="rId5162" Type="http://schemas.openxmlformats.org/officeDocument/2006/relationships/hyperlink" Target="https://www.google.com/search?q=site%3Auevora.pt%20Estudos%20do%20Mar%20licenciatura" TargetMode="External"/><Relationship Id="rId728" Type="http://schemas.openxmlformats.org/officeDocument/2006/relationships/hyperlink" Target="https://www.google.com/search?q=site%3Aipg.pt%20Gest&#227;o%20de%20Restaura&#231;&#227;o%20e%20Bebidas%20CTeSP" TargetMode="External"/><Relationship Id="rId1358" Type="http://schemas.openxmlformats.org/officeDocument/2006/relationships/hyperlink" Target="https://www.google.com/search?q=site%3Aipc.pt%20Gest&#227;o%20Veterin&#225;ria%20p&#243;s-gradua&#231;&#227;o" TargetMode="External"/><Relationship Id="rId1772" Type="http://schemas.openxmlformats.org/officeDocument/2006/relationships/hyperlink" Target="https://www.google.com/search?q=site%3Aipportalegre.pt%20Secretariado%20de%20Administra&#231;&#227;o%20CTeSP" TargetMode="External"/><Relationship Id="rId2409" Type="http://schemas.openxmlformats.org/officeDocument/2006/relationships/hyperlink" Target="https://www.google.com/search?q=site%3Aipv.pt%20Engenharia%20de%20Constru&#231;&#227;o%20e%20Reabilita&#231;&#227;o%20p&#243;s-gradua&#231;&#227;o" TargetMode="External"/><Relationship Id="rId64" Type="http://schemas.openxmlformats.org/officeDocument/2006/relationships/hyperlink" Target="https://www.google.com/search?q=site%3Aesap.pt%20Produ&#231;&#227;o%20Cinematogr&#225;fica%20p&#243;s-gradua&#231;&#227;o" TargetMode="External"/><Relationship Id="rId1425" Type="http://schemas.openxmlformats.org/officeDocument/2006/relationships/hyperlink" Target="https://www.google.com/search?q=site%3Aipleiria.pt%20Prototipagem%20Digital%20e%20Desenho%203D%20CTeSP" TargetMode="External"/><Relationship Id="rId2823" Type="http://schemas.openxmlformats.org/officeDocument/2006/relationships/hyperlink" Target="https://www.google.com/search?q=site%3Aipp.pt%20MBA%20Pr&#233;&#8209;Executivo%20%28segundo%20plano%20repetido%29%20p&#243;s-gradua&#231;&#227;o" TargetMode="External"/><Relationship Id="rId4995" Type="http://schemas.openxmlformats.org/officeDocument/2006/relationships/hyperlink" Target="https://www.google.com/search?q=site%3Aulisboa.pt%20P&#243;s-Gradua&#231;&#227;o%20em%20Ci&#234;ncias%20Jur&#237;dico-Forenses%20p&#243;s-gradua&#231;&#227;o" TargetMode="External"/><Relationship Id="rId2199" Type="http://schemas.openxmlformats.org/officeDocument/2006/relationships/hyperlink" Target="https://www.google.com/search?q=site%3Aipvc.pt%20Termalismo%20e%20Bem-Estar%20CTeSP" TargetMode="External"/><Relationship Id="rId3597" Type="http://schemas.openxmlformats.org/officeDocument/2006/relationships/hyperlink" Target="https://www.google.com/search?q=site%3Aulusiada.pt%20Direito%20mestrado" TargetMode="External"/><Relationship Id="rId4648" Type="http://schemas.openxmlformats.org/officeDocument/2006/relationships/hyperlink" Target="https://www.google.com/search?q=site%3Aulisboa.pt%20Ci&#234;ncias%20e%20Tecnologias%20da%20Sa&#250;de%20Oral%20mestrado" TargetMode="External"/><Relationship Id="rId3664" Type="http://schemas.openxmlformats.org/officeDocument/2006/relationships/hyperlink" Target="https://www.google.com/search?q=site%3Alusofona.pt%20Ci&#234;ncias%20da%20Engenharia%20Aeroespacial%20licenciatura" TargetMode="External"/><Relationship Id="rId4715" Type="http://schemas.openxmlformats.org/officeDocument/2006/relationships/hyperlink" Target="https://www.google.com/search?q=site%3Aulisboa.pt%20Engenharia%20de%20Telecomunica&#231;&#245;es%20e%20Inform&#225;tica%20mestrado" TargetMode="External"/><Relationship Id="rId585" Type="http://schemas.openxmlformats.org/officeDocument/2006/relationships/hyperlink" Target="https://www.google.com/search?q=site%3Aiseclisboa.pt%20Seguran&#231;a%20contra%20Inc&#234;ndio%20em%20Edif&#237;cios%20p&#243;s-gradua&#231;&#227;o" TargetMode="External"/><Relationship Id="rId2266" Type="http://schemas.openxmlformats.org/officeDocument/2006/relationships/hyperlink" Target="https://www.google.com/search?q=site%3Aipvc.pt%20Ensino%20do%201.&#186;%20Ciclo%20do%20Ensino%20B&#225;sico%20e%20de%20Portugu&#234;s%20e%20Hist&#243;ria%20e%20Geografia%20de%20Portugal%20no%202.&#186;%20Ciclo%20do%20Ensino%20B&#225;sico%20mestrado" TargetMode="External"/><Relationship Id="rId2680" Type="http://schemas.openxmlformats.org/officeDocument/2006/relationships/hyperlink" Target="https://www.google.com/search?q=site%3Aipp.pt%20Solicitadoria%20licenciatura" TargetMode="External"/><Relationship Id="rId3317" Type="http://schemas.openxmlformats.org/officeDocument/2006/relationships/hyperlink" Target="https://www.google.com/search?q=site%3Aucp.pt%20Imunologia%20e%20Vacinologia%20mestrado" TargetMode="External"/><Relationship Id="rId3731" Type="http://schemas.openxmlformats.org/officeDocument/2006/relationships/hyperlink" Target="https://www.google.com/search?q=site%3Alusofona.pt%20Comunica&#231;&#227;o%2C%20Redes%20e%20Tecnologias%20mestrado" TargetMode="External"/><Relationship Id="rId238" Type="http://schemas.openxmlformats.org/officeDocument/2006/relationships/hyperlink" Target="https://www.google.com/search?q=site%3Aegasmoniz.edu.pt%20Psicologia%20Forense%20e%20Criminal%20mestrado" TargetMode="External"/><Relationship Id="rId652" Type="http://schemas.openxmlformats.org/officeDocument/2006/relationships/hyperlink" Target="https://www.google.com/search?q=site%3Aistec.pt%20Engenharia%20Multim&#233;dia%20licenciatura" TargetMode="External"/><Relationship Id="rId1282" Type="http://schemas.openxmlformats.org/officeDocument/2006/relationships/hyperlink" Target="https://www.google.com/search?q=site%3Aipc.pt%20Teatro%20e%20Educa&#231;&#227;o%20licenciatura" TargetMode="External"/><Relationship Id="rId2333" Type="http://schemas.openxmlformats.org/officeDocument/2006/relationships/hyperlink" Target="https://www.google.com/search?q=site%3Aipv.pt%20Transportes%20e%20Log&#237;stica%20CTeSP" TargetMode="External"/><Relationship Id="rId5489" Type="http://schemas.openxmlformats.org/officeDocument/2006/relationships/hyperlink" Target="https://www.google.com/search?q=site%3Aup.pt%20Bioinform&#225;tica%20e%20Biologia%20Computacional%20mestrado" TargetMode="External"/><Relationship Id="rId305" Type="http://schemas.openxmlformats.org/officeDocument/2006/relationships/hyperlink" Target="https://www.google.com/search?q=site%3Aesscvp.eu%20Enfermagem%20M&#233;dico-Cir&#250;rgica%2C%20na%20&#225;rea%20de%20Enfermagem%20&#224;%20Pessoa%20em%20Situa&#231;&#227;o%20Perioperat&#243;ria%20mestrado" TargetMode="External"/><Relationship Id="rId2400" Type="http://schemas.openxmlformats.org/officeDocument/2006/relationships/hyperlink" Target="https://www.google.com/search?q=site%3Aipv.pt%20Marketing%20mestrado" TargetMode="External"/><Relationship Id="rId5556" Type="http://schemas.openxmlformats.org/officeDocument/2006/relationships/hyperlink" Target="https://www.google.com/search?q=site%3Aup.pt%20Engenharia%20de%20Software%20mestrado" TargetMode="External"/><Relationship Id="rId1002" Type="http://schemas.openxmlformats.org/officeDocument/2006/relationships/hyperlink" Target="https://www.google.com/search?q=site%3Aipb.pt%20Educa&#231;&#227;o%20Social%20licenciatura" TargetMode="External"/><Relationship Id="rId4158" Type="http://schemas.openxmlformats.org/officeDocument/2006/relationships/hyperlink" Target="https://www.google.com/search?q=site%3Auma.pt%20Perspetivas%20Atuais%2C%20Acompanhamento%20e%20Inser&#231;&#227;o%20em%20Servi&#231;o%20Social%20p&#243;s-gradua&#231;&#227;o" TargetMode="External"/><Relationship Id="rId5209" Type="http://schemas.openxmlformats.org/officeDocument/2006/relationships/hyperlink" Target="https://www.google.com/search?q=site%3Auevora.pt%20Qu&#237;mica%20mestrado" TargetMode="External"/><Relationship Id="rId3174" Type="http://schemas.openxmlformats.org/officeDocument/2006/relationships/hyperlink" Target="https://www.google.com/search?q=site%3Auab.pt%20Estudos%20de%20L&#237;ngua%20Portuguesa%20mestrado" TargetMode="External"/><Relationship Id="rId4572" Type="http://schemas.openxmlformats.org/officeDocument/2006/relationships/hyperlink" Target="https://www.google.com/search?q=site%3Aulisboa.pt%20Escultura%20licenciatura" TargetMode="External"/><Relationship Id="rId5623" Type="http://schemas.openxmlformats.org/officeDocument/2006/relationships/hyperlink" Target="https://www.google.com/search?q=site%3Aup.pt%20Microbiologia%20em%20Sa&#250;de%20mestrado" TargetMode="External"/><Relationship Id="rId1819" Type="http://schemas.openxmlformats.org/officeDocument/2006/relationships/hyperlink" Target="https://www.google.com/search?q=site%3Aipportalegre.pt%20Tecnologias%20de%20Valoriza&#231;&#227;o%20Ambiental%20e%20Produ&#231;&#227;o%20de%20Energia%20mestrado" TargetMode="External"/><Relationship Id="rId4225" Type="http://schemas.openxmlformats.org/officeDocument/2006/relationships/hyperlink" Target="https://www.google.com/search?q=site%3Aua.pt%20Termalismo%20e%20Bem&#8209;estar%20CTeSP" TargetMode="External"/><Relationship Id="rId2190" Type="http://schemas.openxmlformats.org/officeDocument/2006/relationships/hyperlink" Target="https://www.google.com/search?q=site%3Aipvc.pt%20Processo%20Industrial%20CTeSP" TargetMode="External"/><Relationship Id="rId3241" Type="http://schemas.openxmlformats.org/officeDocument/2006/relationships/hyperlink" Target="https://www.google.com/search?q=site%3Aucp.pt%20Estudos%20Portugueses%20e%20Espanh&#243;is%20licenciatura" TargetMode="External"/><Relationship Id="rId162" Type="http://schemas.openxmlformats.org/officeDocument/2006/relationships/hyperlink" Target="https://www.google.com/search?q=site%3Asjcluny.org%20Cuidar%20para%20a%20Viabilidade%20Tecidular%20p&#243;s-gradua&#231;&#227;o" TargetMode="External"/><Relationship Id="rId979" Type="http://schemas.openxmlformats.org/officeDocument/2006/relationships/hyperlink" Target="https://www.google.com/search?q=site%3Aipb.pt%20Restaura&#231;&#227;o%20e%20Inova&#231;&#227;o%20Alimentar%20CTeSP" TargetMode="External"/><Relationship Id="rId5066" Type="http://schemas.openxmlformats.org/officeDocument/2006/relationships/hyperlink" Target="https://www.google.com/search?q=site%3Autad.pt%20Arquitetura%20Paisagista%20mestrado" TargetMode="External"/><Relationship Id="rId5480" Type="http://schemas.openxmlformats.org/officeDocument/2006/relationships/hyperlink" Target="https://www.google.com/search?q=site%3Aup.pt%20Atividade%20F&#237;sica%20Adaptada%20mestrado" TargetMode="External"/><Relationship Id="rId4082" Type="http://schemas.openxmlformats.org/officeDocument/2006/relationships/hyperlink" Target="https://www.google.com/search?q=site%3Aunl.pt%20Tecnologia%20e%20Qualidade%20Alimentar%20p&#243;s-gradua&#231;&#227;o" TargetMode="External"/><Relationship Id="rId5133" Type="http://schemas.openxmlformats.org/officeDocument/2006/relationships/hyperlink" Target="https://www.google.com/search?q=site%3Autad.pt%20Tecnologias%20Digitais%20Aplicadas%20&#224;s%20Ci&#234;ncias%20Agr&#225;rias%20e%20Veterin&#225;rias%20mestrado" TargetMode="External"/><Relationship Id="rId1676" Type="http://schemas.openxmlformats.org/officeDocument/2006/relationships/hyperlink" Target="https://www.google.com/search?q=site%3Aipl.pt%20Engenharia%20Biom&#233;dica%20mestrado" TargetMode="External"/><Relationship Id="rId2727" Type="http://schemas.openxmlformats.org/officeDocument/2006/relationships/hyperlink" Target="https://www.google.com/search?q=site%3Aipp.pt%20Engenharia%20Inform&#225;tica%20mestrado" TargetMode="External"/><Relationship Id="rId1329" Type="http://schemas.openxmlformats.org/officeDocument/2006/relationships/hyperlink" Target="https://www.google.com/search?q=site%3Aipc.pt%20Intera&#231;&#227;o%20Humano&#8209;Computador%20%28HCI%3A%20Human&#8209;Computer%20Interaction%29%20mestrado" TargetMode="External"/><Relationship Id="rId1743" Type="http://schemas.openxmlformats.org/officeDocument/2006/relationships/hyperlink" Target="https://www.google.com/search?q=site%3Aipl.pt%20P&#243;s&#8209;Produ&#231;&#227;o%20Digital%20no%20Cinema%20p&#243;s-gradua&#231;&#227;o" TargetMode="External"/><Relationship Id="rId4899" Type="http://schemas.openxmlformats.org/officeDocument/2006/relationships/hyperlink" Target="https://www.google.com/search?q=site%3Aulisboa.pt%20Coaching%20Psicol&#243;gico%20p&#243;s-gradua&#231;&#227;o" TargetMode="External"/><Relationship Id="rId5200" Type="http://schemas.openxmlformats.org/officeDocument/2006/relationships/hyperlink" Target="https://www.google.com/search?q=site%3Auevora.pt%20Matem&#225;tica%20mestrado" TargetMode="External"/><Relationship Id="rId35" Type="http://schemas.openxmlformats.org/officeDocument/2006/relationships/hyperlink" Target="https://www.google.com/search?q=site%3Aenautica.pt%20Sustentabilidade%20Energ&#233;tica%20e%20Climatiza&#231;&#227;o%20CTeSP" TargetMode="External"/><Relationship Id="rId1810" Type="http://schemas.openxmlformats.org/officeDocument/2006/relationships/hyperlink" Target="https://www.google.com/search?q=site%3Aipportalegre.pt%20Enfermagem%20%28curso%20em%20associa&#231;&#227;o%29%20mestrado" TargetMode="External"/><Relationship Id="rId4966" Type="http://schemas.openxmlformats.org/officeDocument/2006/relationships/hyperlink" Target="https://www.google.com/search?q=site%3Aulisboa.pt%20Inova&#231;&#227;o%20em%20habita&#231;&#227;o%20p&#243;s-gradua&#231;&#227;o" TargetMode="External"/><Relationship Id="rId3568" Type="http://schemas.openxmlformats.org/officeDocument/2006/relationships/hyperlink" Target="https://www.google.com/search?q=site%3Aufp.pt%20MBA%20em%20Marketing%20p&#243;s-gradua&#231;&#227;o%20executiva" TargetMode="External"/><Relationship Id="rId3982" Type="http://schemas.openxmlformats.org/officeDocument/2006/relationships/hyperlink" Target="https://www.google.com/search?q=site%3Aunl.pt%20Museologia%20mestrado" TargetMode="External"/><Relationship Id="rId4619" Type="http://schemas.openxmlformats.org/officeDocument/2006/relationships/hyperlink" Target="https://www.google.com/search?q=site%3Aulisboa.pt%20Arte%20Multim&#233;dia%20mestrado" TargetMode="External"/><Relationship Id="rId489" Type="http://schemas.openxmlformats.org/officeDocument/2006/relationships/hyperlink" Target="https://www.google.com/search?q=site%3Aisec.pt%20Opera&#231;&#245;es%20Florestais%20CTeSP" TargetMode="External"/><Relationship Id="rId2584" Type="http://schemas.openxmlformats.org/officeDocument/2006/relationships/hyperlink" Target="https://www.google.com/search?q=site%3Aipp.pt%20Gest&#227;o%20de%20Marketing%20e%20Com&#233;rcio%20Digital%20CTeSP" TargetMode="External"/><Relationship Id="rId3635" Type="http://schemas.openxmlformats.org/officeDocument/2006/relationships/hyperlink" Target="https://www.google.com/search?q=site%3Aulusiada.pt%20Implantologia%20Oral%20&#8211;%2015.&#170;%20edi&#231;&#227;o%20p&#243;s-gradua&#231;&#227;o" TargetMode="External"/><Relationship Id="rId556" Type="http://schemas.openxmlformats.org/officeDocument/2006/relationships/hyperlink" Target="https://www.google.com/search?q=site%3Aiseclisboa.pt%20Gest&#227;o%20Aeron&#225;utica%20licenciatura" TargetMode="External"/><Relationship Id="rId1186" Type="http://schemas.openxmlformats.org/officeDocument/2006/relationships/hyperlink" Target="https://www.google.com/search?q=site%3Aipcb.pt%20Produ&#231;&#227;o%20para%20M&#233;dia%20Digitais%20mestrado" TargetMode="External"/><Relationship Id="rId2237" Type="http://schemas.openxmlformats.org/officeDocument/2006/relationships/hyperlink" Target="https://www.google.com/search?q=site%3Aipvc.pt%20Atividades%20de%20Fitness%20mestrado" TargetMode="External"/><Relationship Id="rId209" Type="http://schemas.openxmlformats.org/officeDocument/2006/relationships/hyperlink" Target="https://www.google.com/search?q=site%3Aesscvp.eu%20Fisioterapia%20licenciatura" TargetMode="External"/><Relationship Id="rId970" Type="http://schemas.openxmlformats.org/officeDocument/2006/relationships/hyperlink" Target="https://www.google.com/search?q=site%3Aipb.pt%20M&#250;sico%20Instrumentista%20CTeSP" TargetMode="External"/><Relationship Id="rId1253" Type="http://schemas.openxmlformats.org/officeDocument/2006/relationships/hyperlink" Target="https://www.google.com/search?q=site%3Aipc.pt%20Contabilidade%20e%20Administra&#231;&#227;o%20licenciatura" TargetMode="External"/><Relationship Id="rId2651" Type="http://schemas.openxmlformats.org/officeDocument/2006/relationships/hyperlink" Target="https://www.google.com/search?q=site%3Aipp.pt%20Fisiologia%20Cl&#237;nica%20licenciatura" TargetMode="External"/><Relationship Id="rId3702" Type="http://schemas.openxmlformats.org/officeDocument/2006/relationships/hyperlink" Target="https://www.google.com/search?q=site%3Alusofona.pt%20Prote&#231;&#227;o%20Civil%20licenciatura" TargetMode="External"/><Relationship Id="rId623" Type="http://schemas.openxmlformats.org/officeDocument/2006/relationships/hyperlink" Target="https://www.google.com/search?q=site%3Aispa.pt%20Psicologia%20licenciatura" TargetMode="External"/><Relationship Id="rId2304" Type="http://schemas.openxmlformats.org/officeDocument/2006/relationships/hyperlink" Target="https://www.google.com/search?q=site%3Aipv.pt%20Cuidados%20Veterin&#225;rios%20CTeSP" TargetMode="External"/><Relationship Id="rId1320" Type="http://schemas.openxmlformats.org/officeDocument/2006/relationships/hyperlink" Target="https://www.google.com/search?q=site%3Aipc.pt%20Gest&#227;o%20mestrado" TargetMode="External"/><Relationship Id="rId4476" Type="http://schemas.openxmlformats.org/officeDocument/2006/relationships/hyperlink" Target="https://www.google.com/search?q=site%3Auc.pt%20Recursos%20Geol&#243;gicos%20mestrado" TargetMode="External"/><Relationship Id="rId4890" Type="http://schemas.openxmlformats.org/officeDocument/2006/relationships/hyperlink" Target="https://www.google.com/search?q=site%3Aulisboa.pt%20Auditoria%2C%20Risco%20e%20Ciberseguran&#231;a%20p&#243;s-gradua&#231;&#227;o" TargetMode="External"/><Relationship Id="rId5527" Type="http://schemas.openxmlformats.org/officeDocument/2006/relationships/hyperlink" Target="https://www.google.com/search?q=site%3Aup.pt%20Ecologia%2C%20Ambiente%20e%20Sustentabilidade%20mestrado" TargetMode="External"/><Relationship Id="rId3078" Type="http://schemas.openxmlformats.org/officeDocument/2006/relationships/hyperlink" Target="https://www.google.com/search?q=site%3Aisg.pt%20P&#243;s&#8209;Gradua&#231;&#227;o%20em%20Gest&#227;o%20Escolar%20p&#243;s-gradua&#231;&#227;o" TargetMode="External"/><Relationship Id="rId3492" Type="http://schemas.openxmlformats.org/officeDocument/2006/relationships/hyperlink" Target="https://www.google.com/search?q=site%3Aeuropeia.pt%20P&#243;s&#8209;Gradua&#231;&#227;o%20em%20Gest&#227;o%20de%20Recursos%20Humanos%20p&#243;s-gradua&#231;&#227;o" TargetMode="External"/><Relationship Id="rId4129" Type="http://schemas.openxmlformats.org/officeDocument/2006/relationships/hyperlink" Target="https://www.google.com/search?q=site%3Aubi.pt%20Design%20Industrial%20licenciatura" TargetMode="External"/><Relationship Id="rId4543" Type="http://schemas.openxmlformats.org/officeDocument/2006/relationships/hyperlink" Target="https://www.google.com/search?q=site%3Aulisboa.pt%20Engenharia%20Agron&#243;mica%20licenciatura" TargetMode="External"/><Relationship Id="rId2094" Type="http://schemas.openxmlformats.org/officeDocument/2006/relationships/hyperlink" Target="https://www.google.com/search?q=site%3Aipt.pt%20Produ&#231;&#227;o%20Art&#237;stica%20para%20a%20Conserva&#231;&#227;o%20e%20Restauro%20CTeSP" TargetMode="External"/><Relationship Id="rId3145" Type="http://schemas.openxmlformats.org/officeDocument/2006/relationships/hyperlink" Target="https://www.google.com/search?q=site%3Acespu.pt%20Terapia%20Cognitivo&#8209;Comportamental%20&#8211;%20As%20Tr&#234;s%20Gera&#231;&#245;es%20da%20Terapia%20do%20Comportamento%20&#8211;%2012.&#170;%20edi&#231;&#227;o%20p&#243;s-gradua&#231;&#227;o" TargetMode="External"/><Relationship Id="rId4610" Type="http://schemas.openxmlformats.org/officeDocument/2006/relationships/hyperlink" Target="https://www.google.com/search?q=site%3Aulisboa.pt%20Sociologia%20licenciatura" TargetMode="External"/><Relationship Id="rId480" Type="http://schemas.openxmlformats.org/officeDocument/2006/relationships/hyperlink" Target="https://www.google.com/search?q=site%3Aisec.pt%20Constru&#231;&#227;o%20Civil%20e%20Obras%20P&#250;blicas%20CTeSP" TargetMode="External"/><Relationship Id="rId2161" Type="http://schemas.openxmlformats.org/officeDocument/2006/relationships/hyperlink" Target="https://www.google.com/search?q=site%3Aipvc.pt%20Constru&#231;&#227;o%20e%20Reabilita&#231;&#227;o%20CTeSP" TargetMode="External"/><Relationship Id="rId3212" Type="http://schemas.openxmlformats.org/officeDocument/2006/relationships/hyperlink" Target="https://www.google.com/search?q=site%3Aautonoma.pt%20Psicologia%20Organizacional%20e%20Sa&#250;de%20Ocupacional%20mestrado" TargetMode="External"/><Relationship Id="rId133" Type="http://schemas.openxmlformats.org/officeDocument/2006/relationships/hyperlink" Target="https://www.google.com/search?q=site%3Aesesfm.pt%20Enfermagem%20de%20Sa&#250;de%20Familiar%20p&#243;s-gradua&#231;&#227;o" TargetMode="External"/><Relationship Id="rId5384" Type="http://schemas.openxmlformats.org/officeDocument/2006/relationships/hyperlink" Target="https://www.google.com/search?q=site%3Aualg.pt%20Qualidade%20em%20An&#225;lises%20mestrado" TargetMode="External"/><Relationship Id="rId200" Type="http://schemas.openxmlformats.org/officeDocument/2006/relationships/hyperlink" Target="https://www.google.com/search?q=site%3Auatlantica.pt%20Osteopatia%20licenciatura" TargetMode="External"/><Relationship Id="rId2978" Type="http://schemas.openxmlformats.org/officeDocument/2006/relationships/hyperlink" Target="https://www.google.com/search?q=site%3Aisced.pt%20Atividade%20F&#237;sica%2C%20Desporto%20e%20Bem-Estar%20mestrado" TargetMode="External"/><Relationship Id="rId5037" Type="http://schemas.openxmlformats.org/officeDocument/2006/relationships/hyperlink" Target="https://www.google.com/search?q=site%3Autad.pt%20Engenharia%20Biom&#233;dica%20licenciatura" TargetMode="External"/><Relationship Id="rId1994" Type="http://schemas.openxmlformats.org/officeDocument/2006/relationships/hyperlink" Target="https://www.google.com/search?q=site%3Aips.pt%20Tecnologias%20Inform&#225;ticas%20CTeSP" TargetMode="External"/><Relationship Id="rId5451" Type="http://schemas.openxmlformats.org/officeDocument/2006/relationships/hyperlink" Target="https://www.google.com/search?q=site%3Aup.pt%20Filosofia%20licenciatura" TargetMode="External"/><Relationship Id="rId1647" Type="http://schemas.openxmlformats.org/officeDocument/2006/relationships/hyperlink" Target="https://www.google.com/search?q=site%3Aipl.pt%20Media&#231;&#227;o%20Art&#237;stica%20e%20Cultural%20licenciatura" TargetMode="External"/><Relationship Id="rId4053" Type="http://schemas.openxmlformats.org/officeDocument/2006/relationships/hyperlink" Target="https://www.google.com/search?q=site%3Aunl.pt%20Ensino%20de%20Portugu&#234;s%20L&#237;ngua%20n&#227;o%20Materna%20%28e&#8209;Learning%29%20p&#243;s-gradua&#231;&#227;o" TargetMode="External"/><Relationship Id="rId5104" Type="http://schemas.openxmlformats.org/officeDocument/2006/relationships/hyperlink" Target="https://www.google.com/search?q=site%3Autad.pt%20Enologia%20e%20Viticultura%20mestrado" TargetMode="External"/><Relationship Id="rId1714" Type="http://schemas.openxmlformats.org/officeDocument/2006/relationships/hyperlink" Target="https://www.google.com/search?q=site%3Aipl.pt%20Anima&#231;&#227;o%20de%20Hist&#243;rias%20p&#243;s-gradua&#231;&#227;o" TargetMode="External"/><Relationship Id="rId4120" Type="http://schemas.openxmlformats.org/officeDocument/2006/relationships/hyperlink" Target="https://www.google.com/search?q=site%3Aubi.pt%20Biotecnologia%20licenciatura" TargetMode="External"/><Relationship Id="rId2488" Type="http://schemas.openxmlformats.org/officeDocument/2006/relationships/hyperlink" Target="https://www.google.com/search?q=site%3Aipca.pt%20Gastronomia%20e%20Sustentabilidade%20Alimentar%20licenciatura" TargetMode="External"/><Relationship Id="rId3886" Type="http://schemas.openxmlformats.org/officeDocument/2006/relationships/hyperlink" Target="https://www.google.com/search?q=site%3Aunl.pt%20Did&#225;tica%20do%20Ingl&#234;s%20mestrado" TargetMode="External"/><Relationship Id="rId4937" Type="http://schemas.openxmlformats.org/officeDocument/2006/relationships/hyperlink" Target="https://www.google.com/search?q=site%3Aulisboa.pt%20Direito%20dos%20Registos%20e%20do%20Notariado%20%28em%20parceria%20com%20o%20IRN%20e%20com%20a%20Ordem%20dos%20Not&#225;rios%29%20p&#243;s-gradua&#231;&#227;o" TargetMode="External"/><Relationship Id="rId3539" Type="http://schemas.openxmlformats.org/officeDocument/2006/relationships/hyperlink" Target="https://www.google.com/search?q=site%3Aufp.pt%20Cuidados%20Avan&#231;ados%20em%20Feridas%2C%20Ostomias%20e%20Incontin&#234;ncia%20p&#243;s-gradua&#231;&#227;o" TargetMode="External"/><Relationship Id="rId3953" Type="http://schemas.openxmlformats.org/officeDocument/2006/relationships/hyperlink" Target="https://www.google.com/search?q=site%3Aunl.pt%20Gest&#227;o%20de%20Empresas%20-%20Executivo%20mestrado" TargetMode="External"/><Relationship Id="rId874" Type="http://schemas.openxmlformats.org/officeDocument/2006/relationships/hyperlink" Target="https://www.google.com/search?q=site%3Aipbeja.pt%20An&#225;lises%20Laboratoriais%20CTeSP" TargetMode="External"/><Relationship Id="rId2555" Type="http://schemas.openxmlformats.org/officeDocument/2006/relationships/hyperlink" Target="https://www.google.com/search?q=site%3Aipca.pt%20Projetos%20de%20Investimento%20p&#243;s-gradua&#231;&#227;o" TargetMode="External"/><Relationship Id="rId3606" Type="http://schemas.openxmlformats.org/officeDocument/2006/relationships/hyperlink" Target="https://www.google.com/search?q=site%3Aulusiada.pt%20Gest&#227;o%20de%20Recursos%20Humanos%20e%20An&#225;lise%20Organizacional%20mestrado" TargetMode="External"/><Relationship Id="rId527" Type="http://schemas.openxmlformats.org/officeDocument/2006/relationships/hyperlink" Target="https://www.google.com/search?q=site%3Aiseclisboa.pt%20Comunica&#231;&#227;o%20e%20Marketing%20CTeSP" TargetMode="External"/><Relationship Id="rId941" Type="http://schemas.openxmlformats.org/officeDocument/2006/relationships/hyperlink" Target="https://www.google.com/search?q=site%3Aipb.pt%20Alimenta&#231;&#227;o%20Saud&#225;vel%20CTeSP" TargetMode="External"/><Relationship Id="rId1157" Type="http://schemas.openxmlformats.org/officeDocument/2006/relationships/hyperlink" Target="https://www.google.com/search?q=site%3Aipcb.pt%20M&#250;sica%2C%20variante%20de%20M&#250;sica%20Eletr&#243;nica%20e%20Produ&#231;&#227;o%20Musical%20licenciatura" TargetMode="External"/><Relationship Id="rId1571" Type="http://schemas.openxmlformats.org/officeDocument/2006/relationships/hyperlink" Target="https://www.google.com/search?q=site%3Aipleiria.pt%20Anima&#231;&#227;o%20p&#243;s-gradua&#231;&#227;o" TargetMode="External"/><Relationship Id="rId2208" Type="http://schemas.openxmlformats.org/officeDocument/2006/relationships/hyperlink" Target="https://www.google.com/search?q=site%3Aipvc.pt%20Artes%20e%20Cinema%20Digital%20licenciatura" TargetMode="External"/><Relationship Id="rId2622" Type="http://schemas.openxmlformats.org/officeDocument/2006/relationships/hyperlink" Target="https://www.google.com/search?q=site%3Aipp.pt%20Biorrecursos%20licenciatura" TargetMode="External"/><Relationship Id="rId5778" Type="http://schemas.openxmlformats.org/officeDocument/2006/relationships/hyperlink" Target="https://www.google.com/search?q=site%3Auac.pt%20Master%20em%20Contabilidade%20e%20Finan&#231;as%20%5B2026/2027%5D%20p&#243;s-gradua&#231;&#227;o%20executiva" TargetMode="External"/><Relationship Id="rId1224" Type="http://schemas.openxmlformats.org/officeDocument/2006/relationships/hyperlink" Target="https://www.google.com/search?q=site%3Aipc.pt%20Maneio%20de%20Equinos%2C%20Equita&#231;&#227;o%20Terap&#234;utica%20e%20de%20Lazer%20CTeSP" TargetMode="External"/><Relationship Id="rId4794" Type="http://schemas.openxmlformats.org/officeDocument/2006/relationships/hyperlink" Target="https://www.google.com/search?q=site%3Aulisboa.pt%20Marketing%20mestrado" TargetMode="External"/><Relationship Id="rId3396" Type="http://schemas.openxmlformats.org/officeDocument/2006/relationships/hyperlink" Target="https://www.google.com/search?q=site%3Aeuropeia.pt%20Design%20Global%20licenciatura" TargetMode="External"/><Relationship Id="rId4447" Type="http://schemas.openxmlformats.org/officeDocument/2006/relationships/hyperlink" Target="https://www.google.com/search?q=site%3Auc.pt%20Medicina%20Interna%20de%20Animais%20de%20Companhia%20mestrado" TargetMode="External"/><Relationship Id="rId3049" Type="http://schemas.openxmlformats.org/officeDocument/2006/relationships/hyperlink" Target="https://www.google.com/search?q=site%3Aisvouga.pt%20Gest&#227;o%20de%20Turismo%20CTeSP" TargetMode="External"/><Relationship Id="rId3463" Type="http://schemas.openxmlformats.org/officeDocument/2006/relationships/hyperlink" Target="https://www.google.com/search?q=site%3Aeuropeia.pt%20Gest&#227;o%20do%20Desporto%20mestrado" TargetMode="External"/><Relationship Id="rId4861" Type="http://schemas.openxmlformats.org/officeDocument/2006/relationships/hyperlink" Target="https://www.google.com/search?q=site%3Aulisboa.pt%20Arquitetura%20mestrado%20integrado" TargetMode="External"/><Relationship Id="rId384" Type="http://schemas.openxmlformats.org/officeDocument/2006/relationships/hyperlink" Target="https://www.google.com/search?q=site%3Aipluso.pt%20P&#243;s&#8209;Gradua&#231;&#227;o%20em%20Educa&#231;&#227;o%20Especial%3A%20Dom&#237;nio%20Cognitivo&#8209;Motor%20p&#243;s-gradua&#231;&#227;o" TargetMode="External"/><Relationship Id="rId2065" Type="http://schemas.openxmlformats.org/officeDocument/2006/relationships/hyperlink" Target="https://www.google.com/search?q=site%3Aips.pt%20SMART%20Transition%20in%20Tourism%20%26%20Hospitality%20Management%20p&#243;s-gradua&#231;&#227;o" TargetMode="External"/><Relationship Id="rId3116" Type="http://schemas.openxmlformats.org/officeDocument/2006/relationships/hyperlink" Target="https://www.google.com/search?q=site%3Acespu.pt%20Dentisteria%20Adesiva%20&#8211;%2010.&#170;%20edi&#231;&#227;o%20p&#243;s-gradua&#231;&#227;o" TargetMode="External"/><Relationship Id="rId4514" Type="http://schemas.openxmlformats.org/officeDocument/2006/relationships/hyperlink" Target="https://www.google.com/search?q=site%3Auc.pt%20Redes%20Urbanas%20Inteligentes%20p&#243;s-gradua&#231;&#227;o" TargetMode="External"/><Relationship Id="rId1081" Type="http://schemas.openxmlformats.org/officeDocument/2006/relationships/hyperlink" Target="https://www.google.com/search?q=site%3Aipb.pt%20Supervis&#227;o%20Pedag&#243;gica%20e%20Inova&#231;&#227;o%20em%20Educa&#231;&#227;o%20mestrado" TargetMode="External"/><Relationship Id="rId3530" Type="http://schemas.openxmlformats.org/officeDocument/2006/relationships/hyperlink" Target="https://www.google.com/search?q=site%3Aufp.pt%20Psicologia%20da%20Justi&#231;a%3A%20V&#237;timas%20de%20Viol&#234;ncia%20e%20de%20Crime%20mestrado" TargetMode="External"/><Relationship Id="rId451" Type="http://schemas.openxmlformats.org/officeDocument/2006/relationships/hyperlink" Target="https://www.google.com/search?q=site%3Aiscte-iul.pt%20Aprendizagem%20Autom&#225;tica%20Aplicada%20p&#243;s-gradua&#231;&#227;o" TargetMode="External"/><Relationship Id="rId2132" Type="http://schemas.openxmlformats.org/officeDocument/2006/relationships/hyperlink" Target="https://www.google.com/search?q=site%3Aipt.pt%20Design%20Editorial%20mestrado" TargetMode="External"/><Relationship Id="rId5288" Type="http://schemas.openxmlformats.org/officeDocument/2006/relationships/hyperlink" Target="https://www.google.com/search?q=site%3Aualg.pt%20Economia%20licenciatura" TargetMode="External"/><Relationship Id="rId104" Type="http://schemas.openxmlformats.org/officeDocument/2006/relationships/hyperlink" Target="https://www.google.com/search?q=site%3Ajoaodedeus.pt%20Os%20Materiais%20Manipul&#225;veis%20e%20a%20Aprendizagem%20da%20Matem&#225;tica%20p&#243;s-gradua&#231;&#227;o" TargetMode="External"/><Relationship Id="rId1898" Type="http://schemas.openxmlformats.org/officeDocument/2006/relationships/hyperlink" Target="https://www.google.com/search?q=site%3Aipsantarem.pt%20Enfermagem%20de%20Reabilita&#231;&#227;o%20mestrado" TargetMode="External"/><Relationship Id="rId2949" Type="http://schemas.openxmlformats.org/officeDocument/2006/relationships/hyperlink" Target="https://www.google.com/search?q=site%3Aispgaya.pt%20Ciberseguran&#231;a%20e%20Auditoria%20de%20Sistemas%20Inform&#225;ticos%20mestrado" TargetMode="External"/><Relationship Id="rId5355" Type="http://schemas.openxmlformats.org/officeDocument/2006/relationships/hyperlink" Target="https://www.google.com/search?q=site%3Aualg.pt%20Ensino%20do%201.&#186;%20Ciclo%20do%20Ensino%20B&#225;sico%20e%20de%20Portugu&#234;s%20e%20Hist&#243;ria%20e%20Geografia%20de%20Portugal%20no%202.&#186;%20Ciclo%20do%20Ensino%20B&#225;sico%20mestrado" TargetMode="External"/><Relationship Id="rId4371" Type="http://schemas.openxmlformats.org/officeDocument/2006/relationships/hyperlink" Target="https://www.google.com/search?q=site%3Auc.pt%20Educa&#231;&#227;o%20Especial%20e%20Sociedade%20Inclusiva%20mestrado" TargetMode="External"/><Relationship Id="rId5008" Type="http://schemas.openxmlformats.org/officeDocument/2006/relationships/hyperlink" Target="https://www.google.com/search?q=site%3Aulisboa.pt%20Tecnologias%20e%20An&#225;lise%20de%20Dados%20no%20Desporto%20p&#243;s-gradua&#231;&#227;o" TargetMode="External"/><Relationship Id="rId5422" Type="http://schemas.openxmlformats.org/officeDocument/2006/relationships/hyperlink" Target="https://www.google.com/search?q=site%3Aup.pt%20Ci&#234;ncias%20da%20Educa&#231;&#227;o%20licenciatura" TargetMode="External"/><Relationship Id="rId1965" Type="http://schemas.openxmlformats.org/officeDocument/2006/relationships/hyperlink" Target="https://www.google.com/search?q=site%3Acespu.pt%20Executive%20Master%20em%20Sistemas%20de%20Gest&#227;o%20da%20Qualidade%20e%20Auditoria%20em%20Sa&#250;de%20&#8211;%206.&#170;%20edi&#231;&#227;o%20p&#243;s-gradua&#231;&#227;o%20executiva" TargetMode="External"/><Relationship Id="rId4024" Type="http://schemas.openxmlformats.org/officeDocument/2006/relationships/hyperlink" Target="https://www.google.com/search?q=site%3Aunl.pt%20Engenharia%20Mec&#226;nica%20mestrado%20integrado" TargetMode="External"/><Relationship Id="rId1618" Type="http://schemas.openxmlformats.org/officeDocument/2006/relationships/hyperlink" Target="https://www.google.com/search?q=site%3Aipl.pt%20Audiovisual%20e%20Multim&#233;dia%20licenciatura" TargetMode="External"/><Relationship Id="rId3040" Type="http://schemas.openxmlformats.org/officeDocument/2006/relationships/hyperlink" Target="https://www.google.com/search?q=site%3Aiscia.pt%20Administra&#231;&#227;o%20Escolar%20p&#243;s-gradua&#231;&#227;o" TargetMode="External"/><Relationship Id="rId3857" Type="http://schemas.openxmlformats.org/officeDocument/2006/relationships/hyperlink" Target="https://www.google.com/search?q=site%3Aunl.pt%20Arqueologia%20mestrado" TargetMode="External"/><Relationship Id="rId4908" Type="http://schemas.openxmlformats.org/officeDocument/2006/relationships/hyperlink" Target="https://www.google.com/search?q=site%3Aulisboa.pt%20Corporate%20Diplomacy%20p&#243;s-gradua&#231;&#227;o" TargetMode="External"/><Relationship Id="rId778" Type="http://schemas.openxmlformats.org/officeDocument/2006/relationships/hyperlink" Target="https://www.google.com/search?q=site%3Aipg.pt%20Ci&#234;ncias%20do%20Desporto%20mestrado" TargetMode="External"/><Relationship Id="rId2459" Type="http://schemas.openxmlformats.org/officeDocument/2006/relationships/hyperlink" Target="https://www.google.com/search?q=site%3Aipca.pt%20Redes%20e%20Seguran&#231;a%20Inform&#225;tica%20CTeSP" TargetMode="External"/><Relationship Id="rId2873" Type="http://schemas.openxmlformats.org/officeDocument/2006/relationships/hyperlink" Target="https://www.google.com/search?q=site%3Aisdd.pt%20Gest&#227;o%20Administrativa%20de%20Recursos%20Humanos%20CTeSP" TargetMode="External"/><Relationship Id="rId3924" Type="http://schemas.openxmlformats.org/officeDocument/2006/relationships/hyperlink" Target="https://www.google.com/search?q=site%3Aunl.pt%20Ensino%20de%20Ingl&#234;s%20e%20de%20L&#237;ngua%20Estrangeira%20no%203.&#186;%20Ciclo%20do%20Ensino%20B&#225;sico%20e%20no%20Ensino%20Secund&#225;rio%2C%20nas%20&#225;reas%20de%20especializa&#231;&#227;o%20de%20Franc&#234;s%20ou%20de%20Espanhol%20ou%20de%20Alem&#227;o%20mestrado" TargetMode="External"/><Relationship Id="rId845" Type="http://schemas.openxmlformats.org/officeDocument/2006/relationships/hyperlink" Target="https://www.google.com/search?q=site%3Aipluso.pt%20Educa&#231;&#227;o%20Pr&#233;&#8209;Escolar%20mestrado" TargetMode="External"/><Relationship Id="rId1475" Type="http://schemas.openxmlformats.org/officeDocument/2006/relationships/hyperlink" Target="https://www.google.com/search?q=site%3Aipleiria.pt%20L&#237;ngua%20Portuguesa%20Aplicada%20licenciatura" TargetMode="External"/><Relationship Id="rId2526" Type="http://schemas.openxmlformats.org/officeDocument/2006/relationships/hyperlink" Target="https://www.google.com/search?q=site%3Aipca.pt%20Tecnologia%20Aplicada%20ao%20Desporto%20e%20Bem&#8209;Estar%20mestrado" TargetMode="External"/><Relationship Id="rId1128" Type="http://schemas.openxmlformats.org/officeDocument/2006/relationships/hyperlink" Target="https://www.google.com/search?q=site%3Aipcb.pt%20Sistemas%20Eletr&#243;nicos%20e%20Computadores%20CTeSP" TargetMode="External"/><Relationship Id="rId1542" Type="http://schemas.openxmlformats.org/officeDocument/2006/relationships/hyperlink" Target="https://www.google.com/search?q=site%3Aipleiria.pt%20Ensino%20do%201.&#186;%20Ciclo%20do%20Ensino%20B&#225;sico%20mestrado" TargetMode="External"/><Relationship Id="rId2940" Type="http://schemas.openxmlformats.org/officeDocument/2006/relationships/hyperlink" Target="https://www.google.com/search?q=site%3Aispgaya.pt%20Tecnologia%20Mecatr&#243;nica%20CTeSP" TargetMode="External"/><Relationship Id="rId4698" Type="http://schemas.openxmlformats.org/officeDocument/2006/relationships/hyperlink" Target="https://www.google.com/search?q=site%3Aulisboa.pt%20Engenharia%20Eletrot&#233;cnica%20e%20de%20Computadores%20%28ULisboa%20e%20SHU%29%20mestrado" TargetMode="External"/><Relationship Id="rId5749" Type="http://schemas.openxmlformats.org/officeDocument/2006/relationships/hyperlink" Target="https://www.google.com/search?q=site%3Auac.pt%20Tradu&#231;&#227;o%20e%20Assessoria%20Lingu&#237;stica%20mestrado" TargetMode="External"/><Relationship Id="rId912" Type="http://schemas.openxmlformats.org/officeDocument/2006/relationships/hyperlink" Target="https://www.google.com/search?q=site%3Aipbeja.pt%20Agronomia%20mestrado" TargetMode="External"/><Relationship Id="rId4765" Type="http://schemas.openxmlformats.org/officeDocument/2006/relationships/hyperlink" Target="https://www.google.com/search?q=site%3Aulisboa.pt%20Gest&#227;o%20de%20Recursos%20Humanos%20mestrado" TargetMode="External"/><Relationship Id="rId288" Type="http://schemas.openxmlformats.org/officeDocument/2006/relationships/hyperlink" Target="https://www.google.com/search?q=site%3Aesscvp.eu%20Supervis&#227;o%20Cl&#237;nica%20p&#243;s-gradua&#231;&#227;o" TargetMode="External"/><Relationship Id="rId3367" Type="http://schemas.openxmlformats.org/officeDocument/2006/relationships/hyperlink" Target="https://www.google.com/search?q=site%3Aucp.pt%20Medicina%20do%20Desporto%2C%20Reabilita&#231;&#227;o%20e%20Gest&#227;o%20p&#243;s-gradua&#231;&#227;o" TargetMode="External"/><Relationship Id="rId3781" Type="http://schemas.openxmlformats.org/officeDocument/2006/relationships/hyperlink" Target="https://www.google.com/search?q=site%3Alusofona.pt%20Inform&#225;tica%20e%20Sistemas%20de%20Informa&#231;&#227;o%20p&#243;s-gradua&#231;&#227;o" TargetMode="External"/><Relationship Id="rId4418" Type="http://schemas.openxmlformats.org/officeDocument/2006/relationships/hyperlink" Target="https://www.google.com/search?q=site%3Auc.pt%20F&#237;sica%20mestrado" TargetMode="External"/><Relationship Id="rId4832" Type="http://schemas.openxmlformats.org/officeDocument/2006/relationships/hyperlink" Target="https://www.google.com/search?q=site%3Aulisboa.pt%20Qu&#237;mica%20Medicinal%20e%20Biofarmac&#234;utica%20mestrado" TargetMode="External"/><Relationship Id="rId2383" Type="http://schemas.openxmlformats.org/officeDocument/2006/relationships/hyperlink" Target="https://www.google.com/search?q=site%3Aipv.pt%20Enfermagem%20de%20Sa&#250;de%20Infantil%20e%20Pedi&#225;trica%20mestrado" TargetMode="External"/><Relationship Id="rId3434" Type="http://schemas.openxmlformats.org/officeDocument/2006/relationships/hyperlink" Target="https://www.google.com/search?q=site%3Aeuropeia.pt%20Computa&#231;&#227;o%20Criativa%20e%20Intelig&#234;ncia%20Artificial%20mestrado" TargetMode="External"/><Relationship Id="rId355" Type="http://schemas.openxmlformats.org/officeDocument/2006/relationships/hyperlink" Target="https://www.google.com/search?q=site%3Asantamaria.pt%20Enfermagem%20de%20Reabilita&#231;&#227;o%20mestrado" TargetMode="External"/><Relationship Id="rId2036" Type="http://schemas.openxmlformats.org/officeDocument/2006/relationships/hyperlink" Target="https://www.google.com/search?q=site%3Aips.pt%20Engenharia%20Biol&#243;gica%20e%20Qu&#237;mica%20mestrado" TargetMode="External"/><Relationship Id="rId2450" Type="http://schemas.openxmlformats.org/officeDocument/2006/relationships/hyperlink" Target="https://www.google.com/search?q=site%3Aipca.pt%20Marketing%20Digital%20e%20Social%20Media%20CTeSP" TargetMode="External"/><Relationship Id="rId3501" Type="http://schemas.openxmlformats.org/officeDocument/2006/relationships/hyperlink" Target="https://www.google.com/search?q=site%3Aeuropeia.pt%20P&#243;s&#8209;Gradua&#231;&#227;o%20em%20Psicologia%20Forense%20p&#243;s-gradua&#231;&#227;o" TargetMode="External"/><Relationship Id="rId422" Type="http://schemas.openxmlformats.org/officeDocument/2006/relationships/hyperlink" Target="https://www.google.com/search?q=site%3Aiscte-iul.pt%20Ci&#234;ncia%20Pol&#237;tica%20licenciatura" TargetMode="External"/><Relationship Id="rId1052" Type="http://schemas.openxmlformats.org/officeDocument/2006/relationships/hyperlink" Target="https://www.google.com/search?q=site%3Aipb.pt%20Enfermagem%20Veterin&#225;ria%20em%20Animais%20de%20Companhia%20mestrado" TargetMode="External"/><Relationship Id="rId2103" Type="http://schemas.openxmlformats.org/officeDocument/2006/relationships/hyperlink" Target="https://www.google.com/search?q=site%3Aipt.pt%20Tecnologia%20e%20Produ&#231;&#227;o%20nas%20Artes%20do%20Espet&#225;culo%20CTeSP" TargetMode="External"/><Relationship Id="rId5259" Type="http://schemas.openxmlformats.org/officeDocument/2006/relationships/hyperlink" Target="https://www.google.com/search?q=site%3Aualg.pt%20Instala&#231;&#245;es%20El&#233;tricas%2C%20Dom&#243;tica%20e%20Automa&#231;&#227;o%20CTeSP" TargetMode="External"/><Relationship Id="rId5673" Type="http://schemas.openxmlformats.org/officeDocument/2006/relationships/hyperlink" Target="https://www.google.com/search?q=site%3Aup.pt%20Engenharia%20Inform&#225;tica%20e%20Computa&#231;&#227;o%20mestrado%20integrado" TargetMode="External"/><Relationship Id="rId4275" Type="http://schemas.openxmlformats.org/officeDocument/2006/relationships/hyperlink" Target="https://www.google.com/search?q=site%3Auc.pt%20Biologia%20Marinha%20licenciatura" TargetMode="External"/><Relationship Id="rId5326" Type="http://schemas.openxmlformats.org/officeDocument/2006/relationships/hyperlink" Target="https://www.google.com/search?q=site%3Aualg.pt%20Biologia%20Molecular%20e%20Microbiana%20mestrado" TargetMode="External"/><Relationship Id="rId1869" Type="http://schemas.openxmlformats.org/officeDocument/2006/relationships/hyperlink" Target="https://www.google.com/search?q=site%3Aipsantarem.pt%20Educa&#231;&#227;o%20Ambiental%20e%20Turismo%20de%20Natureza%20licenciatura" TargetMode="External"/><Relationship Id="rId3291" Type="http://schemas.openxmlformats.org/officeDocument/2006/relationships/hyperlink" Target="https://www.google.com/search?q=site%3Aucp.pt%20Ensino%20em%20L&#237;ngua%20Gestual%20Portuguesa%20mestrado" TargetMode="External"/><Relationship Id="rId5740" Type="http://schemas.openxmlformats.org/officeDocument/2006/relationships/hyperlink" Target="https://www.google.com/search?q=site%3Auac.pt%20Meio%20Ambiente%20e%20Recursos%20Marinhos%20%28Erasmus%20Mundus%29%20mestrado" TargetMode="External"/><Relationship Id="rId1936" Type="http://schemas.openxmlformats.org/officeDocument/2006/relationships/hyperlink" Target="https://www.google.com/search?q=site%3Acespu.pt%20Fisioterapia%20mestrado" TargetMode="External"/><Relationship Id="rId4342" Type="http://schemas.openxmlformats.org/officeDocument/2006/relationships/hyperlink" Target="https://www.google.com/search?q=site%3Auc.pt%20Bioantropologia%20e%20Sa&#250;de%3A%20Din&#226;mica%20de%20Popula&#231;&#245;es%20Passadas%20mestrado" TargetMode="External"/><Relationship Id="rId3011" Type="http://schemas.openxmlformats.org/officeDocument/2006/relationships/hyperlink" Target="https://www.google.com/search?q=site%3Aiscet.pt%20Turismo%20licenciatura" TargetMode="External"/><Relationship Id="rId2777" Type="http://schemas.openxmlformats.org/officeDocument/2006/relationships/hyperlink" Target="https://www.google.com/search?q=site%3Aipp.pt%20Sustentabilidade%20no%20Turismo%20e%20na%20Hotelaria%20mestrado" TargetMode="External"/><Relationship Id="rId5183" Type="http://schemas.openxmlformats.org/officeDocument/2006/relationships/hyperlink" Target="https://www.google.com/search?q=site%3Auevora.pt%20Ecologia%20da%20Paisagem%20mestrado" TargetMode="External"/><Relationship Id="rId749" Type="http://schemas.openxmlformats.org/officeDocument/2006/relationships/hyperlink" Target="https://www.google.com/search?q=site%3Aipg.pt%20Biotecnologia%20Medicinal%20licenciatura" TargetMode="External"/><Relationship Id="rId1379" Type="http://schemas.openxmlformats.org/officeDocument/2006/relationships/hyperlink" Target="https://www.google.com/search?q=site%3Aipleiria.pt%20An&#225;lise%20de%20Dados%20e%20Estudos%20de%20Mercado%20CTeSP" TargetMode="External"/><Relationship Id="rId3828" Type="http://schemas.openxmlformats.org/officeDocument/2006/relationships/hyperlink" Target="https://www.google.com/search?q=site%3Aunl.pt%20Engenharia%20Qu&#237;mica%20e%20Biol&#243;gica%20licenciatura" TargetMode="External"/><Relationship Id="rId5250" Type="http://schemas.openxmlformats.org/officeDocument/2006/relationships/hyperlink" Target="https://www.google.com/search?q=site%3Aualg.pt%20Desenho%20e%20Modela&#231;&#227;o%20Digital%20CTeSP" TargetMode="External"/><Relationship Id="rId1793" Type="http://schemas.openxmlformats.org/officeDocument/2006/relationships/hyperlink" Target="https://www.google.com/search?q=site%3Aipportalegre.pt%20Fisioterapia%20licenciatura" TargetMode="External"/><Relationship Id="rId2844" Type="http://schemas.openxmlformats.org/officeDocument/2006/relationships/hyperlink" Target="https://www.google.com/search?q=site%3Aipam.pt%20Gest&#227;o%20de%20Neg&#243;cios%20licenciatura" TargetMode="External"/><Relationship Id="rId85" Type="http://schemas.openxmlformats.org/officeDocument/2006/relationships/hyperlink" Target="https://www.google.com/search?q=site%3Ajoaodedeus.pt%20Educa&#231;&#227;o%20B&#225;sica%20licenciatura" TargetMode="External"/><Relationship Id="rId816" Type="http://schemas.openxmlformats.org/officeDocument/2006/relationships/hyperlink" Target="https://www.google.com/search?q=site%3Aipluso.pt%20Gest&#227;o%20Administrativa%20de%20Recursos%20Humanos%20CTeSP" TargetMode="External"/><Relationship Id="rId1446" Type="http://schemas.openxmlformats.org/officeDocument/2006/relationships/hyperlink" Target="https://www.google.com/search?q=site%3Aipleiria.pt%20Biotecnologia%20licenciatura" TargetMode="External"/><Relationship Id="rId1860" Type="http://schemas.openxmlformats.org/officeDocument/2006/relationships/hyperlink" Target="https://www.google.com/search?q=site%3Aipsantarem.pt%20Viticultura%20e%20Enologia%20CTeSP" TargetMode="External"/><Relationship Id="rId2911" Type="http://schemas.openxmlformats.org/officeDocument/2006/relationships/hyperlink" Target="https://www.google.com/search?q=site%3Aismat.pt%20Reabilita&#231;&#227;o%20de%20Edif&#237;cios%20e%20S&#237;tios%20mestrado" TargetMode="External"/><Relationship Id="rId1513" Type="http://schemas.openxmlformats.org/officeDocument/2006/relationships/hyperlink" Target="https://www.google.com/search?q=site%3Aipleiria.pt%20Design%20Gr&#225;fico%20mestrado" TargetMode="External"/><Relationship Id="rId4669" Type="http://schemas.openxmlformats.org/officeDocument/2006/relationships/hyperlink" Target="https://www.google.com/search?q=site%3Aulisboa.pt%20Design%20para%20a%20Sustentabilidade%20mestrado" TargetMode="External"/><Relationship Id="rId3685" Type="http://schemas.openxmlformats.org/officeDocument/2006/relationships/hyperlink" Target="https://www.google.com/search?q=site%3Alusofona.pt%20Engenharia%20Inform&#225;tica%2C%20Redes%20e%20Telecomunica&#231;&#245;es%20licenciatura" TargetMode="External"/><Relationship Id="rId4736" Type="http://schemas.openxmlformats.org/officeDocument/2006/relationships/hyperlink" Target="https://www.google.com/search?q=site%3Aulisboa.pt%20Epidemiologia%20mestrado" TargetMode="External"/><Relationship Id="rId2287" Type="http://schemas.openxmlformats.org/officeDocument/2006/relationships/hyperlink" Target="https://www.google.com/search?q=site%3Aipvc.pt%20Gest&#227;o%20de%20Transporte%20e%20Log&#237;stica%20Mar&#237;tima%20p&#243;s-gradua&#231;&#227;o" TargetMode="External"/><Relationship Id="rId3338" Type="http://schemas.openxmlformats.org/officeDocument/2006/relationships/hyperlink" Target="https://www.google.com/search?q=site%3Aucp.pt%20Resolu&#231;&#227;o%20de%20Conflitos%20e%20Estrat&#233;gias%20para%20a%20Paz%20%28MA%20in%20Conflict%20Resolution%20and%20Strategies%20for%20Peace%29%20mestrado" TargetMode="External"/><Relationship Id="rId3752" Type="http://schemas.openxmlformats.org/officeDocument/2006/relationships/hyperlink" Target="https://www.google.com/search?q=site%3Alusofona.pt%20Sistemas%20de%20Energia%20Inteligentes%20e%20Sustent&#225;veis%20mestrado" TargetMode="External"/><Relationship Id="rId259" Type="http://schemas.openxmlformats.org/officeDocument/2006/relationships/hyperlink" Target="https://www.google.com/search?q=site%3Aegasmoniz.edu.pt%20Reabilita&#231;&#227;o%20Oral%20Digital%20p&#243;s-gradua&#231;&#227;o" TargetMode="External"/><Relationship Id="rId673" Type="http://schemas.openxmlformats.org/officeDocument/2006/relationships/hyperlink" Target="https://www.google.com/search?q=site%3Aiees.pt%20Gest&#227;o%20Operacional%20Hospitalar%20CTeSP" TargetMode="External"/><Relationship Id="rId2354" Type="http://schemas.openxmlformats.org/officeDocument/2006/relationships/hyperlink" Target="https://www.google.com/search?q=site%3Aipv.pt%20Engenharia%20Mec&#226;nica%20licenciatura" TargetMode="External"/><Relationship Id="rId3405" Type="http://schemas.openxmlformats.org/officeDocument/2006/relationships/hyperlink" Target="https://www.google.com/search?q=site%3Aeuropeia.pt%20Fotografia%20e%20Cultura%20Visual%20licenciatura" TargetMode="External"/><Relationship Id="rId4803" Type="http://schemas.openxmlformats.org/officeDocument/2006/relationships/hyperlink" Target="https://www.google.com/search?q=site%3Aulisboa.pt%20Mercados%20da%20Arte%20mestrado" TargetMode="External"/><Relationship Id="rId326" Type="http://schemas.openxmlformats.org/officeDocument/2006/relationships/hyperlink" Target="https://www.google.com/search?q=site%3Aesscvp.eu%20Supervis&#227;o%20Cl&#237;nica%20para%20Enfermeiros%20p&#243;s-gradua&#231;&#227;o" TargetMode="External"/><Relationship Id="rId1370" Type="http://schemas.openxmlformats.org/officeDocument/2006/relationships/hyperlink" Target="https://www.google.com/search?q=site%3Aipc.pt%20Perfus&#227;o%20Cardiovascular%20p&#243;s-gradua&#231;&#227;o" TargetMode="External"/><Relationship Id="rId2007" Type="http://schemas.openxmlformats.org/officeDocument/2006/relationships/hyperlink" Target="https://www.google.com/search?q=site%3Aips.pt%20Enfermagem%20licenciatura" TargetMode="External"/><Relationship Id="rId740" Type="http://schemas.openxmlformats.org/officeDocument/2006/relationships/hyperlink" Target="https://www.google.com/search?q=site%3Aipg.pt%20Reabilita&#231;&#227;o%20Energ&#233;tica%20e%20Conserva&#231;&#227;o%20de%20Edif&#237;cios%20CTeSP" TargetMode="External"/><Relationship Id="rId1023" Type="http://schemas.openxmlformats.org/officeDocument/2006/relationships/hyperlink" Target="https://www.google.com/search?q=site%3Aipb.pt%20Inform&#225;tica%20e%20Comunica&#231;&#245;es%20licenciatura" TargetMode="External"/><Relationship Id="rId2421" Type="http://schemas.openxmlformats.org/officeDocument/2006/relationships/hyperlink" Target="https://www.google.com/search?q=site%3Aipca.pt%20Constru&#231;&#227;o%20Inteligente%20e%20Sustent&#225;vel%20CTeSP" TargetMode="External"/><Relationship Id="rId4179" Type="http://schemas.openxmlformats.org/officeDocument/2006/relationships/hyperlink" Target="https://www.google.com/search?q=site%3Aismai.pt%20Ensino%20de%20Inform&#225;tica%20mestrado" TargetMode="External"/><Relationship Id="rId5577" Type="http://schemas.openxmlformats.org/officeDocument/2006/relationships/hyperlink" Target="https://www.google.com/search?q=site%3Aup.pt%20Estat&#237;stica%20Computacional%20e%20An&#225;lise%20de%20Dados%20mestrado" TargetMode="External"/><Relationship Id="rId4593" Type="http://schemas.openxmlformats.org/officeDocument/2006/relationships/hyperlink" Target="https://www.google.com/search?q=site%3Aulisboa.pt%20Hist&#243;ria%20licenciatura" TargetMode="External"/><Relationship Id="rId5644" Type="http://schemas.openxmlformats.org/officeDocument/2006/relationships/hyperlink" Target="https://www.google.com/search?q=site%3Aup.pt%20Qu&#237;mica%20mestrado" TargetMode="External"/><Relationship Id="rId3195" Type="http://schemas.openxmlformats.org/officeDocument/2006/relationships/hyperlink" Target="https://www.google.com/search?q=site%3Aautonoma.pt%20Engenharia%20Eletr&#243;nica%20e%20de%20Telecomunica&#231;&#245;es%20licenciatura" TargetMode="External"/><Relationship Id="rId4246" Type="http://schemas.openxmlformats.org/officeDocument/2006/relationships/hyperlink" Target="https://www.google.com/search?q=site%3Aua.pt%20Competitividade%20e%20Desenvolvimento%20de%20Neg&#243;cios%20mestrado" TargetMode="External"/><Relationship Id="rId4660" Type="http://schemas.openxmlformats.org/officeDocument/2006/relationships/hyperlink" Target="https://www.google.com/search?q=site%3Aulisboa.pt%20Desenvolvimento%20e%20Coopera&#231;&#227;o%20Internacional%20mestrado" TargetMode="External"/><Relationship Id="rId5711" Type="http://schemas.openxmlformats.org/officeDocument/2006/relationships/hyperlink" Target="https://www.google.com/search?q=site%3Auac.pt%20Agricultura%20Biol&#243;gica%20e%20Desenvolvimento%20Rural%20mestrado" TargetMode="External"/><Relationship Id="rId3262" Type="http://schemas.openxmlformats.org/officeDocument/2006/relationships/hyperlink" Target="https://www.google.com/search?q=site%3Aucp.pt%20Biomedicina%20Aplicada%20mestrado" TargetMode="External"/><Relationship Id="rId4313" Type="http://schemas.openxmlformats.org/officeDocument/2006/relationships/hyperlink" Target="https://www.google.com/search?q=site%3Auc.pt%20Hist&#243;ria%20da%20Arte%20licenciatura" TargetMode="External"/><Relationship Id="rId183" Type="http://schemas.openxmlformats.org/officeDocument/2006/relationships/hyperlink" Target="https://www.google.com/search?q=site%3Aeshte.pt%20Turismo%20Liter&#225;rio%20%28Online%29%20p&#243;s-gradua&#231;&#227;o" TargetMode="External"/><Relationship Id="rId1907" Type="http://schemas.openxmlformats.org/officeDocument/2006/relationships/hyperlink" Target="https://www.google.com/search?q=site%3Aipsantarem.pt%20Gest&#227;o%20de%20Organiza&#231;&#245;es%20de%20Economia%20Social%20mestrado" TargetMode="External"/><Relationship Id="rId250" Type="http://schemas.openxmlformats.org/officeDocument/2006/relationships/hyperlink" Target="https://www.google.com/search?q=site%3Aegasmoniz.edu.pt%20Implantologia%20p&#243;s-gradua&#231;&#227;o" TargetMode="External"/><Relationship Id="rId5087" Type="http://schemas.openxmlformats.org/officeDocument/2006/relationships/hyperlink" Target="https://www.google.com/search?q=site%3Autad.pt%20Enfermagem%20Comunit&#225;ria%2C%20na%20&#225;rea%20de%20enfermagem%20de%20Sa&#250;de%20Comunit&#225;ria%20e%20de%20Sa&#250;de%20P&#250;blica%20mestrado" TargetMode="External"/><Relationship Id="rId5154" Type="http://schemas.openxmlformats.org/officeDocument/2006/relationships/hyperlink" Target="https://www.google.com/search?q=site%3Auevora.pt%20Enfermagem%20licenciatura" TargetMode="External"/><Relationship Id="rId1697" Type="http://schemas.openxmlformats.org/officeDocument/2006/relationships/hyperlink" Target="https://www.google.com/search?q=site%3Aipl.pt%20Gest&#227;o%20das%20Institui&#231;&#245;es%20Financeiras%20mestrado" TargetMode="External"/><Relationship Id="rId2748" Type="http://schemas.openxmlformats.org/officeDocument/2006/relationships/hyperlink" Target="https://www.google.com/search?q=site%3Aipp.pt%20Gest&#227;o%20Integrada%20da%20Qualidade%2C%20Ambiente%20e%20Seguran&#231;a%20mestrado" TargetMode="External"/><Relationship Id="rId1764" Type="http://schemas.openxmlformats.org/officeDocument/2006/relationships/hyperlink" Target="https://www.google.com/search?q=site%3Aipportalegre.pt%20Interven&#231;&#227;o%20Social%20e%20Comunit&#225;ria%20CTeSP" TargetMode="External"/><Relationship Id="rId2815" Type="http://schemas.openxmlformats.org/officeDocument/2006/relationships/hyperlink" Target="https://www.google.com/search?q=site%3Aipp.pt%20Gest&#227;o%20e%20Dire&#231;&#227;o%20de%20Unidades%20de%20Sa&#250;de%20%28Novo%20Plano%202026/2027%29%20p&#243;s-gradua&#231;&#227;o" TargetMode="External"/><Relationship Id="rId4170" Type="http://schemas.openxmlformats.org/officeDocument/2006/relationships/hyperlink" Target="https://www.google.com/search?q=site%3Aismai.pt%20Psicologia%20licenciatura" TargetMode="External"/><Relationship Id="rId5221" Type="http://schemas.openxmlformats.org/officeDocument/2006/relationships/hyperlink" Target="https://www.google.com/search?q=site%3Auevora.pt%20Ciclos%20de%20Vida%20do%20Medicamento%20e%20do%20Dispositivo%20M&#233;dico%20%28curso%202890%20/%202619%29%20p&#243;s-gradua&#231;&#227;o" TargetMode="External"/><Relationship Id="rId56" Type="http://schemas.openxmlformats.org/officeDocument/2006/relationships/hyperlink" Target="https://www.google.com/search?q=site%3Aesap.pt%20Arte%20Sonora%20e%20Media%20Arte%20p&#243;s-gradua&#231;&#227;o" TargetMode="External"/><Relationship Id="rId1417" Type="http://schemas.openxmlformats.org/officeDocument/2006/relationships/hyperlink" Target="https://www.google.com/search?q=site%3Aipleiria.pt%20Produtos%20de%20Apoio%20em%20Sa&#250;de%20CTeSP" TargetMode="External"/><Relationship Id="rId1831" Type="http://schemas.openxmlformats.org/officeDocument/2006/relationships/hyperlink" Target="https://www.google.com/search?q=site%3Aipsantarem.pt%20Comunica&#231;&#227;o%20Digital%20CTeSP" TargetMode="External"/><Relationship Id="rId4987" Type="http://schemas.openxmlformats.org/officeDocument/2006/relationships/hyperlink" Target="https://www.google.com/search?q=site%3Aulisboa.pt%20Projeto%20Integrado%20em%20Arquitetura%2C%20Design%20e%20Artes%20-%20Metodologias%20e%20Pr&#225;ticas%20da%20Sustentabilidade%20p&#243;s-gradua&#231;&#227;o" TargetMode="External"/><Relationship Id="rId3589" Type="http://schemas.openxmlformats.org/officeDocument/2006/relationships/hyperlink" Target="https://www.google.com/search?q=site%3Aulusiada.pt%20Seguran&#231;a%20e%20Justi&#231;a%20licenciatura" TargetMode="External"/><Relationship Id="rId577" Type="http://schemas.openxmlformats.org/officeDocument/2006/relationships/hyperlink" Target="https://www.google.com/search?q=site%3Aiseclisboa.pt%20Ensino%20Outdoor%20p&#243;s-gradua&#231;&#227;o" TargetMode="External"/><Relationship Id="rId2258" Type="http://schemas.openxmlformats.org/officeDocument/2006/relationships/hyperlink" Target="https://www.google.com/search?q=site%3Aipvc.pt%20Enfermagem%20&#224;%20Pessoa%20em%20Situa&#231;&#227;o%20Paliativa%20mestrado" TargetMode="External"/><Relationship Id="rId3656" Type="http://schemas.openxmlformats.org/officeDocument/2006/relationships/hyperlink" Target="https://www.google.com/search?q=site%3Alusofona.pt%20Ci&#234;ncia%20Pol&#237;tica%20e%20Estudos%20Eleitorais%20licenciatura" TargetMode="External"/><Relationship Id="rId4707" Type="http://schemas.openxmlformats.org/officeDocument/2006/relationships/hyperlink" Target="https://www.google.com/search?q=site%3Aulisboa.pt%20Engenharia%20Inform&#225;tica%20e%20de%20Computadores%20mestrado" TargetMode="External"/><Relationship Id="rId991" Type="http://schemas.openxmlformats.org/officeDocument/2006/relationships/hyperlink" Target="https://www.google.com/search?q=site%3Aipb.pt%20Anima&#231;&#227;o%20e%20Produ&#231;&#227;o%20Art&#237;stica%20licenciatura" TargetMode="External"/><Relationship Id="rId2672" Type="http://schemas.openxmlformats.org/officeDocument/2006/relationships/hyperlink" Target="https://www.google.com/search?q=site%3Aipp.pt%20Ort&#243;ptica%20licenciatura" TargetMode="External"/><Relationship Id="rId3309" Type="http://schemas.openxmlformats.org/officeDocument/2006/relationships/hyperlink" Target="https://www.google.com/search?q=site%3Aucp.pt%20Gest&#227;o%20de%20Impacto%20e%20Sustentabilidade%20&#8211;%20Executivo%20mestrado" TargetMode="External"/><Relationship Id="rId3723" Type="http://schemas.openxmlformats.org/officeDocument/2006/relationships/hyperlink" Target="https://www.google.com/search?q=site%3Alusofona.pt%20Ci&#234;ncias%20Jur&#237;dico-Criminais%20mestrado" TargetMode="External"/><Relationship Id="rId644" Type="http://schemas.openxmlformats.org/officeDocument/2006/relationships/hyperlink" Target="https://www.google.com/search?q=site%3Aistec.pt%20Desenvolvimento%20de%20Produtos%20Multim&#233;dia%20CTeSP" TargetMode="External"/><Relationship Id="rId1274" Type="http://schemas.openxmlformats.org/officeDocument/2006/relationships/hyperlink" Target="https://www.google.com/search?q=site%3Aipc.pt%20Imagem%20M&#233;dica%20e%20Radioterapia%20licenciatura" TargetMode="External"/><Relationship Id="rId2325" Type="http://schemas.openxmlformats.org/officeDocument/2006/relationships/hyperlink" Target="https://www.google.com/search?q=site%3Aipv.pt%20Reabilita&#231;&#227;o%20e%20Conserva&#231;&#227;o%20de%20Edif&#237;cios%20CTeSP" TargetMode="External"/><Relationship Id="rId711" Type="http://schemas.openxmlformats.org/officeDocument/2006/relationships/hyperlink" Target="https://www.google.com/search?q=site%3Aipg.pt%20Ciberseguran&#231;a%20CTeSP" TargetMode="External"/><Relationship Id="rId1341" Type="http://schemas.openxmlformats.org/officeDocument/2006/relationships/hyperlink" Target="https://www.google.com/search?q=site%3Aipc.pt%20Atividade%20F&#237;sica%20e%20Brincar%20na%20Inf&#226;ncia%20p&#243;s-gradua&#231;&#227;o" TargetMode="External"/><Relationship Id="rId4497" Type="http://schemas.openxmlformats.org/officeDocument/2006/relationships/hyperlink" Target="https://www.google.com/search?q=site%3Auc.pt%20Engenharia%20Civil%20mestrado%20integrado" TargetMode="External"/><Relationship Id="rId5548" Type="http://schemas.openxmlformats.org/officeDocument/2006/relationships/hyperlink" Target="https://www.google.com/search?q=site%3Aup.pt%20Engenharia%20Matem&#225;tica%20mestrado" TargetMode="External"/><Relationship Id="rId3099" Type="http://schemas.openxmlformats.org/officeDocument/2006/relationships/hyperlink" Target="https://www.google.com/search?q=site%3Acespu.pt%20Pr&#243;tese%20Dent&#225;ria%20licenciatura" TargetMode="External"/><Relationship Id="rId4564" Type="http://schemas.openxmlformats.org/officeDocument/2006/relationships/hyperlink" Target="https://www.google.com/search?q=site%3Aulisboa.pt%20Engenharia%20da%20Energia%20e%20Ambiente%20licenciatura" TargetMode="External"/><Relationship Id="rId5615" Type="http://schemas.openxmlformats.org/officeDocument/2006/relationships/hyperlink" Target="https://www.google.com/search?q=site%3Aup.pt%20Lingu&#237;stica%20mestrado" TargetMode="External"/><Relationship Id="rId3166" Type="http://schemas.openxmlformats.org/officeDocument/2006/relationships/hyperlink" Target="https://www.google.com/search?q=site%3Auab.pt%20Ci&#234;ncias%20do%20Consumo%20Alimentar%20mestrado" TargetMode="External"/><Relationship Id="rId3580" Type="http://schemas.openxmlformats.org/officeDocument/2006/relationships/hyperlink" Target="https://www.google.com/search?q=site%3Aulusiada.pt%20Gest&#227;o%20licenciatura" TargetMode="External"/><Relationship Id="rId4217" Type="http://schemas.openxmlformats.org/officeDocument/2006/relationships/hyperlink" Target="https://www.google.com/search?q=site%3Aua.pt%20Programa&#231;&#227;o%20de%20Sistemas%20de%20Informa&#231;&#227;o%20CTeSP" TargetMode="External"/><Relationship Id="rId2182" Type="http://schemas.openxmlformats.org/officeDocument/2006/relationships/hyperlink" Target="https://www.google.com/search?q=site%3Aipvc.pt%20Marketing%20Agroalimentar%20CTeSP" TargetMode="External"/><Relationship Id="rId3233" Type="http://schemas.openxmlformats.org/officeDocument/2006/relationships/hyperlink" Target="https://www.google.com/search?q=site%3Aucp.pt%20Ci&#234;ncias%20da%20Nutri&#231;&#227;o%20licenciatura" TargetMode="External"/><Relationship Id="rId4631" Type="http://schemas.openxmlformats.org/officeDocument/2006/relationships/hyperlink" Target="https://www.google.com/search?q=site%3Aulisboa.pt%20Biotecnologia%20mestrado" TargetMode="External"/><Relationship Id="rId154" Type="http://schemas.openxmlformats.org/officeDocument/2006/relationships/hyperlink" Target="https://www.google.com/search?q=site%3Aesel.pt%20Supervis&#227;o%20Cl&#237;nica%20em%20Enfermagem%20p&#243;s-gradua&#231;&#227;o" TargetMode="External"/><Relationship Id="rId2999" Type="http://schemas.openxmlformats.org/officeDocument/2006/relationships/hyperlink" Target="https://www.google.com/search?q=site%3Aiscet.pt%20Contabilidade%20e%20Fiscalidade%20CTeSP" TargetMode="External"/><Relationship Id="rId3300" Type="http://schemas.openxmlformats.org/officeDocument/2006/relationships/hyperlink" Target="https://www.google.com/search?q=site%3Aucp.pt%20Fotografia%20mestrado" TargetMode="External"/><Relationship Id="rId221" Type="http://schemas.openxmlformats.org/officeDocument/2006/relationships/hyperlink" Target="https://www.google.com/search?q=site%3Aegasmoniz.edu.pt%20Fisioterapia%20licenciatura" TargetMode="External"/><Relationship Id="rId5058" Type="http://schemas.openxmlformats.org/officeDocument/2006/relationships/hyperlink" Target="https://www.google.com/search?q=site%3Autad.pt%20Teatro%20e%20Artes%20Performativas%20licenciatura" TargetMode="External"/><Relationship Id="rId5472" Type="http://schemas.openxmlformats.org/officeDocument/2006/relationships/hyperlink" Target="https://www.google.com/search?q=site%3Aup.pt%20An&#225;lises%20Cl&#237;nicas%20mestrado" TargetMode="External"/><Relationship Id="rId1668" Type="http://schemas.openxmlformats.org/officeDocument/2006/relationships/hyperlink" Target="https://www.google.com/search?q=site%3Aipl.pt%20Desenvolvimento%20de%20Projeto%20Cinematogr&#225;fico%20mestrado" TargetMode="External"/><Relationship Id="rId2719" Type="http://schemas.openxmlformats.org/officeDocument/2006/relationships/hyperlink" Target="https://www.google.com/search?q=site%3Aipp.pt%20Empreendedorismo%20e%20Internacionaliza&#231;&#227;o%20mestrado" TargetMode="External"/><Relationship Id="rId4074" Type="http://schemas.openxmlformats.org/officeDocument/2006/relationships/hyperlink" Target="https://www.google.com/search?q=site%3Aunl.pt%20Lideran&#231;a%20e%20Gest&#227;o%20de%20Equipas%20&#8211;%20P&#243;s&#8209;Gradua&#231;&#227;o%20Online%20p&#243;s-gradua&#231;&#227;o" TargetMode="External"/><Relationship Id="rId5125" Type="http://schemas.openxmlformats.org/officeDocument/2006/relationships/hyperlink" Target="https://www.google.com/search?q=site%3Autad.pt%20Patrim&#243;nio%20Cultural%2C%20Sustentabilidade%20e%20Inova&#231;&#227;o%20mestrado" TargetMode="External"/><Relationship Id="rId3090" Type="http://schemas.openxmlformats.org/officeDocument/2006/relationships/hyperlink" Target="https://www.google.com/search?q=site%3Aisssp.pt%20Servi&#231;o%20Social%20mestrado" TargetMode="External"/><Relationship Id="rId4141" Type="http://schemas.openxmlformats.org/officeDocument/2006/relationships/hyperlink" Target="https://www.google.com/search?q=site%3Aubi.pt%20Filosofia%20licenciatura" TargetMode="External"/><Relationship Id="rId1735" Type="http://schemas.openxmlformats.org/officeDocument/2006/relationships/hyperlink" Target="https://www.google.com/search?q=site%3Aipl.pt%20Matem&#225;tica%20para%20Ci&#234;ncia%20de%20Dados%20p&#243;s-gradua&#231;&#227;o" TargetMode="External"/><Relationship Id="rId27" Type="http://schemas.openxmlformats.org/officeDocument/2006/relationships/hyperlink" Target="https://www.google.com/search?q=site%3Auatlantica.pt%20P&#243;s-Gradua&#231;&#227;o%20em%20Sistemas%20Digitais%2C%20Intelig&#234;ncia%20Artificial%20e%20Lideran&#231;a%20Tecnol&#243;gica%20p&#243;s-gradua&#231;&#227;o" TargetMode="External"/><Relationship Id="rId1802" Type="http://schemas.openxmlformats.org/officeDocument/2006/relationships/hyperlink" Target="https://www.google.com/search?q=site%3Aipportalegre.pt%20Agricultura%20Sustent&#225;vel%20mestrado" TargetMode="External"/><Relationship Id="rId4958" Type="http://schemas.openxmlformats.org/officeDocument/2006/relationships/hyperlink" Target="https://www.google.com/search?q=site%3Aulisboa.pt%20Governa&#231;&#227;o%20Estrat&#233;gica%20Municipal%20p&#243;s-gradua&#231;&#227;o" TargetMode="External"/><Relationship Id="rId3974" Type="http://schemas.openxmlformats.org/officeDocument/2006/relationships/hyperlink" Target="https://www.google.com/search?q=site%3Aunl.pt%20Marketing%20Anal&#237;tico%20%2860%20ECTS%29%20mestrado" TargetMode="External"/><Relationship Id="rId895" Type="http://schemas.openxmlformats.org/officeDocument/2006/relationships/hyperlink" Target="https://www.google.com/search?q=site%3Aipbeja.pt%20Viticultura%20e%20Enologia%20CTeSP" TargetMode="External"/><Relationship Id="rId2576" Type="http://schemas.openxmlformats.org/officeDocument/2006/relationships/hyperlink" Target="https://www.google.com/search?q=site%3Aipp.pt%20Design%20e%20Tecnologias%20para%20Aplica&#231;&#245;es%20M&#243;veis%20CTeSP" TargetMode="External"/><Relationship Id="rId2990" Type="http://schemas.openxmlformats.org/officeDocument/2006/relationships/hyperlink" Target="https://www.google.com/search?q=site%3Aisced.pt%20Design%20e%20Marketing%20Digital%20p&#243;s-gradua&#231;&#227;o" TargetMode="External"/><Relationship Id="rId3627" Type="http://schemas.openxmlformats.org/officeDocument/2006/relationships/hyperlink" Target="https://www.google.com/search?q=site%3Aulusiada.pt%20Estomaterapia%20&#8211;%204.&#170;%20edi&#231;&#227;o%20p&#243;s-gradua&#231;&#227;o" TargetMode="External"/><Relationship Id="rId548" Type="http://schemas.openxmlformats.org/officeDocument/2006/relationships/hyperlink" Target="https://www.google.com/search?q=site%3Aiseclisboa.pt%20Ci&#234;ncias%20Aeron&#225;uticas%20e%20do%20Espa&#231;o%20licenciatura" TargetMode="External"/><Relationship Id="rId962" Type="http://schemas.openxmlformats.org/officeDocument/2006/relationships/hyperlink" Target="https://www.google.com/search?q=site%3Aipb.pt%20Gerontologia%20CTeSP" TargetMode="External"/><Relationship Id="rId1178" Type="http://schemas.openxmlformats.org/officeDocument/2006/relationships/hyperlink" Target="https://www.google.com/search?q=site%3Aipcb.pt%20Ensino%20do%201.&#186;%20Ciclo%20do%20Ensino%20B&#225;sico%20e%20de%20Matem&#225;tica%20e%20Ci&#234;ncias%20Naturais%20no%202.&#186;%20Ciclo%20do%20Ensino%20B&#225;sico%20mestrado" TargetMode="External"/><Relationship Id="rId1592" Type="http://schemas.openxmlformats.org/officeDocument/2006/relationships/hyperlink" Target="https://www.google.com/search?q=site%3Aipleiria.pt%20Gest&#227;o%20de%20Neg&#243;cios%20Online%20p&#243;s-gradua&#231;&#227;o" TargetMode="External"/><Relationship Id="rId2229" Type="http://schemas.openxmlformats.org/officeDocument/2006/relationships/hyperlink" Target="https://www.google.com/search?q=site%3Aipvc.pt%20Gest&#227;o%20da%20Distribui&#231;&#227;o%20e%20Log&#237;stica%20licenciatura" TargetMode="External"/><Relationship Id="rId2643" Type="http://schemas.openxmlformats.org/officeDocument/2006/relationships/hyperlink" Target="https://www.google.com/search?q=site%3Aipp.pt%20Engenharia%20Inform&#225;tica%20licenciatura" TargetMode="External"/><Relationship Id="rId5799" Type="http://schemas.openxmlformats.org/officeDocument/2006/relationships/hyperlink" Target="https://www.google.com/search?q=site%3Aium.pt%20Medicina%20Naval%20%28grau%20pela%20FMUL%29%20mestrado%20integrado" TargetMode="External"/><Relationship Id="rId615" Type="http://schemas.openxmlformats.org/officeDocument/2006/relationships/hyperlink" Target="https://www.google.com/search?q=site%3Aisla.pt%20Sistemas%20Integrados%20de%20Gest&#227;o%20&#8211;%20Qualidade%2C%20Ambiente%20e%20Seguran&#231;a%20p&#243;s-gradua&#231;&#227;o" TargetMode="External"/><Relationship Id="rId1245" Type="http://schemas.openxmlformats.org/officeDocument/2006/relationships/hyperlink" Target="https://www.google.com/search?q=site%3Aipc.pt%20Biotecnologia%20Industrial%20licenciatura" TargetMode="External"/><Relationship Id="rId1312" Type="http://schemas.openxmlformats.org/officeDocument/2006/relationships/hyperlink" Target="https://www.google.com/search?q=site%3Aipc.pt%20Ensino%20de%20Educa&#231;&#227;o%20Musical%20no%20Ensino%20B&#225;sico%20mestrado" TargetMode="External"/><Relationship Id="rId2710" Type="http://schemas.openxmlformats.org/officeDocument/2006/relationships/hyperlink" Target="https://www.google.com/search?q=site%3Aipp.pt%20Controlo%20de%20Gest&#227;o%20e%20Finan&#231;as%20&#8211;%20Mestrado%20Profissionalizante%20mestrado" TargetMode="External"/><Relationship Id="rId4468" Type="http://schemas.openxmlformats.org/officeDocument/2006/relationships/hyperlink" Target="https://www.google.com/search?q=site%3Auc.pt%20Psiquiatria%20Social%20e%20Cultural%20mestrado" TargetMode="External"/><Relationship Id="rId4882" Type="http://schemas.openxmlformats.org/officeDocument/2006/relationships/hyperlink" Target="https://www.google.com/search?q=site%3Aulisboa.pt%20Administra&#231;&#227;o%20e%20Gest&#227;o%20de%20Sa&#250;de%20p&#243;s-gradua&#231;&#227;o" TargetMode="External"/><Relationship Id="rId5519" Type="http://schemas.openxmlformats.org/officeDocument/2006/relationships/hyperlink" Target="https://www.google.com/search?q=site%3Aup.pt%20Descomissionamento%20Nuclear%20e%20Remedia&#231;&#227;o%20Ambiental%20mestrado" TargetMode="External"/><Relationship Id="rId2086" Type="http://schemas.openxmlformats.org/officeDocument/2006/relationships/hyperlink" Target="https://www.google.com/search?q=site%3Aipt.pt%20Gest&#227;o%20de%20Turismo%20CTeSP" TargetMode="External"/><Relationship Id="rId3484" Type="http://schemas.openxmlformats.org/officeDocument/2006/relationships/hyperlink" Target="https://www.google.com/search?q=site%3Aeuropeia.pt%20P&#243;s&#8209;Gradua&#231;&#227;o%20em%20Estrat&#233;gias%20Criativas%20para%20Publicidade%20%28IADE%29%20p&#243;s-gradua&#231;&#227;o" TargetMode="External"/><Relationship Id="rId4535" Type="http://schemas.openxmlformats.org/officeDocument/2006/relationships/hyperlink" Target="https://www.google.com/search?q=site%3Aulisboa.pt%20Design%20licenciatura" TargetMode="External"/><Relationship Id="rId3137" Type="http://schemas.openxmlformats.org/officeDocument/2006/relationships/hyperlink" Target="https://www.google.com/search?q=site%3Acespu.pt%20Ortodontia%20Intercetiva%20Odontopedi&#225;trica%20&#8211;%2016.&#170;%20edi&#231;&#227;o%20p&#243;s-gradua&#231;&#227;o" TargetMode="External"/><Relationship Id="rId3551" Type="http://schemas.openxmlformats.org/officeDocument/2006/relationships/hyperlink" Target="https://www.google.com/search?q=site%3Aufp.pt%20Lisbon%20Series%20on%20Palliative%20Care%20p&#243;s-gradua&#231;&#227;o" TargetMode="External"/><Relationship Id="rId4602" Type="http://schemas.openxmlformats.org/officeDocument/2006/relationships/hyperlink" Target="https://www.google.com/search?q=site%3Aulisboa.pt%20Planeamento%20e%20Gest&#227;o%20do%20Territ&#243;rio%20licenciatura" TargetMode="External"/><Relationship Id="rId472" Type="http://schemas.openxmlformats.org/officeDocument/2006/relationships/hyperlink" Target="https://www.google.com/search?q=site%3Aiscte-iul.pt%20Gest&#227;o%20Empresarial%20&#8211;%20Licenciados%20em%20Gest&#227;o%20ou%20afins%20p&#243;s-gradua&#231;&#227;o%20executiva" TargetMode="External"/><Relationship Id="rId2153" Type="http://schemas.openxmlformats.org/officeDocument/2006/relationships/hyperlink" Target="https://www.google.com/search?q=site%3Aipt.pt%20Produ&#231;&#227;o%20Industrial%20p&#243;s-gradua&#231;&#227;o" TargetMode="External"/><Relationship Id="rId3204" Type="http://schemas.openxmlformats.org/officeDocument/2006/relationships/hyperlink" Target="https://www.google.com/search?q=site%3Aautonoma.pt%20Rela&#231;&#245;es%20Internacionais%20licenciatura" TargetMode="External"/><Relationship Id="rId125" Type="http://schemas.openxmlformats.org/officeDocument/2006/relationships/hyperlink" Target="https://www.google.com/search?q=site%3Aesesfm.pt%20Enfermagem%20licenciatura" TargetMode="External"/><Relationship Id="rId2220" Type="http://schemas.openxmlformats.org/officeDocument/2006/relationships/hyperlink" Target="https://www.google.com/search?q=site%3Aipvc.pt%20Engenharia%20Mecatr&#243;nica%20licenciatura" TargetMode="External"/><Relationship Id="rId5376" Type="http://schemas.openxmlformats.org/officeDocument/2006/relationships/hyperlink" Target="https://www.google.com/search?q=site%3Aualg.pt%20Inova&#231;&#227;o%20Qu&#237;mica%2C%20Regulamenta&#231;&#227;o%20e%20Sustentabilidade%20%28Erasmus%20Mundus%29%20mestrado" TargetMode="External"/><Relationship Id="rId5790" Type="http://schemas.openxmlformats.org/officeDocument/2006/relationships/hyperlink" Target="https://www.google.com/search?q=site%3Aium.pt%20Medicina%20Dent&#225;ria%20%28grau%20pela%20FMD-UL%29%20mestrado%20integrado" TargetMode="External"/><Relationship Id="rId4392" Type="http://schemas.openxmlformats.org/officeDocument/2006/relationships/hyperlink" Target="https://www.google.com/search?q=site%3Auc.pt%20Ensino%20da%20Matem&#225;tica%20no%203.&#186;%20Ciclo%20do%20Ensino%20B&#225;sico%20e%20no%20Ensino%20Secund&#225;rio%20mestrado" TargetMode="External"/><Relationship Id="rId5029" Type="http://schemas.openxmlformats.org/officeDocument/2006/relationships/hyperlink" Target="https://www.google.com/search?q=site%3Autad.pt%20Ci&#234;ncias%20e%20Tecnologias%20Florestais%20licenciatura" TargetMode="External"/><Relationship Id="rId5443" Type="http://schemas.openxmlformats.org/officeDocument/2006/relationships/hyperlink" Target="https://www.google.com/search?q=site%3Aup.pt%20Engenharia%20Mec&#226;nica%20licenciatura" TargetMode="External"/><Relationship Id="rId1986" Type="http://schemas.openxmlformats.org/officeDocument/2006/relationships/hyperlink" Target="https://www.google.com/search?q=site%3Aips.pt%20Programa&#231;&#227;o%20Web%2C%20Dispositivos%20e%20Aplica&#231;&#245;es%20M&#243;veis%20CTeSP" TargetMode="External"/><Relationship Id="rId4045" Type="http://schemas.openxmlformats.org/officeDocument/2006/relationships/hyperlink" Target="https://www.google.com/search?q=site%3Aunl.pt%20Data%20%26%20AI%20for%20Business%20&#8211;%20P&#243;s&#8209;Gradua&#231;&#227;o%20Online%20p&#243;s-gradua&#231;&#227;o" TargetMode="External"/><Relationship Id="rId1639" Type="http://schemas.openxmlformats.org/officeDocument/2006/relationships/hyperlink" Target="https://www.google.com/search?q=site%3Aipl.pt%20Finan&#231;as%20Empresariais%20licenciatura" TargetMode="External"/><Relationship Id="rId3061" Type="http://schemas.openxmlformats.org/officeDocument/2006/relationships/hyperlink" Target="https://www.google.com/search?q=site%3Aisvouga.pt%20Contabilidade%20e%20Gest&#227;o%20P&#250;blica%20p&#243;s-gradua&#231;&#227;o" TargetMode="External"/><Relationship Id="rId5510" Type="http://schemas.openxmlformats.org/officeDocument/2006/relationships/hyperlink" Target="https://www.google.com/search?q=site%3Aup.pt%20Comportamento%20Animal%20aplicado%20ao%20Bem-estar%20Global%20mestrado" TargetMode="External"/><Relationship Id="rId1706" Type="http://schemas.openxmlformats.org/officeDocument/2006/relationships/hyperlink" Target="https://www.google.com/search?q=site%3Aipl.pt%20Publicidade%20e%20Marketing%20mestrado" TargetMode="External"/><Relationship Id="rId4112" Type="http://schemas.openxmlformats.org/officeDocument/2006/relationships/hyperlink" Target="https://www.google.com/search?q=site%3Aupt.pt%20Rela&#231;&#245;es%20Internacionais%20e%20Diplomacia%20mestrado" TargetMode="External"/><Relationship Id="rId3878" Type="http://schemas.openxmlformats.org/officeDocument/2006/relationships/hyperlink" Target="https://www.google.com/search?q=site%3Aunl.pt%20Ci&#234;ncias%20da%20Comunica&#231;&#227;o%20mestrado" TargetMode="External"/><Relationship Id="rId4929" Type="http://schemas.openxmlformats.org/officeDocument/2006/relationships/hyperlink" Target="https://www.google.com/search?q=site%3Aulisboa.pt%20Curso%20p&#243;s-graduado%20de%20especializa&#231;&#227;o%20em%20Prostodontia%20p&#243;s-gradua&#231;&#227;o" TargetMode="External"/><Relationship Id="rId799" Type="http://schemas.openxmlformats.org/officeDocument/2006/relationships/hyperlink" Target="https://www.google.com/search?q=site%3Aipg.pt%20Cadastro%20Predial%20&#8211;%20Tipologia%20A%20p&#243;s-gradua&#231;&#227;o%20executiva" TargetMode="External"/><Relationship Id="rId2894" Type="http://schemas.openxmlformats.org/officeDocument/2006/relationships/hyperlink" Target="https://www.google.com/search?q=site%3Aismat.pt%20Computa&#231;&#227;o%20e%20Matem&#225;tica%20Aplicada%20licenciatura" TargetMode="External"/><Relationship Id="rId866" Type="http://schemas.openxmlformats.org/officeDocument/2006/relationships/hyperlink" Target="https://www.google.com/search?q=site%3Aipmaia.pt%20Treino%20Desportivo%20de%20Jovens%20CTeSP" TargetMode="External"/><Relationship Id="rId1496" Type="http://schemas.openxmlformats.org/officeDocument/2006/relationships/hyperlink" Target="https://www.google.com/search?q=site%3Aipleiria.pt%20Artes%20Pl&#225;sticas%20mestrado" TargetMode="External"/><Relationship Id="rId2547" Type="http://schemas.openxmlformats.org/officeDocument/2006/relationships/hyperlink" Target="https://www.google.com/search?q=site%3Aipca.pt%20Gest&#227;o%20de%20Alojamentos%20Tur&#237;sticos%20p&#243;s-gradua&#231;&#227;o" TargetMode="External"/><Relationship Id="rId3945" Type="http://schemas.openxmlformats.org/officeDocument/2006/relationships/hyperlink" Target="https://www.google.com/search?q=site%3Aunl.pt%20Fitotecnologia%20Nutricional%20para%20a%20Sa&#250;de%20Humana%20mestrado" TargetMode="External"/><Relationship Id="rId519" Type="http://schemas.openxmlformats.org/officeDocument/2006/relationships/hyperlink" Target="https://www.google.com/search?q=site%3Aisec.pt%20Engenharia%20Qu&#237;mica%20e%20Biol&#243;gica%20mestrado" TargetMode="External"/><Relationship Id="rId1149" Type="http://schemas.openxmlformats.org/officeDocument/2006/relationships/hyperlink" Target="https://www.google.com/search?q=site%3Aipcb.pt%20Fisioterapia%20licenciatura" TargetMode="External"/><Relationship Id="rId2961" Type="http://schemas.openxmlformats.org/officeDocument/2006/relationships/hyperlink" Target="https://www.google.com/search?q=site%3Aisced.pt%20Acompanhamento%20de%20Crian&#231;as%20e%20Jovens%20CTeSP" TargetMode="External"/><Relationship Id="rId5020" Type="http://schemas.openxmlformats.org/officeDocument/2006/relationships/hyperlink" Target="https://www.google.com/search?q=site%3Autad.pt%20Biologia%20e%20Geologia%20licenciatura" TargetMode="External"/><Relationship Id="rId933" Type="http://schemas.openxmlformats.org/officeDocument/2006/relationships/hyperlink" Target="https://www.google.com/search?q=site%3Aipbeja.pt%20Sustentabilidade%20e%20Inova&#231;&#227;o%20em%20Frutos%20Secos%3A%20uma%20fileira%20em%20transforma&#231;&#227;o%20p&#243;s-gradua&#231;&#227;o" TargetMode="External"/><Relationship Id="rId1563" Type="http://schemas.openxmlformats.org/officeDocument/2006/relationships/hyperlink" Target="https://www.google.com/search?q=site%3Aipleiria.pt%20Solicitadoria%20de%20Empresa%20mestrado" TargetMode="External"/><Relationship Id="rId2614" Type="http://schemas.openxmlformats.org/officeDocument/2006/relationships/hyperlink" Target="https://www.google.com/search?q=site%3Aipp.pt%20Tecnologias%20de%20Dados%20e%20Visualiza&#231;&#227;o%20de%20Informa&#231;&#227;o%20CTeSP" TargetMode="External"/><Relationship Id="rId1216" Type="http://schemas.openxmlformats.org/officeDocument/2006/relationships/hyperlink" Target="https://www.google.com/search?q=site%3Aipc.pt%20Geoinform&#225;tica%20CTeSP" TargetMode="External"/><Relationship Id="rId1630" Type="http://schemas.openxmlformats.org/officeDocument/2006/relationships/hyperlink" Target="https://www.google.com/search?q=site%3Aipl.pt%20Engenharia%20Eletr&#243;nica%20e%20Telecomunica&#231;&#245;es%20e%20de%20Computadores%20licenciatura" TargetMode="External"/><Relationship Id="rId4786" Type="http://schemas.openxmlformats.org/officeDocument/2006/relationships/hyperlink" Target="https://www.google.com/search?q=site%3Aulisboa.pt%20Interven&#231;&#227;o%20Farmac&#234;utica%20e%20Gest&#227;o%20da%20Terap&#234;utica%20mestrado" TargetMode="External"/><Relationship Id="rId3388" Type="http://schemas.openxmlformats.org/officeDocument/2006/relationships/hyperlink" Target="https://www.google.com/search?q=site%3Aeuropeia.pt%20Ci&#234;ncias%20da%20Nutri&#231;&#227;o%20licenciatura" TargetMode="External"/><Relationship Id="rId4439" Type="http://schemas.openxmlformats.org/officeDocument/2006/relationships/hyperlink" Target="https://www.google.com/search?q=site%3Auc.pt%20Investiga&#231;&#227;o%20Biom&#233;dica%20mestrado" TargetMode="External"/><Relationship Id="rId4853" Type="http://schemas.openxmlformats.org/officeDocument/2006/relationships/hyperlink" Target="https://www.google.com/search?q=site%3Aulisboa.pt%20Teoria%20da%20Literatura%20mestrado" TargetMode="External"/><Relationship Id="rId3455" Type="http://schemas.openxmlformats.org/officeDocument/2006/relationships/hyperlink" Target="https://www.google.com/search?q=site%3Aeuropeia.pt%20Gest&#227;o%20mestrado" TargetMode="External"/><Relationship Id="rId4506" Type="http://schemas.openxmlformats.org/officeDocument/2006/relationships/hyperlink" Target="https://www.google.com/search?q=site%3Auc.pt%20Psicologia%20mestrado%20integrado" TargetMode="External"/><Relationship Id="rId376" Type="http://schemas.openxmlformats.org/officeDocument/2006/relationships/hyperlink" Target="https://www.google.com/search?q=site%3Aipluso.pt%20Automa&#231;&#227;o%20e%20Seguran&#231;a%20em%20Sistemas%20Inform&#225;ticos%20p&#243;s-gradua&#231;&#227;o" TargetMode="External"/><Relationship Id="rId790" Type="http://schemas.openxmlformats.org/officeDocument/2006/relationships/hyperlink" Target="https://www.google.com/search?q=site%3Aipg.pt%20Gest&#227;o%20e%20Avalia&#231;&#227;o%20de%20Tecnologias%20em%20Sa&#250;de%20mestrado" TargetMode="External"/><Relationship Id="rId2057" Type="http://schemas.openxmlformats.org/officeDocument/2006/relationships/hyperlink" Target="https://www.google.com/search?q=site%3Aips.pt%20Terapia%20da%20Fala%20mestrado" TargetMode="External"/><Relationship Id="rId2471" Type="http://schemas.openxmlformats.org/officeDocument/2006/relationships/hyperlink" Target="https://www.google.com/search?q=site%3Aipca.pt%20Treino%20Desportivo%20CTeSP" TargetMode="External"/><Relationship Id="rId3108" Type="http://schemas.openxmlformats.org/officeDocument/2006/relationships/hyperlink" Target="https://www.google.com/search?q=site%3Acespu.pt%20Medicina%20Veterin&#225;ria%20mestrado%20integrado" TargetMode="External"/><Relationship Id="rId3522" Type="http://schemas.openxmlformats.org/officeDocument/2006/relationships/hyperlink" Target="https://www.google.com/search?q=site%3Aufp.pt%20Ci&#234;ncias%20Empresariais%20mestrado" TargetMode="External"/><Relationship Id="rId4920" Type="http://schemas.openxmlformats.org/officeDocument/2006/relationships/hyperlink" Target="https://www.google.com/search?q=site%3Aulisboa.pt%20Curso%20de%20P&#243;s-Gradua&#231;&#227;o%20em%20Ci&#234;ncias%20para%20o%20Ensino%20%28Complementar%29%20-%2060%20cr&#233;ditos%20%28ECTS%29%20p&#243;s-gradua&#231;&#227;o" TargetMode="External"/><Relationship Id="rId443" Type="http://schemas.openxmlformats.org/officeDocument/2006/relationships/hyperlink" Target="https://www.google.com/search?q=site%3Aiscte-iul.pt%20Tecnologias%20Digitais%20Educativas%20licenciatura" TargetMode="External"/><Relationship Id="rId1073" Type="http://schemas.openxmlformats.org/officeDocument/2006/relationships/hyperlink" Target="https://www.google.com/search?q=site%3Aipb.pt%20Inova&#231;&#227;o%20de%20Produtos%20e%20Processos%20%28120%20ECTS%29%20mestrado" TargetMode="External"/><Relationship Id="rId2124" Type="http://schemas.openxmlformats.org/officeDocument/2006/relationships/hyperlink" Target="https://www.google.com/search?q=site%3Aipt.pt%20Tecnologia%20Qu&#237;mica%20licenciatura" TargetMode="External"/><Relationship Id="rId1140" Type="http://schemas.openxmlformats.org/officeDocument/2006/relationships/hyperlink" Target="https://www.google.com/search?q=site%3Aipcb.pt%20Enfermagem%20licenciatura" TargetMode="External"/><Relationship Id="rId4296" Type="http://schemas.openxmlformats.org/officeDocument/2006/relationships/hyperlink" Target="https://www.google.com/search?q=site%3Auc.pt%20Engenharia%20Inform&#225;tica%20licenciatura" TargetMode="External"/><Relationship Id="rId5694" Type="http://schemas.openxmlformats.org/officeDocument/2006/relationships/hyperlink" Target="https://www.google.com/search?q=site%3Auac.pt%20Comunica&#231;&#227;o%20e%20Rela&#231;&#245;es%20P&#250;blicas%20licenciatura" TargetMode="External"/><Relationship Id="rId510" Type="http://schemas.openxmlformats.org/officeDocument/2006/relationships/hyperlink" Target="https://www.google.com/search?q=site%3Aisec.pt%20Cidades%20Sustent&#225;veis%20e%20Inteligentes%20mestrado" TargetMode="External"/><Relationship Id="rId5347" Type="http://schemas.openxmlformats.org/officeDocument/2006/relationships/hyperlink" Target="https://www.google.com/search?q=site%3Aualg.pt%20Engenharia%20Inform&#225;tica%20mestrado" TargetMode="External"/><Relationship Id="rId5761" Type="http://schemas.openxmlformats.org/officeDocument/2006/relationships/hyperlink" Target="https://www.google.com/search?q=site%3Auac.pt%20Lean%2C%20Log&#237;stica%20e%20Gest&#227;o%20da%20Cadeia%20de%20Abastecimento%20%5B2025/2026%5D%20p&#243;s-gradua&#231;&#227;o" TargetMode="External"/><Relationship Id="rId1957" Type="http://schemas.openxmlformats.org/officeDocument/2006/relationships/hyperlink" Target="https://www.google.com/search?q=site%3Acespu.pt%20Nutri&#231;&#227;o%20no%20Desporto%20&#8211;%207.&#170;%20edi&#231;&#227;o%20p&#243;s-gradua&#231;&#227;o" TargetMode="External"/><Relationship Id="rId4363" Type="http://schemas.openxmlformats.org/officeDocument/2006/relationships/hyperlink" Target="https://www.google.com/search?q=site%3Auc.pt%20Democracia%20e%20Governa&#231;&#227;o%20-%20Roads%20to%20Democracy%28ies%29%20mestrado" TargetMode="External"/><Relationship Id="rId5414" Type="http://schemas.openxmlformats.org/officeDocument/2006/relationships/hyperlink" Target="https://www.google.com/search?q=site%3Aup.pt%20Astronomia%20licenciatura" TargetMode="External"/><Relationship Id="rId4016" Type="http://schemas.openxmlformats.org/officeDocument/2006/relationships/hyperlink" Target="https://www.google.com/search?q=site%3Aunl.pt%20Transi&#231;&#227;o%2C%20Inova&#231;&#227;o%20e%20Ambientes%20Sustent&#225;veis%20mestrado" TargetMode="External"/><Relationship Id="rId4430" Type="http://schemas.openxmlformats.org/officeDocument/2006/relationships/hyperlink" Target="https://www.google.com/search?q=site%3Auc.pt%20Gest&#227;o%20de%20Cidades%20e%20Engenharia%20de%20Transportes%20mestrado" TargetMode="External"/><Relationship Id="rId3032" Type="http://schemas.openxmlformats.org/officeDocument/2006/relationships/hyperlink" Target="https://www.google.com/search?q=site%3Aiscia.pt%20Gest&#227;o%20Industrial%20e%20Log&#237;stica%20licenciatura" TargetMode="External"/><Relationship Id="rId2798" Type="http://schemas.openxmlformats.org/officeDocument/2006/relationships/hyperlink" Target="https://www.google.com/search?q=site%3Aipp.pt%20Diversidade%2C%20Equidade%20e%20Inclus&#227;o%20p&#243;s-gradua&#231;&#227;o" TargetMode="External"/><Relationship Id="rId3849" Type="http://schemas.openxmlformats.org/officeDocument/2006/relationships/hyperlink" Target="https://www.google.com/search?q=site%3Aunl.pt%20Sa&#250;de%20P&#250;blica%20Global%20licenciatura" TargetMode="External"/><Relationship Id="rId5271" Type="http://schemas.openxmlformats.org/officeDocument/2006/relationships/hyperlink" Target="https://www.google.com/search?q=site%3Aualg.pt%20Telecomunica&#231;&#245;es%20e%20Redes%20CTeSP" TargetMode="External"/><Relationship Id="rId2865" Type="http://schemas.openxmlformats.org/officeDocument/2006/relationships/hyperlink" Target="https://www.google.com/search?q=site%3Aipam.pt%20P&#243;s&#8209;Gradua&#231;&#227;o%20em%20Sales%20Management%20p&#243;s-gradua&#231;&#227;o" TargetMode="External"/><Relationship Id="rId3916" Type="http://schemas.openxmlformats.org/officeDocument/2006/relationships/hyperlink" Target="https://www.google.com/search?q=site%3Aunl.pt%20Engenharia%20de%20Rob&#243;tica%20e%20Sistemas%20Inteligentes%20de%20Manufatura%20mestrado" TargetMode="External"/><Relationship Id="rId837" Type="http://schemas.openxmlformats.org/officeDocument/2006/relationships/hyperlink" Target="https://www.google.com/search?q=site%3Aipluso.pt%20Gest&#227;o%20Comercial%20licenciatura" TargetMode="External"/><Relationship Id="rId1467" Type="http://schemas.openxmlformats.org/officeDocument/2006/relationships/hyperlink" Target="https://www.google.com/search?q=site%3Aipleiria.pt%20Engenharia%20e%20Gest&#227;o%20Industrial%20licenciatura" TargetMode="External"/><Relationship Id="rId1881" Type="http://schemas.openxmlformats.org/officeDocument/2006/relationships/hyperlink" Target="https://www.google.com/search?q=site%3Aipsantarem.pt%20Qualidade%20Alimentar%20e%20Nutri&#231;&#227;o%20Humana%20licenciatura" TargetMode="External"/><Relationship Id="rId2518" Type="http://schemas.openxmlformats.org/officeDocument/2006/relationships/hyperlink" Target="https://www.google.com/search?q=site%3Aipca.pt%20Log&#237;stica%20e%20Gest&#227;o%20da%20Cadeia%20de%20Abastecimento%20mestrado" TargetMode="External"/><Relationship Id="rId2932" Type="http://schemas.openxmlformats.org/officeDocument/2006/relationships/hyperlink" Target="https://www.google.com/search?q=site%3Aispgaya.pt%20Gest&#227;o%20de%20Inova&#231;&#227;o%20em%20Tecnologia%20e%20nas%20Ind&#250;strias%20Criativas%20CTeSP" TargetMode="External"/><Relationship Id="rId904" Type="http://schemas.openxmlformats.org/officeDocument/2006/relationships/hyperlink" Target="https://www.google.com/search?q=site%3Aipbeja.pt%20Engenharia%20do%20Ambiente%20licenciatura" TargetMode="External"/><Relationship Id="rId1534" Type="http://schemas.openxmlformats.org/officeDocument/2006/relationships/hyperlink" Target="https://www.google.com/search?q=site%3Aipleiria.pt%20Engenharia%20Autom&#243;vel%20mestrado" TargetMode="External"/><Relationship Id="rId1601" Type="http://schemas.openxmlformats.org/officeDocument/2006/relationships/hyperlink" Target="https://www.google.com/search?q=site%3Aipleiria.pt%20Marketing%20e%20Estrat&#233;gia%20Digital%20p&#243;s-gradua&#231;&#227;o" TargetMode="External"/><Relationship Id="rId4757" Type="http://schemas.openxmlformats.org/officeDocument/2006/relationships/hyperlink" Target="https://www.google.com/search?q=site%3Aulisboa.pt%20Geografia%20Humana%3A%20Globaliza&#231;&#227;o%2C%20Sociedade%20e%20Territ&#243;rio%20mestrado" TargetMode="External"/><Relationship Id="rId3359" Type="http://schemas.openxmlformats.org/officeDocument/2006/relationships/hyperlink" Target="https://www.google.com/search?q=site%3Aucp.pt%20Gest&#227;o%20na%20Sa&#250;de%20p&#243;s-gradua&#231;&#227;o" TargetMode="External"/><Relationship Id="rId694" Type="http://schemas.openxmlformats.org/officeDocument/2006/relationships/hyperlink" Target="https://www.google.com/search?q=site%3Aiees.pt%20Gest&#227;o%20da%20Inova&#231;&#227;o%20e%20Sustentabilidade%20%28regime%20de%20ensino%20a%20dist&#226;ncia%29%20mestrado" TargetMode="External"/><Relationship Id="rId2375" Type="http://schemas.openxmlformats.org/officeDocument/2006/relationships/hyperlink" Target="https://www.google.com/search?q=site%3Aipv.pt%20Controlo%20de%20Gest&#227;o%20e%20Ci&#234;ncias%20de%20Dados%20mestrado" TargetMode="External"/><Relationship Id="rId3773" Type="http://schemas.openxmlformats.org/officeDocument/2006/relationships/hyperlink" Target="https://www.google.com/search?q=site%3Alusofona.pt%20Gest&#227;o%20Banc&#225;ria%2C%20Seguros%20e%20Mercados%20Financeiros%20p&#243;s-gradua&#231;&#227;o" TargetMode="External"/><Relationship Id="rId4824" Type="http://schemas.openxmlformats.org/officeDocument/2006/relationships/hyperlink" Target="https://www.google.com/search?q=site%3Aulisboa.pt%20Psicologia%20Cognitiva%20e%20Social%20mestrado" TargetMode="External"/><Relationship Id="rId347" Type="http://schemas.openxmlformats.org/officeDocument/2006/relationships/hyperlink" Target="https://www.google.com/search?q=site%3Asantamaria.pt%20Gerontologia%20e%20Cuidados%20de%20Longa%20Dura&#231;&#227;o%20CTeSP" TargetMode="External"/><Relationship Id="rId2028" Type="http://schemas.openxmlformats.org/officeDocument/2006/relationships/hyperlink" Target="https://www.google.com/search?q=site%3Aips.pt%20Ci&#234;ncias%20Empresariais%20mestrado" TargetMode="External"/><Relationship Id="rId3426" Type="http://schemas.openxmlformats.org/officeDocument/2006/relationships/hyperlink" Target="https://www.google.com/search?q=site%3Aeuropeia.pt%20Turismo%20licenciatura" TargetMode="External"/><Relationship Id="rId3840" Type="http://schemas.openxmlformats.org/officeDocument/2006/relationships/hyperlink" Target="https://www.google.com/search?q=site%3Aunl.pt%20Gest&#227;o%20licenciatura" TargetMode="External"/><Relationship Id="rId761" Type="http://schemas.openxmlformats.org/officeDocument/2006/relationships/hyperlink" Target="https://www.google.com/search?q=site%3Aipg.pt%20Enfermagem%20licenciatura" TargetMode="External"/><Relationship Id="rId1391" Type="http://schemas.openxmlformats.org/officeDocument/2006/relationships/hyperlink" Target="https://www.google.com/search?q=site%3Aipleiria.pt%20Design%20para%20Media%20Digitais%20CTeSP" TargetMode="External"/><Relationship Id="rId2442" Type="http://schemas.openxmlformats.org/officeDocument/2006/relationships/hyperlink" Target="https://www.google.com/search?q=site%3Aipca.pt%20Gest&#227;o%20e%20Manuten&#231;&#227;o%20de%20Infraestruturas%20CTeSP" TargetMode="External"/><Relationship Id="rId5598" Type="http://schemas.openxmlformats.org/officeDocument/2006/relationships/hyperlink" Target="https://www.google.com/search?q=site%3Aup.pt%20Gest&#227;o%20Comercial%20mestrado" TargetMode="External"/><Relationship Id="rId414" Type="http://schemas.openxmlformats.org/officeDocument/2006/relationships/hyperlink" Target="https://www.google.com/search?q=site%3Aisce.pt%20Curso%20de%20Especializa&#231;&#227;o%20em%20Educa&#231;&#227;o%20Especial%20e%20Inclusiva%3A%20Dom&#237;nio%20Cognitivo%20e%20Motor%20p&#243;s-gradua&#231;&#227;o" TargetMode="External"/><Relationship Id="rId1044" Type="http://schemas.openxmlformats.org/officeDocument/2006/relationships/hyperlink" Target="https://www.google.com/search?q=site%3Aipb.pt%20Educa&#231;&#227;o%20Especial%20e%20Inclusiva%20mestrado" TargetMode="External"/><Relationship Id="rId5665" Type="http://schemas.openxmlformats.org/officeDocument/2006/relationships/hyperlink" Target="https://www.google.com/search?q=site%3Aup.pt%20Uma%20Sa&#250;de%20&#8211;%20Integra&#231;&#227;o%20entre%20Sa&#250;de%20Humana%2C%20Sa&#250;de%20Animal%20e%20Sa&#250;de%20do%20Ambiente%20mestrado" TargetMode="External"/><Relationship Id="rId1111" Type="http://schemas.openxmlformats.org/officeDocument/2006/relationships/hyperlink" Target="https://www.google.com/search?q=site%3Aipcb.pt%20Constru&#231;&#227;o%20Civil%20CTeSP" TargetMode="External"/><Relationship Id="rId4267" Type="http://schemas.openxmlformats.org/officeDocument/2006/relationships/hyperlink" Target="https://www.google.com/search?q=site%3Aua.pt%20Marketing%20e%20Comunica&#231;&#227;o%20Digital%20mestrado" TargetMode="External"/><Relationship Id="rId4681" Type="http://schemas.openxmlformats.org/officeDocument/2006/relationships/hyperlink" Target="https://www.google.com/search?q=site%3Aulisboa.pt%20Economia%20mestrado" TargetMode="External"/><Relationship Id="rId5318" Type="http://schemas.openxmlformats.org/officeDocument/2006/relationships/hyperlink" Target="https://www.google.com/search?q=site%3Aualg.pt%20Terapia%20da%20Fala%20licenciatura" TargetMode="External"/><Relationship Id="rId5732" Type="http://schemas.openxmlformats.org/officeDocument/2006/relationships/hyperlink" Target="https://www.google.com/search?q=site%3Auac.pt%20Filosofia%20Contempor&#226;nea%20&#8211;%20Valores%20e%20Sociedade%20mestrado" TargetMode="External"/><Relationship Id="rId3283" Type="http://schemas.openxmlformats.org/officeDocument/2006/relationships/hyperlink" Target="https://www.google.com/search?q=site%3Aucp.pt%20Economia%20Social%20mestrado" TargetMode="External"/><Relationship Id="rId4334" Type="http://schemas.openxmlformats.org/officeDocument/2006/relationships/hyperlink" Target="https://www.google.com/search?q=site%3Auc.pt%20Antropologia%20Social%20e%20Cultural%20mestrado" TargetMode="External"/><Relationship Id="rId1928" Type="http://schemas.openxmlformats.org/officeDocument/2006/relationships/hyperlink" Target="https://www.google.com/search?q=site%3Acespu.pt%20Fisiologia%20Cl&#237;nica%20licenciatura" TargetMode="External"/><Relationship Id="rId3350" Type="http://schemas.openxmlformats.org/officeDocument/2006/relationships/hyperlink" Target="https://www.google.com/search?q=site%3Aucp.pt%20Enfermagem%20de%20Sa&#250;de%20Comunit&#225;ria%20e%20de%20Sa&#250;de%20Familiar%20p&#243;s-gradua&#231;&#227;o" TargetMode="External"/><Relationship Id="rId271" Type="http://schemas.openxmlformats.org/officeDocument/2006/relationships/hyperlink" Target="https://www.google.com/search?q=site%3Aesscvp.eu%20Enfermagem%20M&#233;dico-Cir&#250;rgica%20na%20&#225;rea%20de%20Enfermagem%20&#224;%20Pessoa%20em%20Situa&#231;&#227;o%20Paliativa%20mestrado" TargetMode="External"/><Relationship Id="rId3003" Type="http://schemas.openxmlformats.org/officeDocument/2006/relationships/hyperlink" Target="https://www.google.com/search?q=site%3Aiscet.pt%20Gest&#227;o%20e%20Com&#233;rcio%20Internacional%20CTeSP" TargetMode="External"/><Relationship Id="rId4401" Type="http://schemas.openxmlformats.org/officeDocument/2006/relationships/hyperlink" Target="https://www.google.com/search?q=site%3Auc.pt%20Ensino%20de%20Portugu&#234;s%20e%20de%20L&#237;ngua%20Estrangeira%20no%203&#186;%20ciclo%20do%20Ensino%20B&#225;sico%20e%20no%20Ensino%20Secund&#225;rio%20mestrado" TargetMode="External"/><Relationship Id="rId2769" Type="http://schemas.openxmlformats.org/officeDocument/2006/relationships/hyperlink" Target="https://www.google.com/search?q=site%3Aipp.pt%20Pr&#225;ticas%20Empresariais%20e%20Jur&#237;dicas%20da%20Economia%20Social%20mestrado" TargetMode="External"/><Relationship Id="rId5175" Type="http://schemas.openxmlformats.org/officeDocument/2006/relationships/hyperlink" Target="https://www.google.com/search?q=site%3Auevora.pt%20Bioarqueologia%20mestrado" TargetMode="External"/><Relationship Id="rId1785" Type="http://schemas.openxmlformats.org/officeDocument/2006/relationships/hyperlink" Target="https://www.google.com/search?q=site%3Aipportalegre.pt%20Educa&#231;&#227;o%20Social%20licenciatura" TargetMode="External"/><Relationship Id="rId2836" Type="http://schemas.openxmlformats.org/officeDocument/2006/relationships/hyperlink" Target="https://www.google.com/search?q=site%3Aipp.pt%20Technical%20Communication%20p&#243;s-gradua&#231;&#227;o" TargetMode="External"/><Relationship Id="rId4191" Type="http://schemas.openxmlformats.org/officeDocument/2006/relationships/hyperlink" Target="https://www.google.com/search?q=site%3Aismai.pt%20Treino%20Desportivo%20mestrado" TargetMode="External"/><Relationship Id="rId5242" Type="http://schemas.openxmlformats.org/officeDocument/2006/relationships/hyperlink" Target="https://www.google.com/search?q=site%3Auevora.pt%20Supervis&#227;o%20Cl&#237;nica%20em%20Enfermagem%20p&#243;s-gradua&#231;&#227;o" TargetMode="External"/><Relationship Id="rId77" Type="http://schemas.openxmlformats.org/officeDocument/2006/relationships/hyperlink" Target="https://www.google.com/search?q=site%3Aesad.pt%20Design%20%28ramos%3A%20Design%20de%20Comunica&#231;&#227;o%2C%20Design%20de%20Produto%2C%20Design%20de%20Interiores%2C%20Design%20de%20Moda%29%20licenciatura" TargetMode="External"/><Relationship Id="rId808" Type="http://schemas.openxmlformats.org/officeDocument/2006/relationships/hyperlink" Target="https://www.google.com/search?q=site%3Aipluso.pt%20Assessoria%20em%20Administra&#231;&#227;o%20e%20Gest&#227;o%20P&#250;blica%20CTeSP" TargetMode="External"/><Relationship Id="rId1438" Type="http://schemas.openxmlformats.org/officeDocument/2006/relationships/hyperlink" Target="https://www.google.com/search?q=site%3Aipleiria.pt%20Turismo%20de%20Surf%20CTeSP" TargetMode="External"/><Relationship Id="rId1852" Type="http://schemas.openxmlformats.org/officeDocument/2006/relationships/hyperlink" Target="https://www.google.com/search?q=site%3Aipsantarem.pt%20Surfing%20no%20treino%20e%20na%20anima&#231;&#227;o%20tur&#237;stica%20CTeSP" TargetMode="External"/><Relationship Id="rId2903" Type="http://schemas.openxmlformats.org/officeDocument/2006/relationships/hyperlink" Target="https://www.google.com/search?q=site%3Aismat.pt%20Tecnologias%20Criativas%20licenciatura" TargetMode="External"/><Relationship Id="rId1505" Type="http://schemas.openxmlformats.org/officeDocument/2006/relationships/hyperlink" Target="https://www.google.com/search?q=site%3Aipleiria.pt%20Ci&#234;ncias%20da%20Educa&#231;&#227;o%2C%20&#225;rea%20de%20Especializa&#231;&#227;o%20em%20Educa&#231;&#227;o%20e%20Desenvolvimento%20Comunit&#225;rio%20mestrado" TargetMode="External"/><Relationship Id="rId3677" Type="http://schemas.openxmlformats.org/officeDocument/2006/relationships/hyperlink" Target="https://www.google.com/search?q=site%3Alusofona.pt%20Economia%20licenciatura" TargetMode="External"/><Relationship Id="rId4728" Type="http://schemas.openxmlformats.org/officeDocument/2006/relationships/hyperlink" Target="https://www.google.com/search?q=site%3Aulisboa.pt%20Ensino%20de%20Educa&#231;&#227;o%20F&#237;sica%20nos%20Ensinos%20B&#225;sico%20e%20Secund&#225;rio%20mestrado" TargetMode="External"/><Relationship Id="rId598" Type="http://schemas.openxmlformats.org/officeDocument/2006/relationships/hyperlink" Target="https://www.google.com/search?q=site%3Aisla.pt%20Finan&#231;as%20e%20Fiscalidade%20mestrado" TargetMode="External"/><Relationship Id="rId2279" Type="http://schemas.openxmlformats.org/officeDocument/2006/relationships/hyperlink" Target="https://www.google.com/search?q=site%3Aipvc.pt%20Tecnologias%20da%20Informa&#231;&#227;o%20e%20Comunica&#231;&#227;o%20em%20Educa&#231;&#227;o%20mestrado" TargetMode="External"/><Relationship Id="rId2693" Type="http://schemas.openxmlformats.org/officeDocument/2006/relationships/hyperlink" Target="https://www.google.com/search?q=site%3Aipp.pt%20Administra&#231;&#227;o%20das%20Organiza&#231;&#245;es%20Educativas%20mestrado" TargetMode="External"/><Relationship Id="rId3744" Type="http://schemas.openxmlformats.org/officeDocument/2006/relationships/hyperlink" Target="https://www.google.com/search?q=site%3Alusofona.pt%20Justi&#231;a%20Juvenil%20e%20Prote&#231;&#227;o%20de%20Crian&#231;as%20e%20Jovens%20em%20Perigo%20mestrado" TargetMode="External"/><Relationship Id="rId665" Type="http://schemas.openxmlformats.org/officeDocument/2006/relationships/hyperlink" Target="https://www.google.com/search?q=site%3Aiees.pt%20Anima&#231;&#227;o%20em%20Turismo%20de%20Natureza%20e%20Aventura%20CTeSP" TargetMode="External"/><Relationship Id="rId1295" Type="http://schemas.openxmlformats.org/officeDocument/2006/relationships/hyperlink" Target="https://www.google.com/search?q=site%3Aipc.pt%20Ci&#234;ncias%20Biom&#233;dicas%20Laboratoriais%20mestrado" TargetMode="External"/><Relationship Id="rId2346" Type="http://schemas.openxmlformats.org/officeDocument/2006/relationships/hyperlink" Target="https://www.google.com/search?q=site%3Aipv.pt%20Enfermagem%20licenciatura" TargetMode="External"/><Relationship Id="rId2760" Type="http://schemas.openxmlformats.org/officeDocument/2006/relationships/hyperlink" Target="https://www.google.com/search?q=site%3Aipp.pt%20Intelig&#234;ncia%20e%20An&#225;lise%20para%20o%20Neg&#243;cio%20mestrado" TargetMode="External"/><Relationship Id="rId3811" Type="http://schemas.openxmlformats.org/officeDocument/2006/relationships/hyperlink" Target="https://www.google.com/search?q=site%3Aunl.pt%20Ci&#234;ncias%20Cognitivas%20e%20do%20Comportamento%20licenciatura" TargetMode="External"/><Relationship Id="rId318" Type="http://schemas.openxmlformats.org/officeDocument/2006/relationships/hyperlink" Target="https://www.google.com/search?q=site%3Aesscvp.eu%20Enfermagem%20&#224;%20Pessoa%20em%20Situa&#231;&#227;o%20Cr&#237;tica%20p&#243;s-gradua&#231;&#227;o" TargetMode="External"/><Relationship Id="rId732" Type="http://schemas.openxmlformats.org/officeDocument/2006/relationships/hyperlink" Target="https://www.google.com/search?q=site%3Aipg.pt%20Guias%20de%20Natureza%20CTeSP" TargetMode="External"/><Relationship Id="rId1362" Type="http://schemas.openxmlformats.org/officeDocument/2006/relationships/hyperlink" Target="https://www.google.com/search?q=site%3Aipc.pt%20Ilustra&#231;&#227;o%20Aplicada%20ao%20Design%20p&#243;s-gradua&#231;&#227;o" TargetMode="External"/><Relationship Id="rId2413" Type="http://schemas.openxmlformats.org/officeDocument/2006/relationships/hyperlink" Target="https://www.google.com/search?q=site%3Aipv.pt%20Tecnologias%20Ambientais%20p&#243;s-gradua&#231;&#227;o" TargetMode="External"/><Relationship Id="rId5569" Type="http://schemas.openxmlformats.org/officeDocument/2006/relationships/hyperlink" Target="https://www.google.com/search?q=site%3Aup.pt%20Ensino%20de%20Hist&#243;ria%20no%203.&#186;%20Ciclo%20do%20Ensino%20B&#225;sico%20e%20no%20Ensino%20Secund&#225;rio%20mestrado" TargetMode="External"/><Relationship Id="rId1015" Type="http://schemas.openxmlformats.org/officeDocument/2006/relationships/hyperlink" Target="https://www.google.com/search?q=site%3Aipb.pt%20Engenharia%20e%20Gest&#227;o%20Industrial%20licenciatura" TargetMode="External"/><Relationship Id="rId4585" Type="http://schemas.openxmlformats.org/officeDocument/2006/relationships/hyperlink" Target="https://www.google.com/search?q=site%3Aulisboa.pt%20F&#237;sica%20licenciatura" TargetMode="External"/><Relationship Id="rId3187" Type="http://schemas.openxmlformats.org/officeDocument/2006/relationships/hyperlink" Target="https://www.google.com/search?q=site%3Auab.pt%20Administra&#231;&#227;o%20e%20Pol&#237;ticas%20P&#250;blicas%20p&#243;s-gradua&#231;&#227;o" TargetMode="External"/><Relationship Id="rId4238" Type="http://schemas.openxmlformats.org/officeDocument/2006/relationships/hyperlink" Target="https://www.google.com/search?q=site%3Aua.pt%20Gest&#227;o%20P&#250;blica%20licenciatura" TargetMode="External"/><Relationship Id="rId5636" Type="http://schemas.openxmlformats.org/officeDocument/2006/relationships/hyperlink" Target="https://www.google.com/search?q=site%3Aup.pt%20Portugu&#234;s%20L&#237;ngua%20Segunda%20/%20L&#237;ngua%20Estrangeira%20mestrado" TargetMode="External"/><Relationship Id="rId4652" Type="http://schemas.openxmlformats.org/officeDocument/2006/relationships/hyperlink" Target="https://www.google.com/search?q=site%3Aulisboa.pt%20Contabilidade%2C%20Fiscalidade%20e%20Finan&#231;as%20Empresariais%20mestrado" TargetMode="External"/><Relationship Id="rId5703" Type="http://schemas.openxmlformats.org/officeDocument/2006/relationships/hyperlink" Target="https://www.google.com/search?q=site%3Auac.pt%20Inform&#225;tica%20licenciatura" TargetMode="External"/><Relationship Id="rId175" Type="http://schemas.openxmlformats.org/officeDocument/2006/relationships/hyperlink" Target="https://www.google.com/search?q=site%3Aesenf.pt%20Enfermagem%20de%20Sa&#250;de%20P&#250;blica%20p&#243;s-gradua&#231;&#227;o" TargetMode="External"/><Relationship Id="rId3254" Type="http://schemas.openxmlformats.org/officeDocument/2006/relationships/hyperlink" Target="https://www.google.com/search?q=site%3Aucp.pt%20Servi&#231;o%20Social%20%28plano%20180%20ECTS%29%20licenciatura" TargetMode="External"/><Relationship Id="rId4305" Type="http://schemas.openxmlformats.org/officeDocument/2006/relationships/hyperlink" Target="https://www.google.com/search?q=site%3Auc.pt%20Filosofia%20licenciatura" TargetMode="External"/><Relationship Id="rId2270" Type="http://schemas.openxmlformats.org/officeDocument/2006/relationships/hyperlink" Target="https://www.google.com/search?q=site%3Aipvc.pt%20Gest&#227;o%20Art&#237;stica%20e%20Cultural%20mestrado" TargetMode="External"/><Relationship Id="rId3321" Type="http://schemas.openxmlformats.org/officeDocument/2006/relationships/hyperlink" Target="https://www.google.com/search?q=site%3Aucp.pt%20Marketing%20mestrado" TargetMode="External"/><Relationship Id="rId242" Type="http://schemas.openxmlformats.org/officeDocument/2006/relationships/hyperlink" Target="https://www.google.com/search?q=site%3Aegasmoniz.edu.pt%20Ci&#234;ncias%20Farmac&#234;uticas%20mestrado%20integrado" TargetMode="External"/><Relationship Id="rId5079" Type="http://schemas.openxmlformats.org/officeDocument/2006/relationships/hyperlink" Target="https://www.google.com/search?q=site%3Autad.pt%20Ci&#234;ncias%20do%20Desporto%20-%20especializa&#231;&#227;o%20em%20Jogos%20Desportivos%20Colectivos%20mestrado" TargetMode="External"/><Relationship Id="rId5493" Type="http://schemas.openxmlformats.org/officeDocument/2006/relationships/hyperlink" Target="https://www.google.com/search?q=site%3Aup.pt%20Bioqu&#237;mica%20mestrado" TargetMode="External"/><Relationship Id="rId1689" Type="http://schemas.openxmlformats.org/officeDocument/2006/relationships/hyperlink" Target="https://www.google.com/search?q=site%3Aipl.pt%20Ensino%20de%20Educa&#231;&#227;o%20Visual%20e%20Tecnol&#243;gica%20no%20Ensino%20B&#225;sico%20mestrado" TargetMode="External"/><Relationship Id="rId4095" Type="http://schemas.openxmlformats.org/officeDocument/2006/relationships/hyperlink" Target="https://www.google.com/search?q=site%3Aupt.pt%20Multim&#233;dia%20e%20Artes%20licenciatura" TargetMode="External"/><Relationship Id="rId5146" Type="http://schemas.openxmlformats.org/officeDocument/2006/relationships/hyperlink" Target="https://www.google.com/search?q=site%3Auevora.pt%20Biologia%20e%20Geologia%20licenciatura" TargetMode="External"/><Relationship Id="rId5560" Type="http://schemas.openxmlformats.org/officeDocument/2006/relationships/hyperlink" Target="https://www.google.com/search?q=site%3Aup.pt%20Engenharia%20e%20Ci&#234;ncia%20de%20Dados%20mestrado" TargetMode="External"/><Relationship Id="rId4162" Type="http://schemas.openxmlformats.org/officeDocument/2006/relationships/hyperlink" Target="https://www.google.com/search?q=site%3Aismai.pt%20Ci&#234;ncias%20do%20Desporto%20licenciatura" TargetMode="External"/><Relationship Id="rId5213" Type="http://schemas.openxmlformats.org/officeDocument/2006/relationships/hyperlink" Target="https://www.google.com/search?q=site%3Auevora.pt%20Tecnologias%20em%20Agricultura%20de%20Precis&#227;o%20mestrado" TargetMode="External"/><Relationship Id="rId1756" Type="http://schemas.openxmlformats.org/officeDocument/2006/relationships/hyperlink" Target="https://www.google.com/search?q=site%3Aipportalegre.pt%20Desenvolvimento%20para%20a%20Web%20e%20Dispositivos%20M&#243;veis%20CTeSP" TargetMode="External"/><Relationship Id="rId2807" Type="http://schemas.openxmlformats.org/officeDocument/2006/relationships/hyperlink" Target="https://www.google.com/search?q=site%3Aipp.pt%20Gest&#227;o%20da%20Internacionaliza&#231;&#227;o%20de%20PME%20p&#243;s-gradua&#231;&#227;o" TargetMode="External"/><Relationship Id="rId48" Type="http://schemas.openxmlformats.org/officeDocument/2006/relationships/hyperlink" Target="https://www.google.com/search?q=site%3Aesap.pt%20Design%20de%20Comunica&#231;&#227;o%20licenciatura" TargetMode="External"/><Relationship Id="rId1409" Type="http://schemas.openxmlformats.org/officeDocument/2006/relationships/hyperlink" Target="https://www.google.com/search?q=site%3Aipleiria.pt%20Interven&#231;&#227;o%20em%20Espa&#231;os%20Educativos%20CTeSP" TargetMode="External"/><Relationship Id="rId1823" Type="http://schemas.openxmlformats.org/officeDocument/2006/relationships/hyperlink" Target="https://www.google.com/search?q=site%3Aipportalegre.pt%20Tecnologias%20Digitais%20e%20Ambientais%20nas%20Ci&#234;ncias%20Agr&#225;rias%20p&#243;s-gradua&#231;&#227;o" TargetMode="External"/><Relationship Id="rId4979" Type="http://schemas.openxmlformats.org/officeDocument/2006/relationships/hyperlink" Target="https://www.google.com/search?q=site%3Aulisboa.pt%20MetodICS%20p&#243;s-gradua&#231;&#227;o" TargetMode="External"/><Relationship Id="rId3995" Type="http://schemas.openxmlformats.org/officeDocument/2006/relationships/hyperlink" Target="https://www.google.com/search?q=site%3Aunl.pt%20Promo&#231;&#227;o%20da%20Sa&#250;de%20mestrado" TargetMode="External"/><Relationship Id="rId2597" Type="http://schemas.openxmlformats.org/officeDocument/2006/relationships/hyperlink" Target="https://www.google.com/search?q=site%3Aipp.pt%20Opera&#231;&#245;es%20Hoteleiras%20CTeSP" TargetMode="External"/><Relationship Id="rId3648" Type="http://schemas.openxmlformats.org/officeDocument/2006/relationships/hyperlink" Target="https://www.google.com/search?q=site%3Alusofona.pt%20Artes%20Visuais%20licenciatura" TargetMode="External"/><Relationship Id="rId569" Type="http://schemas.openxmlformats.org/officeDocument/2006/relationships/hyperlink" Target="https://www.google.com/search?q=site%3Aiseclisboa.pt%20Gest&#227;o%20de%20Seguran&#231;a%20e%20Sa&#250;de%20no%20Trabalho%20mestrado" TargetMode="External"/><Relationship Id="rId983" Type="http://schemas.openxmlformats.org/officeDocument/2006/relationships/hyperlink" Target="https://www.google.com/search?q=site%3Aipb.pt%20Tecnologia%20Alimentar%20CTeSP" TargetMode="External"/><Relationship Id="rId1199" Type="http://schemas.openxmlformats.org/officeDocument/2006/relationships/hyperlink" Target="https://www.google.com/search?q=site%3Aipcb.pt%20Reabilita&#231;&#227;o%20Sustent&#225;vel%20de%20Edif&#237;cios%20%28UAb/IPCB%29%20p&#243;s-gradua&#231;&#227;o" TargetMode="External"/><Relationship Id="rId2664" Type="http://schemas.openxmlformats.org/officeDocument/2006/relationships/hyperlink" Target="https://www.google.com/search?q=site%3Aipp.pt%20Marketing%20licenciatura" TargetMode="External"/><Relationship Id="rId5070" Type="http://schemas.openxmlformats.org/officeDocument/2006/relationships/hyperlink" Target="https://www.google.com/search?q=site%3Autad.pt%20Biologia%20Cl&#237;nica%20Laboratorial%20mestrado" TargetMode="External"/><Relationship Id="rId636" Type="http://schemas.openxmlformats.org/officeDocument/2006/relationships/hyperlink" Target="https://www.google.com/search?q=site%3Aispa.pt%20Psicologia%20da%20Sa&#250;de%20mestrado" TargetMode="External"/><Relationship Id="rId1266" Type="http://schemas.openxmlformats.org/officeDocument/2006/relationships/hyperlink" Target="https://www.google.com/search?q=site%3Aipc.pt%20Fisioterapia%20licenciatura" TargetMode="External"/><Relationship Id="rId2317" Type="http://schemas.openxmlformats.org/officeDocument/2006/relationships/hyperlink" Target="https://www.google.com/search?q=site%3Aipv.pt%20Inform&#225;tica%20Industrial%20CTeSP" TargetMode="External"/><Relationship Id="rId3715" Type="http://schemas.openxmlformats.org/officeDocument/2006/relationships/hyperlink" Target="https://www.google.com/search?q=site%3Alusofona.pt%20Ciberespa&#231;o%2C%20Comportamento%20e%20Terapia%20Digital%20mestrado" TargetMode="External"/><Relationship Id="rId1680" Type="http://schemas.openxmlformats.org/officeDocument/2006/relationships/hyperlink" Target="https://www.google.com/search?q=site%3Aipl.pt%20Engenharia%20Inform&#225;tica%20e%20de%20Computadores%20mestrado" TargetMode="External"/><Relationship Id="rId2731" Type="http://schemas.openxmlformats.org/officeDocument/2006/relationships/hyperlink" Target="https://www.google.com/search?q=site%3Aipp.pt%20Engenharia%20de%20Intelig&#234;ncia%20Artificial%20mestrado" TargetMode="External"/><Relationship Id="rId703" Type="http://schemas.openxmlformats.org/officeDocument/2006/relationships/hyperlink" Target="https://www.google.com/search?q=site%3Aipg.pt%20Acompanhamento%20de%20Crian&#231;as%20e%20Jovens%20CTeSP" TargetMode="External"/><Relationship Id="rId1333" Type="http://schemas.openxmlformats.org/officeDocument/2006/relationships/hyperlink" Target="https://www.google.com/search?q=site%3Aipc.pt%20Nutri&#231;&#227;o%2C%20Alimenta&#231;&#227;o%20e%20Sa&#250;de%20mestrado" TargetMode="External"/><Relationship Id="rId4489" Type="http://schemas.openxmlformats.org/officeDocument/2006/relationships/hyperlink" Target="https://www.google.com/search?q=site%3Auc.pt%20Temas%20de%20Psicologia%20do%20Desenvolvimento%20mestrado" TargetMode="External"/><Relationship Id="rId1400" Type="http://schemas.openxmlformats.org/officeDocument/2006/relationships/hyperlink" Target="https://www.google.com/search?q=site%3Aipleiria.pt%20Gest&#227;o%20Hoteleira%20e%20Alojamento%20CTeSP" TargetMode="External"/><Relationship Id="rId4556" Type="http://schemas.openxmlformats.org/officeDocument/2006/relationships/hyperlink" Target="https://www.google.com/search?q=site%3Aulisboa.pt%20Engenharia%20Geoespacial%20licenciatura" TargetMode="External"/><Relationship Id="rId4970" Type="http://schemas.openxmlformats.org/officeDocument/2006/relationships/hyperlink" Target="https://www.google.com/search?q=site%3Aulisboa.pt%20Jornalismo%28s%29%20Liter&#225;rio%28s%29%20p&#243;s-gradua&#231;&#227;o" TargetMode="External"/><Relationship Id="rId5607" Type="http://schemas.openxmlformats.org/officeDocument/2006/relationships/hyperlink" Target="https://www.google.com/search?q=site%3Aup.pt%20Hist&#243;ria%20e%20Patrim&#243;nio%20mestrado" TargetMode="External"/><Relationship Id="rId3158" Type="http://schemas.openxmlformats.org/officeDocument/2006/relationships/hyperlink" Target="https://www.google.com/search?q=site%3Auab.pt%20Hist&#243;ria%20licenciatura" TargetMode="External"/><Relationship Id="rId3572" Type="http://schemas.openxmlformats.org/officeDocument/2006/relationships/hyperlink" Target="https://www.google.com/search?q=site%3Aulusiada.pt%20Design%20licenciatura" TargetMode="External"/><Relationship Id="rId4209" Type="http://schemas.openxmlformats.org/officeDocument/2006/relationships/hyperlink" Target="https://www.google.com/search?q=site%3Aua.pt%20Design%20e%20Comunica&#231;&#227;o%20Digital%20de%20Produto%20CTeSP" TargetMode="External"/><Relationship Id="rId4623" Type="http://schemas.openxmlformats.org/officeDocument/2006/relationships/hyperlink" Target="https://www.google.com/search?q=site%3Aulisboa.pt%20Bioestat&#237;stica%20mestrado" TargetMode="External"/><Relationship Id="rId493" Type="http://schemas.openxmlformats.org/officeDocument/2006/relationships/hyperlink" Target="https://www.google.com/search?q=site%3Aisec.pt%20Redes%20e%20Sistemas%20Inform&#225;ticos%20CTeSP" TargetMode="External"/><Relationship Id="rId2174" Type="http://schemas.openxmlformats.org/officeDocument/2006/relationships/hyperlink" Target="https://www.google.com/search?q=site%3Aipvc.pt%20Gest&#227;o%20e%20Qualidade%20Ambiental%20CTeSP" TargetMode="External"/><Relationship Id="rId3225" Type="http://schemas.openxmlformats.org/officeDocument/2006/relationships/hyperlink" Target="https://www.google.com/search?q=site%3Aucp.pt%20Cinema%20licenciatura" TargetMode="External"/><Relationship Id="rId146" Type="http://schemas.openxmlformats.org/officeDocument/2006/relationships/hyperlink" Target="https://www.google.com/search?q=site%3Aesel.pt%20Cuidados%20de%20Enfermagem%20&#224;%20Pessoa%20com%20Doen&#231;a%20Inflamat&#243;ria%20Intestinal%20p&#243;s-gradua&#231;&#227;o" TargetMode="External"/><Relationship Id="rId560" Type="http://schemas.openxmlformats.org/officeDocument/2006/relationships/hyperlink" Target="https://www.google.com/search?q=site%3Aiseclisboa.pt%20Gest&#227;o%20de%20dados%20e%20tecnologias%20em%20sa&#250;de%20licenciatura" TargetMode="External"/><Relationship Id="rId1190" Type="http://schemas.openxmlformats.org/officeDocument/2006/relationships/hyperlink" Target="https://www.google.com/search?q=site%3Aipcb.pt%20Ci&#234;ncias%20Florestais%20p&#243;s-gradua&#231;&#227;o" TargetMode="External"/><Relationship Id="rId2241" Type="http://schemas.openxmlformats.org/officeDocument/2006/relationships/hyperlink" Target="https://www.google.com/search?q=site%3Aipvc.pt%20Contabilidade%20e%20Finan&#231;as%20mestrado" TargetMode="External"/><Relationship Id="rId5397" Type="http://schemas.openxmlformats.org/officeDocument/2006/relationships/hyperlink" Target="https://www.google.com/search?q=site%3Aualg.pt%20Ciberseguran&#231;a%20p&#243;s-gradua&#231;&#227;o" TargetMode="External"/><Relationship Id="rId213" Type="http://schemas.openxmlformats.org/officeDocument/2006/relationships/hyperlink" Target="https://www.google.com/search?q=site%3Aegasmoniz.edu.pt%20Gerontologia%20CTeSP" TargetMode="External"/><Relationship Id="rId4066" Type="http://schemas.openxmlformats.org/officeDocument/2006/relationships/hyperlink" Target="https://www.google.com/search?q=site%3Aunl.pt%20Gest&#227;o%20de%20Risco%20p&#243;s-gradua&#231;&#227;o" TargetMode="External"/><Relationship Id="rId5464" Type="http://schemas.openxmlformats.org/officeDocument/2006/relationships/hyperlink" Target="https://www.google.com/search?q=site%3Aup.pt%20Matem&#225;tica%20Aplicada%20licenciatura" TargetMode="External"/><Relationship Id="rId4480" Type="http://schemas.openxmlformats.org/officeDocument/2006/relationships/hyperlink" Target="https://www.google.com/search?q=site%3Auc.pt%20Sa&#250;de%20Ocupacional%20mestrado" TargetMode="External"/><Relationship Id="rId5117" Type="http://schemas.openxmlformats.org/officeDocument/2006/relationships/hyperlink" Target="https://www.google.com/search?q=site%3Autad.pt%20Gest&#227;o%20mestrado" TargetMode="External"/><Relationship Id="rId5531" Type="http://schemas.openxmlformats.org/officeDocument/2006/relationships/hyperlink" Target="https://www.google.com/search?q=site%3Aup.pt%20Economia%20e%20Gest&#227;o%20Internacional%20mestrado" TargetMode="External"/><Relationship Id="rId1727" Type="http://schemas.openxmlformats.org/officeDocument/2006/relationships/hyperlink" Target="https://www.google.com/search?q=site%3Aipl.pt%20Efici&#234;ncia%20Energ&#233;tica%20e%20Sustentabilidade%20em%20Edif&#237;cios%20p&#243;s-gradua&#231;&#227;o" TargetMode="External"/><Relationship Id="rId3082" Type="http://schemas.openxmlformats.org/officeDocument/2006/relationships/hyperlink" Target="https://www.google.com/search?q=site%3Aisg.pt%20P&#243;s&#8209;Gradua&#231;&#227;o%20em%20Gest&#227;o%20de%20Recursos%20Humanos%20p&#243;s-gradua&#231;&#227;o" TargetMode="External"/><Relationship Id="rId4133" Type="http://schemas.openxmlformats.org/officeDocument/2006/relationships/hyperlink" Target="https://www.google.com/search?q=site%3Aubi.pt%20Engenharia%20Aeron&#225;utica%20licenciatura" TargetMode="External"/><Relationship Id="rId19" Type="http://schemas.openxmlformats.org/officeDocument/2006/relationships/hyperlink" Target="https://www.google.com/search?q=site%3Auatlantica.pt%20P&#243;s-Gradua&#231;&#227;o%20de%20Fitoterapia%20Cl&#237;nica%20p&#243;s-gradua&#231;&#227;o" TargetMode="External"/><Relationship Id="rId3899" Type="http://schemas.openxmlformats.org/officeDocument/2006/relationships/hyperlink" Target="https://www.google.com/search?q=site%3Aunl.pt%20Educa&#231;&#227;o%20mestrado" TargetMode="External"/><Relationship Id="rId4200" Type="http://schemas.openxmlformats.org/officeDocument/2006/relationships/hyperlink" Target="https://www.google.com/search?q=site%3Aismai.pt%20P&#243;s-Gradua&#231;&#227;o%20em%20Energias%20Renov&#225;veis%20e%20Efici&#234;ncia%20Energ&#233;tica%20p&#243;s-gradua&#231;&#227;o" TargetMode="External"/><Relationship Id="rId3966" Type="http://schemas.openxmlformats.org/officeDocument/2006/relationships/hyperlink" Target="https://www.google.com/search?q=site%3Aunl.pt%20Intelig&#234;ncia%20Artificial%20aplicada%20ao%20Neg&#243;cio%20%28AI4Business%29%20mestrado" TargetMode="External"/><Relationship Id="rId3" Type="http://schemas.openxmlformats.org/officeDocument/2006/relationships/hyperlink" Target="https://www.google.com/search?q=site%3Auatlantica.pt%20Engenharia%20Aeron&#225;utica%20licenciatura" TargetMode="External"/><Relationship Id="rId887" Type="http://schemas.openxmlformats.org/officeDocument/2006/relationships/hyperlink" Target="https://www.google.com/search?q=site%3Aipbeja.pt%20Servi&#231;os%20Jur&#237;dicos%20CTeSP" TargetMode="External"/><Relationship Id="rId2568" Type="http://schemas.openxmlformats.org/officeDocument/2006/relationships/hyperlink" Target="https://www.google.com/search?q=site%3Aipp.pt%20Ciberseguran&#231;a%2C%20Redes%20e%20Sistemas%20Inform&#225;ticos%20CTeSP" TargetMode="External"/><Relationship Id="rId2982" Type="http://schemas.openxmlformats.org/officeDocument/2006/relationships/hyperlink" Target="https://www.google.com/search?q=site%3Aisced.pt%20Enfermagem%20M&#233;dico-Cir&#250;rgica%2C%20na%20&#225;rea%20da%20Enfermagem%20&#224;%20Pessoa%20em%20Situa&#231;&#227;o%20Perioperat&#243;ria%20mestrado" TargetMode="External"/><Relationship Id="rId3619" Type="http://schemas.openxmlformats.org/officeDocument/2006/relationships/hyperlink" Target="https://www.google.com/search?q=site%3Aulusiada.pt%20Cosmetologia%2C%20Est&#233;tica%20Avan&#231;ada%20e%20Anti&#8209;Aging%20&#8211;%206.&#170;%20edi&#231;&#227;o%20p&#243;s-gradua&#231;&#227;o" TargetMode="External"/><Relationship Id="rId5041" Type="http://schemas.openxmlformats.org/officeDocument/2006/relationships/hyperlink" Target="https://www.google.com/search?q=site%3Autad.pt%20Engenharia%20F&#237;sica%20licenciatura" TargetMode="External"/><Relationship Id="rId954" Type="http://schemas.openxmlformats.org/officeDocument/2006/relationships/hyperlink" Target="https://www.google.com/search?q=site%3Aipb.pt%20Desenvolvimento%20de%20Software%20CTeSP" TargetMode="External"/><Relationship Id="rId1584" Type="http://schemas.openxmlformats.org/officeDocument/2006/relationships/hyperlink" Target="https://www.google.com/search?q=site%3Aipleiria.pt%20Educa&#231;&#227;o%20STEM%20p&#243;s-gradua&#231;&#227;o" TargetMode="External"/><Relationship Id="rId2635" Type="http://schemas.openxmlformats.org/officeDocument/2006/relationships/hyperlink" Target="https://www.google.com/search?q=site%3Aipp.pt%20Educa&#231;&#227;o%20Musical%20licenciatura" TargetMode="External"/><Relationship Id="rId607" Type="http://schemas.openxmlformats.org/officeDocument/2006/relationships/hyperlink" Target="https://www.google.com/search?q=site%3Aisla.pt%20Gest&#227;o%20Empresarial%20Aplicada%20a%20Micro%20e%20Pequenas%20Empresas%20p&#243;s-gradua&#231;&#227;o" TargetMode="External"/><Relationship Id="rId1237" Type="http://schemas.openxmlformats.org/officeDocument/2006/relationships/hyperlink" Target="https://www.google.com/search?q=site%3Aipc.pt%20Agronomia%20licenciatura" TargetMode="External"/><Relationship Id="rId1651" Type="http://schemas.openxmlformats.org/officeDocument/2006/relationships/hyperlink" Target="https://www.google.com/search?q=site%3Aipl.pt%20Ort&#243;ptica%20e%20Ci&#234;ncias%20da%20Vis&#227;o%20licenciatura" TargetMode="External"/><Relationship Id="rId2702" Type="http://schemas.openxmlformats.org/officeDocument/2006/relationships/hyperlink" Target="https://www.google.com/search?q=site%3Aipp.pt%20Auditoria%20mestrado" TargetMode="External"/><Relationship Id="rId1304" Type="http://schemas.openxmlformats.org/officeDocument/2006/relationships/hyperlink" Target="https://www.google.com/search?q=site%3Aipc.pt%20Educa&#231;&#227;o%20Especial%2C%20esp.%20Problemas%20do%20Dom&#237;nio%20Cognitivo%20e%20Motor%20mestrado" TargetMode="External"/><Relationship Id="rId4874" Type="http://schemas.openxmlformats.org/officeDocument/2006/relationships/hyperlink" Target="https://www.google.com/search?q=site%3Aulisboa.pt%20Engenharia%20da%20Energia%20e%20do%20Ambiente%20mestrado%20integrado" TargetMode="External"/><Relationship Id="rId3476" Type="http://schemas.openxmlformats.org/officeDocument/2006/relationships/hyperlink" Target="https://www.google.com/search?q=site%3Aeuropeia.pt%20P&#243;s&#8209;Gradua&#231;&#227;o%20em%20Anima&#231;&#227;o%20Digital%20%28IADE%29%20p&#243;s-gradua&#231;&#227;o" TargetMode="External"/><Relationship Id="rId4527" Type="http://schemas.openxmlformats.org/officeDocument/2006/relationships/hyperlink" Target="https://www.google.com/search?q=site%3Aulisboa.pt%20Ci&#234;ncias%20da%20Arte%20e%20do%20Patrim&#243;nio%20licenciatura" TargetMode="External"/><Relationship Id="rId10" Type="http://schemas.openxmlformats.org/officeDocument/2006/relationships/hyperlink" Target="https://www.google.com/search?q=site%3Auatlantica.pt%20Gest&#227;o%20em%20Sa&#250;de%20licenciatura" TargetMode="External"/><Relationship Id="rId397" Type="http://schemas.openxmlformats.org/officeDocument/2006/relationships/hyperlink" Target="https://www.google.com/search?q=site%3Aisave.pt%20Enfermagem%20licenciatura" TargetMode="External"/><Relationship Id="rId2078" Type="http://schemas.openxmlformats.org/officeDocument/2006/relationships/hyperlink" Target="https://www.google.com/search?q=site%3Aipt.pt%20Desenho%20e%20Fabrico%20de%20Constru&#231;&#245;es%20Mec&#226;nicas%20CTeSP" TargetMode="External"/><Relationship Id="rId2492" Type="http://schemas.openxmlformats.org/officeDocument/2006/relationships/hyperlink" Target="https://www.google.com/search?q=site%3Aipca.pt%20Gest&#227;o%20de%20Atividades%20Tur&#237;sticas%20licenciatura" TargetMode="External"/><Relationship Id="rId3129" Type="http://schemas.openxmlformats.org/officeDocument/2006/relationships/hyperlink" Target="https://www.google.com/search?q=site%3Acespu.pt%20Introdu&#231;&#227;o%20&#224;%20Ortodontia%20&#8211;%2019.&#170;%20edi&#231;&#227;o%20p&#243;s-gradua&#231;&#227;o" TargetMode="External"/><Relationship Id="rId3890" Type="http://schemas.openxmlformats.org/officeDocument/2006/relationships/hyperlink" Target="https://www.google.com/search?q=site%3Aunl.pt%20Direito%20e%20Economia%20do%20Mar.%20A%20Governa&#231;&#227;o%20do%20Oceano%20mestrado" TargetMode="External"/><Relationship Id="rId4941" Type="http://schemas.openxmlformats.org/officeDocument/2006/relationships/hyperlink" Target="https://www.google.com/search?q=site%3Aulisboa.pt%20Educa&#231;&#227;o%20Especial%20-%20Dom&#237;nio%20Cognitivo%20e%20Motor%20p&#243;s-gradua&#231;&#227;o" TargetMode="External"/><Relationship Id="rId464" Type="http://schemas.openxmlformats.org/officeDocument/2006/relationships/hyperlink" Target="https://www.google.com/search?q=site%3Aiscte-iul.pt%20Gest&#227;o%20e%20Marketing%20do%20Desporto%20p&#243;s-gradua&#231;&#227;o" TargetMode="External"/><Relationship Id="rId1094" Type="http://schemas.openxmlformats.org/officeDocument/2006/relationships/hyperlink" Target="https://www.google.com/search?q=site%3Aipb.pt%20Gest&#227;o%20P&#250;blica%20p&#243;s-gradua&#231;&#227;o" TargetMode="External"/><Relationship Id="rId2145" Type="http://schemas.openxmlformats.org/officeDocument/2006/relationships/hyperlink" Target="https://www.google.com/search?q=site%3Aipt.pt%20Turismo%20de%20Experi&#234;ncias%20mestrado" TargetMode="External"/><Relationship Id="rId3543" Type="http://schemas.openxmlformats.org/officeDocument/2006/relationships/hyperlink" Target="https://www.google.com/search?q=site%3Aufp.pt%20Educa&#231;&#227;o%20Especial%3A%20Dom&#237;nio%20Cognitivo%20e%20Motor%20p&#243;s-gradua&#231;&#227;o" TargetMode="External"/><Relationship Id="rId117" Type="http://schemas.openxmlformats.org/officeDocument/2006/relationships/hyperlink" Target="https://www.google.com/search?q=site%3Aesepf.pt%20Educa&#231;&#227;o%20Pr&#233;-Escolar%20mestrado" TargetMode="External"/><Relationship Id="rId3610" Type="http://schemas.openxmlformats.org/officeDocument/2006/relationships/hyperlink" Target="https://www.google.com/search?q=site%3Aulusiada.pt%20Rela&#231;&#245;es%20Internacionais%20mestrado" TargetMode="External"/><Relationship Id="rId531" Type="http://schemas.openxmlformats.org/officeDocument/2006/relationships/hyperlink" Target="https://www.google.com/search?q=site%3Aiseclisboa.pt%20Energias%20Renov&#225;veis%20e%20Ambiente%20CTeSP" TargetMode="External"/><Relationship Id="rId1161" Type="http://schemas.openxmlformats.org/officeDocument/2006/relationships/hyperlink" Target="https://www.google.com/search?q=site%3Aipcb.pt%20Treino%20Desportivo%20e%20Prepara&#231;&#227;o%20F&#237;sica%20licenciatura" TargetMode="External"/><Relationship Id="rId2212" Type="http://schemas.openxmlformats.org/officeDocument/2006/relationships/hyperlink" Target="https://www.google.com/search?q=site%3Aipvc.pt%20Design%20do%20Produto%20licenciatura" TargetMode="External"/><Relationship Id="rId5368" Type="http://schemas.openxmlformats.org/officeDocument/2006/relationships/hyperlink" Target="https://www.google.com/search?q=site%3Aualg.pt%20Gest&#227;o%20de%20Recursos%20Humanos%20mestrado" TargetMode="External"/><Relationship Id="rId5782" Type="http://schemas.openxmlformats.org/officeDocument/2006/relationships/hyperlink" Target="https://www.google.com/search?q=site%3Aium.pt%20Ci&#234;ncias%20Militares%2C%20ramo%20Seguran&#231;a%20%28GNR%29%20licenciatura" TargetMode="External"/><Relationship Id="rId1978" Type="http://schemas.openxmlformats.org/officeDocument/2006/relationships/hyperlink" Target="https://www.google.com/search?q=site%3Aips.pt%20Gest&#227;o%20do%20Ambiente%20e%20Seguran&#231;a%20CTeSP" TargetMode="External"/><Relationship Id="rId4384" Type="http://schemas.openxmlformats.org/officeDocument/2006/relationships/hyperlink" Target="https://www.google.com/search?q=site%3Auc.pt%20Engenharia%20Qu&#237;mica%20mestrado" TargetMode="External"/><Relationship Id="rId5435" Type="http://schemas.openxmlformats.org/officeDocument/2006/relationships/hyperlink" Target="https://www.google.com/search?q=site%3Aup.pt%20Economia%20licenciatura" TargetMode="External"/><Relationship Id="rId4037" Type="http://schemas.openxmlformats.org/officeDocument/2006/relationships/hyperlink" Target="https://www.google.com/search?q=site%3Aunl.pt%20Business%20Intelligence%20and%20Analytics%20for%20Hospitality%20%26%20Tourism%20p&#243;s-gradua&#231;&#227;o" TargetMode="External"/><Relationship Id="rId4451" Type="http://schemas.openxmlformats.org/officeDocument/2006/relationships/hyperlink" Target="https://www.google.com/search?q=site%3Auc.pt%20M&#233;todos%20Quantitativos%20em%20Finan&#231;as%20mestrado" TargetMode="External"/><Relationship Id="rId5502" Type="http://schemas.openxmlformats.org/officeDocument/2006/relationships/hyperlink" Target="https://www.google.com/search?q=site%3Aup.pt%20Ci&#234;ncias%20Cardiovasculares%20e%20Respirat&#243;rias%20mestrado" TargetMode="External"/><Relationship Id="rId3053" Type="http://schemas.openxmlformats.org/officeDocument/2006/relationships/hyperlink" Target="https://www.google.com/search?q=site%3Aisvouga.pt%20Contabilidade%20licenciatura" TargetMode="External"/><Relationship Id="rId4104" Type="http://schemas.openxmlformats.org/officeDocument/2006/relationships/hyperlink" Target="https://www.google.com/search?q=site%3Aupt.pt%20Ci&#234;ncias%20da%20Educa&#231;&#227;o%20&#8211;%20&#225;rea%20de%20especializa&#231;&#227;o%20em%20Educa&#231;&#227;o%20e%20Interven&#231;&#227;o%20Sociocomunit&#225;ria%20mestrado" TargetMode="External"/><Relationship Id="rId3120" Type="http://schemas.openxmlformats.org/officeDocument/2006/relationships/hyperlink" Target="https://www.google.com/search?q=site%3Acespu.pt%20Enfermagem%20Forense%20&#8211;%204.&#170;%20edi&#231;&#227;o%20p&#243;s-gradua&#231;&#227;o" TargetMode="External"/><Relationship Id="rId2886" Type="http://schemas.openxmlformats.org/officeDocument/2006/relationships/hyperlink" Target="https://www.google.com/search?q=site%3Aisdd.pt%20Engenharia%20e%20Gest&#227;o%20da%20Tecnologia%20Industrial%20licenciatura" TargetMode="External"/><Relationship Id="rId3937" Type="http://schemas.openxmlformats.org/officeDocument/2006/relationships/hyperlink" Target="https://www.google.com/search?q=site%3Aunl.pt%20Estudos%20de%20Educa&#231;&#227;o%20mestrado" TargetMode="External"/><Relationship Id="rId5292" Type="http://schemas.openxmlformats.org/officeDocument/2006/relationships/hyperlink" Target="https://www.google.com/search?q=site%3Aualg.pt%20Enfermagem%20licenciatura" TargetMode="External"/><Relationship Id="rId858" Type="http://schemas.openxmlformats.org/officeDocument/2006/relationships/hyperlink" Target="https://www.google.com/search?q=site%3Aipluso.pt%20P&#243;s&#8209;Gradua&#231;&#227;o%20em%20Osteopatia%20Estrutural%20no%20Desporto%20p&#243;s-gradua&#231;&#227;o" TargetMode="External"/><Relationship Id="rId1488" Type="http://schemas.openxmlformats.org/officeDocument/2006/relationships/hyperlink" Target="https://www.google.com/search?q=site%3Aipleiria.pt%20Terapia%20Ocupacional%20licenciatura" TargetMode="External"/><Relationship Id="rId2539" Type="http://schemas.openxmlformats.org/officeDocument/2006/relationships/hyperlink" Target="https://www.google.com/search?q=site%3Aipca.pt%20Digital%20Branding%20p&#243;s-gradua&#231;&#227;o" TargetMode="External"/><Relationship Id="rId2953" Type="http://schemas.openxmlformats.org/officeDocument/2006/relationships/hyperlink" Target="https://www.google.com/search?q=site%3Aisag.pt%20Rela&#231;&#245;es%20Empresariais%20Internacionais%20licenciatura" TargetMode="External"/><Relationship Id="rId925" Type="http://schemas.openxmlformats.org/officeDocument/2006/relationships/hyperlink" Target="https://www.google.com/search?q=site%3Aipbeja.pt%20Seguran&#231;a%20e%20Higiene%20no%20Trabalho%20mestrado" TargetMode="External"/><Relationship Id="rId1555" Type="http://schemas.openxmlformats.org/officeDocument/2006/relationships/hyperlink" Target="https://www.google.com/search?q=site%3Aipleiria.pt%20Gest&#227;o%20e%20Sustentabilidade%20no%20Turismo%20mestrado" TargetMode="External"/><Relationship Id="rId2606" Type="http://schemas.openxmlformats.org/officeDocument/2006/relationships/hyperlink" Target="https://www.google.com/search?q=site%3Aipp.pt%20Servi&#231;os%20e%20Tecnologias%20de%20Apoio%20Gerontol&#243;gico%20CTeSP" TargetMode="External"/><Relationship Id="rId5012" Type="http://schemas.openxmlformats.org/officeDocument/2006/relationships/hyperlink" Target="https://www.google.com/search?q=site%3Autad.pt%20Servi&#231;o%20Familiar%20e%20Comunit&#225;rio%20CTeSP" TargetMode="External"/><Relationship Id="rId1208" Type="http://schemas.openxmlformats.org/officeDocument/2006/relationships/hyperlink" Target="https://www.google.com/search?q=site%3Aipc.pt%20Contabilidade%20e%20Fiscalidade%20CTeSP" TargetMode="External"/><Relationship Id="rId1622" Type="http://schemas.openxmlformats.org/officeDocument/2006/relationships/hyperlink" Target="https://www.google.com/search?q=site%3Aipl.pt%20Conserva&#231;&#227;o%20e%20Reabilita&#231;&#227;o%20Urbana%20licenciatura" TargetMode="External"/><Relationship Id="rId4778" Type="http://schemas.openxmlformats.org/officeDocument/2006/relationships/hyperlink" Target="https://www.google.com/search?q=site%3Aulisboa.pt%20Hist&#243;ria%20e%20Cultura%20das%20Religi&#245;es%20mestrado" TargetMode="External"/><Relationship Id="rId3794" Type="http://schemas.openxmlformats.org/officeDocument/2006/relationships/hyperlink" Target="https://www.google.com/search?q=site%3Alusofona.pt%20Railway%20Systems%20and%20Management%20p&#243;s-gradua&#231;&#227;o" TargetMode="External"/><Relationship Id="rId4845" Type="http://schemas.openxmlformats.org/officeDocument/2006/relationships/hyperlink" Target="https://www.google.com/search?q=site%3Aulisboa.pt%20Sistemas%20Agr&#225;rios%20Tropicais%3A%20Produ&#231;&#227;o%2C%20Sociedade%20e%20Pol&#237;ticas%20mestrado" TargetMode="External"/><Relationship Id="rId2396" Type="http://schemas.openxmlformats.org/officeDocument/2006/relationships/hyperlink" Target="https://www.google.com/search?q=site%3Aipv.pt%20Gest&#227;o%20Tur&#237;stica%20mestrado" TargetMode="External"/><Relationship Id="rId3447" Type="http://schemas.openxmlformats.org/officeDocument/2006/relationships/hyperlink" Target="https://www.google.com/search?q=site%3Aeuropeia.pt%20Direito%20Judici&#225;rio%20mestrado" TargetMode="External"/><Relationship Id="rId3861" Type="http://schemas.openxmlformats.org/officeDocument/2006/relationships/hyperlink" Target="https://www.google.com/search?q=site%3Aunl.pt%20Bioenergia%20e%20Tecnologias%20Sustent&#225;veis%20mestrado" TargetMode="External"/><Relationship Id="rId4912" Type="http://schemas.openxmlformats.org/officeDocument/2006/relationships/hyperlink" Target="https://www.google.com/search?q=site%3Aulisboa.pt%20Crise%20e%20A&#231;&#227;o%20Humanit&#225;ria%20p&#243;s-gradua&#231;&#227;o" TargetMode="External"/><Relationship Id="rId368" Type="http://schemas.openxmlformats.org/officeDocument/2006/relationships/hyperlink" Target="https://www.google.com/search?q=site%3Aessa.pt%20Terapia%20da%20Fala%20licenciatura" TargetMode="External"/><Relationship Id="rId782" Type="http://schemas.openxmlformats.org/officeDocument/2006/relationships/hyperlink" Target="https://www.google.com/search?q=site%3Aipg.pt%20Educa&#231;&#227;o%20Pr&#233;&#8209;Escolar%20e%20Ensino%20do%201.&#186;%20Ciclo%20do%20Ensino%20B&#225;sico%20mestrado" TargetMode="External"/><Relationship Id="rId2049" Type="http://schemas.openxmlformats.org/officeDocument/2006/relationships/hyperlink" Target="https://www.google.com/search?q=site%3Aips.pt%20Gest&#227;o%20Estrat&#233;gica%20de%20Recursos%20Humanos%20mestrado" TargetMode="External"/><Relationship Id="rId2463" Type="http://schemas.openxmlformats.org/officeDocument/2006/relationships/hyperlink" Target="https://www.google.com/search?q=site%3Aipca.pt%20Seguran&#231;a%20e%20Prote&#231;&#227;o%20de%20Dados%20para%20Sistemas%20de%20Informa&#231;&#227;o%20CTeSP" TargetMode="External"/><Relationship Id="rId3514" Type="http://schemas.openxmlformats.org/officeDocument/2006/relationships/hyperlink" Target="https://www.google.com/search?q=site%3Aufp.pt%20Engenharia%20Civil%20licenciatura" TargetMode="External"/><Relationship Id="rId435" Type="http://schemas.openxmlformats.org/officeDocument/2006/relationships/hyperlink" Target="https://www.google.com/search?q=site%3Aiscte-iul.pt%20Hist&#243;ria%20Moderna%20e%20Contempor&#226;nea%20licenciatura" TargetMode="External"/><Relationship Id="rId1065" Type="http://schemas.openxmlformats.org/officeDocument/2006/relationships/hyperlink" Target="https://www.google.com/search?q=site%3Aipb.pt%20Exerc&#237;cio%20e%20Sa&#250;de%20mestrado" TargetMode="External"/><Relationship Id="rId2116" Type="http://schemas.openxmlformats.org/officeDocument/2006/relationships/hyperlink" Target="https://www.google.com/search?q=site%3Aipt.pt%20Engenharia%20Eletrot&#233;cnica%20e%20de%20Computadores%20licenciatura" TargetMode="External"/><Relationship Id="rId2530" Type="http://schemas.openxmlformats.org/officeDocument/2006/relationships/hyperlink" Target="https://www.google.com/search?q=site%3Aipca.pt%20CiberSeguran&#231;a%20e%20Inform&#225;tica%20Forense%20p&#243;s-gradua&#231;&#227;o" TargetMode="External"/><Relationship Id="rId5686" Type="http://schemas.openxmlformats.org/officeDocument/2006/relationships/hyperlink" Target="https://www.google.com/search?q=site%3Auac.pt%20Assessoria%20e%20Gest&#227;o%20Administrativa%20CTeSP" TargetMode="External"/><Relationship Id="rId502" Type="http://schemas.openxmlformats.org/officeDocument/2006/relationships/hyperlink" Target="https://www.google.com/search?q=site%3Aisec.pt%20Engenharia%20Eletrot&#233;cnica%20e%20de%20Computadores%20licenciatura" TargetMode="External"/><Relationship Id="rId1132" Type="http://schemas.openxmlformats.org/officeDocument/2006/relationships/hyperlink" Target="https://www.google.com/search?q=site%3Aipcb.pt%20Agronomia%20licenciatura" TargetMode="External"/><Relationship Id="rId4288" Type="http://schemas.openxmlformats.org/officeDocument/2006/relationships/hyperlink" Target="https://www.google.com/search?q=site%3Auc.pt%20ENGENHARIA%20E%20GEST&#195;O%20INDUSTRIAL%20licenciatura" TargetMode="External"/><Relationship Id="rId5339" Type="http://schemas.openxmlformats.org/officeDocument/2006/relationships/hyperlink" Target="https://www.google.com/search?q=site%3Aualg.pt%20Economia%20da%20Inova&#231;&#227;o%20e%20Empreendedorismo%20mestrado" TargetMode="External"/><Relationship Id="rId4355" Type="http://schemas.openxmlformats.org/officeDocument/2006/relationships/hyperlink" Target="https://www.google.com/search?q=site%3Auc.pt%20Ci&#234;ncias%20Jur&#237;dico-Forenses%20mestrado" TargetMode="External"/><Relationship Id="rId5753" Type="http://schemas.openxmlformats.org/officeDocument/2006/relationships/hyperlink" Target="https://www.google.com/search?q=site%3Auac.pt%20Administra&#231;&#227;o%20e%20Gest&#227;o%20da%20Sa&#250;de%20&#8211;%2012.&#170;%20edi&#231;&#227;o%20p&#243;s-gradua&#231;&#227;o" TargetMode="External"/><Relationship Id="rId1949" Type="http://schemas.openxmlformats.org/officeDocument/2006/relationships/hyperlink" Target="https://www.google.com/search?q=site%3Acespu.pt%20Enfermagem%20Perioperat&#243;ria%20&#8211;%205.&#170;%20edi&#231;&#227;o%20p&#243;s-gradua&#231;&#227;o" TargetMode="External"/><Relationship Id="rId4008" Type="http://schemas.openxmlformats.org/officeDocument/2006/relationships/hyperlink" Target="https://www.google.com/search?q=site%3Aunl.pt%20Tecnologia%20de%20Fachadas%20mestrado" TargetMode="External"/><Relationship Id="rId5406" Type="http://schemas.openxmlformats.org/officeDocument/2006/relationships/hyperlink" Target="https://www.google.com/search?q=site%3Auminho.pt%20Enfermagem%20Comunit&#225;ria%20na%20&#193;rea%20de%20Enfermagem%20de%20Sa&#250;de%20Familiar%20mestrado" TargetMode="External"/><Relationship Id="rId292" Type="http://schemas.openxmlformats.org/officeDocument/2006/relationships/hyperlink" Target="https://www.google.com/search?q=site%3Aesscvp.eu%20Secretariado%20em%20Sa&#250;de%20CTeSP" TargetMode="External"/><Relationship Id="rId3371" Type="http://schemas.openxmlformats.org/officeDocument/2006/relationships/hyperlink" Target="https://www.google.com/search?q=site%3Aucp.pt%20Programa%20Atl&#226;ntico%20p&#243;s-gradua&#231;&#227;o" TargetMode="External"/><Relationship Id="rId4422" Type="http://schemas.openxmlformats.org/officeDocument/2006/relationships/hyperlink" Target="https://www.google.com/search?q=site%3Auc.pt%20Geoci&#234;ncias%20Planet&#225;rias%20%28Erasmus%20Mundus%29%20mestrado" TargetMode="External"/><Relationship Id="rId3024" Type="http://schemas.openxmlformats.org/officeDocument/2006/relationships/hyperlink" Target="https://www.google.com/search?q=site%3Aiscia.pt%20Gest&#227;o%20Industrial%20CTeSP" TargetMode="External"/><Relationship Id="rId2040" Type="http://schemas.openxmlformats.org/officeDocument/2006/relationships/hyperlink" Target="https://www.google.com/search?q=site%3Aips.pt%20Engenharia%20de%20Produ&#231;&#227;o%20mestrado" TargetMode="External"/><Relationship Id="rId5196" Type="http://schemas.openxmlformats.org/officeDocument/2006/relationships/hyperlink" Target="https://www.google.com/search?q=site%3Auevora.pt%20Geologia%20mestrado" TargetMode="External"/><Relationship Id="rId5263" Type="http://schemas.openxmlformats.org/officeDocument/2006/relationships/hyperlink" Target="https://www.google.com/search?q=site%3Aualg.pt%20Prote&#231;&#227;o%20Civil%20CTeSP" TargetMode="External"/><Relationship Id="rId1459" Type="http://schemas.openxmlformats.org/officeDocument/2006/relationships/hyperlink" Target="https://www.google.com/search?q=site%3Aipleiria.pt%20Engenharia%20Alimentar%20licenciatura" TargetMode="External"/><Relationship Id="rId2857" Type="http://schemas.openxmlformats.org/officeDocument/2006/relationships/hyperlink" Target="https://www.google.com/search?q=site%3Aipam.pt%20P&#243;s&#8209;Gradua&#231;&#227;o%20em%20AI%20%26%20Data%20Intelligence%20p&#243;s-gradua&#231;&#227;o" TargetMode="External"/><Relationship Id="rId3908" Type="http://schemas.openxmlformats.org/officeDocument/2006/relationships/hyperlink" Target="https://www.google.com/search?q=site%3Aunl.pt%20Engenharia%20Inform&#225;tica%20mestrado" TargetMode="External"/><Relationship Id="rId5330" Type="http://schemas.openxmlformats.org/officeDocument/2006/relationships/hyperlink" Target="https://www.google.com/search?q=site%3Aualg.pt%20Ci&#234;ncias%20da%20Educa&#231;&#227;o%20mestrado" TargetMode="External"/><Relationship Id="rId98" Type="http://schemas.openxmlformats.org/officeDocument/2006/relationships/hyperlink" Target="https://www.google.com/search?q=site%3Ajoaodedeus.pt%20Hist&#243;ria%20e%20Geografia%20de%20Portugal%20no%201.&#186;%20e%202.&#186;%20CEB%3A%20Recursos%20e%20Desafios%20Educativos%20p&#243;s-gradua&#231;&#227;o" TargetMode="External"/><Relationship Id="rId829" Type="http://schemas.openxmlformats.org/officeDocument/2006/relationships/hyperlink" Target="https://www.google.com/search?q=site%3Aipluso.pt%20Automa&#231;&#227;o%20e%20Sistemas%20Inform&#225;ticos%20licenciatura" TargetMode="External"/><Relationship Id="rId1873" Type="http://schemas.openxmlformats.org/officeDocument/2006/relationships/hyperlink" Target="https://www.google.com/search?q=site%3Aipsantarem.pt%20Enfermagem%20Veterin&#225;ria%20licenciatura" TargetMode="External"/><Relationship Id="rId2924" Type="http://schemas.openxmlformats.org/officeDocument/2006/relationships/hyperlink" Target="https://www.google.com/search?q=site%3Aispgaya.pt%20Assessoria%20Contabil&#237;stica%20e%20Financeira%20CTeSP" TargetMode="External"/><Relationship Id="rId1526" Type="http://schemas.openxmlformats.org/officeDocument/2006/relationships/hyperlink" Target="https://www.google.com/search?q=site%3Aipleiria.pt%20Enfermagem%20Comunit&#225;ria%20-%20&#193;rea%20de%20Enfermagem%20de%20Sa&#250;de%20Comunit&#225;ria%20e%20de%20Sa&#250;de%20P&#250;blica%20mestrado" TargetMode="External"/><Relationship Id="rId1940" Type="http://schemas.openxmlformats.org/officeDocument/2006/relationships/hyperlink" Target="https://www.google.com/search?q=site%3Acespu.pt%20Anestesiologia%20e%20Controlo%20da%20Dor%20&#8211;%205.&#170;%20edi&#231;&#227;o%20p&#243;s-gradua&#231;&#227;o" TargetMode="External"/><Relationship Id="rId3698" Type="http://schemas.openxmlformats.org/officeDocument/2006/relationships/hyperlink" Target="https://www.google.com/search?q=site%3Alusofona.pt%20Gest&#227;o%20de%20Empresas%20licenciatura" TargetMode="External"/><Relationship Id="rId4749" Type="http://schemas.openxmlformats.org/officeDocument/2006/relationships/hyperlink" Target="https://www.google.com/search?q=site%3Aulisboa.pt%20Exerc&#237;cio%20e%20Sa&#250;de%20mestrado" TargetMode="External"/><Relationship Id="rId3765" Type="http://schemas.openxmlformats.org/officeDocument/2006/relationships/hyperlink" Target="https://www.google.com/search?q=site%3Alusofona.pt%20Data%20Science%20Aplicada%2C%20Big%20Data%20e%20AI%20p&#243;s-gradua&#231;&#227;o" TargetMode="External"/><Relationship Id="rId4816" Type="http://schemas.openxmlformats.org/officeDocument/2006/relationships/hyperlink" Target="https://www.google.com/search?q=site%3Aulisboa.pt%20Pintura%20mestrado" TargetMode="External"/><Relationship Id="rId686" Type="http://schemas.openxmlformats.org/officeDocument/2006/relationships/hyperlink" Target="https://www.google.com/search?q=site%3Aiees.pt%20Tecnologias%20e%20Gest&#227;o%20de%20Sistemas%20de%20Informa&#231;&#227;o%20licenciatura" TargetMode="External"/><Relationship Id="rId2367" Type="http://schemas.openxmlformats.org/officeDocument/2006/relationships/hyperlink" Target="https://www.google.com/search?q=site%3Aipv.pt%20Servi&#231;o%20Social%20licenciatura" TargetMode="External"/><Relationship Id="rId2781" Type="http://schemas.openxmlformats.org/officeDocument/2006/relationships/hyperlink" Target="https://www.google.com/search?q=site%3Aipp.pt%20Tradu&#231;&#227;o%20e%20Interpreta&#231;&#227;o%20Especializadas%20mestrado" TargetMode="External"/><Relationship Id="rId3418" Type="http://schemas.openxmlformats.org/officeDocument/2006/relationships/hyperlink" Target="https://www.google.com/search?q=site%3Aeuropeia.pt%20Marketing%20e%20Comunica&#231;&#227;o%20Publicit&#225;ria%20%28regime%20de%20ensino%20a%20dist&#226;ncia%29%20licenciatura" TargetMode="External"/><Relationship Id="rId339" Type="http://schemas.openxmlformats.org/officeDocument/2006/relationships/hyperlink" Target="https://www.google.com/search?q=site%3Aess.ufp.pt%20Inova&#231;&#227;o%20Tecnol&#243;gica%20em%20Sa&#250;de%3A%20Patologia%20Cl&#237;nico-Laboratorial%20p&#243;s-gradua&#231;&#227;o" TargetMode="External"/><Relationship Id="rId753" Type="http://schemas.openxmlformats.org/officeDocument/2006/relationships/hyperlink" Target="https://www.google.com/search?q=site%3Aipg.pt%20Comunica&#231;&#227;o%20e%20Rela&#231;&#245;es%20P&#250;blicas%20licenciatura" TargetMode="External"/><Relationship Id="rId1383" Type="http://schemas.openxmlformats.org/officeDocument/2006/relationships/hyperlink" Target="https://www.google.com/search?q=site%3Aipleiria.pt%20Audiovisual%20e%20Multim&#233;dia%20CTeSP" TargetMode="External"/><Relationship Id="rId2434" Type="http://schemas.openxmlformats.org/officeDocument/2006/relationships/hyperlink" Target="https://www.google.com/search?q=site%3Aipca.pt%20Gest&#227;o%20Agr&#237;cola%20CTeSP" TargetMode="External"/><Relationship Id="rId3832" Type="http://schemas.openxmlformats.org/officeDocument/2006/relationships/hyperlink" Target="https://www.google.com/search?q=site%3Aunl.pt%20Engenharia%20do%20Ambiente%20licenciatura" TargetMode="External"/><Relationship Id="rId406" Type="http://schemas.openxmlformats.org/officeDocument/2006/relationships/hyperlink" Target="https://www.google.com/search?q=site%3Aisave.pt%20Preven&#231;&#227;o%20e%20Controlo%20de%20Infe&#231;&#227;o%20e%20Resist&#234;ncia%20aos%20Antimicrobianos%20%28NOVO%29%20p&#243;s-gradua&#231;&#227;o" TargetMode="External"/><Relationship Id="rId1036" Type="http://schemas.openxmlformats.org/officeDocument/2006/relationships/hyperlink" Target="https://www.google.com/search?q=site%3Aipb.pt%20Turismo%20licenciatura" TargetMode="External"/><Relationship Id="rId820" Type="http://schemas.openxmlformats.org/officeDocument/2006/relationships/hyperlink" Target="https://www.google.com/search?q=site%3Aipluso.pt%20Gest&#227;o%20de%20Neg&#243;cios%20e%20Com&#233;rcio%20Eletr&#243;nico%20CTeSP" TargetMode="External"/><Relationship Id="rId1450" Type="http://schemas.openxmlformats.org/officeDocument/2006/relationships/hyperlink" Target="https://www.google.com/search?q=site%3Aipleiria.pt%20Design%20Gr&#225;fico%20e%20Multim&#233;dia%20licenciatura" TargetMode="External"/><Relationship Id="rId2501" Type="http://schemas.openxmlformats.org/officeDocument/2006/relationships/hyperlink" Target="https://www.google.com/search?q=site%3Aipca.pt%20Engenharia%20Eletr&#243;nica%20e%20de%20Computadores%20mestrado" TargetMode="External"/><Relationship Id="rId5657" Type="http://schemas.openxmlformats.org/officeDocument/2006/relationships/hyperlink" Target="https://www.google.com/search?q=site%3Aup.pt%20Tecnologia%20e%20Ci&#234;ncia%20Alimentar%20mestrado" TargetMode="External"/><Relationship Id="rId1103" Type="http://schemas.openxmlformats.org/officeDocument/2006/relationships/hyperlink" Target="https://www.google.com/search?q=site%3Aipb.pt%20Qualidade%20e%20Auditorias%20em%20Sa&#250;de%20p&#243;s-gradua&#231;&#227;o" TargetMode="External"/><Relationship Id="rId4259" Type="http://schemas.openxmlformats.org/officeDocument/2006/relationships/hyperlink" Target="https://www.google.com/search?q=site%3Aua.pt%20Fisioterapia%20Musculoesquel&#233;tica%20mestrado" TargetMode="External"/><Relationship Id="rId4673" Type="http://schemas.openxmlformats.org/officeDocument/2006/relationships/hyperlink" Target="https://www.google.com/search?q=site%3Aulisboa.pt%20Direito%20e%20Gest&#227;o%20mestrado" TargetMode="External"/><Relationship Id="rId5724" Type="http://schemas.openxmlformats.org/officeDocument/2006/relationships/hyperlink" Target="https://www.google.com/search?q=site%3Auac.pt%20Engenharia%20Zoot&#233;cnica%20mestrado" TargetMode="External"/><Relationship Id="rId3275" Type="http://schemas.openxmlformats.org/officeDocument/2006/relationships/hyperlink" Target="https://www.google.com/search?q=site%3Aucp.pt%20Conserva&#231;&#227;o%20e%20Restauro%20de%20Bens%20Culturais%20mestrado" TargetMode="External"/><Relationship Id="rId4326" Type="http://schemas.openxmlformats.org/officeDocument/2006/relationships/hyperlink" Target="https://www.google.com/search?q=site%3Auc.pt%20Servi&#231;o%20Social%20licenciatura" TargetMode="External"/><Relationship Id="rId4740" Type="http://schemas.openxmlformats.org/officeDocument/2006/relationships/hyperlink" Target="https://www.google.com/search?q=site%3Aulisboa.pt%20Estrat&#233;gia%20mestrado" TargetMode="External"/><Relationship Id="rId196" Type="http://schemas.openxmlformats.org/officeDocument/2006/relationships/hyperlink" Target="https://www.google.com/search?q=site%3Auatlantica.pt%20Servi&#231;o%20Familiar%20e%20Comunit&#225;rio%20CTeSP" TargetMode="External"/><Relationship Id="rId2291" Type="http://schemas.openxmlformats.org/officeDocument/2006/relationships/hyperlink" Target="https://www.google.com/search?q=site%3Aipvc.pt%20Marketing%20para%20a%20Economia%20Azul%20p&#243;s-gradua&#231;&#227;o" TargetMode="External"/><Relationship Id="rId3342" Type="http://schemas.openxmlformats.org/officeDocument/2006/relationships/hyperlink" Target="https://www.google.com/search?q=site%3Aucp.pt%20Teologia%20mestrado" TargetMode="External"/><Relationship Id="rId263" Type="http://schemas.openxmlformats.org/officeDocument/2006/relationships/hyperlink" Target="https://www.google.com/search?q=site%3Aesscvp.eu%20Termalismo%20e%20Bem-Estar%20CTeSP" TargetMode="External"/><Relationship Id="rId330" Type="http://schemas.openxmlformats.org/officeDocument/2006/relationships/hyperlink" Target="https://www.google.com/search?q=site%3Aess.ufp.pt%20Inova&#231;&#227;o%20Tecnol&#243;gica%20da%20Sa&#250;de%3A%20Resson&#226;ncia%20Magn&#233;tica%20p&#243;s-gradua&#231;&#227;o" TargetMode="External"/><Relationship Id="rId2011" Type="http://schemas.openxmlformats.org/officeDocument/2006/relationships/hyperlink" Target="https://www.google.com/search?q=site%3Aips.pt%20Engenharia%20Inform&#225;tica%20licenciatura" TargetMode="External"/><Relationship Id="rId5167" Type="http://schemas.openxmlformats.org/officeDocument/2006/relationships/hyperlink" Target="https://www.google.com/search?q=site%3Auevora.pt%20Matem&#225;tica%20licenciatura" TargetMode="External"/><Relationship Id="rId4183" Type="http://schemas.openxmlformats.org/officeDocument/2006/relationships/hyperlink" Target="https://www.google.com/search?q=site%3Aismai.pt%20Gest&#227;o%20do%20Desporto%20mestrado" TargetMode="External"/><Relationship Id="rId5581" Type="http://schemas.openxmlformats.org/officeDocument/2006/relationships/hyperlink" Target="https://www.google.com/search?q=site%3Aup.pt%20Estudos%20Alem&#227;es%20mestrado" TargetMode="External"/><Relationship Id="rId1777" Type="http://schemas.openxmlformats.org/officeDocument/2006/relationships/hyperlink" Target="https://www.google.com/search?q=site%3Aipportalegre.pt%20Turismo%20e%20Informa&#231;&#227;o%20Tur&#237;stica%20CTeSP" TargetMode="External"/><Relationship Id="rId2828" Type="http://schemas.openxmlformats.org/officeDocument/2006/relationships/hyperlink" Target="https://www.google.com/search?q=site%3Aipp.pt%20Projeto%2C%20Certifica&#231;&#227;o%20e%20Peritagem%20de%20Prote&#231;&#227;o%20Civil%20p&#243;s-gradua&#231;&#227;o" TargetMode="External"/><Relationship Id="rId5234" Type="http://schemas.openxmlformats.org/officeDocument/2006/relationships/hyperlink" Target="https://www.google.com/search?q=site%3Auevora.pt%20Inspe&#231;&#227;o%20da%20Educa&#231;&#227;o%20p&#243;s-gradua&#231;&#227;o" TargetMode="External"/><Relationship Id="rId69" Type="http://schemas.openxmlformats.org/officeDocument/2006/relationships/hyperlink" Target="https://www.google.com/search?q=site%3Aesai.pt%20Engenharia%20Civil%20licenciatura" TargetMode="External"/><Relationship Id="rId1844" Type="http://schemas.openxmlformats.org/officeDocument/2006/relationships/hyperlink" Target="https://www.google.com/search?q=site%3Aipsantarem.pt%20Mecaniza&#231;&#227;o%20e%20Tecnologia%20Agr&#225;ria%20CTeSP" TargetMode="External"/><Relationship Id="rId4250" Type="http://schemas.openxmlformats.org/officeDocument/2006/relationships/hyperlink" Target="https://www.google.com/search?q=site%3Aua.pt%20Enfermagem%20M&#233;dico&#8209;Cir&#250;rgica%2C%20na%20&#225;rea%20de%20Enfermagem%20&#224;%20Pessoa%20em%20Situa&#231;&#227;o%20Cr&#237;tica%20mestrado" TargetMode="External"/><Relationship Id="rId5301" Type="http://schemas.openxmlformats.org/officeDocument/2006/relationships/hyperlink" Target="https://www.google.com/search?q=site%3Aualg.pt%20Fisioterapia%20licenciatura" TargetMode="External"/><Relationship Id="rId1911" Type="http://schemas.openxmlformats.org/officeDocument/2006/relationships/hyperlink" Target="https://www.google.com/search?q=site%3Aipsantarem.pt%20Recursos%20Digitais%20em%20Educa&#231;&#227;o%20mestrado" TargetMode="External"/><Relationship Id="rId3669" Type="http://schemas.openxmlformats.org/officeDocument/2006/relationships/hyperlink" Target="https://www.google.com/search?q=site%3Alusofona.pt%20Comunica&#231;&#227;o%20Audiovisual%20e%20Multim&#233;dia%20licenciatura" TargetMode="External"/><Relationship Id="rId5091" Type="http://schemas.openxmlformats.org/officeDocument/2006/relationships/hyperlink" Target="https://www.google.com/search?q=site%3Autad.pt%20Enfermagem%20de%20Sa&#250;de%20Materna%20e%20Obst&#233;trica%20mestrado" TargetMode="External"/><Relationship Id="rId1287" Type="http://schemas.openxmlformats.org/officeDocument/2006/relationships/hyperlink" Target="https://www.google.com/search?q=site%3Aipc.pt%20Turismo%20em%20Espa&#231;os%20Rurais%20e%20Naturais%20licenciatura" TargetMode="External"/><Relationship Id="rId2685" Type="http://schemas.openxmlformats.org/officeDocument/2006/relationships/hyperlink" Target="https://www.google.com/search?q=site%3Aipp.pt%20Teatro%2C%20variante%20Luz%20e%20Som%20licenciatura" TargetMode="External"/><Relationship Id="rId3736" Type="http://schemas.openxmlformats.org/officeDocument/2006/relationships/hyperlink" Target="https://www.google.com/search?q=site%3Alusofona.pt%20Exerc&#237;cio%20e%20Sa&#250;de%20mestrado" TargetMode="External"/><Relationship Id="rId657" Type="http://schemas.openxmlformats.org/officeDocument/2006/relationships/hyperlink" Target="https://www.google.com/search?q=site%3Aistec.pt%20Data%20Science%20Applied%20for%20Business%20p&#243;s-gradua&#231;&#227;o" TargetMode="External"/><Relationship Id="rId2338" Type="http://schemas.openxmlformats.org/officeDocument/2006/relationships/hyperlink" Target="https://www.google.com/search?q=site%3Aipv.pt%20Biotecnologia%20licenciatura" TargetMode="External"/><Relationship Id="rId2752" Type="http://schemas.openxmlformats.org/officeDocument/2006/relationships/hyperlink" Target="https://www.google.com/search?q=site%3Aipp.pt%20Gest&#227;o%20do%20Turismo%20mestrado" TargetMode="External"/><Relationship Id="rId3803" Type="http://schemas.openxmlformats.org/officeDocument/2006/relationships/hyperlink" Target="https://www.google.com/search?q=site%3Alusofona.pt%20Sustentabilidade%2C%20Ambiente%20e%20Qualidade%20p&#243;s-gradua&#231;&#227;o" TargetMode="External"/><Relationship Id="rId724" Type="http://schemas.openxmlformats.org/officeDocument/2006/relationships/hyperlink" Target="https://www.google.com/search?q=site%3Aipg.pt%20Gerontologia%20CTeSP" TargetMode="External"/><Relationship Id="rId1354" Type="http://schemas.openxmlformats.org/officeDocument/2006/relationships/hyperlink" Target="https://www.google.com/search?q=site%3Aipc.pt%20Educa&#231;&#227;o%20de%20Adultos%20e%20Desenvolvimento%20Local%20p&#243;s-gradua&#231;&#227;o" TargetMode="External"/><Relationship Id="rId2405" Type="http://schemas.openxmlformats.org/officeDocument/2006/relationships/hyperlink" Target="https://www.google.com/search?q=site%3Aipv.pt%20Tecnologias%20de%20Informa&#231;&#227;o%20e%20Automa&#231;&#227;o%20mestrado" TargetMode="External"/><Relationship Id="rId60" Type="http://schemas.openxmlformats.org/officeDocument/2006/relationships/hyperlink" Target="https://www.google.com/search?q=site%3Aesap.pt%20Banda%20Desenhada%20p&#243;s-gradua&#231;&#227;o" TargetMode="External"/><Relationship Id="rId1007" Type="http://schemas.openxmlformats.org/officeDocument/2006/relationships/hyperlink" Target="https://www.google.com/search?q=site%3Aipb.pt%20Engenharia%20Civil%20licenciatura" TargetMode="External"/><Relationship Id="rId1421" Type="http://schemas.openxmlformats.org/officeDocument/2006/relationships/hyperlink" Target="https://www.google.com/search?q=site%3Aipleiria.pt%20Produ&#231;&#227;o%20e%20manuten&#231;&#227;o%20de%20organismos%20aqu&#225;ticos%20CTeSP" TargetMode="External"/><Relationship Id="rId4577" Type="http://schemas.openxmlformats.org/officeDocument/2006/relationships/hyperlink" Target="https://www.google.com/search?q=site%3Aulisboa.pt%20Estudos%20Cl&#225;ssicos%20licenciatura" TargetMode="External"/><Relationship Id="rId4991" Type="http://schemas.openxmlformats.org/officeDocument/2006/relationships/hyperlink" Target="https://www.google.com/search?q=site%3Aulisboa.pt%20Psicologia%20e%20Interven&#231;&#227;o%20em%20Crise%20e%20Emerg&#234;ncia%20p&#243;s-gradua&#231;&#227;o" TargetMode="External"/><Relationship Id="rId5628" Type="http://schemas.openxmlformats.org/officeDocument/2006/relationships/hyperlink" Target="https://www.google.com/search?q=site%3Aup.pt%20M&#233;todos%20Avan&#231;ados%20e%20Acredita&#231;&#227;o%20em%20An&#225;lise%20Qu&#237;mica%20mestrado" TargetMode="External"/><Relationship Id="rId3179" Type="http://schemas.openxmlformats.org/officeDocument/2006/relationships/hyperlink" Target="https://www.google.com/search?q=site%3Auab.pt%20Gest&#227;o%20da%20Informa&#231;&#227;o%20e%20Bibliotecas%20Escolares%20mestrado" TargetMode="External"/><Relationship Id="rId3593" Type="http://schemas.openxmlformats.org/officeDocument/2006/relationships/hyperlink" Target="https://www.google.com/search?q=site%3Aulusiada.pt%20Contratos%20P&#250;blicos%20mestrado" TargetMode="External"/><Relationship Id="rId4644" Type="http://schemas.openxmlformats.org/officeDocument/2006/relationships/hyperlink" Target="https://www.google.com/search?q=site%3Aulisboa.pt%20Ci&#234;ncias%20da%20Complexidade%20mestrado" TargetMode="External"/><Relationship Id="rId2195" Type="http://schemas.openxmlformats.org/officeDocument/2006/relationships/hyperlink" Target="https://www.google.com/search?q=site%3Aipvc.pt%20Servi&#231;os%20Educativos%20e%20Patrim&#243;nio%20Local%20CTeSP" TargetMode="External"/><Relationship Id="rId3246" Type="http://schemas.openxmlformats.org/officeDocument/2006/relationships/hyperlink" Target="https://www.google.com/search?q=site%3Aucp.pt%20Gest&#227;o%20licenciatura" TargetMode="External"/><Relationship Id="rId167" Type="http://schemas.openxmlformats.org/officeDocument/2006/relationships/hyperlink" Target="https://www.google.com/search?q=site%3Aesenf.pt%20Enfermagem%20Oncol&#243;gica%20p&#243;s-gradua&#231;&#227;o" TargetMode="External"/><Relationship Id="rId581" Type="http://schemas.openxmlformats.org/officeDocument/2006/relationships/hyperlink" Target="https://www.google.com/search?q=site%3Aiseclisboa.pt%20Ilustra&#231;&#227;o%20de%20Narrativas%20Visuais%20p&#243;s-gradua&#231;&#227;o" TargetMode="External"/><Relationship Id="rId2262" Type="http://schemas.openxmlformats.org/officeDocument/2006/relationships/hyperlink" Target="https://www.google.com/search?q=site%3Aipvc.pt%20Engenharia%20Inform&#225;tica%20mestrado" TargetMode="External"/><Relationship Id="rId3660" Type="http://schemas.openxmlformats.org/officeDocument/2006/relationships/hyperlink" Target="https://www.google.com/search?q=site%3Alusofona.pt%20Ci&#234;ncia%20e%20Tecnologias%20do%20Som%20licenciatura" TargetMode="External"/><Relationship Id="rId4711" Type="http://schemas.openxmlformats.org/officeDocument/2006/relationships/hyperlink" Target="https://www.google.com/search?q=site%3Aulisboa.pt%20Engenharia%20Zoot&#233;cnica%20mestrado" TargetMode="External"/><Relationship Id="rId234" Type="http://schemas.openxmlformats.org/officeDocument/2006/relationships/hyperlink" Target="https://www.google.com/search?q=site%3Aegasmoniz.edu.pt%20Medicina%20Oral%20mestrado" TargetMode="External"/><Relationship Id="rId3313" Type="http://schemas.openxmlformats.org/officeDocument/2006/relationships/hyperlink" Target="https://www.google.com/search?q=site%3Aucp.pt%20Gest&#227;o%20e%20Administra&#231;&#227;o%20de%20Empresas%20%28mestrado%20internacional%29%20mestrado" TargetMode="External"/><Relationship Id="rId5485" Type="http://schemas.openxmlformats.org/officeDocument/2006/relationships/hyperlink" Target="https://www.google.com/search?q=site%3Aup.pt%20Banca%2C%20Instrumentos%20e%20Mercados%20Financeiros%20-%20Executivo%20mestrado" TargetMode="External"/><Relationship Id="rId301" Type="http://schemas.openxmlformats.org/officeDocument/2006/relationships/hyperlink" Target="https://www.google.com/search?q=site%3Aesscvp.eu%20An&#225;lises%20Laboratoriais%20Especializadas%20-%20An&#225;lises%20Biom&#233;dicas%20mestrado" TargetMode="External"/><Relationship Id="rId4087" Type="http://schemas.openxmlformats.org/officeDocument/2006/relationships/hyperlink" Target="https://www.google.com/search?q=site%3Aupt.pt%20Economia%20licenciatura" TargetMode="External"/><Relationship Id="rId5138" Type="http://schemas.openxmlformats.org/officeDocument/2006/relationships/hyperlink" Target="https://www.google.com/search?q=site%3Autad.pt%20Curso%20P&#243;s&#8209;Graduado%20em%20Artes%20&#8211;%20Especializa&#231;&#227;o%20em%20Teatro%20Musical%202026%20p&#243;s-gradua&#231;&#227;o" TargetMode="External"/><Relationship Id="rId5552" Type="http://schemas.openxmlformats.org/officeDocument/2006/relationships/hyperlink" Target="https://www.google.com/search?q=site%3Aup.pt%20Engenharia%20de%20Minas%20e%20Geo-Ambiente%20mestrado" TargetMode="External"/><Relationship Id="rId1748" Type="http://schemas.openxmlformats.org/officeDocument/2006/relationships/hyperlink" Target="https://www.google.com/search?q=site%3Aipportalegre.pt%20Apoio%20ao%20Consult&#243;rio%20M&#233;dico%20e%20Dent&#225;rio%20CTeSP" TargetMode="External"/><Relationship Id="rId4154" Type="http://schemas.openxmlformats.org/officeDocument/2006/relationships/hyperlink" Target="https://www.google.com/search?q=site%3Aubi.pt%20Treino%20no%20Futsal%20p&#243;s-gradua&#231;&#227;o" TargetMode="External"/><Relationship Id="rId5205" Type="http://schemas.openxmlformats.org/officeDocument/2006/relationships/hyperlink" Target="https://www.google.com/search?q=site%3Auevora.pt%20Olivicultura%20e%20Azeite%20mestrado" TargetMode="External"/><Relationship Id="rId3170" Type="http://schemas.openxmlformats.org/officeDocument/2006/relationships/hyperlink" Target="https://www.google.com/search?q=site%3Auab.pt%20Engenharia%20Inform&#225;tica%20e%20Tecnologia%20Web%20mestrado" TargetMode="External"/><Relationship Id="rId4221" Type="http://schemas.openxmlformats.org/officeDocument/2006/relationships/hyperlink" Target="https://www.google.com/search?q=site%3Aua.pt%20Sistemas%20Mecatr&#243;nicos%20e%20de%20Produ&#231;&#227;o%20CTeSP" TargetMode="External"/><Relationship Id="rId1815" Type="http://schemas.openxmlformats.org/officeDocument/2006/relationships/hyperlink" Target="https://www.google.com/search?q=site%3Aipportalegre.pt%20Gest&#227;o%20de%20PME%20mestrado" TargetMode="External"/><Relationship Id="rId3987" Type="http://schemas.openxmlformats.org/officeDocument/2006/relationships/hyperlink" Target="https://www.google.com/search?q=site%3Aunl.pt%20Organiza&#231;&#245;es%20Orientadas%20por%20Dados%20mestrado" TargetMode="External"/><Relationship Id="rId2589" Type="http://schemas.openxmlformats.org/officeDocument/2006/relationships/hyperlink" Target="https://www.google.com/search?q=site%3Aipp.pt%20Laborat&#243;rios%20de%20Qu&#237;mica%20e%20Bioqu&#237;mica%20CTeSP" TargetMode="External"/><Relationship Id="rId975" Type="http://schemas.openxmlformats.org/officeDocument/2006/relationships/hyperlink" Target="https://www.google.com/search?q=site%3Aipb.pt%20Produ&#231;&#227;o%20nas%20Artes%20do%20Espet&#225;culo%20CTeSP" TargetMode="External"/><Relationship Id="rId2656" Type="http://schemas.openxmlformats.org/officeDocument/2006/relationships/hyperlink" Target="https://www.google.com/search?q=site%3Aipp.pt%20Gest&#227;o%20Industrial%20e%20Log&#237;stica%20licenciatura" TargetMode="External"/><Relationship Id="rId3707" Type="http://schemas.openxmlformats.org/officeDocument/2006/relationships/hyperlink" Target="https://www.google.com/search?q=site%3Alusofona.pt%20Turismo%20licenciatura" TargetMode="External"/><Relationship Id="rId5062" Type="http://schemas.openxmlformats.org/officeDocument/2006/relationships/hyperlink" Target="https://www.google.com/search?q=site%3Autad.pt%20Agricultura%20Sustent&#225;vel%20mestrado" TargetMode="External"/><Relationship Id="rId628" Type="http://schemas.openxmlformats.org/officeDocument/2006/relationships/hyperlink" Target="https://www.google.com/search?q=site%3Aispa.pt%20Neuroci&#234;ncias%20e%20Comportamento%20mestrado" TargetMode="External"/><Relationship Id="rId1258" Type="http://schemas.openxmlformats.org/officeDocument/2006/relationships/hyperlink" Target="https://www.google.com/search?q=site%3Aipc.pt%20Educa&#231;&#227;o%20B&#225;sica%20licenciatura" TargetMode="External"/><Relationship Id="rId1672" Type="http://schemas.openxmlformats.org/officeDocument/2006/relationships/hyperlink" Target="https://www.google.com/search?q=site%3Aipl.pt%20Educa&#231;&#227;o%20Especial%20mestrado" TargetMode="External"/><Relationship Id="rId2309" Type="http://schemas.openxmlformats.org/officeDocument/2006/relationships/hyperlink" Target="https://www.google.com/search?q=site%3Aipv.pt%20Energia%20e%20Climatiza&#231;&#227;o%20CTeSP" TargetMode="External"/><Relationship Id="rId2723" Type="http://schemas.openxmlformats.org/officeDocument/2006/relationships/hyperlink" Target="https://www.google.com/search?q=site%3Aipp.pt%20Engenharia%20Civil%20mestrado" TargetMode="External"/><Relationship Id="rId1325" Type="http://schemas.openxmlformats.org/officeDocument/2006/relationships/hyperlink" Target="https://www.google.com/search?q=site%3Aipc.pt%20Gest&#227;o%20em%20Turismo%20e%20Inova&#231;&#227;o%20Territorial%20mestrado" TargetMode="External"/><Relationship Id="rId3497" Type="http://schemas.openxmlformats.org/officeDocument/2006/relationships/hyperlink" Target="https://www.google.com/search?q=site%3Aeuropeia.pt%20P&#243;s&#8209;Gradua&#231;&#227;o%20em%20Legisla&#231;&#227;o%20Laboral%20p&#243;s-gradua&#231;&#227;o" TargetMode="External"/><Relationship Id="rId4895" Type="http://schemas.openxmlformats.org/officeDocument/2006/relationships/hyperlink" Target="https://www.google.com/search?q=site%3Aulisboa.pt%20Ci&#234;ncias%20em%20Animais%20de%20Laborat&#243;rio%20p&#243;s-gradua&#231;&#227;o" TargetMode="External"/><Relationship Id="rId31" Type="http://schemas.openxmlformats.org/officeDocument/2006/relationships/hyperlink" Target="https://www.google.com/search?q=site%3Aenautica.pt%20Navega&#231;&#227;o%20de%20Recreio%20e%20Op.%20Mar&#237;timo-Tur&#237;stica%20CTeSP" TargetMode="External"/><Relationship Id="rId2099" Type="http://schemas.openxmlformats.org/officeDocument/2006/relationships/hyperlink" Target="https://www.google.com/search?q=site%3Aipt.pt%20Realiza&#231;&#227;o%20e%20Produ&#231;&#227;o%20Televisiva%20CTeSP" TargetMode="External"/><Relationship Id="rId4548" Type="http://schemas.openxmlformats.org/officeDocument/2006/relationships/hyperlink" Target="https://www.google.com/search?q=site%3Aulisboa.pt%20Engenharia%20Civil%20licenciatura" TargetMode="External"/><Relationship Id="rId4962" Type="http://schemas.openxmlformats.org/officeDocument/2006/relationships/hyperlink" Target="https://www.google.com/search?q=site%3Aulisboa.pt%20Ilustra&#231;&#227;o%20Cient&#237;fica%20p&#243;s-gradua&#231;&#227;o" TargetMode="External"/><Relationship Id="rId3564" Type="http://schemas.openxmlformats.org/officeDocument/2006/relationships/hyperlink" Target="https://www.google.com/search?q=site%3Aufp.pt%20MBA%20em%20Gest&#227;o%20de%20Organiza&#231;&#245;es%20e%20Servi&#231;os%20de%20Sa&#250;de%20p&#243;s-gradua&#231;&#227;o%20executiva" TargetMode="External"/><Relationship Id="rId4615" Type="http://schemas.openxmlformats.org/officeDocument/2006/relationships/hyperlink" Target="https://www.google.com/search?q=site%3Aulisboa.pt%20An&#225;lise%20de%20Dados%20Empresariais%20mestrado" TargetMode="External"/><Relationship Id="rId485" Type="http://schemas.openxmlformats.org/officeDocument/2006/relationships/hyperlink" Target="https://www.google.com/search?q=site%3Aisec.pt%20Instala&#231;&#245;es%20T&#233;rmicas%20CTeSP" TargetMode="External"/><Relationship Id="rId2166" Type="http://schemas.openxmlformats.org/officeDocument/2006/relationships/hyperlink" Target="https://www.google.com/search?q=site%3Aipvc.pt%20Efici&#234;ncia%20Energ&#233;tica%20nos%20Edif&#237;cios%20CTeSP" TargetMode="External"/><Relationship Id="rId2580" Type="http://schemas.openxmlformats.org/officeDocument/2006/relationships/hyperlink" Target="https://www.google.com/search?q=site%3Aipp.pt%20Gest&#227;o%20Hoteleira%20Internacional%20CTeSP" TargetMode="External"/><Relationship Id="rId3217" Type="http://schemas.openxmlformats.org/officeDocument/2006/relationships/hyperlink" Target="https://www.google.com/search?q=site%3Aautonoma.pt%20Intelig&#234;ncia%20Artificial%3A%20que%20desafios%20e%20oportunidades%3F%20p&#243;s-gradua&#231;&#227;o" TargetMode="External"/><Relationship Id="rId3631" Type="http://schemas.openxmlformats.org/officeDocument/2006/relationships/hyperlink" Target="https://www.google.com/search?q=site%3Aulusiada.pt%20Fisioterapia%20no%20Desporto%20&#8211;%20Especializa&#231;&#227;o%20em%20Reabilita&#231;&#227;o%20&#8211;%209.&#170;%20edi&#231;&#227;o%20p&#243;s-gradua&#231;&#227;o" TargetMode="External"/><Relationship Id="rId138" Type="http://schemas.openxmlformats.org/officeDocument/2006/relationships/hyperlink" Target="https://www.google.com/search?q=site%3Aesesfm.pt%20Gest&#227;o%20e%20Inova&#231;&#227;o%20em%20Sa&#250;de%20p&#243;s-gradua&#231;&#227;o" TargetMode="External"/><Relationship Id="rId552" Type="http://schemas.openxmlformats.org/officeDocument/2006/relationships/hyperlink" Target="https://www.google.com/search?q=site%3Aiseclisboa.pt%20Energias%20Renov&#225;veis%20e%20Ambiente%20licenciatura" TargetMode="External"/><Relationship Id="rId1182" Type="http://schemas.openxmlformats.org/officeDocument/2006/relationships/hyperlink" Target="https://www.google.com/search?q=site%3Aipcb.pt%20Gest&#227;o%20e%20Rela&#231;&#245;es%20Jur&#237;dico&#8209;Empresariais%20mestrado" TargetMode="External"/><Relationship Id="rId2233" Type="http://schemas.openxmlformats.org/officeDocument/2006/relationships/hyperlink" Target="https://www.google.com/search?q=site%3Aipvc.pt%20Tecnologia%20Alimentar%20e%20Nutri&#231;&#227;o%20licenciatura" TargetMode="External"/><Relationship Id="rId5389" Type="http://schemas.openxmlformats.org/officeDocument/2006/relationships/hyperlink" Target="https://www.google.com/search?q=site%3Aualg.pt%20Sistemas%20de%20Informa&#231;&#227;o%20Geogr&#225;fica%20mestrado" TargetMode="External"/><Relationship Id="rId205" Type="http://schemas.openxmlformats.org/officeDocument/2006/relationships/hyperlink" Target="https://www.google.com/search?q=site%3Auatlantica.pt%20Enfermagem%20de%20Reabilita&#231;&#227;o%20mestrado" TargetMode="External"/><Relationship Id="rId2300" Type="http://schemas.openxmlformats.org/officeDocument/2006/relationships/hyperlink" Target="https://www.google.com/search?q=site%3Aipv.pt%20Automa&#231;&#227;o%20e%20Energia%20CTeSP" TargetMode="External"/><Relationship Id="rId5456" Type="http://schemas.openxmlformats.org/officeDocument/2006/relationships/hyperlink" Target="https://www.google.com/search?q=site%3Aup.pt%20Hist&#243;ria%20licenciatura" TargetMode="External"/><Relationship Id="rId1999" Type="http://schemas.openxmlformats.org/officeDocument/2006/relationships/hyperlink" Target="https://www.google.com/search?q=site%3Aips.pt%20Anima&#231;&#227;o%20Sociocultural%20licenciatura" TargetMode="External"/><Relationship Id="rId4058" Type="http://schemas.openxmlformats.org/officeDocument/2006/relationships/hyperlink" Target="https://www.google.com/search?q=site%3Aunl.pt%20Geospatial%20Intelligence%20p&#243;s-gradua&#231;&#227;o" TargetMode="External"/><Relationship Id="rId4472" Type="http://schemas.openxmlformats.org/officeDocument/2006/relationships/hyperlink" Target="https://www.google.com/search?q=site%3Auc.pt%20Qu&#237;mica%20Medicinal%20mestrado" TargetMode="External"/><Relationship Id="rId5109" Type="http://schemas.openxmlformats.org/officeDocument/2006/relationships/hyperlink" Target="https://www.google.com/search?q=site%3Autad.pt%20Ensino%20de%20F&#237;sica%20e%20de%20Qu&#237;mica%20no%203.&#186;%20Ciclo%20do%20Ensino%20B&#225;sico%20e%20no%20Ensino%20Secund&#225;rio%20mestrado" TargetMode="External"/><Relationship Id="rId3074" Type="http://schemas.openxmlformats.org/officeDocument/2006/relationships/hyperlink" Target="https://www.google.com/search?q=site%3Aisg.pt%20Marketing%20mestrado" TargetMode="External"/><Relationship Id="rId4125" Type="http://schemas.openxmlformats.org/officeDocument/2006/relationships/hyperlink" Target="https://www.google.com/search?q=site%3Aubi.pt%20Ci&#234;ncias%20da%20Comunica&#231;&#227;o%20licenciatura" TargetMode="External"/><Relationship Id="rId5523" Type="http://schemas.openxmlformats.org/officeDocument/2006/relationships/hyperlink" Target="https://www.google.com/search?q=site%3Aup.pt%20Design%20da%20Imagem%20mestrado" TargetMode="External"/><Relationship Id="rId1719" Type="http://schemas.openxmlformats.org/officeDocument/2006/relationships/hyperlink" Target="https://www.google.com/search?q=site%3Aipl.pt%20Comunica&#231;&#227;o%20e%20Marketing%20na%20Ind&#250;stria%20Farmac&#234;utica%20p&#243;s-gradua&#231;&#227;o" TargetMode="External"/><Relationship Id="rId2090" Type="http://schemas.openxmlformats.org/officeDocument/2006/relationships/hyperlink" Target="https://www.google.com/search?q=site%3Aipt.pt%20Instala&#231;&#245;es%20El&#233;tricas%20e%20Manuten&#231;&#227;o%20Industrial%20CTeSP" TargetMode="External"/><Relationship Id="rId3141" Type="http://schemas.openxmlformats.org/officeDocument/2006/relationships/hyperlink" Target="https://www.google.com/search?q=site%3Acespu.pt%20Preven&#231;&#227;o%2C%20Controlo%20de%20Infe&#231;&#227;o%20e%20Resist&#234;ncia%20aos%20Antimicrobianos%20&#8211;%206.&#170;%20edi&#231;&#227;o%20p&#243;s-gradua&#231;&#227;o" TargetMode="External"/><Relationship Id="rId3958" Type="http://schemas.openxmlformats.org/officeDocument/2006/relationships/hyperlink" Target="https://www.google.com/search?q=site%3Aunl.pt%20Gest&#227;o%20e%20Curadoria%20de%20Informa&#231;&#227;o%20mestrado" TargetMode="External"/><Relationship Id="rId879" Type="http://schemas.openxmlformats.org/officeDocument/2006/relationships/hyperlink" Target="https://www.google.com/search?q=site%3Aipbeja.pt%20Desporto%2C%20Lazer%20e%20Bem&#8209;Estar%20CTeSP" TargetMode="External"/><Relationship Id="rId5380" Type="http://schemas.openxmlformats.org/officeDocument/2006/relationships/hyperlink" Target="https://www.google.com/search?q=site%3Aualg.pt%20Processos%20de%20Cria&#231;&#227;o%20mestrado" TargetMode="External"/><Relationship Id="rId1576" Type="http://schemas.openxmlformats.org/officeDocument/2006/relationships/hyperlink" Target="https://www.google.com/search?q=site%3Aipleiria.pt%20Ci&#234;ncia%20de%20Dados%20Aplicada%20&#224;%20An&#225;lise%20de%20Risco%20p&#243;s-gradua&#231;&#227;o" TargetMode="External"/><Relationship Id="rId2974" Type="http://schemas.openxmlformats.org/officeDocument/2006/relationships/hyperlink" Target="https://www.google.com/search?q=site%3Aisced.pt%20Educa&#231;&#227;o%20B&#225;sica%20licenciatura" TargetMode="External"/><Relationship Id="rId5033" Type="http://schemas.openxmlformats.org/officeDocument/2006/relationships/hyperlink" Target="https://www.google.com/search?q=site%3Autad.pt%20Economia%20licenciatura" TargetMode="External"/><Relationship Id="rId946" Type="http://schemas.openxmlformats.org/officeDocument/2006/relationships/hyperlink" Target="https://www.google.com/search?q=site%3Aipb.pt%20Ciberseguran&#231;a%20CTeSP" TargetMode="External"/><Relationship Id="rId1229" Type="http://schemas.openxmlformats.org/officeDocument/2006/relationships/hyperlink" Target="https://www.google.com/search?q=site%3Aipc.pt%20Qualidade%20Alimentar%20CTeSP" TargetMode="External"/><Relationship Id="rId1990" Type="http://schemas.openxmlformats.org/officeDocument/2006/relationships/hyperlink" Target="https://www.google.com/search?q=site%3Aips.pt%20Servi&#231;o%20Familiar%20e%20Comunit&#225;rio%20CTeSP" TargetMode="External"/><Relationship Id="rId2627" Type="http://schemas.openxmlformats.org/officeDocument/2006/relationships/hyperlink" Target="https://www.google.com/search?q=site%3Aipp.pt%20Ci&#234;ncias%20e%20Tecnologias%20da%20Documenta&#231;&#227;o%20e%20Informa&#231;&#227;o%20licenciatura" TargetMode="External"/><Relationship Id="rId5100" Type="http://schemas.openxmlformats.org/officeDocument/2006/relationships/hyperlink" Target="https://www.google.com/search?q=site%3Autad.pt%20Engenharia%20Mec&#226;nica%20mestrado" TargetMode="External"/><Relationship Id="rId1643" Type="http://schemas.openxmlformats.org/officeDocument/2006/relationships/hyperlink" Target="https://www.google.com/search?q=site%3Aipl.pt%20Imagem%20M&#233;dica%20e%20Radioterapia%20licenciatura" TargetMode="External"/><Relationship Id="rId4799" Type="http://schemas.openxmlformats.org/officeDocument/2006/relationships/hyperlink" Target="https://www.google.com/search?q=site%3Aulisboa.pt%20Medicina%20Aplicada%20ao%20Meio%20Subaqu&#225;tico%20e%20Hiperb&#225;rico%20mestrado" TargetMode="External"/><Relationship Id="rId1710" Type="http://schemas.openxmlformats.org/officeDocument/2006/relationships/hyperlink" Target="https://www.google.com/search?q=site%3Aipl.pt%20Teatro%20mestrado" TargetMode="External"/><Relationship Id="rId4866" Type="http://schemas.openxmlformats.org/officeDocument/2006/relationships/hyperlink" Target="https://www.google.com/search?q=site%3Aulisboa.pt%20Engenharia%20Biom&#233;dica%20mestrado%20integrado" TargetMode="External"/><Relationship Id="rId3468" Type="http://schemas.openxmlformats.org/officeDocument/2006/relationships/hyperlink" Target="https://www.google.com/search?q=site%3Aeuropeia.pt%20Marketing%20e%20Inova&#231;&#227;o%20mestrado" TargetMode="External"/><Relationship Id="rId3882" Type="http://schemas.openxmlformats.org/officeDocument/2006/relationships/hyperlink" Target="https://www.google.com/search?q=site%3Aunl.pt%20Comunica&#231;&#227;o%20de%20Ci&#234;ncia%20mestrado" TargetMode="External"/><Relationship Id="rId4519" Type="http://schemas.openxmlformats.org/officeDocument/2006/relationships/hyperlink" Target="https://www.google.com/search?q=site%3Aulisboa.pt%20Arqueologia%20licenciatura" TargetMode="External"/><Relationship Id="rId4933" Type="http://schemas.openxmlformats.org/officeDocument/2006/relationships/hyperlink" Target="https://www.google.com/search?q=site%3Aulisboa.pt%20Design%20Circular%3A%20modos%20culturais%2C%20sist&#233;micos%20e%20materiais%20p&#243;s-gradua&#231;&#227;o" TargetMode="External"/><Relationship Id="rId389" Type="http://schemas.openxmlformats.org/officeDocument/2006/relationships/hyperlink" Target="https://www.google.com/search?q=site%3Aisave.pt%20Apoio%20em%20Cuidados%20Continuados%20Integrados%20CTeSP" TargetMode="External"/><Relationship Id="rId2484" Type="http://schemas.openxmlformats.org/officeDocument/2006/relationships/hyperlink" Target="https://www.google.com/search?q=site%3Aipca.pt%20Engenharia%20e%20Gest&#227;o%20Industrial%20licenciatura" TargetMode="External"/><Relationship Id="rId3535" Type="http://schemas.openxmlformats.org/officeDocument/2006/relationships/hyperlink" Target="https://www.google.com/search?q=site%3Aufp.pt%20Administra&#231;&#227;o%20Escolar%20e%20Administra&#231;&#227;o%20Educacional%20p&#243;s-gradua&#231;&#227;o" TargetMode="External"/><Relationship Id="rId456" Type="http://schemas.openxmlformats.org/officeDocument/2006/relationships/hyperlink" Target="https://www.google.com/search?q=site%3Aiscte-iul.pt%20Desenvolvimento%20Comunit&#225;rio%20p&#243;s-gradua&#231;&#227;o" TargetMode="External"/><Relationship Id="rId870" Type="http://schemas.openxmlformats.org/officeDocument/2006/relationships/hyperlink" Target="https://www.google.com/search?q=site%3Aipmaia.pt%20Treino%20Desportivo%20licenciatura" TargetMode="External"/><Relationship Id="rId1086" Type="http://schemas.openxmlformats.org/officeDocument/2006/relationships/hyperlink" Target="https://www.google.com/search?q=site%3Aipb.pt%20Tecnologias%20da%20Ci&#234;ncia%20Animal%20mestrado" TargetMode="External"/><Relationship Id="rId2137" Type="http://schemas.openxmlformats.org/officeDocument/2006/relationships/hyperlink" Target="https://www.google.com/search?q=site%3Aipt.pt%20Gest&#227;o%20mestrado" TargetMode="External"/><Relationship Id="rId2551" Type="http://schemas.openxmlformats.org/officeDocument/2006/relationships/hyperlink" Target="https://www.google.com/search?q=site%3Aipca.pt%20Investimentos%20Financeiros%20p&#243;s-gradua&#231;&#227;o" TargetMode="External"/><Relationship Id="rId109" Type="http://schemas.openxmlformats.org/officeDocument/2006/relationships/hyperlink" Target="https://www.google.com/search?q=site%3Aesepf.pt%20Comunica&#231;&#227;o%20Digital%20CTeSP" TargetMode="External"/><Relationship Id="rId523" Type="http://schemas.openxmlformats.org/officeDocument/2006/relationships/hyperlink" Target="https://www.google.com/search?q=site%3Aisec.pt%20Mobilidade%20El&#233;trica%20e%20Sistemas%20de%20Energia%20&#8211;%20Erasmus%20Mundus%20mestrado" TargetMode="External"/><Relationship Id="rId1153" Type="http://schemas.openxmlformats.org/officeDocument/2006/relationships/hyperlink" Target="https://www.google.com/search?q=site%3Aipcb.pt%20Inform&#225;tica%20e%20Multim&#233;dia%20licenciatura" TargetMode="External"/><Relationship Id="rId2204" Type="http://schemas.openxmlformats.org/officeDocument/2006/relationships/hyperlink" Target="https://www.google.com/search?q=site%3Aipvc.pt%20Turismo%20de%20Gastronomia%20e%20Vinhos%20CTeSP" TargetMode="External"/><Relationship Id="rId3602" Type="http://schemas.openxmlformats.org/officeDocument/2006/relationships/hyperlink" Target="https://www.google.com/search?q=site%3Aulusiada.pt%20Gerontologia%20Social%20mestrado" TargetMode="External"/><Relationship Id="rId5774" Type="http://schemas.openxmlformats.org/officeDocument/2006/relationships/hyperlink" Target="https://www.google.com/search?q=site%3Auac.pt%20P&#243;s&#8209;Gradua&#231;&#227;o%20em%20Tradu&#231;&#227;o%20e%20Assessoria%20em%20L&#237;ngua%20Portuguesa%20p&#243;s-gradua&#231;&#227;o" TargetMode="External"/><Relationship Id="rId1220" Type="http://schemas.openxmlformats.org/officeDocument/2006/relationships/hyperlink" Target="https://www.google.com/search?q=site%3Aipc.pt%20Gest&#227;o%20de%20PME%20CTeSP" TargetMode="External"/><Relationship Id="rId4376" Type="http://schemas.openxmlformats.org/officeDocument/2006/relationships/hyperlink" Target="https://www.google.com/search?q=site%3Auc.pt%20Engenharia%20Biom&#233;dica%20mestrado" TargetMode="External"/><Relationship Id="rId4790" Type="http://schemas.openxmlformats.org/officeDocument/2006/relationships/hyperlink" Target="https://www.google.com/search?q=site%3Aulisboa.pt%20Investiga&#231;&#227;o%20e%20Inova&#231;&#227;o%20para%20a%20Sustentabilidade%20mestrado" TargetMode="External"/><Relationship Id="rId5427" Type="http://schemas.openxmlformats.org/officeDocument/2006/relationships/hyperlink" Target="https://www.google.com/search?q=site%3Aup.pt%20Ci&#234;ncias%20do%20Desporto%20licenciatura" TargetMode="External"/><Relationship Id="rId3392" Type="http://schemas.openxmlformats.org/officeDocument/2006/relationships/hyperlink" Target="https://www.google.com/search?q=site%3Aeuropeia.pt%20Criminologia%20%28regime%20de%20ensino%20a%20dist&#226;ncia%29%20licenciatura" TargetMode="External"/><Relationship Id="rId4029" Type="http://schemas.openxmlformats.org/officeDocument/2006/relationships/hyperlink" Target="https://www.google.com/search?q=site%3Aunl.pt%20Engenharia%20e%20Gest&#227;o%20Industrial%20mestrado%20integrado" TargetMode="External"/><Relationship Id="rId4443" Type="http://schemas.openxmlformats.org/officeDocument/2006/relationships/hyperlink" Target="https://www.google.com/search?q=site%3Auc.pt%20Marketing%20mestrado" TargetMode="External"/><Relationship Id="rId3045" Type="http://schemas.openxmlformats.org/officeDocument/2006/relationships/hyperlink" Target="https://www.google.com/search?q=site%3Aiscia.pt%20Interven&#231;&#227;o%20Precoce%20na%20Inf&#226;ncia%20p&#243;s-gradua&#231;&#227;o" TargetMode="External"/><Relationship Id="rId4510" Type="http://schemas.openxmlformats.org/officeDocument/2006/relationships/hyperlink" Target="https://www.google.com/search?q=site%3Auc.pt%20Habitat%20Urbano%20Sustent&#225;vel%20p&#243;s-gradua&#231;&#227;o" TargetMode="External"/><Relationship Id="rId380" Type="http://schemas.openxmlformats.org/officeDocument/2006/relationships/hyperlink" Target="https://www.google.com/search?q=site%3Aipluso.pt%20Instrumenta&#231;&#227;o%20Cir&#250;rgica%20p&#243;s-gradua&#231;&#227;o" TargetMode="External"/><Relationship Id="rId2061" Type="http://schemas.openxmlformats.org/officeDocument/2006/relationships/hyperlink" Target="https://www.google.com/search?q=site%3Aips.pt%20Educa&#231;&#227;o%20Especial%20&#8211;%20Dom&#237;nio%20Cognitivo%20e%20Motor%20p&#243;s-gradua&#231;&#227;o" TargetMode="External"/><Relationship Id="rId3112" Type="http://schemas.openxmlformats.org/officeDocument/2006/relationships/hyperlink" Target="https://www.google.com/search?q=site%3Acespu.pt%20Cl&#237;nica%20em%20Implantologia%2C%20Reabilita&#231;&#227;o%20Oral%20e%20Prostodontia%20&#8211;%201.&#170;%20edi&#231;&#227;o%20p&#243;s-gradua&#231;&#227;o" TargetMode="External"/><Relationship Id="rId5284" Type="http://schemas.openxmlformats.org/officeDocument/2006/relationships/hyperlink" Target="https://www.google.com/search?q=site%3Aualg.pt%20Ci&#234;ncias%20da%20Educa&#231;&#227;o%20e%20da%20Forma&#231;&#227;o%20licenciatura" TargetMode="External"/><Relationship Id="rId100" Type="http://schemas.openxmlformats.org/officeDocument/2006/relationships/hyperlink" Target="https://www.google.com/search?q=site%3Ajoaodedeus.pt%20Literatura%20Infantil%20na%20Educa&#231;&#227;o%20Pr&#233;&#8209;Escolar%20e%201.&#186;%20CEB%20p&#243;s-gradua&#231;&#227;o" TargetMode="External"/><Relationship Id="rId2878" Type="http://schemas.openxmlformats.org/officeDocument/2006/relationships/hyperlink" Target="https://www.google.com/search?q=site%3Aisdd.pt%20Projeto%20de%20Moldes%20CTeSP" TargetMode="External"/><Relationship Id="rId3929" Type="http://schemas.openxmlformats.org/officeDocument/2006/relationships/hyperlink" Target="https://www.google.com/search?q=site%3Aunl.pt%20Ensino%20de%20Portugu&#234;s%20no%203.&#186;%20ciclo%20do%20Ensino%20B&#225;sico%20e%20no%20Ensino%20Secund&#225;rio%20mestrado" TargetMode="External"/><Relationship Id="rId1894" Type="http://schemas.openxmlformats.org/officeDocument/2006/relationships/hyperlink" Target="https://www.google.com/search?q=site%3Aipsantarem.pt%20Enfermagem%20Comunit&#225;ria%20mestrado" TargetMode="External"/><Relationship Id="rId2945" Type="http://schemas.openxmlformats.org/officeDocument/2006/relationships/hyperlink" Target="https://www.google.com/search?q=site%3Aispgaya.pt%20Engenharia%20Mec&#226;nica%20licenciatura" TargetMode="External"/><Relationship Id="rId5351" Type="http://schemas.openxmlformats.org/officeDocument/2006/relationships/hyperlink" Target="https://www.google.com/search?q=site%3Aualg.pt%20Ensino%20de%20Ingl&#234;s%20no%201.&#186;%20Ciclo%20do%20Ensino%20B&#225;sico%20mestrado" TargetMode="External"/><Relationship Id="rId917" Type="http://schemas.openxmlformats.org/officeDocument/2006/relationships/hyperlink" Target="https://www.google.com/search?q=site%3Aipbeja.pt%20Educa&#231;&#227;o%20Pr&#233;&#8209;Escolar%20e%20Ensino%20do%201.&#186;%20Ciclo%20do%20Ensino%20B&#225;sico%20mestrado" TargetMode="External"/><Relationship Id="rId1547" Type="http://schemas.openxmlformats.org/officeDocument/2006/relationships/hyperlink" Target="https://www.google.com/search?q=site%3Aipleiria.pt%20Fisioterapia%20mestrado" TargetMode="External"/><Relationship Id="rId1961" Type="http://schemas.openxmlformats.org/officeDocument/2006/relationships/hyperlink" Target="https://www.google.com/search?q=site%3Acespu.pt%20Supervis&#227;o%20Cl&#237;nica%20em%20Enfermagem%20&#8211;%207.&#170;%20edi&#231;&#227;o%20p&#243;s-gradua&#231;&#227;o" TargetMode="External"/><Relationship Id="rId5004" Type="http://schemas.openxmlformats.org/officeDocument/2006/relationships/hyperlink" Target="https://www.google.com/search?q=site%3Aulisboa.pt%20Simplex%20Urban&#237;stico%20e%20altera&#231;&#245;es%20recentes%20ao%20RJIGT%20p&#243;s-gradua&#231;&#227;o" TargetMode="External"/><Relationship Id="rId1614" Type="http://schemas.openxmlformats.org/officeDocument/2006/relationships/hyperlink" Target="https://www.google.com/search?q=site%3Aipleiria.pt%20Tend&#234;ncias%20e%20Inova&#231;&#245;es%20Digitais%20no%20Planeamento%20Estrat&#233;gico%20p&#243;s-gradua&#231;&#227;o" TargetMode="External"/><Relationship Id="rId4020" Type="http://schemas.openxmlformats.org/officeDocument/2006/relationships/hyperlink" Target="https://www.google.com/search?q=site%3Aunl.pt%20Engenharia%20Civil%20mestrado%20integrado" TargetMode="External"/><Relationship Id="rId3786" Type="http://schemas.openxmlformats.org/officeDocument/2006/relationships/hyperlink" Target="https://www.google.com/search?q=site%3Alusofona.pt%20Marketing%20Digital%20p&#243;s-gradua&#231;&#227;o" TargetMode="External"/><Relationship Id="rId2388" Type="http://schemas.openxmlformats.org/officeDocument/2006/relationships/hyperlink" Target="https://www.google.com/search?q=site%3Aipv.pt%20Engenharia%20Inform&#225;tica%20&#8211;%20Sistemas%20de%20Informa&#231;&#227;o%20mestrado" TargetMode="External"/><Relationship Id="rId3439" Type="http://schemas.openxmlformats.org/officeDocument/2006/relationships/hyperlink" Target="https://www.google.com/search?q=site%3Aeuropeia.pt%20Cuidados%20Integrados%20em%20Sa&#250;de%20%28regime%20de%20ensino%20a%20dist&#226;ncia%29%20mestrado" TargetMode="External"/><Relationship Id="rId4837" Type="http://schemas.openxmlformats.org/officeDocument/2006/relationships/hyperlink" Target="https://www.google.com/search?q=site%3Aulisboa.pt%20Resili&#234;ncia%20na%20Educa&#231;&#227;o%20mestrado" TargetMode="External"/><Relationship Id="rId3853" Type="http://schemas.openxmlformats.org/officeDocument/2006/relationships/hyperlink" Target="https://www.google.com/search?q=site%3Aunl.pt%20Tradu&#231;&#227;o%20licenciatura" TargetMode="External"/><Relationship Id="rId4904" Type="http://schemas.openxmlformats.org/officeDocument/2006/relationships/hyperlink" Target="https://www.google.com/search?q=site%3Aulisboa.pt%20Contabilidade%20e%20Fiscalidade%20p&#243;s-gradua&#231;&#227;o" TargetMode="External"/><Relationship Id="rId774" Type="http://schemas.openxmlformats.org/officeDocument/2006/relationships/hyperlink" Target="https://www.google.com/search?q=site%3Aipg.pt%20Turismo%20e%20Lazer%20licenciatura" TargetMode="External"/><Relationship Id="rId1057" Type="http://schemas.openxmlformats.org/officeDocument/2006/relationships/hyperlink" Target="https://www.google.com/search?q=site%3Aipb.pt%20Engenharia%20Biotecnol&#243;gica%20mestrado" TargetMode="External"/><Relationship Id="rId2455" Type="http://schemas.openxmlformats.org/officeDocument/2006/relationships/hyperlink" Target="https://www.google.com/search?q=site%3Aipca.pt%20Pastelaria%2C%20Do&#231;aria%20e%20Panifica&#231;&#227;o%20CTeSP" TargetMode="External"/><Relationship Id="rId3506" Type="http://schemas.openxmlformats.org/officeDocument/2006/relationships/hyperlink" Target="https://www.google.com/search?q=site%3Aufp.pt%20Apoio%20ao%20Consult&#243;rio%20M&#233;dico%20e%20Dent&#225;rio%20CTeSP" TargetMode="External"/><Relationship Id="rId3920" Type="http://schemas.openxmlformats.org/officeDocument/2006/relationships/hyperlink" Target="https://www.google.com/search?q=site%3Aunl.pt%20Ensino%20da%20Matem&#225;tica%20no%203.&#186;%20Ciclo%20do%20Ensino%20B&#225;sico%20e%20no%20Ensino%20Secund&#225;rio%20mestrado" TargetMode="External"/><Relationship Id="rId427" Type="http://schemas.openxmlformats.org/officeDocument/2006/relationships/hyperlink" Target="https://www.google.com/search?q=site%3Aiscte-iul.pt%20Engenharia%20Inform&#225;tica%20licenciatura" TargetMode="External"/><Relationship Id="rId841" Type="http://schemas.openxmlformats.org/officeDocument/2006/relationships/hyperlink" Target="https://www.google.com/search?q=site%3Aipluso.pt%20Imagem%20M&#233;dica%20e%20Radioterapia%20licenciatura" TargetMode="External"/><Relationship Id="rId1471" Type="http://schemas.openxmlformats.org/officeDocument/2006/relationships/hyperlink" Target="https://www.google.com/search?q=site%3Aipleiria.pt%20Gest&#227;o%20Tur&#237;stica%20e%20Hoteleira%20licenciatura" TargetMode="External"/><Relationship Id="rId2108" Type="http://schemas.openxmlformats.org/officeDocument/2006/relationships/hyperlink" Target="https://www.google.com/search?q=site%3Aipt.pt%20Cinema%20Documental%20%28V&#237;deo%20e%20Cinema%20Documental%29%20licenciatura" TargetMode="External"/><Relationship Id="rId2522" Type="http://schemas.openxmlformats.org/officeDocument/2006/relationships/hyperlink" Target="https://www.google.com/search?q=site%3Aipca.pt%20Pr&#225;ticas%20Jur&#237;dicas%20Imobili&#225;rias%20mestrado" TargetMode="External"/><Relationship Id="rId5678" Type="http://schemas.openxmlformats.org/officeDocument/2006/relationships/hyperlink" Target="https://www.google.com/search?q=site%3Aup.pt%20Engenharia%20do%20Ambiente%20mestrado%20integrado" TargetMode="External"/><Relationship Id="rId1124" Type="http://schemas.openxmlformats.org/officeDocument/2006/relationships/hyperlink" Target="https://www.google.com/search?q=site%3Aipcb.pt%20Recursos%20Animais%20CTeSP" TargetMode="External"/><Relationship Id="rId4694" Type="http://schemas.openxmlformats.org/officeDocument/2006/relationships/hyperlink" Target="https://www.google.com/search?q=site%3Aulisboa.pt%20Engenharia%20Biom&#233;dica%20e%20Biof&#237;sica%20mestrado" TargetMode="External"/><Relationship Id="rId5745" Type="http://schemas.openxmlformats.org/officeDocument/2006/relationships/hyperlink" Target="https://www.google.com/search?q=site%3Auac.pt%20Rela&#231;&#245;es%20Internacionais%3A%20O%20Espa&#231;o%20Euro&#8209;Atl&#226;ntico%20mestrado" TargetMode="External"/><Relationship Id="rId3296" Type="http://schemas.openxmlformats.org/officeDocument/2006/relationships/hyperlink" Target="https://www.google.com/search?q=site%3Aucp.pt%20Filosofia%20mestrado" TargetMode="External"/><Relationship Id="rId4347" Type="http://schemas.openxmlformats.org/officeDocument/2006/relationships/hyperlink" Target="https://www.google.com/search?q=site%3Auc.pt%20Biologia%20Computacional%20mestrado" TargetMode="External"/><Relationship Id="rId4761" Type="http://schemas.openxmlformats.org/officeDocument/2006/relationships/hyperlink" Target="https://www.google.com/search?q=site%3Aulisboa.pt%20Gest&#227;o%20/%20MBA%20mestrado" TargetMode="External"/><Relationship Id="rId3363" Type="http://schemas.openxmlformats.org/officeDocument/2006/relationships/hyperlink" Target="https://www.google.com/search?q=site%3Aucp.pt%20Log&#237;stica%20e%20Cadeia%20de%20Abastecimento%20p&#243;s-gradua&#231;&#227;o" TargetMode="External"/><Relationship Id="rId4414" Type="http://schemas.openxmlformats.org/officeDocument/2006/relationships/hyperlink" Target="https://www.google.com/search?q=site%3Auc.pt%20Exerc&#237;cio%20e%20Sa&#250;de%20em%20Popula&#231;&#245;es%20Especiais%20mestrado" TargetMode="External"/><Relationship Id="rId284" Type="http://schemas.openxmlformats.org/officeDocument/2006/relationships/hyperlink" Target="https://www.google.com/search?q=site%3Aesscvp.eu%20Gest&#227;o%20de%20Servi&#231;os%20de%20Sa&#250;de%20p&#243;s-gradua&#231;&#227;o" TargetMode="External"/><Relationship Id="rId3016" Type="http://schemas.openxmlformats.org/officeDocument/2006/relationships/hyperlink" Target="https://www.google.com/search?q=site%3Aiscet.pt%20Marketing%20e%20Com&#233;rcio%20Internacional%20p&#243;s-gradua&#231;&#227;o" TargetMode="External"/><Relationship Id="rId3430" Type="http://schemas.openxmlformats.org/officeDocument/2006/relationships/hyperlink" Target="https://www.google.com/search?q=site%3Aeuropeia.pt%20Branding%20e%20Estrat&#233;gia%20mestrado" TargetMode="External"/><Relationship Id="rId5188" Type="http://schemas.openxmlformats.org/officeDocument/2006/relationships/hyperlink" Target="https://www.google.com/search?q=site%3Auevora.pt%20Engenharia%20Inform&#225;tica%20mestrado" TargetMode="External"/><Relationship Id="rId351" Type="http://schemas.openxmlformats.org/officeDocument/2006/relationships/hyperlink" Target="https://www.google.com/search?q=site%3Asantamaria.pt%20Gest&#227;o%20de%20Dados%20e%20Tecnologias%20em%20Sa&#250;de%20licenciatura" TargetMode="External"/><Relationship Id="rId2032" Type="http://schemas.openxmlformats.org/officeDocument/2006/relationships/hyperlink" Target="https://www.google.com/search?q=site%3Aips.pt%20Educa&#231;&#227;o%20Pr&#233;-Escolar%20e%20Ensino%20do%201.&#186;%20Ciclo%20do%20Ensino%20B&#225;sico%20mestrado" TargetMode="External"/><Relationship Id="rId1798" Type="http://schemas.openxmlformats.org/officeDocument/2006/relationships/hyperlink" Target="https://www.google.com/search?q=site%3Aipportalegre.pt%20L&#237;nguas%20Aplicadas%20em%20Comunica&#231;&#227;o%20Digital%20licenciatura" TargetMode="External"/><Relationship Id="rId2849" Type="http://schemas.openxmlformats.org/officeDocument/2006/relationships/hyperlink" Target="https://www.google.com/search?q=site%3Aipam.pt%20Gest&#227;o%20de%20Neg&#243;cios%20mestrado" TargetMode="External"/><Relationship Id="rId5255" Type="http://schemas.openxmlformats.org/officeDocument/2006/relationships/hyperlink" Target="https://www.google.com/search?q=site%3Aualg.pt%20Est&#233;tica%2C%20Cosm&#233;tica%20e%20Bem-Estar%20CTeSP" TargetMode="External"/><Relationship Id="rId1865" Type="http://schemas.openxmlformats.org/officeDocument/2006/relationships/hyperlink" Target="https://www.google.com/search?q=site%3Aipsantarem.pt%20Contabilidade%20e%20Fiscalidade%20licenciatura" TargetMode="External"/><Relationship Id="rId4271" Type="http://schemas.openxmlformats.org/officeDocument/2006/relationships/hyperlink" Target="https://www.google.com/search?q=site%3Auc.pt%20Administra&#231;&#227;o%20P&#250;blica%20licenciatura" TargetMode="External"/><Relationship Id="rId5322" Type="http://schemas.openxmlformats.org/officeDocument/2006/relationships/hyperlink" Target="https://www.google.com/search?q=site%3Aualg.pt%20Arqueologia%20mestrado" TargetMode="External"/><Relationship Id="rId1518" Type="http://schemas.openxmlformats.org/officeDocument/2006/relationships/hyperlink" Target="https://www.google.com/search?q=site%3Aipleiria.pt%20Dire&#231;&#227;o%20e%20Gest&#227;o%20de%20Organiza&#231;&#245;es%20de%20Interven&#231;&#227;o%20Social%20mestrado" TargetMode="External"/><Relationship Id="rId2916" Type="http://schemas.openxmlformats.org/officeDocument/2006/relationships/hyperlink" Target="https://www.google.com/search?q=site%3Aismt.pt%20Gest&#227;o%20de%20Autarquias%20Locais%20em%20tempos%20desafiadores%20&#8211;%20NOVA%20PG%20p&#243;s-gradua&#231;&#227;o" TargetMode="External"/><Relationship Id="rId1932" Type="http://schemas.openxmlformats.org/officeDocument/2006/relationships/hyperlink" Target="https://www.google.com/search?q=site%3Acespu.pt%20Osteopatia%20licenciatura" TargetMode="External"/><Relationship Id="rId3757" Type="http://schemas.openxmlformats.org/officeDocument/2006/relationships/hyperlink" Target="https://www.google.com/search?q=site%3Alusofona.pt%20Aprendizagem%20da%20Matem&#225;tica%20&#8211;%20do%20ensino%20&#224;s%20dificuldades%20p&#243;s-gradua&#231;&#227;o" TargetMode="External"/><Relationship Id="rId4808" Type="http://schemas.openxmlformats.org/officeDocument/2006/relationships/hyperlink" Target="https://www.google.com/search?q=site%3Aulisboa.pt%20Museologia%20e%20Museografia%20mestrado" TargetMode="External"/><Relationship Id="rId678" Type="http://schemas.openxmlformats.org/officeDocument/2006/relationships/hyperlink" Target="https://www.google.com/search?q=site%3Aiees.pt%20Tecnologias%20e%20Programa&#231;&#227;o%20de%20Sistemas%20de%20Informa&#231;&#227;o%20CTeSP" TargetMode="External"/><Relationship Id="rId2359" Type="http://schemas.openxmlformats.org/officeDocument/2006/relationships/hyperlink" Target="https://www.google.com/search?q=site%3Aipv.pt%20Gest&#227;o%20Industrial%20licenciatura" TargetMode="External"/><Relationship Id="rId2773" Type="http://schemas.openxmlformats.org/officeDocument/2006/relationships/hyperlink" Target="https://www.google.com/search?q=site%3Aipp.pt%20Sa&#250;de%20Translacional%20mestrado" TargetMode="External"/><Relationship Id="rId3824" Type="http://schemas.openxmlformats.org/officeDocument/2006/relationships/hyperlink" Target="https://www.google.com/search?q=site%3Aunl.pt%20Engenharia%20F&#237;sica%20licenciatura" TargetMode="External"/><Relationship Id="rId745" Type="http://schemas.openxmlformats.org/officeDocument/2006/relationships/hyperlink" Target="https://www.google.com/search?q=site%3Aipg.pt%20Testes%20de%20Software%20CTeSP" TargetMode="External"/><Relationship Id="rId1375" Type="http://schemas.openxmlformats.org/officeDocument/2006/relationships/hyperlink" Target="https://www.google.com/search?q=site%3Aipleiria.pt%20Alimenta&#231;&#227;o%20Saud&#225;vel%20CTeSP" TargetMode="External"/><Relationship Id="rId2426" Type="http://schemas.openxmlformats.org/officeDocument/2006/relationships/hyperlink" Target="https://www.google.com/search?q=site%3Aipca.pt%20Design%20de%20Jogos%20Digitais%20CTeSP" TargetMode="External"/><Relationship Id="rId81" Type="http://schemas.openxmlformats.org/officeDocument/2006/relationships/hyperlink" Target="https://www.google.com/search?q=site%3Ajoaodedeus.pt%20Anima&#231;&#227;o%20Sociocultural%20Aplicada%20&#224;%20Gerontologia%20CTeSP" TargetMode="External"/><Relationship Id="rId812" Type="http://schemas.openxmlformats.org/officeDocument/2006/relationships/hyperlink" Target="https://www.google.com/search?q=site%3Aipluso.pt%20Contabilidade%20e%20Gest&#227;o%20CTeSP" TargetMode="External"/><Relationship Id="rId1028" Type="http://schemas.openxmlformats.org/officeDocument/2006/relationships/hyperlink" Target="https://www.google.com/search?q=site%3Aipb.pt%20Multim&#233;dia%20licenciatura" TargetMode="External"/><Relationship Id="rId1442" Type="http://schemas.openxmlformats.org/officeDocument/2006/relationships/hyperlink" Target="https://www.google.com/search?q=site%3Aipleiria.pt%20Anima&#231;&#227;o%20Tur&#237;stica%20licenciatura" TargetMode="External"/><Relationship Id="rId2840" Type="http://schemas.openxmlformats.org/officeDocument/2006/relationships/hyperlink" Target="https://www.google.com/search?q=site%3Aipam.pt%20Gest&#227;o%20de%20Neg&#243;cios%20Internacionais%20CTeSP" TargetMode="External"/><Relationship Id="rId4598" Type="http://schemas.openxmlformats.org/officeDocument/2006/relationships/hyperlink" Target="https://www.google.com/search?q=site%3Aulisboa.pt%20Matem&#225;tica%20Aplicada%20e%20Computa&#231;&#227;o%20licenciatura" TargetMode="External"/><Relationship Id="rId5649" Type="http://schemas.openxmlformats.org/officeDocument/2006/relationships/hyperlink" Target="https://www.google.com/search?q=site%3Aup.pt%20Sa&#250;de%20Ocupacional%20%28regime%20de%20ensino%20a%20dist&#226;ncia%29%20mestrado" TargetMode="External"/><Relationship Id="rId3267" Type="http://schemas.openxmlformats.org/officeDocument/2006/relationships/hyperlink" Target="https://www.google.com/search?q=site%3Aucp.pt%20Ci&#234;ncia%20Pol&#237;tica%20e%20Rela&#231;&#245;es%20Internacionais%3A%20Seguran&#231;a%20e%20Defesa%20mestrado" TargetMode="External"/><Relationship Id="rId4665" Type="http://schemas.openxmlformats.org/officeDocument/2006/relationships/hyperlink" Target="https://www.google.com/search?q=site%3Aulisboa.pt%20Design%20de%20Intera&#231;&#227;o%20mestrado" TargetMode="External"/><Relationship Id="rId5716" Type="http://schemas.openxmlformats.org/officeDocument/2006/relationships/hyperlink" Target="https://www.google.com/search?q=site%3Auac.pt%20Comunica&#231;&#227;o%20de%20Ci&#234;ncia%20mestrado" TargetMode="External"/><Relationship Id="rId188" Type="http://schemas.openxmlformats.org/officeDocument/2006/relationships/hyperlink" Target="https://www.google.com/search?q=site%3Aesna.pt%20Gest&#227;o%20e%20Neg&#243;cios%20para%20PME%20CTeSP" TargetMode="External"/><Relationship Id="rId3681" Type="http://schemas.openxmlformats.org/officeDocument/2006/relationships/hyperlink" Target="https://www.google.com/search?q=site%3Alusofona.pt%20Engenharia%20Civil%20licenciatura" TargetMode="External"/><Relationship Id="rId4318" Type="http://schemas.openxmlformats.org/officeDocument/2006/relationships/hyperlink" Target="https://www.google.com/search?q=site%3Auc.pt%20L&#237;nguas%20Modernas%20licenciatura" TargetMode="External"/><Relationship Id="rId4732" Type="http://schemas.openxmlformats.org/officeDocument/2006/relationships/hyperlink" Target="https://www.google.com/search?q=site%3Aulisboa.pt%20Ensino%20de%20Hist&#243;ria%20no%203.&#186;%20Ciclo%20do%20Ensino%20B&#225;sico%20e%20no%20Ensino%20Secund&#225;rio%20mestrado" TargetMode="External"/><Relationship Id="rId2283" Type="http://schemas.openxmlformats.org/officeDocument/2006/relationships/hyperlink" Target="https://www.google.com/search?q=site%3Aipvc.pt%20Cuidados%20Paliativos%20Pedi&#225;tricos%20p&#243;s-gradua&#231;&#227;o" TargetMode="External"/><Relationship Id="rId3334" Type="http://schemas.openxmlformats.org/officeDocument/2006/relationships/hyperlink" Target="https://www.google.com/search?q=site%3Aucp.pt%20Psicologia%20e%20Desenvolvimento%20de%20Recursos%20Humanos%20mestrado" TargetMode="External"/><Relationship Id="rId255" Type="http://schemas.openxmlformats.org/officeDocument/2006/relationships/hyperlink" Target="https://www.google.com/search?q=site%3Aegasmoniz.edu.pt%20Periodontologia%20Cl&#237;nica%20Internacional%20p&#243;s-gradua&#231;&#227;o" TargetMode="External"/><Relationship Id="rId2350" Type="http://schemas.openxmlformats.org/officeDocument/2006/relationships/hyperlink" Target="https://www.google.com/search?q=site%3Aipv.pt%20Engenharia%20Civil%20licenciatura" TargetMode="External"/><Relationship Id="rId3401" Type="http://schemas.openxmlformats.org/officeDocument/2006/relationships/hyperlink" Target="https://www.google.com/search?q=site%3Aeuropeia.pt%20Direito%20licenciatura" TargetMode="External"/><Relationship Id="rId322" Type="http://schemas.openxmlformats.org/officeDocument/2006/relationships/hyperlink" Target="https://www.google.com/search?q=site%3Aesscvp.eu%20Osteopatia%20Materno&#8209;Infantil%20p&#243;s-gradua&#231;&#227;o" TargetMode="External"/><Relationship Id="rId2003" Type="http://schemas.openxmlformats.org/officeDocument/2006/relationships/hyperlink" Target="https://www.google.com/search?q=site%3Aips.pt%20Contabilidade%20e%20Finan&#231;as%20licenciatura" TargetMode="External"/><Relationship Id="rId5159" Type="http://schemas.openxmlformats.org/officeDocument/2006/relationships/hyperlink" Target="https://www.google.com/search?q=site%3Auevora.pt%20Engenharia%20de%20Energias%20Renov&#225;veis%20licenciatura" TargetMode="External"/><Relationship Id="rId5573" Type="http://schemas.openxmlformats.org/officeDocument/2006/relationships/hyperlink" Target="https://www.google.com/search?q=site%3Aup.pt%20Ensino%20de%20Ingl&#234;s%20no%203.&#186;%20Ciclo%20do%20Ensino%20B&#225;sico%20e%20no%20Ensino%20Secund&#225;rio%20mestrado" TargetMode="External"/><Relationship Id="rId4175" Type="http://schemas.openxmlformats.org/officeDocument/2006/relationships/hyperlink" Target="https://www.google.com/search?q=site%3Aismai.pt%20An&#225;lise%20do%20Jogo%20de%20Futebol%20%28regime%20de%20ensino%20a%20dist&#226;ncia%29%20mestrado" TargetMode="External"/><Relationship Id="rId5226" Type="http://schemas.openxmlformats.org/officeDocument/2006/relationships/hyperlink" Target="https://www.google.com/search?q=site%3Auevora.pt%20Cuidados%20de%20Sa&#250;de%20&#224;%20Pessoa%20em%20Situa&#231;&#227;o%20Cr&#243;nica%20p&#243;s-gradua&#231;&#227;o" TargetMode="External"/><Relationship Id="rId1769" Type="http://schemas.openxmlformats.org/officeDocument/2006/relationships/hyperlink" Target="https://www.google.com/search?q=site%3Aipportalegre.pt%20Prote&#231;&#227;o%20e%20Apoio%20&#224;%20Pessoa%20Idosa%20CTeSP" TargetMode="External"/><Relationship Id="rId3191" Type="http://schemas.openxmlformats.org/officeDocument/2006/relationships/hyperlink" Target="https://www.google.com/search?q=site%3Aautonoma.pt%20Administra&#231;&#227;o%20de%20Unidades%20de%20Sa&#250;de%20licenciatura" TargetMode="External"/><Relationship Id="rId4242" Type="http://schemas.openxmlformats.org/officeDocument/2006/relationships/hyperlink" Target="https://www.google.com/search?q=site%3Aua.pt%20Secretariado%20e%20Comunica&#231;&#227;o%20Empresarial%20licenciatura" TargetMode="External"/><Relationship Id="rId5640" Type="http://schemas.openxmlformats.org/officeDocument/2006/relationships/hyperlink" Target="https://www.google.com/search?q=site%3Aup.pt%20Psicologia%20mestrado" TargetMode="External"/><Relationship Id="rId1836" Type="http://schemas.openxmlformats.org/officeDocument/2006/relationships/hyperlink" Target="https://www.google.com/search?q=site%3Aipsantarem.pt%20Distribui&#231;&#227;o%20e%20Log&#237;stica%20CTeSP" TargetMode="External"/><Relationship Id="rId1903" Type="http://schemas.openxmlformats.org/officeDocument/2006/relationships/hyperlink" Target="https://www.google.com/search?q=site%3Aipsantarem.pt%20Ensino%20do%201.&#186;%20Ciclo%20do%20Ensino%20B&#225;sico%20e%20de%20Matem&#225;tica%20e%20Ci&#234;ncias%20Naturais%20no%202.&#186;%20Ciclo%20do%20Ensino%20B&#225;sico%20mestrado" TargetMode="External"/><Relationship Id="rId996" Type="http://schemas.openxmlformats.org/officeDocument/2006/relationships/hyperlink" Target="https://www.google.com/search?q=site%3Aipb.pt%20Design%20de%20Jogos%20Digitais%20licenciatura" TargetMode="External"/><Relationship Id="rId2677" Type="http://schemas.openxmlformats.org/officeDocument/2006/relationships/hyperlink" Target="https://www.google.com/search?q=site%3Aipp.pt%20Seguran&#231;a%20Inform&#225;tica%20em%20Redes%20de%20Computadores%20licenciatura" TargetMode="External"/><Relationship Id="rId3728" Type="http://schemas.openxmlformats.org/officeDocument/2006/relationships/hyperlink" Target="https://www.google.com/search?q=site%3Alusofona.pt%20Comunica&#231;&#227;o%20Pol&#237;tica%20mestrado" TargetMode="External"/><Relationship Id="rId5083" Type="http://schemas.openxmlformats.org/officeDocument/2006/relationships/hyperlink" Target="https://www.google.com/search?q=site%3Autad.pt%20Design%20da%20Paisagem%20com%20a%20Natureza%20mestrado" TargetMode="External"/><Relationship Id="rId649" Type="http://schemas.openxmlformats.org/officeDocument/2006/relationships/hyperlink" Target="https://www.google.com/search?q=site%3Aistec.pt%20Redes%20e%20Sistemas%20Inform&#225;ticos%20CTeSP" TargetMode="External"/><Relationship Id="rId1279" Type="http://schemas.openxmlformats.org/officeDocument/2006/relationships/hyperlink" Target="https://www.google.com/search?q=site%3Aipc.pt%20Sa&#250;de%20Ambiental%20licenciatura" TargetMode="External"/><Relationship Id="rId5150" Type="http://schemas.openxmlformats.org/officeDocument/2006/relationships/hyperlink" Target="https://www.google.com/search?q=site%3Auevora.pt%20Ci&#234;ncias%20Biom&#233;dicas%20e%20da%20Sa&#250;de%20licenciatura" TargetMode="External"/><Relationship Id="rId1346" Type="http://schemas.openxmlformats.org/officeDocument/2006/relationships/hyperlink" Target="https://www.google.com/search?q=site%3Aipc.pt%20Comunica&#231;&#227;o%20Digital%20p&#243;s-gradua&#231;&#227;o" TargetMode="External"/><Relationship Id="rId1693" Type="http://schemas.openxmlformats.org/officeDocument/2006/relationships/hyperlink" Target="https://www.google.com/search?q=site%3Aipl.pt%20Farm&#225;cia%20mestrado" TargetMode="External"/><Relationship Id="rId2744" Type="http://schemas.openxmlformats.org/officeDocument/2006/relationships/hyperlink" Target="https://www.google.com/search?q=site%3Aipp.pt%20Farm&#225;cia%20mestrado" TargetMode="External"/><Relationship Id="rId716" Type="http://schemas.openxmlformats.org/officeDocument/2006/relationships/hyperlink" Target="https://www.google.com/search?q=site%3Aipg.pt%20Cozinha%20e%20Produ&#231;&#227;o%20Alimentar%20CTeSP" TargetMode="External"/><Relationship Id="rId1760" Type="http://schemas.openxmlformats.org/officeDocument/2006/relationships/hyperlink" Target="https://www.google.com/search?q=site%3Aipportalegre.pt%20Desporto%20e%20Forma&#231;&#227;o%20Equestre%20CTeSP" TargetMode="External"/><Relationship Id="rId2811" Type="http://schemas.openxmlformats.org/officeDocument/2006/relationships/hyperlink" Target="https://www.google.com/search?q=site%3Aipp.pt%20Gest&#227;o%20de%20Projetos%20Sustent&#225;veis%20p&#243;s-gradua&#231;&#227;o" TargetMode="External"/><Relationship Id="rId52" Type="http://schemas.openxmlformats.org/officeDocument/2006/relationships/hyperlink" Target="https://www.google.com/search?q=site%3Aesap.pt%20Arquitetura%20mestrado%20integrado" TargetMode="External"/><Relationship Id="rId1413" Type="http://schemas.openxmlformats.org/officeDocument/2006/relationships/hyperlink" Target="https://www.google.com/search?q=site%3Aipleiria.pt%20Neg&#243;cios%20Digitais%20CTeSP" TargetMode="External"/><Relationship Id="rId4569" Type="http://schemas.openxmlformats.org/officeDocument/2006/relationships/hyperlink" Target="https://www.google.com/search?q=site%3Aulisboa.pt%20Engenharia%20do%20Ambiente%20%28ULisboa%20e%20SHU%29%20licenciatura" TargetMode="External"/><Relationship Id="rId4983" Type="http://schemas.openxmlformats.org/officeDocument/2006/relationships/hyperlink" Target="https://www.google.com/search?q=site%3Aulisboa.pt%20Pharmaceutical%20Marketing%20and%20Business%20Innovation%20p&#243;s-gradua&#231;&#227;o" TargetMode="External"/><Relationship Id="rId3585" Type="http://schemas.openxmlformats.org/officeDocument/2006/relationships/hyperlink" Target="https://www.google.com/search?q=site%3Aulusiada.pt%20Jazz%20e%20M&#250;sica%20Moderna%20licenciatura" TargetMode="External"/><Relationship Id="rId4636" Type="http://schemas.openxmlformats.org/officeDocument/2006/relationships/hyperlink" Target="https://www.google.com/search?q=site%3Aulisboa.pt%20Ci&#234;ncia%20e%20Engenharia%20Moleculares%20mestrado" TargetMode="External"/><Relationship Id="rId2187" Type="http://schemas.openxmlformats.org/officeDocument/2006/relationships/hyperlink" Target="https://www.google.com/search?q=site%3Aipvc.pt%20Modela&#231;&#227;o%20e%20Gest&#227;o%20de%20Informa&#231;&#227;o%20em%20Edif&#237;cios%20CTeSP" TargetMode="External"/><Relationship Id="rId3238" Type="http://schemas.openxmlformats.org/officeDocument/2006/relationships/hyperlink" Target="https://www.google.com/search?q=site%3Aucp.pt%20Economia%20e%20Finan&#231;as%20&#8211;%20Licenciatura%20Internacional%20licenciatura" TargetMode="External"/><Relationship Id="rId3652" Type="http://schemas.openxmlformats.org/officeDocument/2006/relationships/hyperlink" Target="https://www.google.com/search?q=site%3Alusofona.pt%20Bioqu&#237;mica%20licenciatura" TargetMode="External"/><Relationship Id="rId4703" Type="http://schemas.openxmlformats.org/officeDocument/2006/relationships/hyperlink" Target="https://www.google.com/search?q=site%3Aulisboa.pt%20Engenharia%20F&#237;sica%20Tecnol&#243;gica%20mestrado" TargetMode="External"/><Relationship Id="rId159" Type="http://schemas.openxmlformats.org/officeDocument/2006/relationships/hyperlink" Target="https://www.google.com/search?q=site%3Asjcluny.org%20Enfermagem%20de%20Sa&#250;de%20Infantil%20e%20Pedi&#225;trica%20mestrado" TargetMode="External"/><Relationship Id="rId573" Type="http://schemas.openxmlformats.org/officeDocument/2006/relationships/hyperlink" Target="https://www.google.com/search?q=site%3Aiseclisboa.pt%20Arte%20de%20Contar%20Est&#243;rias%20p&#243;s-gradua&#231;&#227;o" TargetMode="External"/><Relationship Id="rId2254" Type="http://schemas.openxmlformats.org/officeDocument/2006/relationships/hyperlink" Target="https://www.google.com/search?q=site%3Aipvc.pt%20Enfermagem%20Veterin&#225;ria%20em%20Animais%20de%20Companhia%20mestrado" TargetMode="External"/><Relationship Id="rId3305" Type="http://schemas.openxmlformats.org/officeDocument/2006/relationships/hyperlink" Target="https://www.google.com/search?q=site%3Aucp.pt%20Gest&#227;o%20Sustent&#225;vel%20da%20Qualidade%20Alimentar%20mestrado" TargetMode="External"/><Relationship Id="rId226" Type="http://schemas.openxmlformats.org/officeDocument/2006/relationships/hyperlink" Target="https://www.google.com/search?q=site%3Aegasmoniz.edu.pt%20Aquacultura%20Sustent&#225;vel%20mestrado" TargetMode="External"/><Relationship Id="rId1270" Type="http://schemas.openxmlformats.org/officeDocument/2006/relationships/hyperlink" Target="https://www.google.com/search?q=site%3Aipc.pt%20Gest&#227;o%20de%20Empresas%20licenciatura" TargetMode="External"/><Relationship Id="rId5477" Type="http://schemas.openxmlformats.org/officeDocument/2006/relationships/hyperlink" Target="https://www.google.com/search?q=site%3Aup.pt%20Artes%20Pl&#225;sticas%20mestrado" TargetMode="External"/><Relationship Id="rId640" Type="http://schemas.openxmlformats.org/officeDocument/2006/relationships/hyperlink" Target="https://www.google.com/search?q=site%3Aispa.pt%20Literacia%20em%20Sa&#250;de%20na%20Pr&#225;tica%3A%20Modelos%2C%20estrat&#233;gias%20e%20interven&#231;&#227;o%20p&#243;s-gradua&#231;&#227;o" TargetMode="External"/><Relationship Id="rId2321" Type="http://schemas.openxmlformats.org/officeDocument/2006/relationships/hyperlink" Target="https://www.google.com/search?q=site%3Aipv.pt%20Modela&#231;&#227;o%20e%20Gest&#227;o%20do%20Espa&#231;o%20Urbano%20CTeSP" TargetMode="External"/><Relationship Id="rId4079" Type="http://schemas.openxmlformats.org/officeDocument/2006/relationships/hyperlink" Target="https://www.google.com/search?q=site%3Aunl.pt%20Pol&#237;tica%20Internacional%2C%20Diplomacia%20e%20Seguran&#231;a%20%28b&#8209;Learning%29%20p&#243;s-gradua&#231;&#227;o" TargetMode="External"/><Relationship Id="rId4493" Type="http://schemas.openxmlformats.org/officeDocument/2006/relationships/hyperlink" Target="https://www.google.com/search?q=site%3Auc.pt%20Turismo%20Sustent&#225;vel%2C%20Patrim&#243;nio%20e%20Desenvolvimento%20mestrado" TargetMode="External"/><Relationship Id="rId5544" Type="http://schemas.openxmlformats.org/officeDocument/2006/relationships/hyperlink" Target="https://www.google.com/search?q=site%3Aup.pt%20Engenharia%20Eletrot&#233;cnica%20e%20de%20Computadores%20mestrado" TargetMode="External"/><Relationship Id="rId3095" Type="http://schemas.openxmlformats.org/officeDocument/2006/relationships/hyperlink" Target="https://www.google.com/search?q=site%3Acespu.pt%20Ci&#234;ncias%20Forenses%20licenciatura" TargetMode="External"/><Relationship Id="rId4146" Type="http://schemas.openxmlformats.org/officeDocument/2006/relationships/hyperlink" Target="https://www.google.com/search?q=site%3Aubi.pt%20Marketing%20licenciatura" TargetMode="External"/><Relationship Id="rId4560" Type="http://schemas.openxmlformats.org/officeDocument/2006/relationships/hyperlink" Target="https://www.google.com/search?q=site%3Aulisboa.pt%20Engenharia%20Mec&#226;nica%20licenciatura" TargetMode="External"/><Relationship Id="rId5611" Type="http://schemas.openxmlformats.org/officeDocument/2006/relationships/hyperlink" Target="https://www.google.com/search?q=site%3Aup.pt%20Inform&#225;tica%20da%20Sa&#250;de%20mestrado" TargetMode="External"/><Relationship Id="rId1807" Type="http://schemas.openxmlformats.org/officeDocument/2006/relationships/hyperlink" Target="https://www.google.com/search?q=site%3Aipportalegre.pt%20Educa&#231;&#227;o%20Pr&#233;&#8209;Escolar%20mestrado" TargetMode="External"/><Relationship Id="rId3162" Type="http://schemas.openxmlformats.org/officeDocument/2006/relationships/hyperlink" Target="https://www.google.com/search?q=site%3Auab.pt%20Matem&#225;tica%20e%20Aplica&#231;&#245;es%20licenciatura" TargetMode="External"/><Relationship Id="rId4213" Type="http://schemas.openxmlformats.org/officeDocument/2006/relationships/hyperlink" Target="https://www.google.com/search?q=site%3Aua.pt%20Inform&#225;tica%20e%20Comunica&#231;&#227;o%20Organizacional%20CTeSP" TargetMode="External"/><Relationship Id="rId150" Type="http://schemas.openxmlformats.org/officeDocument/2006/relationships/hyperlink" Target="https://www.google.com/search?q=site%3Aesel.pt%20Enfermagem%20do%20Desporto%20p&#243;s-gradua&#231;&#227;o" TargetMode="External"/><Relationship Id="rId3979" Type="http://schemas.openxmlformats.org/officeDocument/2006/relationships/hyperlink" Target="https://www.google.com/search?q=site%3Aunl.pt%20Microbiologia%20M&#233;dica%20mestrado" TargetMode="External"/><Relationship Id="rId2995" Type="http://schemas.openxmlformats.org/officeDocument/2006/relationships/hyperlink" Target="https://www.google.com/search?q=site%3Aisced.pt%20Produ&#231;&#227;o%20Audiovisual%20e%20Multim&#233;dia%20p&#243;s-gradua&#231;&#227;o" TargetMode="External"/><Relationship Id="rId5054" Type="http://schemas.openxmlformats.org/officeDocument/2006/relationships/hyperlink" Target="https://www.google.com/search?q=site%3Autad.pt%20Psicologia%20licenciatura" TargetMode="External"/><Relationship Id="rId967" Type="http://schemas.openxmlformats.org/officeDocument/2006/relationships/hyperlink" Target="https://www.google.com/search?q=site%3Aipb.pt%20Gest&#227;o%20de%20Turismo%20CTeSP" TargetMode="External"/><Relationship Id="rId1597" Type="http://schemas.openxmlformats.org/officeDocument/2006/relationships/hyperlink" Target="https://www.google.com/search?q=site%3Aipleiria.pt%20Inform&#225;tica%20de%20Seguran&#231;a%20e%20Computa&#231;&#227;o%20Forense%20p&#243;s-gradua&#231;&#227;o" TargetMode="External"/><Relationship Id="rId2648" Type="http://schemas.openxmlformats.org/officeDocument/2006/relationships/hyperlink" Target="https://www.google.com/search?q=site%3Aipp.pt%20Engenharia%20de%20Telecomunica&#231;&#245;es%20e%20Inform&#225;tica%20licenciatura" TargetMode="External"/><Relationship Id="rId1664" Type="http://schemas.openxmlformats.org/officeDocument/2006/relationships/hyperlink" Target="https://www.google.com/search?q=site%3Aipl.pt%20Ci&#234;ncias%20Jur&#237;dicas%20Aplicadas%20e%20Gest&#227;o%20mestrado" TargetMode="External"/><Relationship Id="rId2715" Type="http://schemas.openxmlformats.org/officeDocument/2006/relationships/hyperlink" Target="https://www.google.com/search?q=site%3Aipp.pt%20Educa&#231;&#227;o%20Especial%3A%20Multidefici&#234;ncia%20e%20Problemas%20de%20Cogni&#231;&#227;o%20mestrado" TargetMode="External"/><Relationship Id="rId4070" Type="http://schemas.openxmlformats.org/officeDocument/2006/relationships/hyperlink" Target="https://www.google.com/search?q=site%3Aunl.pt%20Gest&#227;o%20&#8211;%20P&#243;s&#8209;Gradua&#231;&#227;o%20Online%20p&#243;s-gradua&#231;&#227;o" TargetMode="External"/><Relationship Id="rId5121" Type="http://schemas.openxmlformats.org/officeDocument/2006/relationships/hyperlink" Target="https://www.google.com/search?q=site%3Autad.pt%20Maneio%20e%20Gest&#227;o%20de%20Animais%20Selvagens%20em%20Cativeiro%20mestrado" TargetMode="External"/><Relationship Id="rId1317" Type="http://schemas.openxmlformats.org/officeDocument/2006/relationships/hyperlink" Target="https://www.google.com/search?q=site%3Aipc.pt%20Fisiologia%20Cl&#237;nica%20&#8211;%20esp.%20Ultrassonografia%20Card&#237;aca%20e%20Fun&#231;&#227;o%20Vascular%20/%20Fisiopatologia%20do%20Sono%20e%20Ventila&#231;&#227;o%20N&#227;o%20Invasiva%20/%20Eletroencefalografia%20Aplicada%20mestrado" TargetMode="External"/><Relationship Id="rId1731" Type="http://schemas.openxmlformats.org/officeDocument/2006/relationships/hyperlink" Target="https://www.google.com/search?q=site%3Aipl.pt%20Especializa&#231;&#227;o%20em%20Engenharia%20Ferrovi&#225;ria%20p&#243;s-gradua&#231;&#227;o" TargetMode="External"/><Relationship Id="rId4887" Type="http://schemas.openxmlformats.org/officeDocument/2006/relationships/hyperlink" Target="https://www.google.com/search?q=site%3Aulisboa.pt%20Arte%20Sonora%3A%20Processos%20Experimentais%20p&#243;s-gradua&#231;&#227;o" TargetMode="External"/><Relationship Id="rId23" Type="http://schemas.openxmlformats.org/officeDocument/2006/relationships/hyperlink" Target="https://www.google.com/search?q=site%3Auatlantica.pt%20P&#243;s-Gradua&#231;&#227;o%20em%20Gest&#227;o%20de%20Companhias%20A&#233;reas%20p&#243;s-gradua&#231;&#227;o" TargetMode="External"/><Relationship Id="rId3489" Type="http://schemas.openxmlformats.org/officeDocument/2006/relationships/hyperlink" Target="https://www.google.com/search?q=site%3Aeuropeia.pt%20P&#243;s&#8209;Gradua&#231;&#227;o%20em%20Gest&#227;o%20p&#243;s-gradua&#231;&#227;o" TargetMode="External"/><Relationship Id="rId3556" Type="http://schemas.openxmlformats.org/officeDocument/2006/relationships/hyperlink" Target="https://www.google.com/search?q=site%3Aufp.pt%20Neonatologia%20p&#243;s-gradua&#231;&#227;o" TargetMode="External"/><Relationship Id="rId4954" Type="http://schemas.openxmlformats.org/officeDocument/2006/relationships/hyperlink" Target="https://www.google.com/search?q=site%3Aulisboa.pt%20Gest&#227;o%20de%20Recursos%20Humanos%20p&#243;s-gradua&#231;&#227;o" TargetMode="External"/><Relationship Id="rId477" Type="http://schemas.openxmlformats.org/officeDocument/2006/relationships/hyperlink" Target="https://www.google.com/search?q=site%3Aiscte-iul.pt%20Marketing%20Management%20p&#243;s-gradua&#231;&#227;o%20executiva" TargetMode="External"/><Relationship Id="rId2158" Type="http://schemas.openxmlformats.org/officeDocument/2006/relationships/hyperlink" Target="https://www.google.com/search?q=site%3Aipvc.pt%20An&#225;lises%20e%20Gest&#227;o%20Laboratorial%20CTeSP" TargetMode="External"/><Relationship Id="rId3209" Type="http://schemas.openxmlformats.org/officeDocument/2006/relationships/hyperlink" Target="https://www.google.com/search?q=site%3Aautonoma.pt%20Gest&#227;o%20de%20Empresas%20mestrado" TargetMode="External"/><Relationship Id="rId3970" Type="http://schemas.openxmlformats.org/officeDocument/2006/relationships/hyperlink" Target="https://www.google.com/search?q=site%3Aunl.pt%20Literaturas%20e%20Culturas%20Modernas%20mestrado" TargetMode="External"/><Relationship Id="rId4607" Type="http://schemas.openxmlformats.org/officeDocument/2006/relationships/hyperlink" Target="https://www.google.com/search?q=site%3Aulisboa.pt%20Reabilita&#231;&#227;o%20Psicomotora%20licenciatura" TargetMode="External"/><Relationship Id="rId891" Type="http://schemas.openxmlformats.org/officeDocument/2006/relationships/hyperlink" Target="https://www.google.com/search?q=site%3Aipbeja.pt%20Tecnologias%20Agroambientais%20e%20Sustentabilidade%20CTeSP" TargetMode="External"/><Relationship Id="rId2572" Type="http://schemas.openxmlformats.org/officeDocument/2006/relationships/hyperlink" Target="https://www.google.com/search?q=site%3Aipp.pt%20Desenvolvimento%20para%20a%20Web%20e%20Dispositivos%20M&#243;veis%20CTeSP" TargetMode="External"/><Relationship Id="rId3623" Type="http://schemas.openxmlformats.org/officeDocument/2006/relationships/hyperlink" Target="https://www.google.com/search?q=site%3Aulusiada.pt%20Enfermagem%20do%20Trabalho%20&#8211;%207.&#170;%20edi&#231;&#227;o%20p&#243;s-gradua&#231;&#227;o" TargetMode="External"/><Relationship Id="rId544" Type="http://schemas.openxmlformats.org/officeDocument/2006/relationships/hyperlink" Target="https://www.google.com/search?q=site%3Aiseclisboa.pt%20Transportes%20e%20Log&#237;stica%20CTeSP" TargetMode="External"/><Relationship Id="rId1174" Type="http://schemas.openxmlformats.org/officeDocument/2006/relationships/hyperlink" Target="https://www.google.com/search?q=site%3Aipcb.pt%20Engenharia%20Inform&#225;tica%20&#8211;%20&#193;rea%20de%20especializa&#231;&#227;o%20em%20Desenvolvimento%20de%20Software%20e%20Sistemas%20Interativos%20mestrado" TargetMode="External"/><Relationship Id="rId2225" Type="http://schemas.openxmlformats.org/officeDocument/2006/relationships/hyperlink" Target="https://www.google.com/search?q=site%3Aipvc.pt%20Fisioterapia%20licenciatura" TargetMode="External"/><Relationship Id="rId5795" Type="http://schemas.openxmlformats.org/officeDocument/2006/relationships/hyperlink" Target="https://www.google.com/search?q=site%3Aium.pt%20Ci&#234;ncias%20Militares%20Navais%2C%20ramo%20de%20Marinha%20e%20Fuzileiros%20licenciatura" TargetMode="External"/><Relationship Id="rId611" Type="http://schemas.openxmlformats.org/officeDocument/2006/relationships/hyperlink" Target="https://www.google.com/search?q=site%3Aisla.pt%20Gest&#227;o%20de%20Servi&#231;os%20de%20Sa&#250;de%20p&#243;s-gradua&#231;&#227;o" TargetMode="External"/><Relationship Id="rId1241" Type="http://schemas.openxmlformats.org/officeDocument/2006/relationships/hyperlink" Target="https://www.google.com/search?q=site%3Aipc.pt%20Assessoria%20de%20Dire&#231;&#227;o%20licenciatura" TargetMode="External"/><Relationship Id="rId4397" Type="http://schemas.openxmlformats.org/officeDocument/2006/relationships/hyperlink" Target="https://www.google.com/search?q=site%3Auc.pt%20Ensino%20de%20Geografia%20no%203&#186;%20ciclo%20do%20Ensino%20B&#225;sico%20e%20no%20Ensino%20Secund&#225;rio%20mestrado" TargetMode="External"/><Relationship Id="rId5448" Type="http://schemas.openxmlformats.org/officeDocument/2006/relationships/hyperlink" Target="https://www.google.com/search?q=site%3Aup.pt%20Engenharia%20e%20Biotecnologia%20Florestal%20licenciatura" TargetMode="External"/><Relationship Id="rId4464" Type="http://schemas.openxmlformats.org/officeDocument/2006/relationships/hyperlink" Target="https://www.google.com/search?q=site%3Auc.pt%20Psicologia%20Cl&#237;nica%20Sist&#233;mica%20e%20da%20Sa&#250;de%20mestrado" TargetMode="External"/><Relationship Id="rId5515" Type="http://schemas.openxmlformats.org/officeDocument/2006/relationships/hyperlink" Target="https://www.google.com/search?q=site%3Aup.pt%20Criminologia%20mestrado" TargetMode="External"/><Relationship Id="rId3066" Type="http://schemas.openxmlformats.org/officeDocument/2006/relationships/hyperlink" Target="https://www.google.com/search?q=site%3Aisg.pt%20Economia%20licenciatura" TargetMode="External"/><Relationship Id="rId3480" Type="http://schemas.openxmlformats.org/officeDocument/2006/relationships/hyperlink" Target="https://www.google.com/search?q=site%3Aeuropeia.pt%20P&#243;s&#8209;Gradua&#231;&#227;o%20em%20Ci&#234;ncia%20Pol&#237;tica%20p&#243;s-gradua&#231;&#227;o" TargetMode="External"/><Relationship Id="rId4117" Type="http://schemas.openxmlformats.org/officeDocument/2006/relationships/hyperlink" Target="https://www.google.com/search?q=site%3Aupt.pt%20Marketing%20Digital%2C%20Business%20Intelligence%20%26%20IA%20p&#243;s-gradua&#231;&#227;o" TargetMode="External"/><Relationship Id="rId4531" Type="http://schemas.openxmlformats.org/officeDocument/2006/relationships/hyperlink" Target="https://www.google.com/search?q=site%3Aulisboa.pt%20Ci&#234;ncias%20da%20Sa&#250;de%20licenciatura" TargetMode="External"/><Relationship Id="rId2082" Type="http://schemas.openxmlformats.org/officeDocument/2006/relationships/hyperlink" Target="https://www.google.com/search?q=site%3Aipt.pt%20Energias%20Renov&#225;veis%20CTeSP" TargetMode="External"/><Relationship Id="rId3133" Type="http://schemas.openxmlformats.org/officeDocument/2006/relationships/hyperlink" Target="https://www.google.com/search?q=site%3Acespu.pt%20Nutri&#231;&#227;o%20Funcional%20e%20Suplementa&#231;&#227;o%20Individualizada%20na%20Pr&#225;tica%20Cl&#237;nica%20&#8211;%204.&#170;%20edi&#231;&#227;o%20p&#243;s-gradua&#231;&#227;o" TargetMode="External"/><Relationship Id="rId2899" Type="http://schemas.openxmlformats.org/officeDocument/2006/relationships/hyperlink" Target="https://www.google.com/search?q=site%3Aismat.pt%20Gest&#227;o%20de%20Empresas%20licenciatura" TargetMode="External"/><Relationship Id="rId3200" Type="http://schemas.openxmlformats.org/officeDocument/2006/relationships/hyperlink" Target="https://www.google.com/search?q=site%3Aautonoma.pt%20Hist&#243;ria%20licenciatura" TargetMode="External"/><Relationship Id="rId121" Type="http://schemas.openxmlformats.org/officeDocument/2006/relationships/hyperlink" Target="https://www.google.com/search?q=site%3Aesepf.pt%20Interven&#231;&#227;o%20Comunit&#225;ria%20mestrado" TargetMode="External"/><Relationship Id="rId2966" Type="http://schemas.openxmlformats.org/officeDocument/2006/relationships/hyperlink" Target="https://www.google.com/search?q=site%3Aisced.pt%20Enografia%20e%20Enoturismo%20CTeSP" TargetMode="External"/><Relationship Id="rId5372" Type="http://schemas.openxmlformats.org/officeDocument/2006/relationships/hyperlink" Target="https://www.google.com/search?q=site%3Aualg.pt%20Hist&#243;ria%20do%20Mediterr&#226;neo%20Isl&#226;mico%20mestrado" TargetMode="External"/><Relationship Id="rId938" Type="http://schemas.openxmlformats.org/officeDocument/2006/relationships/hyperlink" Target="https://www.google.com/search?q=site%3Aipbeja.pt%20Turismo%20&#8211;%20Gest&#227;o%20e%20Inova&#231;&#227;o%20p&#243;s-gradua&#231;&#227;o" TargetMode="External"/><Relationship Id="rId1568" Type="http://schemas.openxmlformats.org/officeDocument/2006/relationships/hyperlink" Target="https://www.google.com/search?q=site%3Aipleiria.pt%20Utiliza&#231;&#227;o%20Pedag&#243;gica%20das%20TIC%20mestrado" TargetMode="External"/><Relationship Id="rId2619" Type="http://schemas.openxmlformats.org/officeDocument/2006/relationships/hyperlink" Target="https://www.google.com/search?q=site%3Aipp.pt%20Artes%20Visuais%20e%20Tecnologias%20Art&#237;sticas%20licenciatura" TargetMode="External"/><Relationship Id="rId5025" Type="http://schemas.openxmlformats.org/officeDocument/2006/relationships/hyperlink" Target="https://www.google.com/search?q=site%3Autad.pt%20Ci&#234;ncias%20da%20Comunica&#231;&#227;o%20licenciatura" TargetMode="External"/><Relationship Id="rId1635" Type="http://schemas.openxmlformats.org/officeDocument/2006/relationships/hyperlink" Target="https://www.google.com/search?q=site%3Aipl.pt%20Engenharia%20Mec&#226;nica%20licenciatura" TargetMode="External"/><Relationship Id="rId1982" Type="http://schemas.openxmlformats.org/officeDocument/2006/relationships/hyperlink" Target="https://www.google.com/search?q=site%3Aips.pt%20Modela&#231;&#227;o%20e%20Fabrico%20Assistidos%20por%20Computador%20CTeSP" TargetMode="External"/><Relationship Id="rId4041" Type="http://schemas.openxmlformats.org/officeDocument/2006/relationships/hyperlink" Target="https://www.google.com/search?q=site%3Aunl.pt%20Comunica&#231;&#227;o%20de%20Cultura%20e%20Ind&#250;strias%20Criativas%20p&#243;s-gradua&#231;&#227;o" TargetMode="External"/><Relationship Id="rId1702" Type="http://schemas.openxmlformats.org/officeDocument/2006/relationships/hyperlink" Target="https://www.google.com/search?q=site%3Aipl.pt%20Jornalismo%20mestrado" TargetMode="External"/><Relationship Id="rId4858" Type="http://schemas.openxmlformats.org/officeDocument/2006/relationships/hyperlink" Target="https://www.google.com/search?q=site%3Aulisboa.pt%20Treino%20de%20Alto%20Rendimento%20mestrado" TargetMode="External"/><Relationship Id="rId3874" Type="http://schemas.openxmlformats.org/officeDocument/2006/relationships/hyperlink" Target="https://www.google.com/search?q=site%3Aunl.pt%20Ci&#234;ncia%20e%20Sistemas%20de%20Informa&#231;&#227;o%20Geogr&#225;fica%20mestrado" TargetMode="External"/><Relationship Id="rId4925" Type="http://schemas.openxmlformats.org/officeDocument/2006/relationships/hyperlink" Target="https://www.google.com/search?q=site%3Aulisboa.pt%20Curso%20p&#243;s-graduado%20de%20especializa&#231;&#227;o%20em%20Implantologia%20p&#243;s-gradua&#231;&#227;o" TargetMode="External"/><Relationship Id="rId795" Type="http://schemas.openxmlformats.org/officeDocument/2006/relationships/hyperlink" Target="https://www.google.com/search?q=site%3Aipg.pt%20Tecnologia%20Industrial%20e%20Inova&#231;&#227;o%20mestrado" TargetMode="External"/><Relationship Id="rId2476" Type="http://schemas.openxmlformats.org/officeDocument/2006/relationships/hyperlink" Target="https://www.google.com/search?q=site%3Aipca.pt%20Design%20Audiovisual%20licenciatura" TargetMode="External"/><Relationship Id="rId2890" Type="http://schemas.openxmlformats.org/officeDocument/2006/relationships/hyperlink" Target="https://www.google.com/search?q=site%3Aisdd.pt%20Engenharia%20e%20Gest&#227;o%20Tecnol&#243;gica%20de%20Sistemas%20de%20Produ&#231;&#227;o%20mestrado" TargetMode="External"/><Relationship Id="rId3527" Type="http://schemas.openxmlformats.org/officeDocument/2006/relationships/hyperlink" Target="https://www.google.com/search?q=site%3Aufp.pt%20Engenharia%20Civil%20mestrado" TargetMode="External"/><Relationship Id="rId3941" Type="http://schemas.openxmlformats.org/officeDocument/2006/relationships/hyperlink" Target="https://www.google.com/search?q=site%3Aunl.pt%20Finan&#231;as%20%28mestrado%20internacional%29%20mestrado" TargetMode="External"/><Relationship Id="rId448" Type="http://schemas.openxmlformats.org/officeDocument/2006/relationships/hyperlink" Target="https://www.google.com/search?q=site%3Aiscte-iul.pt%20Tecnologias%20Digitais%20e%20Seguran&#231;a%20de%20Informa&#231;&#227;o%20licenciatura" TargetMode="External"/><Relationship Id="rId862" Type="http://schemas.openxmlformats.org/officeDocument/2006/relationships/hyperlink" Target="https://www.google.com/search?q=site%3Aipmaia.pt%20Exerc&#237;cio%20F&#237;sico%20CTeSP" TargetMode="External"/><Relationship Id="rId1078" Type="http://schemas.openxmlformats.org/officeDocument/2006/relationships/hyperlink" Target="https://www.google.com/search?q=site%3Aipb.pt%20Produtos%20Naturais%20e%20Bioaplica&#231;&#245;es%20mestrado" TargetMode="External"/><Relationship Id="rId1492" Type="http://schemas.openxmlformats.org/officeDocument/2006/relationships/hyperlink" Target="https://www.google.com/search?q=site%3Aipleiria.pt%20Turismo%20licenciatura" TargetMode="External"/><Relationship Id="rId2129" Type="http://schemas.openxmlformats.org/officeDocument/2006/relationships/hyperlink" Target="https://www.google.com/search?q=site%3Aipt.pt%20Auditoria%20e%20Finan&#231;as%20mestrado" TargetMode="External"/><Relationship Id="rId2543" Type="http://schemas.openxmlformats.org/officeDocument/2006/relationships/hyperlink" Target="https://www.google.com/search?q=site%3Aipca.pt%20Fintech%20p&#243;s-gradua&#231;&#227;o" TargetMode="External"/><Relationship Id="rId5699" Type="http://schemas.openxmlformats.org/officeDocument/2006/relationships/hyperlink" Target="https://www.google.com/search?q=site%3Auac.pt%20Estudos%20Portugueses%20e%20Ingleses%20licenciatura" TargetMode="External"/><Relationship Id="rId515" Type="http://schemas.openxmlformats.org/officeDocument/2006/relationships/hyperlink" Target="https://www.google.com/search?q=site%3Aisec.pt%20Engenharia%20Eletromec&#226;nica%20&#8211;%20esp.%20Instala&#231;&#245;es%20e%20Equipamentos%20em%20Edif&#237;cios%20mestrado" TargetMode="External"/><Relationship Id="rId1145" Type="http://schemas.openxmlformats.org/officeDocument/2006/relationships/hyperlink" Target="https://www.google.com/search?q=site%3Aipcb.pt%20Engenharia%20das%20Energias%20Renov&#225;veis%20licenciatura" TargetMode="External"/><Relationship Id="rId5766" Type="http://schemas.openxmlformats.org/officeDocument/2006/relationships/hyperlink" Target="https://www.google.com/search?q=site%3Auac.pt%20P&#243;s&#8209;Gradua&#231;&#227;o%20em%20Comunica&#231;&#227;o%20de%20Ci&#234;ncia%20p&#243;s-gradua&#231;&#227;o" TargetMode="External"/><Relationship Id="rId1212" Type="http://schemas.openxmlformats.org/officeDocument/2006/relationships/hyperlink" Target="https://www.google.com/search?q=site%3Aipc.pt%20Desenvolvimento%20de%20Aplica&#231;&#245;es%20Web%20Empresariais%20CTeSP" TargetMode="External"/><Relationship Id="rId2610" Type="http://schemas.openxmlformats.org/officeDocument/2006/relationships/hyperlink" Target="https://www.google.com/search?q=site%3Aipp.pt%20Tecnologias%20Aplicadas%20ao%20Ponto%20de%20Venda%20CTeSP" TargetMode="External"/><Relationship Id="rId4368" Type="http://schemas.openxmlformats.org/officeDocument/2006/relationships/hyperlink" Target="https://www.google.com/search?q=site%3Auc.pt%20Ecologia%20mestrado" TargetMode="External"/><Relationship Id="rId5419" Type="http://schemas.openxmlformats.org/officeDocument/2006/relationships/hyperlink" Target="https://www.google.com/search?q=site%3Aup.pt%20Ci&#234;ncia%20da%20Informa&#231;&#227;o%20licenciatura" TargetMode="External"/><Relationship Id="rId4782" Type="http://schemas.openxmlformats.org/officeDocument/2006/relationships/hyperlink" Target="https://www.google.com/search?q=site%3Aulisboa.pt%20Inform&#225;tica%20mestrado" TargetMode="External"/><Relationship Id="rId3037" Type="http://schemas.openxmlformats.org/officeDocument/2006/relationships/hyperlink" Target="https://www.google.com/search?q=site%3Aiscia.pt%20Higiene%20e%20Seguran&#231;a%20Ocupacionais%20mestrado" TargetMode="External"/><Relationship Id="rId3384" Type="http://schemas.openxmlformats.org/officeDocument/2006/relationships/hyperlink" Target="https://www.google.com/search?q=site%3Aeuropeia.pt%20Ci&#234;ncia%20de%20Dados%20e%20Gest&#227;o%20licenciatura" TargetMode="External"/><Relationship Id="rId4435" Type="http://schemas.openxmlformats.org/officeDocument/2006/relationships/hyperlink" Target="https://www.google.com/search?q=site%3Auc.pt%20Intelig&#234;ncia%20Artificial%20mestrado" TargetMode="External"/><Relationship Id="rId3451" Type="http://schemas.openxmlformats.org/officeDocument/2006/relationships/hyperlink" Target="https://www.google.com/search?q=site%3Aeuropeia.pt%20Dire&#231;&#227;o%20de%20Arte%20%28regime%20de%20ensino%20a%20dist&#226;ncia%29%20mestrado" TargetMode="External"/><Relationship Id="rId4502" Type="http://schemas.openxmlformats.org/officeDocument/2006/relationships/hyperlink" Target="https://www.google.com/search?q=site%3Auc.pt%20Engenharia%20do%20Ambiente%20mestrado%20integrado" TargetMode="External"/><Relationship Id="rId372" Type="http://schemas.openxmlformats.org/officeDocument/2006/relationships/hyperlink" Target="https://www.google.com/search?q=site%3Aessa.pt%20Terapia%20da%20Fala%20mestrado" TargetMode="External"/><Relationship Id="rId2053" Type="http://schemas.openxmlformats.org/officeDocument/2006/relationships/hyperlink" Target="https://www.google.com/search?q=site%3Aips.pt%20Inform&#225;tica%20de%20Gest&#227;o%20mestrado" TargetMode="External"/><Relationship Id="rId3104" Type="http://schemas.openxmlformats.org/officeDocument/2006/relationships/hyperlink" Target="https://www.google.com/search?q=site%3Acespu.pt%20Psicologia%20da%20Sa&#250;de%20e%20Neuropsicologia%20mestrado" TargetMode="External"/><Relationship Id="rId2120" Type="http://schemas.openxmlformats.org/officeDocument/2006/relationships/hyperlink" Target="https://www.google.com/search?q=site%3Aipt.pt%20Gest&#227;o%20da%20Edifica&#231;&#227;o%20e%20Obras%20licenciatura" TargetMode="External"/><Relationship Id="rId5276" Type="http://schemas.openxmlformats.org/officeDocument/2006/relationships/hyperlink" Target="https://www.google.com/search?q=site%3Aualg.pt%20Bioengenharia%20licenciatura" TargetMode="External"/><Relationship Id="rId5690" Type="http://schemas.openxmlformats.org/officeDocument/2006/relationships/hyperlink" Target="https://www.google.com/search?q=site%3Auac.pt%20Biologia%20licenciatura" TargetMode="External"/><Relationship Id="rId4292" Type="http://schemas.openxmlformats.org/officeDocument/2006/relationships/hyperlink" Target="https://www.google.com/search?q=site%3Auc.pt%20Engenharia%20Biom&#233;dica%20licenciatura" TargetMode="External"/><Relationship Id="rId5343" Type="http://schemas.openxmlformats.org/officeDocument/2006/relationships/hyperlink" Target="https://www.google.com/search?q=site%3Aualg.pt%20Educa&#231;&#227;o%20Social%20mestrado" TargetMode="External"/><Relationship Id="rId1886" Type="http://schemas.openxmlformats.org/officeDocument/2006/relationships/hyperlink" Target="https://www.google.com/search?q=site%3Aipsantarem.pt%20Agro&#8209;Silvo&#8209;Pastor&#237;cia%20Mediterr&#226;nica%20mestrado" TargetMode="External"/><Relationship Id="rId2937" Type="http://schemas.openxmlformats.org/officeDocument/2006/relationships/hyperlink" Target="https://www.google.com/search?q=site%3Aispgaya.pt%20Marketing%20Digital%20CTeSP" TargetMode="External"/><Relationship Id="rId909" Type="http://schemas.openxmlformats.org/officeDocument/2006/relationships/hyperlink" Target="https://www.google.com/search?q=site%3Aipbeja.pt%20Tecnologias%20Bioanal&#237;ticas%20licenciatura" TargetMode="External"/><Relationship Id="rId1539" Type="http://schemas.openxmlformats.org/officeDocument/2006/relationships/hyperlink" Target="https://www.google.com/search?q=site%3Aipleiria.pt%20Engenharia%20da%20Conce&#231;&#227;o%20e%20Desenvolvimento%20de%20Produto%20mestrado" TargetMode="External"/><Relationship Id="rId1953" Type="http://schemas.openxmlformats.org/officeDocument/2006/relationships/hyperlink" Target="https://www.google.com/search?q=site%3Acespu.pt%20Enfermagem%20no%20Desporto%20&#8211;%202.&#170;%20edi&#231;&#227;o%20p&#243;s-gradua&#231;&#227;o" TargetMode="External"/><Relationship Id="rId5410" Type="http://schemas.openxmlformats.org/officeDocument/2006/relationships/hyperlink" Target="https://www.google.com/search?q=site%3Aup.pt%20Arqueologia%20licenciatura" TargetMode="External"/><Relationship Id="rId1606" Type="http://schemas.openxmlformats.org/officeDocument/2006/relationships/hyperlink" Target="https://www.google.com/search?q=site%3Aipleiria.pt%20Registos%20e%20Notariado%20p&#243;s-gradua&#231;&#227;o" TargetMode="External"/><Relationship Id="rId4012" Type="http://schemas.openxmlformats.org/officeDocument/2006/relationships/hyperlink" Target="https://www.google.com/search?q=site%3Aunl.pt%20Tecnologias%20em%20Agricultura%20de%20Precis&#227;o%20mestrado" TargetMode="External"/><Relationship Id="rId3778" Type="http://schemas.openxmlformats.org/officeDocument/2006/relationships/hyperlink" Target="https://www.google.com/search?q=site%3Alusofona.pt%20Gest&#227;o%20e%20Dire&#231;&#227;o%20na%20Prote&#231;&#227;o%20Civil%20p&#243;s-gradua&#231;&#227;o" TargetMode="External"/><Relationship Id="rId3985" Type="http://schemas.openxmlformats.org/officeDocument/2006/relationships/hyperlink" Target="https://www.google.com/search?q=site%3Aunl.pt%20Nutri&#231;&#227;o%20Humana%20e%20Metabolismo%20mestrado" TargetMode="External"/><Relationship Id="rId4829" Type="http://schemas.openxmlformats.org/officeDocument/2006/relationships/hyperlink" Target="https://www.google.com/search?q=site%3Aulisboa.pt%20Psicopatologia%20do%20Desenvolvimento%20da%20Crian&#231;a%20e%20do%20Adolescente%20-%20Preven&#231;&#227;o%20e%20Interven&#231;&#227;o%20mestrado" TargetMode="External"/><Relationship Id="rId699" Type="http://schemas.openxmlformats.org/officeDocument/2006/relationships/hyperlink" Target="https://www.google.com/search?q=site%3Aiees.pt%20Business%20Analytics%20and%20Data%20Science%20p&#243;s-gradua&#231;&#227;o" TargetMode="External"/><Relationship Id="rId2587" Type="http://schemas.openxmlformats.org/officeDocument/2006/relationships/hyperlink" Target="https://www.google.com/search?q=site%3Aipp.pt%20Ilustra&#231;&#227;o%20e%20Produ&#231;&#227;o%20Gr&#225;fica%20CTeSP" TargetMode="External"/><Relationship Id="rId2794" Type="http://schemas.openxmlformats.org/officeDocument/2006/relationships/hyperlink" Target="https://www.google.com/search?q=site%3Aipp.pt%20Digital%20Content%20Marketing%20%26%20Analytics%20p&#243;s-gradua&#231;&#227;o" TargetMode="External"/><Relationship Id="rId3638" Type="http://schemas.openxmlformats.org/officeDocument/2006/relationships/hyperlink" Target="https://www.google.com/search?q=site%3Aulusiada.pt%20Investimento%20em%20bolsa%20p&#243;s-gradua&#231;&#227;o" TargetMode="External"/><Relationship Id="rId3845" Type="http://schemas.openxmlformats.org/officeDocument/2006/relationships/hyperlink" Target="https://www.google.com/search?q=site%3Aunl.pt%20Matem&#225;tica%20licenciatura" TargetMode="External"/><Relationship Id="rId559" Type="http://schemas.openxmlformats.org/officeDocument/2006/relationships/hyperlink" Target="https://www.google.com/search?q=site%3Aiseclisboa.pt%20Gest&#227;o%20da%20Prote&#231;&#227;o%20Civil%20e%20Seguran&#231;a%20Comunit&#225;ria%20licenciatura" TargetMode="External"/><Relationship Id="rId766" Type="http://schemas.openxmlformats.org/officeDocument/2006/relationships/hyperlink" Target="https://www.google.com/search?q=site%3Aipg.pt%20Gastronomia%20e%20Restaura&#231;&#227;o%20licenciatura" TargetMode="External"/><Relationship Id="rId1189" Type="http://schemas.openxmlformats.org/officeDocument/2006/relationships/hyperlink" Target="https://www.google.com/search?q=site%3Aipcb.pt%20Administra&#231;&#227;o%20Escolar%20p&#243;s-gradua&#231;&#227;o" TargetMode="External"/><Relationship Id="rId1396" Type="http://schemas.openxmlformats.org/officeDocument/2006/relationships/hyperlink" Target="https://www.google.com/search?q=site%3Aipleiria.pt%20Fabrico%20Digital%20e%20Impress&#227;o%203D%20CTeSP" TargetMode="External"/><Relationship Id="rId2447" Type="http://schemas.openxmlformats.org/officeDocument/2006/relationships/hyperlink" Target="https://www.google.com/search?q=site%3Aipca.pt%20Inform&#225;tica%20de%20Gest&#227;o%20Aplicada%20ao%20Setor%20Social%20CTeSP" TargetMode="External"/><Relationship Id="rId5060" Type="http://schemas.openxmlformats.org/officeDocument/2006/relationships/hyperlink" Target="https://www.google.com/search?q=site%3Autad.pt%20Tecnologias%20de%20Informa&#231;&#227;o%20e%20Comunica&#231;&#227;o%20licenciatura" TargetMode="External"/><Relationship Id="rId419" Type="http://schemas.openxmlformats.org/officeDocument/2006/relationships/hyperlink" Target="https://www.google.com/search?q=site%3Aisce.pt%20Promo&#231;&#227;o%20da%20Igualdade%20de%20G&#233;nero%20no%20Turismo%20p&#243;s-gradua&#231;&#227;o" TargetMode="External"/><Relationship Id="rId626" Type="http://schemas.openxmlformats.org/officeDocument/2006/relationships/hyperlink" Target="https://www.google.com/search?q=site%3Aispa.pt%20Educa&#231;&#227;o%20Pr&#233;&#8209;Escolar%20e%20Ensino%20do%201.&#186;%20Ciclo%20do%20Ensino%20B&#225;sico%20mestrado" TargetMode="External"/><Relationship Id="rId973" Type="http://schemas.openxmlformats.org/officeDocument/2006/relationships/hyperlink" Target="https://www.google.com/search?q=site%3Aipb.pt%20Produ&#231;&#227;o%20Agr&#237;cola%20CTeSP" TargetMode="External"/><Relationship Id="rId1049" Type="http://schemas.openxmlformats.org/officeDocument/2006/relationships/hyperlink" Target="https://www.google.com/search?q=site%3Aipb.pt%20Enfermagem%20Comunit&#225;ria%20na%20&#193;rea%20de%20Enfermagem%20de%20Sa&#250;de%20Familiar%20mestrado" TargetMode="External"/><Relationship Id="rId1256" Type="http://schemas.openxmlformats.org/officeDocument/2006/relationships/hyperlink" Target="https://www.google.com/search?q=site%3Aipc.pt%20Desporto%20e%20Lazer%20licenciatura" TargetMode="External"/><Relationship Id="rId2307" Type="http://schemas.openxmlformats.org/officeDocument/2006/relationships/hyperlink" Target="https://www.google.com/search?q=site%3Aipv.pt%20Design%20e%20Tecnologia%20de%20Mobili&#225;rio%20CTeSP" TargetMode="External"/><Relationship Id="rId2654" Type="http://schemas.openxmlformats.org/officeDocument/2006/relationships/hyperlink" Target="https://www.google.com/search?q=site%3Aipp.pt%20F&#237;sica%20Aplicada%20&#224;%20Sa&#250;de%20licenciatura" TargetMode="External"/><Relationship Id="rId2861" Type="http://schemas.openxmlformats.org/officeDocument/2006/relationships/hyperlink" Target="https://www.google.com/search?q=site%3Aipam.pt%20P&#243;s&#8209;Gradua&#231;&#227;o%20em%20Intelig&#234;ncia%20Artificial%20no%20Marketing%20p&#243;s-gradua&#231;&#227;o" TargetMode="External"/><Relationship Id="rId3705" Type="http://schemas.openxmlformats.org/officeDocument/2006/relationships/hyperlink" Target="https://www.google.com/search?q=site%3Alusofona.pt%20Sociologia%20licenciatura" TargetMode="External"/><Relationship Id="rId3912" Type="http://schemas.openxmlformats.org/officeDocument/2006/relationships/hyperlink" Target="https://www.google.com/search?q=site%3Aunl.pt%20Engenharia%20de%20Fabrico%20Digital%20Avan&#231;ado%20mestrado" TargetMode="External"/><Relationship Id="rId833" Type="http://schemas.openxmlformats.org/officeDocument/2006/relationships/hyperlink" Target="https://www.google.com/search?q=site%3Aipluso.pt%20Enfermagem%20licenciatura" TargetMode="External"/><Relationship Id="rId1116" Type="http://schemas.openxmlformats.org/officeDocument/2006/relationships/hyperlink" Target="https://www.google.com/search?q=site%3Aipcb.pt%20Desporto%20CTeSP" TargetMode="External"/><Relationship Id="rId1463" Type="http://schemas.openxmlformats.org/officeDocument/2006/relationships/hyperlink" Target="https://www.google.com/search?q=site%3Aipleiria.pt%20Engenharia%20Eletrot&#233;cnica%20e%20de%20Computadores%20%28regime%20noturno%29%20licenciatura" TargetMode="External"/><Relationship Id="rId1670" Type="http://schemas.openxmlformats.org/officeDocument/2006/relationships/hyperlink" Target="https://www.google.com/search?q=site%3Aipl.pt%20Did&#225;ticas%20Integradas%20em%20L&#237;ngua%20Portuguesa%2C%20Matem&#225;tica%2C%20Ci&#234;ncias%20Naturais%20e%20Sociais%20mestrado" TargetMode="External"/><Relationship Id="rId2514" Type="http://schemas.openxmlformats.org/officeDocument/2006/relationships/hyperlink" Target="https://www.google.com/search?q=site%3Aipca.pt%20Gest&#227;o%20para%20Executivos%20mestrado" TargetMode="External"/><Relationship Id="rId2721" Type="http://schemas.openxmlformats.org/officeDocument/2006/relationships/hyperlink" Target="https://www.google.com/search?q=site%3Aipp.pt%20Engenharia%20Autom&#243;vel%20mestrado" TargetMode="External"/><Relationship Id="rId900" Type="http://schemas.openxmlformats.org/officeDocument/2006/relationships/hyperlink" Target="https://www.google.com/search?q=site%3Aipbeja.pt%20Educa&#231;&#227;o%20B&#225;sica%20licenciatura" TargetMode="External"/><Relationship Id="rId1323" Type="http://schemas.openxmlformats.org/officeDocument/2006/relationships/hyperlink" Target="https://www.google.com/search?q=site%3Aipc.pt%20Gest&#227;o%20de%20Empresas%20Agr&#237;colas%20mestrado" TargetMode="External"/><Relationship Id="rId1530" Type="http://schemas.openxmlformats.org/officeDocument/2006/relationships/hyperlink" Target="https://www.google.com/search?q=site%3Aipleiria.pt%20Enfermagem%20de%20Emerg&#234;ncia%20e%20Cuidados%20Cr&#237;ticos%20%28Erasmus%20Mundus%29%20mestrado" TargetMode="External"/><Relationship Id="rId4479" Type="http://schemas.openxmlformats.org/officeDocument/2006/relationships/hyperlink" Target="https://www.google.com/search?q=site%3Auc.pt%20Reuso%20de%20Edif&#237;cios%20Modernos%20mestrado" TargetMode="External"/><Relationship Id="rId4686" Type="http://schemas.openxmlformats.org/officeDocument/2006/relationships/hyperlink" Target="https://www.google.com/search?q=site%3Aulisboa.pt%20Educa&#231;&#227;o%20Art&#237;stica%20mestrado" TargetMode="External"/><Relationship Id="rId4893" Type="http://schemas.openxmlformats.org/officeDocument/2006/relationships/hyperlink" Target="https://www.google.com/search?q=site%3Aulisboa.pt%20Cartas%20Municipais%20de%20Habita&#231;&#227;o%20p&#243;s-gradua&#231;&#227;o" TargetMode="External"/><Relationship Id="rId5737" Type="http://schemas.openxmlformats.org/officeDocument/2006/relationships/hyperlink" Target="https://www.google.com/search?q=site%3Auac.pt%20Gest&#227;o%20de%20Empresas%20%28MBA%29%20mestrado" TargetMode="External"/><Relationship Id="rId3288" Type="http://schemas.openxmlformats.org/officeDocument/2006/relationships/hyperlink" Target="https://www.google.com/search?q=site%3Aucp.pt%20Engenharia%20Biom&#233;dica%20mestrado" TargetMode="External"/><Relationship Id="rId3495" Type="http://schemas.openxmlformats.org/officeDocument/2006/relationships/hyperlink" Target="https://www.google.com/search?q=site%3Aeuropeia.pt%20P&#243;s&#8209;Gradua&#231;&#227;o%20em%20Intelig&#234;ncia%20Artificial%20e%20Machine%20Learning%20%28IADE%29%20p&#243;s-gradua&#231;&#227;o" TargetMode="External"/><Relationship Id="rId4339" Type="http://schemas.openxmlformats.org/officeDocument/2006/relationships/hyperlink" Target="https://www.google.com/search?q=site%3Auc.pt%20Arquitetura%2C%20Paisagem%20e%20Arqueologia%20mestrado" TargetMode="External"/><Relationship Id="rId4546" Type="http://schemas.openxmlformats.org/officeDocument/2006/relationships/hyperlink" Target="https://www.google.com/search?q=site%3Aulisboa.pt%20Engenharia%20Biom&#233;dica%20licenciatura" TargetMode="External"/><Relationship Id="rId4753" Type="http://schemas.openxmlformats.org/officeDocument/2006/relationships/hyperlink" Target="https://www.google.com/search?q=site%3Aulisboa.pt%20Futebol%20mestrado" TargetMode="External"/><Relationship Id="rId4960" Type="http://schemas.openxmlformats.org/officeDocument/2006/relationships/hyperlink" Target="https://www.google.com/search?q=site%3Aulisboa.pt%20Higiene%20Oral%20para%20Pessoas%20com%20Necessidades%20Especiais%20p&#243;s-gradua&#231;&#227;o" TargetMode="External"/><Relationship Id="rId5804" Type="http://schemas.openxmlformats.org/officeDocument/2006/relationships/hyperlink" Target="https://www.google.com/search?q=site%3Aiscpsi.pt%20Ci&#234;ncias%20Policiais%20mestrado" TargetMode="External"/><Relationship Id="rId2097" Type="http://schemas.openxmlformats.org/officeDocument/2006/relationships/hyperlink" Target="https://www.google.com/search?q=site%3Aipt.pt%20Qualidade%20Alimentar%20CTeSP" TargetMode="External"/><Relationship Id="rId3148" Type="http://schemas.openxmlformats.org/officeDocument/2006/relationships/hyperlink" Target="https://www.google.com/search?q=site%3Acespu.pt%20Gest&#227;o%20e%20Administra&#231;&#227;o%20em%20Sa&#250;de%20&#8211;%2042.&#170;%20edi&#231;&#227;o%20p&#243;s-gradua&#231;&#227;o%20executiva" TargetMode="External"/><Relationship Id="rId3355" Type="http://schemas.openxmlformats.org/officeDocument/2006/relationships/hyperlink" Target="https://www.google.com/search?q=site%3Aucp.pt%20Fiscalidade%20Avan&#231;ada%20p&#243;s-gradua&#231;&#227;o" TargetMode="External"/><Relationship Id="rId3562" Type="http://schemas.openxmlformats.org/officeDocument/2006/relationships/hyperlink" Target="https://www.google.com/search?q=site%3Aufp.pt%20Tecnologias%20de%20Sa&#250;de%20e%20Dispositivos%20M&#233;dicos%20p&#243;s-gradua&#231;&#227;o" TargetMode="External"/><Relationship Id="rId4406" Type="http://schemas.openxmlformats.org/officeDocument/2006/relationships/hyperlink" Target="https://www.google.com/search?q=site%3Auc.pt%20Estudos%20Africanos%20mestrado" TargetMode="External"/><Relationship Id="rId4613" Type="http://schemas.openxmlformats.org/officeDocument/2006/relationships/hyperlink" Target="https://www.google.com/search?q=site%3Aulisboa.pt%20Administra&#231;&#227;o%20P&#250;blica%20mestrado" TargetMode="External"/><Relationship Id="rId276" Type="http://schemas.openxmlformats.org/officeDocument/2006/relationships/hyperlink" Target="https://www.google.com/search?q=site%3Aesscvp.eu%20Emerg&#234;ncia%20Extra&#8209;Hospitalar%20p&#243;s-gradua&#231;&#227;o" TargetMode="External"/><Relationship Id="rId483" Type="http://schemas.openxmlformats.org/officeDocument/2006/relationships/hyperlink" Target="https://www.google.com/search?q=site%3Aisec.pt%20Energia%20e%20Automa&#231;&#227;o%20CTeSP" TargetMode="External"/><Relationship Id="rId690" Type="http://schemas.openxmlformats.org/officeDocument/2006/relationships/hyperlink" Target="https://www.google.com/search?q=site%3Aiees.pt%20Educa&#231;&#227;o%20Especial%20-%20dom&#237;nio%20cognitivo%20e%20motor%20mestrado" TargetMode="External"/><Relationship Id="rId2164" Type="http://schemas.openxmlformats.org/officeDocument/2006/relationships/hyperlink" Target="https://www.google.com/search?q=site%3Aipvc.pt%20Desenvolvimento%20Web%20e%20Multim&#233;dia%20CTeSP" TargetMode="External"/><Relationship Id="rId2371" Type="http://schemas.openxmlformats.org/officeDocument/2006/relationships/hyperlink" Target="https://www.google.com/search?q=site%3Aipv.pt%20Turismo%20licenciatura" TargetMode="External"/><Relationship Id="rId3008" Type="http://schemas.openxmlformats.org/officeDocument/2006/relationships/hyperlink" Target="https://www.google.com/search?q=site%3Aiscet.pt%20Gest&#227;o%20de%20Empresas%20licenciatura" TargetMode="External"/><Relationship Id="rId3215" Type="http://schemas.openxmlformats.org/officeDocument/2006/relationships/hyperlink" Target="https://www.google.com/search?q=site%3Aautonoma.pt%20Data%20Science%20Applied%20for%20Business%20p&#243;s-gradua&#231;&#227;o" TargetMode="External"/><Relationship Id="rId3422" Type="http://schemas.openxmlformats.org/officeDocument/2006/relationships/hyperlink" Target="https://www.google.com/search?q=site%3Aeuropeia.pt%20Psicologia%20%28regime%20de%20ensino%20a%20dist&#226;ncia%29%20licenciatura" TargetMode="External"/><Relationship Id="rId4820" Type="http://schemas.openxmlformats.org/officeDocument/2006/relationships/hyperlink" Target="https://www.google.com/search?q=site%3Aulisboa.pt%20Portugu&#234;s%20como%20L&#237;ngua%20Estrangeira/%20L&#237;ngua%20Segunda%20mestrado" TargetMode="External"/><Relationship Id="rId136" Type="http://schemas.openxmlformats.org/officeDocument/2006/relationships/hyperlink" Target="https://www.google.com/search?q=site%3Aesesfm.pt%20Enfermagem%20no%20Puerp&#233;rio%20p&#243;s-gradua&#231;&#227;o" TargetMode="External"/><Relationship Id="rId343" Type="http://schemas.openxmlformats.org/officeDocument/2006/relationships/hyperlink" Target="https://www.google.com/search?q=site%3Aess.ufp.pt%20Inova&#231;&#227;o%20Tecnol&#243;gica%20em%20Sa&#250;de%3A%20Tomografia%20Computorizada%20p&#243;s-gradua&#231;&#227;o" TargetMode="External"/><Relationship Id="rId550" Type="http://schemas.openxmlformats.org/officeDocument/2006/relationships/hyperlink" Target="https://www.google.com/search?q=site%3Aiseclisboa.pt%20Design%20e%20Produ&#231;&#227;o%20Gr&#225;fica%20licenciatura" TargetMode="External"/><Relationship Id="rId1180" Type="http://schemas.openxmlformats.org/officeDocument/2006/relationships/hyperlink" Target="https://www.google.com/search?q=site%3Aipcb.pt%20Gerontologia%20Social%20mestrado" TargetMode="External"/><Relationship Id="rId2024" Type="http://schemas.openxmlformats.org/officeDocument/2006/relationships/hyperlink" Target="https://www.google.com/search?q=site%3Aips.pt%20Terapia%20da%20Fala%20licenciatura" TargetMode="External"/><Relationship Id="rId2231" Type="http://schemas.openxmlformats.org/officeDocument/2006/relationships/hyperlink" Target="https://www.google.com/search?q=site%3Aipvc.pt%20Marketing%20e%20Comunica&#231;&#227;o%20Empresariais%20licenciatura" TargetMode="External"/><Relationship Id="rId5387" Type="http://schemas.openxmlformats.org/officeDocument/2006/relationships/hyperlink" Target="https://www.google.com/search?q=site%3Aualg.pt%20Seguran&#231;a%20e%20Sa&#250;de%20no%20Trabalho%20mestrado" TargetMode="External"/><Relationship Id="rId203" Type="http://schemas.openxmlformats.org/officeDocument/2006/relationships/hyperlink" Target="https://www.google.com/search?q=site%3Auatlantica.pt%20Enfermagem%20M&#233;dico-Cir&#250;rgica%20na%20&#193;rea%20de%20Enfermagem%20&#224;%20Pessoa%20em%20Situa&#231;&#227;o%20Cr&#237;tica%20mestrado" TargetMode="External"/><Relationship Id="rId1040" Type="http://schemas.openxmlformats.org/officeDocument/2006/relationships/hyperlink" Target="https://www.google.com/search?q=site%3Aipb.pt%20Contabilidade%20e%20Finan&#231;as%20mestrado" TargetMode="External"/><Relationship Id="rId4196" Type="http://schemas.openxmlformats.org/officeDocument/2006/relationships/hyperlink" Target="https://www.google.com/search?q=site%3Aismai.pt%20Energias%20Renov&#225;veis%20e%20Efici&#234;ncia%20Energ&#233;tica%20p&#243;s-gradua&#231;&#227;o" TargetMode="External"/><Relationship Id="rId5247" Type="http://schemas.openxmlformats.org/officeDocument/2006/relationships/hyperlink" Target="https://www.google.com/search?q=site%3Aualg.pt%20Climatiza&#231;&#227;o%20e%20Refrigera&#231;&#227;o%20CTeSP" TargetMode="External"/><Relationship Id="rId5594" Type="http://schemas.openxmlformats.org/officeDocument/2006/relationships/hyperlink" Target="https://www.google.com/search?q=site%3Aup.pt%20Gen&#233;tica%20Forense%20mestrado" TargetMode="External"/><Relationship Id="rId410" Type="http://schemas.openxmlformats.org/officeDocument/2006/relationships/hyperlink" Target="https://www.google.com/search?q=site%3Aisce.pt%20Desporto%20licenciatura" TargetMode="External"/><Relationship Id="rId1997" Type="http://schemas.openxmlformats.org/officeDocument/2006/relationships/hyperlink" Target="https://www.google.com/search?q=site%3Aips.pt%20Topografia%20e%20Sistemas%20de%20Informa&#231;&#227;o%20Geogr&#225;fica%20CTeSP" TargetMode="External"/><Relationship Id="rId4056" Type="http://schemas.openxmlformats.org/officeDocument/2006/relationships/hyperlink" Target="https://www.google.com/search?q=site%3Aunl.pt%20Fotografia%20e%20Cinema%20Contempor&#226;neo%20p&#243;s-gradua&#231;&#227;o" TargetMode="External"/><Relationship Id="rId5454" Type="http://schemas.openxmlformats.org/officeDocument/2006/relationships/hyperlink" Target="https://www.google.com/search?q=site%3Aup.pt%20Geologia%20licenciatura" TargetMode="External"/><Relationship Id="rId5661" Type="http://schemas.openxmlformats.org/officeDocument/2006/relationships/hyperlink" Target="https://www.google.com/search?q=site%3Aup.pt%20Toxicologia%20e%20Contamina&#231;&#227;o%20Ambientais%20mestrado" TargetMode="External"/><Relationship Id="rId1857" Type="http://schemas.openxmlformats.org/officeDocument/2006/relationships/hyperlink" Target="https://www.google.com/search?q=site%3Aipsantarem.pt%20Tecnologias%20e%20Programa&#231;&#227;o%20de%20Sistemas%20de%20Informa&#231;&#227;o%20CTeSP" TargetMode="External"/><Relationship Id="rId2908" Type="http://schemas.openxmlformats.org/officeDocument/2006/relationships/hyperlink" Target="https://www.google.com/search?q=site%3Aismat.pt%20Gest&#227;o%20de%20Recursos%20Humanos%20e%20Interven&#231;&#227;o%20Organizacional%20mestrado" TargetMode="External"/><Relationship Id="rId4263" Type="http://schemas.openxmlformats.org/officeDocument/2006/relationships/hyperlink" Target="https://www.google.com/search?q=site%3Aua.pt%20Gest&#227;o%20da%20Qualidade%20Total%20mestrado" TargetMode="External"/><Relationship Id="rId4470" Type="http://schemas.openxmlformats.org/officeDocument/2006/relationships/hyperlink" Target="https://www.google.com/search?q=site%3Auc.pt%20Qu&#237;mica%20Farmac&#234;utica%20Industrial%20mestrado" TargetMode="External"/><Relationship Id="rId5107" Type="http://schemas.openxmlformats.org/officeDocument/2006/relationships/hyperlink" Target="https://www.google.com/search?q=site%3Autad.pt%20Ensino%20de%20Ci&#234;ncias%20Agropecu&#225;rias%20mestrado" TargetMode="External"/><Relationship Id="rId5314" Type="http://schemas.openxmlformats.org/officeDocument/2006/relationships/hyperlink" Target="https://www.google.com/search?q=site%3Aualg.pt%20Patrim&#243;nio%20Cultural%20e%20Arqueologia%20licenciatura" TargetMode="External"/><Relationship Id="rId5521" Type="http://schemas.openxmlformats.org/officeDocument/2006/relationships/hyperlink" Target="https://www.google.com/search?q=site%3Aup.pt%20Design%20Gr&#225;fico%20e%20Projetos%20Editoriais%20mestrado" TargetMode="External"/><Relationship Id="rId1717" Type="http://schemas.openxmlformats.org/officeDocument/2006/relationships/hyperlink" Target="https://www.google.com/search?q=site%3Aipl.pt%20Composi&#231;&#227;o%20Aplicada%20p&#243;s-gradua&#231;&#227;o" TargetMode="External"/><Relationship Id="rId1924" Type="http://schemas.openxmlformats.org/officeDocument/2006/relationships/hyperlink" Target="https://www.google.com/search?q=site%3Acespu.pt%20Termalismo%20e%20Bem&#8209;Estar%20CTeSP" TargetMode="External"/><Relationship Id="rId3072" Type="http://schemas.openxmlformats.org/officeDocument/2006/relationships/hyperlink" Target="https://www.google.com/search?q=site%3Aisg.pt%20Gest&#227;o%20de%20Empresas%20mestrado" TargetMode="External"/><Relationship Id="rId4123" Type="http://schemas.openxmlformats.org/officeDocument/2006/relationships/hyperlink" Target="https://www.google.com/search?q=site%3Aubi.pt%20Ci&#234;ncia%20Pol&#237;tica%20e%20Rela&#231;&#245;es%20Internacionais%20licenciatura" TargetMode="External"/><Relationship Id="rId4330" Type="http://schemas.openxmlformats.org/officeDocument/2006/relationships/hyperlink" Target="https://www.google.com/search?q=site%3Auc.pt%20Administra&#231;&#227;o%20P&#250;blico-Privada%20mestrado" TargetMode="External"/><Relationship Id="rId3889" Type="http://schemas.openxmlformats.org/officeDocument/2006/relationships/hyperlink" Target="https://www.google.com/search?q=site%3Aunl.pt%20Direito%20Aplicado%20&#224;%20Tecnologia%20mestrado" TargetMode="External"/><Relationship Id="rId2698" Type="http://schemas.openxmlformats.org/officeDocument/2006/relationships/hyperlink" Target="https://www.google.com/search?q=site%3Aipp.pt%20Artes%20e%20Tecnologias%20do%20Som%20mestrado" TargetMode="External"/><Relationship Id="rId3749" Type="http://schemas.openxmlformats.org/officeDocument/2006/relationships/hyperlink" Target="https://www.google.com/search?q=site%3Alusofona.pt%20Psicologia%20Cl&#237;nica%20e%20da%20Sa&#250;de%20mestrado" TargetMode="External"/><Relationship Id="rId3956" Type="http://schemas.openxmlformats.org/officeDocument/2006/relationships/hyperlink" Target="https://www.google.com/search?q=site%3Aunl.pt%20Gest&#227;o%20de%20Risco%20mestrado" TargetMode="External"/><Relationship Id="rId5171" Type="http://schemas.openxmlformats.org/officeDocument/2006/relationships/hyperlink" Target="https://www.google.com/search?q=site%3Auevora.pt%20Reabilita&#231;&#227;o%20Psicomotora%20licenciatura" TargetMode="External"/><Relationship Id="rId877" Type="http://schemas.openxmlformats.org/officeDocument/2006/relationships/hyperlink" Target="https://www.google.com/search?q=site%3Aipbeja.pt%20Com&#233;rcio%20Internacional%20CTeSP" TargetMode="External"/><Relationship Id="rId2558" Type="http://schemas.openxmlformats.org/officeDocument/2006/relationships/hyperlink" Target="https://www.google.com/search?q=site%3Aipca.pt%20Transforma&#231;&#227;o%20Industrial%20Sustent&#225;vel%20p&#243;s-gradua&#231;&#227;o" TargetMode="External"/><Relationship Id="rId2765" Type="http://schemas.openxmlformats.org/officeDocument/2006/relationships/hyperlink" Target="https://www.google.com/search?q=site%3Aipp.pt%20M&#250;sica%20-%20Interpreta&#231;&#227;o%20Art&#237;stica%20mestrado" TargetMode="External"/><Relationship Id="rId2972" Type="http://schemas.openxmlformats.org/officeDocument/2006/relationships/hyperlink" Target="https://www.google.com/search?q=site%3Aisced.pt%20Design%20de%20Produto%20licenciatura" TargetMode="External"/><Relationship Id="rId3609" Type="http://schemas.openxmlformats.org/officeDocument/2006/relationships/hyperlink" Target="https://www.google.com/search?q=site%3Aulusiada.pt%20Psicologia%20da%20Educa&#231;&#227;o%20mestrado" TargetMode="External"/><Relationship Id="rId3816" Type="http://schemas.openxmlformats.org/officeDocument/2006/relationships/hyperlink" Target="https://www.google.com/search?q=site%3Aunl.pt%20Ci&#234;ncias%20da%20Nutri&#231;&#227;o%20licenciatura" TargetMode="External"/><Relationship Id="rId737" Type="http://schemas.openxmlformats.org/officeDocument/2006/relationships/hyperlink" Target="https://www.google.com/search?q=site%3Aipg.pt%20Metalomec&#226;nica%20e%20Fabrico%20Computorizado%20CTeSP" TargetMode="External"/><Relationship Id="rId944" Type="http://schemas.openxmlformats.org/officeDocument/2006/relationships/hyperlink" Target="https://www.google.com/search?q=site%3Aipb.pt%20Bioan&#225;lises%20e%20Controlo%20CTeSP" TargetMode="External"/><Relationship Id="rId1367" Type="http://schemas.openxmlformats.org/officeDocument/2006/relationships/hyperlink" Target="https://www.google.com/search?q=site%3Aipc.pt%20Marketing%20Data%20Science%20p&#243;s-gradua&#231;&#227;o" TargetMode="External"/><Relationship Id="rId1574" Type="http://schemas.openxmlformats.org/officeDocument/2006/relationships/hyperlink" Target="https://www.google.com/search?q=site%3Aipleiria.pt%20Business%20Culture%20and%20Technology%20&#8211;%202.&#170;%20Edi&#231;&#227;o%20p&#243;s-gradua&#231;&#227;o" TargetMode="External"/><Relationship Id="rId1781" Type="http://schemas.openxmlformats.org/officeDocument/2006/relationships/hyperlink" Target="https://www.google.com/search?q=site%3Aipportalegre.pt%20Design%20de%20Anima&#231;&#227;o%20licenciatura" TargetMode="External"/><Relationship Id="rId2418" Type="http://schemas.openxmlformats.org/officeDocument/2006/relationships/hyperlink" Target="https://www.google.com/search?q=site%3Aipca.pt%20Audiovisual%20Digital%20CTeSP" TargetMode="External"/><Relationship Id="rId2625" Type="http://schemas.openxmlformats.org/officeDocument/2006/relationships/hyperlink" Target="https://www.google.com/search?q=site%3Aipp.pt%20Ci&#234;ncias%20Biom&#233;dicas%20Laboratoriais%20licenciatura" TargetMode="External"/><Relationship Id="rId2832" Type="http://schemas.openxmlformats.org/officeDocument/2006/relationships/hyperlink" Target="https://www.google.com/search?q=site%3Aipp.pt%20Soft%20Skills%20%28para%20a%20Gest&#227;o%29%20p&#243;s-gradua&#231;&#227;o" TargetMode="External"/><Relationship Id="rId5031" Type="http://schemas.openxmlformats.org/officeDocument/2006/relationships/hyperlink" Target="https://www.google.com/search?q=site%3Autad.pt%20Cultura%20e%20Transforma&#231;&#227;o%20Digital%20licenciatura" TargetMode="External"/><Relationship Id="rId73" Type="http://schemas.openxmlformats.org/officeDocument/2006/relationships/hyperlink" Target="https://www.google.com/search?q=site%3Aesad.pt%20Design%20de%20Comunica&#231;&#227;o%20do%20Produto%20Alimentar%20CTeSP" TargetMode="External"/><Relationship Id="rId804" Type="http://schemas.openxmlformats.org/officeDocument/2006/relationships/hyperlink" Target="https://www.google.com/search?q=site%3Aipg.pt%20Design%20p&#243;s-gradua&#231;&#227;o%20executiva" TargetMode="External"/><Relationship Id="rId1227" Type="http://schemas.openxmlformats.org/officeDocument/2006/relationships/hyperlink" Target="https://www.google.com/search?q=site%3Aipc.pt%20Produ&#231;&#227;o%20Agr&#237;cola%20Biol&#243;gica%20CTeSP" TargetMode="External"/><Relationship Id="rId1434" Type="http://schemas.openxmlformats.org/officeDocument/2006/relationships/hyperlink" Target="https://www.google.com/search?q=site%3Aipleiria.pt%20Tecnologias%20Inform&#225;ticas%20CTeSP" TargetMode="External"/><Relationship Id="rId1641" Type="http://schemas.openxmlformats.org/officeDocument/2006/relationships/hyperlink" Target="https://www.google.com/search?q=site%3Aipl.pt%20Fisioterapia%20licenciatura" TargetMode="External"/><Relationship Id="rId4797" Type="http://schemas.openxmlformats.org/officeDocument/2006/relationships/hyperlink" Target="https://www.google.com/search?q=site%3Aulisboa.pt%20Matem&#225;tica%20Aplicada%20&#224;%20Economia%20e%20Gest&#227;o%20mestrado" TargetMode="External"/><Relationship Id="rId1501" Type="http://schemas.openxmlformats.org/officeDocument/2006/relationships/hyperlink" Target="https://www.google.com/search?q=site%3Aipleiria.pt%20Biotecnologia%20dos%20Recursos%20Marinhos%20mestrado" TargetMode="External"/><Relationship Id="rId3399" Type="http://schemas.openxmlformats.org/officeDocument/2006/relationships/hyperlink" Target="https://www.google.com/search?q=site%3Aeuropeia.pt%20Design%20de%20Intera&#231;&#227;o%20licenciatura" TargetMode="External"/><Relationship Id="rId4657" Type="http://schemas.openxmlformats.org/officeDocument/2006/relationships/hyperlink" Target="https://www.google.com/search?q=site%3Aulisboa.pt%20Cultura%20Cient&#237;fica%20e%20Divulga&#231;&#227;o%20das%20Ci&#234;ncias%20mestrado" TargetMode="External"/><Relationship Id="rId4864" Type="http://schemas.openxmlformats.org/officeDocument/2006/relationships/hyperlink" Target="https://www.google.com/search?q=site%3Aulisboa.pt%20Engenharia%20Aeroespacial%20mestrado%20integrado" TargetMode="External"/><Relationship Id="rId5708" Type="http://schemas.openxmlformats.org/officeDocument/2006/relationships/hyperlink" Target="https://www.google.com/search?q=site%3Auac.pt%20Sociologia%20licenciatura" TargetMode="External"/><Relationship Id="rId3259" Type="http://schemas.openxmlformats.org/officeDocument/2006/relationships/hyperlink" Target="https://www.google.com/search?q=site%3Aucp.pt%20A%20Uni&#227;o%20Europeia%20e%20o%20Atl&#226;ntico%20mestrado" TargetMode="External"/><Relationship Id="rId3466" Type="http://schemas.openxmlformats.org/officeDocument/2006/relationships/hyperlink" Target="https://www.google.com/search?q=site%3Aeuropeia.pt%20Gest&#227;o%20e%20Sistemas%20de%20Informa&#231;&#227;o%20mestrado" TargetMode="External"/><Relationship Id="rId4517" Type="http://schemas.openxmlformats.org/officeDocument/2006/relationships/hyperlink" Target="https://www.google.com/search?q=site%3Aulisboa.pt%20Administra&#231;&#227;o%20P&#250;blica%20e%20Pol&#237;ticas%20do%20Territ&#243;rio%20licenciatura" TargetMode="External"/><Relationship Id="rId387" Type="http://schemas.openxmlformats.org/officeDocument/2006/relationships/hyperlink" Target="https://www.google.com/search?q=site%3Aipluso.pt%20Recursos%20Gr&#225;ficos%20e%20Visualiza&#231;&#227;o%20p&#243;s-gradua&#231;&#227;o" TargetMode="External"/><Relationship Id="rId594" Type="http://schemas.openxmlformats.org/officeDocument/2006/relationships/hyperlink" Target="https://www.google.com/search?q=site%3Aisla.pt%20Turismo%20e%20Informa&#231;&#227;o%20Tur&#237;stica%20CTeSP" TargetMode="External"/><Relationship Id="rId2068" Type="http://schemas.openxmlformats.org/officeDocument/2006/relationships/hyperlink" Target="https://www.google.com/search?q=site%3Aipt.pt%20An&#225;lises%20Laboratoriais%20CTeSP" TargetMode="External"/><Relationship Id="rId2275" Type="http://schemas.openxmlformats.org/officeDocument/2006/relationships/hyperlink" Target="https://www.google.com/search?q=site%3Aipvc.pt%20Marketing%20mestrado" TargetMode="External"/><Relationship Id="rId3119" Type="http://schemas.openxmlformats.org/officeDocument/2006/relationships/hyperlink" Target="https://www.google.com/search?q=site%3Acespu.pt%20Endodontia%20&#8211;%2017.&#170;%20edi&#231;&#227;o%20p&#243;s-gradua&#231;&#227;o" TargetMode="External"/><Relationship Id="rId3326" Type="http://schemas.openxmlformats.org/officeDocument/2006/relationships/hyperlink" Target="https://www.google.com/search?q=site%3Aucp.pt%20Pol&#237;ticas%20P&#250;blicas%20mestrado" TargetMode="External"/><Relationship Id="rId3673" Type="http://schemas.openxmlformats.org/officeDocument/2006/relationships/hyperlink" Target="https://www.google.com/search?q=site%3Alusofona.pt%20Cuidados%20de%20Beleza%20e%20Bem-Estar%20licenciatura" TargetMode="External"/><Relationship Id="rId3880" Type="http://schemas.openxmlformats.org/officeDocument/2006/relationships/hyperlink" Target="https://www.google.com/search?q=site%3Aunl.pt%20Compet&#234;ncias%20Digitais%20Avan&#231;adas%20para%20os%20Neg&#243;cios%20mestrado" TargetMode="External"/><Relationship Id="rId4724" Type="http://schemas.openxmlformats.org/officeDocument/2006/relationships/hyperlink" Target="https://www.google.com/search?q=site%3Aulisboa.pt%20Ensino%20da%20Matem&#225;tica%20no%203.&#186;%20Ciclo%20do%20Ensino%20B&#225;sico%20e%20no%20Ensino%20Secund&#225;rio%20mestrado" TargetMode="External"/><Relationship Id="rId4931" Type="http://schemas.openxmlformats.org/officeDocument/2006/relationships/hyperlink" Target="https://www.google.com/search?q=site%3Aulisboa.pt%20Data%20Science%20%26%20Business%20Analytics%20&#8211;%20Blended%20Learning%20p&#243;s-gradua&#231;&#227;o" TargetMode="External"/><Relationship Id="rId247" Type="http://schemas.openxmlformats.org/officeDocument/2006/relationships/hyperlink" Target="https://www.google.com/search?q=site%3Aegasmoniz.edu.pt%20Dentisteria%20Est&#233;tica%20e%20Reabilita&#231;&#227;o%20Oral%20p&#243;s-gradua&#231;&#227;o" TargetMode="External"/><Relationship Id="rId1084" Type="http://schemas.openxmlformats.org/officeDocument/2006/relationships/hyperlink" Target="https://www.google.com/search?q=site%3Aipb.pt%20Tecnologias%20Digitais%20Aplicadas%20&#224;s%20Ci&#234;ncias%20Agr&#225;rias%20e%20Veterin&#225;rias%20mestrado" TargetMode="External"/><Relationship Id="rId2482" Type="http://schemas.openxmlformats.org/officeDocument/2006/relationships/hyperlink" Target="https://www.google.com/search?q=site%3Aipca.pt%20Engenharia%20de%20Dados%20e%20Intelig&#234;ncia%20Artificial%20licenciatura" TargetMode="External"/><Relationship Id="rId3533" Type="http://schemas.openxmlformats.org/officeDocument/2006/relationships/hyperlink" Target="https://www.google.com/search?q=site%3Aufp.pt%20Medicina%20mestrado%20integrado" TargetMode="External"/><Relationship Id="rId3740" Type="http://schemas.openxmlformats.org/officeDocument/2006/relationships/hyperlink" Target="https://www.google.com/search?q=site%3Alusofona.pt%20Gest&#227;o%20de%20Organiza&#231;&#245;es%20da%20Economia%20Social%20mestrado" TargetMode="External"/><Relationship Id="rId107" Type="http://schemas.openxmlformats.org/officeDocument/2006/relationships/hyperlink" Target="https://www.google.com/search?q=site%3Ajoaodedeus.pt%20Supervis&#227;o%20Pedag&#243;gica%20p&#243;s-gradua&#231;&#227;o" TargetMode="External"/><Relationship Id="rId454" Type="http://schemas.openxmlformats.org/officeDocument/2006/relationships/hyperlink" Target="https://www.google.com/search?q=site%3Aiscte-iul.pt%20Comunica&#231;&#227;o%20Digital%20e%20Jornalismo%20p&#243;s-gradua&#231;&#227;o" TargetMode="External"/><Relationship Id="rId661" Type="http://schemas.openxmlformats.org/officeDocument/2006/relationships/hyperlink" Target="https://www.google.com/search?q=site%3Aistec.pt%20Transforma&#231;&#227;o%20Digital%20p&#243;s-gradua&#231;&#227;o" TargetMode="External"/><Relationship Id="rId1291" Type="http://schemas.openxmlformats.org/officeDocument/2006/relationships/hyperlink" Target="https://www.google.com/search?q=site%3Aipc.pt%20An&#225;lise%20de%20Dados%20e%20Sistemas%20de%20Apoio%20&#224;%20Decis&#227;o%20mestrado" TargetMode="External"/><Relationship Id="rId2135" Type="http://schemas.openxmlformats.org/officeDocument/2006/relationships/hyperlink" Target="https://www.google.com/search?q=site%3Aipt.pt%20Engenharia%20Inform&#225;tica%20&#8211;%20Internet%20das%20Coisas%20mestrado" TargetMode="External"/><Relationship Id="rId2342" Type="http://schemas.openxmlformats.org/officeDocument/2006/relationships/hyperlink" Target="https://www.google.com/search?q=site%3Aipv.pt%20Contabilidade%20licenciatura" TargetMode="External"/><Relationship Id="rId3600" Type="http://schemas.openxmlformats.org/officeDocument/2006/relationships/hyperlink" Target="https://www.google.com/search?q=site%3Aulusiada.pt%20Engenharia%20Eletr&#243;nica%20e%20Inform&#225;tica%20mestrado" TargetMode="External"/><Relationship Id="rId5498" Type="http://schemas.openxmlformats.org/officeDocument/2006/relationships/hyperlink" Target="https://www.google.com/search?q=site%3Aup.pt%20Ci&#234;ncia%20de%20Computadores%20mestrado" TargetMode="External"/><Relationship Id="rId314" Type="http://schemas.openxmlformats.org/officeDocument/2006/relationships/hyperlink" Target="https://www.google.com/search?q=site%3Aesscvp.eu%20Enfermagem%20do%20Trabalho%20p&#243;s-gradua&#231;&#227;o" TargetMode="External"/><Relationship Id="rId521" Type="http://schemas.openxmlformats.org/officeDocument/2006/relationships/hyperlink" Target="https://www.google.com/search?q=site%3Aisec.pt%20Engenharia%20e%20Gest&#227;o%20de%20Ativos%20F&#237;sicos%20mestrado" TargetMode="External"/><Relationship Id="rId1151" Type="http://schemas.openxmlformats.org/officeDocument/2006/relationships/hyperlink" Target="https://www.google.com/search?q=site%3Aipcb.pt%20Gest&#227;o%20Comercial%20licenciatura" TargetMode="External"/><Relationship Id="rId2202" Type="http://schemas.openxmlformats.org/officeDocument/2006/relationships/hyperlink" Target="https://www.google.com/search?q=site%3Aipvc.pt%20Treino%20Desportivo%20CTeSP" TargetMode="External"/><Relationship Id="rId5358" Type="http://schemas.openxmlformats.org/officeDocument/2006/relationships/hyperlink" Target="https://www.google.com/search?q=site%3Aualg.pt%20Gerontologia%20Social%20mestrado" TargetMode="External"/><Relationship Id="rId5565" Type="http://schemas.openxmlformats.org/officeDocument/2006/relationships/hyperlink" Target="https://www.google.com/search?q=site%3Aup.pt%20Ensino%20de%20Educa&#231;&#227;o%20F&#237;sica%20nos%20Ensinos%20B&#225;sico%20e%20Secund&#225;rio%20mestrado" TargetMode="External"/><Relationship Id="rId5772" Type="http://schemas.openxmlformats.org/officeDocument/2006/relationships/hyperlink" Target="https://www.google.com/search?q=site%3Auac.pt%20P&#243;s&#8209;Gradua&#231;&#227;o%20em%20Programa&#231;&#227;o%2C%20Rob&#243;tica%20e%20Intelig&#234;ncia%20Artificial%20%28PRIA%29%20p&#243;s-gradua&#231;&#227;o" TargetMode="External"/><Relationship Id="rId1011" Type="http://schemas.openxmlformats.org/officeDocument/2006/relationships/hyperlink" Target="https://www.google.com/search?q=site%3Aipb.pt%20Engenharia%20Qu&#237;mica%20licenciatura" TargetMode="External"/><Relationship Id="rId1968" Type="http://schemas.openxmlformats.org/officeDocument/2006/relationships/hyperlink" Target="https://www.google.com/search?q=site%3Aips.pt%20Automa&#231;&#227;o%2C%20Rob&#243;tica%20e%20Controlo%20Industrial%20CTeSP" TargetMode="External"/><Relationship Id="rId4167" Type="http://schemas.openxmlformats.org/officeDocument/2006/relationships/hyperlink" Target="https://www.google.com/search?q=site%3Aismai.pt%20Gest&#227;o%20de%20Recursos%20Humanos%20licenciatura" TargetMode="External"/><Relationship Id="rId4374" Type="http://schemas.openxmlformats.org/officeDocument/2006/relationships/hyperlink" Target="https://www.google.com/search?q=site%3Auc.pt%20Efici&#234;ncia%20Ac&#250;stica%20e%20Energ&#233;tica%20para%20uma%20Constru&#231;&#227;o%20Sustent&#225;vel%20mestrado" TargetMode="External"/><Relationship Id="rId4581" Type="http://schemas.openxmlformats.org/officeDocument/2006/relationships/hyperlink" Target="https://www.google.com/search?q=site%3Aulisboa.pt%20Estudos%20Portugueses%20licenciatura" TargetMode="External"/><Relationship Id="rId5218" Type="http://schemas.openxmlformats.org/officeDocument/2006/relationships/hyperlink" Target="https://www.google.com/search?q=site%3Auevora.pt%20Medicina%20Veterin&#225;ria%20mestrado%20integrado" TargetMode="External"/><Relationship Id="rId5425" Type="http://schemas.openxmlformats.org/officeDocument/2006/relationships/hyperlink" Target="https://www.google.com/search?q=site%3Aup.pt%20Ci&#234;ncias%20da%20Sa&#250;de%20P&#250;blica%20licenciatura" TargetMode="External"/><Relationship Id="rId5632" Type="http://schemas.openxmlformats.org/officeDocument/2006/relationships/hyperlink" Target="https://www.google.com/search?q=site%3Aup.pt%20Nutri&#231;&#227;o%20Comunit&#225;ria%20e%20Sa&#250;de%20P&#250;blica%20mestrado" TargetMode="External"/><Relationship Id="rId3183" Type="http://schemas.openxmlformats.org/officeDocument/2006/relationships/hyperlink" Target="https://www.google.com/search?q=site%3Auab.pt%20Rela&#231;&#245;es%20Interculturais%20mestrado" TargetMode="External"/><Relationship Id="rId3390" Type="http://schemas.openxmlformats.org/officeDocument/2006/relationships/hyperlink" Target="https://www.google.com/search?q=site%3Aeuropeia.pt%20Contabilidade%20%28regime%20de%20ensino%20a%20dist&#226;ncia%29%20licenciatura" TargetMode="External"/><Relationship Id="rId4027" Type="http://schemas.openxmlformats.org/officeDocument/2006/relationships/hyperlink" Target="https://www.google.com/search?q=site%3Aunl.pt%20Engenharia%20de%20Micro%20e%20Nanotecnologias%20mestrado%20integrado" TargetMode="External"/><Relationship Id="rId4234" Type="http://schemas.openxmlformats.org/officeDocument/2006/relationships/hyperlink" Target="https://www.google.com/search?q=site%3Aua.pt%20Engenharia%20de%20Software%20Industrial%20licenciatura" TargetMode="External"/><Relationship Id="rId4441" Type="http://schemas.openxmlformats.org/officeDocument/2006/relationships/hyperlink" Target="https://www.google.com/search?q=site%3Auc.pt%20Literatura%20de%20L&#237;ngua%20Portuguesa%20mestrado" TargetMode="External"/><Relationship Id="rId1828" Type="http://schemas.openxmlformats.org/officeDocument/2006/relationships/hyperlink" Target="https://www.google.com/search?q=site%3Aipsantarem.pt%20Anima&#231;&#227;o%20Sociocultural%20Aplicada%20&#224;%20Gerontologia%20CTeSP" TargetMode="External"/><Relationship Id="rId3043" Type="http://schemas.openxmlformats.org/officeDocument/2006/relationships/hyperlink" Target="https://www.google.com/search?q=site%3Aiscia.pt%20Educa&#231;&#227;o%20Especial%20&#8211;%20Dom&#237;nio%20Cognitivo%20e%20Motor%20p&#243;s-gradua&#231;&#227;o" TargetMode="External"/><Relationship Id="rId3250" Type="http://schemas.openxmlformats.org/officeDocument/2006/relationships/hyperlink" Target="https://www.google.com/search?q=site%3Aucp.pt%20L&#237;nguas%20Estrangeiras%20Aplicadas%20licenciatura" TargetMode="External"/><Relationship Id="rId171" Type="http://schemas.openxmlformats.org/officeDocument/2006/relationships/hyperlink" Target="https://www.google.com/search?q=site%3Aesenf.pt%20Enfermagem%20de%20Sa&#250;de%20Familiar%20p&#243;s-gradua&#231;&#227;o" TargetMode="External"/><Relationship Id="rId4301" Type="http://schemas.openxmlformats.org/officeDocument/2006/relationships/hyperlink" Target="https://www.google.com/search?q=site%3Auc.pt%20Estudos%20Art&#237;sticos%20licenciatura" TargetMode="External"/><Relationship Id="rId3110" Type="http://schemas.openxmlformats.org/officeDocument/2006/relationships/hyperlink" Target="https://www.google.com/search?q=site%3Acespu.pt%20An&#225;lises%20Cl&#237;nicas%20&#8211;%204.&#170;%20edi&#231;&#227;o%20p&#243;s-gradua&#231;&#227;o" TargetMode="External"/><Relationship Id="rId988" Type="http://schemas.openxmlformats.org/officeDocument/2006/relationships/hyperlink" Target="https://www.google.com/search?q=site%3Aipb.pt%20Vida%20Ativa%20e%20Bem-Estar%20CTeSP" TargetMode="External"/><Relationship Id="rId2669" Type="http://schemas.openxmlformats.org/officeDocument/2006/relationships/hyperlink" Target="https://www.google.com/search?q=site%3Aipp.pt%20M&#250;sica%2C%20variante%20de%20Jazz%20licenciatura" TargetMode="External"/><Relationship Id="rId2876" Type="http://schemas.openxmlformats.org/officeDocument/2006/relationships/hyperlink" Target="https://www.google.com/search?q=site%3Aisdd.pt%20Gest&#227;o%20de%20Turismo%20CTeSP" TargetMode="External"/><Relationship Id="rId3927" Type="http://schemas.openxmlformats.org/officeDocument/2006/relationships/hyperlink" Target="https://www.google.com/search?q=site%3Aunl.pt%20Ensino%20de%20Portugu&#234;s%20e%20de%20L&#237;ngua%20Estrangeira%20no%203.&#186;%20Ciclo%20do%20Ensino%20B&#225;sico%20e%20no%20Ensino%20Secund&#225;rio%2C%20nas%20&#225;reas%20de%20especializa&#231;&#227;o%20de%20Ingl&#234;s%2C%20ou%20Franc&#234;s%2C%20ou%20Espanhol%20ou%20Alem&#227;o%20mestrado" TargetMode="External"/><Relationship Id="rId5075" Type="http://schemas.openxmlformats.org/officeDocument/2006/relationships/hyperlink" Target="https://www.google.com/search?q=site%3Autad.pt%20Ci&#234;ncias%20da%20Comunica&#231;&#227;o%20mestrado" TargetMode="External"/><Relationship Id="rId5282" Type="http://schemas.openxmlformats.org/officeDocument/2006/relationships/hyperlink" Target="https://www.google.com/search?q=site%3Aualg.pt%20Ci&#234;ncias%20Biom&#233;dicas%20Laboratoriais%20licenciatura" TargetMode="External"/><Relationship Id="rId848" Type="http://schemas.openxmlformats.org/officeDocument/2006/relationships/hyperlink" Target="https://www.google.com/search?q=site%3Aipluso.pt%20Ensino%20do%201.&#186;%20Ciclo%20do%20Ensino%20B&#225;sico%20e%20de%20Matem&#225;tica%20e%20Ci&#234;ncias%20Naturais%20no%202.&#186;%20Ciclo%20do%20Ensino%20B&#225;sico%20mestrado" TargetMode="External"/><Relationship Id="rId1478" Type="http://schemas.openxmlformats.org/officeDocument/2006/relationships/hyperlink" Target="https://www.google.com/search?q=site%3Aipleiria.pt%20Programa&#231;&#227;o%20e%20Produ&#231;&#227;o%20Cultural%20licenciatura" TargetMode="External"/><Relationship Id="rId1685" Type="http://schemas.openxmlformats.org/officeDocument/2006/relationships/hyperlink" Target="https://www.google.com/search?q=site%3Aipl.pt%20Engenharia%20de%20Manuten&#231;&#227;o%20mestrado" TargetMode="External"/><Relationship Id="rId1892" Type="http://schemas.openxmlformats.org/officeDocument/2006/relationships/hyperlink" Target="https://www.google.com/search?q=site%3Aipsantarem.pt%20Educa&#231;&#227;o%20Pr&#233;&#8209;Escolar%20e%20Ensino%20do%201.&#186;%20Ciclo%20do%20Ensino%20B&#225;sico%20mestrado" TargetMode="External"/><Relationship Id="rId2529" Type="http://schemas.openxmlformats.org/officeDocument/2006/relationships/hyperlink" Target="https://www.google.com/search?q=site%3Aipca.pt%20Auditoria%20P&#250;blica%20%28em%20cons&#243;rcio%29%20p&#243;s-gradua&#231;&#227;o" TargetMode="External"/><Relationship Id="rId2736" Type="http://schemas.openxmlformats.org/officeDocument/2006/relationships/hyperlink" Target="https://www.google.com/search?q=site%3Aipp.pt%20Ensino%20de%20Educa&#231;&#227;o%20Visual%20e%20Tecnol&#243;gica%20no%20Ensino%20B&#225;sico%20mestrado" TargetMode="External"/><Relationship Id="rId4091" Type="http://schemas.openxmlformats.org/officeDocument/2006/relationships/hyperlink" Target="https://www.google.com/search?q=site%3Aupt.pt%20Gest&#227;o%20licenciatura" TargetMode="External"/><Relationship Id="rId5142" Type="http://schemas.openxmlformats.org/officeDocument/2006/relationships/hyperlink" Target="https://www.google.com/search?q=site%3Auevora.pt%20Arquitetura%20Paisagista%20licenciatura" TargetMode="External"/><Relationship Id="rId708" Type="http://schemas.openxmlformats.org/officeDocument/2006/relationships/hyperlink" Target="https://www.google.com/search?q=site%3Aipg.pt%20An&#225;lises%20Laboratoriais%20CTeSP" TargetMode="External"/><Relationship Id="rId915" Type="http://schemas.openxmlformats.org/officeDocument/2006/relationships/hyperlink" Target="https://www.google.com/search?q=site%3Aipbeja.pt%20Desenvolvimento%20Comunit&#225;rio%20e%20Empreendedorismo%20mestrado" TargetMode="External"/><Relationship Id="rId1338" Type="http://schemas.openxmlformats.org/officeDocument/2006/relationships/hyperlink" Target="https://www.google.com/search?q=site%3Aipc.pt%20Solicitadoria%20mestrado" TargetMode="External"/><Relationship Id="rId1545" Type="http://schemas.openxmlformats.org/officeDocument/2006/relationships/hyperlink" Target="https://www.google.com/search?q=site%3Aipleiria.pt%20Estat&#237;stica%20Empresarial%20mestrado" TargetMode="External"/><Relationship Id="rId2943" Type="http://schemas.openxmlformats.org/officeDocument/2006/relationships/hyperlink" Target="https://www.google.com/search?q=site%3Aispgaya.pt%20Engenharia%20Eletr&#243;nica%20e%20de%20Automa&#231;&#227;o%20licenciatura" TargetMode="External"/><Relationship Id="rId5002" Type="http://schemas.openxmlformats.org/officeDocument/2006/relationships/hyperlink" Target="https://www.google.com/search?q=site%3Aulisboa.pt%20Sa&#250;de%20Psicol&#243;gica%20ao%20Longo%20da%20Vida%20p&#243;s-gradua&#231;&#227;o" TargetMode="External"/><Relationship Id="rId1405" Type="http://schemas.openxmlformats.org/officeDocument/2006/relationships/hyperlink" Target="https://www.google.com/search?q=site%3Aipleiria.pt%20Inova&#231;&#227;o%20e%20Tecnologia%20Alimentar%20CTeSP" TargetMode="External"/><Relationship Id="rId1752" Type="http://schemas.openxmlformats.org/officeDocument/2006/relationships/hyperlink" Target="https://www.google.com/search?q=site%3Aipportalegre.pt%20Comunica&#231;&#227;o%20Digital%20e%20Novos%20M&#233;dia%20CTeSP" TargetMode="External"/><Relationship Id="rId2803" Type="http://schemas.openxmlformats.org/officeDocument/2006/relationships/hyperlink" Target="https://www.google.com/search?q=site%3Aipp.pt%20Executiva%20em%20Gest&#227;o%20Comercial%20p&#243;s-gradua&#231;&#227;o" TargetMode="External"/><Relationship Id="rId44" Type="http://schemas.openxmlformats.org/officeDocument/2006/relationships/hyperlink" Target="https://www.google.com/search?q=site%3Aesap.pt%20Artes%20Pl&#225;sticas%20e%20Interm&#233;dia%20licenciatura" TargetMode="External"/><Relationship Id="rId1612" Type="http://schemas.openxmlformats.org/officeDocument/2006/relationships/hyperlink" Target="https://www.google.com/search?q=site%3Aipleiria.pt%20Sistemas%20de%20Gest&#227;o%20da%20Qualidade%20nas%20Organiza&#231;&#245;es%20Sociais%20p&#243;s-gradua&#231;&#227;o" TargetMode="External"/><Relationship Id="rId4768" Type="http://schemas.openxmlformats.org/officeDocument/2006/relationships/hyperlink" Target="https://www.google.com/search?q=site%3Aulisboa.pt%20Gest&#227;o%20do%20Territ&#243;rio%20e%20Urbanismo%20mestrado" TargetMode="External"/><Relationship Id="rId4975" Type="http://schemas.openxmlformats.org/officeDocument/2006/relationships/hyperlink" Target="https://www.google.com/search?q=site%3Aulisboa.pt%20Media&#231;&#227;o%20Familiar%20p&#243;s-gradua&#231;&#227;o" TargetMode="External"/><Relationship Id="rId498" Type="http://schemas.openxmlformats.org/officeDocument/2006/relationships/hyperlink" Target="https://www.google.com/search?q=site%3Aisec.pt%20Bioengenharia%20licenciatura" TargetMode="External"/><Relationship Id="rId2179" Type="http://schemas.openxmlformats.org/officeDocument/2006/relationships/hyperlink" Target="https://www.google.com/search?q=site%3Aipvc.pt%20Interven&#231;&#227;o%20Educativa%20em%20Creche%20CTeSP" TargetMode="External"/><Relationship Id="rId3577" Type="http://schemas.openxmlformats.org/officeDocument/2006/relationships/hyperlink" Target="https://www.google.com/search?q=site%3Aulusiada.pt%20Engenharia%20Inform&#225;tica%20licenciatura" TargetMode="External"/><Relationship Id="rId3784" Type="http://schemas.openxmlformats.org/officeDocument/2006/relationships/hyperlink" Target="https://www.google.com/search?q=site%3Alusofona.pt%20Lideran&#231;a%20em%20Transforma&#231;&#227;o%20Digital%20e%20Inova&#231;&#227;o%20Estrat&#233;gica%20p&#243;s-gradua&#231;&#227;o" TargetMode="External"/><Relationship Id="rId3991" Type="http://schemas.openxmlformats.org/officeDocument/2006/relationships/hyperlink" Target="https://www.google.com/search?q=site%3Aunl.pt%20Patrim&#243;nio%20Industrial%20e%20Cient&#237;fico%20mestrado" TargetMode="External"/><Relationship Id="rId4628" Type="http://schemas.openxmlformats.org/officeDocument/2006/relationships/hyperlink" Target="https://www.google.com/search?q=site%3Aulisboa.pt%20Biologia%20do%20Organismo%20e%20Evolu&#231;&#227;o%20mestrado" TargetMode="External"/><Relationship Id="rId4835" Type="http://schemas.openxmlformats.org/officeDocument/2006/relationships/hyperlink" Target="https://www.google.com/search?q=site%3Aulisboa.pt%20Regula&#231;&#227;o%20e%20Avalia&#231;&#227;o%20do%20Medicamento%20e%20Produtos%20de%20Sa&#250;de%20mestrado" TargetMode="External"/><Relationship Id="rId2386" Type="http://schemas.openxmlformats.org/officeDocument/2006/relationships/hyperlink" Target="https://www.google.com/search?q=site%3Aipv.pt%20Engenharia%20Agron&#243;mica%20mestrado" TargetMode="External"/><Relationship Id="rId2593" Type="http://schemas.openxmlformats.org/officeDocument/2006/relationships/hyperlink" Target="https://www.google.com/search?q=site%3Aipp.pt%20Metrologia%2C%20Instrumenta&#231;&#227;o%20e%20Qualidade%20CTeSP" TargetMode="External"/><Relationship Id="rId3437" Type="http://schemas.openxmlformats.org/officeDocument/2006/relationships/hyperlink" Target="https://www.google.com/search?q=site%3Aeuropeia.pt%20Comunica&#231;&#227;o%20Estrat&#233;gica%20mestrado" TargetMode="External"/><Relationship Id="rId3644" Type="http://schemas.openxmlformats.org/officeDocument/2006/relationships/hyperlink" Target="https://www.google.com/search?q=site%3Aulusiada.pt%20Master%20em%20Intelig&#234;ncia%20Artificial%20Aplicada%20ao%20Marketing%20%5B2025/2026%5D%20p&#243;s-gradua&#231;&#227;o%20executiva" TargetMode="External"/><Relationship Id="rId3851" Type="http://schemas.openxmlformats.org/officeDocument/2006/relationships/hyperlink" Target="https://www.google.com/search?q=site%3Aunl.pt%20Sociologia%20licenciatura" TargetMode="External"/><Relationship Id="rId4902" Type="http://schemas.openxmlformats.org/officeDocument/2006/relationships/hyperlink" Target="https://www.google.com/search?q=site%3Aulisboa.pt%20Comunica&#231;&#227;o%20em%20Sa&#250;de%20e%20Educa&#231;&#227;o%20e%20Comunica&#231;&#227;o%20em%20Ci&#234;ncias%20da%20Sa&#250;de%20-%20Sa&#250;de.com%20p&#243;s-gradua&#231;&#227;o" TargetMode="External"/><Relationship Id="rId358" Type="http://schemas.openxmlformats.org/officeDocument/2006/relationships/hyperlink" Target="https://www.google.com/search?q=site%3Asantamaria.pt%20Fisioterapia%20em%20Condi&#231;&#245;es%20Neuro-m&#250;sculo-esquel&#233;ticas%20mestrado" TargetMode="External"/><Relationship Id="rId565" Type="http://schemas.openxmlformats.org/officeDocument/2006/relationships/hyperlink" Target="https://www.google.com/search?q=site%3Aiseclisboa.pt%20Ensino%20do%201.&#186;%20Ciclo%20do%20Ensino%20B&#225;sico%20e%20de%20Portugu&#234;s%20e%20Hist&#243;ria%20e%20Geografia%20de%20Portugal%20no%202.&#186;%20Ciclo%20do%20Ensino%20B&#225;sico%20mestrado" TargetMode="External"/><Relationship Id="rId772" Type="http://schemas.openxmlformats.org/officeDocument/2006/relationships/hyperlink" Target="https://www.google.com/search?q=site%3Aipg.pt%20Marketing%20e%20Inova&#231;&#227;o%20no%20Turismo%20licenciatura" TargetMode="External"/><Relationship Id="rId1195" Type="http://schemas.openxmlformats.org/officeDocument/2006/relationships/hyperlink" Target="https://www.google.com/search?q=site%3Aipcb.pt%20Gest&#227;o%20em%20Sa&#250;de%20p&#243;s-gradua&#231;&#227;o" TargetMode="External"/><Relationship Id="rId2039" Type="http://schemas.openxmlformats.org/officeDocument/2006/relationships/hyperlink" Target="https://www.google.com/search?q=site%3Aips.pt%20Engenharia%20Eletrot&#233;cnica%20e%20de%20Computadores%20mestrado" TargetMode="External"/><Relationship Id="rId2246" Type="http://schemas.openxmlformats.org/officeDocument/2006/relationships/hyperlink" Target="https://www.google.com/search?q=site%3Aipvc.pt%20Educa&#231;&#227;o%20Pr&#233;&#8209;Escolar%20mestrado" TargetMode="External"/><Relationship Id="rId2453" Type="http://schemas.openxmlformats.org/officeDocument/2006/relationships/hyperlink" Target="https://www.google.com/search?q=site%3Aipca.pt%20Molda&#231;&#227;o%20de%20Pl&#225;sticos%20por%20Inje&#231;&#227;o%20CTeSP" TargetMode="External"/><Relationship Id="rId2660" Type="http://schemas.openxmlformats.org/officeDocument/2006/relationships/hyperlink" Target="https://www.google.com/search?q=site%3Aipp.pt%20Gest&#227;o%20do%20Patrim&#243;nio%20Cultural%20licenciatura" TargetMode="External"/><Relationship Id="rId3504" Type="http://schemas.openxmlformats.org/officeDocument/2006/relationships/hyperlink" Target="https://www.google.com/search?q=site%3Aeuropeia.pt%20P&#243;s&#8209;Gradua&#231;&#227;o%20em%20Web%20Front&#8209;End%20%28IADE%29%20/%20Programa%20Avan&#231;ado%20em%20Web%20Front&#8209;End%20p&#243;s-gradua&#231;&#227;o" TargetMode="External"/><Relationship Id="rId3711" Type="http://schemas.openxmlformats.org/officeDocument/2006/relationships/hyperlink" Target="https://www.google.com/search?q=site%3Alusofona.pt%20Administra&#231;&#227;o%20Educacional%20e%20Regula&#231;&#227;o%20da%20Educa&#231;&#227;o%20mestrado" TargetMode="External"/><Relationship Id="rId218" Type="http://schemas.openxmlformats.org/officeDocument/2006/relationships/hyperlink" Target="https://www.google.com/search?q=site%3Aegasmoniz.edu.pt%20Ci&#234;ncias%20da%20Nutri&#231;&#227;o%20licenciatura" TargetMode="External"/><Relationship Id="rId425" Type="http://schemas.openxmlformats.org/officeDocument/2006/relationships/hyperlink" Target="https://www.google.com/search?q=site%3Aiscte-iul.pt%20Direito%20licenciatura" TargetMode="External"/><Relationship Id="rId632" Type="http://schemas.openxmlformats.org/officeDocument/2006/relationships/hyperlink" Target="https://www.google.com/search?q=site%3Aispa.pt%20Psicologia%20Comunit&#225;ria%20mestrado" TargetMode="External"/><Relationship Id="rId1055" Type="http://schemas.openxmlformats.org/officeDocument/2006/relationships/hyperlink" Target="https://www.google.com/search?q=site%3Aipb.pt%20Enfermagem%20de%20Sa&#250;de%20Materna%20e%20Obst&#233;trica%20mestrado" TargetMode="External"/><Relationship Id="rId1262" Type="http://schemas.openxmlformats.org/officeDocument/2006/relationships/hyperlink" Target="https://www.google.com/search?q=site%3Aipc.pt%20Estudos%20Musicais%20Aplicados%20licenciatura" TargetMode="External"/><Relationship Id="rId2106" Type="http://schemas.openxmlformats.org/officeDocument/2006/relationships/hyperlink" Target="https://www.google.com/search?q=site%3Aipt.pt%20Tecnologias%20e%20Programa&#231;&#227;o%20de%20Sistemas%20de%20Informa&#231;&#227;o%20CTeSP" TargetMode="External"/><Relationship Id="rId2313" Type="http://schemas.openxmlformats.org/officeDocument/2006/relationships/hyperlink" Target="https://www.google.com/search?q=site%3Aipv.pt%20Gastronomia%2C%20Turismo%20e%20Bem-Estar%20CTeSP" TargetMode="External"/><Relationship Id="rId2520" Type="http://schemas.openxmlformats.org/officeDocument/2006/relationships/hyperlink" Target="https://www.google.com/search?q=site%3Aipca.pt%20Marketing%20Tur&#237;stico%20mestrado" TargetMode="External"/><Relationship Id="rId5469" Type="http://schemas.openxmlformats.org/officeDocument/2006/relationships/hyperlink" Target="https://www.google.com/search?q=site%3Aup.pt%20Aconselhamento%20Gen&#233;tico%20mestrado" TargetMode="External"/><Relationship Id="rId5676" Type="http://schemas.openxmlformats.org/officeDocument/2006/relationships/hyperlink" Target="https://www.google.com/search?q=site%3Aup.pt%20Engenharia%20Qu&#237;mica%20mestrado%20integrado" TargetMode="External"/><Relationship Id="rId1122" Type="http://schemas.openxmlformats.org/officeDocument/2006/relationships/hyperlink" Target="https://www.google.com/search?q=site%3Aipcb.pt%20Prote&#231;&#227;o%20Civil%20CTeSP" TargetMode="External"/><Relationship Id="rId4278" Type="http://schemas.openxmlformats.org/officeDocument/2006/relationships/hyperlink" Target="https://www.google.com/search?q=site%3Auc.pt%20Ci&#234;ncias%20Bioanal&#237;ticas%20licenciatura" TargetMode="External"/><Relationship Id="rId4485" Type="http://schemas.openxmlformats.org/officeDocument/2006/relationships/hyperlink" Target="https://www.google.com/search?q=site%3Auc.pt%20Sistemas%20Costeiros%20Sustent&#225;veis%20mestrado" TargetMode="External"/><Relationship Id="rId5329" Type="http://schemas.openxmlformats.org/officeDocument/2006/relationships/hyperlink" Target="https://www.google.com/search?q=site%3Aualg.pt%20Ci&#234;ncias%20Biom&#233;dicas%20-%20Mecanismos%20de%20Doen&#231;as%20mestrado" TargetMode="External"/><Relationship Id="rId5536" Type="http://schemas.openxmlformats.org/officeDocument/2006/relationships/hyperlink" Target="https://www.google.com/search?q=site%3Aup.pt%20Educa&#231;&#227;o%20Acad&#233;mica%20e%20Cl&#237;nica%20mestrado" TargetMode="External"/><Relationship Id="rId3087" Type="http://schemas.openxmlformats.org/officeDocument/2006/relationships/hyperlink" Target="https://www.google.com/search?q=site%3Aisssp.pt%20Servi&#231;o%20Social%20licenciatura" TargetMode="External"/><Relationship Id="rId3294" Type="http://schemas.openxmlformats.org/officeDocument/2006/relationships/hyperlink" Target="https://www.google.com/search?q=site%3Aucp.pt%20Estudos%20da%20Religi&#227;o%20mestrado" TargetMode="External"/><Relationship Id="rId4138" Type="http://schemas.openxmlformats.org/officeDocument/2006/relationships/hyperlink" Target="https://www.google.com/search?q=site%3Aubi.pt%20Engenharia%20Mec&#226;nica%20Computacional%20licenciatura" TargetMode="External"/><Relationship Id="rId4345" Type="http://schemas.openxmlformats.org/officeDocument/2006/relationships/hyperlink" Target="https://www.google.com/search?q=site%3Auc.pt%20Biologia%20mestrado" TargetMode="External"/><Relationship Id="rId4692" Type="http://schemas.openxmlformats.org/officeDocument/2006/relationships/hyperlink" Target="https://www.google.com/search?q=site%3Aulisboa.pt%20Engenharia%20Biol&#243;gica%20mestrado" TargetMode="External"/><Relationship Id="rId5743" Type="http://schemas.openxmlformats.org/officeDocument/2006/relationships/hyperlink" Target="https://www.google.com/search?q=site%3Auac.pt%20Pol&#237;ticas%20Sociais%20e%20Din&#226;micas%20Regionais%20mestrado" TargetMode="External"/><Relationship Id="rId1939" Type="http://schemas.openxmlformats.org/officeDocument/2006/relationships/hyperlink" Target="https://www.google.com/search?q=site%3Acespu.pt%20Podiatria%20do%20Exerc&#237;cio%20F&#237;sico%20e%20Desporto%20mestrado" TargetMode="External"/><Relationship Id="rId4552" Type="http://schemas.openxmlformats.org/officeDocument/2006/relationships/hyperlink" Target="https://www.google.com/search?q=site%3Aulisboa.pt%20Engenharia%20Eletr&#243;nica%20licenciatura" TargetMode="External"/><Relationship Id="rId5603" Type="http://schemas.openxmlformats.org/officeDocument/2006/relationships/hyperlink" Target="https://www.google.com/search?q=site%3Aup.pt%20Gest&#227;o%20de%20Sistemas%20de%20Informa&#231;&#227;o%20M&#233;dica%20mestrado" TargetMode="External"/><Relationship Id="rId3154" Type="http://schemas.openxmlformats.org/officeDocument/2006/relationships/hyperlink" Target="https://www.google.com/search?q=site%3Auab.pt%20Engenharia%20Inform&#225;tica%20licenciatura" TargetMode="External"/><Relationship Id="rId3361" Type="http://schemas.openxmlformats.org/officeDocument/2006/relationships/hyperlink" Target="https://www.google.com/search?q=site%3Aucp.pt%20Health%20Consulting%20/%20Consultoria%20Aplicada%20&#224;%20&#225;rea%20da%20Sa&#250;de%20e%20do%20Medicamento%20p&#243;s-gradua&#231;&#227;o" TargetMode="External"/><Relationship Id="rId4205" Type="http://schemas.openxmlformats.org/officeDocument/2006/relationships/hyperlink" Target="https://www.google.com/search?q=site%3Aua.pt%20Ciberseguran&#231;a%20CTeSP" TargetMode="External"/><Relationship Id="rId4412" Type="http://schemas.openxmlformats.org/officeDocument/2006/relationships/hyperlink" Target="https://www.google.com/search?q=site%3Auc.pt%20Evolu&#231;&#227;o%20e%20Biologia%20Humanas%20mestrado" TargetMode="External"/><Relationship Id="rId282" Type="http://schemas.openxmlformats.org/officeDocument/2006/relationships/hyperlink" Target="https://www.google.com/search?q=site%3Aesscvp.eu%20Enfermagem%20do%20Trabalho%20p&#243;s-gradua&#231;&#227;o" TargetMode="External"/><Relationship Id="rId2170" Type="http://schemas.openxmlformats.org/officeDocument/2006/relationships/hyperlink" Target="https://www.google.com/search?q=site%3Aipvc.pt%20Gest&#227;o%20Industrial%20CTeSP" TargetMode="External"/><Relationship Id="rId3014" Type="http://schemas.openxmlformats.org/officeDocument/2006/relationships/hyperlink" Target="https://www.google.com/search?q=site%3Aiscet.pt%20Astroturismo%20p&#243;s-gradua&#231;&#227;o" TargetMode="External"/><Relationship Id="rId3221" Type="http://schemas.openxmlformats.org/officeDocument/2006/relationships/hyperlink" Target="https://www.google.com/search?q=site%3Aucp.pt%20Administra&#231;&#227;o%20e%20Gest&#227;o%20de%20Empresas%20licenciatura" TargetMode="External"/><Relationship Id="rId8" Type="http://schemas.openxmlformats.org/officeDocument/2006/relationships/hyperlink" Target="https://www.google.com/search?q=site%3Auatlantica.pt%20Gest&#227;o%20de%20Sistemas%20e%20Computa&#231;&#227;o%20licenciatura" TargetMode="External"/><Relationship Id="rId142" Type="http://schemas.openxmlformats.org/officeDocument/2006/relationships/hyperlink" Target="https://www.google.com/search?q=site%3Aesesfm.pt%20P&#243;s&#8209;Gradua&#231;&#227;o%20em%20Instrumenta&#231;&#227;o%20Cir&#250;rgica%20p&#243;s-gradua&#231;&#227;o" TargetMode="External"/><Relationship Id="rId2030" Type="http://schemas.openxmlformats.org/officeDocument/2006/relationships/hyperlink" Target="https://www.google.com/search?q=site%3Aips.pt%20Contabilidade%20e%20Finan&#231;as%20mestrado" TargetMode="External"/><Relationship Id="rId2987" Type="http://schemas.openxmlformats.org/officeDocument/2006/relationships/hyperlink" Target="https://www.google.com/search?q=site%3Aisced.pt%20An&#225;lise%20da%20Performance%20Desportiva%20p&#243;s-gradua&#231;&#227;o" TargetMode="External"/><Relationship Id="rId5186" Type="http://schemas.openxmlformats.org/officeDocument/2006/relationships/hyperlink" Target="https://www.google.com/search?q=site%3Auevora.pt%20Engenharia%20Agron&#243;mica%20mestrado" TargetMode="External"/><Relationship Id="rId5393" Type="http://schemas.openxmlformats.org/officeDocument/2006/relationships/hyperlink" Target="https://www.google.com/search?q=site%3Aualg.pt%20Ci&#234;ncias%20Farmac&#234;uticas%20mestrado%20integrado" TargetMode="External"/><Relationship Id="rId959" Type="http://schemas.openxmlformats.org/officeDocument/2006/relationships/hyperlink" Target="https://www.google.com/search?q=site%3Aipb.pt%20Energias%20Renov&#225;veis%20e%20Instala&#231;&#245;es%20El&#233;tricas%20CTeSP" TargetMode="External"/><Relationship Id="rId1589" Type="http://schemas.openxmlformats.org/officeDocument/2006/relationships/hyperlink" Target="https://www.google.com/search?q=site%3Aipleiria.pt%20Enoturismo%20p&#243;s-gradua&#231;&#227;o" TargetMode="External"/><Relationship Id="rId5046" Type="http://schemas.openxmlformats.org/officeDocument/2006/relationships/hyperlink" Target="https://www.google.com/search?q=site%3Autad.pt%20Engenharia%20e%20Biotecnologia%20Florestal%20licenciatura" TargetMode="External"/><Relationship Id="rId5253" Type="http://schemas.openxmlformats.org/officeDocument/2006/relationships/hyperlink" Target="https://www.google.com/search?q=site%3Aualg.pt%20Design%20e%20Tecnologias%20Multim&#233;dia%20CTeSP" TargetMode="External"/><Relationship Id="rId5460" Type="http://schemas.openxmlformats.org/officeDocument/2006/relationships/hyperlink" Target="https://www.google.com/search?q=site%3Aup.pt%20L&#237;nguas%20Aplicadas%20licenciatura" TargetMode="External"/><Relationship Id="rId1449" Type="http://schemas.openxmlformats.org/officeDocument/2006/relationships/hyperlink" Target="https://www.google.com/search?q=site%3Aipleiria.pt%20Contabilidade%20e%20Finan&#231;as%20licenciatura" TargetMode="External"/><Relationship Id="rId1796" Type="http://schemas.openxmlformats.org/officeDocument/2006/relationships/hyperlink" Target="https://www.google.com/search?q=site%3Aipportalegre.pt%20Higiene%20Oral%20licenciatura" TargetMode="External"/><Relationship Id="rId2847" Type="http://schemas.openxmlformats.org/officeDocument/2006/relationships/hyperlink" Target="https://www.google.com/search?q=site%3Aipam.pt%20Gest&#227;o%20de%20Marketing%20mestrado" TargetMode="External"/><Relationship Id="rId4062" Type="http://schemas.openxmlformats.org/officeDocument/2006/relationships/hyperlink" Target="https://www.google.com/search?q=site%3Aunl.pt%20Gest&#227;o%20de%20Informa&#231;&#227;o%20e%20Business%20Intelligence%20na%20Sa&#250;de%20p&#243;s-gradua&#231;&#227;o" TargetMode="External"/><Relationship Id="rId5113" Type="http://schemas.openxmlformats.org/officeDocument/2006/relationships/hyperlink" Target="https://www.google.com/search?q=site%3Autad.pt%20Ensino%20do%201.&#186;%20Ciclo%20do%20Ensino%20B&#225;sico%20e%20de%20Portugu&#234;s%20e%20Hist&#243;ria%20e%20Geografia%20de%20Portugal%20no%202.&#186;%20Ciclo%20do%20Ensino%20B&#225;sico%20mestrado" TargetMode="External"/><Relationship Id="rId88" Type="http://schemas.openxmlformats.org/officeDocument/2006/relationships/hyperlink" Target="https://www.google.com/search?q=site%3Ajoaodedeus.pt%20Ensino%20do%201.&#186;%20Ciclo%20do%20Ensino%20B&#225;sico%20e%20de%20Matem&#225;tica%20e%20Ci&#234;ncias%20Naturais%20no%202.&#186;%20Ciclo%20do%20Ensino%20B&#225;sico%20mestrado" TargetMode="External"/><Relationship Id="rId819" Type="http://schemas.openxmlformats.org/officeDocument/2006/relationships/hyperlink" Target="https://www.google.com/search?q=site%3Aipluso.pt%20Gest&#227;o%20de%20Marketing%20CTeSP" TargetMode="External"/><Relationship Id="rId1656" Type="http://schemas.openxmlformats.org/officeDocument/2006/relationships/hyperlink" Target="https://www.google.com/search?q=site%3Aipl.pt%20Teatro%20licenciatura" TargetMode="External"/><Relationship Id="rId1863" Type="http://schemas.openxmlformats.org/officeDocument/2006/relationships/hyperlink" Target="https://www.google.com/search?q=site%3Aipsantarem.pt%20Atividade%20F&#237;sica%20e%20Estilos%20de%20Vida%20Saud&#225;veis%20licenciatura" TargetMode="External"/><Relationship Id="rId2707" Type="http://schemas.openxmlformats.org/officeDocument/2006/relationships/hyperlink" Target="https://www.google.com/search?q=site%3Aipp.pt%20Composi&#231;&#227;o%20mestrado" TargetMode="External"/><Relationship Id="rId2914" Type="http://schemas.openxmlformats.org/officeDocument/2006/relationships/hyperlink" Target="https://www.google.com/search?q=site%3Aismt.pt%20Estrat&#233;gia%20e%20Inova&#231;&#227;o%20na%20Gest&#227;o%20do%20Capital%20Humano%20&#8211;%20NOVA%20PG%20p&#243;s-gradua&#231;&#227;o" TargetMode="External"/><Relationship Id="rId5320" Type="http://schemas.openxmlformats.org/officeDocument/2006/relationships/hyperlink" Target="https://www.google.com/search?q=site%3Aualg.pt%20Anima&#231;&#227;o%20mestrado" TargetMode="External"/><Relationship Id="rId1309" Type="http://schemas.openxmlformats.org/officeDocument/2006/relationships/hyperlink" Target="https://www.google.com/search?q=site%3Aipc.pt%20Educa&#231;&#227;o%20para%20a%20Sa&#250;de%20mestrado" TargetMode="External"/><Relationship Id="rId1516" Type="http://schemas.openxmlformats.org/officeDocument/2006/relationships/hyperlink" Target="https://www.google.com/search?q=site%3Aipleiria.pt%20Desporto%20e%20Sa&#250;de%20para%20Crian&#231;as%20e%20Jovens%20mestrado" TargetMode="External"/><Relationship Id="rId1723" Type="http://schemas.openxmlformats.org/officeDocument/2006/relationships/hyperlink" Target="https://www.google.com/search?q=site%3Aipl.pt%20Design%20de%20Produtos%20Interativos%20para%20Educa&#231;&#227;o%20p&#243;s-gradua&#231;&#227;o" TargetMode="External"/><Relationship Id="rId1930" Type="http://schemas.openxmlformats.org/officeDocument/2006/relationships/hyperlink" Target="https://www.google.com/search?q=site%3Acespu.pt%20Gest&#227;o%20e%20Administra&#231;&#227;o%20em%20Sa&#250;de%20licenciatura" TargetMode="External"/><Relationship Id="rId4879" Type="http://schemas.openxmlformats.org/officeDocument/2006/relationships/hyperlink" Target="https://www.google.com/search?q=site%3Aulisboa.pt%20Medicina%20Veterin&#225;ria%20mestrado%20integrado" TargetMode="External"/><Relationship Id="rId15" Type="http://schemas.openxmlformats.org/officeDocument/2006/relationships/hyperlink" Target="https://www.google.com/search?q=site%3Auatlantica.pt%20Gest&#227;o%20%28registo%20antigo%29%20mestrado" TargetMode="External"/><Relationship Id="rId3688" Type="http://schemas.openxmlformats.org/officeDocument/2006/relationships/hyperlink" Target="https://www.google.com/search?q=site%3Alusofona.pt%20Engenharia%20e%20Gest&#227;o%20Industrial%20licenciatura" TargetMode="External"/><Relationship Id="rId3895" Type="http://schemas.openxmlformats.org/officeDocument/2006/relationships/hyperlink" Target="https://www.google.com/search?q=site%3Aunl.pt%20Direito%3A%20Forense%20e%20Arbitragem%20mestrado" TargetMode="External"/><Relationship Id="rId4739" Type="http://schemas.openxmlformats.org/officeDocument/2006/relationships/hyperlink" Target="https://www.google.com/search?q=site%3Aulisboa.pt%20Estat&#237;stica%20e%20Investiga&#231;&#227;o%20Operacional%20mestrado" TargetMode="External"/><Relationship Id="rId4946" Type="http://schemas.openxmlformats.org/officeDocument/2006/relationships/hyperlink" Target="https://www.google.com/search?q=site%3Aulisboa.pt%20Esports%20%26%20Comunidades%20Digitais%20p&#243;s-gradua&#231;&#227;o" TargetMode="External"/><Relationship Id="rId2497" Type="http://schemas.openxmlformats.org/officeDocument/2006/relationships/hyperlink" Target="https://www.google.com/search?q=site%3Aipca.pt%20Contabilidade%20e%20Finan&#231;as%20mestrado" TargetMode="External"/><Relationship Id="rId3548" Type="http://schemas.openxmlformats.org/officeDocument/2006/relationships/hyperlink" Target="https://www.google.com/search?q=site%3Aufp.pt%20Engenharia%20Inform&#225;tica%20com%20Ciberseguran&#231;a%20p&#243;s-gradua&#231;&#227;o" TargetMode="External"/><Relationship Id="rId3755" Type="http://schemas.openxmlformats.org/officeDocument/2006/relationships/hyperlink" Target="https://www.google.com/search?q=site%3Alusofona.pt%20Ci&#234;ncias%20Farmac&#234;uticas%20mestrado%20integrado" TargetMode="External"/><Relationship Id="rId4806" Type="http://schemas.openxmlformats.org/officeDocument/2006/relationships/hyperlink" Target="https://www.google.com/search?q=site%3Aulisboa.pt%20Microbiologia%20Cl&#237;nica%20e%20Doen&#231;as%20Infeciosas%20Emergentes%20mestrado" TargetMode="External"/><Relationship Id="rId469" Type="http://schemas.openxmlformats.org/officeDocument/2006/relationships/hyperlink" Target="https://www.google.com/search?q=site%3Aiscte-iul.pt%20Servi&#231;o%20Social%20na%20Sa&#250;de%20p&#243;s-gradua&#231;&#227;o" TargetMode="External"/><Relationship Id="rId676" Type="http://schemas.openxmlformats.org/officeDocument/2006/relationships/hyperlink" Target="https://www.google.com/search?q=site%3Aiees.pt%20Lazer%20Desportivo%20CTeSP" TargetMode="External"/><Relationship Id="rId883" Type="http://schemas.openxmlformats.org/officeDocument/2006/relationships/hyperlink" Target="https://www.google.com/search?q=site%3Aipbeja.pt%20Inova&#231;&#227;o%20e%20Tecnologia%20Alimentar%20CTeSP" TargetMode="External"/><Relationship Id="rId1099" Type="http://schemas.openxmlformats.org/officeDocument/2006/relationships/hyperlink" Target="https://www.google.com/search?q=site%3Aipb.pt%20L&#237;ngua%20e%20Cultura%20Portuguesas%20p&#243;s-gradua&#231;&#227;o" TargetMode="External"/><Relationship Id="rId2357" Type="http://schemas.openxmlformats.org/officeDocument/2006/relationships/hyperlink" Target="https://www.google.com/search?q=site%3Aipv.pt%20Fisioterapia%20licenciatura" TargetMode="External"/><Relationship Id="rId2564" Type="http://schemas.openxmlformats.org/officeDocument/2006/relationships/hyperlink" Target="https://www.google.com/search?q=site%3Aipp.pt%20Apoio%20&#224;%20Decis&#227;o%20CTeSP" TargetMode="External"/><Relationship Id="rId3408" Type="http://schemas.openxmlformats.org/officeDocument/2006/relationships/hyperlink" Target="https://www.google.com/search?q=site%3Aeuropeia.pt%20Gest&#227;o%20Hoteleira%20licenciatura" TargetMode="External"/><Relationship Id="rId3615" Type="http://schemas.openxmlformats.org/officeDocument/2006/relationships/hyperlink" Target="https://www.google.com/search?q=site%3Aulusiada.pt%20Arquitetura%20de%20Interiores%20p&#243;s-gradua&#231;&#227;o" TargetMode="External"/><Relationship Id="rId3962" Type="http://schemas.openxmlformats.org/officeDocument/2006/relationships/hyperlink" Target="https://www.google.com/search?q=site%3Aunl.pt%20Hist&#243;ria%20na%20Esfera%20P&#250;blica%20mestrado" TargetMode="External"/><Relationship Id="rId329" Type="http://schemas.openxmlformats.org/officeDocument/2006/relationships/hyperlink" Target="https://www.google.com/search?q=site%3Aess.ufp.pt%20Avalia&#231;&#227;o%20de%20Impacte%20em%20Sa&#250;de%20p&#243;s-gradua&#231;&#227;o" TargetMode="External"/><Relationship Id="rId536" Type="http://schemas.openxmlformats.org/officeDocument/2006/relationships/hyperlink" Target="https://www.google.com/search?q=site%3Aiseclisboa.pt%20Interven&#231;&#227;o%20Social%20e%20Comunit&#225;ria%20CTeSP" TargetMode="External"/><Relationship Id="rId1166" Type="http://schemas.openxmlformats.org/officeDocument/2006/relationships/hyperlink" Target="https://www.google.com/search?q=site%3Aipcb.pt%20Design%20Gr&#225;fico%20mestrado" TargetMode="External"/><Relationship Id="rId1373" Type="http://schemas.openxmlformats.org/officeDocument/2006/relationships/hyperlink" Target="https://www.google.com/search?q=site%3Aipc.pt%20Teatro%20e%20Participa&#231;&#227;o%20Art&#237;stica%20p&#243;s-gradua&#231;&#227;o" TargetMode="External"/><Relationship Id="rId2217" Type="http://schemas.openxmlformats.org/officeDocument/2006/relationships/hyperlink" Target="https://www.google.com/search?q=site%3Aipvc.pt%20Engenharia%20Alimentar%20licenciatura" TargetMode="External"/><Relationship Id="rId2771" Type="http://schemas.openxmlformats.org/officeDocument/2006/relationships/hyperlink" Target="https://www.google.com/search?q=site%3Aipp.pt%20Pr&#225;ticas%20do%20Desenvolvimento%20mestrado" TargetMode="External"/><Relationship Id="rId3822" Type="http://schemas.openxmlformats.org/officeDocument/2006/relationships/hyperlink" Target="https://www.google.com/search?q=site%3Aunl.pt%20Engenharia%20Civil%20licenciatura" TargetMode="External"/><Relationship Id="rId743" Type="http://schemas.openxmlformats.org/officeDocument/2006/relationships/hyperlink" Target="https://www.google.com/search?q=site%3Aipg.pt%20Rep&#243;rter%20de%20Som%20e%20Imagem%20CTeSP" TargetMode="External"/><Relationship Id="rId950" Type="http://schemas.openxmlformats.org/officeDocument/2006/relationships/hyperlink" Target="https://www.google.com/search?q=site%3Aipb.pt%20Cozinha%20e%20Inova&#231;&#227;o%20Alimentar%20CTeSP" TargetMode="External"/><Relationship Id="rId1026" Type="http://schemas.openxmlformats.org/officeDocument/2006/relationships/hyperlink" Target="https://www.google.com/search?q=site%3Aipb.pt%20L&#237;nguas%20para%20Rela&#231;&#245;es%20Internacionais%20licenciatura" TargetMode="External"/><Relationship Id="rId1580" Type="http://schemas.openxmlformats.org/officeDocument/2006/relationships/hyperlink" Target="https://www.google.com/search?q=site%3Aipleiria.pt%20Direito%20do%20Consumo%20p&#243;s-gradua&#231;&#227;o" TargetMode="External"/><Relationship Id="rId2424" Type="http://schemas.openxmlformats.org/officeDocument/2006/relationships/hyperlink" Target="https://www.google.com/search?q=site%3Aipca.pt%20Desenvolvimento%20Web%20e%20Multim&#233;dia%20CTeSP" TargetMode="External"/><Relationship Id="rId2631" Type="http://schemas.openxmlformats.org/officeDocument/2006/relationships/hyperlink" Target="https://www.google.com/search?q=site%3Aipp.pt%20Criatividade%20e%20Inova&#231;&#227;o%20Empresarial%20licenciatura" TargetMode="External"/><Relationship Id="rId4389" Type="http://schemas.openxmlformats.org/officeDocument/2006/relationships/hyperlink" Target="https://www.google.com/search?q=site%3Auc.pt%20Engenharia%20de%20Seguran&#231;a%20aos%20Inc&#234;ndios%20Urbanos%20mestrado" TargetMode="External"/><Relationship Id="rId5787" Type="http://schemas.openxmlformats.org/officeDocument/2006/relationships/hyperlink" Target="https://www.google.com/search?q=site%3Aium.pt%20Ci&#234;ncias%20Militares%2C%20especialidade%20de%20Artilharia%20mestrado%20integrado" TargetMode="External"/><Relationship Id="rId603" Type="http://schemas.openxmlformats.org/officeDocument/2006/relationships/hyperlink" Target="https://www.google.com/search?q=site%3Aisla.pt%20Ciberseguran&#231;a%20p&#243;s-gradua&#231;&#227;o" TargetMode="External"/><Relationship Id="rId810" Type="http://schemas.openxmlformats.org/officeDocument/2006/relationships/hyperlink" Target="https://www.google.com/search?q=site%3Aipluso.pt%20Bioan&#225;lises%20e%20Controlo%20CTeSP" TargetMode="External"/><Relationship Id="rId1233" Type="http://schemas.openxmlformats.org/officeDocument/2006/relationships/hyperlink" Target="https://www.google.com/search?q=site%3Aipc.pt%20Sistemas%20de%20Tratamento%20de%20&#193;guas%20CTeSP" TargetMode="External"/><Relationship Id="rId1440" Type="http://schemas.openxmlformats.org/officeDocument/2006/relationships/hyperlink" Target="https://www.google.com/search?q=site%3Aipleiria.pt%20Ve&#237;culos%20El&#233;tricos%20e%20H&#237;bridos%20CTeSP" TargetMode="External"/><Relationship Id="rId4596" Type="http://schemas.openxmlformats.org/officeDocument/2006/relationships/hyperlink" Target="https://www.google.com/search?q=site%3Aulisboa.pt%20Matem&#225;tica%20licenciatura" TargetMode="External"/><Relationship Id="rId5647" Type="http://schemas.openxmlformats.org/officeDocument/2006/relationships/hyperlink" Target="https://www.google.com/search?q=site%3Aup.pt%20Recursos%20Biol&#243;gicos%20Aqu&#225;ticos%20mestrado" TargetMode="External"/><Relationship Id="rId1300" Type="http://schemas.openxmlformats.org/officeDocument/2006/relationships/hyperlink" Target="https://www.google.com/search?q=site%3Aipc.pt%20Contabilidade%20e%20Gest&#227;o%20P&#250;blica%20mestrado" TargetMode="External"/><Relationship Id="rId3198" Type="http://schemas.openxmlformats.org/officeDocument/2006/relationships/hyperlink" Target="https://www.google.com/search?q=site%3Aautonoma.pt%20Gest&#227;o%20licenciatura" TargetMode="External"/><Relationship Id="rId4249" Type="http://schemas.openxmlformats.org/officeDocument/2006/relationships/hyperlink" Target="https://www.google.com/search?q=site%3Aua.pt%20Enfermagem%20Comunit&#225;ria%2C%20na%20&#225;rea%20de%20Enfermagem%20de%20Sa&#250;de%20Familiar%20mestrado" TargetMode="External"/><Relationship Id="rId4456" Type="http://schemas.openxmlformats.org/officeDocument/2006/relationships/hyperlink" Target="https://www.google.com/search?q=site%3Auc.pt%20Patologia%20Experimental%20mestrado" TargetMode="External"/><Relationship Id="rId4663" Type="http://schemas.openxmlformats.org/officeDocument/2006/relationships/hyperlink" Target="https://www.google.com/search?q=site%3Aulisboa.pt%20Design%20de%20Comunica&#231;&#227;o%20mestrado" TargetMode="External"/><Relationship Id="rId4870" Type="http://schemas.openxmlformats.org/officeDocument/2006/relationships/hyperlink" Target="https://www.google.com/search?q=site%3Aulisboa.pt%20Engenharia%20F&#237;sica%20mestrado%20integrado" TargetMode="External"/><Relationship Id="rId5507" Type="http://schemas.openxmlformats.org/officeDocument/2006/relationships/hyperlink" Target="https://www.google.com/search?q=site%3Aup.pt%20Ci&#234;ncias%20do%20Consumo%20e%20Nutri&#231;&#227;o%20mestrado" TargetMode="External"/><Relationship Id="rId5714" Type="http://schemas.openxmlformats.org/officeDocument/2006/relationships/hyperlink" Target="https://www.google.com/search?q=site%3Auac.pt%20Ci&#234;ncias%20Biom&#233;dicas%20mestrado" TargetMode="External"/><Relationship Id="rId3058" Type="http://schemas.openxmlformats.org/officeDocument/2006/relationships/hyperlink" Target="https://www.google.com/search?q=site%3Aisvouga.pt%20Gest&#227;o%20de%20Empresas%20mestrado" TargetMode="External"/><Relationship Id="rId3265" Type="http://schemas.openxmlformats.org/officeDocument/2006/relationships/hyperlink" Target="https://www.google.com/search?q=site%3Aucp.pt%20Bio&#233;tica%20mestrado" TargetMode="External"/><Relationship Id="rId3472" Type="http://schemas.openxmlformats.org/officeDocument/2006/relationships/hyperlink" Target="https://www.google.com/search?q=site%3Aeuropeia.pt%20Psicologia%20Social%20e%20das%20Organiza&#231;&#245;es%20mestrado" TargetMode="External"/><Relationship Id="rId4109" Type="http://schemas.openxmlformats.org/officeDocument/2006/relationships/hyperlink" Target="https://www.google.com/search?q=site%3Aupt.pt%20Inova&#231;&#227;o%20em%20Educa&#231;&#227;o%20mestrado" TargetMode="External"/><Relationship Id="rId4316" Type="http://schemas.openxmlformats.org/officeDocument/2006/relationships/hyperlink" Target="https://www.google.com/search?q=site%3Auc.pt%20Jornalismo%20licenciatura" TargetMode="External"/><Relationship Id="rId4523" Type="http://schemas.openxmlformats.org/officeDocument/2006/relationships/hyperlink" Target="https://www.google.com/search?q=site%3Aulisboa.pt%20Biologia%20licenciatura" TargetMode="External"/><Relationship Id="rId4730" Type="http://schemas.openxmlformats.org/officeDocument/2006/relationships/hyperlink" Target="https://www.google.com/search?q=site%3Aulisboa.pt%20Ensino%20de%20F&#237;sica%20e%20de%20Qu&#237;mica%20no%203.&#186;%20Ciclo%20do%20Ensino%20B&#225;sico%20e%20no%20Ensino%20Secund&#225;rio%20mestrado" TargetMode="External"/><Relationship Id="rId186" Type="http://schemas.openxmlformats.org/officeDocument/2006/relationships/hyperlink" Target="https://www.google.com/search?q=site%3Aesna.pt%20Estrat&#233;gias%20e%20Pr&#225;ticas%20de%20Internacionaliza&#231;&#227;o%20para%20PME%20CTeSP" TargetMode="External"/><Relationship Id="rId393" Type="http://schemas.openxmlformats.org/officeDocument/2006/relationships/hyperlink" Target="https://www.google.com/search?q=site%3Aisave.pt%20Prote&#231;&#227;o%20Civil%20e%20Socorro%20CTeSP" TargetMode="External"/><Relationship Id="rId2074" Type="http://schemas.openxmlformats.org/officeDocument/2006/relationships/hyperlink" Target="https://www.google.com/search?q=site%3Aipt.pt%20Constru&#231;&#227;o%20e%20Reabilita&#231;&#227;o%20CTeSP" TargetMode="External"/><Relationship Id="rId2281" Type="http://schemas.openxmlformats.org/officeDocument/2006/relationships/hyperlink" Target="https://www.google.com/search?q=site%3Aipvc.pt%20Turismo%20e%20Inova&#231;&#227;o%20mestrado" TargetMode="External"/><Relationship Id="rId3125" Type="http://schemas.openxmlformats.org/officeDocument/2006/relationships/hyperlink" Target="https://www.google.com/search?q=site%3Acespu.pt%20Enfermagem%20no%20Desporto%20&#8211;%202.&#170;%20edi&#231;&#227;o%20p&#243;s-gradua&#231;&#227;o" TargetMode="External"/><Relationship Id="rId3332" Type="http://schemas.openxmlformats.org/officeDocument/2006/relationships/hyperlink" Target="https://www.google.com/search?q=site%3Aucp.pt%20Psicologia%20do%20Bem&#8209;Estar%20e%20Promo&#231;&#227;o%20da%20Sa&#250;de%20mestrado" TargetMode="External"/><Relationship Id="rId253" Type="http://schemas.openxmlformats.org/officeDocument/2006/relationships/hyperlink" Target="https://www.google.com/search?q=site%3Aegasmoniz.edu.pt%20Ortodontia%20com%20Alinhadores%20p&#243;s-gradua&#231;&#227;o" TargetMode="External"/><Relationship Id="rId460" Type="http://schemas.openxmlformats.org/officeDocument/2006/relationships/hyperlink" Target="https://www.google.com/search?q=site%3Aiscte-iul.pt%20Economia%20Social%20e%20Solid&#225;ria%20p&#243;s-gradua&#231;&#227;o" TargetMode="External"/><Relationship Id="rId1090" Type="http://schemas.openxmlformats.org/officeDocument/2006/relationships/hyperlink" Target="https://www.google.com/search?q=site%3Aipb.pt%20Design%20Circular%20e%20Sustent&#225;vel%20da%20&#193;gua%3A%20Sa&#250;de%20e%20Bem&#8209;Estar%20p&#243;s-gradua&#231;&#227;o" TargetMode="External"/><Relationship Id="rId2141" Type="http://schemas.openxmlformats.org/officeDocument/2006/relationships/hyperlink" Target="https://www.google.com/search?q=site%3Aipt.pt%20Produ&#231;&#227;o%20de%20Conte&#250;dos%20Digitais%20mestrado" TargetMode="External"/><Relationship Id="rId5297" Type="http://schemas.openxmlformats.org/officeDocument/2006/relationships/hyperlink" Target="https://www.google.com/search?q=site%3Aualg.pt%20Engenharia%20Mec&#226;nica%20licenciatura" TargetMode="External"/><Relationship Id="rId113" Type="http://schemas.openxmlformats.org/officeDocument/2006/relationships/hyperlink" Target="https://www.google.com/search?q=site%3Aesepf.pt%20Educa&#231;&#227;o%20Social%20licenciatura" TargetMode="External"/><Relationship Id="rId320" Type="http://schemas.openxmlformats.org/officeDocument/2006/relationships/hyperlink" Target="https://www.google.com/search?q=site%3Aesscvp.eu%20Hidrologia%20M&#233;dica%20e%20Climatologia%20p&#243;s-gradua&#231;&#227;o" TargetMode="External"/><Relationship Id="rId2001" Type="http://schemas.openxmlformats.org/officeDocument/2006/relationships/hyperlink" Target="https://www.google.com/search?q=site%3Aips.pt%20Biotecnologia%20licenciatura" TargetMode="External"/><Relationship Id="rId5157" Type="http://schemas.openxmlformats.org/officeDocument/2006/relationships/hyperlink" Target="https://www.google.com/search?q=site%3Auevora.pt%20Engenharia%20Inform&#225;tica%20licenciatura" TargetMode="External"/><Relationship Id="rId2958" Type="http://schemas.openxmlformats.org/officeDocument/2006/relationships/hyperlink" Target="https://www.google.com/search?q=site%3Aisag.pt%20Gest&#227;o%20de%20Empresas%20e%20Organiza&#231;&#245;es%20&#8211;%20Para%20n&#227;o%20Gestores%20&#8211;%20e&#8209;learning%20p&#243;s-gradua&#231;&#227;o" TargetMode="External"/><Relationship Id="rId5017" Type="http://schemas.openxmlformats.org/officeDocument/2006/relationships/hyperlink" Target="https://www.google.com/search?q=site%3Autad.pt%20Arquitetura%20Paisagista%20licenciatura" TargetMode="External"/><Relationship Id="rId5364" Type="http://schemas.openxmlformats.org/officeDocument/2006/relationships/hyperlink" Target="https://www.google.com/search?q=site%3Aualg.pt%20Gest&#227;o%20das%20Organiza&#231;&#245;es%20Tur&#237;sticas%20mestrado" TargetMode="External"/><Relationship Id="rId5571" Type="http://schemas.openxmlformats.org/officeDocument/2006/relationships/hyperlink" Target="https://www.google.com/search?q=site%3Aup.pt%20Ensino%20de%20Ingl&#234;s%20e%20de%20L&#237;ngua%20Estrangeira%20no%203.&#186;%20Ciclo%20do%20Ensino%20B&#225;sico%20e%20no%20Ensino%20Secund&#225;rio%2C%20nas%20&#225;reas%20de%20especializa&#231;&#227;o%20de%20Alem&#227;o%20ou%20de%20Espanhol%20ou%20de%20Franc&#234;s%20mestrado" TargetMode="External"/><Relationship Id="rId1767" Type="http://schemas.openxmlformats.org/officeDocument/2006/relationships/hyperlink" Target="https://www.google.com/search?q=site%3Aipportalegre.pt%20Produ&#231;&#227;o%20Agroflorestal%20CTeSP" TargetMode="External"/><Relationship Id="rId1974" Type="http://schemas.openxmlformats.org/officeDocument/2006/relationships/hyperlink" Target="https://www.google.com/search?q=site%3Aips.pt%20Desportos%20de%20Natureza%20CTeSP" TargetMode="External"/><Relationship Id="rId2818" Type="http://schemas.openxmlformats.org/officeDocument/2006/relationships/hyperlink" Target="https://www.google.com/search?q=site%3Aipp.pt%20Intelig&#234;ncia%20Artificial%20para%20Gest&#227;o%20de%20Recursos%20Humanos%20p&#243;s-gradua&#231;&#227;o" TargetMode="External"/><Relationship Id="rId4173" Type="http://schemas.openxmlformats.org/officeDocument/2006/relationships/hyperlink" Target="https://www.google.com/search?q=site%3Aismai.pt%20Tecnologias%20de%20Comunica&#231;&#227;o%20Multim&#233;dia%20licenciatura" TargetMode="External"/><Relationship Id="rId4380" Type="http://schemas.openxmlformats.org/officeDocument/2006/relationships/hyperlink" Target="https://www.google.com/search?q=site%3Auc.pt%20Engenharia%20F&#237;sica%20mestrado" TargetMode="External"/><Relationship Id="rId5224" Type="http://schemas.openxmlformats.org/officeDocument/2006/relationships/hyperlink" Target="https://www.google.com/search?q=site%3Auevora.pt%20Cuidados%20Integrados%20na%20Multimorbilidade%20p&#243;s-gradua&#231;&#227;o" TargetMode="External"/><Relationship Id="rId5431" Type="http://schemas.openxmlformats.org/officeDocument/2006/relationships/hyperlink" Target="https://www.google.com/search?q=site%3Aup.pt%20Criminologia%20licenciatura" TargetMode="External"/><Relationship Id="rId59" Type="http://schemas.openxmlformats.org/officeDocument/2006/relationships/hyperlink" Target="https://www.google.com/search?q=site%3Aesap.pt%20Auto&#8209;edi&#231;&#227;o%20p&#243;s-gradua&#231;&#227;o" TargetMode="External"/><Relationship Id="rId1627" Type="http://schemas.openxmlformats.org/officeDocument/2006/relationships/hyperlink" Target="https://www.google.com/search?q=site%3Aipl.pt%20Engenharia%20Biom&#233;dica%20licenciatura" TargetMode="External"/><Relationship Id="rId1834" Type="http://schemas.openxmlformats.org/officeDocument/2006/relationships/hyperlink" Target="https://www.google.com/search?q=site%3Aipsantarem.pt%20Culturas%20Arvenses%20e%20Horto&#8209;industriais%20CTeSP" TargetMode="External"/><Relationship Id="rId4033" Type="http://schemas.openxmlformats.org/officeDocument/2006/relationships/hyperlink" Target="https://www.google.com/search?q=site%3Aunl.pt%20Artes%20da%20Escrita%20p&#243;s-gradua&#231;&#227;o" TargetMode="External"/><Relationship Id="rId4240" Type="http://schemas.openxmlformats.org/officeDocument/2006/relationships/hyperlink" Target="https://www.google.com/search?q=site%3Aua.pt%20Imagem%20M&#233;dica%20e%20Radioterapia%20licenciatura" TargetMode="External"/><Relationship Id="rId3799" Type="http://schemas.openxmlformats.org/officeDocument/2006/relationships/hyperlink" Target="https://www.google.com/search?q=site%3Alusofona.pt%20Seguran&#231;a%20Inform&#225;tica%20e%20Ethical%20Hacking%20p&#243;s-gradua&#231;&#227;o" TargetMode="External"/><Relationship Id="rId4100" Type="http://schemas.openxmlformats.org/officeDocument/2006/relationships/hyperlink" Target="https://www.google.com/search?q=site%3Aupt.pt%20Turismo%20licenciatura" TargetMode="External"/><Relationship Id="rId1901" Type="http://schemas.openxmlformats.org/officeDocument/2006/relationships/hyperlink" Target="https://www.google.com/search?q=site%3Aipsantarem.pt%20Engenharia%20Agron&#243;mica%20mestrado" TargetMode="External"/><Relationship Id="rId3659" Type="http://schemas.openxmlformats.org/officeDocument/2006/relationships/hyperlink" Target="https://www.google.com/search?q=site%3Alusofona.pt%20Ci&#234;ncia%20de%20Dados%20%282024%29%20licenciatura" TargetMode="External"/><Relationship Id="rId3866" Type="http://schemas.openxmlformats.org/officeDocument/2006/relationships/hyperlink" Target="https://www.google.com/search?q=site%3Aunl.pt%20Bioqu&#237;mica%20para%20a%20Sa&#250;de%20mestrado" TargetMode="External"/><Relationship Id="rId4917" Type="http://schemas.openxmlformats.org/officeDocument/2006/relationships/hyperlink" Target="https://www.google.com/search?q=site%3Aulisboa.pt%20Curso%20de%20Especializa&#231;&#227;o%20em%20Hist&#243;ria%20e%20G&#233;nero%20p&#243;s-gradua&#231;&#227;o" TargetMode="External"/><Relationship Id="rId5081" Type="http://schemas.openxmlformats.org/officeDocument/2006/relationships/hyperlink" Target="https://www.google.com/search?q=site%3Autad.pt%20Contabilidade%20e%20Finan&#231;as%20mestrado" TargetMode="External"/><Relationship Id="rId787" Type="http://schemas.openxmlformats.org/officeDocument/2006/relationships/hyperlink" Target="https://www.google.com/search?q=site%3Aipg.pt%20Ensino%20do%201.&#186;%20Ciclo%20do%20Ensino%20B&#225;sico%20e%20de%20Portugu&#234;s%20e%20Hist&#243;ria%20e%20Geografia%20de%20Portugal%20no%202.&#186;%20Ciclo%20do%20Ensino%20B&#225;sico%20mestrado" TargetMode="External"/><Relationship Id="rId994" Type="http://schemas.openxmlformats.org/officeDocument/2006/relationships/hyperlink" Target="https://www.google.com/search?q=site%3Aipb.pt%20Ci&#234;ncias%20Biom&#233;dicas%20Laboratoriais%20licenciatura" TargetMode="External"/><Relationship Id="rId2468" Type="http://schemas.openxmlformats.org/officeDocument/2006/relationships/hyperlink" Target="https://www.google.com/search?q=site%3Aipca.pt%20Tecnologias%20Avan&#231;adas%20de%20Constru&#231;&#227;o%20CTeSP" TargetMode="External"/><Relationship Id="rId2675" Type="http://schemas.openxmlformats.org/officeDocument/2006/relationships/hyperlink" Target="https://www.google.com/search?q=site%3Aipp.pt%20Sa&#250;de%20Ambiental%20licenciatura" TargetMode="External"/><Relationship Id="rId2882" Type="http://schemas.openxmlformats.org/officeDocument/2006/relationships/hyperlink" Target="https://www.google.com/search?q=site%3Aisdd.pt%20Engenharia%20de%20Produ&#231;&#227;o%20Industrial%20licenciatura" TargetMode="External"/><Relationship Id="rId3519" Type="http://schemas.openxmlformats.org/officeDocument/2006/relationships/hyperlink" Target="https://www.google.com/search?q=site%3Aufp.pt%20A&#231;&#227;o%20Humanit&#225;ria%20mestrado" TargetMode="External"/><Relationship Id="rId3726" Type="http://schemas.openxmlformats.org/officeDocument/2006/relationships/hyperlink" Target="https://www.google.com/search?q=site%3Alusofona.pt%20Ci&#234;ncias%20de%20Dados%20aplicada%20a%20Sistemas%20de%20Informa&#231;&#227;o%20Geogr&#225;fica%20mestrado" TargetMode="External"/><Relationship Id="rId3933" Type="http://schemas.openxmlformats.org/officeDocument/2006/relationships/hyperlink" Target="https://www.google.com/search?q=site%3Aunl.pt%20Estudos%20Portugueses%20mestrado" TargetMode="External"/><Relationship Id="rId647" Type="http://schemas.openxmlformats.org/officeDocument/2006/relationships/hyperlink" Target="https://www.google.com/search?q=site%3Aistec.pt%20Design%20e%20Multim&#233;dia%20CTeSP" TargetMode="External"/><Relationship Id="rId854" Type="http://schemas.openxmlformats.org/officeDocument/2006/relationships/hyperlink" Target="https://www.google.com/search?q=site%3Aipluso.pt%20P&#243;s&#8209;Gradua&#231;&#227;o%20em%20Gest&#227;o%20de%20Opera&#231;&#245;es%20e%20Log&#237;stica%20p&#243;s-gradua&#231;&#227;o" TargetMode="External"/><Relationship Id="rId1277" Type="http://schemas.openxmlformats.org/officeDocument/2006/relationships/hyperlink" Target="https://www.google.com/search?q=site%3Aipc.pt%20Marketing%20licenciatura" TargetMode="External"/><Relationship Id="rId1484" Type="http://schemas.openxmlformats.org/officeDocument/2006/relationships/hyperlink" Target="https://www.google.com/search?q=site%3Aipleiria.pt%20Solicitadoria%20licenciatura" TargetMode="External"/><Relationship Id="rId1691" Type="http://schemas.openxmlformats.org/officeDocument/2006/relationships/hyperlink" Target="https://www.google.com/search?q=site%3Aipl.pt%20Ensino%20do%201.&#186;%20Ciclo%20do%20Ensino%20B&#225;sico%20e%20de%20Matem&#225;tica%20e%20Ci&#234;ncias%20Naturais%20no%202.&#186;%20Ciclo%20do%20Ensino%20B&#225;sico%20mestrado" TargetMode="External"/><Relationship Id="rId2328" Type="http://schemas.openxmlformats.org/officeDocument/2006/relationships/hyperlink" Target="https://www.google.com/search?q=site%3Aipv.pt%20Sistemas%20de%20Informa&#231;&#227;o%20Geogr&#225;fica%20aplicados%20&#224;%20Agricultura%20CTeSP" TargetMode="External"/><Relationship Id="rId2535" Type="http://schemas.openxmlformats.org/officeDocument/2006/relationships/hyperlink" Target="https://www.google.com/search?q=site%3Aipca.pt%20Contrata&#231;&#227;o%20P&#250;blica%20p&#243;s-gradua&#231;&#227;o" TargetMode="External"/><Relationship Id="rId2742" Type="http://schemas.openxmlformats.org/officeDocument/2006/relationships/hyperlink" Target="https://www.google.com/search?q=site%3Aipp.pt%20Ensino%20em%20L&#237;ngua%20Gestual%20Portuguesa%20mestrado" TargetMode="External"/><Relationship Id="rId507" Type="http://schemas.openxmlformats.org/officeDocument/2006/relationships/hyperlink" Target="https://www.google.com/search?q=site%3Aisec.pt%20Engenharia%20e%20Gest&#227;o%20Industrial%20licenciatura" TargetMode="External"/><Relationship Id="rId714" Type="http://schemas.openxmlformats.org/officeDocument/2006/relationships/hyperlink" Target="https://www.google.com/search?q=site%3Aipg.pt%20Constru&#231;&#227;o%20Sustent&#225;vel%20CTeSP" TargetMode="External"/><Relationship Id="rId921" Type="http://schemas.openxmlformats.org/officeDocument/2006/relationships/hyperlink" Target="https://www.google.com/search?q=site%3Aipbeja.pt%20Engenharia%20de%20Ciberseguran&#231;a%20e%20Cibercrime%20mestrado" TargetMode="External"/><Relationship Id="rId1137" Type="http://schemas.openxmlformats.org/officeDocument/2006/relationships/hyperlink" Target="https://www.google.com/search?q=site%3Aipcb.pt%20Design%20de%20Moda%20e%20T&#234;xtil%20licenciatura" TargetMode="External"/><Relationship Id="rId1344" Type="http://schemas.openxmlformats.org/officeDocument/2006/relationships/hyperlink" Target="https://www.google.com/search?q=site%3Aipc.pt%20Cadastro%20Predial%20p&#243;s-gradua&#231;&#227;o" TargetMode="External"/><Relationship Id="rId1551" Type="http://schemas.openxmlformats.org/officeDocument/2006/relationships/hyperlink" Target="https://www.google.com/search?q=site%3Aipleiria.pt%20Gest&#227;o%20Hoteleira%20mestrado" TargetMode="External"/><Relationship Id="rId2602" Type="http://schemas.openxmlformats.org/officeDocument/2006/relationships/hyperlink" Target="https://www.google.com/search?q=site%3Aipp.pt%20Rela&#231;&#245;es%20P&#250;blicas%20e%20Organiza&#231;&#227;o%20de%20Eventos%20CTeSP" TargetMode="External"/><Relationship Id="rId5758" Type="http://schemas.openxmlformats.org/officeDocument/2006/relationships/hyperlink" Target="https://www.google.com/search?q=site%3Auac.pt%20Direito%20e%20Pr&#225;ticas%20Processuais%20&#8211;%205.&#170;%20edi&#231;&#227;o%20p&#243;s-gradua&#231;&#227;o" TargetMode="External"/><Relationship Id="rId50" Type="http://schemas.openxmlformats.org/officeDocument/2006/relationships/hyperlink" Target="https://www.google.com/search?q=site%3Aesap.pt%20Artes%20Visuais.%20Pr&#225;ticas%20Art&#237;sticas%20e%20Investiga&#231;&#227;o%20mestrado" TargetMode="External"/><Relationship Id="rId1204" Type="http://schemas.openxmlformats.org/officeDocument/2006/relationships/hyperlink" Target="https://www.google.com/search?q=site%3Aipc.pt%20An&#225;lises%20Agroalimentares%20CTeSP" TargetMode="External"/><Relationship Id="rId1411" Type="http://schemas.openxmlformats.org/officeDocument/2006/relationships/hyperlink" Target="https://www.google.com/search?q=site%3Aipleiria.pt%20Marketing%20Digital%20no%20Turismo%20CTeSP" TargetMode="External"/><Relationship Id="rId4567" Type="http://schemas.openxmlformats.org/officeDocument/2006/relationships/hyperlink" Target="https://www.google.com/search?q=site%3Aulisboa.pt%20Engenharia%20de%20Telecomunica&#231;&#245;es%20e%20Inform&#225;tica%20licenciatura" TargetMode="External"/><Relationship Id="rId4774" Type="http://schemas.openxmlformats.org/officeDocument/2006/relationships/hyperlink" Target="https://www.google.com/search?q=site%3Aulisboa.pt%20Hist&#243;ria%20mestrado" TargetMode="External"/><Relationship Id="rId5618" Type="http://schemas.openxmlformats.org/officeDocument/2006/relationships/hyperlink" Target="https://www.google.com/search?q=site%3Aup.pt%20Mec&#226;nica%20Computacional%20mestrado" TargetMode="External"/><Relationship Id="rId3169" Type="http://schemas.openxmlformats.org/officeDocument/2006/relationships/hyperlink" Target="https://www.google.com/search?q=site%3Auab.pt%20Empreendedorismo%20e%20Cidadania%20Global%20mestrado" TargetMode="External"/><Relationship Id="rId3376" Type="http://schemas.openxmlformats.org/officeDocument/2006/relationships/hyperlink" Target="https://www.google.com/search?q=site%3Aucp.pt%20Sustentabilidade%20e%20Impacto%20%28P&#243;s&#8209;gradua&#231;&#227;o%20em%20Gest&#227;o%20de%20Impacto%20e%20Sustentabilidade%29%20p&#243;s-gradua&#231;&#227;o" TargetMode="External"/><Relationship Id="rId3583" Type="http://schemas.openxmlformats.org/officeDocument/2006/relationships/hyperlink" Target="https://www.google.com/search?q=site%3Aulusiada.pt%20Gest&#227;o%20de%20Recursos%20Humanos%20licenciatura" TargetMode="External"/><Relationship Id="rId4427" Type="http://schemas.openxmlformats.org/officeDocument/2006/relationships/hyperlink" Target="https://www.google.com/search?q=site%3Auc.pt%20Gest&#227;o%20Sustent&#225;vel%20do%20Ciclo%20Urbano%20da%20&#193;gua%20mestrado" TargetMode="External"/><Relationship Id="rId4981" Type="http://schemas.openxmlformats.org/officeDocument/2006/relationships/hyperlink" Target="https://www.google.com/search?q=site%3Aulisboa.pt%20Oncobiologia%20p&#243;s-gradua&#231;&#227;o" TargetMode="External"/><Relationship Id="rId297" Type="http://schemas.openxmlformats.org/officeDocument/2006/relationships/hyperlink" Target="https://www.google.com/search?q=site%3Aesscvp.eu%20Imagem%20M&#233;dica%20e%20Radioterapia%20licenciatura" TargetMode="External"/><Relationship Id="rId2185" Type="http://schemas.openxmlformats.org/officeDocument/2006/relationships/hyperlink" Target="https://www.google.com/search?q=site%3Aipvc.pt%20Mecatr&#243;nica%20CTeSP" TargetMode="External"/><Relationship Id="rId2392" Type="http://schemas.openxmlformats.org/officeDocument/2006/relationships/hyperlink" Target="https://www.google.com/search?q=site%3Aipv.pt%20Ensino%20do%201.&#186;%20Ciclo%20do%20Ensino%20B&#225;sico%20e%20de%20Matem&#225;tica%20e%20Ci&#234;ncias%20Naturais%20no%202.&#186;%20Ciclo%20do%20Ensino%20B&#225;sico%20mestrado" TargetMode="External"/><Relationship Id="rId3029" Type="http://schemas.openxmlformats.org/officeDocument/2006/relationships/hyperlink" Target="https://www.google.com/search?q=site%3Aiscia.pt%20Psicogerontologia%20CTeSP" TargetMode="External"/><Relationship Id="rId3236" Type="http://schemas.openxmlformats.org/officeDocument/2006/relationships/hyperlink" Target="https://www.google.com/search?q=site%3Aucp.pt%20Direito%20licenciatura" TargetMode="External"/><Relationship Id="rId3790" Type="http://schemas.openxmlformats.org/officeDocument/2006/relationships/hyperlink" Target="https://www.google.com/search?q=site%3Alusofona.pt%20Pr&#225;ticas%20Avan&#231;adas%20de%20Gest&#227;o%20de%20Pessoas%20p&#243;s-gradua&#231;&#227;o" TargetMode="External"/><Relationship Id="rId4634" Type="http://schemas.openxmlformats.org/officeDocument/2006/relationships/hyperlink" Target="https://www.google.com/search?q=site%3Aulisboa.pt%20Ci&#234;ncia%20de%20Dados%20mestrado" TargetMode="External"/><Relationship Id="rId4841" Type="http://schemas.openxmlformats.org/officeDocument/2006/relationships/hyperlink" Target="https://www.google.com/search?q=site%3Aulisboa.pt%20Seguran&#231;a%20Inform&#225;tica%20mestrado" TargetMode="External"/><Relationship Id="rId157" Type="http://schemas.openxmlformats.org/officeDocument/2006/relationships/hyperlink" Target="https://www.google.com/search?q=site%3Asjcluny.org%20Enfermagem%20Comunit&#225;ria%20mestrado" TargetMode="External"/><Relationship Id="rId364" Type="http://schemas.openxmlformats.org/officeDocument/2006/relationships/hyperlink" Target="https://www.google.com/search?q=site%3Asantamaria.pt%20P&#243;s&#8209;Gradua&#231;&#227;o%20em%20Gest&#227;o%20dos%20Servi&#231;os%20de%20Sa&#250;de%20p&#243;s-gradua&#231;&#227;o" TargetMode="External"/><Relationship Id="rId2045" Type="http://schemas.openxmlformats.org/officeDocument/2006/relationships/hyperlink" Target="https://www.google.com/search?q=site%3Aips.pt%20Ensino%20do%201.&#186;%20Ciclo%20do%20Ensino%20B&#225;sico%20e%20de%20Portugu&#234;s%20e%20Hist&#243;ria%20e%20Geografia%20de%20Portugal%20no%202.&#186;%20Ciclo%20do%20Ensino%20B&#225;sico%20mestrado" TargetMode="External"/><Relationship Id="rId3443" Type="http://schemas.openxmlformats.org/officeDocument/2006/relationships/hyperlink" Target="https://www.google.com/search?q=site%3Aeuropeia.pt%20Design%20de%20Produto%2C%20do%20Espa&#231;o%20e%20de%20Intera&#231;&#245;es%20mestrado" TargetMode="External"/><Relationship Id="rId3650" Type="http://schemas.openxmlformats.org/officeDocument/2006/relationships/hyperlink" Target="https://www.google.com/search?q=site%3Alusofona.pt%20Biologia%20licenciatura" TargetMode="External"/><Relationship Id="rId4701" Type="http://schemas.openxmlformats.org/officeDocument/2006/relationships/hyperlink" Target="https://www.google.com/search?q=site%3Aulisboa.pt%20Engenharia%20Florestal%20e%20dos%20Recursos%20Naturais%20mestrado" TargetMode="External"/><Relationship Id="rId571" Type="http://schemas.openxmlformats.org/officeDocument/2006/relationships/hyperlink" Target="https://www.google.com/search?q=site%3Aiseclisboa.pt%20Riscos%20e%20Prote&#231;&#227;o%20Civil%20mestrado" TargetMode="External"/><Relationship Id="rId2252" Type="http://schemas.openxmlformats.org/officeDocument/2006/relationships/hyperlink" Target="https://www.google.com/search?q=site%3Aipvc.pt%20Enfermagem%20M&#233;dico&#8209;Cir&#250;rgica%20na%20&#225;rea%20de%20Enfermagem%20&#224;%20Pessoa%20em%20Situa&#231;&#227;o%20Cr&#237;tica%20mestrado" TargetMode="External"/><Relationship Id="rId3303" Type="http://schemas.openxmlformats.org/officeDocument/2006/relationships/hyperlink" Target="https://www.google.com/search?q=site%3Aucp.pt%20Gest&#227;o%20mestrado" TargetMode="External"/><Relationship Id="rId3510" Type="http://schemas.openxmlformats.org/officeDocument/2006/relationships/hyperlink" Target="https://www.google.com/search?q=site%3Aufp.pt%20Ci&#234;ncias%20da%20Comunica&#231;&#227;o%20licenciatura" TargetMode="External"/><Relationship Id="rId224" Type="http://schemas.openxmlformats.org/officeDocument/2006/relationships/hyperlink" Target="https://www.google.com/search?q=site%3Aegasmoniz.edu.pt%20Psicologia%20licenciatura" TargetMode="External"/><Relationship Id="rId431" Type="http://schemas.openxmlformats.org/officeDocument/2006/relationships/hyperlink" Target="https://ibs.iscte-iul.pt/curso/codigo/9147/licenciatura-gestao" TargetMode="External"/><Relationship Id="rId1061" Type="http://schemas.openxmlformats.org/officeDocument/2006/relationships/hyperlink" Target="https://www.google.com/search?q=site%3Aipb.pt%20Engenharia%20Qu&#237;mica%20mestrado" TargetMode="External"/><Relationship Id="rId2112" Type="http://schemas.openxmlformats.org/officeDocument/2006/relationships/hyperlink" Target="https://www.google.com/search?q=site%3Aipt.pt%20Conserva&#231;&#227;o%20e%20Restauro%20licenciatura" TargetMode="External"/><Relationship Id="rId5268" Type="http://schemas.openxmlformats.org/officeDocument/2006/relationships/hyperlink" Target="https://www.google.com/search?q=site%3Aualg.pt%20Tecnologia%20e%20Manuten&#231;&#227;o%20Autom&#243;vel%20CTeSP" TargetMode="External"/><Relationship Id="rId5475" Type="http://schemas.openxmlformats.org/officeDocument/2006/relationships/hyperlink" Target="https://www.google.com/search?q=site%3Aup.pt%20Arquitetura%20Paisagista%20mestrado" TargetMode="External"/><Relationship Id="rId5682" Type="http://schemas.openxmlformats.org/officeDocument/2006/relationships/hyperlink" Target="https://www.google.com/search?q=site%3Aup.pt%20Medicina%20Veterin&#225;ria%20mestrado%20integrado" TargetMode="External"/><Relationship Id="rId1878" Type="http://schemas.openxmlformats.org/officeDocument/2006/relationships/hyperlink" Target="https://www.google.com/search?q=site%3Aipsantarem.pt%20Gest&#227;o%20de%20Marketing%20licenciatura" TargetMode="External"/><Relationship Id="rId2929" Type="http://schemas.openxmlformats.org/officeDocument/2006/relationships/hyperlink" Target="https://www.google.com/search?q=site%3Aispgaya.pt%20Gest&#227;o%20Hoteleira%20CTeSP" TargetMode="External"/><Relationship Id="rId4077" Type="http://schemas.openxmlformats.org/officeDocument/2006/relationships/hyperlink" Target="https://www.google.com/search?q=site%3Aunl.pt%20Mercados%20e%20Riscos%20Financeiros%20p&#243;s-gradua&#231;&#227;o" TargetMode="External"/><Relationship Id="rId4284" Type="http://schemas.openxmlformats.org/officeDocument/2006/relationships/hyperlink" Target="https://www.google.com/search?q=site%3Auc.pt%20Design%20de%20Comunica&#231;&#227;o%20licenciatura" TargetMode="External"/><Relationship Id="rId4491" Type="http://schemas.openxmlformats.org/officeDocument/2006/relationships/hyperlink" Target="https://www.google.com/search?q=site%3Auc.pt%20Treino%20Desportivo%20mestrado" TargetMode="External"/><Relationship Id="rId5128" Type="http://schemas.openxmlformats.org/officeDocument/2006/relationships/hyperlink" Target="https://www.google.com/search?q=site%3Autad.pt%20Seguran&#231;a%20Alimentar%20mestrado" TargetMode="External"/><Relationship Id="rId5335" Type="http://schemas.openxmlformats.org/officeDocument/2006/relationships/hyperlink" Target="https://www.google.com/search?q=site%3Aualg.pt%20Desporto%20de%20Recrea&#231;&#227;o%20mestrado" TargetMode="External"/><Relationship Id="rId5542" Type="http://schemas.openxmlformats.org/officeDocument/2006/relationships/hyperlink" Target="https://www.google.com/search?q=site%3Aup.pt%20Engenharia%20Biom&#233;dica%20mestrado" TargetMode="External"/><Relationship Id="rId1738" Type="http://schemas.openxmlformats.org/officeDocument/2006/relationships/hyperlink" Target="https://www.google.com/search?q=site%3Aipl.pt%20Pedagogia%20Inclusiva%20p&#243;s-gradua&#231;&#227;o" TargetMode="External"/><Relationship Id="rId3093" Type="http://schemas.openxmlformats.org/officeDocument/2006/relationships/hyperlink" Target="https://www.google.com/search?q=site%3Acespu.pt%20Apoio%20ao%20Consult&#243;rio%20M&#233;dico%20e%20Dent&#225;rio%20CTeSP" TargetMode="External"/><Relationship Id="rId4144" Type="http://schemas.openxmlformats.org/officeDocument/2006/relationships/hyperlink" Target="https://www.google.com/search?q=site%3Aubi.pt%20Inform&#225;tica%20Web%2C%20M&#243;vel%20e%20na%20Nuvem%20licenciatura" TargetMode="External"/><Relationship Id="rId4351" Type="http://schemas.openxmlformats.org/officeDocument/2006/relationships/hyperlink" Target="https://www.google.com/search?q=site%3Auc.pt%20Cidades%20e%20Comunidades%20Sustent&#225;veis%20mestrado" TargetMode="External"/><Relationship Id="rId5402" Type="http://schemas.openxmlformats.org/officeDocument/2006/relationships/hyperlink" Target="https://www.google.com/search?q=site%3Aualg.pt%20Metodologias%20e%20T&#233;cnicas%20em%20Projetos%20de%20Investiga&#231;&#227;o%20p&#243;s-gradua&#231;&#227;o" TargetMode="External"/><Relationship Id="rId1945" Type="http://schemas.openxmlformats.org/officeDocument/2006/relationships/hyperlink" Target="https://www.google.com/search?q=site%3Acespu.pt%20Cuidados%20de%20Enfermagem%20em%20Cardiologia%20&#8211;%201.&#170;%20edi&#231;&#227;o%20p&#243;s-gradua&#231;&#227;o" TargetMode="External"/><Relationship Id="rId3160" Type="http://schemas.openxmlformats.org/officeDocument/2006/relationships/hyperlink" Target="https://www.google.com/search?q=site%3Auab.pt%20L&#237;nguas%20Aplicadas%20licenciatura" TargetMode="External"/><Relationship Id="rId4004" Type="http://schemas.openxmlformats.org/officeDocument/2006/relationships/hyperlink" Target="https://www.google.com/search?q=site%3Aunl.pt%20Sa&#250;de%20Tropical%20mestrado" TargetMode="External"/><Relationship Id="rId4211" Type="http://schemas.openxmlformats.org/officeDocument/2006/relationships/hyperlink" Target="https://www.google.com/search?q=site%3Aua.pt%20Gest&#227;o%20de%20Processos%20Industriais%20CTeSP" TargetMode="External"/><Relationship Id="rId1805" Type="http://schemas.openxmlformats.org/officeDocument/2006/relationships/hyperlink" Target="https://www.google.com/search?q=site%3Aipportalegre.pt%20Direito%20Transnacional%20mestrado" TargetMode="External"/><Relationship Id="rId3020" Type="http://schemas.openxmlformats.org/officeDocument/2006/relationships/hyperlink" Target="https://www.google.com/search?q=site%3Aiscet.pt%20Turismo%20e%20Gest&#227;o%20Hoteleira%20p&#243;s-gradua&#231;&#227;o" TargetMode="External"/><Relationship Id="rId3977" Type="http://schemas.openxmlformats.org/officeDocument/2006/relationships/hyperlink" Target="https://www.google.com/search?q=site%3Aunl.pt%20Matem&#225;tica%20e%20Aplica&#231;&#245;es%20mestrado" TargetMode="External"/><Relationship Id="rId898" Type="http://schemas.openxmlformats.org/officeDocument/2006/relationships/hyperlink" Target="https://www.google.com/search?q=site%3Aipbeja.pt%20Ci&#234;ncia%20e%20Tecnologia%20dos%20Alimentos%20licenciatura" TargetMode="External"/><Relationship Id="rId2579" Type="http://schemas.openxmlformats.org/officeDocument/2006/relationships/hyperlink" Target="https://www.google.com/search?q=site%3Aipp.pt%20Georrecursos%2C%20Constru&#231;&#227;o%20e%20Ambiente%20CTeSP" TargetMode="External"/><Relationship Id="rId2786" Type="http://schemas.openxmlformats.org/officeDocument/2006/relationships/hyperlink" Target="https://www.google.com/search?q=site%3Aipp.pt%20Audiodescri&#231;&#227;o%20para%20as%20Ind&#250;strias%20Criativas%20p&#243;s-gradua&#231;&#227;o" TargetMode="External"/><Relationship Id="rId2993" Type="http://schemas.openxmlformats.org/officeDocument/2006/relationships/hyperlink" Target="https://www.google.com/search?q=site%3Aisced.pt%20Interven&#231;&#227;o%20em%20contextos%20de%20vulnerabilidade%20e%20risco%20social%20&#8211;%204.&#170;%20edi&#231;&#227;o%20p&#243;s-gradua&#231;&#227;o" TargetMode="External"/><Relationship Id="rId3837" Type="http://schemas.openxmlformats.org/officeDocument/2006/relationships/hyperlink" Target="https://www.google.com/search?q=site%3Aunl.pt%20Filosofia%20licenciatura" TargetMode="External"/><Relationship Id="rId5192" Type="http://schemas.openxmlformats.org/officeDocument/2006/relationships/hyperlink" Target="https://www.google.com/search?q=site%3Auevora.pt%20Engenharia%20e%20Gest&#227;o%20de%20Aquacultura%20mestrado" TargetMode="External"/><Relationship Id="rId758" Type="http://schemas.openxmlformats.org/officeDocument/2006/relationships/hyperlink" Target="https://www.google.com/search?q=site%3Aipg.pt%20Educa&#231;&#227;o%20B&#225;sica%20licenciatura" TargetMode="External"/><Relationship Id="rId965" Type="http://schemas.openxmlformats.org/officeDocument/2006/relationships/hyperlink" Target="https://www.google.com/search?q=site%3Aipb.pt%20Gest&#227;o%20de%20Marketing%20e%20Com&#233;rcio%20Eletr&#243;nico%20CTeSP" TargetMode="External"/><Relationship Id="rId1388" Type="http://schemas.openxmlformats.org/officeDocument/2006/relationships/hyperlink" Target="https://www.google.com/search?q=site%3Aipleiria.pt%20Constru&#231;&#227;o%20Civil%20CTeSP" TargetMode="External"/><Relationship Id="rId1595" Type="http://schemas.openxmlformats.org/officeDocument/2006/relationships/hyperlink" Target="https://www.google.com/search?q=site%3Aipleiria.pt%20Gest&#227;o%20de%20Unidades%20de%20Sa&#250;de%20&#8211;%205.&#170;%20Edi&#231;&#227;o%20p&#243;s-gradua&#231;&#227;o" TargetMode="External"/><Relationship Id="rId2439" Type="http://schemas.openxmlformats.org/officeDocument/2006/relationships/hyperlink" Target="https://www.google.com/search?q=site%3Aipca.pt%20Gest&#227;o%20de%20Redes%20e%20Telecomunica&#231;&#245;es%20Avan&#231;adas%20CTeSP" TargetMode="External"/><Relationship Id="rId2646" Type="http://schemas.openxmlformats.org/officeDocument/2006/relationships/hyperlink" Target="https://www.google.com/search?q=site%3Aipp.pt%20Engenharia%20Qu&#237;mica%20licenciatura" TargetMode="External"/><Relationship Id="rId2853" Type="http://schemas.openxmlformats.org/officeDocument/2006/relationships/hyperlink" Target="https://www.google.com/search?q=site%3Aipam.pt%20Marketing%20mestrado" TargetMode="External"/><Relationship Id="rId3904" Type="http://schemas.openxmlformats.org/officeDocument/2006/relationships/hyperlink" Target="https://www.google.com/search?q=site%3Aunl.pt%20Engenharia%20Civil%20-%20Estruturas%20e%20Geotecnia%20mestrado" TargetMode="External"/><Relationship Id="rId5052" Type="http://schemas.openxmlformats.org/officeDocument/2006/relationships/hyperlink" Target="https://www.google.com/search?q=site%3Autad.pt%20L&#237;nguas%2C%20Literaturas%20e%20Culturas%20licenciatura" TargetMode="External"/><Relationship Id="rId94" Type="http://schemas.openxmlformats.org/officeDocument/2006/relationships/hyperlink" Target="https://www.google.com/search?q=site%3Ajoaodedeus.pt%20Educa&#231;&#227;o%20Art&#237;stica%20e%20Criatividade%20na%20Educa&#231;&#227;o%20Pr&#233;&#8209;Escolar%20e%201.&#186;%20CEB%20p&#243;s-gradua&#231;&#227;o" TargetMode="External"/><Relationship Id="rId618" Type="http://schemas.openxmlformats.org/officeDocument/2006/relationships/hyperlink" Target="https://www.google.com/search?q=site%3Aisla.pt%20MBA%20Executivo%20Pessoas%2C%20Sa&#250;de%20Mental%20e%20Felicidade%20p&#243;s-gradua&#231;&#227;o%20executiva" TargetMode="External"/><Relationship Id="rId825" Type="http://schemas.openxmlformats.org/officeDocument/2006/relationships/hyperlink" Target="https://www.google.com/search?q=site%3Aipluso.pt%20Produ&#231;&#227;o%20de%20Conte&#250;dos%20Audiovisuais%20CTeSP" TargetMode="External"/><Relationship Id="rId1248" Type="http://schemas.openxmlformats.org/officeDocument/2006/relationships/hyperlink" Target="https://www.google.com/search?q=site%3Aipc.pt%20Ci&#234;ncias%20Florestais%20e%20Recursos%20Naturais%20licenciatura" TargetMode="External"/><Relationship Id="rId1455" Type="http://schemas.openxmlformats.org/officeDocument/2006/relationships/hyperlink" Target="https://www.google.com/search?q=site%3Aipleiria.pt%20Diet&#233;tica%20e%20Nutri&#231;&#227;o%20licenciatura" TargetMode="External"/><Relationship Id="rId1662" Type="http://schemas.openxmlformats.org/officeDocument/2006/relationships/hyperlink" Target="https://www.google.com/search?q=site%3Aipl.pt%20Audiovisual%20e%20Multim&#233;dia%20mestrado" TargetMode="External"/><Relationship Id="rId2506" Type="http://schemas.openxmlformats.org/officeDocument/2006/relationships/hyperlink" Target="https://www.google.com/search?q=site%3Aipca.pt%20Gest&#227;o%20mestrado" TargetMode="External"/><Relationship Id="rId1108" Type="http://schemas.openxmlformats.org/officeDocument/2006/relationships/hyperlink" Target="https://www.google.com/search?q=site%3Aipcb.pt%20Automa&#231;&#227;o%20e%20Gest&#227;o%20Industrial%20CTeSP" TargetMode="External"/><Relationship Id="rId1315" Type="http://schemas.openxmlformats.org/officeDocument/2006/relationships/hyperlink" Target="https://www.google.com/search?q=site%3Aipc.pt%20Ensino%20do%201.&#186;%20CEB%20e%20de%20Portugu&#234;s%20e%20Hist&#243;ria%20e%20Geografia%20de%20Portugal%20no%202.&#186;%20CEB%20mestrado" TargetMode="External"/><Relationship Id="rId2713" Type="http://schemas.openxmlformats.org/officeDocument/2006/relationships/hyperlink" Target="https://www.google.com/search?q=site%3Aipp.pt%20Did&#225;tica%20do%20Portugu&#234;s%20na%20Era%20Digital%20mestrado" TargetMode="External"/><Relationship Id="rId2920" Type="http://schemas.openxmlformats.org/officeDocument/2006/relationships/hyperlink" Target="https://www.google.com/search?q=site%3Aismt.pt%20Interven&#231;&#227;o%20com%20Doentes%20de%20Alzheimer%20e%20Outras%20Dem&#234;ncias%20&#8211;%208&#170;%20edi&#231;&#227;o%20p&#243;s-gradua&#231;&#227;o" TargetMode="External"/><Relationship Id="rId4678" Type="http://schemas.openxmlformats.org/officeDocument/2006/relationships/hyperlink" Target="https://www.google.com/search?q=site%3Aulisboa.pt%20Ecologia%20das%20Altera&#231;&#245;es%20Globais%20e%20Gest&#227;o%20da%20Biodiversidade%20&#8211;%20Erasmus%20Mundus%20mestrado" TargetMode="External"/><Relationship Id="rId1522" Type="http://schemas.openxmlformats.org/officeDocument/2006/relationships/hyperlink" Target="https://www.google.com/search?q=site%3Aipleiria.pt%20Educa&#231;&#227;o%20Pr&#233;-Escolar%20mestrado" TargetMode="External"/><Relationship Id="rId4885" Type="http://schemas.openxmlformats.org/officeDocument/2006/relationships/hyperlink" Target="https://www.google.com/search?q=site%3Aulisboa.pt%20An&#225;lise%20de%20Dados%20em%20Psicologia%20p&#243;s-gradua&#231;&#227;o" TargetMode="External"/><Relationship Id="rId5729" Type="http://schemas.openxmlformats.org/officeDocument/2006/relationships/hyperlink" Target="https://www.google.com/search?q=site%3Auac.pt%20Ensino%20de%20Portugu&#234;s%20e%20Ingl&#234;s%20no%202.&#186;%20Ciclo%20do%20Ensino%20B&#225;sico%20mestrado" TargetMode="External"/><Relationship Id="rId21" Type="http://schemas.openxmlformats.org/officeDocument/2006/relationships/hyperlink" Target="https://www.google.com/search?q=site%3Auatlantica.pt%20P&#243;s-Gradua&#231;&#227;o%20em%20Data%20Science%20%28PGDS%29%20p&#243;s-gradua&#231;&#227;o" TargetMode="External"/><Relationship Id="rId2089" Type="http://schemas.openxmlformats.org/officeDocument/2006/relationships/hyperlink" Target="https://www.google.com/search?q=site%3Aipt.pt%20Inform&#225;tica%20de%20Gest&#227;o%20CTeSP" TargetMode="External"/><Relationship Id="rId3487" Type="http://schemas.openxmlformats.org/officeDocument/2006/relationships/hyperlink" Target="https://www.google.com/search?q=site%3Aeuropeia.pt%20P&#243;s&#8209;Gradua&#231;&#227;o%20em%20Game%20Design%20%28IADE%29%20/%20Postgraduate%20Program%20in%20Game%20Design%20p&#243;s-gradua&#231;&#227;o" TargetMode="External"/><Relationship Id="rId3694" Type="http://schemas.openxmlformats.org/officeDocument/2006/relationships/hyperlink" Target="https://www.google.com/search?q=site%3Alusofona.pt%20Fotografia%20licenciatura" TargetMode="External"/><Relationship Id="rId4538" Type="http://schemas.openxmlformats.org/officeDocument/2006/relationships/hyperlink" Target="https://www.google.com/search?q=site%3Aulisboa.pt%20Design%20de%20Moda%20licenciatura" TargetMode="External"/><Relationship Id="rId4745" Type="http://schemas.openxmlformats.org/officeDocument/2006/relationships/hyperlink" Target="https://www.google.com/search?q=site%3Aulisboa.pt%20Estudos%20Cl&#225;ssicos%20mestrado" TargetMode="External"/><Relationship Id="rId4952" Type="http://schemas.openxmlformats.org/officeDocument/2006/relationships/hyperlink" Target="https://www.google.com/search?q=site%3Aulisboa.pt%20Gest&#227;o%20de%20Institui&#231;&#245;es%20de%20Sa&#250;de%20p&#243;s-gradua&#231;&#227;o" TargetMode="External"/><Relationship Id="rId2296" Type="http://schemas.openxmlformats.org/officeDocument/2006/relationships/hyperlink" Target="https://www.google.com/search?q=site%3Aipv.pt%20An&#225;lises%20Laboratoriais%20CTeSP" TargetMode="External"/><Relationship Id="rId3347" Type="http://schemas.openxmlformats.org/officeDocument/2006/relationships/hyperlink" Target="https://www.google.com/search?q=site%3Aucp.pt%20Teologia%20mestrado%20integrado" TargetMode="External"/><Relationship Id="rId3554" Type="http://schemas.openxmlformats.org/officeDocument/2006/relationships/hyperlink" Target="https://www.google.com/search?q=site%3Aufp.pt%20Medicina%20Social%20p&#243;s-gradua&#231;&#227;o" TargetMode="External"/><Relationship Id="rId3761" Type="http://schemas.openxmlformats.org/officeDocument/2006/relationships/hyperlink" Target="https://www.google.com/search?q=site%3Alusofona.pt%20Comunica&#231;&#227;o%20Digital%20p&#243;s-gradua&#231;&#227;o" TargetMode="External"/><Relationship Id="rId4605" Type="http://schemas.openxmlformats.org/officeDocument/2006/relationships/hyperlink" Target="https://www.google.com/search?q=site%3Aulisboa.pt%20Qu&#237;mica%20licenciatura" TargetMode="External"/><Relationship Id="rId4812" Type="http://schemas.openxmlformats.org/officeDocument/2006/relationships/hyperlink" Target="https://www.google.com/search?q=site%3Aulisboa.pt%20Neuropsicologia%20Cl&#237;nica%20e%20Experimental%20mestrado" TargetMode="External"/><Relationship Id="rId268" Type="http://schemas.openxmlformats.org/officeDocument/2006/relationships/hyperlink" Target="https://www.google.com/search?q=site%3Aesscvp.eu%20Enfermagem%20Comunit&#225;ria%20na%20&#225;rea%20de%20Enfermagem%20de%20Sa&#250;de%20Familiar%20mestrado" TargetMode="External"/><Relationship Id="rId475" Type="http://schemas.openxmlformats.org/officeDocument/2006/relationships/hyperlink" Target="https://www.google.com/search?q=site%3Aiscte-iul.pt%20Gest&#227;o%20de%20Programas%20e%20Projetos%20p&#243;s-gradua&#231;&#227;o%20executiva" TargetMode="External"/><Relationship Id="rId682" Type="http://schemas.openxmlformats.org/officeDocument/2006/relationships/hyperlink" Target="https://www.google.com/search?q=site%3Aiees.pt%20Educa&#231;&#227;o%20B&#225;sica%20licenciatura" TargetMode="External"/><Relationship Id="rId2156" Type="http://schemas.openxmlformats.org/officeDocument/2006/relationships/hyperlink" Target="https://www.google.com/search?q=site%3Aipt.pt%20Turismo%20e%20Marketing%20Digital%20p&#243;s-gradua&#231;&#227;o" TargetMode="External"/><Relationship Id="rId2363" Type="http://schemas.openxmlformats.org/officeDocument/2006/relationships/hyperlink" Target="https://www.google.com/search?q=site%3Aipv.pt%20Marketing%20licenciatura" TargetMode="External"/><Relationship Id="rId2570" Type="http://schemas.openxmlformats.org/officeDocument/2006/relationships/hyperlink" Target="https://www.google.com/search?q=site%3Aipp.pt%20Cuidados%20de%20Sa&#250;de%20e%20Bem-Estar%20CTeSP" TargetMode="External"/><Relationship Id="rId3207" Type="http://schemas.openxmlformats.org/officeDocument/2006/relationships/hyperlink" Target="https://www.google.com/search?q=site%3Aautonoma.pt%20Direito%2C%20Ci&#234;ncias%20Jur&#237;dico&#8209;Policiais%20mestrado" TargetMode="External"/><Relationship Id="rId3414" Type="http://schemas.openxmlformats.org/officeDocument/2006/relationships/hyperlink" Target="https://www.google.com/search?q=site%3Aeuropeia.pt%20Gest&#227;o%20do%20Turismo%20e%20da%20Hospitalidade%20licenciatura" TargetMode="External"/><Relationship Id="rId3621" Type="http://schemas.openxmlformats.org/officeDocument/2006/relationships/hyperlink" Target="https://www.google.com/search?q=site%3Aulusiada.pt%20Design%20e%20Prototipagem%20R&#225;pida%20%5B2025/2026%5D%20p&#243;s-gradua&#231;&#227;o" TargetMode="External"/><Relationship Id="rId128" Type="http://schemas.openxmlformats.org/officeDocument/2006/relationships/hyperlink" Target="https://www.google.com/search?q=site%3Aesesfm.pt%20Aleitamento%20Materno%20p&#243;s-gradua&#231;&#227;o" TargetMode="External"/><Relationship Id="rId335" Type="http://schemas.openxmlformats.org/officeDocument/2006/relationships/hyperlink" Target="https://www.google.com/search?q=site%3Aess.ufp.pt%20Inova&#231;&#227;o%20Tecnol&#243;gica%20em%20Sa&#250;de%3A%20Farmacoterapia%20p&#243;s-gradua&#231;&#227;o" TargetMode="External"/><Relationship Id="rId542" Type="http://schemas.openxmlformats.org/officeDocument/2006/relationships/hyperlink" Target="https://www.google.com/search?q=site%3Aiseclisboa.pt%20Repara&#231;&#227;o%20e%20Manuten&#231;&#227;o%20de%20Aeronaves%20CTeSP" TargetMode="External"/><Relationship Id="rId1172" Type="http://schemas.openxmlformats.org/officeDocument/2006/relationships/hyperlink" Target="https://www.google.com/search?q=site%3Aipcb.pt%20Engenharia%20Agron&#243;mica%20mestrado" TargetMode="External"/><Relationship Id="rId2016" Type="http://schemas.openxmlformats.org/officeDocument/2006/relationships/hyperlink" Target="https://www.google.com/search?q=site%3Aips.pt%20Gest&#227;o%20de%20Recursos%20Humanos%20licenciatura" TargetMode="External"/><Relationship Id="rId2223" Type="http://schemas.openxmlformats.org/officeDocument/2006/relationships/hyperlink" Target="https://www.google.com/search?q=site%3Aipvc.pt%20Engenharia%20de%20Redes%20e%20Sistemas%20de%20Computadores%20licenciatura" TargetMode="External"/><Relationship Id="rId2430" Type="http://schemas.openxmlformats.org/officeDocument/2006/relationships/hyperlink" Target="https://www.google.com/search?q=site%3Aipca.pt%20Energia%2C%20Telecomunica&#231;&#245;es%20e%20Dom&#243;tica%20CTeSP" TargetMode="External"/><Relationship Id="rId5379" Type="http://schemas.openxmlformats.org/officeDocument/2006/relationships/hyperlink" Target="https://www.google.com/search?q=site%3Aualg.pt%20Oncobiologia%20-%20Mecanismos%20Moleculares%20do%20Cancro%20mestrado" TargetMode="External"/><Relationship Id="rId5586" Type="http://schemas.openxmlformats.org/officeDocument/2006/relationships/hyperlink" Target="https://www.google.com/search?q=site%3Aup.pt%20Evid&#234;ncia%20e%20Decis&#227;o%20em%20Sa&#250;de%20mestrado" TargetMode="External"/><Relationship Id="rId5793" Type="http://schemas.openxmlformats.org/officeDocument/2006/relationships/hyperlink" Target="https://www.google.com/search?q=site%3Aium.pt%20Administra&#231;&#227;o%20Militar%20mestrado%20integrado" TargetMode="External"/><Relationship Id="rId402" Type="http://schemas.openxmlformats.org/officeDocument/2006/relationships/hyperlink" Target="https://www.google.com/search?q=site%3Aisave.pt%20Fisioterapia%20Desportiva%20p&#243;s-gradua&#231;&#227;o" TargetMode="External"/><Relationship Id="rId1032" Type="http://schemas.openxmlformats.org/officeDocument/2006/relationships/hyperlink" Target="https://www.google.com/search?q=site%3Aipb.pt%20Restaura&#231;&#227;o%20e%20Tecnologia%20Alimentar%20licenciatura" TargetMode="External"/><Relationship Id="rId4188" Type="http://schemas.openxmlformats.org/officeDocument/2006/relationships/hyperlink" Target="https://www.google.com/search?q=site%3Aismai.pt%20Psicologia%20Escolar%20e%20da%20Educa&#231;&#227;o%20mestrado" TargetMode="External"/><Relationship Id="rId4395" Type="http://schemas.openxmlformats.org/officeDocument/2006/relationships/hyperlink" Target="https://www.google.com/search?q=site%3Auc.pt%20Ensino%20de%20Filosofia%20no%20Ensino%20Secund&#225;rio%20mestrado" TargetMode="External"/><Relationship Id="rId5239" Type="http://schemas.openxmlformats.org/officeDocument/2006/relationships/hyperlink" Target="https://www.google.com/search?q=site%3Auevora.pt%20Planeamento%20e%20Gest&#227;o%20de%20Recursos%20H&#237;dricos%20%5BCA%5D%20p&#243;s-gradua&#231;&#227;o" TargetMode="External"/><Relationship Id="rId5446" Type="http://schemas.openxmlformats.org/officeDocument/2006/relationships/hyperlink" Target="https://www.google.com/search?q=site%3Aup.pt%20Engenharia%20de%20Minas%20e%20Geo-Ambiente%20licenciatura" TargetMode="External"/><Relationship Id="rId1989" Type="http://schemas.openxmlformats.org/officeDocument/2006/relationships/hyperlink" Target="https://www.google.com/search?q=site%3Aips.pt%20Redes%20e%20Sistemas%20Inform&#225;ticos%20CTeSP" TargetMode="External"/><Relationship Id="rId4048" Type="http://schemas.openxmlformats.org/officeDocument/2006/relationships/hyperlink" Target="https://www.google.com/search?q=site%3Aunl.pt%20Digital%20Marketing%20and%20Analytics%20p&#243;s-gradua&#231;&#227;o" TargetMode="External"/><Relationship Id="rId4255" Type="http://schemas.openxmlformats.org/officeDocument/2006/relationships/hyperlink" Target="https://www.google.com/search?q=site%3Aua.pt%20Engenharia%20de%20Manuten&#231;&#227;o%20Industrial%20mestrado" TargetMode="External"/><Relationship Id="rId5306" Type="http://schemas.openxmlformats.org/officeDocument/2006/relationships/hyperlink" Target="https://www.google.com/search?q=site%3Aualg.pt%20Gest&#227;o%20de%20Empresas%20licenciatura" TargetMode="External"/><Relationship Id="rId5653" Type="http://schemas.openxmlformats.org/officeDocument/2006/relationships/hyperlink" Target="https://www.google.com/search?q=site%3Aup.pt%20Sexologia%20mestrado" TargetMode="External"/><Relationship Id="rId1849" Type="http://schemas.openxmlformats.org/officeDocument/2006/relationships/hyperlink" Target="https://www.google.com/search?q=site%3Aipsantarem.pt%20Redes%20e%20Sistemas%20Inform&#225;ticos%20CTeSP" TargetMode="External"/><Relationship Id="rId3064" Type="http://schemas.openxmlformats.org/officeDocument/2006/relationships/hyperlink" Target="https://www.google.com/search?q=site%3Aisvouga.pt%20Recursos%20Humanos%20e%20Rela&#231;&#245;es%20Laborais%20p&#243;s-gradua&#231;&#227;o" TargetMode="External"/><Relationship Id="rId4462" Type="http://schemas.openxmlformats.org/officeDocument/2006/relationships/hyperlink" Target="https://www.google.com/search?q=site%3Auc.pt%20Psicologia%20Cl&#237;nica%20mestrado" TargetMode="External"/><Relationship Id="rId5513" Type="http://schemas.openxmlformats.org/officeDocument/2006/relationships/hyperlink" Target="https://www.google.com/search?q=site%3Aup.pt%20Contabilidade%20e%20Controlo%20de%20Gest&#227;o%20mestrado" TargetMode="External"/><Relationship Id="rId5720" Type="http://schemas.openxmlformats.org/officeDocument/2006/relationships/hyperlink" Target="https://www.google.com/search?q=site%3Auac.pt%20Enfermagem%20M&#233;dico-Cir&#250;rgica%20mestrado" TargetMode="External"/><Relationship Id="rId192" Type="http://schemas.openxmlformats.org/officeDocument/2006/relationships/hyperlink" Target="https://www.google.com/search?q=site%3Aesna.pt%20P&#243;s&#8209;Gradua&#231;&#227;o%20em%20Controlo%20de%20Gest&#227;o%20e%20Finan&#231;as%20p&#243;s-gradua&#231;&#227;o" TargetMode="External"/><Relationship Id="rId1709" Type="http://schemas.openxmlformats.org/officeDocument/2006/relationships/hyperlink" Target="https://www.google.com/search?q=site%3Aipl.pt%20Supervis&#227;o%20em%20Educa&#231;&#227;o%20mestrado" TargetMode="External"/><Relationship Id="rId1916" Type="http://schemas.openxmlformats.org/officeDocument/2006/relationships/hyperlink" Target="https://www.google.com/search?q=site%3Acespu.pt%20Apoio%20em%20Cuidados%20Continuados%20Integrados%20CTeSP" TargetMode="External"/><Relationship Id="rId3271" Type="http://schemas.openxmlformats.org/officeDocument/2006/relationships/hyperlink" Target="https://www.google.com/search?q=site%3Aucp.pt%20Ci&#234;ncias%20da%20Educa&#231;&#227;o%20mestrado" TargetMode="External"/><Relationship Id="rId4115" Type="http://schemas.openxmlformats.org/officeDocument/2006/relationships/hyperlink" Target="https://www.google.com/search?q=site%3Aupt.pt%20Direito%20Banc&#225;rio%20e%20Direito%20dos%20Valores%20Mobili&#225;rios%20p&#243;s-gradua&#231;&#227;o" TargetMode="External"/><Relationship Id="rId4322" Type="http://schemas.openxmlformats.org/officeDocument/2006/relationships/hyperlink" Target="https://www.google.com/search?q=site%3Auc.pt%20Psicologia%20licenciatura" TargetMode="External"/><Relationship Id="rId2080" Type="http://schemas.openxmlformats.org/officeDocument/2006/relationships/hyperlink" Target="https://www.google.com/search?q=site%3Aipt.pt%20Design%20Multim&#233;dia%20CTeSP" TargetMode="External"/><Relationship Id="rId3131" Type="http://schemas.openxmlformats.org/officeDocument/2006/relationships/hyperlink" Target="https://www.google.com/search?q=site%3Acespu.pt%20Medicina%20Dent&#225;ria%20Forense%20&#8211;%201.&#170;%20edi&#231;&#227;o%20p&#243;s-gradua&#231;&#227;o" TargetMode="External"/><Relationship Id="rId2897" Type="http://schemas.openxmlformats.org/officeDocument/2006/relationships/hyperlink" Target="https://www.google.com/search?q=site%3Aismat.pt%20Direito%20licenciatura" TargetMode="External"/><Relationship Id="rId3948" Type="http://schemas.openxmlformats.org/officeDocument/2006/relationships/hyperlink" Target="https://www.google.com/search?q=site%3Aunl.pt%20Gest&#227;o%20%28mestrado%20internacional%29%20mestrado" TargetMode="External"/><Relationship Id="rId5096" Type="http://schemas.openxmlformats.org/officeDocument/2006/relationships/hyperlink" Target="https://www.google.com/search?q=site%3Autad.pt%20Engenharia%20Eletrot&#233;cnica%20e%20de%20Computadores%20mestrado" TargetMode="External"/><Relationship Id="rId869" Type="http://schemas.openxmlformats.org/officeDocument/2006/relationships/hyperlink" Target="https://www.google.com/search?q=site%3Aipmaia.pt%20Solicitadoria%20licenciatura" TargetMode="External"/><Relationship Id="rId1499" Type="http://schemas.openxmlformats.org/officeDocument/2006/relationships/hyperlink" Target="https://www.google.com/search?q=site%3Aipleiria.pt%20Bioci&#234;ncias%20Marinhas%20mestrado" TargetMode="External"/><Relationship Id="rId5163" Type="http://schemas.openxmlformats.org/officeDocument/2006/relationships/hyperlink" Target="https://www.google.com/search?q=site%3Auevora.pt%20F&#237;sica%20e%20Qu&#237;mica%20licenciatura" TargetMode="External"/><Relationship Id="rId5370" Type="http://schemas.openxmlformats.org/officeDocument/2006/relationships/hyperlink" Target="https://www.google.com/search?q=site%3Aualg.pt%20Gest&#227;o%20e%20Administra&#231;&#227;o%20Escolar%20mestrado" TargetMode="External"/><Relationship Id="rId729" Type="http://schemas.openxmlformats.org/officeDocument/2006/relationships/hyperlink" Target="https://www.google.com/search?q=site%3Aipg.pt%20Gest&#227;o%20e%20Com&#233;rcio%20Internacional%20CTeSP" TargetMode="External"/><Relationship Id="rId1359" Type="http://schemas.openxmlformats.org/officeDocument/2006/relationships/hyperlink" Target="https://www.google.com/search?q=site%3Aipc.pt%20Gest&#227;o%20de%20Organiza&#231;&#245;es%20de%20Sa&#250;de%20p&#243;s-gradua&#231;&#227;o" TargetMode="External"/><Relationship Id="rId2757" Type="http://schemas.openxmlformats.org/officeDocument/2006/relationships/hyperlink" Target="https://www.google.com/search?q=site%3Aipp.pt%20Gest&#227;o%20e%20Regime%20Jur&#237;dico&#8209;Empresarial%20da%20Economia%20Social%20mestrado" TargetMode="External"/><Relationship Id="rId2964" Type="http://schemas.openxmlformats.org/officeDocument/2006/relationships/hyperlink" Target="https://www.google.com/search?q=site%3Aisced.pt%20Design%20de%20Jogos%20e%20Anima&#231;&#227;o%20Digital%20CTeSP" TargetMode="External"/><Relationship Id="rId3808" Type="http://schemas.openxmlformats.org/officeDocument/2006/relationships/hyperlink" Target="https://www.google.com/search?q=site%3Aunl.pt%20Bioqu&#237;mica%20licenciatura" TargetMode="External"/><Relationship Id="rId5023" Type="http://schemas.openxmlformats.org/officeDocument/2006/relationships/hyperlink" Target="https://www.google.com/search?q=site%3Autad.pt%20Ci&#234;ncia%20Animal%20licenciatura" TargetMode="External"/><Relationship Id="rId5230" Type="http://schemas.openxmlformats.org/officeDocument/2006/relationships/hyperlink" Target="https://www.google.com/search?q=site%3Auevora.pt%20Epidemiologia%20p&#243;s-gradua&#231;&#227;o" TargetMode="External"/><Relationship Id="rId936" Type="http://schemas.openxmlformats.org/officeDocument/2006/relationships/hyperlink" Target="https://www.google.com/search?q=site%3Aipbeja.pt%20Turismo%20Sustent&#225;vel%20e%20Bem-Estar%20%2830%20ECTS%29%20p&#243;s-gradua&#231;&#227;o" TargetMode="External"/><Relationship Id="rId1219" Type="http://schemas.openxmlformats.org/officeDocument/2006/relationships/hyperlink" Target="https://www.google.com/search?q=site%3Aipc.pt%20Gest&#227;o%20da%20Qualidade%2C%20Ambiente%20e%20Seguran&#231;a%20CTeSP" TargetMode="External"/><Relationship Id="rId1566" Type="http://schemas.openxmlformats.org/officeDocument/2006/relationships/hyperlink" Target="https://www.google.com/search?q=site%3Aipleiria.pt%20Terapia%20da%20M&#227;o%20%28regime%20de%20ensino%20a%20dist&#226;ncia%29%20mestrado" TargetMode="External"/><Relationship Id="rId1773" Type="http://schemas.openxmlformats.org/officeDocument/2006/relationships/hyperlink" Target="https://www.google.com/search?q=site%3Aipportalegre.pt%20Tecnologia%20e%20Gest&#227;o%20de%20Opera&#231;&#245;es%20para%20o%20Sector%20da%20Pedra%20Natural%20CTeSP" TargetMode="External"/><Relationship Id="rId1980" Type="http://schemas.openxmlformats.org/officeDocument/2006/relationships/hyperlink" Target="https://www.google.com/search?q=site%3Aips.pt%20Log&#237;stica%20CTeSP" TargetMode="External"/><Relationship Id="rId2617" Type="http://schemas.openxmlformats.org/officeDocument/2006/relationships/hyperlink" Target="https://www.google.com/search?q=site%3Aipp.pt%20Valoriza&#231;&#227;o%20do%20Patrim&#243;nio%20Cultural%20CTeSP" TargetMode="External"/><Relationship Id="rId2824" Type="http://schemas.openxmlformats.org/officeDocument/2006/relationships/hyperlink" Target="https://www.google.com/search?q=site%3Aipp.pt%20MBA%20em%20Marketing%20Digital%2C%20Experi&#234;ncia%20do%20Cliente%20e%20Inova&#231;&#227;o%20p&#243;s-gradua&#231;&#227;o" TargetMode="External"/><Relationship Id="rId65" Type="http://schemas.openxmlformats.org/officeDocument/2006/relationships/hyperlink" Target="https://www.google.com/search?q=site%3Aesap.pt%20Publicidade%20p&#243;s-gradua&#231;&#227;o" TargetMode="External"/><Relationship Id="rId1426" Type="http://schemas.openxmlformats.org/officeDocument/2006/relationships/hyperlink" Target="https://www.google.com/search?q=site%3Aipleiria.pt%20Pr&#225;ticas%20Administrativas%20e%20Comunica&#231;&#227;o%20Empresarial%20CTeSP" TargetMode="External"/><Relationship Id="rId1633" Type="http://schemas.openxmlformats.org/officeDocument/2006/relationships/hyperlink" Target="https://www.google.com/search?q=site%3Aipl.pt%20Engenharia%20Inform&#225;tica%20e%20de%20Computadores%20licenciatura" TargetMode="External"/><Relationship Id="rId1840" Type="http://schemas.openxmlformats.org/officeDocument/2006/relationships/hyperlink" Target="https://www.google.com/search?q=site%3Aipsantarem.pt%20Inova&#231;&#227;o%20em%20Gastronomia%20CTeSP" TargetMode="External"/><Relationship Id="rId4789" Type="http://schemas.openxmlformats.org/officeDocument/2006/relationships/hyperlink" Target="https://www.google.com/search?q=site%3Aulisboa.pt%20Investiga&#231;&#227;o%20Social%20Interdisciplinar%20mestrado" TargetMode="External"/><Relationship Id="rId4996" Type="http://schemas.openxmlformats.org/officeDocument/2006/relationships/hyperlink" Target="https://www.google.com/search?q=site%3Aulisboa.pt%20P&#243;s-Gradua&#231;&#227;o%20em%20Direito%20Econ&#243;mico%20e%20Financeiro%20Regional%20p&#243;s-gradua&#231;&#227;o" TargetMode="External"/><Relationship Id="rId1700" Type="http://schemas.openxmlformats.org/officeDocument/2006/relationships/hyperlink" Target="https://www.google.com/search?q=site%3Aipl.pt%20Interven&#231;&#227;o%20Precoce%20mestrado" TargetMode="External"/><Relationship Id="rId3598" Type="http://schemas.openxmlformats.org/officeDocument/2006/relationships/hyperlink" Target="https://www.google.com/search?q=site%3Aulusiada.pt%20Economia%20mestrado" TargetMode="External"/><Relationship Id="rId4649" Type="http://schemas.openxmlformats.org/officeDocument/2006/relationships/hyperlink" Target="https://www.google.com/search?q=site%3Aulisboa.pt%20Ci&#234;ncias%20e%20Tecnologias%20para%20o%20Patrim&#243;nio%20Cultural%20mestrado" TargetMode="External"/><Relationship Id="rId4856" Type="http://schemas.openxmlformats.org/officeDocument/2006/relationships/hyperlink" Target="https://www.google.com/search?q=site%3Aulisboa.pt%20Treino%20Desportivo%20mestrado" TargetMode="External"/><Relationship Id="rId3458" Type="http://schemas.openxmlformats.org/officeDocument/2006/relationships/hyperlink" Target="https://www.google.com/search?q=site%3Aeuropeia.pt%20Gest&#227;o%20de%20Empresas%20%28regime%20de%20ensino%20a%20dist&#226;ncia%29%20mestrado" TargetMode="External"/><Relationship Id="rId3665" Type="http://schemas.openxmlformats.org/officeDocument/2006/relationships/hyperlink" Target="https://www.google.com/search?q=site%3Alusofona.pt%20Ci&#234;ncias%20da%20Nutri&#231;&#227;o%20licenciatura" TargetMode="External"/><Relationship Id="rId3872" Type="http://schemas.openxmlformats.org/officeDocument/2006/relationships/hyperlink" Target="https://www.google.com/search?q=site%3Aunl.pt%20Ci&#234;ncia%20de%20Dados%20Lingu&#237;sticos%20%28Erasmus%20Mundus%29%20mestrado" TargetMode="External"/><Relationship Id="rId4509" Type="http://schemas.openxmlformats.org/officeDocument/2006/relationships/hyperlink" Target="https://www.google.com/search?q=site%3Auc.pt%20Comunica&#231;&#227;o%20e%20Design%20para%20Redes%20Sociais%20&#8211;%20NOVA%20PG%20p&#243;s-gradua&#231;&#227;o" TargetMode="External"/><Relationship Id="rId4716" Type="http://schemas.openxmlformats.org/officeDocument/2006/relationships/hyperlink" Target="https://www.google.com/search?q=site%3Aulisboa.pt%20Engenharia%20de%20Viticultura%20e%20Enologia%20mestrado" TargetMode="External"/><Relationship Id="rId379" Type="http://schemas.openxmlformats.org/officeDocument/2006/relationships/hyperlink" Target="https://www.google.com/search?q=site%3Aipluso.pt%20Gest&#227;o%20de%20Recursos%20Humanos%20na%20&#225;rea%20Socioeducativa%20p&#243;s-gradua&#231;&#227;o" TargetMode="External"/><Relationship Id="rId586" Type="http://schemas.openxmlformats.org/officeDocument/2006/relationships/hyperlink" Target="https://www.google.com/search?q=site%3Aiseclisboa.pt%20Supervis&#227;o%20Pedag&#243;gica%20p&#243;s-gradua&#231;&#227;o" TargetMode="External"/><Relationship Id="rId793" Type="http://schemas.openxmlformats.org/officeDocument/2006/relationships/hyperlink" Target="https://www.google.com/search?q=site%3Aipg.pt%20Sistemas%20Integrados%20de%20Gest&#227;o%20%28Ambiente%2C%20Qualidade%2C%20Seguran&#231;a%20e%20Responsabilidade%20Social%29%20mestrado" TargetMode="External"/><Relationship Id="rId2267" Type="http://schemas.openxmlformats.org/officeDocument/2006/relationships/hyperlink" Target="https://www.google.com/search?q=site%3Aipvc.pt%20Fisiologia%20do%20Exerc&#237;cio%20e%20Promo&#231;&#227;o%20da%20Sa&#250;de%20mestrado" TargetMode="External"/><Relationship Id="rId2474" Type="http://schemas.openxmlformats.org/officeDocument/2006/relationships/hyperlink" Target="https://www.google.com/search?q=site%3Aipca.pt%20Administra&#231;&#227;o%20P&#250;blica%20licenciatura" TargetMode="External"/><Relationship Id="rId2681" Type="http://schemas.openxmlformats.org/officeDocument/2006/relationships/hyperlink" Target="https://www.google.com/search?q=site%3Aipp.pt%20Teatro%20licenciatura" TargetMode="External"/><Relationship Id="rId3318" Type="http://schemas.openxmlformats.org/officeDocument/2006/relationships/hyperlink" Target="https://www.google.com/search?q=site%3Aucp.pt%20Inova&#231;&#227;o%20e%20Transforma&#231;&#227;o%20Digital%20&#8211;%20Executivo%20mestrado" TargetMode="External"/><Relationship Id="rId3525" Type="http://schemas.openxmlformats.org/officeDocument/2006/relationships/hyperlink" Target="https://www.google.com/search?q=site%3Aufp.pt%20Criminologia%20mestrado" TargetMode="External"/><Relationship Id="rId4923" Type="http://schemas.openxmlformats.org/officeDocument/2006/relationships/hyperlink" Target="https://www.google.com/search?q=site%3Aulisboa.pt%20Curso%20p&#243;s-graduado%20de%20especializa&#231;&#227;o%20em%20Cirurgia%20Oral%20p&#243;s-gradua&#231;&#227;o" TargetMode="External"/><Relationship Id="rId239" Type="http://schemas.openxmlformats.org/officeDocument/2006/relationships/hyperlink" Target="https://www.google.com/search?q=site%3Aegasmoniz.edu.pt%20Reabilita&#231;&#227;o%20Oral%20mestrado" TargetMode="External"/><Relationship Id="rId446" Type="http://schemas.openxmlformats.org/officeDocument/2006/relationships/hyperlink" Target="https://www.google.com/search?q=site%3Aiscte-iul.pt%20Tecnologias%20Digitais%20e%20Intelig&#234;ncia%20Artificial%20licenciatura" TargetMode="External"/><Relationship Id="rId653" Type="http://schemas.openxmlformats.org/officeDocument/2006/relationships/hyperlink" Target="https://www.google.com/search?q=site%3Aistec.pt%20Engenharia%20de%20Redes%20e%20Seguran&#231;a%20Inform&#225;tica%20licenciatura" TargetMode="External"/><Relationship Id="rId1076" Type="http://schemas.openxmlformats.org/officeDocument/2006/relationships/hyperlink" Target="https://www.google.com/search?q=site%3Aipb.pt%20Marketing%20Tur&#237;stico%20mestrado" TargetMode="External"/><Relationship Id="rId1283" Type="http://schemas.openxmlformats.org/officeDocument/2006/relationships/hyperlink" Target="https://www.google.com/search?q=site%3Aipc.pt%20Tecnologia%20Alimentar%20licenciatura" TargetMode="External"/><Relationship Id="rId1490" Type="http://schemas.openxmlformats.org/officeDocument/2006/relationships/hyperlink" Target="https://www.google.com/search?q=site%3Aipleiria.pt%20Tradu&#231;&#227;o%20T&#233;cnica%20e%20Empresarial%20licenciatura" TargetMode="External"/><Relationship Id="rId2127" Type="http://schemas.openxmlformats.org/officeDocument/2006/relationships/hyperlink" Target="https://www.google.com/search?q=site%3Aipt.pt%20Anal&#237;tica%20e%20Intelig&#234;ncia%20Organizacional%20mestrado" TargetMode="External"/><Relationship Id="rId2334" Type="http://schemas.openxmlformats.org/officeDocument/2006/relationships/hyperlink" Target="https://www.google.com/search?q=site%3Aipv.pt%20Turismo%20de%20Sa&#250;de%20e%20Bem-Estar%20CTeSP" TargetMode="External"/><Relationship Id="rId3732" Type="http://schemas.openxmlformats.org/officeDocument/2006/relationships/hyperlink" Target="https://www.google.com/search?q=site%3Alusofona.pt%20Contabilidade%20e%20Fiscalidade%20mestrado" TargetMode="External"/><Relationship Id="rId306" Type="http://schemas.openxmlformats.org/officeDocument/2006/relationships/hyperlink" Target="https://www.google.com/search?q=site%3Aesscvp.eu%20Enfermagem%20de%20Reabilita&#231;&#227;o%20mestrado" TargetMode="External"/><Relationship Id="rId860" Type="http://schemas.openxmlformats.org/officeDocument/2006/relationships/hyperlink" Target="https://www.google.com/search?q=site%3Aipmaia.pt%20Acompanhamento%20de%20Crian&#231;as%20e%20Jovens%20CTeSP" TargetMode="External"/><Relationship Id="rId1143" Type="http://schemas.openxmlformats.org/officeDocument/2006/relationships/hyperlink" Target="https://www.google.com/search?q=site%3Aipcb.pt%20Engenharia%20Eletrot&#233;cnica%20e%20das%20Telecomunica&#231;&#245;es%20licenciatura" TargetMode="External"/><Relationship Id="rId2541" Type="http://schemas.openxmlformats.org/officeDocument/2006/relationships/hyperlink" Target="https://www.google.com/search?q=site%3Aipca.pt%20Direito%20do%20Trabalho%20p&#243;s-gradua&#231;&#227;o" TargetMode="External"/><Relationship Id="rId4299" Type="http://schemas.openxmlformats.org/officeDocument/2006/relationships/hyperlink" Target="https://www.google.com/search?q=site%3Auc.pt%20Engenharia%20Qu&#237;mica%20licenciatura" TargetMode="External"/><Relationship Id="rId5697" Type="http://schemas.openxmlformats.org/officeDocument/2006/relationships/hyperlink" Target="https://www.google.com/search?q=site%3Auac.pt%20Enfermagem%20licenciatura" TargetMode="External"/><Relationship Id="rId513" Type="http://schemas.openxmlformats.org/officeDocument/2006/relationships/hyperlink" Target="https://www.google.com/search?q=site%3Aisec.pt%20Engenharia%20Civil%20mestrado" TargetMode="External"/><Relationship Id="rId720" Type="http://schemas.openxmlformats.org/officeDocument/2006/relationships/hyperlink" Target="https://www.google.com/search?q=site%3Aipg.pt%20Educa&#231;&#227;o%20de%20Adultos%20CTeSP" TargetMode="External"/><Relationship Id="rId1350" Type="http://schemas.openxmlformats.org/officeDocument/2006/relationships/hyperlink" Target="https://www.google.com/search?q=site%3Aipc.pt%20Dispositivos%20M&#233;dicos%20p&#243;s-gradua&#231;&#227;o" TargetMode="External"/><Relationship Id="rId2401" Type="http://schemas.openxmlformats.org/officeDocument/2006/relationships/hyperlink" Target="https://www.google.com/search?q=site%3Aipv.pt%20Organiza&#231;&#227;o%20e%20Administra&#231;&#227;o%20Educacional%20mestrado" TargetMode="External"/><Relationship Id="rId4159" Type="http://schemas.openxmlformats.org/officeDocument/2006/relationships/hyperlink" Target="https://www.google.com/search?q=site%3Auma.pt%20Profissionaliza&#231;&#227;o%20em%20Servi&#231;o%20%28para%20docentes%29%20p&#243;s-gradua&#231;&#227;o" TargetMode="External"/><Relationship Id="rId5557" Type="http://schemas.openxmlformats.org/officeDocument/2006/relationships/hyperlink" Target="https://www.google.com/search?q=site%3Aup.pt%20Engenharia%20de%20Transportes%20mestrado" TargetMode="External"/><Relationship Id="rId5764" Type="http://schemas.openxmlformats.org/officeDocument/2006/relationships/hyperlink" Target="https://www.google.com/search?q=site%3Auac.pt%20P&#243;s&#8209;Gradua&#231;&#227;o%20em%20Bem&#8209;Estar%20Animal%20p&#243;s-gradua&#231;&#227;o" TargetMode="External"/><Relationship Id="rId1003" Type="http://schemas.openxmlformats.org/officeDocument/2006/relationships/hyperlink" Target="https://www.google.com/search?q=site%3Aipb.pt%20Enfermagem%20licenciatura" TargetMode="External"/><Relationship Id="rId1210" Type="http://schemas.openxmlformats.org/officeDocument/2006/relationships/hyperlink" Target="https://www.google.com/search?q=site%3Aipc.pt%20Controlo%20e%20Qualidade%20na%20Ind&#250;stria%20Agroalimentar%20CTeSP" TargetMode="External"/><Relationship Id="rId4366" Type="http://schemas.openxmlformats.org/officeDocument/2006/relationships/hyperlink" Target="https://www.google.com/search?q=site%3Auc.pt%20Direito%20mestrado" TargetMode="External"/><Relationship Id="rId4573" Type="http://schemas.openxmlformats.org/officeDocument/2006/relationships/hyperlink" Target="https://www.google.com/search?q=site%3Aulisboa.pt%20Estat&#237;stica%20Aplicada%20licenciatura" TargetMode="External"/><Relationship Id="rId4780" Type="http://schemas.openxmlformats.org/officeDocument/2006/relationships/hyperlink" Target="https://www.google.com/search?q=site%3Aulisboa.pt%20Imagiologia%20Cardiovascular%20mestrado" TargetMode="External"/><Relationship Id="rId5417" Type="http://schemas.openxmlformats.org/officeDocument/2006/relationships/hyperlink" Target="https://www.google.com/search?q=site%3Aup.pt%20Biologia%20licenciatura" TargetMode="External"/><Relationship Id="rId5624" Type="http://schemas.openxmlformats.org/officeDocument/2006/relationships/hyperlink" Target="https://www.google.com/search?q=site%3Aup.pt%20Modela&#231;&#227;o%2C%20An&#225;lise%20de%20Dados%20e%20Sistemas%20de%20Apoio%20&#224;%20Decis&#227;o%20mestrado" TargetMode="External"/><Relationship Id="rId3175" Type="http://schemas.openxmlformats.org/officeDocument/2006/relationships/hyperlink" Target="https://www.google.com/search?q=site%3Auab.pt%20Estudos%20do%20Patrim&#243;nio%20mestrado" TargetMode="External"/><Relationship Id="rId3382" Type="http://schemas.openxmlformats.org/officeDocument/2006/relationships/hyperlink" Target="https://www.google.com/search?q=site%3Aeuropeia.pt%20Anima&#231;&#227;o%20e%20Cria&#231;&#227;o%20Visual%20licenciatura" TargetMode="External"/><Relationship Id="rId4019" Type="http://schemas.openxmlformats.org/officeDocument/2006/relationships/hyperlink" Target="https://www.google.com/search?q=site%3Aunl.pt%20Engenharia%20Biom&#233;dica%20mestrado%20integrado" TargetMode="External"/><Relationship Id="rId4226" Type="http://schemas.openxmlformats.org/officeDocument/2006/relationships/hyperlink" Target="https://www.google.com/search?q=site%3Aua.pt%20T&#233;cnicas%20e%20Gest&#227;o%20de%20Turismo%20CTeSP" TargetMode="External"/><Relationship Id="rId4433" Type="http://schemas.openxmlformats.org/officeDocument/2006/relationships/hyperlink" Target="https://www.google.com/search?q=site%3Auc.pt%20Hist&#243;ria%20mestrado" TargetMode="External"/><Relationship Id="rId4640" Type="http://schemas.openxmlformats.org/officeDocument/2006/relationships/hyperlink" Target="https://www.google.com/search?q=site%3Aulisboa.pt%20Ci&#234;ncias%20Equinas%20mestrado" TargetMode="External"/><Relationship Id="rId2191" Type="http://schemas.openxmlformats.org/officeDocument/2006/relationships/hyperlink" Target="https://www.google.com/search?q=site%3Aipvc.pt%20Qualidade%20Alimentar%20CTeSP" TargetMode="External"/><Relationship Id="rId3035" Type="http://schemas.openxmlformats.org/officeDocument/2006/relationships/hyperlink" Target="https://www.google.com/search?q=site%3Aiscia.pt%20Seguran&#231;a%20e%20Sa&#250;de%20no%20Trabalho%20licenciatura" TargetMode="External"/><Relationship Id="rId3242" Type="http://schemas.openxmlformats.org/officeDocument/2006/relationships/hyperlink" Target="https://www.google.com/search?q=site%3Aucp.pt%20Estudos%20de%20Seguran&#231;a%20e%20Geopol&#237;tica%20licenciatura" TargetMode="External"/><Relationship Id="rId4500" Type="http://schemas.openxmlformats.org/officeDocument/2006/relationships/hyperlink" Target="https://www.google.com/search?q=site%3Auc.pt%20Engenharia%20Mec&#226;nica%20mestrado%20integrado" TargetMode="External"/><Relationship Id="rId163" Type="http://schemas.openxmlformats.org/officeDocument/2006/relationships/hyperlink" Target="https://www.google.com/search?q=site%3Asjcluny.org%20Emerg&#234;ncia%20e%20Cuidados%20Intensivos%20%28Emerg&#234;ncia%20Extra&#8209;Hospitalar%20e%20Cuidados%20Intensivos%29%20p&#243;s-gradua&#231;&#227;o" TargetMode="External"/><Relationship Id="rId370" Type="http://schemas.openxmlformats.org/officeDocument/2006/relationships/hyperlink" Target="https://www.google.com/search?q=site%3Aessa.pt%20Fisioterapia%20mestrado" TargetMode="External"/><Relationship Id="rId2051" Type="http://schemas.openxmlformats.org/officeDocument/2006/relationships/hyperlink" Target="https://www.google.com/search?q=site%3Aips.pt%20Gest&#227;o%20de%20Sistemas%20de%20Informa&#231;&#227;o%20mestrado" TargetMode="External"/><Relationship Id="rId3102" Type="http://schemas.openxmlformats.org/officeDocument/2006/relationships/hyperlink" Target="https://www.google.com/search?q=site%3Acespu.pt%20Ci&#234;ncias%20Forenses%20mestrado" TargetMode="External"/><Relationship Id="rId230" Type="http://schemas.openxmlformats.org/officeDocument/2006/relationships/hyperlink" Target="https://www.google.com/search?q=site%3Aegasmoniz.edu.pt%20Enfermagem%20M&#233;dico&#8209;Cir&#250;rgica%20na%20&#225;rea%20de%20Enfermagem%20&#224;%20Pessoa%20em%20Situa&#231;&#227;o%20Perioperat&#243;ria%20mestrado" TargetMode="External"/><Relationship Id="rId5067" Type="http://schemas.openxmlformats.org/officeDocument/2006/relationships/hyperlink" Target="https://www.google.com/search?q=site%3Autad.pt%20Assessoria%20Lingu&#237;stica%20e%20Revis&#227;o%20Textual%20mestrado" TargetMode="External"/><Relationship Id="rId5274" Type="http://schemas.openxmlformats.org/officeDocument/2006/relationships/hyperlink" Target="https://www.google.com/search?q=site%3Aualg.pt%20Arquitetura%20Paisagista%20licenciatura" TargetMode="External"/><Relationship Id="rId2868" Type="http://schemas.openxmlformats.org/officeDocument/2006/relationships/hyperlink" Target="https://www.google.com/search?q=site%3Aisdd.pt%20Automa&#231;&#227;o%20e%20Produ&#231;&#227;o%20Industrial%20CTeSP" TargetMode="External"/><Relationship Id="rId3919" Type="http://schemas.openxmlformats.org/officeDocument/2006/relationships/hyperlink" Target="https://www.google.com/search?q=site%3Aunl.pt%20Ensino%20da%20Educa&#231;&#227;o%20Musical%20no%20Ensino%20B&#225;sico%20mestrado" TargetMode="External"/><Relationship Id="rId4083" Type="http://schemas.openxmlformats.org/officeDocument/2006/relationships/hyperlink" Target="https://www.google.com/search?q=site%3Aunl.pt%20Tecnologias%20de%20Sistemas%20Alimentares%20e%20Recursos%20Naturais%20p&#243;s-gradua&#231;&#227;o" TargetMode="External"/><Relationship Id="rId5481" Type="http://schemas.openxmlformats.org/officeDocument/2006/relationships/hyperlink" Target="https://www.google.com/search?q=site%3Aup.pt%20Atividade%20F&#237;sica%20e%20Sa&#250;de%20mestrado" TargetMode="External"/><Relationship Id="rId1677" Type="http://schemas.openxmlformats.org/officeDocument/2006/relationships/hyperlink" Target="https://www.google.com/search?q=site%3Aipl.pt%20Engenharia%20Civil%20mestrado" TargetMode="External"/><Relationship Id="rId1884" Type="http://schemas.openxmlformats.org/officeDocument/2006/relationships/hyperlink" Target="https://www.google.com/search?q=site%3Aipsantarem.pt%20Zootecnia%20licenciatura" TargetMode="External"/><Relationship Id="rId2728" Type="http://schemas.openxmlformats.org/officeDocument/2006/relationships/hyperlink" Target="https://www.google.com/search?q=site%3Aipp.pt%20Engenharia%20Mec&#226;nica%20mestrado" TargetMode="External"/><Relationship Id="rId2935" Type="http://schemas.openxmlformats.org/officeDocument/2006/relationships/hyperlink" Target="https://www.google.com/search?q=site%3Aispgaya.pt%20Gest&#227;o%20e%20Inform&#225;tica%20Aplicada%20aos%20Neg&#243;cios%20CTeSP" TargetMode="External"/><Relationship Id="rId4290" Type="http://schemas.openxmlformats.org/officeDocument/2006/relationships/hyperlink" Target="https://www.google.com/search?q=site%3Auc.pt%20Empreendedorismo%20licenciatura" TargetMode="External"/><Relationship Id="rId5134" Type="http://schemas.openxmlformats.org/officeDocument/2006/relationships/hyperlink" Target="https://www.google.com/search?q=site%3Autad.pt%20Tecnologias%20de%20Ponta%20para%20Agricultura%20Sustent&#225;vel%20%28SUSTAGRI%29%20&#8211;%20Erasmus%20Mundus%20mestrado" TargetMode="External"/><Relationship Id="rId5341" Type="http://schemas.openxmlformats.org/officeDocument/2006/relationships/hyperlink" Target="https://www.google.com/search?q=site%3Aualg.pt%20Educa&#231;&#227;o%20Especial%20-%20Dom&#237;nios%20Cognitivo%20e%20Motor%20mestrado" TargetMode="External"/><Relationship Id="rId907" Type="http://schemas.openxmlformats.org/officeDocument/2006/relationships/hyperlink" Target="https://www.google.com/search?q=site%3Aipbeja.pt%20Solicitadoria%20licenciatura" TargetMode="External"/><Relationship Id="rId1537" Type="http://schemas.openxmlformats.org/officeDocument/2006/relationships/hyperlink" Target="https://www.google.com/search?q=site%3Aipleiria.pt%20Engenharia%20Inform&#225;tica%20mestrado" TargetMode="External"/><Relationship Id="rId1744" Type="http://schemas.openxmlformats.org/officeDocument/2006/relationships/hyperlink" Target="https://www.google.com/search?q=site%3Aipl.pt%20Storytelling%20p&#243;s-gradua&#231;&#227;o" TargetMode="External"/><Relationship Id="rId1951" Type="http://schemas.openxmlformats.org/officeDocument/2006/relationships/hyperlink" Target="https://www.google.com/search?q=site%3Acespu.pt%20Enfermagem%20em%20Cuidados%20Intensivos%20Pedi&#225;tricos%20e%20Neonatais%20&#8211;%208.&#170;%20edi&#231;&#227;o%20p&#243;s-gradua&#231;&#227;o" TargetMode="External"/><Relationship Id="rId4150" Type="http://schemas.openxmlformats.org/officeDocument/2006/relationships/hyperlink" Target="https://www.google.com/search?q=site%3Aubi.pt%20Qu&#237;mica%20Industrial%20licenciatura" TargetMode="External"/><Relationship Id="rId5201" Type="http://schemas.openxmlformats.org/officeDocument/2006/relationships/hyperlink" Target="https://www.google.com/search?q=site%3Auevora.pt%20Matem&#225;tica%20e%20Aplica&#231;&#245;es%20mestrado" TargetMode="External"/><Relationship Id="rId36" Type="http://schemas.openxmlformats.org/officeDocument/2006/relationships/hyperlink" Target="https://www.google.com/search?q=site%3Aenautica.pt%20Engenharia%20Eletrot&#233;cnica%20Mar&#237;tima%20licenciatura" TargetMode="External"/><Relationship Id="rId1604" Type="http://schemas.openxmlformats.org/officeDocument/2006/relationships/hyperlink" Target="https://www.google.com/search?q=site%3Aipleiria.pt%20Preven&#231;&#227;o%20e%20Controlo%20de%20Infe&#231;&#227;o%20e%20Resist&#234;ncia%20aos%20Antimicrobianos%20p&#243;s-gradua&#231;&#227;o" TargetMode="External"/><Relationship Id="rId4010" Type="http://schemas.openxmlformats.org/officeDocument/2006/relationships/hyperlink" Target="https://www.google.com/search?q=site%3Aunl.pt%20Tecnologias%20Geoespaciais%20mestrado" TargetMode="External"/><Relationship Id="rId4967" Type="http://schemas.openxmlformats.org/officeDocument/2006/relationships/hyperlink" Target="https://www.google.com/search?q=site%3Aulisboa.pt%20Instrumentos%20de%20pol&#237;tica%20de%20habita&#231;&#227;o%20p&#243;s-gradua&#231;&#227;o" TargetMode="External"/><Relationship Id="rId1811" Type="http://schemas.openxmlformats.org/officeDocument/2006/relationships/hyperlink" Target="https://www.google.com/search?q=site%3Aipportalegre.pt%20Enfermagem%20Veterin&#225;ria%20em%20Animais%20de%20Companhia%20mestrado" TargetMode="External"/><Relationship Id="rId3569" Type="http://schemas.openxmlformats.org/officeDocument/2006/relationships/hyperlink" Target="https://www.google.com/search?q=site%3Aulusiada.pt%20Artes%20e%20Comunica&#231;&#227;o%20Multim&#233;dia%20licenciatura" TargetMode="External"/><Relationship Id="rId697" Type="http://schemas.openxmlformats.org/officeDocument/2006/relationships/hyperlink" Target="https://www.google.com/search?q=site%3Aiees.pt%20Treino%20Desportivo%20para%20Crian&#231;as%20e%20Jovens%20mestrado" TargetMode="External"/><Relationship Id="rId2378" Type="http://schemas.openxmlformats.org/officeDocument/2006/relationships/hyperlink" Target="https://www.google.com/search?q=site%3Aipv.pt%20Educa&#231;&#227;o%20Pr&#233;-Escolar%20e%20Ensino%20do%201.&#186;%20Ciclo%20do%20Ensino%20B&#225;sico%20mestrado" TargetMode="External"/><Relationship Id="rId3429" Type="http://schemas.openxmlformats.org/officeDocument/2006/relationships/hyperlink" Target="https://www.google.com/search?q=site%3Aeuropeia.pt%20Branding%20e%20Design%20de%20Moda%20mestrado" TargetMode="External"/><Relationship Id="rId3776" Type="http://schemas.openxmlformats.org/officeDocument/2006/relationships/hyperlink" Target="https://www.google.com/search?q=site%3Alusofona.pt%20Gest&#227;o%20Integrada%20e%20Governan&#231;a%20da%20&#193;gua%20p&#243;s-gradua&#231;&#227;o" TargetMode="External"/><Relationship Id="rId3983" Type="http://schemas.openxmlformats.org/officeDocument/2006/relationships/hyperlink" Target="https://www.google.com/search?q=site%3Aunl.pt%20Narrativas%20Culturais%3A%20Converg&#234;ncias%20e%20Aberturas%20mestrado" TargetMode="External"/><Relationship Id="rId4827" Type="http://schemas.openxmlformats.org/officeDocument/2006/relationships/hyperlink" Target="https://www.google.com/search?q=site%3Aulisboa.pt%20Psicologia%20dos%20Recursos%20Humanos%2C%20do%20Trabalho%20e%20das%20Organiza&#231;&#245;es%20mestrado" TargetMode="External"/><Relationship Id="rId1187" Type="http://schemas.openxmlformats.org/officeDocument/2006/relationships/hyperlink" Target="https://www.google.com/search?q=site%3Aipcb.pt%20Solicitadoria%20Empresarial%20mestrado" TargetMode="External"/><Relationship Id="rId2585" Type="http://schemas.openxmlformats.org/officeDocument/2006/relationships/hyperlink" Target="https://www.google.com/search?q=site%3Aipp.pt%20Gest&#227;o%20de%20Servi&#231;os%20de%20Bebidas%20e%20Bar%20CTeSP" TargetMode="External"/><Relationship Id="rId2792" Type="http://schemas.openxmlformats.org/officeDocument/2006/relationships/hyperlink" Target="https://www.google.com/search?q=site%3Aipp.pt%20Cria&#231;&#227;o%20e%20Desenvolvimento%20de%20Neg&#243;cios%20p&#243;s-gradua&#231;&#227;o" TargetMode="External"/><Relationship Id="rId3636" Type="http://schemas.openxmlformats.org/officeDocument/2006/relationships/hyperlink" Target="https://www.google.com/search?q=site%3Aulusiada.pt%20Internacionaliza&#231;&#227;o%20de%20Neg&#243;cios%20%5B2025/2026%5D%20p&#243;s-gradua&#231;&#227;o" TargetMode="External"/><Relationship Id="rId3843" Type="http://schemas.openxmlformats.org/officeDocument/2006/relationships/hyperlink" Target="https://www.google.com/search?q=site%3Aunl.pt%20Hist&#243;ria%20da%20Arte%20licenciatura" TargetMode="External"/><Relationship Id="rId557" Type="http://schemas.openxmlformats.org/officeDocument/2006/relationships/hyperlink" Target="https://www.google.com/search?q=site%3Aiseclisboa.pt%20Gest&#227;o%20Aut&#225;rquica%20licenciatura" TargetMode="External"/><Relationship Id="rId764" Type="http://schemas.openxmlformats.org/officeDocument/2006/relationships/hyperlink" Target="https://www.google.com/search?q=site%3Aipg.pt%20Engenharia%20Topogr&#225;fica%20licenciatura" TargetMode="External"/><Relationship Id="rId971" Type="http://schemas.openxmlformats.org/officeDocument/2006/relationships/hyperlink" Target="https://www.google.com/search?q=site%3Aipb.pt%20Opera&#231;&#245;es%20Hoteleiras%20CTeSP" TargetMode="External"/><Relationship Id="rId1394" Type="http://schemas.openxmlformats.org/officeDocument/2006/relationships/hyperlink" Target="https://www.google.com/search?q=site%3Aipleiria.pt%20Est&#233;tica%2C%20Cosm&#233;tica%20e%20Bem-estar%20CTeSP" TargetMode="External"/><Relationship Id="rId2238" Type="http://schemas.openxmlformats.org/officeDocument/2006/relationships/hyperlink" Target="https://www.google.com/search?q=site%3Aipvc.pt%20Bem-Estar%20em%20Animais%20de%20Produ&#231;&#227;o%20mestrado" TargetMode="External"/><Relationship Id="rId2445" Type="http://schemas.openxmlformats.org/officeDocument/2006/relationships/hyperlink" Target="https://www.google.com/search?q=site%3Aipca.pt%20Industrializa&#231;&#227;o%20e%20Qualidade%20Alimentar%20CTeSP" TargetMode="External"/><Relationship Id="rId2652" Type="http://schemas.openxmlformats.org/officeDocument/2006/relationships/hyperlink" Target="https://www.google.com/search?q=site%3Aipp.pt%20Fisioterapia%20licenciatura" TargetMode="External"/><Relationship Id="rId3703" Type="http://schemas.openxmlformats.org/officeDocument/2006/relationships/hyperlink" Target="https://www.google.com/search?q=site%3Alusofona.pt%20Psicologia%20licenciatura" TargetMode="External"/><Relationship Id="rId3910" Type="http://schemas.openxmlformats.org/officeDocument/2006/relationships/hyperlink" Target="https://www.google.com/search?q=site%3Aunl.pt%20Engenharia%20Qu&#237;mica%20e%20Biol&#243;gica%20mestrado" TargetMode="External"/><Relationship Id="rId417" Type="http://schemas.openxmlformats.org/officeDocument/2006/relationships/hyperlink" Target="https://www.google.com/search?q=site%3Aisce.pt%20Informa&#231;&#227;o%20Tur&#237;stica%20e%20Guia%20Int&#233;rprete%20da%20Cultura%20Portuguesa%20p&#243;s-gradua&#231;&#227;o" TargetMode="External"/><Relationship Id="rId624" Type="http://schemas.openxmlformats.org/officeDocument/2006/relationships/hyperlink" Target="https://www.google.com/search?q=site%3Aispa.pt%20Biologia%20Marinha%20e%20Conserva&#231;&#227;o%20mestrado" TargetMode="External"/><Relationship Id="rId831" Type="http://schemas.openxmlformats.org/officeDocument/2006/relationships/hyperlink" Target="https://www.google.com/search?q=site%3Aipluso.pt%20Contabilidade%20e%20Finan&#231;as%20licenciatura" TargetMode="External"/><Relationship Id="rId1047" Type="http://schemas.openxmlformats.org/officeDocument/2006/relationships/hyperlink" Target="https://www.google.com/search?q=site%3Aipb.pt%20Empreendedorismo%20e%20Inova&#231;&#227;o%20mestrado" TargetMode="External"/><Relationship Id="rId1254" Type="http://schemas.openxmlformats.org/officeDocument/2006/relationships/hyperlink" Target="https://www.google.com/search?q=site%3Aipc.pt%20Contabilidade%20e%20Auditoria%20licenciatura" TargetMode="External"/><Relationship Id="rId1461" Type="http://schemas.openxmlformats.org/officeDocument/2006/relationships/hyperlink" Target="https://www.google.com/search?q=site%3Aipleiria.pt%20Engenharia%20Civil%20licenciatura" TargetMode="External"/><Relationship Id="rId2305" Type="http://schemas.openxmlformats.org/officeDocument/2006/relationships/hyperlink" Target="https://www.google.com/search?q=site%3Aipv.pt%20Desenho%20e%20Modela&#231;&#227;o%20Digital%20CTeSP" TargetMode="External"/><Relationship Id="rId2512" Type="http://schemas.openxmlformats.org/officeDocument/2006/relationships/hyperlink" Target="https://www.google.com/search?q=site%3Aipca.pt%20Gest&#227;o%20de%20Empresas%20mestrado" TargetMode="External"/><Relationship Id="rId5668" Type="http://schemas.openxmlformats.org/officeDocument/2006/relationships/hyperlink" Target="https://www.google.com/search?q=site%3Aup.pt%20Bioengenharia%20mestrado%20integrado" TargetMode="External"/><Relationship Id="rId1114" Type="http://schemas.openxmlformats.org/officeDocument/2006/relationships/hyperlink" Target="https://www.google.com/search?q=site%3Aipcb.pt%20Desenvolvimento%20Web%20e%20Multim&#233;dia%20CTeSP" TargetMode="External"/><Relationship Id="rId1321" Type="http://schemas.openxmlformats.org/officeDocument/2006/relationships/hyperlink" Target="https://www.google.com/search?q=site%3Aipc.pt%20Gest&#227;o%20Ambiental%20mestrado" TargetMode="External"/><Relationship Id="rId4477" Type="http://schemas.openxmlformats.org/officeDocument/2006/relationships/hyperlink" Target="https://www.google.com/search?q=site%3Auc.pt%20Rela&#231;&#245;es%20Internacionais%20-%20Pol&#237;tica%20Internacional%20dos%20Oceanos%20mestrado" TargetMode="External"/><Relationship Id="rId4684" Type="http://schemas.openxmlformats.org/officeDocument/2006/relationships/hyperlink" Target="https://www.google.com/search?q=site%3Aulisboa.pt%20Economia%20e%20Pol&#237;ticas%20P&#250;blicas%20mestrado" TargetMode="External"/><Relationship Id="rId4891" Type="http://schemas.openxmlformats.org/officeDocument/2006/relationships/hyperlink" Target="https://www.google.com/search?q=site%3Aulisboa.pt%20B-Learning%20em%20Endodontia%20p&#243;s-gradua&#231;&#227;o" TargetMode="External"/><Relationship Id="rId5528" Type="http://schemas.openxmlformats.org/officeDocument/2006/relationships/hyperlink" Target="https://www.google.com/search?q=site%3Aup.pt%20Economia%20mestrado" TargetMode="External"/><Relationship Id="rId5735" Type="http://schemas.openxmlformats.org/officeDocument/2006/relationships/hyperlink" Target="https://www.google.com/search?q=site%3Auac.pt%20Gest&#227;o%20Empresarial%20e%20Neg&#243;cios%20Digitais%20mestrado" TargetMode="External"/><Relationship Id="rId3079" Type="http://schemas.openxmlformats.org/officeDocument/2006/relationships/hyperlink" Target="https://www.google.com/search?q=site%3Aisg.pt%20P&#243;s&#8209;Gradua&#231;&#227;o%20em%20Gest&#227;o%20Estrat&#233;gica%20dos%20Munic&#237;pios%3A%20Governa&#231;&#227;o%20e%20Sustentabilidade%20p&#243;s-gradua&#231;&#227;o" TargetMode="External"/><Relationship Id="rId3286" Type="http://schemas.openxmlformats.org/officeDocument/2006/relationships/hyperlink" Target="https://www.google.com/search?q=site%3Aucp.pt%20Enfermagem%20Avan&#231;ada%20mestrado" TargetMode="External"/><Relationship Id="rId3493" Type="http://schemas.openxmlformats.org/officeDocument/2006/relationships/hyperlink" Target="https://www.google.com/search?q=site%3Aeuropeia.pt%20P&#243;s&#8209;Gradua&#231;&#227;o%20em%20Gest&#227;o%20em%20Sa&#250;de%20p&#243;s-gradua&#231;&#227;o" TargetMode="External"/><Relationship Id="rId4337" Type="http://schemas.openxmlformats.org/officeDocument/2006/relationships/hyperlink" Target="https://www.google.com/search?q=site%3Auc.pt%20An&#225;lises%20Cl&#237;nicas%20mestrado" TargetMode="External"/><Relationship Id="rId4544" Type="http://schemas.openxmlformats.org/officeDocument/2006/relationships/hyperlink" Target="https://www.google.com/search?q=site%3Aulisboa.pt%20Engenharia%20Alimentar%20licenciatura" TargetMode="External"/><Relationship Id="rId2095" Type="http://schemas.openxmlformats.org/officeDocument/2006/relationships/hyperlink" Target="https://www.google.com/search?q=site%3Aipt.pt%20Produ&#231;&#227;o%20de%20Atividades%20para%20o%20Turismo%20Cultural%20CTeSP" TargetMode="External"/><Relationship Id="rId3146" Type="http://schemas.openxmlformats.org/officeDocument/2006/relationships/hyperlink" Target="https://www.google.com/search?q=site%3Acespu.pt%20Ultrassonografia%20Cardiovascular%20&#8211;%206.&#170;%20edi&#231;&#227;o%20p&#243;s-gradua&#231;&#227;o" TargetMode="External"/><Relationship Id="rId3353" Type="http://schemas.openxmlformats.org/officeDocument/2006/relationships/hyperlink" Target="https://www.google.com/search?q=site%3Aucp.pt%20Estrat&#233;gia%20e%20Controlo%20de%20Gest&#227;o%20p&#243;s-gradua&#231;&#227;o" TargetMode="External"/><Relationship Id="rId4751" Type="http://schemas.openxmlformats.org/officeDocument/2006/relationships/hyperlink" Target="https://www.google.com/search?q=site%3Aulisboa.pt%20Filosofia%20mestrado" TargetMode="External"/><Relationship Id="rId5802" Type="http://schemas.openxmlformats.org/officeDocument/2006/relationships/hyperlink" Target="https://www.google.com/search?q=site%3Aium.pt%20Ci&#234;ncias%20Militares%20Aeron&#225;uticas%2C%20especialidade%20de%20Administra&#231;&#227;o%20Aeron&#225;utica%20licenciatura" TargetMode="External"/><Relationship Id="rId274" Type="http://schemas.openxmlformats.org/officeDocument/2006/relationships/hyperlink" Target="https://www.google.com/search?q=site%3Aesscvp.eu%20Gest&#227;o%20de%20Servi&#231;os%20de%20Sa&#250;de%20mestrado" TargetMode="External"/><Relationship Id="rId481" Type="http://schemas.openxmlformats.org/officeDocument/2006/relationships/hyperlink" Target="https://www.google.com/search?q=site%3Aisec.pt%20Desenvolvimento%20Web%20CTeSP" TargetMode="External"/><Relationship Id="rId2162" Type="http://schemas.openxmlformats.org/officeDocument/2006/relationships/hyperlink" Target="https://www.google.com/search?q=site%3Aipvc.pt%20Contabilidade%20e%20Gest&#227;o%20para%20PME%20CTeSP" TargetMode="External"/><Relationship Id="rId3006" Type="http://schemas.openxmlformats.org/officeDocument/2006/relationships/hyperlink" Target="https://www.google.com/search?q=site%3Aiscet.pt%20Servi&#231;os%20Jur&#237;dicos%20CTeSP" TargetMode="External"/><Relationship Id="rId3560" Type="http://schemas.openxmlformats.org/officeDocument/2006/relationships/hyperlink" Target="https://www.google.com/search?q=site%3Aufp.pt%20Real&#8209;World%20Evidence%20%28RWE%29%20na%20Tomada%20de%20Decis&#227;o%20em%20Sa&#250;de%20p&#243;s-gradua&#231;&#227;o" TargetMode="External"/><Relationship Id="rId4404" Type="http://schemas.openxmlformats.org/officeDocument/2006/relationships/hyperlink" Target="https://www.google.com/search?q=site%3Auc.pt%20Escrita%20Criativa%20mestrado" TargetMode="External"/><Relationship Id="rId4611" Type="http://schemas.openxmlformats.org/officeDocument/2006/relationships/hyperlink" Target="https://www.google.com/search?q=site%3Aulisboa.pt%20Tecnologias%20de%20Informa&#231;&#227;o%20licenciatura" TargetMode="External"/><Relationship Id="rId134" Type="http://schemas.openxmlformats.org/officeDocument/2006/relationships/hyperlink" Target="https://www.google.com/search?q=site%3Aesesfm.pt%20Enfermagem%20do%20Trabalho%20p&#243;s-gradua&#231;&#227;o" TargetMode="External"/><Relationship Id="rId3213" Type="http://schemas.openxmlformats.org/officeDocument/2006/relationships/hyperlink" Target="https://www.google.com/search?q=site%3Aautonoma.pt%20Rela&#231;&#245;es%20Internacionais%20mestrado" TargetMode="External"/><Relationship Id="rId3420" Type="http://schemas.openxmlformats.org/officeDocument/2006/relationships/hyperlink" Target="https://www.google.com/search?q=site%3Aeuropeia.pt%20Marketing%2C%20Publicidade%20e%20Rela&#231;&#245;es%20P&#250;blicas%20licenciatura" TargetMode="External"/><Relationship Id="rId341" Type="http://schemas.openxmlformats.org/officeDocument/2006/relationships/hyperlink" Target="https://www.google.com/search?q=site%3Aess.ufp.pt%20Inova&#231;&#227;o%20Tecnol&#243;gica%20em%20Sa&#250;de%3A%20Sa&#250;de%20Geri&#225;trica%20p&#243;s-gradua&#231;&#227;o" TargetMode="External"/><Relationship Id="rId2022" Type="http://schemas.openxmlformats.org/officeDocument/2006/relationships/hyperlink" Target="https://www.google.com/search?q=site%3Aips.pt%20Tecnologias%20do%20Ambiente%20e%20do%20Mar%20licenciatura" TargetMode="External"/><Relationship Id="rId2979" Type="http://schemas.openxmlformats.org/officeDocument/2006/relationships/hyperlink" Target="https://www.google.com/search?q=site%3Aisced.pt%20Educa&#231;&#227;o%20Pr&#233;-Escolar%20e%20Ensino%20do%201.&#186;%20Ciclo%20do%20Ensino%20B&#225;sico%20mestrado" TargetMode="External"/><Relationship Id="rId5178" Type="http://schemas.openxmlformats.org/officeDocument/2006/relationships/hyperlink" Target="https://www.google.com/search?q=site%3Auevora.pt%20Ci&#234;ncia%20dos%20Materiais%20Arqueol&#243;gicos%20%28ARCHMAT%29%20mestrado" TargetMode="External"/><Relationship Id="rId5385" Type="http://schemas.openxmlformats.org/officeDocument/2006/relationships/hyperlink" Target="https://www.google.com/search?q=site%3Aualg.pt%20Recursos%20Biol&#243;gicos%20Marinhos%20mestrado" TargetMode="External"/><Relationship Id="rId5592" Type="http://schemas.openxmlformats.org/officeDocument/2006/relationships/hyperlink" Target="https://www.google.com/search?q=site%3Aup.pt%20F&#237;sica%20mestrado" TargetMode="External"/><Relationship Id="rId201" Type="http://schemas.openxmlformats.org/officeDocument/2006/relationships/hyperlink" Target="https://www.google.com/search?q=site%3Auatlantica.pt%20Enfermagem%20Comunit&#225;ria%20na%20&#225;rea%20de%20Enfermagem%20de%20Sa&#250;de%20Comunit&#225;ria%20e%20de%20Sa&#250;de%20P&#250;blica%20mestrado" TargetMode="External"/><Relationship Id="rId1788" Type="http://schemas.openxmlformats.org/officeDocument/2006/relationships/hyperlink" Target="https://www.google.com/search?q=site%3Aipportalegre.pt%20Engenharia%20Civil%20licenciatura" TargetMode="External"/><Relationship Id="rId1995" Type="http://schemas.openxmlformats.org/officeDocument/2006/relationships/hyperlink" Target="https://www.google.com/search?q=site%3Aips.pt%20Tecnologias%20de%20Laborat&#243;rio%20Qu&#237;mico%20e%20Biol&#243;gico%20CTeSP" TargetMode="External"/><Relationship Id="rId2839" Type="http://schemas.openxmlformats.org/officeDocument/2006/relationships/hyperlink" Target="https://www.google.com/search?q=site%3Aipam.pt%20Gest&#227;o%20Comercial%20e%20Vendas%20CTeSP" TargetMode="External"/><Relationship Id="rId4194" Type="http://schemas.openxmlformats.org/officeDocument/2006/relationships/hyperlink" Target="https://www.google.com/search?q=site%3Aismai.pt%20Cria&#231;&#227;o%20de%20Conte&#250;dos%20Digitais%20e%20Estrat&#233;gia%20Online%20p&#243;s-gradua&#231;&#227;o" TargetMode="External"/><Relationship Id="rId5038" Type="http://schemas.openxmlformats.org/officeDocument/2006/relationships/hyperlink" Target="https://www.google.com/search?q=site%3Autad.pt%20Engenharia%20Civil%20licenciatura" TargetMode="External"/><Relationship Id="rId5245" Type="http://schemas.openxmlformats.org/officeDocument/2006/relationships/hyperlink" Target="https://www.google.com/search?q=site%3Auevora.pt%20Turismo%20e%20Gest&#227;o%20Hoteleira%20%28S&#227;o%20Tom&#233;%20e%20Pr&#237;ncipe%29%20p&#243;s-gradua&#231;&#227;o" TargetMode="External"/><Relationship Id="rId5452" Type="http://schemas.openxmlformats.org/officeDocument/2006/relationships/hyperlink" Target="https://www.google.com/search?q=site%3Aup.pt%20F&#237;sica%20licenciatura" TargetMode="External"/><Relationship Id="rId1648" Type="http://schemas.openxmlformats.org/officeDocument/2006/relationships/hyperlink" Target="https://www.google.com/search?q=site%3Aipl.pt%20M&#250;sica%20licenciatura" TargetMode="External"/><Relationship Id="rId4054" Type="http://schemas.openxmlformats.org/officeDocument/2006/relationships/hyperlink" Target="https://www.google.com/search?q=site%3Aunl.pt%20Enterprise%20Cybersecurity%20and%20AI%20p&#243;s-gradua&#231;&#227;o" TargetMode="External"/><Relationship Id="rId4261" Type="http://schemas.openxmlformats.org/officeDocument/2006/relationships/hyperlink" Target="https://www.google.com/search?q=site%3Aua.pt%20Geoinform&#225;tica%20mestrado" TargetMode="External"/><Relationship Id="rId5105" Type="http://schemas.openxmlformats.org/officeDocument/2006/relationships/hyperlink" Target="https://www.google.com/search?q=site%3Autad.pt%20Ensino%20da%20Matem&#225;tica%20no%203.&#186;%20Ciclo%20do%20Ensino%20B&#225;sico%20e%20no%20Ensino%20Secund&#225;rio%20mestrado" TargetMode="External"/><Relationship Id="rId5312" Type="http://schemas.openxmlformats.org/officeDocument/2006/relationships/hyperlink" Target="https://www.google.com/search?q=site%3Aualg.pt%20Matem&#225;tica%20Aplicada%20&#224;%20Economia%20e%20&#224;%20Gest&#227;o%20licenciatura" TargetMode="External"/><Relationship Id="rId1508" Type="http://schemas.openxmlformats.org/officeDocument/2006/relationships/hyperlink" Target="https://www.google.com/search?q=site%3Aipleiria.pt%20Comunica&#231;&#227;o%20e%20Media%20mestrado" TargetMode="External"/><Relationship Id="rId1855" Type="http://schemas.openxmlformats.org/officeDocument/2006/relationships/hyperlink" Target="https://www.google.com/search?q=site%3Aipsantarem.pt%20Tecnologias%20Web%20e%20Dispositivos%20M&#243;veis%20CTeSP" TargetMode="External"/><Relationship Id="rId2906" Type="http://schemas.openxmlformats.org/officeDocument/2006/relationships/hyperlink" Target="https://www.google.com/search?q=site%3Aismat.pt%20Direito%20do%20Trabalho%20e%20da%20Seguran&#231;a%20Social%20mestrado" TargetMode="External"/><Relationship Id="rId3070" Type="http://schemas.openxmlformats.org/officeDocument/2006/relationships/hyperlink" Target="https://www.google.com/search?q=site%3Aisg.pt%20Marketing%20licenciatura" TargetMode="External"/><Relationship Id="rId4121" Type="http://schemas.openxmlformats.org/officeDocument/2006/relationships/hyperlink" Target="https://www.google.com/search?q=site%3Aubi.pt%20Cidades%20e%20Comunidades%20Sustent&#225;veis%20Inteligentes%20licenciatura" TargetMode="External"/><Relationship Id="rId1715" Type="http://schemas.openxmlformats.org/officeDocument/2006/relationships/hyperlink" Target="https://www.google.com/search?q=site%3Aipl.pt%20Avan&#231;os%20em%20Oncobiologia%20Molecular%20Aplicada%20ao%20Diagn&#243;stico%20e%20Terap&#234;utica%20p&#243;s-gradua&#231;&#227;o" TargetMode="External"/><Relationship Id="rId1922" Type="http://schemas.openxmlformats.org/officeDocument/2006/relationships/hyperlink" Target="https://www.google.com/search?q=site%3Acespu.pt%20Secretariado%20Cl&#237;nico%20CTeSP" TargetMode="External"/><Relationship Id="rId3887" Type="http://schemas.openxmlformats.org/officeDocument/2006/relationships/hyperlink" Target="https://www.google.com/search?q=site%3Aunl.pt%20Din&#226;mica%20de%20Sistemas%20%28Mestrado%20Europeu%29%20mestrado" TargetMode="External"/><Relationship Id="rId4938" Type="http://schemas.openxmlformats.org/officeDocument/2006/relationships/hyperlink" Target="https://www.google.com/search?q=site%3Aulisboa.pt%20Direito%20e%20pr&#225;ticas%20processuais%20p&#243;s-gradua&#231;&#227;o" TargetMode="External"/><Relationship Id="rId2489" Type="http://schemas.openxmlformats.org/officeDocument/2006/relationships/hyperlink" Target="https://www.google.com/search?q=site%3Aipca.pt%20Gest&#227;o%20Hoteleira%20licenciatura" TargetMode="External"/><Relationship Id="rId2696" Type="http://schemas.openxmlformats.org/officeDocument/2006/relationships/hyperlink" Target="https://www.google.com/search?q=site%3Aipp.pt%20An&#225;lises%20Cl&#237;nicas%20e%20Sa&#250;de%20P&#250;blica%20mestrado" TargetMode="External"/><Relationship Id="rId3747" Type="http://schemas.openxmlformats.org/officeDocument/2006/relationships/hyperlink" Target="https://www.google.com/search?q=site%3Alusofona.pt%20Neuropsicologia%20Cl&#237;nica%20mestrado" TargetMode="External"/><Relationship Id="rId3954" Type="http://schemas.openxmlformats.org/officeDocument/2006/relationships/hyperlink" Target="https://www.google.com/search?q=site%3Aunl.pt%20Gest&#227;o%20de%20Empresas%20-%20Internacional%20mestrado" TargetMode="External"/><Relationship Id="rId668" Type="http://schemas.openxmlformats.org/officeDocument/2006/relationships/hyperlink" Target="https://www.google.com/search?q=site%3Aiees.pt%20Cozinha%20e%20Produ&#231;&#227;o%20Alimentar%20CTeSP" TargetMode="External"/><Relationship Id="rId875" Type="http://schemas.openxmlformats.org/officeDocument/2006/relationships/hyperlink" Target="https://www.google.com/search?q=site%3Aipbeja.pt%20Apoio%20em%20Cuidados%20Continuados%20Integrados%20CTeSP" TargetMode="External"/><Relationship Id="rId1298" Type="http://schemas.openxmlformats.org/officeDocument/2006/relationships/hyperlink" Target="https://www.google.com/search?q=site%3Aipc.pt%20Com&#233;rcio%20Eletr&#243;nico%20mestrado" TargetMode="External"/><Relationship Id="rId2349" Type="http://schemas.openxmlformats.org/officeDocument/2006/relationships/hyperlink" Target="https://www.google.com/search?q=site%3Aipv.pt%20Engenharia%20Alimentar%20licenciatura" TargetMode="External"/><Relationship Id="rId2556" Type="http://schemas.openxmlformats.org/officeDocument/2006/relationships/hyperlink" Target="https://www.google.com/search?q=site%3Aipca.pt%20Registos%20e%20Notariado%20p&#243;s-gradua&#231;&#227;o" TargetMode="External"/><Relationship Id="rId2763" Type="http://schemas.openxmlformats.org/officeDocument/2006/relationships/hyperlink" Target="https://www.google.com/search?q=site%3Aipp.pt%20Matem&#225;tica%20Aplicada%20&#224;%20Engenharia%20e%20&#224;s%20Finan&#231;as%20mestrado" TargetMode="External"/><Relationship Id="rId2970" Type="http://schemas.openxmlformats.org/officeDocument/2006/relationships/hyperlink" Target="https://www.google.com/search?q=site%3Aisced.pt%20Turismo%20Desportivo%20e%20de%20Aventura%20CTeSP" TargetMode="External"/><Relationship Id="rId3607" Type="http://schemas.openxmlformats.org/officeDocument/2006/relationships/hyperlink" Target="https://www.google.com/search?q=site%3Aulusiada.pt%20Musicoterapia%20mestrado" TargetMode="External"/><Relationship Id="rId3814" Type="http://schemas.openxmlformats.org/officeDocument/2006/relationships/hyperlink" Target="https://www.google.com/search?q=site%3Aunl.pt%20Ci&#234;ncias%20da%20Comunica&#231;&#227;o%20licenciatura" TargetMode="External"/><Relationship Id="rId528" Type="http://schemas.openxmlformats.org/officeDocument/2006/relationships/hyperlink" Target="https://www.google.com/search?q=site%3Aiseclisboa.pt%20Constru&#231;&#227;o%20e%20Reabilita&#231;&#227;o%20CTeSP" TargetMode="External"/><Relationship Id="rId735" Type="http://schemas.openxmlformats.org/officeDocument/2006/relationships/hyperlink" Target="https://www.google.com/search?q=site%3Aipg.pt%20Log&#237;stica%20CTeSP" TargetMode="External"/><Relationship Id="rId942" Type="http://schemas.openxmlformats.org/officeDocument/2006/relationships/hyperlink" Target="https://www.google.com/search?q=site%3Aipb.pt%20An&#225;lises%20Qu&#237;micas%20e%20Biol&#243;gicas%20CTeSP" TargetMode="External"/><Relationship Id="rId1158" Type="http://schemas.openxmlformats.org/officeDocument/2006/relationships/hyperlink" Target="https://www.google.com/search?q=site%3Aipcb.pt%20Secretariado%20licenciatura" TargetMode="External"/><Relationship Id="rId1365" Type="http://schemas.openxmlformats.org/officeDocument/2006/relationships/hyperlink" Target="https://www.google.com/search?q=site%3Aipc.pt%20Investiga&#231;&#227;o%20Cl&#237;nica%20em%20Servi&#231;os%20de%20Sa&#250;de%20p&#243;s-gradua&#231;&#227;o" TargetMode="External"/><Relationship Id="rId1572" Type="http://schemas.openxmlformats.org/officeDocument/2006/relationships/hyperlink" Target="https://www.google.com/search?q=site%3Aipleiria.pt%20Auditores%20de%20HACCP%20p&#243;s-gradua&#231;&#227;o" TargetMode="External"/><Relationship Id="rId2209" Type="http://schemas.openxmlformats.org/officeDocument/2006/relationships/hyperlink" Target="https://www.google.com/search?q=site%3Aipvc.pt%20Biotecnologia%20licenciatura" TargetMode="External"/><Relationship Id="rId2416" Type="http://schemas.openxmlformats.org/officeDocument/2006/relationships/hyperlink" Target="https://www.google.com/search?q=site%3Aipca.pt%20Apoio%20&#224;%20Gest&#227;o%20CTeSP" TargetMode="External"/><Relationship Id="rId2623" Type="http://schemas.openxmlformats.org/officeDocument/2006/relationships/hyperlink" Target="https://www.google.com/search?q=site%3Aipp.pt%20Biotecnologia%20Medicinal%20licenciatura" TargetMode="External"/><Relationship Id="rId5779" Type="http://schemas.openxmlformats.org/officeDocument/2006/relationships/hyperlink" Target="https://www.google.com/search?q=site%3Auac.pt%20Master%20em%20Gest&#227;o%20%5B2026/2027%5D%20p&#243;s-gradua&#231;&#227;o%20executiva" TargetMode="External"/><Relationship Id="rId1018" Type="http://schemas.openxmlformats.org/officeDocument/2006/relationships/hyperlink" Target="https://www.google.com/search?q=site%3Aipb.pt%20Fisioterapia%20licenciatura" TargetMode="External"/><Relationship Id="rId1225" Type="http://schemas.openxmlformats.org/officeDocument/2006/relationships/hyperlink" Target="https://www.google.com/search?q=site%3Aipc.pt%20Marketing%20CTeSP" TargetMode="External"/><Relationship Id="rId1432" Type="http://schemas.openxmlformats.org/officeDocument/2006/relationships/hyperlink" Target="https://www.google.com/search?q=site%3Aipleiria.pt%20Tecnologia%20Autom&#243;vel%20CTeSP" TargetMode="External"/><Relationship Id="rId2830" Type="http://schemas.openxmlformats.org/officeDocument/2006/relationships/hyperlink" Target="https://www.google.com/search?q=site%3Aipp.pt%20Revenue%20Management%20em%20Turismo%20e%20Hotelaria%20p&#243;s-gradua&#231;&#227;o" TargetMode="External"/><Relationship Id="rId4588" Type="http://schemas.openxmlformats.org/officeDocument/2006/relationships/hyperlink" Target="https://www.google.com/search?q=site%3Aulisboa.pt%20Geologia%20licenciatura" TargetMode="External"/><Relationship Id="rId5639" Type="http://schemas.openxmlformats.org/officeDocument/2006/relationships/hyperlink" Target="https://www.google.com/search?q=site%3Aup.pt%20Projeto%2C%20Constru&#231;&#227;o%20e%20Gest&#227;o%20Sustent&#225;veis%20do%20Ambiente%20Constru&#237;do%20mestrado" TargetMode="External"/><Relationship Id="rId71" Type="http://schemas.openxmlformats.org/officeDocument/2006/relationships/hyperlink" Target="https://www.google.com/search?q=site%3Aesai.pt%20Avalia&#231;&#227;o%20Imobili&#225;ria%20p&#243;s-gradua&#231;&#227;o%20executiva" TargetMode="External"/><Relationship Id="rId802" Type="http://schemas.openxmlformats.org/officeDocument/2006/relationships/hyperlink" Target="https://www.google.com/search?q=site%3Aipg.pt%20Cadastro%20Predial%20&#8211;%20Tipologia%20D%20p&#243;s-gradua&#231;&#227;o%20executiva" TargetMode="External"/><Relationship Id="rId3397" Type="http://schemas.openxmlformats.org/officeDocument/2006/relationships/hyperlink" Target="https://www.google.com/search?q=site%3Aeuropeia.pt%20Design%20Gr&#225;fico%20licenciatura" TargetMode="External"/><Relationship Id="rId4795" Type="http://schemas.openxmlformats.org/officeDocument/2006/relationships/hyperlink" Target="https://www.google.com/search?q=site%3Aulisboa.pt%20Matem&#225;tica%20mestrado" TargetMode="External"/><Relationship Id="rId4448" Type="http://schemas.openxmlformats.org/officeDocument/2006/relationships/hyperlink" Target="https://www.google.com/search?q=site%3Auc.pt%20Medicina%20Legal%20e%20Ci&#234;ncias%20Forenses%20mestrado" TargetMode="External"/><Relationship Id="rId4655" Type="http://schemas.openxmlformats.org/officeDocument/2006/relationships/hyperlink" Target="https://www.google.com/search?q=site%3Aulisboa.pt%20Cr&#237;tica%20e%20Curadoria%20de%20Arte%20mestrado" TargetMode="External"/><Relationship Id="rId4862" Type="http://schemas.openxmlformats.org/officeDocument/2006/relationships/hyperlink" Target="https://www.google.com/search?q=site%3Aulisboa.pt%20Arquitetura%2C%20na%20&#225;rea%20de%20especializa&#231;&#227;o%20em%20Interiores%20e%20Reabilita&#231;&#227;o%20do%20Edificado%20mestrado%20integrado" TargetMode="External"/><Relationship Id="rId5706" Type="http://schemas.openxmlformats.org/officeDocument/2006/relationships/hyperlink" Target="https://www.google.com/search?q=site%3Auac.pt%20Sa&#250;de%20e%20Bem&#8209;Estar%20Marinho%20licenciatura" TargetMode="External"/><Relationship Id="rId178" Type="http://schemas.openxmlformats.org/officeDocument/2006/relationships/hyperlink" Target="https://www.google.com/search?q=site%3Aesenf.pt%20Enfermagem%20&#224;%20Pessoa%20em%20Situa&#231;&#227;o%20Cr&#243;nica%20p&#243;s-gradua&#231;&#227;o" TargetMode="External"/><Relationship Id="rId3257" Type="http://schemas.openxmlformats.org/officeDocument/2006/relationships/hyperlink" Target="https://www.google.com/search?q=site%3Aucp.pt%20Teologia%20licenciatura" TargetMode="External"/><Relationship Id="rId3464" Type="http://schemas.openxmlformats.org/officeDocument/2006/relationships/hyperlink" Target="https://www.google.com/search?q=site%3Aeuropeia.pt%20Gest&#227;o%20do%20Turismo%20mestrado" TargetMode="External"/><Relationship Id="rId3671" Type="http://schemas.openxmlformats.org/officeDocument/2006/relationships/hyperlink" Target="https://www.google.com/search?q=site%3Alusofona.pt%20Contabilidade%2C%20Fiscalidade%20e%20Auditoria%20licenciatura" TargetMode="External"/><Relationship Id="rId4308" Type="http://schemas.openxmlformats.org/officeDocument/2006/relationships/hyperlink" Target="https://www.google.com/search?q=site%3Auc.pt%20Geologia%20licenciatura" TargetMode="External"/><Relationship Id="rId4515" Type="http://schemas.openxmlformats.org/officeDocument/2006/relationships/hyperlink" Target="https://www.google.com/search?q=site%3Auc.pt%20Sistemas%20Avan&#231;ados%20de%20Gest&#227;o%20da%20Sa&#250;de%20p&#243;s-gradua&#231;&#227;o" TargetMode="External"/><Relationship Id="rId4722" Type="http://schemas.openxmlformats.org/officeDocument/2006/relationships/hyperlink" Target="https://www.google.com/search?q=site%3Aulisboa.pt%20Engenharia%20e%20Gest&#227;o%20da%20Inova&#231;&#227;o%20e%20Empreendedorismo%20mestrado" TargetMode="External"/><Relationship Id="rId385" Type="http://schemas.openxmlformats.org/officeDocument/2006/relationships/hyperlink" Target="https://www.google.com/search?q=site%3Aipluso.pt%20P&#243;s&#8209;Gradua&#231;&#227;o%20em%20Educa&#231;&#227;o%20Especial%3A%20Perturba&#231;&#227;o%20da%20Aprendizagem%20Espec&#237;fica%20p&#243;s-gradua&#231;&#227;o" TargetMode="External"/><Relationship Id="rId592" Type="http://schemas.openxmlformats.org/officeDocument/2006/relationships/hyperlink" Target="https://www.google.com/search?q=site%3Aisla.pt%20Gest&#227;o%20de%20Turismo%2C%20Hotelaria%20e%20Restaura&#231;&#227;o%20CTeSP" TargetMode="External"/><Relationship Id="rId2066" Type="http://schemas.openxmlformats.org/officeDocument/2006/relationships/hyperlink" Target="https://www.google.com/search?q=site%3Aipt.pt%20Administra&#231;&#227;o%20de%20Bases%20de%20Dados%20CTeSP" TargetMode="External"/><Relationship Id="rId2273" Type="http://schemas.openxmlformats.org/officeDocument/2006/relationships/hyperlink" Target="https://www.google.com/search?q=site%3Aipvc.pt%20Gest&#227;o%20das%20Organiza&#231;&#245;es%20%28&#225;rea%20da%20Sa&#250;de%29%20mestrado" TargetMode="External"/><Relationship Id="rId2480" Type="http://schemas.openxmlformats.org/officeDocument/2006/relationships/hyperlink" Target="https://www.google.com/search?q=site%3Aipca.pt%20Engenharia%20Eletrot&#233;cnica%20e%20de%20Computadores%20licenciatura" TargetMode="External"/><Relationship Id="rId3117" Type="http://schemas.openxmlformats.org/officeDocument/2006/relationships/hyperlink" Target="https://www.google.com/search?q=site%3Acespu.pt%20Dor%20Orofacial%20&#8211;%20Disfun&#231;&#227;o%20Temporomandibular%20&#8211;%204.&#170;%20edi&#231;&#227;o%20p&#243;s-gradua&#231;&#227;o" TargetMode="External"/><Relationship Id="rId3324" Type="http://schemas.openxmlformats.org/officeDocument/2006/relationships/hyperlink" Target="https://www.google.com/search?q=site%3Aucp.pt%20Neuroci&#234;ncias%20Cognitivas%20e%20Comportamentais%20mestrado" TargetMode="External"/><Relationship Id="rId3531" Type="http://schemas.openxmlformats.org/officeDocument/2006/relationships/hyperlink" Target="https://www.google.com/search?q=site%3Aufp.pt%20Arquitetura%20mestrado%20integrado" TargetMode="External"/><Relationship Id="rId245" Type="http://schemas.openxmlformats.org/officeDocument/2006/relationships/hyperlink" Target="https://www.google.com/search?q=site%3Aegasmoniz.edu.pt%20Cirurgia%20Guiada%20em%20Medicina%20Dent&#225;ria%20e%20Fluxo%20Digital%20p&#243;s-gradua&#231;&#227;o" TargetMode="External"/><Relationship Id="rId452" Type="http://schemas.openxmlformats.org/officeDocument/2006/relationships/hyperlink" Target="https://www.google.com/search?q=site%3Aiscte-iul.pt%20Assessoria%20de%20Comunica&#231;&#227;o%20e%20Pol&#237;tica%20p&#243;s-gradua&#231;&#227;o" TargetMode="External"/><Relationship Id="rId1082" Type="http://schemas.openxmlformats.org/officeDocument/2006/relationships/hyperlink" Target="https://www.google.com/search?q=site%3Aipb.pt%20Tecnologia%20Ambiental%20mestrado" TargetMode="External"/><Relationship Id="rId2133" Type="http://schemas.openxmlformats.org/officeDocument/2006/relationships/hyperlink" Target="https://www.google.com/search?q=site%3Aipt.pt%20Document&#225;rio%20e%20Reportagem%20mestrado" TargetMode="External"/><Relationship Id="rId2340" Type="http://schemas.openxmlformats.org/officeDocument/2006/relationships/hyperlink" Target="https://www.google.com/search?q=site%3Aipv.pt%20Ci&#234;ncias%20e%20Tecnologia%20do%20Ambiente%20licenciatura" TargetMode="External"/><Relationship Id="rId5289" Type="http://schemas.openxmlformats.org/officeDocument/2006/relationships/hyperlink" Target="https://www.google.com/search?q=site%3Aualg.pt%20Economia%20Azul%20Sustent&#225;vel%20licenciatura" TargetMode="External"/><Relationship Id="rId5496" Type="http://schemas.openxmlformats.org/officeDocument/2006/relationships/hyperlink" Target="https://www.google.com/search?q=site%3Aup.pt%20Cirurgia%20Ortogn&#225;tica%20e%20Ortodontia%20mestrado" TargetMode="External"/><Relationship Id="rId105" Type="http://schemas.openxmlformats.org/officeDocument/2006/relationships/hyperlink" Target="https://www.google.com/search?q=site%3Ajoaodedeus.pt%20Perturba&#231;&#227;o%20do%20Espectro%20do%20Autismo%20p&#243;s-gradua&#231;&#227;o" TargetMode="External"/><Relationship Id="rId312" Type="http://schemas.openxmlformats.org/officeDocument/2006/relationships/hyperlink" Target="https://www.google.com/search?q=site%3Aesscvp.eu%20Enfermagem%20Forense%20p&#243;s-gradua&#231;&#227;o" TargetMode="External"/><Relationship Id="rId2200" Type="http://schemas.openxmlformats.org/officeDocument/2006/relationships/hyperlink" Target="https://www.google.com/search?q=site%3Aipvc.pt%20Trabalhos%20em%20Altura%20e%20Acesso%20por%20Cordas%20CTeSP" TargetMode="External"/><Relationship Id="rId4098" Type="http://schemas.openxmlformats.org/officeDocument/2006/relationships/hyperlink" Target="https://www.google.com/search?q=site%3Aupt.pt%20Sistemas%20de%20Informa&#231;&#227;o%20para%20Gest&#227;o%20licenciatura" TargetMode="External"/><Relationship Id="rId5149" Type="http://schemas.openxmlformats.org/officeDocument/2006/relationships/hyperlink" Target="https://www.google.com/search?q=site%3Auevora.pt%20Ci&#234;ncia%20e%20Tecnologia%20Animal%20licenciatura" TargetMode="External"/><Relationship Id="rId5356" Type="http://schemas.openxmlformats.org/officeDocument/2006/relationships/hyperlink" Target="https://www.google.com/search?q=site%3Aualg.pt%20Finan&#231;as%20mestrado" TargetMode="External"/><Relationship Id="rId5563" Type="http://schemas.openxmlformats.org/officeDocument/2006/relationships/hyperlink" Target="https://www.google.com/search?q=site%3Aup.pt%20Ensino%20de%20Artes%20Visuais%20no%203.&#186;%20Ciclo%20do%20Ensino%20B&#225;sico%20e%20no%20Ensino%20Secund&#225;rio%20mestrado" TargetMode="External"/><Relationship Id="rId1899" Type="http://schemas.openxmlformats.org/officeDocument/2006/relationships/hyperlink" Target="https://www.google.com/search?q=site%3Aipsantarem.pt%20Enfermagem%20de%20Sa&#250;de%20Materna%20e%20Obst&#233;trica%20mestrado" TargetMode="External"/><Relationship Id="rId4165" Type="http://schemas.openxmlformats.org/officeDocument/2006/relationships/hyperlink" Target="https://www.google.com/search?q=site%3Aismai.pt%20Gest&#227;o%20de%20Empresas%20licenciatura" TargetMode="External"/><Relationship Id="rId4372" Type="http://schemas.openxmlformats.org/officeDocument/2006/relationships/hyperlink" Target="https://www.google.com/search?q=site%3Auc.pt%20Educa&#231;&#227;o%20Social%2C%20Desenvolvimento%20e%20Din&#226;micas%20Locais%20mestrado" TargetMode="External"/><Relationship Id="rId5009" Type="http://schemas.openxmlformats.org/officeDocument/2006/relationships/hyperlink" Target="https://www.google.com/search?q=site%3Aulisboa.pt%20Wayfinding%20Design%3A%20Sistemas%20de%20Informa&#231;&#227;o%2C%20Orienta&#231;&#227;o%20e%20Sinaliza&#231;&#227;o%20para%20o%20Espa&#231;o%20P&#250;blico%20p&#243;s-gradua&#231;&#227;o" TargetMode="External"/><Relationship Id="rId5216" Type="http://schemas.openxmlformats.org/officeDocument/2006/relationships/hyperlink" Target="https://www.google.com/search?q=site%3Auevora.pt%20Arquitetura%20mestrado%20integrado" TargetMode="External"/><Relationship Id="rId5770" Type="http://schemas.openxmlformats.org/officeDocument/2006/relationships/hyperlink" Target="https://www.google.com/search?q=site%3Auac.pt%20P&#243;s&#8209;Gradua&#231;&#227;o%20em%20Inform&#225;tica%20para%20as%20Organiza&#231;&#245;es%20p&#243;s-gradua&#231;&#227;o" TargetMode="External"/><Relationship Id="rId1759" Type="http://schemas.openxmlformats.org/officeDocument/2006/relationships/hyperlink" Target="https://www.google.com/search?q=site%3Aipportalegre.pt%20Desporto%20e%20Atividade%20F&#237;sica%20CTeSP" TargetMode="External"/><Relationship Id="rId1966" Type="http://schemas.openxmlformats.org/officeDocument/2006/relationships/hyperlink" Target="https://www.google.com/search?q=site%3Aips.pt%20Apoio%20&#224;%20Gest&#227;o%20de%20Organiza&#231;&#245;es%20Sociais%20CTeSP" TargetMode="External"/><Relationship Id="rId3181" Type="http://schemas.openxmlformats.org/officeDocument/2006/relationships/hyperlink" Target="https://www.google.com/search?q=site%3Auab.pt%20Pedagogia%20do%20E-Learning%20mestrado" TargetMode="External"/><Relationship Id="rId4025" Type="http://schemas.openxmlformats.org/officeDocument/2006/relationships/hyperlink" Target="https://www.google.com/search?q=site%3Aunl.pt%20Engenharia%20Qu&#237;mica%20e%20Bioqu&#237;mica%20mestrado%20integrado" TargetMode="External"/><Relationship Id="rId5423" Type="http://schemas.openxmlformats.org/officeDocument/2006/relationships/hyperlink" Target="https://www.google.com/search?q=site%3Aup.pt%20Ci&#234;ncias%20da%20Linguagem%20licenciatura" TargetMode="External"/><Relationship Id="rId5630" Type="http://schemas.openxmlformats.org/officeDocument/2006/relationships/hyperlink" Target="https://www.google.com/search?q=site%3Aup.pt%20Neuroci&#234;ncia%20Cognitiva%2C%20Afetiva%20e%20Social%20mestrado" TargetMode="External"/><Relationship Id="rId1619" Type="http://schemas.openxmlformats.org/officeDocument/2006/relationships/hyperlink" Target="https://www.google.com/search?q=site%3Aipl.pt%20Cinema%20licenciatura" TargetMode="External"/><Relationship Id="rId1826" Type="http://schemas.openxmlformats.org/officeDocument/2006/relationships/hyperlink" Target="https://www.google.com/search?q=site%3Aipsantarem.pt%20Agricultura%20Digital%20CTeSP" TargetMode="External"/><Relationship Id="rId4232" Type="http://schemas.openxmlformats.org/officeDocument/2006/relationships/hyperlink" Target="https://www.google.com/search?q=site%3Aua.pt%20Engenharia%20Eletrot&#233;cnica%20licenciatura" TargetMode="External"/><Relationship Id="rId3041" Type="http://schemas.openxmlformats.org/officeDocument/2006/relationships/hyperlink" Target="https://www.google.com/search?q=site%3Aiscia.pt%20Anima&#231;&#227;o%20Comunit&#225;ria%20p&#243;s-gradua&#231;&#227;o" TargetMode="External"/><Relationship Id="rId3998" Type="http://schemas.openxmlformats.org/officeDocument/2006/relationships/hyperlink" Target="https://www.google.com/search?q=site%3Aunl.pt%20Recursos%20Vivos%20Marinhos%3A%20Ci&#234;ncia%2C%20Tecnologia%20e%20Sociedade%20mestrado" TargetMode="External"/><Relationship Id="rId3858" Type="http://schemas.openxmlformats.org/officeDocument/2006/relationships/hyperlink" Target="https://www.google.com/search?q=site%3Aunl.pt%20Arte%20e%20Ci&#234;ncia%20do%20Vidro%20e%20da%20Cer&#226;mica%20mestrado" TargetMode="External"/><Relationship Id="rId4909" Type="http://schemas.openxmlformats.org/officeDocument/2006/relationships/hyperlink" Target="https://www.google.com/search?q=site%3Aulisboa.pt%20Cosm&#233;ticos%3A%20Inova&#231;&#227;o%20e%20Desenvolvimento%20de%20Formula&#231;&#245;es%20p&#243;s-gradua&#231;&#227;o" TargetMode="External"/><Relationship Id="rId779" Type="http://schemas.openxmlformats.org/officeDocument/2006/relationships/hyperlink" Target="https://www.google.com/search?q=site%3Aipg.pt%20Computa&#231;&#227;o%20M&#243;vel%20mestrado" TargetMode="External"/><Relationship Id="rId986" Type="http://schemas.openxmlformats.org/officeDocument/2006/relationships/hyperlink" Target="https://www.google.com/search?q=site%3Aipb.pt%20Terapias%20de%20Beleza%20e%20Bem&#8209;Estar%20CTeSP" TargetMode="External"/><Relationship Id="rId2667" Type="http://schemas.openxmlformats.org/officeDocument/2006/relationships/hyperlink" Target="https://www.google.com/search?q=site%3Aipp.pt%20M&#250;sica%2C%20variante%20de%20Composi&#231;&#227;o%20licenciatura" TargetMode="External"/><Relationship Id="rId3718" Type="http://schemas.openxmlformats.org/officeDocument/2006/relationships/hyperlink" Target="https://www.google.com/search?q=site%3Alusofona.pt%20Ci&#234;ncia%20Cognitiva%20e%20Educa&#231;&#227;o%20mestrado" TargetMode="External"/><Relationship Id="rId5073" Type="http://schemas.openxmlformats.org/officeDocument/2006/relationships/hyperlink" Target="https://www.google.com/search?q=site%3Autad.pt%20Biotecnologia%20para%20as%20Ci&#234;ncias%20da%20Sa&#250;de%20mestrado" TargetMode="External"/><Relationship Id="rId5280" Type="http://schemas.openxmlformats.org/officeDocument/2006/relationships/hyperlink" Target="https://www.google.com/search?q=site%3Aualg.pt%20Biotecnologia%20licenciatura" TargetMode="External"/><Relationship Id="rId639" Type="http://schemas.openxmlformats.org/officeDocument/2006/relationships/hyperlink" Target="https://www.google.com/search?q=site%3Aispa.pt%20%28Conjunto%20de%20p&#243;s&#8209;gradua&#231;&#245;es%20em%20Psicologia%20&#8211;%20&#225;rea%20geral%29%20p&#243;s-gradua&#231;&#227;o" TargetMode="External"/><Relationship Id="rId1269" Type="http://schemas.openxmlformats.org/officeDocument/2006/relationships/hyperlink" Target="https://www.google.com/search?q=site%3Aipc.pt%20Gest&#227;o%20licenciatura" TargetMode="External"/><Relationship Id="rId1476" Type="http://schemas.openxmlformats.org/officeDocument/2006/relationships/hyperlink" Target="https://www.google.com/search?q=site%3Aipleiria.pt%20Marketing%20licenciatura" TargetMode="External"/><Relationship Id="rId2874" Type="http://schemas.openxmlformats.org/officeDocument/2006/relationships/hyperlink" Target="https://www.google.com/search?q=site%3Aisdd.pt%20Gest&#227;o%20da%20Produ&#231;&#227;o%20Aeron&#225;utica%20CTeSP" TargetMode="External"/><Relationship Id="rId3925" Type="http://schemas.openxmlformats.org/officeDocument/2006/relationships/hyperlink" Target="https://www.google.com/search?q=site%3Aunl.pt%20Ensino%20de%20Ingl&#234;s%20no%201.&#186;%20Ciclo%20do%20Ensino%20B&#225;sico%20mestrado" TargetMode="External"/><Relationship Id="rId5140" Type="http://schemas.openxmlformats.org/officeDocument/2006/relationships/hyperlink" Target="https://www.google.com/search?q=site%3Autad.pt%20P&#243;s&#8209;gradua&#231;&#227;o%20&#8211;%20Bem&#8209;Estar%20em%20Animais%20de%20Produ&#231;&#227;o%20p&#243;s-gradua&#231;&#227;o" TargetMode="External"/><Relationship Id="rId846" Type="http://schemas.openxmlformats.org/officeDocument/2006/relationships/hyperlink" Target="https://www.google.com/search?q=site%3Aipluso.pt%20Educa&#231;&#227;o%20Pr&#233;&#8209;Escolar%20e%20Ensino%20do%201.&#186;%20Ciclo%20do%20Ensino%20B&#225;sico%20mestrado" TargetMode="External"/><Relationship Id="rId1129" Type="http://schemas.openxmlformats.org/officeDocument/2006/relationships/hyperlink" Target="https://www.google.com/search?q=site%3Aipcb.pt%20Tecnologia%20Educativa%20Digital%20CTeSP" TargetMode="External"/><Relationship Id="rId1683" Type="http://schemas.openxmlformats.org/officeDocument/2006/relationships/hyperlink" Target="https://www.google.com/search?q=site%3Aipl.pt%20Engenharia%20da%20Qualidade%20e%20Ambiente%20mestrado" TargetMode="External"/><Relationship Id="rId1890" Type="http://schemas.openxmlformats.org/officeDocument/2006/relationships/hyperlink" Target="https://www.google.com/search?q=site%3Aipsantarem.pt%20Educa&#231;&#227;o%20Especial%20e%20Inclusiva%20mestrado" TargetMode="External"/><Relationship Id="rId2527" Type="http://schemas.openxmlformats.org/officeDocument/2006/relationships/hyperlink" Target="https://www.google.com/search?q=site%3Aipca.pt%20Tecnologias%20de%20Apoio%20&#224;%20Educa&#231;&#227;o%20STEAM%20mestrado" TargetMode="External"/><Relationship Id="rId2734" Type="http://schemas.openxmlformats.org/officeDocument/2006/relationships/hyperlink" Target="https://www.google.com/search?q=site%3Aipp.pt%20Engenharia%20e%20Gest&#227;o%20da%20Cadeia%20de%20Abastecimento%20mestrado" TargetMode="External"/><Relationship Id="rId2941" Type="http://schemas.openxmlformats.org/officeDocument/2006/relationships/hyperlink" Target="https://www.google.com/search?q=site%3Aispgaya.pt%20Tecnologias%20e%20Programa&#231;&#227;o%20de%20Sistemas%20de%20Informa&#231;&#227;o%20CTeSP" TargetMode="External"/><Relationship Id="rId5000" Type="http://schemas.openxmlformats.org/officeDocument/2006/relationships/hyperlink" Target="https://www.google.com/search?q=site%3Aulisboa.pt%20Rob&#243;tica%20e%20Tecnologias%20Emergentes%20no%20Ensino%20B&#225;sico%20p&#243;s-gradua&#231;&#227;o" TargetMode="External"/><Relationship Id="rId706" Type="http://schemas.openxmlformats.org/officeDocument/2006/relationships/hyperlink" Target="https://www.google.com/search?q=site%3Aipg.pt%20Anima&#231;&#227;o%20Tur&#237;stica%20e%20do%20Patrim&#243;nio%20Cultural%20e%20Natural%20CTeSP" TargetMode="External"/><Relationship Id="rId913" Type="http://schemas.openxmlformats.org/officeDocument/2006/relationships/hyperlink" Target="https://www.google.com/search?q=site%3Aipbeja.pt%20Atividade%20F&#237;sica%20e%20Sa&#250;de%20mestrado" TargetMode="External"/><Relationship Id="rId1336" Type="http://schemas.openxmlformats.org/officeDocument/2006/relationships/hyperlink" Target="https://www.google.com/search?q=site%3Aipc.pt%20Seguran&#231;a%20Alimentar%20e%20Desenvolvimento%20Rural%20mestrado" TargetMode="External"/><Relationship Id="rId1543" Type="http://schemas.openxmlformats.org/officeDocument/2006/relationships/hyperlink" Target="https://www.google.com/search?q=site%3Aipleiria.pt%20Ensino%20do%201.&#186;%20Ciclo%20do%20Ensino%20B&#225;sico%20e%20de%20Matem&#225;tica%20e%20Ci&#234;ncias%20Naturais%20no%202.&#186;%20Ciclo%20do%20Ensino%20B&#225;sico%20mestrado" TargetMode="External"/><Relationship Id="rId1750" Type="http://schemas.openxmlformats.org/officeDocument/2006/relationships/hyperlink" Target="https://www.google.com/search?q=site%3Aipportalegre.pt%20Artes%20e%20Dinamiza&#231;&#227;o%20Cultural%20CTeSP" TargetMode="External"/><Relationship Id="rId2801" Type="http://schemas.openxmlformats.org/officeDocument/2006/relationships/hyperlink" Target="https://www.google.com/search?q=site%3Aipp.pt%20Enoturismo%20p&#243;s-gradua&#231;&#227;o" TargetMode="External"/><Relationship Id="rId4699" Type="http://schemas.openxmlformats.org/officeDocument/2006/relationships/hyperlink" Target="https://www.google.com/search?q=site%3Aulisboa.pt%20Engenharia%20Eletr&#243;nica%20mestrado" TargetMode="External"/><Relationship Id="rId42" Type="http://schemas.openxmlformats.org/officeDocument/2006/relationships/hyperlink" Target="https://www.google.com/search?q=site%3Aenautica.pt%20Engenharia%20de%20M&#225;quinas%20Mar&#237;timas%20mestrado" TargetMode="External"/><Relationship Id="rId1403" Type="http://schemas.openxmlformats.org/officeDocument/2006/relationships/hyperlink" Target="https://www.google.com/search?q=site%3Aipleiria.pt%20Gest&#227;o%20e%20Tecnologias%20Avan&#231;adas%20em%20Recursos%20Minerais%20CTeSP" TargetMode="External"/><Relationship Id="rId1610" Type="http://schemas.openxmlformats.org/officeDocument/2006/relationships/hyperlink" Target="https://www.google.com/search?q=site%3Aipleiria.pt%20Servi&#231;os%20Assistidos%20com%20Equinos%20p&#243;s-gradua&#231;&#227;o" TargetMode="External"/><Relationship Id="rId4559" Type="http://schemas.openxmlformats.org/officeDocument/2006/relationships/hyperlink" Target="https://www.google.com/search?q=site%3Aulisboa.pt%20Engenharia%20Inform&#225;tica%20e%20de%20Computadores%20licenciatura" TargetMode="External"/><Relationship Id="rId4766" Type="http://schemas.openxmlformats.org/officeDocument/2006/relationships/hyperlink" Target="https://www.google.com/search?q=site%3Aulisboa.pt%20Gest&#227;o%20de%20Sistemas%20de%20Informa&#231;&#227;o%20mestrado" TargetMode="External"/><Relationship Id="rId4973" Type="http://schemas.openxmlformats.org/officeDocument/2006/relationships/hyperlink" Target="https://www.google.com/search?q=site%3Aulisboa.pt%20Marketing%20Digital%20%26%20AI%20p&#243;s-gradua&#231;&#227;o" TargetMode="External"/><Relationship Id="rId3368" Type="http://schemas.openxmlformats.org/officeDocument/2006/relationships/hyperlink" Target="https://www.google.com/search?q=site%3Aucp.pt%20Mente%2C%20C&#233;rebro%20e%20Educa&#231;&#227;o%20p&#243;s-gradua&#231;&#227;o" TargetMode="External"/><Relationship Id="rId3575" Type="http://schemas.openxmlformats.org/officeDocument/2006/relationships/hyperlink" Target="https://www.google.com/search?q=site%3Aulusiada.pt%20Engenharia%20Civil%20licenciatura" TargetMode="External"/><Relationship Id="rId3782" Type="http://schemas.openxmlformats.org/officeDocument/2006/relationships/hyperlink" Target="https://www.google.com/search?q=site%3Alusofona.pt%20Interven&#231;&#227;o%20em%20Riscos%20e%20Promo&#231;&#227;o%20da%20Inclus&#227;o%20p&#243;s-gradua&#231;&#227;o" TargetMode="External"/><Relationship Id="rId4419" Type="http://schemas.openxmlformats.org/officeDocument/2006/relationships/hyperlink" Target="https://www.google.com/search?q=site%3Auc.pt%20F&#237;sica%20M&#233;dica%20mestrado" TargetMode="External"/><Relationship Id="rId4626" Type="http://schemas.openxmlformats.org/officeDocument/2006/relationships/hyperlink" Target="https://www.google.com/search?q=site%3Aulisboa.pt%20Biologia%20Molecular%20e%20Gen&#233;tica%20mestrado" TargetMode="External"/><Relationship Id="rId4833" Type="http://schemas.openxmlformats.org/officeDocument/2006/relationships/hyperlink" Target="https://www.google.com/search?q=site%3Aulisboa.pt%20Reabilita&#231;&#227;o%20Cardiovascular%20mestrado" TargetMode="External"/><Relationship Id="rId289" Type="http://schemas.openxmlformats.org/officeDocument/2006/relationships/hyperlink" Target="https://www.google.com/search?q=site%3Aesscvp.eu%20Viabilidade%20Tecidular%20e%20Feridas%20p&#243;s-gradua&#231;&#227;o" TargetMode="External"/><Relationship Id="rId496" Type="http://schemas.openxmlformats.org/officeDocument/2006/relationships/hyperlink" Target="https://www.google.com/search?q=site%3Aisec.pt%20Tecnologias%20Inform&#225;ticas%20CTeSP" TargetMode="External"/><Relationship Id="rId2177" Type="http://schemas.openxmlformats.org/officeDocument/2006/relationships/hyperlink" Target="https://www.google.com/search?q=site%3Aipvc.pt%20Ind&#250;strias%20Biotecnol&#243;gicas%20CTeSP" TargetMode="External"/><Relationship Id="rId2384" Type="http://schemas.openxmlformats.org/officeDocument/2006/relationships/hyperlink" Target="https://www.google.com/search?q=site%3Aipv.pt%20Enfermagem%20de%20Sa&#250;de%20Materna%20e%20Obst&#233;trica%20mestrado" TargetMode="External"/><Relationship Id="rId2591" Type="http://schemas.openxmlformats.org/officeDocument/2006/relationships/hyperlink" Target="https://www.google.com/search?q=site%3Aipp.pt%20Maquinaria%20de%20Cena%20CTeSP" TargetMode="External"/><Relationship Id="rId3228" Type="http://schemas.openxmlformats.org/officeDocument/2006/relationships/hyperlink" Target="https://www.google.com/search?q=site%3Aucp.pt%20Ci&#234;ncia%20e%20Tecnologia%20de%20Dados%20licenciatura" TargetMode="External"/><Relationship Id="rId3435" Type="http://schemas.openxmlformats.org/officeDocument/2006/relationships/hyperlink" Target="https://www.google.com/search?q=site%3Aeuropeia.pt%20Comunica&#231;&#227;o%20Audiovisual%20e%20Multim&#233;dia%20mestrado" TargetMode="External"/><Relationship Id="rId3642" Type="http://schemas.openxmlformats.org/officeDocument/2006/relationships/hyperlink" Target="https://www.google.com/search?q=site%3Aulusiada.pt%20Gest&#227;o%20e%20Administra&#231;&#227;o%20em%20Sa&#250;de%20&#8211;%2040.&#170;%20edi&#231;&#227;o%20p&#243;s-gradua&#231;&#227;o%20executiva" TargetMode="External"/><Relationship Id="rId149" Type="http://schemas.openxmlformats.org/officeDocument/2006/relationships/hyperlink" Target="https://www.google.com/search?q=site%3Aesel.pt%20Enfermagem%20de%20Sa&#250;de%20Comunit&#225;ria%20e%20de%20Sa&#250;de%20P&#250;blica%20p&#243;s-gradua&#231;&#227;o" TargetMode="External"/><Relationship Id="rId356" Type="http://schemas.openxmlformats.org/officeDocument/2006/relationships/hyperlink" Target="https://www.google.com/search?q=site%3Asantamaria.pt%20Enfermagem%20de%20Sa&#250;de%20Infantil%20e%20Pedi&#225;trica%20mestrado" TargetMode="External"/><Relationship Id="rId563" Type="http://schemas.openxmlformats.org/officeDocument/2006/relationships/hyperlink" Target="https://www.google.com/search?q=site%3Aiseclisboa.pt%20Educa&#231;&#227;o%20Pr&#233;-Escolar%20e%20Ensino%20do%201.&#186;%20Ciclo%20do%20Ensino%20B&#225;sico%20mestrado" TargetMode="External"/><Relationship Id="rId770" Type="http://schemas.openxmlformats.org/officeDocument/2006/relationships/hyperlink" Target="https://www.google.com/search?q=site%3Aipg.pt%20Gest&#227;o%20do%20Turismo%20e%20da%20Hospitalidade%20licenciatura" TargetMode="External"/><Relationship Id="rId1193" Type="http://schemas.openxmlformats.org/officeDocument/2006/relationships/hyperlink" Target="https://www.google.com/search?q=site%3Aipcb.pt%20Estudos%20Avan&#231;ados%20em%20Eletroencefalografia%20p&#243;s-gradua&#231;&#227;o" TargetMode="External"/><Relationship Id="rId2037" Type="http://schemas.openxmlformats.org/officeDocument/2006/relationships/hyperlink" Target="https://www.google.com/search?q=site%3Aips.pt%20Engenharia%20Biom&#233;dica%20mestrado" TargetMode="External"/><Relationship Id="rId2244" Type="http://schemas.openxmlformats.org/officeDocument/2006/relationships/hyperlink" Target="https://www.google.com/search?q=site%3Aipvc.pt%20Educa&#231;&#227;o%20Art&#237;stica%20mestrado" TargetMode="External"/><Relationship Id="rId2451" Type="http://schemas.openxmlformats.org/officeDocument/2006/relationships/hyperlink" Target="https://www.google.com/search?q=site%3Aipca.pt%20Mec&#226;nica%20Autom&#243;vel%20CTeSP" TargetMode="External"/><Relationship Id="rId4900" Type="http://schemas.openxmlformats.org/officeDocument/2006/relationships/hyperlink" Target="https://www.google.com/search?q=site%3Aulisboa.pt%20Comunica&#231;&#227;o%20P&#250;blica%20p&#243;s-gradua&#231;&#227;o" TargetMode="External"/><Relationship Id="rId216" Type="http://schemas.openxmlformats.org/officeDocument/2006/relationships/hyperlink" Target="https://www.google.com/search?q=site%3Aegasmoniz.edu.pt%20Ci&#234;ncias%20Biom&#233;dicas%20Laboratoriais%20licenciatura" TargetMode="External"/><Relationship Id="rId423" Type="http://schemas.openxmlformats.org/officeDocument/2006/relationships/hyperlink" Target="https://www.google.com/search?q=site%3Aiscte-iul.pt%20Ci&#234;ncia%20de%20Dados%20licenciatura" TargetMode="External"/><Relationship Id="rId1053" Type="http://schemas.openxmlformats.org/officeDocument/2006/relationships/hyperlink" Target="https://www.google.com/search?q=site%3Aipb.pt%20Enfermagem%20de%20Reabilita&#231;&#227;o%20mestrado" TargetMode="External"/><Relationship Id="rId1260" Type="http://schemas.openxmlformats.org/officeDocument/2006/relationships/hyperlink" Target="https://www.google.com/search?q=site%3Aipc.pt%20Engenharia%20Agro-Pecu&#225;ria%20licenciatura" TargetMode="External"/><Relationship Id="rId2104" Type="http://schemas.openxmlformats.org/officeDocument/2006/relationships/hyperlink" Target="https://www.google.com/search?q=site%3Aipt.pt%20Tecnologia%20no%20Desporto%20CTeSP" TargetMode="External"/><Relationship Id="rId3502" Type="http://schemas.openxmlformats.org/officeDocument/2006/relationships/hyperlink" Target="https://www.google.com/search?q=site%3Aeuropeia.pt%20P&#243;s&#8209;Gradua&#231;&#227;o%20em%20Rela&#231;&#245;es%20Internacionais%20e%20Gest&#227;o%20de%20Crises%20p&#243;s-gradua&#231;&#227;o" TargetMode="External"/><Relationship Id="rId630" Type="http://schemas.openxmlformats.org/officeDocument/2006/relationships/hyperlink" Target="https://www.google.com/search?q=site%3Aispa.pt%20Psicologia%20Cl&#237;nica%20mestrado" TargetMode="External"/><Relationship Id="rId2311" Type="http://schemas.openxmlformats.org/officeDocument/2006/relationships/hyperlink" Target="https://www.google.com/search?q=site%3Aipv.pt%20Floresta%20e%20Interpreta&#231;&#227;o%20da%20Natureza%20CTeSP" TargetMode="External"/><Relationship Id="rId4069" Type="http://schemas.openxmlformats.org/officeDocument/2006/relationships/hyperlink" Target="https://www.google.com/search?q=site%3Aunl.pt%20Gest&#227;o%20na%20Sa&#250;de%20p&#243;s-gradua&#231;&#227;o" TargetMode="External"/><Relationship Id="rId5467" Type="http://schemas.openxmlformats.org/officeDocument/2006/relationships/hyperlink" Target="https://www.google.com/search?q=site%3Aup.pt%20Sa&#250;de%20Digital%20e%20Inova&#231;&#227;o%20Biom&#233;dica%20licenciatura" TargetMode="External"/><Relationship Id="rId5674" Type="http://schemas.openxmlformats.org/officeDocument/2006/relationships/hyperlink" Target="https://www.google.com/search?q=site%3Aup.pt%20Engenharia%20Mec&#226;nica%20mestrado%20integrado" TargetMode="External"/><Relationship Id="rId1120" Type="http://schemas.openxmlformats.org/officeDocument/2006/relationships/hyperlink" Target="https://www.google.com/search?q=site%3Aipcb.pt%20Instala&#231;&#245;es%20El&#233;tricas%20e%20Telecomunica&#231;&#245;es%20CTeSP" TargetMode="External"/><Relationship Id="rId4276" Type="http://schemas.openxmlformats.org/officeDocument/2006/relationships/hyperlink" Target="https://www.google.com/search?q=site%3Auc.pt%20Bioqu&#237;mica%20licenciatura" TargetMode="External"/><Relationship Id="rId4483" Type="http://schemas.openxmlformats.org/officeDocument/2006/relationships/hyperlink" Target="https://www.google.com/search?q=site%3Auc.pt%20Seguran&#231;a%20Inform&#225;tica%20mestrado" TargetMode="External"/><Relationship Id="rId4690" Type="http://schemas.openxmlformats.org/officeDocument/2006/relationships/hyperlink" Target="https://www.google.com/search?q=site%3Aulisboa.pt%20Engenharia%20Agron&#243;mica%20mestrado" TargetMode="External"/><Relationship Id="rId5327" Type="http://schemas.openxmlformats.org/officeDocument/2006/relationships/hyperlink" Target="https://www.google.com/search?q=site%3Aualg.pt%20Biotecnologia%20mestrado" TargetMode="External"/><Relationship Id="rId5534" Type="http://schemas.openxmlformats.org/officeDocument/2006/relationships/hyperlink" Target="https://www.google.com/search?q=site%3Aup.pt%20Economia%20e%20Gest&#227;o%20do%20Ambiente%20mestrado" TargetMode="External"/><Relationship Id="rId5741" Type="http://schemas.openxmlformats.org/officeDocument/2006/relationships/hyperlink" Target="https://www.google.com/search?q=site%3Auac.pt%20Ordenamento%20do%20Espa&#231;o%20Mar&#237;timo%20mestrado" TargetMode="External"/><Relationship Id="rId1937" Type="http://schemas.openxmlformats.org/officeDocument/2006/relationships/hyperlink" Target="https://www.google.com/search?q=site%3Acespu.pt%20Podiatria%20Cl&#237;nica%20mestrado" TargetMode="External"/><Relationship Id="rId3085" Type="http://schemas.openxmlformats.org/officeDocument/2006/relationships/hyperlink" Target="https://www.google.com/search?q=site%3Aisg.pt%20P&#243;s&#8209;Gradua&#231;&#227;o%20em%20Sistemas%20de%20Gest&#227;o%20de%20Seguran&#231;a%20Alimentar%20e%20Auditoria%20p&#243;s-gradua&#231;&#227;o" TargetMode="External"/><Relationship Id="rId3292" Type="http://schemas.openxmlformats.org/officeDocument/2006/relationships/hyperlink" Target="https://www.google.com/search?q=site%3Aucp.pt%20Estudos%20Asi&#225;ticos%20mestrado" TargetMode="External"/><Relationship Id="rId4136" Type="http://schemas.openxmlformats.org/officeDocument/2006/relationships/hyperlink" Target="https://www.google.com/search?q=site%3Aubi.pt%20Engenharia%20Eletrot&#233;cnica%20e%20de%20Computadores%20licenciatura" TargetMode="External"/><Relationship Id="rId4343" Type="http://schemas.openxmlformats.org/officeDocument/2006/relationships/hyperlink" Target="https://www.google.com/search?q=site%3Auc.pt%20Biocin&#233;tica%20mestrado" TargetMode="External"/><Relationship Id="rId4550" Type="http://schemas.openxmlformats.org/officeDocument/2006/relationships/hyperlink" Target="https://www.google.com/search?q=site%3Aulisboa.pt%20Engenharia%20Eletrot&#233;cnica%20e%20de%20Computadores%20licenciatura" TargetMode="External"/><Relationship Id="rId5601" Type="http://schemas.openxmlformats.org/officeDocument/2006/relationships/hyperlink" Target="https://www.google.com/search?q=site%3Aup.pt%20Gest&#227;o%20de%20Opera&#231;&#245;es%20de%20Retalho%20mestrado" TargetMode="External"/><Relationship Id="rId3152" Type="http://schemas.openxmlformats.org/officeDocument/2006/relationships/hyperlink" Target="https://www.google.com/search?q=site%3Auab.pt%20Ci&#234;ncias%20do%20Ambiente%20licenciatura" TargetMode="External"/><Relationship Id="rId4203" Type="http://schemas.openxmlformats.org/officeDocument/2006/relationships/hyperlink" Target="https://www.google.com/search?q=site%3Aua.pt%20Aux&#237;lio%20em%20Cuidados%20Integrados%20CTeSP" TargetMode="External"/><Relationship Id="rId4410" Type="http://schemas.openxmlformats.org/officeDocument/2006/relationships/hyperlink" Target="https://www.google.com/search?q=site%3Auc.pt%20Estudos%20Europeus%20mestrado" TargetMode="External"/><Relationship Id="rId280" Type="http://schemas.openxmlformats.org/officeDocument/2006/relationships/hyperlink" Target="https://www.google.com/search?q=site%3Aesscvp.eu%20Enfermagem%20de%20Endoscopia%20Digestiva%20p&#243;s-gradua&#231;&#227;o" TargetMode="External"/><Relationship Id="rId3012" Type="http://schemas.openxmlformats.org/officeDocument/2006/relationships/hyperlink" Target="https://www.google.com/search?q=site%3Aiscet.pt%20Gest&#227;o%20e%20Neg&#243;cios%20mestrado" TargetMode="External"/><Relationship Id="rId140" Type="http://schemas.openxmlformats.org/officeDocument/2006/relationships/hyperlink" Target="https://www.google.com/search?q=site%3Aesesfm.pt%20Neonatologia%20p&#243;s-gradua&#231;&#227;o" TargetMode="External"/><Relationship Id="rId3969" Type="http://schemas.openxmlformats.org/officeDocument/2006/relationships/hyperlink" Target="https://www.google.com/search?q=site%3Aunl.pt%20Lideran&#231;a%20-%20Executivo%20mestrado" TargetMode="External"/><Relationship Id="rId5184" Type="http://schemas.openxmlformats.org/officeDocument/2006/relationships/hyperlink" Target="https://www.google.com/search?q=site%3Auevora.pt%20Enfermagem%20mestrado" TargetMode="External"/><Relationship Id="rId5391" Type="http://schemas.openxmlformats.org/officeDocument/2006/relationships/hyperlink" Target="https://www.google.com/search?q=site%3Aualg.pt%20Tecnologia%20de%20Alimentos%20mestrado" TargetMode="External"/><Relationship Id="rId6" Type="http://schemas.openxmlformats.org/officeDocument/2006/relationships/hyperlink" Target="https://www.google.com/search?q=site%3Auatlantica.pt%20Gest&#227;o%20licenciatura" TargetMode="External"/><Relationship Id="rId2778" Type="http://schemas.openxmlformats.org/officeDocument/2006/relationships/hyperlink" Target="https://www.google.com/search?q=site%3Aipp.pt%20Tecnologia%20M&#233;dica%20e%20Neg&#243;cios%20em%20Sa&#250;de%20%28Erasmus%20Mundus%29%20mestrado" TargetMode="External"/><Relationship Id="rId2985" Type="http://schemas.openxmlformats.org/officeDocument/2006/relationships/hyperlink" Target="https://www.google.com/search?q=site%3Aisced.pt%20Ensino%20de%20Ingl&#234;s%20no%201.&#186;%20Ciclo%20do%20Ensino%20B&#225;sico%20mestrado" TargetMode="External"/><Relationship Id="rId3829" Type="http://schemas.openxmlformats.org/officeDocument/2006/relationships/hyperlink" Target="https://www.google.com/search?q=site%3Aunl.pt%20Engenharia%20de%20Comunica&#231;&#245;es%20e%20de%20Informa&#231;&#227;o%20licenciatura" TargetMode="External"/><Relationship Id="rId5044" Type="http://schemas.openxmlformats.org/officeDocument/2006/relationships/hyperlink" Target="https://www.google.com/search?q=site%3Autad.pt%20Engenharia%20Zoot&#233;cnica%20licenciatura" TargetMode="External"/><Relationship Id="rId957" Type="http://schemas.openxmlformats.org/officeDocument/2006/relationships/hyperlink" Target="https://www.google.com/search?q=site%3Aipb.pt%20Educa&#231;&#227;o%20Ambiental%20CTeSP" TargetMode="External"/><Relationship Id="rId1587" Type="http://schemas.openxmlformats.org/officeDocument/2006/relationships/hyperlink" Target="https://www.google.com/search?q=site%3Aipleiria.pt%20Enfermagem%20Forense%20p&#243;s-gradua&#231;&#227;o" TargetMode="External"/><Relationship Id="rId1794" Type="http://schemas.openxmlformats.org/officeDocument/2006/relationships/hyperlink" Target="https://www.google.com/search?q=site%3Aipportalegre.pt%20Gest&#227;o%20licenciatura" TargetMode="External"/><Relationship Id="rId2638" Type="http://schemas.openxmlformats.org/officeDocument/2006/relationships/hyperlink" Target="https://www.google.com/search?q=site%3Aipp.pt%20Engenharia%20Civil%20licenciatura" TargetMode="External"/><Relationship Id="rId2845" Type="http://schemas.openxmlformats.org/officeDocument/2006/relationships/hyperlink" Target="https://www.google.com/search?q=site%3Aipam.pt%20Marketing%20licenciatura" TargetMode="External"/><Relationship Id="rId5251" Type="http://schemas.openxmlformats.org/officeDocument/2006/relationships/hyperlink" Target="https://www.google.com/search?q=site%3Aualg.pt%20Design%20de%20Interiores%20CTeSP" TargetMode="External"/><Relationship Id="rId86" Type="http://schemas.openxmlformats.org/officeDocument/2006/relationships/hyperlink" Target="https://www.google.com/search?q=site%3Ajoaodedeus.pt%20Educa&#231;&#227;o%20Pr&#233;-Escolar%20mestrado" TargetMode="External"/><Relationship Id="rId817" Type="http://schemas.openxmlformats.org/officeDocument/2006/relationships/hyperlink" Target="https://www.google.com/search?q=site%3Aipluso.pt%20Gest&#227;o%20Comercial%20e%20Vendas%20CTeSP" TargetMode="External"/><Relationship Id="rId1447" Type="http://schemas.openxmlformats.org/officeDocument/2006/relationships/hyperlink" Target="https://www.google.com/search?q=site%3Aipleiria.pt%20Ci&#234;ncias%20da%20Informa&#231;&#227;o%20em%20Sa&#250;de%20licenciatura" TargetMode="External"/><Relationship Id="rId1654" Type="http://schemas.openxmlformats.org/officeDocument/2006/relationships/hyperlink" Target="https://www.google.com/search?q=site%3Aipl.pt%20Sa&#250;de%20Ambiental%20licenciatura" TargetMode="External"/><Relationship Id="rId1861" Type="http://schemas.openxmlformats.org/officeDocument/2006/relationships/hyperlink" Target="https://www.google.com/search?q=site%3Aipsantarem.pt%20Zootecnia%20CTeSP" TargetMode="External"/><Relationship Id="rId2705" Type="http://schemas.openxmlformats.org/officeDocument/2006/relationships/hyperlink" Target="https://www.google.com/search?q=site%3Aipp.pt%20Cinema%20e%20Fotografia%20mestrado" TargetMode="External"/><Relationship Id="rId2912" Type="http://schemas.openxmlformats.org/officeDocument/2006/relationships/hyperlink" Target="https://www.google.com/search?q=site%3Aismat.pt%20Arquitetura%20mestrado%20integrado" TargetMode="External"/><Relationship Id="rId4060" Type="http://schemas.openxmlformats.org/officeDocument/2006/relationships/hyperlink" Target="https://www.google.com/search?q=site%3Aunl.pt%20Gest&#227;o%20Estrat&#233;gica%20para%20a%20Sustentabilidade%20p&#243;s-gradua&#231;&#227;o" TargetMode="External"/><Relationship Id="rId5111" Type="http://schemas.openxmlformats.org/officeDocument/2006/relationships/hyperlink" Target="https://www.google.com/search?q=site%3Autad.pt%20Ensino%20de%20Portugu&#234;s%20e%20de%20Ingl&#234;s%20no%203.&#186;%20Ciclo%20do%20Ensino%20B&#225;sico%20e%20no%20Ensino%20Secund&#225;rio%20mestrado" TargetMode="External"/><Relationship Id="rId1307" Type="http://schemas.openxmlformats.org/officeDocument/2006/relationships/hyperlink" Target="https://www.google.com/search?q=site%3Aipc.pt%20Educa&#231;&#227;o%20de%20Adultos%20e%20Desenvolvimento%20Local%20mestrado" TargetMode="External"/><Relationship Id="rId1514" Type="http://schemas.openxmlformats.org/officeDocument/2006/relationships/hyperlink" Target="https://www.google.com/search?q=site%3Aipleiria.pt%20Design%20de%20Produto%20mestrado" TargetMode="External"/><Relationship Id="rId1721" Type="http://schemas.openxmlformats.org/officeDocument/2006/relationships/hyperlink" Target="https://www.google.com/search?q=site%3Aipl.pt%20Conserva&#231;&#227;o%20e%20Reabilita&#231;&#227;o%20de%20Constru&#231;&#245;es%20p&#243;s-gradua&#231;&#227;o" TargetMode="External"/><Relationship Id="rId4877" Type="http://schemas.openxmlformats.org/officeDocument/2006/relationships/hyperlink" Target="https://www.google.com/search?q=site%3Aulisboa.pt%20Medicina%20mestrado%20integrado" TargetMode="External"/><Relationship Id="rId13" Type="http://schemas.openxmlformats.org/officeDocument/2006/relationships/hyperlink" Target="https://www.google.com/search?q=site%3Auatlantica.pt%20Engenharia%20e%20Gest&#227;o%20de%20Sistemas%20de%20Fabrico%20mestrado" TargetMode="External"/><Relationship Id="rId3479" Type="http://schemas.openxmlformats.org/officeDocument/2006/relationships/hyperlink" Target="https://www.google.com/search?q=site%3Aeuropeia.pt%20P&#243;s&#8209;Gradua&#231;&#227;o%20em%20Ciberseguran&#231;a%20p&#243;s-gradua&#231;&#227;o" TargetMode="External"/><Relationship Id="rId3686" Type="http://schemas.openxmlformats.org/officeDocument/2006/relationships/hyperlink" Target="https://www.google.com/search?q=site%3Alusofona.pt%20Engenharia%20de%20Prote&#231;&#227;o%20Civil%20licenciatura" TargetMode="External"/><Relationship Id="rId2288" Type="http://schemas.openxmlformats.org/officeDocument/2006/relationships/hyperlink" Target="https://www.google.com/search?q=site%3Aipvc.pt%20Interven&#231;&#245;es%20Assistidas%20por%20Animais%20p&#243;s-gradua&#231;&#227;o" TargetMode="External"/><Relationship Id="rId2495" Type="http://schemas.openxmlformats.org/officeDocument/2006/relationships/hyperlink" Target="https://www.google.com/search?q=site%3Aipca.pt%20Auditoria%20mestrado" TargetMode="External"/><Relationship Id="rId3339" Type="http://schemas.openxmlformats.org/officeDocument/2006/relationships/hyperlink" Target="https://www.google.com/search?q=site%3Aucp.pt%20Servi&#231;o%20Social%20mestrado" TargetMode="External"/><Relationship Id="rId3893" Type="http://schemas.openxmlformats.org/officeDocument/2006/relationships/hyperlink" Target="https://www.google.com/search?q=site%3Aunl.pt%20Direito%20e%20Mercados%20Financeiros%20mestrado" TargetMode="External"/><Relationship Id="rId4737" Type="http://schemas.openxmlformats.org/officeDocument/2006/relationships/hyperlink" Target="https://www.google.com/search?q=site%3Aulisboa.pt%20Ergonomia%20mestrado" TargetMode="External"/><Relationship Id="rId4944" Type="http://schemas.openxmlformats.org/officeDocument/2006/relationships/hyperlink" Target="https://www.google.com/search?q=site%3Aulisboa.pt%20Ergonomia%20na%20Resili&#234;ncia%20das%20Organiza&#231;&#245;es%20Laborais%20p&#243;s-gradua&#231;&#227;o" TargetMode="External"/><Relationship Id="rId467" Type="http://schemas.openxmlformats.org/officeDocument/2006/relationships/hyperlink" Target="https://www.google.com/search?q=site%3Aiscte-iul.pt%20Intelig&#234;ncia%20Artificial%20para%20a%20Gest&#227;o%20p&#243;s-gradua&#231;&#227;o" TargetMode="External"/><Relationship Id="rId1097" Type="http://schemas.openxmlformats.org/officeDocument/2006/relationships/hyperlink" Target="https://www.google.com/search?q=site%3Aipb.pt%20Gest&#227;o%20em%20Enfermagem%20p&#243;s-gradua&#231;&#227;o" TargetMode="External"/><Relationship Id="rId2148" Type="http://schemas.openxmlformats.org/officeDocument/2006/relationships/hyperlink" Target="https://www.google.com/search?q=site%3Aipt.pt%20Arqueologia%2C%20Gest&#227;o%20e%20Educa&#231;&#227;o%20Patrimonial%20p&#243;s-gradua&#231;&#227;o" TargetMode="External"/><Relationship Id="rId3546" Type="http://schemas.openxmlformats.org/officeDocument/2006/relationships/hyperlink" Target="https://www.google.com/search?q=site%3Aufp.pt%20Enfermagem%20do%20Trabalho%20%28Sa&#250;de%20Ocupacional%20e%20Seguran&#231;a%20no%20Trabalho%29%20p&#243;s-gradua&#231;&#227;o" TargetMode="External"/><Relationship Id="rId3753" Type="http://schemas.openxmlformats.org/officeDocument/2006/relationships/hyperlink" Target="https://www.google.com/search?q=site%3Alusofona.pt%20Treino%20Desportivo%20em%20Futebol%20mestrado" TargetMode="External"/><Relationship Id="rId3960" Type="http://schemas.openxmlformats.org/officeDocument/2006/relationships/hyperlink" Target="https://www.google.com/search?q=site%3Aunl.pt%20Hist&#243;ria%20da%20Arte%20e%20Museologia%20mestrado" TargetMode="External"/><Relationship Id="rId4804" Type="http://schemas.openxmlformats.org/officeDocument/2006/relationships/hyperlink" Target="https://www.google.com/search?q=site%3Aulisboa.pt%20Microbiologia%20mestrado" TargetMode="External"/><Relationship Id="rId674" Type="http://schemas.openxmlformats.org/officeDocument/2006/relationships/hyperlink" Target="https://www.google.com/search?q=site%3Aiees.pt%20Gest&#227;o%20de%20Unidades%20Desportivas%20e%20de%20Lazer%20CTeSP" TargetMode="External"/><Relationship Id="rId881" Type="http://schemas.openxmlformats.org/officeDocument/2006/relationships/hyperlink" Target="https://www.google.com/search?q=site%3Aipbeja.pt%20Gest&#227;o%20de%20Organiza&#231;&#245;es%20Sociais%20CTeSP" TargetMode="External"/><Relationship Id="rId2355" Type="http://schemas.openxmlformats.org/officeDocument/2006/relationships/hyperlink" Target="https://www.google.com/search?q=site%3Aipv.pt%20Engenharia%20Zoot&#233;cnica%20licenciatura" TargetMode="External"/><Relationship Id="rId2562" Type="http://schemas.openxmlformats.org/officeDocument/2006/relationships/hyperlink" Target="https://www.google.com/search?q=site%3Aipp.pt%20Alimenta&#231;&#227;o%20e%20Sa&#250;de%20CTeSP" TargetMode="External"/><Relationship Id="rId3406" Type="http://schemas.openxmlformats.org/officeDocument/2006/relationships/hyperlink" Target="https://www.google.com/search?q=site%3Aeuropeia.pt%20Gest&#227;o%20licenciatura" TargetMode="External"/><Relationship Id="rId3613" Type="http://schemas.openxmlformats.org/officeDocument/2006/relationships/hyperlink" Target="https://www.google.com/search?q=site%3Aulusiada.pt%20Arquitetura%20mestrado%20integrado" TargetMode="External"/><Relationship Id="rId3820" Type="http://schemas.openxmlformats.org/officeDocument/2006/relationships/hyperlink" Target="https://www.google.com/search?q=site%3Aunl.pt%20Engenharia%20Aeroespacial%20licenciatura" TargetMode="External"/><Relationship Id="rId327" Type="http://schemas.openxmlformats.org/officeDocument/2006/relationships/hyperlink" Target="https://www.google.com/search?q=site%3Aesscvp.eu%20T&#233;cnicas%20e%20Tecnologias%20em%20Tomografia%20Computorizada%20e%20Resson&#226;ncia%20Magn&#233;tica%20p&#243;s-gradua&#231;&#227;o" TargetMode="External"/><Relationship Id="rId534" Type="http://schemas.openxmlformats.org/officeDocument/2006/relationships/hyperlink" Target="https://www.google.com/search?q=site%3Aiseclisboa.pt%20Gest&#227;o%20de%20Tecnologia%20e%20Inova&#231;&#227;o%20CTeSP" TargetMode="External"/><Relationship Id="rId741" Type="http://schemas.openxmlformats.org/officeDocument/2006/relationships/hyperlink" Target="https://www.google.com/search?q=site%3Aipg.pt%20Rela&#231;&#245;es%20Interculturais%20e%20Interven&#231;&#227;o%20Social%20CTeSP" TargetMode="External"/><Relationship Id="rId1164" Type="http://schemas.openxmlformats.org/officeDocument/2006/relationships/hyperlink" Target="https://www.google.com/search?q=site%3Aipcb.pt%20Comunica&#231;&#245;es%20M&#243;veis%20mestrado" TargetMode="External"/><Relationship Id="rId1371" Type="http://schemas.openxmlformats.org/officeDocument/2006/relationships/hyperlink" Target="https://www.google.com/search?q=site%3Aipc.pt%20Resson&#226;ncia%20Magn&#233;tica%20p&#243;s-gradua&#231;&#227;o" TargetMode="External"/><Relationship Id="rId2008" Type="http://schemas.openxmlformats.org/officeDocument/2006/relationships/hyperlink" Target="https://www.google.com/search?q=site%3Aips.pt%20Engenharia%20Civil%20licenciatura" TargetMode="External"/><Relationship Id="rId2215" Type="http://schemas.openxmlformats.org/officeDocument/2006/relationships/hyperlink" Target="https://www.google.com/search?q=site%3Aipvc.pt%20Enfermagem%20licenciatura" TargetMode="External"/><Relationship Id="rId2422" Type="http://schemas.openxmlformats.org/officeDocument/2006/relationships/hyperlink" Target="https://www.google.com/search?q=site%3Aipca.pt%20Cozinha%20e%20Inova&#231;&#227;o%20Alimentar%20CTeSP" TargetMode="External"/><Relationship Id="rId5578" Type="http://schemas.openxmlformats.org/officeDocument/2006/relationships/hyperlink" Target="https://www.google.com/search?q=site%3Aup.pt%20Estruturas%20de%20Engenharia%20Civil%20mestrado" TargetMode="External"/><Relationship Id="rId5785" Type="http://schemas.openxmlformats.org/officeDocument/2006/relationships/hyperlink" Target="https://www.google.com/search?q=site%3Aium.pt%20Engenharia%20Militar%20licenciatura" TargetMode="External"/><Relationship Id="rId601" Type="http://schemas.openxmlformats.org/officeDocument/2006/relationships/hyperlink" Target="https://www.google.com/search?q=site%3Aisla.pt%20Gest&#227;o%20de%20Recursos%20Humanos%20mestrado" TargetMode="External"/><Relationship Id="rId1024" Type="http://schemas.openxmlformats.org/officeDocument/2006/relationships/hyperlink" Target="https://www.google.com/search?q=site%3Aipb.pt%20Jornalismo%20e%20Comunica&#231;&#227;o%20licenciatura" TargetMode="External"/><Relationship Id="rId1231" Type="http://schemas.openxmlformats.org/officeDocument/2006/relationships/hyperlink" Target="https://www.google.com/search?q=site%3Aipc.pt%20Redes%20e%20Sistemas%20Inform&#225;ticos%20CTeSP" TargetMode="External"/><Relationship Id="rId4387" Type="http://schemas.openxmlformats.org/officeDocument/2006/relationships/hyperlink" Target="https://www.google.com/search?q=site%3Auc.pt%20Engenharia%20de%20Informa&#231;&#227;o%20Geoespacial%20mestrado" TargetMode="External"/><Relationship Id="rId4594" Type="http://schemas.openxmlformats.org/officeDocument/2006/relationships/hyperlink" Target="https://www.google.com/search?q=site%3Aulisboa.pt%20Hist&#243;ria%20da%20Arte%20licenciatura" TargetMode="External"/><Relationship Id="rId5438" Type="http://schemas.openxmlformats.org/officeDocument/2006/relationships/hyperlink" Target="https://www.google.com/search?q=site%3Aup.pt%20Engenharia%20Civil%20licenciatura" TargetMode="External"/><Relationship Id="rId5645" Type="http://schemas.openxmlformats.org/officeDocument/2006/relationships/hyperlink" Target="https://www.google.com/search?q=site%3Aup.pt%20Qu&#237;mica%20Farmac&#234;utica%20mestrado" TargetMode="External"/><Relationship Id="rId3196" Type="http://schemas.openxmlformats.org/officeDocument/2006/relationships/hyperlink" Target="https://www.google.com/search?q=site%3Aautonoma.pt%20Engenharia%20Inform&#225;tica%20licenciatura" TargetMode="External"/><Relationship Id="rId4247" Type="http://schemas.openxmlformats.org/officeDocument/2006/relationships/hyperlink" Target="https://www.google.com/search?q=site%3Aua.pt%20Contabilidade%20mestrado" TargetMode="External"/><Relationship Id="rId4454" Type="http://schemas.openxmlformats.org/officeDocument/2006/relationships/hyperlink" Target="https://www.google.com/search?q=site%3Auc.pt%20Neuropsicologia%20Cl&#237;nica%3A%20Avalia&#231;&#227;o%20e%20Reabilita&#231;&#227;o%20mestrado" TargetMode="External"/><Relationship Id="rId4661" Type="http://schemas.openxmlformats.org/officeDocument/2006/relationships/hyperlink" Target="https://www.google.com/search?q=site%3Aulisboa.pt%20Design%20Gr&#225;fico%20mestrado" TargetMode="External"/><Relationship Id="rId5505" Type="http://schemas.openxmlformats.org/officeDocument/2006/relationships/hyperlink" Target="https://www.google.com/search?q=site%3Aup.pt%20Ci&#234;ncias%20da%20Comunica&#231;&#227;o%20mestrado" TargetMode="External"/><Relationship Id="rId3056" Type="http://schemas.openxmlformats.org/officeDocument/2006/relationships/hyperlink" Target="https://www.google.com/search?q=site%3Aisvouga.pt%20Marketing%2C%20Publicidade%20e%20Rela&#231;&#245;es%20P&#250;blicas%20licenciatura" TargetMode="External"/><Relationship Id="rId3263" Type="http://schemas.openxmlformats.org/officeDocument/2006/relationships/hyperlink" Target="https://www.google.com/search?q=site%3Aucp.pt%20Biotecnologia%20e%20Inova&#231;&#227;o%20mestrado" TargetMode="External"/><Relationship Id="rId3470" Type="http://schemas.openxmlformats.org/officeDocument/2006/relationships/hyperlink" Target="https://www.google.com/search?q=site%3Aeuropeia.pt%20Psicologia%20Cl&#237;nica%20e%20da%20Sa&#250;de%20mestrado" TargetMode="External"/><Relationship Id="rId4107" Type="http://schemas.openxmlformats.org/officeDocument/2006/relationships/hyperlink" Target="https://www.google.com/search?q=site%3Aupt.pt%20Engenharia%20Inform&#225;tica%20e%20Computa&#231;&#227;o%20mestrado" TargetMode="External"/><Relationship Id="rId4314" Type="http://schemas.openxmlformats.org/officeDocument/2006/relationships/hyperlink" Target="https://www.google.com/search?q=site%3Auc.pt%20Inform&#225;tica%20licenciatura" TargetMode="External"/><Relationship Id="rId5712" Type="http://schemas.openxmlformats.org/officeDocument/2006/relationships/hyperlink" Target="https://www.google.com/search?q=site%3Auac.pt%20Ambiente%2C%20Sa&#250;de%20e%20Seguran&#231;a%20mestrado" TargetMode="External"/><Relationship Id="rId184" Type="http://schemas.openxmlformats.org/officeDocument/2006/relationships/hyperlink" Target="https://www.google.com/search?q=site%3Aesna.pt%20Contabilidade%20e%20Fiscalidade%20para%20PME%20CTeSP" TargetMode="External"/><Relationship Id="rId391" Type="http://schemas.openxmlformats.org/officeDocument/2006/relationships/hyperlink" Target="https://www.google.com/search?q=site%3Aisave.pt%20Est&#233;tica%2C%20Cosm&#233;tica%20e%20Bem-estar%20CTeSP" TargetMode="External"/><Relationship Id="rId1908" Type="http://schemas.openxmlformats.org/officeDocument/2006/relationships/hyperlink" Target="https://www.google.com/search?q=site%3Aipsantarem.pt%20Gest&#227;o%20de%20Unidades%20de%20Sa&#250;de%20mestrado" TargetMode="External"/><Relationship Id="rId2072" Type="http://schemas.openxmlformats.org/officeDocument/2006/relationships/hyperlink" Target="https://www.google.com/search?q=site%3Aipt.pt%20Conserva&#231;&#227;o%20e%20Talhe%20de%20Pedra%20CTeSP" TargetMode="External"/><Relationship Id="rId3123" Type="http://schemas.openxmlformats.org/officeDocument/2006/relationships/hyperlink" Target="https://www.google.com/search?q=site%3Acespu.pt%20Enfermagem%20de%20Reabilita&#231;&#227;o%20&#8211;%201.&#170;%20edi&#231;&#227;o%20p&#243;s-gradua&#231;&#227;o" TargetMode="External"/><Relationship Id="rId4521" Type="http://schemas.openxmlformats.org/officeDocument/2006/relationships/hyperlink" Target="https://www.google.com/search?q=site%3Aulisboa.pt%20Arte%20Multim&#233;dia%20licenciatura" TargetMode="External"/><Relationship Id="rId251" Type="http://schemas.openxmlformats.org/officeDocument/2006/relationships/hyperlink" Target="https://www.google.com/search?q=site%3Aegasmoniz.edu.pt%20Medicina%20Dent&#225;ria%20Desportiva%20p&#243;s-gradua&#231;&#227;o" TargetMode="External"/><Relationship Id="rId3330" Type="http://schemas.openxmlformats.org/officeDocument/2006/relationships/hyperlink" Target="https://www.google.com/search?q=site%3Aucp.pt%20Psicologia%20da%20Educa&#231;&#227;o%20mestrado" TargetMode="External"/><Relationship Id="rId5088" Type="http://schemas.openxmlformats.org/officeDocument/2006/relationships/hyperlink" Target="https://www.google.com/search?q=site%3Autad.pt%20Enfermagem%20M&#233;dico-Cir&#250;rgica%20na%20&#225;rea%20de%20Enfermagem%20&#224;%20Pessoa%20em%20Situa&#231;&#227;o%20Cr&#237;tica%20mestrado" TargetMode="External"/><Relationship Id="rId2889" Type="http://schemas.openxmlformats.org/officeDocument/2006/relationships/hyperlink" Target="https://www.google.com/search?q=site%3Aisdd.pt%20Gest&#227;o%20de%20Recursos%20Humanos%20licenciatura" TargetMode="External"/><Relationship Id="rId5295" Type="http://schemas.openxmlformats.org/officeDocument/2006/relationships/hyperlink" Target="https://www.google.com/search?q=site%3Aualg.pt%20Engenharia%20Eletrot&#233;cnica%20e%20de%20Computadores%20licenciatura" TargetMode="External"/><Relationship Id="rId111" Type="http://schemas.openxmlformats.org/officeDocument/2006/relationships/hyperlink" Target="https://www.google.com/search?q=site%3Aesepf.pt%20Interven&#231;&#227;o%20Social%20e%20Comunit&#225;ria%20CTeSP" TargetMode="External"/><Relationship Id="rId1698" Type="http://schemas.openxmlformats.org/officeDocument/2006/relationships/hyperlink" Target="https://www.google.com/search?q=site%3Aipl.pt%20Gest&#227;o%20e%20Avalia&#231;&#227;o%20de%20Tecnologias%20em%20Sa&#250;de%20mestrado" TargetMode="External"/><Relationship Id="rId2749" Type="http://schemas.openxmlformats.org/officeDocument/2006/relationships/hyperlink" Target="https://www.google.com/search?q=site%3Aipp.pt%20Gest&#227;o%20das%20Organiza&#231;&#245;es%20mestrado" TargetMode="External"/><Relationship Id="rId2956" Type="http://schemas.openxmlformats.org/officeDocument/2006/relationships/hyperlink" Target="https://www.google.com/search?q=site%3Aisag.pt%20Gest&#227;o%20mestrado" TargetMode="External"/><Relationship Id="rId5155" Type="http://schemas.openxmlformats.org/officeDocument/2006/relationships/hyperlink" Target="https://www.google.com/search?q=site%3Auevora.pt%20Engenharia%20Aeroespacial%20licenciatura" TargetMode="External"/><Relationship Id="rId5362" Type="http://schemas.openxmlformats.org/officeDocument/2006/relationships/hyperlink" Target="https://www.google.com/search?q=site%3Aualg.pt%20Gest&#227;o%20da%20Qualidade%20e%20Marketing%20Agroalimentar%20mestrado" TargetMode="External"/><Relationship Id="rId928" Type="http://schemas.openxmlformats.org/officeDocument/2006/relationships/hyperlink" Target="https://www.google.com/search?q=site%3Aipbeja.pt%20Gest&#227;o%20Sustent&#225;vel%20do%20Setor%20Oliv&#237;cola%20p&#243;s-gradua&#231;&#227;o" TargetMode="External"/><Relationship Id="rId1558" Type="http://schemas.openxmlformats.org/officeDocument/2006/relationships/hyperlink" Target="https://www.google.com/search?q=site%3Aipleiria.pt%20Marketing%20Relacional%20mestrado" TargetMode="External"/><Relationship Id="rId1765" Type="http://schemas.openxmlformats.org/officeDocument/2006/relationships/hyperlink" Target="https://www.google.com/search?q=site%3Aipportalegre.pt%20Manuten&#231;&#227;o%20Eletromec&#226;nica%20CTeSP" TargetMode="External"/><Relationship Id="rId2609" Type="http://schemas.openxmlformats.org/officeDocument/2006/relationships/hyperlink" Target="https://www.google.com/search?q=site%3Aipp.pt%20Tecnologia%20Mec&#226;nica%20CTeSP" TargetMode="External"/><Relationship Id="rId4171" Type="http://schemas.openxmlformats.org/officeDocument/2006/relationships/hyperlink" Target="https://www.google.com/search?q=site%3Aismai.pt%20Rela&#231;&#245;es%20P&#250;blicas%20licenciatura" TargetMode="External"/><Relationship Id="rId5015" Type="http://schemas.openxmlformats.org/officeDocument/2006/relationships/hyperlink" Target="https://www.google.com/search?q=site%3Autad.pt%20Anima&#231;&#227;o%20Cultural%20e%20Comunit&#225;ria%20licenciatura" TargetMode="External"/><Relationship Id="rId5222" Type="http://schemas.openxmlformats.org/officeDocument/2006/relationships/hyperlink" Target="https://www.google.com/search?q=site%3Auevora.pt%20Ci&#234;ncia%20da%20Informa&#231;&#227;o%20p&#243;s-gradua&#231;&#227;o" TargetMode="External"/><Relationship Id="rId57" Type="http://schemas.openxmlformats.org/officeDocument/2006/relationships/hyperlink" Target="https://www.google.com/search?q=site%3Aesap.pt%20Artes%20Digitais%20e%20Novos%20Media%20p&#243;s-gradua&#231;&#227;o" TargetMode="External"/><Relationship Id="rId1418" Type="http://schemas.openxmlformats.org/officeDocument/2006/relationships/hyperlink" Target="https://www.google.com/search?q=site%3Aipleiria.pt%20Produ&#231;&#227;o%20Industrial%20e%20Desenvolvimento%20de%20Produto%20-%20Cer&#226;mica%20e%20Vidro%20CTeSP" TargetMode="External"/><Relationship Id="rId1972" Type="http://schemas.openxmlformats.org/officeDocument/2006/relationships/hyperlink" Target="https://www.google.com/search?q=site%3Aips.pt%20Constru&#231;&#227;o%20Civil%20CTeSP" TargetMode="External"/><Relationship Id="rId2816" Type="http://schemas.openxmlformats.org/officeDocument/2006/relationships/hyperlink" Target="https://www.google.com/search?q=site%3Aipp.pt%20Inova&#231;&#227;o%20e%20Gest&#227;o%20das%20Organiza&#231;&#245;es%20Sociais%20p&#243;s-gradua&#231;&#227;o" TargetMode="External"/><Relationship Id="rId4031" Type="http://schemas.openxmlformats.org/officeDocument/2006/relationships/hyperlink" Target="https://www.google.com/search?q=site%3Aunl.pt%20AI%20%26%20Data%20for%20Business%20p&#243;s-gradua&#231;&#227;o" TargetMode="External"/><Relationship Id="rId1625" Type="http://schemas.openxmlformats.org/officeDocument/2006/relationships/hyperlink" Target="https://www.google.com/search?q=site%3Aipl.pt%20Diet&#233;tica%20e%20Nutri&#231;&#227;o%20licenciatura" TargetMode="External"/><Relationship Id="rId1832" Type="http://schemas.openxmlformats.org/officeDocument/2006/relationships/hyperlink" Target="https://www.google.com/search?q=site%3Aipsantarem.pt%20Contabilidade%20CTeSP" TargetMode="External"/><Relationship Id="rId4988" Type="http://schemas.openxmlformats.org/officeDocument/2006/relationships/hyperlink" Target="https://www.google.com/search?q=site%3Aulisboa.pt%20Promo&#231;&#227;o%20da%20Atividade%20F&#237;sica%20na%20Educa&#231;&#227;o%20Pr&#233;-escolar%20e%20no%201.&#186;%20Ciclo%20de%20Escolaridade%20p&#243;s-gradua&#231;&#227;o" TargetMode="External"/><Relationship Id="rId3797" Type="http://schemas.openxmlformats.org/officeDocument/2006/relationships/hyperlink" Target="https://www.google.com/search?q=site%3Alusofona.pt%20Rela&#231;&#245;es%20Internacionais%20&#8211;%20Investimento%20e%20Internacionaliza&#231;&#227;o%20Empresarial%2C%20Banc&#225;ria%20e%20Financeira%20p&#243;s-gradua&#231;&#227;o" TargetMode="External"/><Relationship Id="rId4848" Type="http://schemas.openxmlformats.org/officeDocument/2006/relationships/hyperlink" Target="https://www.google.com/search?q=site%3Aulisboa.pt%20Sistemas%20de%20Transportes%20mestrado" TargetMode="External"/><Relationship Id="rId2399" Type="http://schemas.openxmlformats.org/officeDocument/2006/relationships/hyperlink" Target="https://www.google.com/search?q=site%3Aipv.pt%20Interven&#231;&#227;o%20Psicossocial%20com%20Crian&#231;as%20e%20Jovens%20em%20Risco%20mestrado" TargetMode="External"/><Relationship Id="rId3657" Type="http://schemas.openxmlformats.org/officeDocument/2006/relationships/hyperlink" Target="https://www.google.com/search?q=site%3Alusofona.pt%20Ci&#234;ncia%20Pol&#237;tica%20e%20Rela&#231;&#245;es%20Internacionais%20licenciatura" TargetMode="External"/><Relationship Id="rId3864" Type="http://schemas.openxmlformats.org/officeDocument/2006/relationships/hyperlink" Target="https://www.google.com/search?q=site%3Aunl.pt%20Biomateriais%20e%20NanoMedicina%20mestrado" TargetMode="External"/><Relationship Id="rId4708" Type="http://schemas.openxmlformats.org/officeDocument/2006/relationships/hyperlink" Target="https://www.google.com/search?q=site%3Aulisboa.pt%20Engenharia%20Mec&#226;nica%20mestrado" TargetMode="External"/><Relationship Id="rId4915" Type="http://schemas.openxmlformats.org/officeDocument/2006/relationships/hyperlink" Target="https://www.google.com/search?q=site%3Aulisboa.pt%20Curso%20B-Learning%20de%20Tecnologias%20Digitais%20em%20Pr&#243;tese%20Dent&#225;ria%20p&#243;s-gradua&#231;&#227;o" TargetMode="External"/><Relationship Id="rId578" Type="http://schemas.openxmlformats.org/officeDocument/2006/relationships/hyperlink" Target="https://www.google.com/search?q=site%3Aiseclisboa.pt%20Gest&#227;o%20dos%20Servi&#231;os%20de%20Sa&#250;de%20p&#243;s-gradua&#231;&#227;o" TargetMode="External"/><Relationship Id="rId785" Type="http://schemas.openxmlformats.org/officeDocument/2006/relationships/hyperlink" Target="https://www.google.com/search?q=site%3Aipg.pt%20Ensino%20de%20Ingl&#234;s%20no%201.&#186;%20Ciclo%20do%20Ensino%20B&#225;sico%20mestrado" TargetMode="External"/><Relationship Id="rId992" Type="http://schemas.openxmlformats.org/officeDocument/2006/relationships/hyperlink" Target="https://www.google.com/search?q=site%3Aipb.pt%20Arte%20e%20Design%20licenciatura" TargetMode="External"/><Relationship Id="rId2259" Type="http://schemas.openxmlformats.org/officeDocument/2006/relationships/hyperlink" Target="https://www.google.com/search?q=site%3Aipvc.pt%20Engenharia%20Agron&#243;mica%20mestrado" TargetMode="External"/><Relationship Id="rId2466" Type="http://schemas.openxmlformats.org/officeDocument/2006/relationships/hyperlink" Target="https://www.google.com/search?q=site%3Aipca.pt%20Sistemas%20de%20Informa&#231;&#227;o%20e%20Tecnologias%20de%20Programa&#231;&#227;o%20CTeSP" TargetMode="External"/><Relationship Id="rId2673" Type="http://schemas.openxmlformats.org/officeDocument/2006/relationships/hyperlink" Target="https://www.google.com/search?q=site%3Aipp.pt%20Osteopatia%20licenciatura" TargetMode="External"/><Relationship Id="rId2880" Type="http://schemas.openxmlformats.org/officeDocument/2006/relationships/hyperlink" Target="https://www.google.com/search?q=site%3Aisdd.pt%20Comunica&#231;&#227;o%20e%20Tecnologias%20Digitais%20licenciatura" TargetMode="External"/><Relationship Id="rId3517" Type="http://schemas.openxmlformats.org/officeDocument/2006/relationships/hyperlink" Target="https://www.google.com/search?q=site%3Aufp.pt%20Gest&#227;o%20da%20Qualidade%2C%20Ambiente%20e%20Seguran&#231;a%20licenciatura" TargetMode="External"/><Relationship Id="rId3724" Type="http://schemas.openxmlformats.org/officeDocument/2006/relationships/hyperlink" Target="https://www.google.com/search?q=site%3Alusofona.pt%20Ci&#234;ncias%20da%20Educa&#231;&#227;o%20mestrado" TargetMode="External"/><Relationship Id="rId3931" Type="http://schemas.openxmlformats.org/officeDocument/2006/relationships/hyperlink" Target="https://www.google.com/search?q=site%3Aunl.pt%20Estat&#237;stica%20Aplicada%20&#224;%20Sa&#250;de%20mestrado" TargetMode="External"/><Relationship Id="rId438" Type="http://schemas.openxmlformats.org/officeDocument/2006/relationships/hyperlink" Target="https://www.google.com/search?q=site%3Aiscte-iul.pt%20Matem&#225;tica%20Aplicada%20&#224;%20Economia%20e%20&#224;s%20Finan&#231;as%20licenciatura" TargetMode="External"/><Relationship Id="rId645" Type="http://schemas.openxmlformats.org/officeDocument/2006/relationships/hyperlink" Target="https://www.google.com/search?q=site%3Aistec.pt%20Desenvolvimento%20de%20Software%20CTeSP" TargetMode="External"/><Relationship Id="rId852" Type="http://schemas.openxmlformats.org/officeDocument/2006/relationships/hyperlink" Target="https://www.google.com/search?q=site%3Aipluso.pt%20P&#243;s&#8209;Gradua&#231;&#227;o%20em%20Gest&#227;o%20Financeira%20e%20Fiscalidade%20p&#243;s-gradua&#231;&#227;o" TargetMode="External"/><Relationship Id="rId1068" Type="http://schemas.openxmlformats.org/officeDocument/2006/relationships/hyperlink" Target="https://www.google.com/search?q=site%3Aipb.pt%20Gest&#227;o%20das%20Organiza&#231;&#245;es%20%28ramo%20Gest&#227;o%20de%20Unidades%20de%20Sa&#250;de%29%20mestrado" TargetMode="External"/><Relationship Id="rId1275" Type="http://schemas.openxmlformats.org/officeDocument/2006/relationships/hyperlink" Target="https://www.google.com/search?q=site%3Aipc.pt%20Inform&#225;tica%20de%20Gest&#227;o%20licenciatura" TargetMode="External"/><Relationship Id="rId1482" Type="http://schemas.openxmlformats.org/officeDocument/2006/relationships/hyperlink" Target="https://www.google.com/search?q=site%3Aipleiria.pt%20Servi&#231;o%20Social%20licenciatura" TargetMode="External"/><Relationship Id="rId2119" Type="http://schemas.openxmlformats.org/officeDocument/2006/relationships/hyperlink" Target="https://www.google.com/search?q=site%3Aipt.pt%20Fotografia%20licenciatura" TargetMode="External"/><Relationship Id="rId2326" Type="http://schemas.openxmlformats.org/officeDocument/2006/relationships/hyperlink" Target="https://www.google.com/search?q=site%3Aipv.pt%20Redes%20e%20Sistemas%20Inform&#225;ticos%20CTeSP" TargetMode="External"/><Relationship Id="rId2533" Type="http://schemas.openxmlformats.org/officeDocument/2006/relationships/hyperlink" Target="https://www.google.com/search?q=site%3Aipca.pt%20Contabilidade%20e%20Finan&#231;as%20Empresariais%20p&#243;s-gradua&#231;&#227;o" TargetMode="External"/><Relationship Id="rId2740" Type="http://schemas.openxmlformats.org/officeDocument/2006/relationships/hyperlink" Target="https://www.google.com/search?q=site%3Aipp.pt%20Ensino%20do%201.&#186;%20Ciclo%20do%20Ensino%20B&#225;sico%20e%20de%20Matem&#225;tica%20e%20Ci&#234;ncias%20Naturais%20no%202.&#186;%20Ciclo%20do%20Ensino%20B&#225;sico%20mestrado" TargetMode="External"/><Relationship Id="rId5689" Type="http://schemas.openxmlformats.org/officeDocument/2006/relationships/hyperlink" Target="https://www.google.com/search?q=site%3Auac.pt%20Recursos%20e%20Atividades%20Mar&#237;timas%20CTeSP" TargetMode="External"/><Relationship Id="rId505" Type="http://schemas.openxmlformats.org/officeDocument/2006/relationships/hyperlink" Target="https://www.google.com/search?q=site%3Aisec.pt%20Engenharia%20Mec&#226;nica%20licenciatura" TargetMode="External"/><Relationship Id="rId712" Type="http://schemas.openxmlformats.org/officeDocument/2006/relationships/hyperlink" Target="https://www.google.com/search?q=site%3Aipg.pt%20Comunica&#231;&#227;o%20Digital%20CTeSP" TargetMode="External"/><Relationship Id="rId1135" Type="http://schemas.openxmlformats.org/officeDocument/2006/relationships/hyperlink" Target="https://www.google.com/search?q=site%3Aipcb.pt%20Design%20de%20Comunica&#231;&#227;o%20e%20Audiovisual%20licenciatura" TargetMode="External"/><Relationship Id="rId1342" Type="http://schemas.openxmlformats.org/officeDocument/2006/relationships/hyperlink" Target="https://www.google.com/search?q=site%3Aipc.pt%20Bacteriologia%20Cl&#237;nica%3A%20do%20diagn&#243;stico%20laboratorial%20&#224;%20terap&#234;utica%20p&#243;s-gradua&#231;&#227;o" TargetMode="External"/><Relationship Id="rId4498" Type="http://schemas.openxmlformats.org/officeDocument/2006/relationships/hyperlink" Target="https://www.google.com/search?q=site%3Auc.pt%20Engenharia%20Eletrot&#233;cnica%20e%20de%20Computadores%20mestrado%20integrado" TargetMode="External"/><Relationship Id="rId5549" Type="http://schemas.openxmlformats.org/officeDocument/2006/relationships/hyperlink" Target="https://www.google.com/search?q=site%3Aup.pt%20Engenharia%20Mec&#226;nica%20mestrado" TargetMode="External"/><Relationship Id="rId1202" Type="http://schemas.openxmlformats.org/officeDocument/2006/relationships/hyperlink" Target="https://www.google.com/search?q=site%3Aipcb.pt%20Sistemas%20de%20Informa&#231;&#227;o%20Geogr&#225;fica%20&#8211;%20Recursos%20Agroflorestais%20e%20Ambientais%20%28UAb/IPCB%29%20p&#243;s-gradua&#231;&#227;o" TargetMode="External"/><Relationship Id="rId2600" Type="http://schemas.openxmlformats.org/officeDocument/2006/relationships/hyperlink" Target="https://www.google.com/search?q=site%3Aipp.pt%20Pr&#225;ticas%20Laboratoriais%20em%20Pr&#243;teses%20Auditivas%20CTeSP" TargetMode="External"/><Relationship Id="rId4358" Type="http://schemas.openxmlformats.org/officeDocument/2006/relationships/hyperlink" Target="https://www.google.com/search?q=site%3Auc.pt%20Constru&#231;&#227;o%20Met&#225;lica%20e%20Mista%20mestrado" TargetMode="External"/><Relationship Id="rId5409" Type="http://schemas.openxmlformats.org/officeDocument/2006/relationships/hyperlink" Target="https://www.google.com/search?q=site%3Auminho.pt%20Enfermagem%20de%20Sa&#250;de%20Infantil%20e%20Pedi&#225;trica%20mestrado" TargetMode="External"/><Relationship Id="rId5756" Type="http://schemas.openxmlformats.org/officeDocument/2006/relationships/hyperlink" Target="https://www.google.com/search?q=site%3Auac.pt%20Cuidados%20Paliativos%20Pedi&#225;tricos%20p&#243;s-gradua&#231;&#227;o" TargetMode="External"/><Relationship Id="rId3167" Type="http://schemas.openxmlformats.org/officeDocument/2006/relationships/hyperlink" Target="https://www.google.com/search?q=site%3Auab.pt%20Cultura%2C%20Religi&#227;o%20e%20Poderes%20%28regime%20de%20ensino%20a%20dist&#226;ncia%29%20mestrado" TargetMode="External"/><Relationship Id="rId4565" Type="http://schemas.openxmlformats.org/officeDocument/2006/relationships/hyperlink" Target="https://www.google.com/search?q=site%3Aulisboa.pt%20Engenharia%20de%20Materiais%20licenciatura" TargetMode="External"/><Relationship Id="rId4772" Type="http://schemas.openxmlformats.org/officeDocument/2006/relationships/hyperlink" Target="https://www.google.com/search?q=site%3Aulisboa.pt%20Governa&#231;&#227;o%20%26%20Administra&#231;&#227;o%20do%20Lazer%20e%20do%20Desporto%20-%20GOALS%20%28Erasmus%20Mundus%29%20mestrado" TargetMode="External"/><Relationship Id="rId5616" Type="http://schemas.openxmlformats.org/officeDocument/2006/relationships/hyperlink" Target="https://www.google.com/search?q=site%3Aup.pt%20Marketing%20mestrado" TargetMode="External"/><Relationship Id="rId295" Type="http://schemas.openxmlformats.org/officeDocument/2006/relationships/hyperlink" Target="https://www.google.com/search?q=site%3Aesscvp.eu%20Enfermagem%20licenciatura" TargetMode="External"/><Relationship Id="rId3374" Type="http://schemas.openxmlformats.org/officeDocument/2006/relationships/hyperlink" Target="https://www.google.com/search?q=site%3Aucp.pt%20Supervis&#227;o%20Cl&#237;nica%20em%20Enfermagem%20p&#243;s-gradua&#231;&#227;o" TargetMode="External"/><Relationship Id="rId3581" Type="http://schemas.openxmlformats.org/officeDocument/2006/relationships/hyperlink" Target="https://www.google.com/search?q=site%3Aulusiada.pt%20Gest&#227;o%20das%20Organiza&#231;&#245;es%20Desportivas%20licenciatura" TargetMode="External"/><Relationship Id="rId4218" Type="http://schemas.openxmlformats.org/officeDocument/2006/relationships/hyperlink" Target="https://www.google.com/search?q=site%3Aua.pt%20Projeto%20de%20Moldes%20CTeSP" TargetMode="External"/><Relationship Id="rId4425" Type="http://schemas.openxmlformats.org/officeDocument/2006/relationships/hyperlink" Target="https://www.google.com/search?q=site%3Auc.pt%20Geriatria%20mestrado" TargetMode="External"/><Relationship Id="rId4632" Type="http://schemas.openxmlformats.org/officeDocument/2006/relationships/hyperlink" Target="https://www.google.com/search?q=site%3Aulisboa.pt%20Ci&#234;ncia%20Cognitiva%20mestrado" TargetMode="External"/><Relationship Id="rId2183" Type="http://schemas.openxmlformats.org/officeDocument/2006/relationships/hyperlink" Target="https://www.google.com/search?q=site%3Aipvc.pt%20Marketing%20Digital%20e%20E&#8209;commerce%20CTeSP" TargetMode="External"/><Relationship Id="rId2390" Type="http://schemas.openxmlformats.org/officeDocument/2006/relationships/hyperlink" Target="https://www.google.com/search?q=site%3Aipv.pt%20Engenharia%20de%20Constru&#231;&#227;o%20e%20Reabilita&#231;&#227;o%20mestrado" TargetMode="External"/><Relationship Id="rId3027" Type="http://schemas.openxmlformats.org/officeDocument/2006/relationships/hyperlink" Target="https://www.google.com/search?q=site%3Aiscia.pt%20Prote&#231;&#227;o%20Civil%20e%20Socorro%20CTeSP" TargetMode="External"/><Relationship Id="rId3234" Type="http://schemas.openxmlformats.org/officeDocument/2006/relationships/hyperlink" Target="https://www.google.com/search?q=site%3Aucp.pt%20Ci&#234;ncias%20e%20Sociedade%20licenciatura" TargetMode="External"/><Relationship Id="rId3441" Type="http://schemas.openxmlformats.org/officeDocument/2006/relationships/hyperlink" Target="https://www.google.com/search?q=site%3Aeuropeia.pt%20Design%20de%20Intera&#231;&#227;o%20mestrado" TargetMode="External"/><Relationship Id="rId155" Type="http://schemas.openxmlformats.org/officeDocument/2006/relationships/hyperlink" Target="https://www.google.com/search?q=site%3Asjcluny.org%20Gerontologia%20e%20Cuidados%20de%20Longa%20Dura&#231;&#227;o%20CTeSP" TargetMode="External"/><Relationship Id="rId362" Type="http://schemas.openxmlformats.org/officeDocument/2006/relationships/hyperlink" Target="https://www.google.com/search?q=site%3Asantamaria.pt%20Instrumenta&#231;&#227;o%20Cir&#250;rgica%20p&#243;s-gradua&#231;&#227;o" TargetMode="External"/><Relationship Id="rId2043" Type="http://schemas.openxmlformats.org/officeDocument/2006/relationships/hyperlink" Target="https://www.google.com/search?q=site%3Aips.pt%20Engenharia%20e%20Gest&#227;o%20de%20Energia%20na%20Ind&#250;stria%20e%20Edif&#237;cios%20mestrado" TargetMode="External"/><Relationship Id="rId2250" Type="http://schemas.openxmlformats.org/officeDocument/2006/relationships/hyperlink" Target="https://www.google.com/search?q=site%3Aipvc.pt%20Enfermagem%20Comunit&#225;ria%20na%20&#193;rea%20de%20Enfermagem%20de%20Sa&#250;de%20Familiar%20mestrado" TargetMode="External"/><Relationship Id="rId3301" Type="http://schemas.openxmlformats.org/officeDocument/2006/relationships/hyperlink" Target="https://www.google.com/search?q=site%3Aucp.pt%20Gerontologia%20Social%20mestrado" TargetMode="External"/><Relationship Id="rId5199" Type="http://schemas.openxmlformats.org/officeDocument/2006/relationships/hyperlink" Target="https://www.google.com/search?q=site%3Auevora.pt%20Intelig&#234;ncia%20Artificial%20e%20Ci&#234;ncia%20de%20Dados%20mestrado" TargetMode="External"/><Relationship Id="rId222" Type="http://schemas.openxmlformats.org/officeDocument/2006/relationships/hyperlink" Target="https://www.google.com/search?q=site%3Aegasmoniz.edu.pt%20Gastronomia%20licenciatura" TargetMode="External"/><Relationship Id="rId2110" Type="http://schemas.openxmlformats.org/officeDocument/2006/relationships/hyperlink" Target="https://www.google.com/search?q=site%3Aipt.pt%20Computa&#231;&#227;o%20e%20Log&#237;stica%20licenciatura" TargetMode="External"/><Relationship Id="rId5059" Type="http://schemas.openxmlformats.org/officeDocument/2006/relationships/hyperlink" Target="https://www.google.com/search?q=site%3Autad.pt%20Tecnologia%20dos%20Espa&#231;os%20Verdes%20licenciatura" TargetMode="External"/><Relationship Id="rId5266" Type="http://schemas.openxmlformats.org/officeDocument/2006/relationships/hyperlink" Target="https://www.google.com/search?q=site%3Aualg.pt%20Sistemas%20de%20Informa&#231;&#227;o%20Geogr&#225;fica%20CTeSP" TargetMode="External"/><Relationship Id="rId5473" Type="http://schemas.openxmlformats.org/officeDocument/2006/relationships/hyperlink" Target="https://www.google.com/search?q=site%3Aup.pt%20Aplica&#231;&#245;es%20em%20Biotecnologia%20e%20Biologia%20Sint&#233;tica%20mestrado" TargetMode="External"/><Relationship Id="rId5680" Type="http://schemas.openxmlformats.org/officeDocument/2006/relationships/hyperlink" Target="https://www.google.com/search?q=site%3Aup.pt%20Medicina%20mestrado%20integrado" TargetMode="External"/><Relationship Id="rId4075" Type="http://schemas.openxmlformats.org/officeDocument/2006/relationships/hyperlink" Target="https://www.google.com/search?q=site%3Aunl.pt%20Marketing%20Intelligence%20p&#243;s-gradua&#231;&#227;o" TargetMode="External"/><Relationship Id="rId4282" Type="http://schemas.openxmlformats.org/officeDocument/2006/relationships/hyperlink" Target="https://www.google.com/search?q=site%3Auc.pt%20Comunica&#231;&#227;o%20Empresarial%20licenciatura" TargetMode="External"/><Relationship Id="rId5126" Type="http://schemas.openxmlformats.org/officeDocument/2006/relationships/hyperlink" Target="https://www.google.com/search?q=site%3Autad.pt%20Psicologia%20mestrado" TargetMode="External"/><Relationship Id="rId5333" Type="http://schemas.openxmlformats.org/officeDocument/2006/relationships/hyperlink" Target="https://www.google.com/search?q=site%3Aualg.pt%20Contabilidade%20e%20Controlo%20de%20Gest&#227;o%20mestrado" TargetMode="External"/><Relationship Id="rId1669" Type="http://schemas.openxmlformats.org/officeDocument/2006/relationships/hyperlink" Target="https://www.google.com/search?q=site%3Aipl.pt%20Did&#225;tica%20da%20L&#237;ngua%20Portuguesa%20no%201.&#186;%20e%202.&#186;%20ciclos%20do%20Ensino%20B&#225;sico%20mestrado" TargetMode="External"/><Relationship Id="rId1876" Type="http://schemas.openxmlformats.org/officeDocument/2006/relationships/hyperlink" Target="https://www.google.com/search?q=site%3Aipsantarem.pt%20Gest&#227;o%20licenciatura" TargetMode="External"/><Relationship Id="rId2927" Type="http://schemas.openxmlformats.org/officeDocument/2006/relationships/hyperlink" Target="https://www.google.com/search?q=site%3Aispgaya.pt%20Eletr&#243;nica%20e%20Automa&#231;&#227;o%20Industrial%20CTeSP" TargetMode="External"/><Relationship Id="rId3091" Type="http://schemas.openxmlformats.org/officeDocument/2006/relationships/hyperlink" Target="https://www.google.com/search?q=site%3Aisssp.pt%20Media&#231;&#227;o%20Familiar%20p&#243;s-gradua&#231;&#227;o" TargetMode="External"/><Relationship Id="rId4142" Type="http://schemas.openxmlformats.org/officeDocument/2006/relationships/hyperlink" Target="https://www.google.com/search?q=site%3Aubi.pt%20F&#237;sica%20e%20Aplica&#231;&#245;es%20licenciatura" TargetMode="External"/><Relationship Id="rId5540" Type="http://schemas.openxmlformats.org/officeDocument/2006/relationships/hyperlink" Target="https://www.google.com/search?q=site%3Aup.pt%20Engenharia%20Aeroespacial%20mestrado" TargetMode="External"/><Relationship Id="rId1529" Type="http://schemas.openxmlformats.org/officeDocument/2006/relationships/hyperlink" Target="https://www.google.com/search?q=site%3Aipleiria.pt%20Enfermagem%20M&#233;dico-cir&#250;rgica%20-%20&#193;rea%20de%20especializa&#231;&#227;o%20em%20Enfermagem%20&#224;%20Pessoa%20em%20Situa&#231;&#227;o%20Cr&#237;tica%20mestrado" TargetMode="External"/><Relationship Id="rId1736" Type="http://schemas.openxmlformats.org/officeDocument/2006/relationships/hyperlink" Target="https://www.google.com/search?q=site%3Aipl.pt%20Media%20%26%20Performance%3A%20Laborat&#243;rio%20de%20Tecnologia%20Criativa%20p&#243;s-gradua&#231;&#227;o" TargetMode="External"/><Relationship Id="rId1943" Type="http://schemas.openxmlformats.org/officeDocument/2006/relationships/hyperlink" Target="https://www.google.com/search?q=site%3Acespu.pt%20Cronobiologia%20e%20Medicina%20do%20Sono%20&#8211;%208.&#170;%20edi&#231;&#227;o%20p&#243;s-gradua&#231;&#227;o" TargetMode="External"/><Relationship Id="rId5400" Type="http://schemas.openxmlformats.org/officeDocument/2006/relationships/hyperlink" Target="https://www.google.com/search?q=site%3Aualg.pt%20Forma&#231;&#227;o%20Complementar%20em%20Cadastro%20Predial%20&#8211;%20Tipologia%20C%20p&#243;s-gradua&#231;&#227;o" TargetMode="External"/><Relationship Id="rId28" Type="http://schemas.openxmlformats.org/officeDocument/2006/relationships/hyperlink" Target="https://www.google.com/search?q=site%3Auatlantica.pt%20P&#243;s-Gradua&#231;&#227;o%20em%20UX/UI%20Design%20p&#243;s-gradua&#231;&#227;o" TargetMode="External"/><Relationship Id="rId1803" Type="http://schemas.openxmlformats.org/officeDocument/2006/relationships/hyperlink" Target="https://www.google.com/search?q=site%3Aipportalegre.pt%20Contabilidade%20e%20Finan&#231;as%20mestrado" TargetMode="External"/><Relationship Id="rId4002" Type="http://schemas.openxmlformats.org/officeDocument/2006/relationships/hyperlink" Target="https://www.google.com/search?q=site%3Aunl.pt%20Sa&#250;de%20P&#250;blica%20mestrado" TargetMode="External"/><Relationship Id="rId4959" Type="http://schemas.openxmlformats.org/officeDocument/2006/relationships/hyperlink" Target="https://www.google.com/search?q=site%3Aulisboa.pt%20High%20Performance%20Football%20Coaching%20p&#243;s-gradua&#231;&#227;o" TargetMode="External"/><Relationship Id="rId3768" Type="http://schemas.openxmlformats.org/officeDocument/2006/relationships/hyperlink" Target="https://www.google.com/search?q=site%3Alusofona.pt%20Educa&#231;&#227;o%20Especial%20e%20Educa&#231;&#227;o%20Inclusiva%3A%20Dom&#237;nio%20Cognitivo%20e%20Motor%20p&#243;s-gradua&#231;&#227;o" TargetMode="External"/><Relationship Id="rId3975" Type="http://schemas.openxmlformats.org/officeDocument/2006/relationships/hyperlink" Target="https://www.google.com/search?q=site%3Aunl.pt%20Marketing%20e%20Estrat&#233;gia%20-%20Executivo%20mestrado" TargetMode="External"/><Relationship Id="rId4819" Type="http://schemas.openxmlformats.org/officeDocument/2006/relationships/hyperlink" Target="https://www.google.com/search?q=site%3Aulisboa.pt%20Pol&#237;ticas%20e%20Gest&#227;o%20de%20Recursos%20Humanos%20mestrado" TargetMode="External"/><Relationship Id="rId689" Type="http://schemas.openxmlformats.org/officeDocument/2006/relationships/hyperlink" Target="https://www.google.com/search?q=site%3Aiees.pt%20Educa&#231;&#227;o%20%28regime%20de%20ensino%20a%20dist&#226;ncia%29%20mestrado" TargetMode="External"/><Relationship Id="rId896" Type="http://schemas.openxmlformats.org/officeDocument/2006/relationships/hyperlink" Target="https://www.google.com/search?q=site%3Aipbeja.pt%20Agronomia%20licenciatura" TargetMode="External"/><Relationship Id="rId2577" Type="http://schemas.openxmlformats.org/officeDocument/2006/relationships/hyperlink" Target="https://www.google.com/search?q=site%3Aipp.pt%20Desporto%20e%20Turismo%20de%20Natureza%20CTeSP" TargetMode="External"/><Relationship Id="rId2784" Type="http://schemas.openxmlformats.org/officeDocument/2006/relationships/hyperlink" Target="https://www.google.com/search?q=site%3Aipp.pt%20T&#233;cnicas%20Avan&#231;adas%20de%20Imagem%20em%20Radiologia%20mestrado" TargetMode="External"/><Relationship Id="rId3628" Type="http://schemas.openxmlformats.org/officeDocument/2006/relationships/hyperlink" Target="https://www.google.com/search?q=site%3Aulusiada.pt%20Fisioterapia%20Dermatofuncional%20&#8211;%204.&#170;%20edi&#231;&#227;o%20p&#243;s-gradua&#231;&#227;o" TargetMode="External"/><Relationship Id="rId5190" Type="http://schemas.openxmlformats.org/officeDocument/2006/relationships/hyperlink" Target="https://www.google.com/search?q=site%3Auevora.pt%20Engenharia%20Zoot&#233;cnica%20mestrado" TargetMode="External"/><Relationship Id="rId549" Type="http://schemas.openxmlformats.org/officeDocument/2006/relationships/hyperlink" Target="https://www.google.com/search?q=site%3Aiseclisboa.pt%20Comunica&#231;&#227;o%20Global%20licenciatura" TargetMode="External"/><Relationship Id="rId756" Type="http://schemas.openxmlformats.org/officeDocument/2006/relationships/hyperlink" Target="https://www.google.com/search?q=site%3Aipg.pt%20Desporto%20licenciatura" TargetMode="External"/><Relationship Id="rId1179" Type="http://schemas.openxmlformats.org/officeDocument/2006/relationships/hyperlink" Target="https://www.google.com/search?q=site%3Aipcb.pt%20Estudos%20em%20Enfermagem%20mestrado" TargetMode="External"/><Relationship Id="rId1386" Type="http://schemas.openxmlformats.org/officeDocument/2006/relationships/hyperlink" Target="https://www.google.com/search?q=site%3Aipleiria.pt%20Ciberseguran&#231;a%20e%20Redes%20Inform&#225;ticas%20CTeSP" TargetMode="External"/><Relationship Id="rId1593" Type="http://schemas.openxmlformats.org/officeDocument/2006/relationships/hyperlink" Target="https://www.google.com/search?q=site%3Aipleiria.pt%20Gest&#227;o%20de%20Organiza&#231;&#245;es%20da%20Economia%20Social%20p&#243;s-gradua&#231;&#227;o" TargetMode="External"/><Relationship Id="rId2437" Type="http://schemas.openxmlformats.org/officeDocument/2006/relationships/hyperlink" Target="https://www.google.com/search?q=site%3Aipca.pt%20Gest&#227;o%20Industrial%20da%20Produ&#231;&#227;o%20CTeSP" TargetMode="External"/><Relationship Id="rId2991" Type="http://schemas.openxmlformats.org/officeDocument/2006/relationships/hyperlink" Target="https://www.google.com/search?q=site%3Aisced.pt%20Educa&#231;&#227;o%20e%20Reabilita&#231;&#227;o%20Psicomotora%20p&#243;s-gradua&#231;&#227;o" TargetMode="External"/><Relationship Id="rId3835" Type="http://schemas.openxmlformats.org/officeDocument/2006/relationships/hyperlink" Target="https://www.google.com/search?q=site%3Aunl.pt%20Estudos%20Portugueses%20licenciatura" TargetMode="External"/><Relationship Id="rId5050" Type="http://schemas.openxmlformats.org/officeDocument/2006/relationships/hyperlink" Target="https://www.google.com/search?q=site%3Autad.pt%20Gest&#227;o%20licenciatura" TargetMode="External"/><Relationship Id="rId409" Type="http://schemas.openxmlformats.org/officeDocument/2006/relationships/hyperlink" Target="https://www.google.com/search?q=site%3Aisce.pt%20Anima&#231;&#227;o%20Sociocultural%20licenciatura" TargetMode="External"/><Relationship Id="rId963" Type="http://schemas.openxmlformats.org/officeDocument/2006/relationships/hyperlink" Target="https://www.google.com/search?q=site%3Aipb.pt%20Gest&#227;o%20Agr&#237;cola%20CTeSP" TargetMode="External"/><Relationship Id="rId1039" Type="http://schemas.openxmlformats.org/officeDocument/2006/relationships/hyperlink" Target="https://www.google.com/search?q=site%3Aipb.pt%20Ambiente%20e%20Gest&#227;o%20do%20Territ&#243;rio%20mestrado" TargetMode="External"/><Relationship Id="rId1246" Type="http://schemas.openxmlformats.org/officeDocument/2006/relationships/hyperlink" Target="https://www.google.com/search?q=site%3Aipc.pt%20Ci&#234;ncia%20de%20Dados%20para%20a%20Gest&#227;o%20licenciatura" TargetMode="External"/><Relationship Id="rId2644" Type="http://schemas.openxmlformats.org/officeDocument/2006/relationships/hyperlink" Target="https://www.google.com/search?q=site%3Aipp.pt%20Engenharia%20Mec&#226;nica%20licenciatura" TargetMode="External"/><Relationship Id="rId2851" Type="http://schemas.openxmlformats.org/officeDocument/2006/relationships/hyperlink" Target="https://www.google.com/search?q=site%3Aipam.pt%20Gest&#227;o%20do%20Design%20mestrado" TargetMode="External"/><Relationship Id="rId3902" Type="http://schemas.openxmlformats.org/officeDocument/2006/relationships/hyperlink" Target="https://www.google.com/search?q=site%3Aunl.pt%20Engenharia%20Biom&#233;dica%20mestrado" TargetMode="External"/><Relationship Id="rId92" Type="http://schemas.openxmlformats.org/officeDocument/2006/relationships/hyperlink" Target="https://www.google.com/search?q=site%3Ajoaodedeus.pt%20Aprender%20em%20Movimento%20p&#243;s-gradua&#231;&#227;o" TargetMode="External"/><Relationship Id="rId616" Type="http://schemas.openxmlformats.org/officeDocument/2006/relationships/hyperlink" Target="https://www.google.com/search?q=site%3Aisla.pt%20Transforma&#231;&#227;o%20Digital%20e%20Inova&#231;&#227;o%20p&#243;s-gradua&#231;&#227;o" TargetMode="External"/><Relationship Id="rId823" Type="http://schemas.openxmlformats.org/officeDocument/2006/relationships/hyperlink" Target="https://www.google.com/search?q=site%3Aipluso.pt%20Laborat&#243;rio%20Forense%20e%20Criminal%20CTeSP" TargetMode="External"/><Relationship Id="rId1453" Type="http://schemas.openxmlformats.org/officeDocument/2006/relationships/hyperlink" Target="https://www.google.com/search?q=site%3Aipleiria.pt%20Design%20de%20Produto%20-%20Cer&#226;mica%20e%20Vidro%20licenciatura" TargetMode="External"/><Relationship Id="rId1660" Type="http://schemas.openxmlformats.org/officeDocument/2006/relationships/hyperlink" Target="https://www.google.com/search?q=site%3Aipl.pt%20An&#225;lise%20Financeira%20mestrado" TargetMode="External"/><Relationship Id="rId2504" Type="http://schemas.openxmlformats.org/officeDocument/2006/relationships/hyperlink" Target="https://www.google.com/search?q=site%3Aipca.pt%20Engenharia%20em%20Desenvolvimento%20de%20Jogos%20Digitais%20mestrado" TargetMode="External"/><Relationship Id="rId2711" Type="http://schemas.openxmlformats.org/officeDocument/2006/relationships/hyperlink" Target="https://www.google.com/search?q=site%3Aipp.pt%20Design%20mestrado" TargetMode="External"/><Relationship Id="rId1106" Type="http://schemas.openxmlformats.org/officeDocument/2006/relationships/hyperlink" Target="https://www.google.com/search?q=site%3Aipcb.pt%20An&#225;lises%20Qu&#237;micas%20e%20Biol&#243;gicas%20CTeSP" TargetMode="External"/><Relationship Id="rId1313" Type="http://schemas.openxmlformats.org/officeDocument/2006/relationships/hyperlink" Target="https://www.google.com/search?q=site%3Aipc.pt%20Ensino%20de%20L&#237;ngua%20Gestual%20Portuguesa%20mestrado" TargetMode="External"/><Relationship Id="rId1520" Type="http://schemas.openxmlformats.org/officeDocument/2006/relationships/hyperlink" Target="https://www.google.com/search?q=site%3Aipleiria.pt%20Educa&#231;&#227;o%20Especial%20-%20Dom&#237;nio%20Cognitivo-Motor%20mestrado" TargetMode="External"/><Relationship Id="rId4469" Type="http://schemas.openxmlformats.org/officeDocument/2006/relationships/hyperlink" Target="https://www.google.com/search?q=site%3Auc.pt%20Qu&#237;mica%20mestrado" TargetMode="External"/><Relationship Id="rId4676" Type="http://schemas.openxmlformats.org/officeDocument/2006/relationships/hyperlink" Target="https://www.google.com/search?q=site%3Aulisboa.pt%20Doen&#231;as%20Metab&#243;licas%20e%20Comportamento%20Alimentar%20mestrado" TargetMode="External"/><Relationship Id="rId4883" Type="http://schemas.openxmlformats.org/officeDocument/2006/relationships/hyperlink" Target="https://www.google.com/search?q=site%3Aulisboa.pt%20Animais%20e%20Sociedade%20p&#243;s-gradua&#231;&#227;o" TargetMode="External"/><Relationship Id="rId5727" Type="http://schemas.openxmlformats.org/officeDocument/2006/relationships/hyperlink" Target="https://www.google.com/search?q=site%3Auac.pt%20Ensino%20de%20Inform&#225;tica%20mestrado" TargetMode="External"/><Relationship Id="rId3278" Type="http://schemas.openxmlformats.org/officeDocument/2006/relationships/hyperlink" Target="https://www.google.com/search?q=site%3Aucp.pt%20Direito%20%28orientado%20para%20a%20investiga&#231;&#227;o%29%20mestrado" TargetMode="External"/><Relationship Id="rId3485" Type="http://schemas.openxmlformats.org/officeDocument/2006/relationships/hyperlink" Target="https://www.google.com/search?q=site%3Aeuropeia.pt%20P&#243;s&#8209;Gradua&#231;&#227;o%20em%20Finan&#231;as%20para%20n&#227;o%20Financeiros%20p&#243;s-gradua&#231;&#227;o" TargetMode="External"/><Relationship Id="rId3692" Type="http://schemas.openxmlformats.org/officeDocument/2006/relationships/hyperlink" Target="https://www.google.com/search?q=site%3Alusofona.pt%20Estudos%20de%20Seguran&#231;a%20Interna%20licenciatura" TargetMode="External"/><Relationship Id="rId4329" Type="http://schemas.openxmlformats.org/officeDocument/2006/relationships/hyperlink" Target="https://www.google.com/search?q=site%3Auc.pt%20Administra&#231;&#227;o%20Educacional%20mestrado" TargetMode="External"/><Relationship Id="rId4536" Type="http://schemas.openxmlformats.org/officeDocument/2006/relationships/hyperlink" Target="https://www.google.com/search?q=site%3Aulisboa.pt%20Design%20de%20Comunica&#231;&#227;o%20licenciatura" TargetMode="External"/><Relationship Id="rId4743" Type="http://schemas.openxmlformats.org/officeDocument/2006/relationships/hyperlink" Target="https://www.google.com/search?q=site%3Aulisboa.pt%20Estudos%20Asi&#225;ticos%20mestrado" TargetMode="External"/><Relationship Id="rId4950" Type="http://schemas.openxmlformats.org/officeDocument/2006/relationships/hyperlink" Target="https://www.google.com/search?q=site%3Aulisboa.pt%20Gest&#227;o%20Empresarial%20&#8211;%20Blended%20Learning%20p&#243;s-gradua&#231;&#227;o" TargetMode="External"/><Relationship Id="rId199" Type="http://schemas.openxmlformats.org/officeDocument/2006/relationships/hyperlink" Target="https://www.google.com/search?q=site%3Auatlantica.pt%20Fisioterapia%20licenciatura" TargetMode="External"/><Relationship Id="rId2087" Type="http://schemas.openxmlformats.org/officeDocument/2006/relationships/hyperlink" Target="https://www.google.com/search?q=site%3Aipt.pt%20Ilustra&#231;&#227;o%20CTeSP" TargetMode="External"/><Relationship Id="rId2294" Type="http://schemas.openxmlformats.org/officeDocument/2006/relationships/hyperlink" Target="https://www.google.com/search?q=site%3Aipvc.pt%20Tecnologias%20em%20Energias%20Oce&#226;nicas%20p&#243;s-gradua&#231;&#227;o" TargetMode="External"/><Relationship Id="rId3138" Type="http://schemas.openxmlformats.org/officeDocument/2006/relationships/hyperlink" Target="https://www.google.com/search?q=site%3Acespu.pt%20Ortodontia%20com%20Alinhadores%20&#8211;%209.&#170;%20edi&#231;&#227;o%20p&#243;s-gradua&#231;&#227;o" TargetMode="External"/><Relationship Id="rId3345" Type="http://schemas.openxmlformats.org/officeDocument/2006/relationships/hyperlink" Target="https://www.google.com/search?q=site%3Aucp.pt%20Medicina%20mestrado%20integrado" TargetMode="External"/><Relationship Id="rId3552" Type="http://schemas.openxmlformats.org/officeDocument/2006/relationships/hyperlink" Target="https://www.google.com/search?q=site%3Aufp.pt%20Medical%20Science%20Liaison%20p&#243;s-gradua&#231;&#227;o" TargetMode="External"/><Relationship Id="rId4603" Type="http://schemas.openxmlformats.org/officeDocument/2006/relationships/hyperlink" Target="https://www.google.com/search?q=site%3Aulisboa.pt%20Pr&#243;tese%20Dent&#225;ria%20licenciatura" TargetMode="External"/><Relationship Id="rId266" Type="http://schemas.openxmlformats.org/officeDocument/2006/relationships/hyperlink" Target="https://www.google.com/search?q=site%3Aesscvp.eu%20Fisioterapia%20licenciatura" TargetMode="External"/><Relationship Id="rId473" Type="http://schemas.openxmlformats.org/officeDocument/2006/relationships/hyperlink" Target="https://www.google.com/search?q=site%3Aiscte-iul.pt%20Gest&#227;o%20Empresarial%20&#8211;%20Licenciados%20noutras%20&#225;reas%20p&#243;s-gradua&#231;&#227;o%20executiva" TargetMode="External"/><Relationship Id="rId680" Type="http://schemas.openxmlformats.org/officeDocument/2006/relationships/hyperlink" Target="https://www.google.com/search?q=site%3Aiees.pt%20Turismo%20de%20Sa&#250;de%20e%20Bem-Estar%20CTeSP" TargetMode="External"/><Relationship Id="rId2154" Type="http://schemas.openxmlformats.org/officeDocument/2006/relationships/hyperlink" Target="https://www.google.com/search?q=site%3Aipt.pt%20Sistemas%20de%20Gest&#227;o%20Empresarial%20&#8211;%20SAP%20p&#243;s-gradua&#231;&#227;o" TargetMode="External"/><Relationship Id="rId2361" Type="http://schemas.openxmlformats.org/officeDocument/2006/relationships/hyperlink" Target="https://www.google.com/search?q=site%3Aipv.pt%20Gest&#227;o%20de%20Empresas%20licenciatura" TargetMode="External"/><Relationship Id="rId3205" Type="http://schemas.openxmlformats.org/officeDocument/2006/relationships/hyperlink" Target="https://www.google.com/search?q=site%3Aautonoma.pt%20Comunica&#231;&#227;o%20Aplicada%20mestrado" TargetMode="External"/><Relationship Id="rId3412" Type="http://schemas.openxmlformats.org/officeDocument/2006/relationships/hyperlink" Target="https://www.google.com/search?q=site%3Aeuropeia.pt%20Gest&#227;o%20de%20Recursos%20Humanos%20%28regime%20de%20ensino%20a%20dist&#226;ncia%29%20licenciatura" TargetMode="External"/><Relationship Id="rId4810" Type="http://schemas.openxmlformats.org/officeDocument/2006/relationships/hyperlink" Target="https://www.google.com/search?q=site%3Aulisboa.pt%20Navega&#231;&#227;o%20e%20Geom&#225;tica%20mestrado" TargetMode="External"/><Relationship Id="rId126" Type="http://schemas.openxmlformats.org/officeDocument/2006/relationships/hyperlink" Target="https://www.google.com/search?q=site%3Aesesfm.pt%20Enfermagem%20de%20Reabilita&#231;&#227;o%20mestrado" TargetMode="External"/><Relationship Id="rId333" Type="http://schemas.openxmlformats.org/officeDocument/2006/relationships/hyperlink" Target="https://www.google.com/search?q=site%3Aess.ufp.pt%20Inova&#231;&#227;o%20Tecnol&#243;gica%20em%20Sa&#250;de%3A%20Ci&#234;ncia%20de%20Dados%20em%20Sa&#250;de%20p&#243;s-gradua&#231;&#227;o" TargetMode="External"/><Relationship Id="rId540" Type="http://schemas.openxmlformats.org/officeDocument/2006/relationships/hyperlink" Target="https://www.google.com/search?q=site%3Aiseclisboa.pt%20Produ&#231;&#227;o%20Gr&#225;fica%20e%20Digital%20CTeSP" TargetMode="External"/><Relationship Id="rId1170" Type="http://schemas.openxmlformats.org/officeDocument/2006/relationships/hyperlink" Target="https://www.google.com/search?q=site%3Aipcb.pt%20Educa&#231;&#227;o%20Pr&#233;&#8209;Escolar%20e%20Ensino%20do%201.&#186;%20Ciclo%20do%20Ensino%20B&#225;sico%20mestrado" TargetMode="External"/><Relationship Id="rId2014" Type="http://schemas.openxmlformats.org/officeDocument/2006/relationships/hyperlink" Target="https://www.google.com/search?q=site%3Aips.pt%20Fisioterapia%20licenciatura" TargetMode="External"/><Relationship Id="rId2221" Type="http://schemas.openxmlformats.org/officeDocument/2006/relationships/hyperlink" Target="https://www.google.com/search?q=site%3Aipvc.pt%20Engenharia%20Mec&#226;nica%20licenciatura" TargetMode="External"/><Relationship Id="rId5377" Type="http://schemas.openxmlformats.org/officeDocument/2006/relationships/hyperlink" Target="https://www.google.com/search?q=site%3Aualg.pt%20Matem&#225;tica%20para%20Professores%20mestrado" TargetMode="External"/><Relationship Id="rId1030" Type="http://schemas.openxmlformats.org/officeDocument/2006/relationships/hyperlink" Target="https://www.google.com/search?q=site%3Aipb.pt%20Osteopatia%20licenciatura" TargetMode="External"/><Relationship Id="rId4186" Type="http://schemas.openxmlformats.org/officeDocument/2006/relationships/hyperlink" Target="https://www.google.com/search?q=site%3Aismai.pt%20Psicologia%20Cl&#237;nica%20Forense%20&#8211;%20Interven&#231;&#227;o%20com%20Agressores%20e%20V&#237;timas%20mestrado" TargetMode="External"/><Relationship Id="rId5584" Type="http://schemas.openxmlformats.org/officeDocument/2006/relationships/hyperlink" Target="https://www.google.com/search?q=site%3Aup.pt%20Estudos%20Medievais%20mestrado" TargetMode="External"/><Relationship Id="rId5791" Type="http://schemas.openxmlformats.org/officeDocument/2006/relationships/hyperlink" Target="https://www.google.com/search?q=site%3Aium.pt%20Ci&#234;ncias%20Farmac&#234;uticas%20%28grau%20pela%20FF-UL%29%20mestrado%20integrado" TargetMode="External"/><Relationship Id="rId400" Type="http://schemas.openxmlformats.org/officeDocument/2006/relationships/hyperlink" Target="https://www.google.com/search?q=site%3Aisave.pt%20Fisioterapia%20Neuromusculoesquel&#233;tica%20mestrado" TargetMode="External"/><Relationship Id="rId1987" Type="http://schemas.openxmlformats.org/officeDocument/2006/relationships/hyperlink" Target="https://www.google.com/search?q=site%3Aips.pt%20Qualidade%20Ambiental%20e%20Alimentar%20CTeSP" TargetMode="External"/><Relationship Id="rId4393" Type="http://schemas.openxmlformats.org/officeDocument/2006/relationships/hyperlink" Target="https://www.google.com/search?q=site%3Auc.pt%20Ensino%20de%20Biologia%20e%20Geologia%20no%203.&#186;%20ciclo%20do%20Ensino%20B&#225;sico%20e%20no%20Ensino%20Secund&#225;rio%20mestrado" TargetMode="External"/><Relationship Id="rId5237" Type="http://schemas.openxmlformats.org/officeDocument/2006/relationships/hyperlink" Target="https://www.google.com/search?q=site%3Auevora.pt%20Interven&#231;&#227;o%20avan&#231;ada%20em%20Feridas%20p&#243;s-gradua&#231;&#227;o" TargetMode="External"/><Relationship Id="rId5444" Type="http://schemas.openxmlformats.org/officeDocument/2006/relationships/hyperlink" Target="https://www.google.com/search?q=site%3Aup.pt%20Engenharia%20Qu&#237;mica%20licenciatura" TargetMode="External"/><Relationship Id="rId5651" Type="http://schemas.openxmlformats.org/officeDocument/2006/relationships/hyperlink" Target="https://www.google.com/search?q=site%3Aup.pt%20Sa&#250;de%2C%20Comunica&#231;&#227;o%20e%20Sociedade%20mestrado" TargetMode="External"/><Relationship Id="rId1847" Type="http://schemas.openxmlformats.org/officeDocument/2006/relationships/hyperlink" Target="https://www.google.com/search?q=site%3Aipsantarem.pt%20Produ&#231;&#227;o%20para%20Contextos%20Web%20CTeSP" TargetMode="External"/><Relationship Id="rId4046" Type="http://schemas.openxmlformats.org/officeDocument/2006/relationships/hyperlink" Target="https://www.google.com/search?q=site%3Aunl.pt%20Data%20Science%20for%20Finance%20p&#243;s-gradua&#231;&#227;o" TargetMode="External"/><Relationship Id="rId4253" Type="http://schemas.openxmlformats.org/officeDocument/2006/relationships/hyperlink" Target="https://www.google.com/search?q=site%3Aua.pt%20Engenharia%20Mecatr&#243;nica%20mestrado" TargetMode="External"/><Relationship Id="rId4460" Type="http://schemas.openxmlformats.org/officeDocument/2006/relationships/hyperlink" Target="https://www.google.com/search?q=site%3Auc.pt%20Pol&#237;tica%20Cultural%20Aut&#225;rquica%20mestrado" TargetMode="External"/><Relationship Id="rId5304" Type="http://schemas.openxmlformats.org/officeDocument/2006/relationships/hyperlink" Target="https://www.google.com/search?q=site%3Aualg.pt%20Gest&#227;o%20Hoteleira%20licenciatura" TargetMode="External"/><Relationship Id="rId5511" Type="http://schemas.openxmlformats.org/officeDocument/2006/relationships/hyperlink" Target="https://www.google.com/search?q=site%3Aup.pt%20Comunica&#231;&#227;o%20Cl&#237;nica%20mestrado" TargetMode="External"/><Relationship Id="rId1707" Type="http://schemas.openxmlformats.org/officeDocument/2006/relationships/hyperlink" Target="https://www.google.com/search?q=site%3Aipl.pt%20Radia&#231;&#245;es%20Aplicadas%20&#224;s%20Tecnologias%20da%20Sa&#250;de%20mestrado" TargetMode="External"/><Relationship Id="rId3062" Type="http://schemas.openxmlformats.org/officeDocument/2006/relationships/hyperlink" Target="https://www.google.com/search?q=site%3Aisvouga.pt%20Maquina&#231;&#227;o%20Avan&#231;ada%20p&#243;s-gradua&#231;&#227;o" TargetMode="External"/><Relationship Id="rId4113" Type="http://schemas.openxmlformats.org/officeDocument/2006/relationships/hyperlink" Target="https://www.google.com/search?q=site%3Aupt.pt%20Turismo%20e%20Hospitalidade%20mestrado" TargetMode="External"/><Relationship Id="rId4320" Type="http://schemas.openxmlformats.org/officeDocument/2006/relationships/hyperlink" Target="https://www.google.com/search?q=site%3Auc.pt%20Multim&#233;dia%20licenciatura" TargetMode="External"/><Relationship Id="rId190" Type="http://schemas.openxmlformats.org/officeDocument/2006/relationships/hyperlink" Target="https://www.google.com/search?q=site%3Aesna.pt%20Gest&#227;o%20e%20Neg&#243;cios%20licenciatura" TargetMode="External"/><Relationship Id="rId1914" Type="http://schemas.openxmlformats.org/officeDocument/2006/relationships/hyperlink" Target="https://www.google.com/search?q=site%3Aipsantarem.pt%20Educa&#231;&#227;o%20STEAM%20p&#243;s-gradua&#231;&#227;o" TargetMode="External"/><Relationship Id="rId3879" Type="http://schemas.openxmlformats.org/officeDocument/2006/relationships/hyperlink" Target="https://www.google.com/search?q=site%3Aunl.pt%20Ci&#234;ncias%20da%20Linguagem%20mestrado" TargetMode="External"/><Relationship Id="rId5094" Type="http://schemas.openxmlformats.org/officeDocument/2006/relationships/hyperlink" Target="https://www.google.com/search?q=site%3Autad.pt%20Engenharia%20Biom&#233;dica%20mestrado" TargetMode="External"/><Relationship Id="rId2688" Type="http://schemas.openxmlformats.org/officeDocument/2006/relationships/hyperlink" Target="https://www.google.com/search?q=site%3Aipp.pt%20Tecnologias%20para%20a%20Educa&#231;&#227;o%20STEAM%20licenciatura" TargetMode="External"/><Relationship Id="rId2895" Type="http://schemas.openxmlformats.org/officeDocument/2006/relationships/hyperlink" Target="https://www.google.com/search?q=site%3Aismat.pt%20Design%20licenciatura" TargetMode="External"/><Relationship Id="rId3739" Type="http://schemas.openxmlformats.org/officeDocument/2006/relationships/hyperlink" Target="https://www.google.com/search?q=site%3Alusofona.pt%20Gest&#227;o%20Financeira%20mestrado" TargetMode="External"/><Relationship Id="rId3946" Type="http://schemas.openxmlformats.org/officeDocument/2006/relationships/hyperlink" Target="https://www.google.com/search?q=site%3Aunl.pt%20Gen&#233;tica%20Molecular%20e%20Biomedicina%20mestrado" TargetMode="External"/><Relationship Id="rId5161" Type="http://schemas.openxmlformats.org/officeDocument/2006/relationships/hyperlink" Target="https://www.google.com/search?q=site%3Auevora.pt%20Enologia%20licenciatura" TargetMode="External"/><Relationship Id="rId867" Type="http://schemas.openxmlformats.org/officeDocument/2006/relationships/hyperlink" Target="https://www.google.com/search?q=site%3Aipmaia.pt%20Desporto%2C%20Condi&#231;&#227;o%20F&#237;sica%20e%20Bem-Estar%20licenciatura" TargetMode="External"/><Relationship Id="rId1497" Type="http://schemas.openxmlformats.org/officeDocument/2006/relationships/hyperlink" Target="https://www.google.com/search?q=site%3Aipleiria.pt%20Artes%20do%20Som%20e%20da%20Imagem%20mestrado" TargetMode="External"/><Relationship Id="rId2548" Type="http://schemas.openxmlformats.org/officeDocument/2006/relationships/hyperlink" Target="https://www.google.com/search?q=site%3Aipca.pt%20Gest&#227;o%20de%20Fundos%20Europeus%20p&#243;s-gradua&#231;&#227;o" TargetMode="External"/><Relationship Id="rId2755" Type="http://schemas.openxmlformats.org/officeDocument/2006/relationships/hyperlink" Target="https://www.google.com/search?q=site%3Aipp.pt%20Gest&#227;o%20e%20Dire&#231;&#227;o%20Comercial%20mestrado" TargetMode="External"/><Relationship Id="rId2962" Type="http://schemas.openxmlformats.org/officeDocument/2006/relationships/hyperlink" Target="https://www.google.com/search?q=site%3Aisced.pt%20Desenvolvimento%20Web%20e%20Aplica&#231;&#245;es%20Multim&#233;dia%20CTeSP" TargetMode="External"/><Relationship Id="rId3806" Type="http://schemas.openxmlformats.org/officeDocument/2006/relationships/hyperlink" Target="https://www.google.com/search?q=site%3Aunl.pt%20Arqueologia%20licenciatura" TargetMode="External"/><Relationship Id="rId727" Type="http://schemas.openxmlformats.org/officeDocument/2006/relationships/hyperlink" Target="https://www.google.com/search?q=site%3Aipg.pt%20Gest&#227;o%20de%20Informa&#231;&#227;o%20Geoespacial%20CTeSP" TargetMode="External"/><Relationship Id="rId934" Type="http://schemas.openxmlformats.org/officeDocument/2006/relationships/hyperlink" Target="https://www.google.com/search?q=site%3Aipbeja.pt%20Tecnologias%20Digitais%20e%20Ambientais%20nas%20Ci&#234;ncias%20Agr&#225;rias%20p&#243;s-gradua&#231;&#227;o" TargetMode="External"/><Relationship Id="rId1357" Type="http://schemas.openxmlformats.org/officeDocument/2006/relationships/hyperlink" Target="https://www.google.com/search?q=site%3Aipc.pt%20Fisioterapia%20e%20Sa&#250;de%20P&#233;lvica%20p&#243;s-gradua&#231;&#227;o" TargetMode="External"/><Relationship Id="rId1564" Type="http://schemas.openxmlformats.org/officeDocument/2006/relationships/hyperlink" Target="https://www.google.com/search?q=site%3Aipleiria.pt%20Sustentabilidade%20Urbana%20e%20Industrial%20mestrado" TargetMode="External"/><Relationship Id="rId1771" Type="http://schemas.openxmlformats.org/officeDocument/2006/relationships/hyperlink" Target="https://www.google.com/search?q=site%3Aipportalegre.pt%20Regadio%20CTeSP" TargetMode="External"/><Relationship Id="rId2408" Type="http://schemas.openxmlformats.org/officeDocument/2006/relationships/hyperlink" Target="https://www.google.com/search?q=site%3Aipv.pt%20Engenharia%20Mec&#226;nica%20e%20Gest&#227;o%20Industrial%20p&#243;s-gradua&#231;&#227;o" TargetMode="External"/><Relationship Id="rId2615" Type="http://schemas.openxmlformats.org/officeDocument/2006/relationships/hyperlink" Target="https://www.google.com/search?q=site%3Aipp.pt%20Turismo%20e%20Informa&#231;&#227;o%20Tur&#237;stica%20CTeSP" TargetMode="External"/><Relationship Id="rId2822" Type="http://schemas.openxmlformats.org/officeDocument/2006/relationships/hyperlink" Target="https://www.google.com/search?q=site%3Aipp.pt%20MBA%20Pr&#233;&#8209;Executivo%20p&#243;s-gradua&#231;&#227;o" TargetMode="External"/><Relationship Id="rId5021" Type="http://schemas.openxmlformats.org/officeDocument/2006/relationships/hyperlink" Target="https://www.google.com/search?q=site%3Autad.pt%20Bioqu&#237;mica%20licenciatura" TargetMode="External"/><Relationship Id="rId63" Type="http://schemas.openxmlformats.org/officeDocument/2006/relationships/hyperlink" Target="https://www.google.com/search?q=site%3Aesap.pt%20Performance%2C%20Coreografia%20e%20Pr&#225;ticas%20Expandidas%20p&#243;s-gradua&#231;&#227;o" TargetMode="External"/><Relationship Id="rId1217" Type="http://schemas.openxmlformats.org/officeDocument/2006/relationships/hyperlink" Target="https://www.google.com/search?q=site%3Aipc.pt%20Gest&#227;o%20Comercial%20e%20Vendas%20CTeSP" TargetMode="External"/><Relationship Id="rId1424" Type="http://schemas.openxmlformats.org/officeDocument/2006/relationships/hyperlink" Target="https://www.google.com/search?q=site%3Aipleiria.pt%20Projeto%20de%20Moldes%20CTeSP" TargetMode="External"/><Relationship Id="rId1631" Type="http://schemas.openxmlformats.org/officeDocument/2006/relationships/hyperlink" Target="https://www.google.com/search?q=site%3Aipl.pt%20Engenharia%20F&#237;sica%20Aplicada%20licenciatura" TargetMode="External"/><Relationship Id="rId4787" Type="http://schemas.openxmlformats.org/officeDocument/2006/relationships/hyperlink" Target="https://www.google.com/search?q=site%3Aulisboa.pt%20Investiga&#231;&#227;o%20Biom&#233;dica%20mestrado" TargetMode="External"/><Relationship Id="rId4994" Type="http://schemas.openxmlformats.org/officeDocument/2006/relationships/hyperlink" Target="https://www.google.com/search?q=site%3Aulisboa.pt%20P&#243;s-Gradua&#231;&#227;o%20Direito%20do%20Trabalho%20p&#243;s-gradua&#231;&#227;o" TargetMode="External"/><Relationship Id="rId3389" Type="http://schemas.openxmlformats.org/officeDocument/2006/relationships/hyperlink" Target="https://www.google.com/search?q=site%3Aeuropeia.pt%20Ci&#234;ncias%20do%20Desporto%20e%20da%20Atividade%20F&#237;sica%20licenciatura" TargetMode="External"/><Relationship Id="rId3596" Type="http://schemas.openxmlformats.org/officeDocument/2006/relationships/hyperlink" Target="https://www.google.com/search?q=site%3Aulusiada.pt%20Design%20de%20Produto%20mestrado" TargetMode="External"/><Relationship Id="rId4647" Type="http://schemas.openxmlformats.org/officeDocument/2006/relationships/hyperlink" Target="https://www.google.com/search?q=site%3Aulisboa.pt%20Ci&#234;ncias%20do%20Mar%20mestrado" TargetMode="External"/><Relationship Id="rId2198" Type="http://schemas.openxmlformats.org/officeDocument/2006/relationships/hyperlink" Target="https://www.google.com/search?q=site%3Aipvc.pt%20Tecnologias%20e%20Programa&#231;&#227;o%20de%20Sistemas%20de%20Informa&#231;&#227;o%20CTeSP" TargetMode="External"/><Relationship Id="rId3249" Type="http://schemas.openxmlformats.org/officeDocument/2006/relationships/hyperlink" Target="https://www.google.com/search?q=site%3Aucp.pt%20Gest&#227;o%20e%20An&#225;lise%20de%20Dados%20licenciatura" TargetMode="External"/><Relationship Id="rId3456" Type="http://schemas.openxmlformats.org/officeDocument/2006/relationships/hyperlink" Target="https://www.google.com/search?q=site%3Aeuropeia.pt%20Gest&#227;o%20Internacional%20do%20Turismo%20mestrado" TargetMode="External"/><Relationship Id="rId4854" Type="http://schemas.openxmlformats.org/officeDocument/2006/relationships/hyperlink" Target="https://www.google.com/search?q=site%3Aulisboa.pt%20Tradu&#231;&#227;o%20mestrado" TargetMode="External"/><Relationship Id="rId377" Type="http://schemas.openxmlformats.org/officeDocument/2006/relationships/hyperlink" Target="https://www.google.com/search?q=site%3Aipluso.pt%20Enfermagem%20Veterin&#225;ria%20Cl&#237;nica%20p&#243;s-gradua&#231;&#227;o" TargetMode="External"/><Relationship Id="rId584" Type="http://schemas.openxmlformats.org/officeDocument/2006/relationships/hyperlink" Target="https://www.google.com/search?q=site%3Aiseclisboa.pt%20Organiza&#231;&#227;o%20e%20Dinamiza&#231;&#227;o%20de%20Bibliotecas%20Escolares%20p&#243;s-gradua&#231;&#227;o" TargetMode="External"/><Relationship Id="rId2058" Type="http://schemas.openxmlformats.org/officeDocument/2006/relationships/hyperlink" Target="https://www.google.com/search?q=site%3Aips.pt%20Contabilidade%20P&#250;blica%20p&#243;s-gradua&#231;&#227;o" TargetMode="External"/><Relationship Id="rId2265" Type="http://schemas.openxmlformats.org/officeDocument/2006/relationships/hyperlink" Target="https://www.google.com/search?q=site%3Aipvc.pt%20Ensino%20do%201.&#186;%20Ciclo%20do%20Ensino%20B&#225;sico%20e%20de%20Matem&#225;tica%20e%20Ci&#234;ncias%20Naturais%20no%202.&#186;%20Ciclo%20do%20Ensino%20B&#225;sico%20mestrado" TargetMode="External"/><Relationship Id="rId3109" Type="http://schemas.openxmlformats.org/officeDocument/2006/relationships/hyperlink" Target="https://www.google.com/search?q=site%3Acespu.pt%20Anestesiologia%20e%20Controlo%20da%20Dor%20&#8211;%205.&#170;%20edi&#231;&#227;o%20p&#243;s-gradua&#231;&#227;o" TargetMode="External"/><Relationship Id="rId3663" Type="http://schemas.openxmlformats.org/officeDocument/2006/relationships/hyperlink" Target="https://www.google.com/search?q=site%3Alusofona.pt%20Ci&#234;ncias%20da%20Educa&#231;&#227;o%20&#8211;%20Educa&#231;&#227;o%20Social%20licenciatura" TargetMode="External"/><Relationship Id="rId3870" Type="http://schemas.openxmlformats.org/officeDocument/2006/relationships/hyperlink" Target="https://www.google.com/search?q=site%3Aunl.pt%20Ci&#234;ncia%20Comportamental%20aplicada%20&#224;%20sa&#250;de%20e%20sustentabilidade%20mestrado" TargetMode="External"/><Relationship Id="rId4507" Type="http://schemas.openxmlformats.org/officeDocument/2006/relationships/hyperlink" Target="https://www.google.com/search?q=site%3Auc.pt%20Abordagem%20ao%20Doente%20Cr&#237;tico%20&#8211;%2026.&#170;%20edi&#231;&#227;o%20p&#243;s-gradua&#231;&#227;o" TargetMode="External"/><Relationship Id="rId4714" Type="http://schemas.openxmlformats.org/officeDocument/2006/relationships/hyperlink" Target="https://www.google.com/search?q=site%3Aulisboa.pt%20Engenharia%20de%20Sistemas%20de%20Transportes%20mestrado" TargetMode="External"/><Relationship Id="rId4921" Type="http://schemas.openxmlformats.org/officeDocument/2006/relationships/hyperlink" Target="https://www.google.com/search?q=site%3Aulisboa.pt%20Curso%20de%20P&#243;s-Gradua&#231;&#227;o%20em%20Ci&#234;ncias%20para%20o%20Ensino%20-%2030%20cr&#233;ditos%20%28ECTS%29%20p&#243;s-gradua&#231;&#227;o" TargetMode="External"/><Relationship Id="rId237" Type="http://schemas.openxmlformats.org/officeDocument/2006/relationships/hyperlink" Target="https://www.google.com/search?q=site%3Aegasmoniz.edu.pt%20Psicologia%20Cl&#237;nica%20e%20da%20Sa&#250;de%20mestrado" TargetMode="External"/><Relationship Id="rId791" Type="http://schemas.openxmlformats.org/officeDocument/2006/relationships/hyperlink" Target="https://www.google.com/search?q=site%3Aipg.pt%20Gest&#227;o%20e%20Sustentabilidade%20no%20Turismo%20mestrado" TargetMode="External"/><Relationship Id="rId1074" Type="http://schemas.openxmlformats.org/officeDocument/2006/relationships/hyperlink" Target="https://www.google.com/search?q=site%3Aipb.pt%20Inova&#231;&#227;o%20de%20Produtos%20e%20Processos%20%2890%20ECTS%29%20mestrado" TargetMode="External"/><Relationship Id="rId2472" Type="http://schemas.openxmlformats.org/officeDocument/2006/relationships/hyperlink" Target="https://www.google.com/search?q=site%3Aipca.pt%20Turismo%20Natureza%20e%20Aventura%20CTeSP" TargetMode="External"/><Relationship Id="rId3316" Type="http://schemas.openxmlformats.org/officeDocument/2006/relationships/hyperlink" Target="https://www.google.com/search?q=site%3Aucp.pt%20Governa&#231;&#227;o%2C%20Lideran&#231;a%20e%20Estudos%20sobre%20a%20Democracia%20%28MA%20in%20Governance%2C%20Leadership%20and%20Democracy%20Studies%29%20mestrado" TargetMode="External"/><Relationship Id="rId3523" Type="http://schemas.openxmlformats.org/officeDocument/2006/relationships/hyperlink" Target="https://www.google.com/search?q=site%3Aufp.pt%20Ci&#234;ncias%20da%20Comunica&#231;&#227;o%20mestrado" TargetMode="External"/><Relationship Id="rId3730" Type="http://schemas.openxmlformats.org/officeDocument/2006/relationships/hyperlink" Target="https://www.google.com/search?q=site%3Alusofona.pt%20Comunica&#231;&#227;o%2C%20Marketing%20e%20Media%20Digitais%20mestrado" TargetMode="External"/><Relationship Id="rId444" Type="http://schemas.openxmlformats.org/officeDocument/2006/relationships/hyperlink" Target="https://www.google.com/search?q=site%3Aiscte-iul.pt%20Tecnologias%20Digitais%20e%20Automa&#231;&#227;o%20licenciatura" TargetMode="External"/><Relationship Id="rId651" Type="http://schemas.openxmlformats.org/officeDocument/2006/relationships/hyperlink" Target="https://www.google.com/search?q=site%3Aistec.pt%20Engenharia%20Inform&#225;tica%20licenciatura" TargetMode="External"/><Relationship Id="rId1281" Type="http://schemas.openxmlformats.org/officeDocument/2006/relationships/hyperlink" Target="https://www.google.com/search?q=site%3Aipc.pt%20Solicitadoria%20e%20Administra&#231;&#227;o%20licenciatura" TargetMode="External"/><Relationship Id="rId2125" Type="http://schemas.openxmlformats.org/officeDocument/2006/relationships/hyperlink" Target="https://www.google.com/search?q=site%3Aipt.pt%20Tecnologias%20da%20Produ&#231;&#227;o%20e%20Comunica&#231;&#227;o%20Art&#237;sticas%20licenciatura" TargetMode="External"/><Relationship Id="rId2332" Type="http://schemas.openxmlformats.org/officeDocument/2006/relationships/hyperlink" Target="https://www.google.com/search?q=site%3Aipv.pt%20Tecnologias%20e%20Programa&#231;&#227;o%20de%20Sistemas%20de%20Informa&#231;&#227;o%20CTeSP" TargetMode="External"/><Relationship Id="rId5488" Type="http://schemas.openxmlformats.org/officeDocument/2006/relationships/hyperlink" Target="https://www.google.com/search?q=site%3Aup.pt%20Bioengenharia%20mestrado" TargetMode="External"/><Relationship Id="rId5695" Type="http://schemas.openxmlformats.org/officeDocument/2006/relationships/hyperlink" Target="https://www.google.com/search?q=site%3Auac.pt%20Economia%20licenciatura" TargetMode="External"/><Relationship Id="rId304" Type="http://schemas.openxmlformats.org/officeDocument/2006/relationships/hyperlink" Target="https://www.google.com/search?q=site%3Aesscvp.eu%20Enfermagem%20M&#233;dico-Cir&#250;rgica%20mestrado" TargetMode="External"/><Relationship Id="rId511" Type="http://schemas.openxmlformats.org/officeDocument/2006/relationships/hyperlink" Target="https://www.google.com/search?q=site%3Aisec.pt%20Com&#233;rcio%20Eletr&#243;nico%20mestrado" TargetMode="External"/><Relationship Id="rId1141" Type="http://schemas.openxmlformats.org/officeDocument/2006/relationships/hyperlink" Target="https://www.google.com/search?q=site%3Aipcb.pt%20Enfermagem%20Veterin&#225;ria%20licenciatura" TargetMode="External"/><Relationship Id="rId4297" Type="http://schemas.openxmlformats.org/officeDocument/2006/relationships/hyperlink" Target="https://www.google.com/search?q=site%3Auc.pt%20Engenharia%20Mec&#226;nica%20licenciatura" TargetMode="External"/><Relationship Id="rId5348" Type="http://schemas.openxmlformats.org/officeDocument/2006/relationships/hyperlink" Target="https://www.google.com/search?q=site%3Aualg.pt%20Engenharia%20Mec&#226;nica%20-%20Energia%2C%20Climatiza&#231;&#227;o%20e%20Refrigera&#231;&#227;o%20mestrado" TargetMode="External"/><Relationship Id="rId5555" Type="http://schemas.openxmlformats.org/officeDocument/2006/relationships/hyperlink" Target="https://www.google.com/search?q=site%3Aup.pt%20Engenharia%20de%20Servi&#231;os%20e%20Gest&#227;o%20mestrado" TargetMode="External"/><Relationship Id="rId5762" Type="http://schemas.openxmlformats.org/officeDocument/2006/relationships/hyperlink" Target="https://www.google.com/search?q=site%3Auac.pt%20P&#243;s&#8209;Gradua&#231;&#227;o%20Bem&#8209;Estar%20Animal%20%28segunda%20p&#225;gina%20de%20divulga&#231;&#227;o%29%20p&#243;s-gradua&#231;&#227;o" TargetMode="External"/><Relationship Id="rId1001" Type="http://schemas.openxmlformats.org/officeDocument/2006/relationships/hyperlink" Target="https://www.google.com/search?q=site%3Aipb.pt%20Educa&#231;&#227;o%20B&#225;sica%20licenciatura" TargetMode="External"/><Relationship Id="rId4157" Type="http://schemas.openxmlformats.org/officeDocument/2006/relationships/hyperlink" Target="https://www.google.com/search?q=site%3Auma.pt%20Estudos%20Portugueses%20p&#243;s-gradua&#231;&#227;o" TargetMode="External"/><Relationship Id="rId4364" Type="http://schemas.openxmlformats.org/officeDocument/2006/relationships/hyperlink" Target="https://www.google.com/search?q=site%3Auc.pt%20Design%20e%20Multim&#233;dia%20mestrado" TargetMode="External"/><Relationship Id="rId4571" Type="http://schemas.openxmlformats.org/officeDocument/2006/relationships/hyperlink" Target="https://www.google.com/search?q=site%3Aulisboa.pt%20Ergonomia%20licenciatura" TargetMode="External"/><Relationship Id="rId5208" Type="http://schemas.openxmlformats.org/officeDocument/2006/relationships/hyperlink" Target="https://www.google.com/search?q=site%3Auevora.pt%20Psicomotricidade%20mestrado" TargetMode="External"/><Relationship Id="rId5415" Type="http://schemas.openxmlformats.org/officeDocument/2006/relationships/hyperlink" Target="https://www.google.com/search?q=site%3Aup.pt%20Bioengenharia%20licenciatura" TargetMode="External"/><Relationship Id="rId5622" Type="http://schemas.openxmlformats.org/officeDocument/2006/relationships/hyperlink" Target="https://www.google.com/search?q=site%3Aup.pt%20Metabolismo%20-%20Biopatologia%20e%20Experimenta&#231;&#227;o%20mestrado" TargetMode="External"/><Relationship Id="rId1958" Type="http://schemas.openxmlformats.org/officeDocument/2006/relationships/hyperlink" Target="https://www.google.com/search?q=site%3Acespu.pt%20Per&#237;cias%20Forenses%20e%20Criminologia%20&#8211;%203.&#170;%20edi&#231;&#227;o%20p&#243;s-gradua&#231;&#227;o" TargetMode="External"/><Relationship Id="rId3173" Type="http://schemas.openxmlformats.org/officeDocument/2006/relationships/hyperlink" Target="https://www.google.com/search?q=site%3Auab.pt%20Estudos%20Portugueses%20Multidisciplinares%20mestrado" TargetMode="External"/><Relationship Id="rId3380" Type="http://schemas.openxmlformats.org/officeDocument/2006/relationships/hyperlink" Target="https://www.google.com/search?q=site%3Aeuropeia.pt%20Anima&#231;&#227;o%203D%20e%20Efeitos%20Visuais%20%28regime%20de%20ensino%20a%20dist&#226;ncia%29%20licenciatura" TargetMode="External"/><Relationship Id="rId4017" Type="http://schemas.openxmlformats.org/officeDocument/2006/relationships/hyperlink" Target="https://www.google.com/search?q=site%3Aunl.pt%20Uma%20Sa&#250;de%3A%20Sa&#250;de%20P&#250;blica%20Humana%20e%20Animal%20mestrado" TargetMode="External"/><Relationship Id="rId4224" Type="http://schemas.openxmlformats.org/officeDocument/2006/relationships/hyperlink" Target="https://www.google.com/search?q=site%3Aua.pt%20Tecnologia%20de%20Maquina&#231;&#227;o%20com%20Controlo%20Num&#233;rico%20Computorizado%20%28CNC%29%20CTeSP" TargetMode="External"/><Relationship Id="rId4431" Type="http://schemas.openxmlformats.org/officeDocument/2006/relationships/hyperlink" Target="https://www.google.com/search?q=site%3Auc.pt%20Gest&#227;o%20de%20Recursos%20Humanos%20e%20Comportamento%20Organizacional%20mestrado" TargetMode="External"/><Relationship Id="rId1818" Type="http://schemas.openxmlformats.org/officeDocument/2006/relationships/hyperlink" Target="https://www.google.com/search?q=site%3Aipportalegre.pt%20M&#233;dia%20e%20Sociedade%20mestrado" TargetMode="External"/><Relationship Id="rId3033" Type="http://schemas.openxmlformats.org/officeDocument/2006/relationships/hyperlink" Target="https://www.google.com/search?q=site%3Aiscia.pt%20Prote&#231;&#227;o%20Civil%20licenciatura" TargetMode="External"/><Relationship Id="rId3240" Type="http://schemas.openxmlformats.org/officeDocument/2006/relationships/hyperlink" Target="https://www.google.com/search?q=site%3Aucp.pt%20Estudos%20Portugueses%20licenciatura" TargetMode="External"/><Relationship Id="rId161" Type="http://schemas.openxmlformats.org/officeDocument/2006/relationships/hyperlink" Target="https://www.google.com/search?q=site%3Asjcluny.org%20Bio&#233;tica%20p&#243;s-gradua&#231;&#227;o" TargetMode="External"/><Relationship Id="rId2799" Type="http://schemas.openxmlformats.org/officeDocument/2006/relationships/hyperlink" Target="https://www.google.com/search?q=site%3Aipp.pt%20Employer%20Branding%20p&#243;s-gradua&#231;&#227;o" TargetMode="External"/><Relationship Id="rId3100" Type="http://schemas.openxmlformats.org/officeDocument/2006/relationships/hyperlink" Target="https://www.google.com/search?q=site%3Acespu.pt%20Psicologia%20licenciatura" TargetMode="External"/><Relationship Id="rId978" Type="http://schemas.openxmlformats.org/officeDocument/2006/relationships/hyperlink" Target="https://www.google.com/search?q=site%3Aipb.pt%20Recursos%20Silvestres%20CTeSP" TargetMode="External"/><Relationship Id="rId2659" Type="http://schemas.openxmlformats.org/officeDocument/2006/relationships/hyperlink" Target="https://www.google.com/search?q=site%3Aipp.pt%20Gest&#227;o%20das%20Atividades%20Tur&#237;sticas%20licenciatura" TargetMode="External"/><Relationship Id="rId2866" Type="http://schemas.openxmlformats.org/officeDocument/2006/relationships/hyperlink" Target="https://www.google.com/search?q=site%3Aipam.pt%20P&#243;s&#8209;Gradua&#231;&#227;o%20em%20Social%20Media%20e%20Content%20Marketing%20p&#243;s-gradua&#231;&#227;o" TargetMode="External"/><Relationship Id="rId3917" Type="http://schemas.openxmlformats.org/officeDocument/2006/relationships/hyperlink" Target="https://www.google.com/search?q=site%3Aunl.pt%20Engenharia%20do%20Ambiente%20mestrado" TargetMode="External"/><Relationship Id="rId5065" Type="http://schemas.openxmlformats.org/officeDocument/2006/relationships/hyperlink" Target="https://www.google.com/search?q=site%3Autad.pt%20Arqueologia%20Pr&#233;-Hist&#243;rica%20e%20Arte%20Rupestre%20mestrado" TargetMode="External"/><Relationship Id="rId5272" Type="http://schemas.openxmlformats.org/officeDocument/2006/relationships/hyperlink" Target="https://www.google.com/search?q=site%3Aualg.pt%20Termalismo%20e%20Bem-Estar%20CTeSP" TargetMode="External"/><Relationship Id="rId838" Type="http://schemas.openxmlformats.org/officeDocument/2006/relationships/hyperlink" Target="https://www.google.com/search?q=site%3Aipluso.pt%20Gest&#227;o%20Empresarial%20licenciatura" TargetMode="External"/><Relationship Id="rId1468" Type="http://schemas.openxmlformats.org/officeDocument/2006/relationships/hyperlink" Target="https://www.google.com/search?q=site%3Aipleiria.pt%20Fisioterapia%20licenciatura" TargetMode="External"/><Relationship Id="rId1675" Type="http://schemas.openxmlformats.org/officeDocument/2006/relationships/hyperlink" Target="https://www.google.com/search?q=site%3Aipl.pt%20Educa&#231;&#227;o%20Social%20e%20Interven&#231;&#227;o%20Comunit&#225;ria%20mestrado" TargetMode="External"/><Relationship Id="rId1882" Type="http://schemas.openxmlformats.org/officeDocument/2006/relationships/hyperlink" Target="https://www.google.com/search?q=site%3Aipsantarem.pt%20Tecnologia%20e%20Gest&#227;o%20Agroindustrial%20licenciatura" TargetMode="External"/><Relationship Id="rId2519" Type="http://schemas.openxmlformats.org/officeDocument/2006/relationships/hyperlink" Target="https://www.google.com/search?q=site%3Aipca.pt%20Marketing%20mestrado" TargetMode="External"/><Relationship Id="rId2726" Type="http://schemas.openxmlformats.org/officeDocument/2006/relationships/hyperlink" Target="https://www.google.com/search?q=site%3Aipp.pt%20Engenharia%20Geot&#233;cnica%20e%20Geoambiente%20mestrado" TargetMode="External"/><Relationship Id="rId4081" Type="http://schemas.openxmlformats.org/officeDocument/2006/relationships/hyperlink" Target="https://www.google.com/search?q=site%3Aunl.pt%20Sistemas%20Estat&#237;sticos%20p&#243;s-gradua&#231;&#227;o" TargetMode="External"/><Relationship Id="rId5132" Type="http://schemas.openxmlformats.org/officeDocument/2006/relationships/hyperlink" Target="https://www.google.com/search?q=site%3Autad.pt%20Tecnologia%20Multim&#233;dia%20mestrado" TargetMode="External"/><Relationship Id="rId1328" Type="http://schemas.openxmlformats.org/officeDocument/2006/relationships/hyperlink" Target="https://www.google.com/search?q=site%3Aipc.pt%20Intelig&#234;ncia%20Log&#237;stica%20e%20Gest&#227;o%20da%20Cadeia%20de%20Abastecimento%20mestrado" TargetMode="External"/><Relationship Id="rId1535" Type="http://schemas.openxmlformats.org/officeDocument/2006/relationships/hyperlink" Target="https://www.google.com/search?q=site%3Aipleiria.pt%20Engenharia%20Civil%20-%20Constru&#231;&#245;es%20Civis%20mestrado" TargetMode="External"/><Relationship Id="rId2933" Type="http://schemas.openxmlformats.org/officeDocument/2006/relationships/hyperlink" Target="https://www.google.com/search?q=site%3Aispgaya.pt%20Gest&#227;o%20de%20PME%20CTeSP" TargetMode="External"/><Relationship Id="rId905" Type="http://schemas.openxmlformats.org/officeDocument/2006/relationships/hyperlink" Target="https://www.google.com/search?q=site%3Aipbeja.pt%20Gest&#227;o%20de%20Empresas%20licenciatura" TargetMode="External"/><Relationship Id="rId1742" Type="http://schemas.openxmlformats.org/officeDocument/2006/relationships/hyperlink" Target="https://www.google.com/search?q=site%3Aipl.pt%20P&#243;s-gradua&#231;&#227;o%20em%20Ind&#250;strias%20Criativas%3A%20Gest&#227;o%20e%20Tend&#234;ncias%20p&#243;s-gradua&#231;&#227;o" TargetMode="External"/><Relationship Id="rId4898" Type="http://schemas.openxmlformats.org/officeDocument/2006/relationships/hyperlink" Target="https://www.google.com/search?q=site%3Aulisboa.pt%20Cl&#237;nica%20de%20Ortodontia%20Pr&#233;-Cir&#250;rgica%20e%20Cirurgia%20Ortogn&#225;tica%20p&#243;s-gradua&#231;&#227;o" TargetMode="External"/><Relationship Id="rId34" Type="http://schemas.openxmlformats.org/officeDocument/2006/relationships/hyperlink" Target="https://www.google.com/search?q=site%3Aenautica.pt%20Rob&#243;tica%20e%20Intelig&#234;ncia%20Artificial%20CTeSP" TargetMode="External"/><Relationship Id="rId1602" Type="http://schemas.openxmlformats.org/officeDocument/2006/relationships/hyperlink" Target="https://www.google.com/search?q=site%3Aipleiria.pt%20Olivoturismo%20p&#243;s-gradua&#231;&#227;o" TargetMode="External"/><Relationship Id="rId4758" Type="http://schemas.openxmlformats.org/officeDocument/2006/relationships/hyperlink" Target="https://www.google.com/search?q=site%3Aulisboa.pt%20Geologia%20mestrado" TargetMode="External"/><Relationship Id="rId4965" Type="http://schemas.openxmlformats.org/officeDocument/2006/relationships/hyperlink" Target="https://www.google.com/search?q=site%3Aulisboa.pt%20Inf&#226;ncia%20Ativa%20Num%20Mundo%20Digital%20p&#243;s-gradua&#231;&#227;o" TargetMode="External"/><Relationship Id="rId3567" Type="http://schemas.openxmlformats.org/officeDocument/2006/relationships/hyperlink" Target="https://www.google.com/search?q=site%3Aufp.pt%20MBA%20em%20Log&#237;stica%20p&#243;s-gradua&#231;&#227;o%20executiva" TargetMode="External"/><Relationship Id="rId3774" Type="http://schemas.openxmlformats.org/officeDocument/2006/relationships/hyperlink" Target="https://www.google.com/search?q=site%3Alusofona.pt%20Gest&#227;o%20Desportiva%20p&#243;s-gradua&#231;&#227;o" TargetMode="External"/><Relationship Id="rId3981" Type="http://schemas.openxmlformats.org/officeDocument/2006/relationships/hyperlink" Target="https://www.google.com/search?q=site%3Aunl.pt%20Mitos%20Contempor&#226;neos%3A%20Literaturas%2C%20Artes%20e%20Culturas%20mestrado" TargetMode="External"/><Relationship Id="rId4618" Type="http://schemas.openxmlformats.org/officeDocument/2006/relationships/hyperlink" Target="https://www.google.com/search?q=site%3Aulisboa.pt%20Arquitetura%20Paisagista%20mestrado" TargetMode="External"/><Relationship Id="rId4825" Type="http://schemas.openxmlformats.org/officeDocument/2006/relationships/hyperlink" Target="https://www.google.com/search?q=site%3Aulisboa.pt%20Psicologia%20da%20Educa&#231;&#227;o%20e%20Aconselhamento%20mestrado" TargetMode="External"/><Relationship Id="rId488" Type="http://schemas.openxmlformats.org/officeDocument/2006/relationships/hyperlink" Target="https://www.google.com/search?q=site%3Aisec.pt%20Manuten&#231;&#227;o%20Eletromec&#226;nica%20CTeSP" TargetMode="External"/><Relationship Id="rId695" Type="http://schemas.openxmlformats.org/officeDocument/2006/relationships/hyperlink" Target="https://www.google.com/search?q=site%3Aiees.pt%20Interven&#231;&#227;o%20Sociopedag&#243;gica%20mestrado" TargetMode="External"/><Relationship Id="rId2169" Type="http://schemas.openxmlformats.org/officeDocument/2006/relationships/hyperlink" Target="https://www.google.com/search?q=site%3Aipvc.pt%20Gest&#227;o%20Hoteleira%20CTeSP" TargetMode="External"/><Relationship Id="rId2376" Type="http://schemas.openxmlformats.org/officeDocument/2006/relationships/hyperlink" Target="https://www.google.com/search?q=site%3Aipv.pt%20Desporto%20&#8211;%20especializa&#231;&#227;o%20em%20Treino%20Desportivo%20mestrado" TargetMode="External"/><Relationship Id="rId2583" Type="http://schemas.openxmlformats.org/officeDocument/2006/relationships/hyperlink" Target="https://www.google.com/search?q=site%3Aipp.pt%20Gest&#227;o%20da%20Comercializa&#231;&#227;o%20de%20Produtos%20de%20Ourivesaria%20CTeSP" TargetMode="External"/><Relationship Id="rId2790" Type="http://schemas.openxmlformats.org/officeDocument/2006/relationships/hyperlink" Target="https://www.google.com/search?q=site%3Aipp.pt%20Contabilidade%20P&#250;blica%20e%20Accountability%20p&#243;s-gradua&#231;&#227;o" TargetMode="External"/><Relationship Id="rId3427" Type="http://schemas.openxmlformats.org/officeDocument/2006/relationships/hyperlink" Target="https://www.google.com/search?q=site%3Aeuropeia.pt%20Anima&#231;&#227;o%20de%20Volumes%20mestrado" TargetMode="External"/><Relationship Id="rId3634" Type="http://schemas.openxmlformats.org/officeDocument/2006/relationships/hyperlink" Target="https://www.google.com/search?q=site%3Aulusiada.pt%20Gest&#227;o%20e%20marketing%20desportivo%20p&#243;s-gradua&#231;&#227;o" TargetMode="External"/><Relationship Id="rId3841" Type="http://schemas.openxmlformats.org/officeDocument/2006/relationships/hyperlink" Target="https://www.google.com/search?q=site%3Aunl.pt%20Gest&#227;o%20de%20Informa&#231;&#227;o%20licenciatura" TargetMode="External"/><Relationship Id="rId348" Type="http://schemas.openxmlformats.org/officeDocument/2006/relationships/hyperlink" Target="https://www.google.com/search?q=site%3Asantamaria.pt%20Secretariado%20Cl&#237;nico%20CTeSP" TargetMode="External"/><Relationship Id="rId555" Type="http://schemas.openxmlformats.org/officeDocument/2006/relationships/hyperlink" Target="https://www.google.com/search?q=site%3Aiseclisboa.pt%20Engenharia%20de%20Seguran&#231;a%20do%20Trabalho%20licenciatura" TargetMode="External"/><Relationship Id="rId762" Type="http://schemas.openxmlformats.org/officeDocument/2006/relationships/hyperlink" Target="https://www.google.com/search?q=site%3Aipg.pt%20Engenharia%20Civil%20licenciatura" TargetMode="External"/><Relationship Id="rId1185" Type="http://schemas.openxmlformats.org/officeDocument/2006/relationships/hyperlink" Target="https://www.google.com/search?q=site%3Aipcb.pt%20M&#250;sica%20mestrado" TargetMode="External"/><Relationship Id="rId1392" Type="http://schemas.openxmlformats.org/officeDocument/2006/relationships/hyperlink" Target="https://www.google.com/search?q=site%3Aipleiria.pt%20Eletr&#243;nica%20e%20Redes%20de%20Telecomunica&#231;&#245;es%20CTeSP" TargetMode="External"/><Relationship Id="rId2029" Type="http://schemas.openxmlformats.org/officeDocument/2006/relationships/hyperlink" Target="https://www.google.com/search?q=site%3Aips.pt%20Conserva&#231;&#227;o%20e%20Reabilita&#231;&#227;o%20do%20Edificado%20mestrado" TargetMode="External"/><Relationship Id="rId2236" Type="http://schemas.openxmlformats.org/officeDocument/2006/relationships/hyperlink" Target="https://www.google.com/search?q=site%3Aipvc.pt%20Agricultura%20Biol&#243;gica%20mestrado" TargetMode="External"/><Relationship Id="rId2443" Type="http://schemas.openxmlformats.org/officeDocument/2006/relationships/hyperlink" Target="https://www.google.com/search?q=site%3Aipca.pt%20Ilustra&#231;&#227;o%20e%20Arte%20Gr&#225;fica%20CTeSP" TargetMode="External"/><Relationship Id="rId2650" Type="http://schemas.openxmlformats.org/officeDocument/2006/relationships/hyperlink" Target="https://www.google.com/search?q=site%3Aipp.pt%20Farm&#225;cia%20licenciatura" TargetMode="External"/><Relationship Id="rId3701" Type="http://schemas.openxmlformats.org/officeDocument/2006/relationships/hyperlink" Target="https://www.google.com/search?q=site%3Alusofona.pt%20Inform&#225;tica%20de%20Gest&#227;o%20licenciatura" TargetMode="External"/><Relationship Id="rId5599" Type="http://schemas.openxmlformats.org/officeDocument/2006/relationships/hyperlink" Target="https://www.google.com/search?q=site%3Aup.pt%20Gest&#227;o%20Desportiva%20mestrado" TargetMode="External"/><Relationship Id="rId208" Type="http://schemas.openxmlformats.org/officeDocument/2006/relationships/hyperlink" Target="https://www.google.com/search?q=site%3Aesscvp.eu%20Enfermagem%20licenciatura" TargetMode="External"/><Relationship Id="rId415" Type="http://schemas.openxmlformats.org/officeDocument/2006/relationships/hyperlink" Target="https://www.google.com/search?q=site%3Aisce.pt%20Educa&#231;&#227;o%20ao%20Ar%20Livre%20%28100%25%20online%29%20p&#243;s-gradua&#231;&#227;o" TargetMode="External"/><Relationship Id="rId622" Type="http://schemas.openxmlformats.org/officeDocument/2006/relationships/hyperlink" Target="https://www.google.com/search?q=site%3Aispa.pt%20Educa&#231;&#227;o%20B&#225;sica%20licenciatura" TargetMode="External"/><Relationship Id="rId1045" Type="http://schemas.openxmlformats.org/officeDocument/2006/relationships/hyperlink" Target="https://www.google.com/search?q=site%3Aipb.pt%20Educa&#231;&#227;o%20Pr&#233;-Escolar%20e%20Ensino%20do%201.&#186;%20Ciclo%20do%20Ensino%20B&#225;sico%20mestrado" TargetMode="External"/><Relationship Id="rId1252" Type="http://schemas.openxmlformats.org/officeDocument/2006/relationships/hyperlink" Target="https://www.google.com/search?q=site%3Aipc.pt%20Com&#233;rcio%20e%20Rela&#231;&#245;es%20Econ&#243;micas%20Internacionais%20licenciatura" TargetMode="External"/><Relationship Id="rId2303" Type="http://schemas.openxmlformats.org/officeDocument/2006/relationships/hyperlink" Target="https://www.google.com/search?q=site%3Aipv.pt%20Contabilidade%20e%20Fiscalidade%20para%20PME%20CTeSP" TargetMode="External"/><Relationship Id="rId2510" Type="http://schemas.openxmlformats.org/officeDocument/2006/relationships/hyperlink" Target="https://www.google.com/search?q=site%3Aipca.pt%20Gest&#227;o%20das%20Opera&#231;&#245;es%20mestrado" TargetMode="External"/><Relationship Id="rId5459" Type="http://schemas.openxmlformats.org/officeDocument/2006/relationships/hyperlink" Target="https://www.google.com/search?q=site%3Aup.pt%20Literatura%20e%20Estudos%20Interartes%20licenciatura" TargetMode="External"/><Relationship Id="rId5666" Type="http://schemas.openxmlformats.org/officeDocument/2006/relationships/hyperlink" Target="https://www.google.com/search?q=site%3Aup.pt%20Vis&#227;o%20por%20Computador%20mestrado" TargetMode="External"/><Relationship Id="rId1112" Type="http://schemas.openxmlformats.org/officeDocument/2006/relationships/hyperlink" Target="https://www.google.com/search?q=site%3Aipcb.pt%20Cuidados%20Veterin&#225;rios%20CTeSP" TargetMode="External"/><Relationship Id="rId4268" Type="http://schemas.openxmlformats.org/officeDocument/2006/relationships/hyperlink" Target="https://www.google.com/search?q=site%3Aua.pt%20Produto%20e%20Tecnologia%20Digital%20mestrado" TargetMode="External"/><Relationship Id="rId4475" Type="http://schemas.openxmlformats.org/officeDocument/2006/relationships/hyperlink" Target="https://www.google.com/search?q=site%3Auc.pt%20Recursos%20Biol&#243;gicos%2C%20Valoriza&#231;&#227;o%20do%20Territ&#243;rio%20e%20Sustentabilidade%20mestrado" TargetMode="External"/><Relationship Id="rId5319" Type="http://schemas.openxmlformats.org/officeDocument/2006/relationships/hyperlink" Target="https://www.google.com/search?q=site%3Aualg.pt%20Turismo%20licenciatura" TargetMode="External"/><Relationship Id="rId3077" Type="http://schemas.openxmlformats.org/officeDocument/2006/relationships/hyperlink" Target="https://www.google.com/search?q=site%3Aisg.pt%20P&#243;s&#8209;Gradua&#231;&#227;o%20em%20Gest&#227;o%20p&#243;s-gradua&#231;&#227;o" TargetMode="External"/><Relationship Id="rId3284" Type="http://schemas.openxmlformats.org/officeDocument/2006/relationships/hyperlink" Target="https://www.google.com/search?q=site%3Aucp.pt%20Economia%20&#8211;%20Mestrado%20Internacional%20mestrado" TargetMode="External"/><Relationship Id="rId4128" Type="http://schemas.openxmlformats.org/officeDocument/2006/relationships/hyperlink" Target="https://www.google.com/search?q=site%3Aubi.pt%20Computa&#231;&#227;o%20Criativa%20e%20Realidade%20Virtual%20licenciatura" TargetMode="External"/><Relationship Id="rId4682" Type="http://schemas.openxmlformats.org/officeDocument/2006/relationships/hyperlink" Target="https://www.google.com/search?q=site%3Aulisboa.pt%20Economia%20Internacional%20e%20Estudos%20Europeus%20mestrado" TargetMode="External"/><Relationship Id="rId5526" Type="http://schemas.openxmlformats.org/officeDocument/2006/relationships/hyperlink" Target="https://www.google.com/search?q=site%3Aup.pt%20Direito%20mestrado" TargetMode="External"/><Relationship Id="rId5733" Type="http://schemas.openxmlformats.org/officeDocument/2006/relationships/hyperlink" Target="https://www.google.com/search?q=site%3Auac.pt%20Filosofia%20para%20Crian&#231;as%20mestrado" TargetMode="External"/><Relationship Id="rId1929" Type="http://schemas.openxmlformats.org/officeDocument/2006/relationships/hyperlink" Target="https://www.google.com/search?q=site%3Acespu.pt%20Fisioterapia%20licenciatura" TargetMode="External"/><Relationship Id="rId2093" Type="http://schemas.openxmlformats.org/officeDocument/2006/relationships/hyperlink" Target="https://www.google.com/search?q=site%3Aipt.pt%20Marketing%20Digital%20CTeSP" TargetMode="External"/><Relationship Id="rId3491" Type="http://schemas.openxmlformats.org/officeDocument/2006/relationships/hyperlink" Target="https://www.google.com/search?q=site%3Aeuropeia.pt%20P&#243;s&#8209;Gradua&#231;&#227;o%20em%20Gest&#227;o%20de%20Projetos%20p&#243;s-gradua&#231;&#227;o" TargetMode="External"/><Relationship Id="rId4335" Type="http://schemas.openxmlformats.org/officeDocument/2006/relationships/hyperlink" Target="https://www.google.com/search?q=site%3Auc.pt%20Antropologia%2C%20Globaliza&#231;&#227;o%20e%20Altera&#231;&#245;es%20Clim&#225;ticas%20mestrado" TargetMode="External"/><Relationship Id="rId4542" Type="http://schemas.openxmlformats.org/officeDocument/2006/relationships/hyperlink" Target="https://www.google.com/search?q=site%3Aulisboa.pt%20Engenharia%20Aeroespacial%20licenciatura" TargetMode="External"/><Relationship Id="rId5800" Type="http://schemas.openxmlformats.org/officeDocument/2006/relationships/hyperlink" Target="https://www.google.com/search?q=site%3Aium.pt%20Ci&#234;ncias%20Militares%20Aeron&#225;uticas%2C%20especialidade%20de%20Piloto%20Aviador%20licenciatura" TargetMode="External"/><Relationship Id="rId3144" Type="http://schemas.openxmlformats.org/officeDocument/2006/relationships/hyperlink" Target="https://www.google.com/search?q=site%3Acespu.pt%20Resson&#226;ncia%20Magn&#233;tica%20e%20Tomografia%20Computorizada%20&#8211;%2015.&#170;%20edi&#231;&#227;o%20p&#243;s-gradua&#231;&#227;o" TargetMode="External"/><Relationship Id="rId3351" Type="http://schemas.openxmlformats.org/officeDocument/2006/relationships/hyperlink" Target="https://www.google.com/search?q=site%3Aucp.pt%20Enfermagem%20de%20Sa&#250;de%20Comunit&#225;ria%20e%20de%20Sa&#250;de%20P&#250;blica%20p&#243;s-gradua&#231;&#227;o" TargetMode="External"/><Relationship Id="rId4402" Type="http://schemas.openxmlformats.org/officeDocument/2006/relationships/hyperlink" Target="https://www.google.com/search?q=site%3Auc.pt%20Ensino%20de%20Portugu&#234;s%20no%203&#186;%20ciclo%20do%20Ensino%20B&#225;sico%20e%20no%20Ensino%20Secund&#225;rio%20mestrado" TargetMode="External"/><Relationship Id="rId272" Type="http://schemas.openxmlformats.org/officeDocument/2006/relationships/hyperlink" Target="https://www.google.com/search?q=site%3Aesscvp.eu%20Enfermagem%20de%20Reabilita&#231;&#227;o%20mestrado" TargetMode="External"/><Relationship Id="rId2160" Type="http://schemas.openxmlformats.org/officeDocument/2006/relationships/hyperlink" Target="https://www.google.com/search?q=site%3Aipvc.pt%20Artes%20e%20Tecnologia%20CTeSP" TargetMode="External"/><Relationship Id="rId3004" Type="http://schemas.openxmlformats.org/officeDocument/2006/relationships/hyperlink" Target="https://www.google.com/search?q=site%3Aiscet.pt%20Itiner&#225;rios%20Tur&#237;sticos%20e%20Promo&#231;&#227;o%20do%20Patrim&#243;nio%20CTeSP" TargetMode="External"/><Relationship Id="rId3211" Type="http://schemas.openxmlformats.org/officeDocument/2006/relationships/hyperlink" Target="https://www.google.com/search?q=site%3Aautonoma.pt%20Psicologia%20Cl&#237;nica%20e%20de%20Aconselhamento%20mestrado" TargetMode="External"/><Relationship Id="rId132" Type="http://schemas.openxmlformats.org/officeDocument/2006/relationships/hyperlink" Target="https://www.google.com/search?q=site%3Aesesfm.pt%20Enfermagem%20de%20Neonatologia%20p&#243;s-gradua&#231;&#227;o" TargetMode="External"/><Relationship Id="rId2020" Type="http://schemas.openxmlformats.org/officeDocument/2006/relationships/hyperlink" Target="https://www.google.com/search?q=site%3Aips.pt%20Tecnologia%20e%20Gest&#227;o%20Industrial%20%28regime%20noturno%29%20licenciatura" TargetMode="External"/><Relationship Id="rId5176" Type="http://schemas.openxmlformats.org/officeDocument/2006/relationships/hyperlink" Target="https://www.google.com/search?q=site%3Auevora.pt%20Biologia%20da%20Conserva&#231;&#227;o%20mestrado" TargetMode="External"/><Relationship Id="rId5383" Type="http://schemas.openxmlformats.org/officeDocument/2006/relationships/hyperlink" Target="https://www.google.com/search?q=site%3Aualg.pt%20Psicologia%20da%20Educa&#231;&#227;o%2C%20Desenvolvimento%20e%20Aconselhamento%20mestrado" TargetMode="External"/><Relationship Id="rId5590" Type="http://schemas.openxmlformats.org/officeDocument/2006/relationships/hyperlink" Target="https://www.google.com/search?q=site%3Aup.pt%20Finan&#231;as%20-%20Executivo%20mestrado" TargetMode="External"/><Relationship Id="rId1579" Type="http://schemas.openxmlformats.org/officeDocument/2006/relationships/hyperlink" Target="https://www.google.com/search?q=site%3Aipleiria.pt%20Desporto%20e%20Atividade%20F&#237;sica%20Adaptados%20p&#243;s-gradua&#231;&#227;o" TargetMode="External"/><Relationship Id="rId2977" Type="http://schemas.openxmlformats.org/officeDocument/2006/relationships/hyperlink" Target="https://www.google.com/search?q=site%3Aisced.pt%20Tecnologias%20Multim&#233;dia%20licenciatura" TargetMode="External"/><Relationship Id="rId4192" Type="http://schemas.openxmlformats.org/officeDocument/2006/relationships/hyperlink" Target="https://www.google.com/search?q=site%3Aismai.pt%20Turismo%2C%20Patrim&#243;nio%20e%20Desenvolvimento%20mestrado" TargetMode="External"/><Relationship Id="rId5036" Type="http://schemas.openxmlformats.org/officeDocument/2006/relationships/hyperlink" Target="https://www.google.com/search?q=site%3Autad.pt%20Engenharia%20Agron&#243;mica%20licenciatura" TargetMode="External"/><Relationship Id="rId5243" Type="http://schemas.openxmlformats.org/officeDocument/2006/relationships/hyperlink" Target="https://www.google.com/search?q=site%3Auevora.pt%20Tecnologia%20Aeron&#225;utica%20%5BCA%5D%20p&#243;s-gradua&#231;&#227;o" TargetMode="External"/><Relationship Id="rId5450" Type="http://schemas.openxmlformats.org/officeDocument/2006/relationships/hyperlink" Target="https://www.google.com/search?q=site%3Aup.pt%20Estudos%20Portugueses%20licenciatura" TargetMode="External"/><Relationship Id="rId949" Type="http://schemas.openxmlformats.org/officeDocument/2006/relationships/hyperlink" Target="https://www.google.com/search?q=site%3Aipb.pt%20Contabilidade%20CTeSP" TargetMode="External"/><Relationship Id="rId1786" Type="http://schemas.openxmlformats.org/officeDocument/2006/relationships/hyperlink" Target="https://www.google.com/search?q=site%3Aipportalegre.pt%20Enfermagem%20licenciatura" TargetMode="External"/><Relationship Id="rId1993" Type="http://schemas.openxmlformats.org/officeDocument/2006/relationships/hyperlink" Target="https://www.google.com/search?q=site%3Aips.pt%20Tecnologias%20Avan&#231;adas%20de%20Constru&#231;&#227;o%20CTeSP" TargetMode="External"/><Relationship Id="rId2837" Type="http://schemas.openxmlformats.org/officeDocument/2006/relationships/hyperlink" Target="https://www.google.com/search?q=site%3Aipp.pt%20Turismo%20Liter&#225;rio%20p&#243;s-gradua&#231;&#227;o" TargetMode="External"/><Relationship Id="rId4052" Type="http://schemas.openxmlformats.org/officeDocument/2006/relationships/hyperlink" Target="https://www.google.com/search?q=site%3Aunl.pt%20Direito%20dos%20Estrangeiros%20e%20da%20Nacionalidade%20p&#243;s-gradua&#231;&#227;o" TargetMode="External"/><Relationship Id="rId5103" Type="http://schemas.openxmlformats.org/officeDocument/2006/relationships/hyperlink" Target="https://www.google.com/search?q=site%3Autad.pt%20Engenharia%20e%20Ci&#234;ncia%20de%20Dados%20mestrado" TargetMode="External"/><Relationship Id="rId78" Type="http://schemas.openxmlformats.org/officeDocument/2006/relationships/hyperlink" Target="https://www.google.com/search?q=site%3Aesad.pt%20Design%20%28especializa&#231;&#245;es%3A%20Design%20de%20Comunica&#231;&#227;o%2C%20Design%20de%20Interiores%2C%20Design%20de%20Produto%29%20mestrado" TargetMode="External"/><Relationship Id="rId809" Type="http://schemas.openxmlformats.org/officeDocument/2006/relationships/hyperlink" Target="https://www.google.com/search?q=site%3Aipluso.pt%20Automa&#231;&#227;o%20e%20Rob&#243;tica%20CTeSP" TargetMode="External"/><Relationship Id="rId1439" Type="http://schemas.openxmlformats.org/officeDocument/2006/relationships/hyperlink" Target="https://www.google.com/search?q=site%3Aipleiria.pt%20Venda%20e%20Negocia&#231;&#227;o%20Comercial%20CTeSP" TargetMode="External"/><Relationship Id="rId1646" Type="http://schemas.openxmlformats.org/officeDocument/2006/relationships/hyperlink" Target="https://www.google.com/search?q=site%3Aipl.pt%20Matem&#225;tica%20Aplicada%20&#224;%20Tecnologia%20e%20&#224;%20Empresa%20licenciatura" TargetMode="External"/><Relationship Id="rId1853" Type="http://schemas.openxmlformats.org/officeDocument/2006/relationships/hyperlink" Target="https://www.google.com/search?q=site%3Aipsantarem.pt%20Tecnologia%20no%20Desporto%20CTeSP" TargetMode="External"/><Relationship Id="rId2904" Type="http://schemas.openxmlformats.org/officeDocument/2006/relationships/hyperlink" Target="https://www.google.com/search?q=site%3Aismat.pt%20Biodesign%20mestrado" TargetMode="External"/><Relationship Id="rId5310" Type="http://schemas.openxmlformats.org/officeDocument/2006/relationships/hyperlink" Target="https://www.google.com/search?q=site%3Aualg.pt%20L&#237;nguas%2C%20Literaturas%20e%20Culturas%20licenciatura" TargetMode="External"/><Relationship Id="rId1506" Type="http://schemas.openxmlformats.org/officeDocument/2006/relationships/hyperlink" Target="https://www.google.com/search?q=site%3Aipleiria.pt%20Ci&#234;ncias%20do%20Envelhecimento%20mestrado" TargetMode="External"/><Relationship Id="rId1713" Type="http://schemas.openxmlformats.org/officeDocument/2006/relationships/hyperlink" Target="https://www.google.com/search?q=site%3Aipl.pt%20Tecnologias%20de%20F&#237;sica%20M&#233;dica%20mestrado" TargetMode="External"/><Relationship Id="rId1920" Type="http://schemas.openxmlformats.org/officeDocument/2006/relationships/hyperlink" Target="https://www.google.com/search?q=site%3Acespu.pt%20Gest&#227;o%20Operacional%20Hospitalar%20CTeSP" TargetMode="External"/><Relationship Id="rId4869" Type="http://schemas.openxmlformats.org/officeDocument/2006/relationships/hyperlink" Target="https://www.google.com/search?q=site%3Aulisboa.pt%20Engenharia%20Eletrot&#233;cnica%20e%20de%20Computadores%20mestrado%20integrado" TargetMode="External"/><Relationship Id="rId3678" Type="http://schemas.openxmlformats.org/officeDocument/2006/relationships/hyperlink" Target="https://www.google.com/search?q=site%3Alusofona.pt%20Educa&#231;&#227;o%20F&#237;sica%20e%20Desporto%20licenciatura" TargetMode="External"/><Relationship Id="rId3885" Type="http://schemas.openxmlformats.org/officeDocument/2006/relationships/hyperlink" Target="https://www.google.com/search?q=site%3Aunl.pt%20Desenvolvimento%20Internacional%20e%20Pol&#237;ticas%20P&#250;blicas%20mestrado" TargetMode="External"/><Relationship Id="rId4729" Type="http://schemas.openxmlformats.org/officeDocument/2006/relationships/hyperlink" Target="https://www.google.com/search?q=site%3Aulisboa.pt%20Ensino%20de%20Filosofia%20no%20Ensino%20Secund&#225;rio%20mestrado" TargetMode="External"/><Relationship Id="rId4936" Type="http://schemas.openxmlformats.org/officeDocument/2006/relationships/hyperlink" Target="https://www.google.com/search?q=site%3Aulisboa.pt%20Digital%20Experience%20Design%20p&#243;s-gradua&#231;&#227;o" TargetMode="External"/><Relationship Id="rId599" Type="http://schemas.openxmlformats.org/officeDocument/2006/relationships/hyperlink" Target="https://www.google.com/search?q=site%3Aisla.pt%20Gest&#227;o%20mestrado" TargetMode="External"/><Relationship Id="rId2487" Type="http://schemas.openxmlformats.org/officeDocument/2006/relationships/hyperlink" Target="https://www.google.com/search?q=site%3Aipca.pt%20Fiscalidade%20licenciatura" TargetMode="External"/><Relationship Id="rId2694" Type="http://schemas.openxmlformats.org/officeDocument/2006/relationships/hyperlink" Target="https://www.google.com/search?q=site%3Aipp.pt%20Ambientes%20Tecnol&#243;gicos%20para%20a%20Educa&#231;&#227;o%20em%20Matem&#225;tica%20e%20Ci&#234;ncias%20mestrado" TargetMode="External"/><Relationship Id="rId3538" Type="http://schemas.openxmlformats.org/officeDocument/2006/relationships/hyperlink" Target="https://www.google.com/search?q=site%3Aufp.pt%20Ci&#234;ncia%20de%20Dados%20nas%20Organiza&#231;&#245;es%20%28UAb/UFP%29%20p&#243;s-gradua&#231;&#227;o" TargetMode="External"/><Relationship Id="rId3745" Type="http://schemas.openxmlformats.org/officeDocument/2006/relationships/hyperlink" Target="https://www.google.com/search?q=site%3Alusofona.pt%20Media%20e%20Cidadania%20Digital%20mestrado" TargetMode="External"/><Relationship Id="rId459" Type="http://schemas.openxmlformats.org/officeDocument/2006/relationships/hyperlink" Target="https://www.google.com/search?q=site%3Aiscte-iul.pt%20Dire&#231;&#227;o%20Interm&#233;dia%20na%20Administra&#231;&#227;o%20P&#250;blica%20p&#243;s-gradua&#231;&#227;o" TargetMode="External"/><Relationship Id="rId666" Type="http://schemas.openxmlformats.org/officeDocument/2006/relationships/hyperlink" Target="https://www.google.com/search?q=site%3Aiees.pt%20Com&#233;rcio%20Internacional%20CTeSP" TargetMode="External"/><Relationship Id="rId873" Type="http://schemas.openxmlformats.org/officeDocument/2006/relationships/hyperlink" Target="https://www.google.com/search?q=site%3Aipbeja.pt%20Agropecu&#225;ria%20Mediterr&#226;nica%20CTeSP" TargetMode="External"/><Relationship Id="rId1089" Type="http://schemas.openxmlformats.org/officeDocument/2006/relationships/hyperlink" Target="https://www.google.com/search?q=site%3Aipb.pt%20Cuidados%20Paliativos%20p&#243;s-gradua&#231;&#227;o" TargetMode="External"/><Relationship Id="rId1296" Type="http://schemas.openxmlformats.org/officeDocument/2006/relationships/hyperlink" Target="https://www.google.com/search?q=site%3Aipc.pt%20Comunica&#231;&#227;o%20Organizacional%20&#8211;%20&#225;rea%20de%20especializa&#231;&#227;o%20em%20Cidadania%2C%20Confian&#231;a%20e%20Responsabilidade%20Social%20mestrado" TargetMode="External"/><Relationship Id="rId2347" Type="http://schemas.openxmlformats.org/officeDocument/2006/relationships/hyperlink" Target="https://www.google.com/search?q=site%3Aipv.pt%20Enfermagem%20Veterin&#225;ria%20licenciatura" TargetMode="External"/><Relationship Id="rId2554" Type="http://schemas.openxmlformats.org/officeDocument/2006/relationships/hyperlink" Target="https://www.google.com/search?q=site%3Aipca.pt%20Processo%20Civil%20&#8211;%20Procedimentos%20e%20A&#231;&#245;es%20Especiais%20p&#243;s-gradua&#231;&#227;o" TargetMode="External"/><Relationship Id="rId3952" Type="http://schemas.openxmlformats.org/officeDocument/2006/relationships/hyperlink" Target="https://www.google.com/search?q=site%3Aunl.pt%20Gest&#227;o%20de%20Ci&#234;ncia%20e%20Inova&#231;&#227;o%20em%20Sa&#250;de%20mestrado" TargetMode="External"/><Relationship Id="rId319" Type="http://schemas.openxmlformats.org/officeDocument/2006/relationships/hyperlink" Target="https://www.google.com/search?q=site%3Aesscvp.eu%20Gest&#227;o%20de%20Sa&#250;de%20p&#243;s-gradua&#231;&#227;o" TargetMode="External"/><Relationship Id="rId526" Type="http://schemas.openxmlformats.org/officeDocument/2006/relationships/hyperlink" Target="https://www.google.com/search?q=site%3Aiseclisboa.pt%20Apoio%20&#224;%20Inf&#226;ncia%20CTeSP" TargetMode="External"/><Relationship Id="rId1156" Type="http://schemas.openxmlformats.org/officeDocument/2006/relationships/hyperlink" Target="https://www.google.com/search?q=site%3Aipcb.pt%20M&#250;sica%2C%20variante%20de%20Instrumento%20licenciatura" TargetMode="External"/><Relationship Id="rId1363" Type="http://schemas.openxmlformats.org/officeDocument/2006/relationships/hyperlink" Target="https://www.google.com/search?q=site%3Aipc.pt%20Integra&#231;&#227;o%20Sensorial%20p&#243;s-gradua&#231;&#227;o" TargetMode="External"/><Relationship Id="rId2207" Type="http://schemas.openxmlformats.org/officeDocument/2006/relationships/hyperlink" Target="https://www.google.com/search?q=site%3Aipvc.pt%20Artes%20Pl&#225;sticas%20e%20Tecnologias%20Art&#237;sticas%20licenciatura" TargetMode="External"/><Relationship Id="rId2761" Type="http://schemas.openxmlformats.org/officeDocument/2006/relationships/hyperlink" Target="https://www.google.com/search?q=site%3Aipp.pt%20Log&#237;stica%20mestrado" TargetMode="External"/><Relationship Id="rId3605" Type="http://schemas.openxmlformats.org/officeDocument/2006/relationships/hyperlink" Target="https://www.google.com/search?q=site%3Aulusiada.pt%20Gest&#227;o%20de%20Opera&#231;&#245;es%20mestrado" TargetMode="External"/><Relationship Id="rId3812" Type="http://schemas.openxmlformats.org/officeDocument/2006/relationships/hyperlink" Target="https://www.google.com/search?q=site%3Aunl.pt%20Ci&#234;ncias%20Musicais%20licenciatura" TargetMode="External"/><Relationship Id="rId733" Type="http://schemas.openxmlformats.org/officeDocument/2006/relationships/hyperlink" Target="https://www.google.com/search?q=site%3Aipg.pt%20Ind&#250;stria%20Autom&#243;vel%20CTeSP" TargetMode="External"/><Relationship Id="rId940" Type="http://schemas.openxmlformats.org/officeDocument/2006/relationships/hyperlink" Target="https://www.google.com/search?q=site%3Aipb.pt%20Administra&#231;&#227;o%20e%20Neg&#243;cios%20CTeSP" TargetMode="External"/><Relationship Id="rId1016" Type="http://schemas.openxmlformats.org/officeDocument/2006/relationships/hyperlink" Target="https://www.google.com/search?q=site%3Aipb.pt%20Enologia%20licenciatura" TargetMode="External"/><Relationship Id="rId1570" Type="http://schemas.openxmlformats.org/officeDocument/2006/relationships/hyperlink" Target="https://www.google.com/search?q=site%3Aipleiria.pt%20Altera&#231;&#245;es%20Clim&#225;ticas%20e%20Mitiga&#231;&#227;o%20de%20Riscos%20p&#243;s-gradua&#231;&#227;o" TargetMode="External"/><Relationship Id="rId2414" Type="http://schemas.openxmlformats.org/officeDocument/2006/relationships/hyperlink" Target="https://www.google.com/search?q=site%3Aipca.pt%20An&#225;lise%20de%20Dados%20e%20Risco%20CTeSP" TargetMode="External"/><Relationship Id="rId2621" Type="http://schemas.openxmlformats.org/officeDocument/2006/relationships/hyperlink" Target="https://www.google.com/search?q=site%3Aipp.pt%20Audiologia%20licenciatura" TargetMode="External"/><Relationship Id="rId5777" Type="http://schemas.openxmlformats.org/officeDocument/2006/relationships/hyperlink" Target="https://www.google.com/search?q=site%3Auac.pt%20Executive%20Master%20em%20Gest&#227;o%20e%20Administra&#231;&#227;o%20em%20Sa&#250;de%20&#8211;%2039.&#170;%20edi&#231;&#227;o%20p&#243;s-gradua&#231;&#227;o%20executiva" TargetMode="External"/><Relationship Id="rId800" Type="http://schemas.openxmlformats.org/officeDocument/2006/relationships/hyperlink" Target="https://www.google.com/search?q=site%3Aipg.pt%20Cadastro%20Predial%20&#8211;%20Tipologia%20B%20p&#243;s-gradua&#231;&#227;o%20executiva" TargetMode="External"/><Relationship Id="rId1223" Type="http://schemas.openxmlformats.org/officeDocument/2006/relationships/hyperlink" Target="https://www.google.com/search?q=site%3Aipc.pt%20Luz%20e%20Som%20para%20Artes%20Performativas%20CTeSP" TargetMode="External"/><Relationship Id="rId1430" Type="http://schemas.openxmlformats.org/officeDocument/2006/relationships/hyperlink" Target="https://www.google.com/search?q=site%3Aipleiria.pt%20Sistemas%20Ciberf&#237;sicos%20para%20a%20Ind&#250;stria%20CTeSP" TargetMode="External"/><Relationship Id="rId4379" Type="http://schemas.openxmlformats.org/officeDocument/2006/relationships/hyperlink" Target="https://www.google.com/search?q=site%3Auc.pt%20Engenharia%20Eletrot&#233;cnica%20e%20de%20Computadores%20mestrado" TargetMode="External"/><Relationship Id="rId4586" Type="http://schemas.openxmlformats.org/officeDocument/2006/relationships/hyperlink" Target="https://www.google.com/search?q=site%3Aulisboa.pt%20Geografia%20licenciatura" TargetMode="External"/><Relationship Id="rId4793" Type="http://schemas.openxmlformats.org/officeDocument/2006/relationships/hyperlink" Target="https://www.google.com/search?q=site%3Aulisboa.pt%20Literaturas%2C%20Artes%20e%20Culturas%20Modernas%20mestrado" TargetMode="External"/><Relationship Id="rId5637" Type="http://schemas.openxmlformats.org/officeDocument/2006/relationships/hyperlink" Target="https://www.google.com/search?q=site%3Aup.pt%20Produtos%20de%20sa&#250;de%20de%20origem%20natural%20mestrado" TargetMode="External"/><Relationship Id="rId3188" Type="http://schemas.openxmlformats.org/officeDocument/2006/relationships/hyperlink" Target="https://www.google.com/search?q=site%3Auab.pt%20Estudos%20Juvenis%20p&#243;s-gradua&#231;&#227;o" TargetMode="External"/><Relationship Id="rId3395" Type="http://schemas.openxmlformats.org/officeDocument/2006/relationships/hyperlink" Target="https://www.google.com/search?q=site%3Aeuropeia.pt%20Design%20Digital%20e%20Multim&#233;dia%20licenciatura" TargetMode="External"/><Relationship Id="rId4239" Type="http://schemas.openxmlformats.org/officeDocument/2006/relationships/hyperlink" Target="https://www.google.com/search?q=site%3Aua.pt%20Gest&#227;o%20da%20Qualidade%20licenciatura" TargetMode="External"/><Relationship Id="rId4446" Type="http://schemas.openxmlformats.org/officeDocument/2006/relationships/hyperlink" Target="https://www.google.com/search?q=site%3Auc.pt%20Medicamentos%20e%20Suplementos%20Alimentares%20&#224;%20Base%20de%20Plantas%20mestrado" TargetMode="External"/><Relationship Id="rId4653" Type="http://schemas.openxmlformats.org/officeDocument/2006/relationships/hyperlink" Target="https://www.google.com/search?q=site%3Aulisboa.pt%20Cosmetologia%20Avan&#231;ada%20mestrado" TargetMode="External"/><Relationship Id="rId4860" Type="http://schemas.openxmlformats.org/officeDocument/2006/relationships/hyperlink" Target="https://www.google.com/search?q=site%3Aulisboa.pt%20&#193;gua%20Subterr&#226;nea%20e%20Altera&#231;&#245;es%20Globais%20&#8211;%20Impactos%20e%20Adapta&#231;&#227;o%20%28GroundwatCh%29%20-%20Erasmus%20Mundus%20mestrado" TargetMode="External"/><Relationship Id="rId5704" Type="http://schemas.openxmlformats.org/officeDocument/2006/relationships/hyperlink" Target="https://www.google.com/search?q=site%3Auac.pt%20Prote&#231;&#227;o%20Civil%20e%20Gest&#227;o%20de%20Riscos%20licenciatura" TargetMode="External"/><Relationship Id="rId3048" Type="http://schemas.openxmlformats.org/officeDocument/2006/relationships/hyperlink" Target="https://www.google.com/search?q=site%3Aisvouga.pt%20Gest&#227;o%20Comercial%20e%20Vendas%20CTeSP" TargetMode="External"/><Relationship Id="rId3255" Type="http://schemas.openxmlformats.org/officeDocument/2006/relationships/hyperlink" Target="https://www.google.com/search?q=site%3Aucp.pt%20Servi&#231;o%20Social%20%28plano%20210%20ECTS%29%20licenciatura" TargetMode="External"/><Relationship Id="rId3462" Type="http://schemas.openxmlformats.org/officeDocument/2006/relationships/hyperlink" Target="https://www.google.com/search?q=site%3Aeuropeia.pt%20Gest&#227;o%20do%20Design%20mestrado" TargetMode="External"/><Relationship Id="rId4306" Type="http://schemas.openxmlformats.org/officeDocument/2006/relationships/hyperlink" Target="https://www.google.com/search?q=site%3Auc.pt%20F&#237;sica%20licenciatura" TargetMode="External"/><Relationship Id="rId4513" Type="http://schemas.openxmlformats.org/officeDocument/2006/relationships/hyperlink" Target="https://www.google.com/search?q=site%3Auc.pt%20Novos%20Animais%20de%20Companhia%20p&#243;s-gradua&#231;&#227;o" TargetMode="External"/><Relationship Id="rId4720" Type="http://schemas.openxmlformats.org/officeDocument/2006/relationships/hyperlink" Target="https://www.google.com/search?q=site%3Aulisboa.pt%20Engenharia%20e%20Gest&#227;o%20Industrial%20mestrado" TargetMode="External"/><Relationship Id="rId176" Type="http://schemas.openxmlformats.org/officeDocument/2006/relationships/hyperlink" Target="https://www.google.com/search?q=site%3Aesenf.pt%20Enfermagem%20do%20Trabalho%20p&#243;s-gradua&#231;&#227;o" TargetMode="External"/><Relationship Id="rId383" Type="http://schemas.openxmlformats.org/officeDocument/2006/relationships/hyperlink" Target="https://www.google.com/search?q=site%3Aipluso.pt%20P&#243;s&#8209;Gradua&#231;&#227;o%20em%20Automa&#231;&#227;o%20e%20Seguran&#231;a%20em%20Sistemas%20Inform&#225;ticos%20p&#243;s-gradua&#231;&#227;o" TargetMode="External"/><Relationship Id="rId590" Type="http://schemas.openxmlformats.org/officeDocument/2006/relationships/hyperlink" Target="https://www.google.com/search?q=site%3Aisla.pt%20Gest&#227;o%20Administrativa%20de%20Recursos%20Humanos%20CTeSP" TargetMode="External"/><Relationship Id="rId2064" Type="http://schemas.openxmlformats.org/officeDocument/2006/relationships/hyperlink" Target="https://www.google.com/search?q=site%3Aips.pt%20Procurement%20p&#243;s-gradua&#231;&#227;o" TargetMode="External"/><Relationship Id="rId2271" Type="http://schemas.openxmlformats.org/officeDocument/2006/relationships/hyperlink" Target="https://www.google.com/search?q=site%3Aipvc.pt%20Gest&#227;o%20Industrial%20e%20da%20Inova&#231;&#227;o%20mestrado" TargetMode="External"/><Relationship Id="rId3115" Type="http://schemas.openxmlformats.org/officeDocument/2006/relationships/hyperlink" Target="https://www.google.com/search?q=site%3Acespu.pt%20Cuidados%20de%20Enfermagem%20em%20Cardiologia%20&#8211;%201.&#170;%20edi&#231;&#227;o%20p&#243;s-gradua&#231;&#227;o" TargetMode="External"/><Relationship Id="rId3322" Type="http://schemas.openxmlformats.org/officeDocument/2006/relationships/hyperlink" Target="https://www.google.com/search?q=site%3Aucp.pt%20Marketing%20Estrat&#233;gico%20&#8211;%20Executivo%20mestrado" TargetMode="External"/><Relationship Id="rId243" Type="http://schemas.openxmlformats.org/officeDocument/2006/relationships/hyperlink" Target="https://www.google.com/search?q=site%3Aegasmoniz.edu.pt%20Medicina%20Dent&#225;ria%20mestrado%20integrado" TargetMode="External"/><Relationship Id="rId450" Type="http://schemas.openxmlformats.org/officeDocument/2006/relationships/hyperlink" Target="https://www.google.com/search?q=site%3Aiscte-iul.pt%20An&#225;lise%20de%20Dados%20em%20Ci&#234;ncias%20Sociais%20p&#243;s-gradua&#231;&#227;o" TargetMode="External"/><Relationship Id="rId1080" Type="http://schemas.openxmlformats.org/officeDocument/2006/relationships/hyperlink" Target="https://www.google.com/search?q=site%3Aipb.pt%20Solicitadoria%20dos%20Contratos%20mestrado" TargetMode="External"/><Relationship Id="rId2131" Type="http://schemas.openxmlformats.org/officeDocument/2006/relationships/hyperlink" Target="https://www.google.com/search?q=site%3Aipt.pt%20Conserva&#231;&#227;o%20e%20Restauro%20mestrado" TargetMode="External"/><Relationship Id="rId5287" Type="http://schemas.openxmlformats.org/officeDocument/2006/relationships/hyperlink" Target="https://www.google.com/search?q=site%3Aualg.pt%20Diet&#233;tica%20e%20Nutri&#231;&#227;o%20licenciatura" TargetMode="External"/><Relationship Id="rId5494" Type="http://schemas.openxmlformats.org/officeDocument/2006/relationships/hyperlink" Target="https://www.google.com/search?q=site%3Aup.pt%20Bio&#233;tica%20mestrado" TargetMode="External"/><Relationship Id="rId103" Type="http://schemas.openxmlformats.org/officeDocument/2006/relationships/hyperlink" Target="https://www.google.com/search?q=site%3Ajoaodedeus.pt%20Metodologias%20de%20Investiga&#231;&#227;o%20em%20Educa&#231;&#227;o%20p&#243;s-gradua&#231;&#227;o" TargetMode="External"/><Relationship Id="rId310" Type="http://schemas.openxmlformats.org/officeDocument/2006/relationships/hyperlink" Target="https://www.google.com/search?q=site%3Aesscvp.eu%20Fisioterapia%20mestrado" TargetMode="External"/><Relationship Id="rId4096" Type="http://schemas.openxmlformats.org/officeDocument/2006/relationships/hyperlink" Target="https://www.google.com/search?q=site%3Aupt.pt%20Psicologia%20licenciatura" TargetMode="External"/><Relationship Id="rId5147" Type="http://schemas.openxmlformats.org/officeDocument/2006/relationships/hyperlink" Target="https://www.google.com/search?q=site%3Auevora.pt%20Bioqu&#237;mica%20licenciatura" TargetMode="External"/><Relationship Id="rId1897" Type="http://schemas.openxmlformats.org/officeDocument/2006/relationships/hyperlink" Target="https://www.google.com/search?q=site%3Aipsantarem.pt%20Enfermagem%20de%20Emerg&#234;ncia%20e%20Cuidados%20Cr&#237;ticos%20%28Erasmus%20Mundus%29%20mestrado" TargetMode="External"/><Relationship Id="rId2948" Type="http://schemas.openxmlformats.org/officeDocument/2006/relationships/hyperlink" Target="https://www.google.com/search?q=site%3Aispgaya.pt%20An&#225;lise%20de%20Neg&#243;cios%20mestrado" TargetMode="External"/><Relationship Id="rId5354" Type="http://schemas.openxmlformats.org/officeDocument/2006/relationships/hyperlink" Target="https://www.google.com/search?q=site%3Aualg.pt%20Ensino%20do%201.&#186;%20Ciclo%20do%20Ensino%20B&#225;sico%20e%20de%20Matem&#225;tica%20e%20Ci&#234;ncias%20Naturais%20no%202.&#186;%20Ciclo%20do%20Ensino%20B&#225;sico%20mestrado" TargetMode="External"/><Relationship Id="rId5561" Type="http://schemas.openxmlformats.org/officeDocument/2006/relationships/hyperlink" Target="https://www.google.com/search?q=site%3Aup.pt%20Engenharia%20e%20Gest&#227;o%20Industrial%20mestrado" TargetMode="External"/><Relationship Id="rId1757" Type="http://schemas.openxmlformats.org/officeDocument/2006/relationships/hyperlink" Target="https://www.google.com/search?q=site%3Aipportalegre.pt%20Design%20Multim&#233;dia%20e%20Audiovisuais%20CTeSP" TargetMode="External"/><Relationship Id="rId1964" Type="http://schemas.openxmlformats.org/officeDocument/2006/relationships/hyperlink" Target="https://www.google.com/search?q=site%3Acespu.pt%20Executive%20Master%20em%20Gest&#227;o%20e%20Administra&#231;&#227;o%20em%20Sa&#250;de%20&#8211;%2042.&#170;%20edi&#231;&#227;o%20p&#243;s-gradua&#231;&#227;o%20executiva" TargetMode="External"/><Relationship Id="rId2808" Type="http://schemas.openxmlformats.org/officeDocument/2006/relationships/hyperlink" Target="https://www.google.com/search?q=site%3Aipp.pt%20Gest&#227;o%20da%20Qualidade%20p&#243;s-gradua&#231;&#227;o" TargetMode="External"/><Relationship Id="rId4163" Type="http://schemas.openxmlformats.org/officeDocument/2006/relationships/hyperlink" Target="https://www.google.com/search?q=site%3Aismai.pt%20Criminologia%20licenciatura" TargetMode="External"/><Relationship Id="rId4370" Type="http://schemas.openxmlformats.org/officeDocument/2006/relationships/hyperlink" Target="https://www.google.com/search?q=site%3Auc.pt%20Economia%20mestrado" TargetMode="External"/><Relationship Id="rId5007" Type="http://schemas.openxmlformats.org/officeDocument/2006/relationships/hyperlink" Target="https://www.google.com/search?q=site%3Aulisboa.pt%20Tecnologias%20Digitais%20em%20Pr&#243;tese%20Dent&#225;ria%20p&#243;s-gradua&#231;&#227;o" TargetMode="External"/><Relationship Id="rId5214" Type="http://schemas.openxmlformats.org/officeDocument/2006/relationships/hyperlink" Target="https://www.google.com/search?q=site%3Auevora.pt%20Uma%20Sa&#250;de%3A%20Sa&#250;de%20P&#250;blica%20Humana%20e%20Animal%20mestrado" TargetMode="External"/><Relationship Id="rId5421" Type="http://schemas.openxmlformats.org/officeDocument/2006/relationships/hyperlink" Target="https://www.google.com/search?q=site%3Aup.pt%20Ci&#234;ncias%20da%20Comunica&#231;&#227;o%20licenciatura" TargetMode="External"/><Relationship Id="rId49" Type="http://schemas.openxmlformats.org/officeDocument/2006/relationships/hyperlink" Target="https://www.google.com/search?q=site%3Aesap.pt%20Teatro%20licenciatura" TargetMode="External"/><Relationship Id="rId1617" Type="http://schemas.openxmlformats.org/officeDocument/2006/relationships/hyperlink" Target="https://www.google.com/search?q=site%3Aipl.pt%20Artes%20Visuais%20e%20Tecnologias%20licenciatura" TargetMode="External"/><Relationship Id="rId1824" Type="http://schemas.openxmlformats.org/officeDocument/2006/relationships/hyperlink" Target="https://www.google.com/search?q=site%3Aipsantarem.pt%20Acompanhamento%20de%20Crian&#231;as%20e%20Jovens%20CTeSP" TargetMode="External"/><Relationship Id="rId4023" Type="http://schemas.openxmlformats.org/officeDocument/2006/relationships/hyperlink" Target="https://www.google.com/search?q=site%3Aunl.pt%20Engenharia%20Inform&#225;tica%20mestrado%20integrado" TargetMode="External"/><Relationship Id="rId4230" Type="http://schemas.openxmlformats.org/officeDocument/2006/relationships/hyperlink" Target="https://www.google.com/search?q=site%3Aua.pt%20Eletr&#243;nica%20e%20Mec&#226;nica%20Industrial%20licenciatura" TargetMode="External"/><Relationship Id="rId3789" Type="http://schemas.openxmlformats.org/officeDocument/2006/relationships/hyperlink" Target="https://www.google.com/search?q=site%3Alusofona.pt%20Patrim&#243;nio%20Cultural%20Imaterial%20p&#243;s-gradua&#231;&#227;o" TargetMode="External"/><Relationship Id="rId2598" Type="http://schemas.openxmlformats.org/officeDocument/2006/relationships/hyperlink" Target="https://www.google.com/search?q=site%3Aipp.pt%20Produtos%20de%20Sa&#250;de%20e%20Suplementos%20Alimentares%20CTeSP" TargetMode="External"/><Relationship Id="rId3996" Type="http://schemas.openxmlformats.org/officeDocument/2006/relationships/hyperlink" Target="https://www.google.com/search?q=site%3Aunl.pt%20Qu&#237;mica%20Bioorg&#226;nica%20mestrado" TargetMode="External"/><Relationship Id="rId3649" Type="http://schemas.openxmlformats.org/officeDocument/2006/relationships/hyperlink" Target="https://www.google.com/search?q=site%3Alusofona.pt%20Bioeconomia%20Circular%20e%20Tecnologia%20licenciatura" TargetMode="External"/><Relationship Id="rId3856" Type="http://schemas.openxmlformats.org/officeDocument/2006/relationships/hyperlink" Target="https://www.google.com/search?q=site%3Aunl.pt%20An&#225;lise%20e%20Engenharia%20de%20Dados%20mestrado" TargetMode="External"/><Relationship Id="rId4907" Type="http://schemas.openxmlformats.org/officeDocument/2006/relationships/hyperlink" Target="https://www.google.com/search?q=site%3Aulisboa.pt%20Controlo%20de%20Gest&#227;o%20e%20Finan&#231;as%20Empresariais%20p&#243;s-gradua&#231;&#227;o" TargetMode="External"/><Relationship Id="rId5071" Type="http://schemas.openxmlformats.org/officeDocument/2006/relationships/hyperlink" Target="https://www.google.com/search?q=site%3Autad.pt%20Biomedicina%20mestrado" TargetMode="External"/><Relationship Id="rId777" Type="http://schemas.openxmlformats.org/officeDocument/2006/relationships/hyperlink" Target="https://www.google.com/search?q=site%3Aipg.pt%20Ci&#234;ncias%20Aplicadas%20&#224;%20Sa&#250;de%20&#8211;%20&#225;reas%20de%20especializa&#231;&#227;o%20de%20Interven&#231;&#227;o%20Comunit&#225;ria%20e%20de%20Biotecnologia%20mestrado" TargetMode="External"/><Relationship Id="rId984" Type="http://schemas.openxmlformats.org/officeDocument/2006/relationships/hyperlink" Target="https://www.google.com/search?q=site%3Aipb.pt%20Tecnologias%20Sustent&#225;veis%20em%20Mec&#226;nica%20e%20Ve&#237;culos%20CTeSP" TargetMode="External"/><Relationship Id="rId2458" Type="http://schemas.openxmlformats.org/officeDocument/2006/relationships/hyperlink" Target="https://www.google.com/search?q=site%3Aipca.pt%20Qualidade%20Industrial%20e%20Metrologia%20CTeSP" TargetMode="External"/><Relationship Id="rId2665" Type="http://schemas.openxmlformats.org/officeDocument/2006/relationships/hyperlink" Target="https://www.google.com/search?q=site%3Aipp.pt%20Multim&#233;dia%20licenciatura" TargetMode="External"/><Relationship Id="rId2872" Type="http://schemas.openxmlformats.org/officeDocument/2006/relationships/hyperlink" Target="https://www.google.com/search?q=site%3Aisdd.pt%20Design%20e%20Multim&#233;dia%20CTeSP" TargetMode="External"/><Relationship Id="rId3509" Type="http://schemas.openxmlformats.org/officeDocument/2006/relationships/hyperlink" Target="https://www.google.com/search?q=site%3Aufp.pt%20Ci&#234;ncias%20Empresariais%20licenciatura" TargetMode="External"/><Relationship Id="rId3716" Type="http://schemas.openxmlformats.org/officeDocument/2006/relationships/hyperlink" Target="https://www.google.com/search?q=site%3Alusofona.pt%20Ciberterapia%20e%20Reabilita&#231;&#227;o%20Neurocognitiva%20mestrado" TargetMode="External"/><Relationship Id="rId3923" Type="http://schemas.openxmlformats.org/officeDocument/2006/relationships/hyperlink" Target="https://www.google.com/search?q=site%3Aunl.pt%20Ensino%20de%20Hist&#243;ria%20no%203.&#186;%20Ciclo%20do%20Ensino%20B&#225;sico%20e%20no%20Ensino%20Secund&#225;rio%20mestrado" TargetMode="External"/><Relationship Id="rId637" Type="http://schemas.openxmlformats.org/officeDocument/2006/relationships/hyperlink" Target="https://www.google.com/search?q=site%3Aispa.pt%20Psicologia%20e%20Psicopatologia%20do%20Desenvolvimento%20mestrado" TargetMode="External"/><Relationship Id="rId844" Type="http://schemas.openxmlformats.org/officeDocument/2006/relationships/hyperlink" Target="https://www.google.com/search?q=site%3Aipluso.pt%20Desenho%20mestrado" TargetMode="External"/><Relationship Id="rId1267" Type="http://schemas.openxmlformats.org/officeDocument/2006/relationships/hyperlink" Target="https://www.google.com/search?q=site%3Aipc.pt%20Gastronomia%20licenciatura" TargetMode="External"/><Relationship Id="rId1474" Type="http://schemas.openxmlformats.org/officeDocument/2006/relationships/hyperlink" Target="https://www.google.com/search?q=site%3Aipleiria.pt%20Jogos%20Digitais%20e%20Multim&#233;dia%20licenciatura" TargetMode="External"/><Relationship Id="rId1681" Type="http://schemas.openxmlformats.org/officeDocument/2006/relationships/hyperlink" Target="https://www.google.com/search?q=site%3Aipl.pt%20Engenharia%20Mec&#226;nica%20mestrado" TargetMode="External"/><Relationship Id="rId2318" Type="http://schemas.openxmlformats.org/officeDocument/2006/relationships/hyperlink" Target="https://www.google.com/search?q=site%3Aipv.pt%20Integra&#231;&#227;o%20de%20Sistemas%20e%20Servi&#231;os%20de%20Telecomunica&#231;&#245;es%20CTeSP" TargetMode="External"/><Relationship Id="rId2525" Type="http://schemas.openxmlformats.org/officeDocument/2006/relationships/hyperlink" Target="https://www.google.com/search?q=site%3Aipca.pt%20Tecnologia%20Aplicada%20ao%20Desporto%20e%20Bem-Estar%20mestrado" TargetMode="External"/><Relationship Id="rId2732" Type="http://schemas.openxmlformats.org/officeDocument/2006/relationships/hyperlink" Target="https://www.google.com/search?q=site%3Aipp.pt%20Engenharia%20de%20Sistemas%20Computacionais%20Cr&#237;ticos%20mestrado" TargetMode="External"/><Relationship Id="rId704" Type="http://schemas.openxmlformats.org/officeDocument/2006/relationships/hyperlink" Target="https://www.google.com/search?q=site%3Aipg.pt%20Agricultura%20e%20Floresta%20Digitais%20CTeSP" TargetMode="External"/><Relationship Id="rId911" Type="http://schemas.openxmlformats.org/officeDocument/2006/relationships/hyperlink" Target="https://www.google.com/search?q=site%3Aipbeja.pt%20Turismo%20licenciatura" TargetMode="External"/><Relationship Id="rId1127" Type="http://schemas.openxmlformats.org/officeDocument/2006/relationships/hyperlink" Target="https://www.google.com/search?q=site%3Aipcb.pt%20Restaura&#231;&#227;o%20e%20Bebidas%20CTeSP" TargetMode="External"/><Relationship Id="rId1334" Type="http://schemas.openxmlformats.org/officeDocument/2006/relationships/hyperlink" Target="https://www.google.com/search?q=site%3Aipc.pt%20Recursos%20Florestais%20mestrado" TargetMode="External"/><Relationship Id="rId1541" Type="http://schemas.openxmlformats.org/officeDocument/2006/relationships/hyperlink" Target="https://www.google.com/search?q=site%3Aipleiria.pt%20Engenharia%20para%20Fabrica&#231;&#227;o%20Digital%20Direta%20mestrado" TargetMode="External"/><Relationship Id="rId4697" Type="http://schemas.openxmlformats.org/officeDocument/2006/relationships/hyperlink" Target="https://www.google.com/search?q=site%3Aulisboa.pt%20Engenharia%20Eletrot&#233;cnica%20e%20de%20Computadores%20mestrado" TargetMode="External"/><Relationship Id="rId5748" Type="http://schemas.openxmlformats.org/officeDocument/2006/relationships/hyperlink" Target="https://www.google.com/search?q=site%3Auac.pt%20Tecnologias%20Digitais%20Aplicadas%20&#224;s%20Ci&#234;ncias%20Agr&#225;rias%20e%20Veterin&#225;rias%20mestrado" TargetMode="External"/><Relationship Id="rId40" Type="http://schemas.openxmlformats.org/officeDocument/2006/relationships/hyperlink" Target="https://www.google.com/search?q=site%3Aenautica.pt%20Gest&#227;o%20de%20Transportes%20e%20Log&#237;stica%20licenciatura" TargetMode="External"/><Relationship Id="rId1401" Type="http://schemas.openxmlformats.org/officeDocument/2006/relationships/hyperlink" Target="https://www.google.com/search?q=site%3Aipleiria.pt%20Gest&#227;o%20da%20Produ&#231;&#227;o%20e%20da%20Qualidade%20CTeSP" TargetMode="External"/><Relationship Id="rId3299" Type="http://schemas.openxmlformats.org/officeDocument/2006/relationships/hyperlink" Target="https://www.google.com/search?q=site%3Aucp.pt%20Finan&#231;as%20e%20Controlo%20de%20Gest&#227;o%20&#8211;%20Executivo%20mestrado" TargetMode="External"/><Relationship Id="rId4557" Type="http://schemas.openxmlformats.org/officeDocument/2006/relationships/hyperlink" Target="https://www.google.com/search?q=site%3Aulisboa.pt%20Engenharia%20Geral%20%28GENI%29%20licenciatura" TargetMode="External"/><Relationship Id="rId4764" Type="http://schemas.openxmlformats.org/officeDocument/2006/relationships/hyperlink" Target="https://www.google.com/search?q=site%3Aulisboa.pt%20Gest&#227;o%20de%20Arte%20e%20Patrim&#243;nio%20Cultural%20em%20Mercados%20Globais%20mestrado" TargetMode="External"/><Relationship Id="rId5608" Type="http://schemas.openxmlformats.org/officeDocument/2006/relationships/hyperlink" Target="https://www.google.com/search?q=site%3Aup.pt%20Hist&#243;ria%2C%20Rela&#231;&#245;es%20Internacionais%20e%20Coopera&#231;&#227;o%20mestrado" TargetMode="External"/><Relationship Id="rId3159" Type="http://schemas.openxmlformats.org/officeDocument/2006/relationships/hyperlink" Target="https://www.google.com/search?q=site%3Auab.pt%20Humanidades%20licenciatura" TargetMode="External"/><Relationship Id="rId3366" Type="http://schemas.openxmlformats.org/officeDocument/2006/relationships/hyperlink" Target="https://www.google.com/search?q=site%3Aucp.pt%20Medicina%20Social%20p&#243;s-gradua&#231;&#227;o" TargetMode="External"/><Relationship Id="rId3573" Type="http://schemas.openxmlformats.org/officeDocument/2006/relationships/hyperlink" Target="https://www.google.com/search?q=site%3Aulusiada.pt%20Direito%20licenciatura" TargetMode="External"/><Relationship Id="rId4417" Type="http://schemas.openxmlformats.org/officeDocument/2006/relationships/hyperlink" Target="https://www.google.com/search?q=site%3Auc.pt%20Filosofias%20Alem&#227;%20e%20Francesa%3A%20Desafios%20Contempor&#226;neos%20%28Erasmus%20Mundus%29%20mestrado" TargetMode="External"/><Relationship Id="rId4971" Type="http://schemas.openxmlformats.org/officeDocument/2006/relationships/hyperlink" Target="https://www.google.com/search?q=site%3Aulisboa.pt%20Literacia%20Financeira%20e%20Tomada%20de%20Decis&#227;o%20p&#243;s-gradua&#231;&#227;o" TargetMode="External"/><Relationship Id="rId287" Type="http://schemas.openxmlformats.org/officeDocument/2006/relationships/hyperlink" Target="https://www.google.com/search?q=site%3Aesscvp.eu%20Sa&#250;de%20Mental%20da%20Inf&#226;ncia%20e%20Adolesc&#234;ncia%20&#8211;%20NOVO%20p&#243;s-gradua&#231;&#227;o" TargetMode="External"/><Relationship Id="rId494" Type="http://schemas.openxmlformats.org/officeDocument/2006/relationships/hyperlink" Target="https://www.google.com/search?q=site%3Aisec.pt%20Sistemas%20de%20Informa&#231;&#227;o%20Geogr&#225;fica%20CTeSP" TargetMode="External"/><Relationship Id="rId2175" Type="http://schemas.openxmlformats.org/officeDocument/2006/relationships/hyperlink" Target="https://www.google.com/search?q=site%3Aipvc.pt%20Ilustra&#231;&#227;o%20e%20Produ&#231;&#227;o%20Gr&#225;fica%20CTeSP" TargetMode="External"/><Relationship Id="rId2382" Type="http://schemas.openxmlformats.org/officeDocument/2006/relationships/hyperlink" Target="https://www.google.com/search?q=site%3Aipv.pt%20Enfermagem%20de%20Reabilita&#231;&#227;o%20mestrado" TargetMode="External"/><Relationship Id="rId3019" Type="http://schemas.openxmlformats.org/officeDocument/2006/relationships/hyperlink" Target="https://www.google.com/search?q=site%3Aiscet.pt%20Turismo%20Desportivo%20p&#243;s-gradua&#231;&#227;o" TargetMode="External"/><Relationship Id="rId3226" Type="http://schemas.openxmlformats.org/officeDocument/2006/relationships/hyperlink" Target="https://www.google.com/search?q=site%3Aucp.pt%20Ci&#234;ncia%20Pol&#237;tica%20e%20Rela&#231;&#245;es%20Internacionais%20licenciatura" TargetMode="External"/><Relationship Id="rId3780" Type="http://schemas.openxmlformats.org/officeDocument/2006/relationships/hyperlink" Target="https://www.google.com/search?q=site%3Alusofona.pt%20Gest&#227;o%20e%20Marketing%20do%20Desporto%20p&#243;s-gradua&#231;&#227;o" TargetMode="External"/><Relationship Id="rId4624" Type="http://schemas.openxmlformats.org/officeDocument/2006/relationships/hyperlink" Target="https://www.google.com/search?q=site%3Aulisboa.pt%20Bioinform&#225;tica%20e%20Biologia%20Computacional%20mestrado" TargetMode="External"/><Relationship Id="rId4831" Type="http://schemas.openxmlformats.org/officeDocument/2006/relationships/hyperlink" Target="https://www.google.com/search?q=site%3Aulisboa.pt%20Qu&#237;mica%20mestrado" TargetMode="External"/><Relationship Id="rId147" Type="http://schemas.openxmlformats.org/officeDocument/2006/relationships/hyperlink" Target="https://www.google.com/search?q=site%3Aesel.pt%20Cuidados%20&#224;%20Pessoa%20com%20Dispositivos%20de%20Acesso%20Vascular%20p&#243;s-gradua&#231;&#227;o" TargetMode="External"/><Relationship Id="rId354" Type="http://schemas.openxmlformats.org/officeDocument/2006/relationships/hyperlink" Target="https://www.google.com/search?q=site%3Asantamaria.pt%20Enfermagem%20M&#233;dico-Cir&#250;rgica%20mestrado" TargetMode="External"/><Relationship Id="rId1191" Type="http://schemas.openxmlformats.org/officeDocument/2006/relationships/hyperlink" Target="https://www.google.com/search?q=site%3Aipcb.pt%20Ci&#234;ncias%20Florestais%20%28UAb/IPCB%29%20p&#243;s-gradua&#231;&#227;o" TargetMode="External"/><Relationship Id="rId2035" Type="http://schemas.openxmlformats.org/officeDocument/2006/relationships/hyperlink" Target="https://www.google.com/search?q=site%3Aips.pt%20Enfermagem%20mestrado" TargetMode="External"/><Relationship Id="rId3433" Type="http://schemas.openxmlformats.org/officeDocument/2006/relationships/hyperlink" Target="https://www.google.com/search?q=site%3Aeuropeia.pt%20Ci&#234;ncia%20de%20Dados%20e%20Gest&#227;o%20mestrado" TargetMode="External"/><Relationship Id="rId3640" Type="http://schemas.openxmlformats.org/officeDocument/2006/relationships/hyperlink" Target="https://www.google.com/search?q=site%3Aulusiada.pt%20Posturologia%20Cl&#237;nica%20&#8211;%202.&#170;%20edi&#231;&#227;o%20p&#243;s-gradua&#231;&#227;o" TargetMode="External"/><Relationship Id="rId561" Type="http://schemas.openxmlformats.org/officeDocument/2006/relationships/hyperlink" Target="https://www.google.com/search?q=site%3Aiseclisboa.pt%20&#211;tica%20e%20Optometria%20licenciatura" TargetMode="External"/><Relationship Id="rId2242" Type="http://schemas.openxmlformats.org/officeDocument/2006/relationships/hyperlink" Target="https://www.google.com/search?q=site%3Aipvc.pt%20Design%20Integrado%20mestrado" TargetMode="External"/><Relationship Id="rId3500" Type="http://schemas.openxmlformats.org/officeDocument/2006/relationships/hyperlink" Target="https://www.google.com/search?q=site%3Aeuropeia.pt%20P&#243;s&#8209;Gradua&#231;&#227;o%20em%20Nutri&#231;&#227;o%20p&#243;s-gradua&#231;&#227;o" TargetMode="External"/><Relationship Id="rId5398" Type="http://schemas.openxmlformats.org/officeDocument/2006/relationships/hyperlink" Target="https://www.google.com/search?q=site%3Aualg.pt%20Forma&#231;&#227;o%20Complementar%20em%20Cadastro%20Predial%20&#8211;%20Tipologia%20A%20p&#243;s-gradua&#231;&#227;o" TargetMode="External"/><Relationship Id="rId214" Type="http://schemas.openxmlformats.org/officeDocument/2006/relationships/hyperlink" Target="https://www.google.com/search?q=site%3Aegasmoniz.edu.pt%20Microbiologia%20e%20Biologia%20Molecular%20CTeSP" TargetMode="External"/><Relationship Id="rId421" Type="http://schemas.openxmlformats.org/officeDocument/2006/relationships/hyperlink" Target="https://www.google.com/search?q=site%3Aiscte-iul.pt%20Antropologia%20licenciatura" TargetMode="External"/><Relationship Id="rId1051" Type="http://schemas.openxmlformats.org/officeDocument/2006/relationships/hyperlink" Target="https://www.google.com/search?q=site%3Aipb.pt%20Enfermagem%20Veterin&#225;ria%20M&#233;dico&#8209;Cir&#250;rgica%20mestrado" TargetMode="External"/><Relationship Id="rId2102" Type="http://schemas.openxmlformats.org/officeDocument/2006/relationships/hyperlink" Target="https://www.google.com/search?q=site%3Aipt.pt%20Tecnologia%20de%20Bioprocessos%20CTeSP" TargetMode="External"/><Relationship Id="rId5258" Type="http://schemas.openxmlformats.org/officeDocument/2006/relationships/hyperlink" Target="https://www.google.com/search?q=site%3Aualg.pt%20Inova&#231;&#227;o%20e%20Qualidade%20Alimentar%20CTeSP" TargetMode="External"/><Relationship Id="rId5465" Type="http://schemas.openxmlformats.org/officeDocument/2006/relationships/hyperlink" Target="https://www.google.com/search?q=site%3Aup.pt%20Psicologia%20licenciatura" TargetMode="External"/><Relationship Id="rId5672" Type="http://schemas.openxmlformats.org/officeDocument/2006/relationships/hyperlink" Target="https://www.google.com/search?q=site%3Aup.pt%20Engenharia%20F&#237;sica%20mestrado%20integrado" TargetMode="External"/><Relationship Id="rId1868" Type="http://schemas.openxmlformats.org/officeDocument/2006/relationships/hyperlink" Target="https://www.google.com/search?q=site%3Aipsantarem.pt%20Dieta%20Mediterr&#226;nica%20e%20Ci&#234;ncia%20dos%20Alimentos%20licenciatura" TargetMode="External"/><Relationship Id="rId4067" Type="http://schemas.openxmlformats.org/officeDocument/2006/relationships/hyperlink" Target="https://www.google.com/search?q=site%3Aunl.pt%20Gest&#227;o%20dos%20Sistemas%20de%20Informa&#231;&#227;o%20p&#243;s-gradua&#231;&#227;o" TargetMode="External"/><Relationship Id="rId4274" Type="http://schemas.openxmlformats.org/officeDocument/2006/relationships/hyperlink" Target="https://www.google.com/search?q=site%3Auc.pt%20Biologia%20licenciatura" TargetMode="External"/><Relationship Id="rId4481" Type="http://schemas.openxmlformats.org/officeDocument/2006/relationships/hyperlink" Target="https://www.google.com/search?q=site%3Auc.pt%20Sa&#250;de%2C%20Bem-Estar%20e%20Envelhecimento%20Saud&#225;vel%20mestrado" TargetMode="External"/><Relationship Id="rId5118" Type="http://schemas.openxmlformats.org/officeDocument/2006/relationships/hyperlink" Target="https://www.google.com/search?q=site%3Autad.pt%20Gest&#227;o%20dos%20Servi&#231;os%20de%20Sa&#250;de%20mestrado" TargetMode="External"/><Relationship Id="rId5325" Type="http://schemas.openxmlformats.org/officeDocument/2006/relationships/hyperlink" Target="https://www.google.com/search?q=site%3Aualg.pt%20Biologia%20Marinha%20mestrado" TargetMode="External"/><Relationship Id="rId5532" Type="http://schemas.openxmlformats.org/officeDocument/2006/relationships/hyperlink" Target="https://www.google.com/search?q=site%3Aup.pt%20Economia%20e%20Gest&#227;o%20da%20Inova&#231;&#227;o%20mestrado" TargetMode="External"/><Relationship Id="rId2919" Type="http://schemas.openxmlformats.org/officeDocument/2006/relationships/hyperlink" Target="https://www.google.com/search?q=site%3Aismt.pt%20Inova&#231;&#227;o%20e%20Gest&#227;o%20das%20Organiza&#231;&#245;es%20Sociais%20&#8211;%20NOVA%20PG%20p&#243;s-gradua&#231;&#227;o" TargetMode="External"/><Relationship Id="rId3083" Type="http://schemas.openxmlformats.org/officeDocument/2006/relationships/hyperlink" Target="https://www.google.com/search?q=site%3Aisg.pt%20P&#243;s&#8209;Gradua&#231;&#227;o%20em%20Gest&#227;o%20e%20Avalia&#231;&#227;o%20Imobili&#225;ria%20%28B&#8209;Learning%29%20p&#243;s-gradua&#231;&#227;o" TargetMode="External"/><Relationship Id="rId3290" Type="http://schemas.openxmlformats.org/officeDocument/2006/relationships/hyperlink" Target="https://www.google.com/search?q=site%3Aucp.pt%20Ensino%20de%20Portugu&#234;s%20e%20de%20Espanhol%20no%203.&#186;%20ciclo%20do%20Ensino%20B&#225;sico%20e%20no%20Ensino%20Secund&#225;rio%20mestrado" TargetMode="External"/><Relationship Id="rId4134" Type="http://schemas.openxmlformats.org/officeDocument/2006/relationships/hyperlink" Target="https://www.google.com/search?q=site%3Aubi.pt%20Engenharia%20Civil%20licenciatura" TargetMode="External"/><Relationship Id="rId4341" Type="http://schemas.openxmlformats.org/officeDocument/2006/relationships/hyperlink" Target="https://www.google.com/search?q=site%3Auc.pt%20Avalia&#231;&#227;o%20de%20Tecnologias%20de%20Sa&#250;de%20e%20Acesso%20de%20Medicamentos%20ao%20Mercado%20mestrado" TargetMode="External"/><Relationship Id="rId1728" Type="http://schemas.openxmlformats.org/officeDocument/2006/relationships/hyperlink" Target="https://www.google.com/search?q=site%3Aipl.pt%20Engenharia%20Optoeletr&#243;nica%20e%20Fot&#243;nica%20p&#243;s-gradua&#231;&#227;o" TargetMode="External"/><Relationship Id="rId1935" Type="http://schemas.openxmlformats.org/officeDocument/2006/relationships/hyperlink" Target="https://www.google.com/search?q=site%3Acespu.pt%20Enfermagem%20de%20Sa&#250;de%20Mental%20e%20Psiqui&#225;trica%20mestrado" TargetMode="External"/><Relationship Id="rId3150" Type="http://schemas.openxmlformats.org/officeDocument/2006/relationships/hyperlink" Target="https://www.google.com/search?q=site%3Acespu.pt%20Sistemas%20de%20Gest&#227;o%20da%20Qualidade%20e%20Auditoria%20em%20Sa&#250;de%20&#8211;%206.&#170;%20edi&#231;&#227;o%20p&#243;s-gradua&#231;&#227;o%20executiva" TargetMode="External"/><Relationship Id="rId4201" Type="http://schemas.openxmlformats.org/officeDocument/2006/relationships/hyperlink" Target="https://www.google.com/search?q=site%3Aismai.pt%20MBA%20em%20Gest&#227;o%20Empresarial%20p&#243;s-gradua&#231;&#227;o%20executiva" TargetMode="External"/><Relationship Id="rId3010" Type="http://schemas.openxmlformats.org/officeDocument/2006/relationships/hyperlink" Target="https://www.google.com/search?q=site%3Aiscet.pt%20Solicitadoria%20licenciatura" TargetMode="External"/><Relationship Id="rId3967" Type="http://schemas.openxmlformats.org/officeDocument/2006/relationships/hyperlink" Target="https://www.google.com/search?q=site%3Aunl.pt%20Investiga&#231;&#227;o%20Biom&#233;dica%20mestrado" TargetMode="External"/><Relationship Id="rId4" Type="http://schemas.openxmlformats.org/officeDocument/2006/relationships/hyperlink" Target="https://www.google.com/search?q=site%3Auatlantica.pt%20Engenharia%20Mec&#226;nica%20licenciatura" TargetMode="External"/><Relationship Id="rId888" Type="http://schemas.openxmlformats.org/officeDocument/2006/relationships/hyperlink" Target="https://www.google.com/search?q=site%3Aipbeja.pt%20Sistemas%20de%20Prote&#231;&#227;o%20do%20Ambiente%20CTeSP" TargetMode="External"/><Relationship Id="rId2569" Type="http://schemas.openxmlformats.org/officeDocument/2006/relationships/hyperlink" Target="https://www.google.com/search?q=site%3Aipp.pt%20Controlo%20e%20Qualidade%20Alimentar%20CTeSP" TargetMode="External"/><Relationship Id="rId2776" Type="http://schemas.openxmlformats.org/officeDocument/2006/relationships/hyperlink" Target="https://www.google.com/search?q=site%3Aipp.pt%20Sustentabilidade%20e%20Relato%20Empresarial%20mestrado" TargetMode="External"/><Relationship Id="rId2983" Type="http://schemas.openxmlformats.org/officeDocument/2006/relationships/hyperlink" Target="https://www.google.com/search?q=site%3Aisced.pt%20Enfermagem%20de%20Reabilita&#231;&#227;o%20mestrado" TargetMode="External"/><Relationship Id="rId3827" Type="http://schemas.openxmlformats.org/officeDocument/2006/relationships/hyperlink" Target="https://www.google.com/search?q=site%3Aunl.pt%20Engenharia%20Mec&#226;nica%20licenciatura" TargetMode="External"/><Relationship Id="rId5182" Type="http://schemas.openxmlformats.org/officeDocument/2006/relationships/hyperlink" Target="https://www.google.com/search?q=site%3Auevora.pt%20Dire&#231;&#227;o%20e%20Gest&#227;o%20Desportiva%20mestrado" TargetMode="External"/><Relationship Id="rId748" Type="http://schemas.openxmlformats.org/officeDocument/2006/relationships/hyperlink" Target="https://www.google.com/search?q=site%3Aipg.pt%20Anima&#231;&#227;o%20Sociocultural%20licenciatura" TargetMode="External"/><Relationship Id="rId955" Type="http://schemas.openxmlformats.org/officeDocument/2006/relationships/hyperlink" Target="https://www.google.com/search?q=site%3Aipb.pt%20Desenvolvimento%20de%20Software%20e%20Administra&#231;&#227;o%20de%20Sistemas%20CTeSP" TargetMode="External"/><Relationship Id="rId1378" Type="http://schemas.openxmlformats.org/officeDocument/2006/relationships/hyperlink" Target="https://www.google.com/search?q=site%3Aipleiria.pt%20An&#225;lise%20de%20Dados%20CTeSP" TargetMode="External"/><Relationship Id="rId1585" Type="http://schemas.openxmlformats.org/officeDocument/2006/relationships/hyperlink" Target="https://www.google.com/search?q=site%3Aipleiria.pt%20Educa&#231;&#227;o%20de%20Crian&#231;as%20em%20Idade%20de%20Creche%20%280&#8209;3%20anos%29%20p&#243;s-gradua&#231;&#227;o" TargetMode="External"/><Relationship Id="rId1792" Type="http://schemas.openxmlformats.org/officeDocument/2006/relationships/hyperlink" Target="https://www.google.com/search?q=site%3Aipportalegre.pt%20Equinicultura%20licenciatura" TargetMode="External"/><Relationship Id="rId2429" Type="http://schemas.openxmlformats.org/officeDocument/2006/relationships/hyperlink" Target="https://www.google.com/search?q=site%3Aipca.pt%20Eletr&#243;nica%2C%20Automa&#231;&#227;o%20e%20Comando%20CTeSP" TargetMode="External"/><Relationship Id="rId2636" Type="http://schemas.openxmlformats.org/officeDocument/2006/relationships/hyperlink" Target="https://www.google.com/search?q=site%3Aipp.pt%20Educa&#231;&#227;o%20Social%20licenciatura" TargetMode="External"/><Relationship Id="rId2843" Type="http://schemas.openxmlformats.org/officeDocument/2006/relationships/hyperlink" Target="https://www.google.com/search?q=site%3Aipam.pt%20Gest&#227;o%20de%20Marketing%20%28regime%20de%20ensino%20a%20dist&#226;ncia%29%20licenciatura" TargetMode="External"/><Relationship Id="rId5042" Type="http://schemas.openxmlformats.org/officeDocument/2006/relationships/hyperlink" Target="https://www.google.com/search?q=site%3Autad.pt%20Engenharia%20Inform&#225;tica%20licenciatura" TargetMode="External"/><Relationship Id="rId84" Type="http://schemas.openxmlformats.org/officeDocument/2006/relationships/hyperlink" Target="https://www.google.com/search?q=site%3Ajoaodedeus.pt%20Pr&#225;ticas%20Administrativas%20e%20Comunica&#231;&#227;o%20na%20Escola%20CTeSP" TargetMode="External"/><Relationship Id="rId608" Type="http://schemas.openxmlformats.org/officeDocument/2006/relationships/hyperlink" Target="https://www.google.com/search?q=site%3Aisla.pt%20Gest&#227;o%20das%20Organiza&#231;&#245;es%20Sustent&#225;veis%20p&#243;s-gradua&#231;&#227;o" TargetMode="External"/><Relationship Id="rId815" Type="http://schemas.openxmlformats.org/officeDocument/2006/relationships/hyperlink" Target="https://www.google.com/search?q=site%3Aipluso.pt%20Desenvolvimento%20para%20a%20Web%20e%20Dispositivos%20M&#243;veis%20CTeSP" TargetMode="External"/><Relationship Id="rId1238" Type="http://schemas.openxmlformats.org/officeDocument/2006/relationships/hyperlink" Target="https://www.google.com/search?q=site%3Aipc.pt%20Agropecu&#225;ria%20licenciatura" TargetMode="External"/><Relationship Id="rId1445" Type="http://schemas.openxmlformats.org/officeDocument/2006/relationships/hyperlink" Target="https://www.google.com/search?q=site%3Aipleiria.pt%20Biomec&#226;nica%20licenciatura" TargetMode="External"/><Relationship Id="rId1652" Type="http://schemas.openxmlformats.org/officeDocument/2006/relationships/hyperlink" Target="https://www.google.com/search?q=site%3Aipl.pt%20Publicidade%20e%20Marketing%20licenciatura" TargetMode="External"/><Relationship Id="rId1305" Type="http://schemas.openxmlformats.org/officeDocument/2006/relationships/hyperlink" Target="https://www.google.com/search?q=site%3Aipc.pt%20Educa&#231;&#227;o%20Pr&#233;&#8209;escolar%20mestrado" TargetMode="External"/><Relationship Id="rId2703" Type="http://schemas.openxmlformats.org/officeDocument/2006/relationships/hyperlink" Target="https://www.google.com/search?q=site%3Aipp.pt%20Bioestat&#237;stica%20e%20Bioinform&#225;tica%20Aplicadas%20&#224;%20Sa&#250;de%20mestrado" TargetMode="External"/><Relationship Id="rId2910" Type="http://schemas.openxmlformats.org/officeDocument/2006/relationships/hyperlink" Target="https://www.google.com/search?q=site%3Aismat.pt%20Psicologia%20do%20Trabalho%20e%20da%20Sa&#250;de%20Ocupacional%20mestrado" TargetMode="External"/><Relationship Id="rId1512" Type="http://schemas.openxmlformats.org/officeDocument/2006/relationships/hyperlink" Target="https://www.google.com/search?q=site%3Aipleiria.pt%20Desenvolvimento%20de%20Jogos%20Digitais%20mestrado" TargetMode="External"/><Relationship Id="rId4668" Type="http://schemas.openxmlformats.org/officeDocument/2006/relationships/hyperlink" Target="https://www.google.com/search?q=site%3Aulisboa.pt%20Design%20do%20Vestu&#225;rio%20e%20T&#234;xtil%20mestrado" TargetMode="External"/><Relationship Id="rId4875" Type="http://schemas.openxmlformats.org/officeDocument/2006/relationships/hyperlink" Target="https://www.google.com/search?q=site%3Aulisboa.pt%20Engenharia%20de%20Materiais%20mestrado%20integrado" TargetMode="External"/><Relationship Id="rId5719" Type="http://schemas.openxmlformats.org/officeDocument/2006/relationships/hyperlink" Target="https://www.google.com/search?q=site%3Auac.pt%20Enfermagem%20Comunit&#225;ria%20mestrado" TargetMode="External"/><Relationship Id="rId11" Type="http://schemas.openxmlformats.org/officeDocument/2006/relationships/hyperlink" Target="https://www.google.com/search?q=site%3Auatlantica.pt%20Engenharia%20de%20Materiais%20mestrado" TargetMode="External"/><Relationship Id="rId398" Type="http://schemas.openxmlformats.org/officeDocument/2006/relationships/hyperlink" Target="https://www.google.com/search?q=site%3Aisave.pt%20Fisioterapia%20licenciatura" TargetMode="External"/><Relationship Id="rId2079" Type="http://schemas.openxmlformats.org/officeDocument/2006/relationships/hyperlink" Target="https://www.google.com/search?q=site%3Aipt.pt%20Desenvolvimento%20de%20Jogos%20Digitais%20CTeSP" TargetMode="External"/><Relationship Id="rId3477" Type="http://schemas.openxmlformats.org/officeDocument/2006/relationships/hyperlink" Target="https://www.google.com/search?q=site%3Aeuropeia.pt%20P&#243;s&#8209;Gradua&#231;&#227;o%20em%20Auditoria%20p&#243;s-gradua&#231;&#227;o" TargetMode="External"/><Relationship Id="rId3684" Type="http://schemas.openxmlformats.org/officeDocument/2006/relationships/hyperlink" Target="https://www.google.com/search?q=site%3Alusofona.pt%20Engenharia%20Inform&#225;tica%20licenciatura" TargetMode="External"/><Relationship Id="rId3891" Type="http://schemas.openxmlformats.org/officeDocument/2006/relationships/hyperlink" Target="https://www.google.com/search?q=site%3Aunl.pt%20Direito%20e%20Economia%20do%20Mar%3A%20A%20Governa&#231;&#227;o%20do%20Mar%20mestrado" TargetMode="External"/><Relationship Id="rId4528" Type="http://schemas.openxmlformats.org/officeDocument/2006/relationships/hyperlink" Target="https://www.google.com/search?q=site%3Aulisboa.pt%20Ci&#234;ncias%20da%20Comunica&#231;&#227;o%20licenciatura" TargetMode="External"/><Relationship Id="rId4735" Type="http://schemas.openxmlformats.org/officeDocument/2006/relationships/hyperlink" Target="https://www.google.com/search?q=site%3Aulisboa.pt%20Ensino%20de%20Portugu&#234;s%20no%203.&#186;%20Ciclo%20do%20Ensino%20B&#225;sico%20e%20no%20Ensino%20Secund&#225;rio%20mestrado" TargetMode="External"/><Relationship Id="rId4942" Type="http://schemas.openxmlformats.org/officeDocument/2006/relationships/hyperlink" Target="https://www.google.com/search?q=site%3Aulisboa.pt%20Educa&#231;&#227;o%20STEAM%20p&#243;s-gradua&#231;&#227;o" TargetMode="External"/><Relationship Id="rId2286" Type="http://schemas.openxmlformats.org/officeDocument/2006/relationships/hyperlink" Target="https://www.google.com/search?q=site%3Aipvc.pt%20Gest&#227;o%20da%20Qualidade%20p&#243;s-gradua&#231;&#227;o" TargetMode="External"/><Relationship Id="rId2493" Type="http://schemas.openxmlformats.org/officeDocument/2006/relationships/hyperlink" Target="https://www.google.com/search?q=site%3Aipca.pt%20Gest&#227;o%20de%20Empresas%20licenciatura" TargetMode="External"/><Relationship Id="rId3337" Type="http://schemas.openxmlformats.org/officeDocument/2006/relationships/hyperlink" Target="https://www.google.com/search?q=site%3Aucp.pt%20Regenera&#231;&#227;o%20e%20Viabilidade%20Tecidular%20mestrado" TargetMode="External"/><Relationship Id="rId3544" Type="http://schemas.openxmlformats.org/officeDocument/2006/relationships/hyperlink" Target="https://www.google.com/search?q=site%3Aufp.pt%20Educa&#231;&#227;o%20Especial%3A%20Dom&#237;nio%20da%20Interven&#231;&#227;o%20Precoce%20na%20Inf&#226;ncia%20p&#243;s-gradua&#231;&#227;o" TargetMode="External"/><Relationship Id="rId3751" Type="http://schemas.openxmlformats.org/officeDocument/2006/relationships/hyperlink" Target="https://www.google.com/search?q=site%3Alusofona.pt%20Rela&#231;&#245;es%20Internacionais%20mestrado" TargetMode="External"/><Relationship Id="rId4802" Type="http://schemas.openxmlformats.org/officeDocument/2006/relationships/hyperlink" Target="https://www.google.com/search?q=site%3Aulisboa.pt%20Medicina%20e%20Ci&#234;ncia%20Regulamentar%20mestrado" TargetMode="External"/><Relationship Id="rId258" Type="http://schemas.openxmlformats.org/officeDocument/2006/relationships/hyperlink" Target="https://www.google.com/search?q=site%3Aegasmoniz.edu.pt%20P&#243;s&#8209;Gradua&#231;&#227;o%20de%20Especializa&#231;&#227;o%20em%20Periodontologia%20p&#243;s-gradua&#231;&#227;o" TargetMode="External"/><Relationship Id="rId465" Type="http://schemas.openxmlformats.org/officeDocument/2006/relationships/hyperlink" Target="https://www.google.com/search?q=site%3Aiscte-iul.pt%20Gest&#227;o%20para%20Profissionais%20da%20Sa&#250;de%20p&#243;s-gradua&#231;&#227;o" TargetMode="External"/><Relationship Id="rId672" Type="http://schemas.openxmlformats.org/officeDocument/2006/relationships/hyperlink" Target="https://www.google.com/search?q=site%3Aiees.pt%20Gest&#227;o%20Hoteleira%20e%20Alojamento%20CTeSP" TargetMode="External"/><Relationship Id="rId1095" Type="http://schemas.openxmlformats.org/officeDocument/2006/relationships/hyperlink" Target="https://www.google.com/search?q=site%3Aipb.pt%20Gest&#227;o%20de%20Organiza&#231;&#245;es%20de%20Economia%20Social%20p&#243;s-gradua&#231;&#227;o" TargetMode="External"/><Relationship Id="rId2146" Type="http://schemas.openxmlformats.org/officeDocument/2006/relationships/hyperlink" Target="https://www.google.com/search?q=site%3Aipt.pt%20T&#233;cnicas%20de%20Arqueologia%20mestrado" TargetMode="External"/><Relationship Id="rId2353" Type="http://schemas.openxmlformats.org/officeDocument/2006/relationships/hyperlink" Target="https://www.google.com/search?q=site%3Aipv.pt%20Engenharia%20Inform&#225;tica%20e%20Telecomunica&#231;&#245;es%20licenciatura" TargetMode="External"/><Relationship Id="rId2560" Type="http://schemas.openxmlformats.org/officeDocument/2006/relationships/hyperlink" Target="https://www.google.com/search?q=site%3Aipca.pt%20UI%20Design%20p&#243;s-gradua&#231;&#227;o" TargetMode="External"/><Relationship Id="rId3404" Type="http://schemas.openxmlformats.org/officeDocument/2006/relationships/hyperlink" Target="https://www.google.com/search?q=site%3Aeuropeia.pt%20Engenharia%20Inform&#225;tica%20%28regime%20de%20ensino%20a%20dist&#226;ncia%29%20licenciatura" TargetMode="External"/><Relationship Id="rId3611" Type="http://schemas.openxmlformats.org/officeDocument/2006/relationships/hyperlink" Target="https://www.google.com/search?q=site%3Aulusiada.pt%20Seguran&#231;a%20e%20Justi&#231;a%20mestrado" TargetMode="External"/><Relationship Id="rId118" Type="http://schemas.openxmlformats.org/officeDocument/2006/relationships/hyperlink" Target="https://www.google.com/search?q=site%3Aesepf.pt%20Educa&#231;&#227;o%20Pr&#233;-Escolar%20e%20Ensino%20do%201.&#186;%20Ciclo%20do%20Ensino%20B&#225;sico%20mestrado" TargetMode="External"/><Relationship Id="rId325" Type="http://schemas.openxmlformats.org/officeDocument/2006/relationships/hyperlink" Target="https://www.google.com/search?q=site%3Aesscvp.eu%20P&#243;s&#8209;Gradua&#231;&#227;o%20em%20Enfermagem%20de%20Estomaterapia%20p&#243;s-gradua&#231;&#227;o" TargetMode="External"/><Relationship Id="rId532" Type="http://schemas.openxmlformats.org/officeDocument/2006/relationships/hyperlink" Target="https://www.google.com/search?q=site%3Aiseclisboa.pt%20Gest&#227;o%20Financeira%20e%20Contabilidade%20CTeSP" TargetMode="External"/><Relationship Id="rId1162" Type="http://schemas.openxmlformats.org/officeDocument/2006/relationships/hyperlink" Target="https://www.google.com/search?q=site%3Aipcb.pt%20Turismo%20licenciatura" TargetMode="External"/><Relationship Id="rId2006" Type="http://schemas.openxmlformats.org/officeDocument/2006/relationships/hyperlink" Target="https://www.google.com/search?q=site%3Aips.pt%20Educa&#231;&#227;o%20B&#225;sica%20licenciatura" TargetMode="External"/><Relationship Id="rId2213" Type="http://schemas.openxmlformats.org/officeDocument/2006/relationships/hyperlink" Target="https://www.google.com/search?q=site%3Aipvc.pt%20Desporto%20e%20Lazer%20licenciatura" TargetMode="External"/><Relationship Id="rId2420" Type="http://schemas.openxmlformats.org/officeDocument/2006/relationships/hyperlink" Target="https://www.google.com/search?q=site%3Aipca.pt%20Com&#233;rcio%20Eletr&#243;nico%20CTeSP" TargetMode="External"/><Relationship Id="rId5369" Type="http://schemas.openxmlformats.org/officeDocument/2006/relationships/hyperlink" Target="https://www.google.com/search?q=site%3Aualg.pt%20Gest&#227;o%20de%20Unidades%20de%20Sa&#250;de%20mestrado" TargetMode="External"/><Relationship Id="rId5576" Type="http://schemas.openxmlformats.org/officeDocument/2006/relationships/hyperlink" Target="https://www.google.com/search?q=site%3Aup.pt%20Ensino%20e%20Divulga&#231;&#227;o%20das%20Ci&#234;ncias%20mestrado" TargetMode="External"/><Relationship Id="rId5783" Type="http://schemas.openxmlformats.org/officeDocument/2006/relationships/hyperlink" Target="https://www.google.com/search?q=site%3Aium.pt%20Engenharia%20Eletrot&#233;cnica%20Militar%20licenciatura" TargetMode="External"/><Relationship Id="rId1022" Type="http://schemas.openxmlformats.org/officeDocument/2006/relationships/hyperlink" Target="https://www.google.com/search?q=site%3Aipb.pt%20Gest&#227;o%20e%20Administra&#231;&#227;o%20P&#250;blica%20licenciatura" TargetMode="External"/><Relationship Id="rId4178" Type="http://schemas.openxmlformats.org/officeDocument/2006/relationships/hyperlink" Target="https://www.google.com/search?q=site%3Aismai.pt%20Ensino%20de%20Educa&#231;&#227;o%20F&#237;sica%20nos%20Ensinos%20B&#225;sico%20e%20Secund&#225;rio%20mestrado" TargetMode="External"/><Relationship Id="rId4385" Type="http://schemas.openxmlformats.org/officeDocument/2006/relationships/hyperlink" Target="https://www.google.com/search?q=site%3Auc.pt%20Engenharia%20da%20Constru&#231;&#227;o%20Met&#225;lica%20e%20Mista%20mestrado" TargetMode="External"/><Relationship Id="rId4592" Type="http://schemas.openxmlformats.org/officeDocument/2006/relationships/hyperlink" Target="https://www.google.com/search?q=site%3Aulisboa.pt%20Higiene%20Oral%20licenciatura" TargetMode="External"/><Relationship Id="rId5229" Type="http://schemas.openxmlformats.org/officeDocument/2006/relationships/hyperlink" Target="https://www.google.com/search?q=site%3Auevora.pt%20Enfermagem%20do%20Estilo%20de%20Vida%3A%20Interven&#231;&#227;o%20Integrativa%20p&#243;s-gradua&#231;&#227;o" TargetMode="External"/><Relationship Id="rId5436" Type="http://schemas.openxmlformats.org/officeDocument/2006/relationships/hyperlink" Target="https://www.google.com/search?q=site%3Aup.pt%20Engenharia%20Aeroespacial%20licenciatura" TargetMode="External"/><Relationship Id="rId1979" Type="http://schemas.openxmlformats.org/officeDocument/2006/relationships/hyperlink" Target="https://www.google.com/search?q=site%3Aips.pt%20Instala&#231;&#245;es%20El&#233;tricas%20CTeSP" TargetMode="External"/><Relationship Id="rId3194" Type="http://schemas.openxmlformats.org/officeDocument/2006/relationships/hyperlink" Target="https://www.google.com/search?q=site%3Aautonoma.pt%20Economia%20licenciatura" TargetMode="External"/><Relationship Id="rId4038" Type="http://schemas.openxmlformats.org/officeDocument/2006/relationships/hyperlink" Target="https://www.google.com/search?q=site%3Aunl.pt%20Ci&#234;ncia%20dos%20Dados%20Geoespaciais%20%28e&#8209;learning%20e%20semi&#8209;presencial%29%20p&#243;s-gradua&#231;&#227;o" TargetMode="External"/><Relationship Id="rId4245" Type="http://schemas.openxmlformats.org/officeDocument/2006/relationships/hyperlink" Target="https://www.google.com/search?q=site%3Aua.pt%20Assessoria%20de%20Dire&#231;&#227;o%20e%20Comunica&#231;&#227;o%20nas%20Organiza&#231;&#245;es%20mestrado" TargetMode="External"/><Relationship Id="rId5643" Type="http://schemas.openxmlformats.org/officeDocument/2006/relationships/hyperlink" Target="https://www.google.com/search?q=site%3Aup.pt%20Psiquiatria%20e%20Sa&#250;de%20Mental%20mestrado" TargetMode="External"/><Relationship Id="rId1839" Type="http://schemas.openxmlformats.org/officeDocument/2006/relationships/hyperlink" Target="https://www.google.com/search?q=site%3Aipsantarem.pt%20Gest&#227;o%20e%20Comunica&#231;&#227;o%20Comercial%20CTeSP" TargetMode="External"/><Relationship Id="rId3054" Type="http://schemas.openxmlformats.org/officeDocument/2006/relationships/hyperlink" Target="https://www.google.com/search?q=site%3Aisvouga.pt%20Engenharia%20de%20Produ&#231;&#227;o%20Industrial%20licenciatura" TargetMode="External"/><Relationship Id="rId4452" Type="http://schemas.openxmlformats.org/officeDocument/2006/relationships/hyperlink" Target="https://www.google.com/search?q=site%3Auc.pt%20Neuroci&#234;ncias%20Molecular%20e%20de%20Transla&#231;&#227;o%20mestrado" TargetMode="External"/><Relationship Id="rId5503" Type="http://schemas.openxmlformats.org/officeDocument/2006/relationships/hyperlink" Target="https://www.google.com/search?q=site%3Aup.pt%20Ci&#234;ncias%20Forenses%20mestrado" TargetMode="External"/><Relationship Id="rId5710" Type="http://schemas.openxmlformats.org/officeDocument/2006/relationships/hyperlink" Target="https://www.google.com/search?q=site%3Auac.pt%20Turismo%20licenciatura" TargetMode="External"/><Relationship Id="rId182" Type="http://schemas.openxmlformats.org/officeDocument/2006/relationships/hyperlink" Target="https://www.google.com/search?q=site%3Aeshte.pt%20Tour%20Guiding%20p&#243;s-gradua&#231;&#227;o" TargetMode="External"/><Relationship Id="rId1906" Type="http://schemas.openxmlformats.org/officeDocument/2006/relationships/hyperlink" Target="https://www.google.com/search?q=site%3Aipsantarem.pt%20Gest&#227;o%20Sustent&#225;vel%20e%20Horizontes%20Inteligentes%20mestrado" TargetMode="External"/><Relationship Id="rId3261" Type="http://schemas.openxmlformats.org/officeDocument/2006/relationships/hyperlink" Target="https://www.google.com/search?q=site%3Aucp.pt%20Auditoria%20e%20Fiscalidade%20mestrado" TargetMode="External"/><Relationship Id="rId4105" Type="http://schemas.openxmlformats.org/officeDocument/2006/relationships/hyperlink" Target="https://www.google.com/search?q=site%3Aupt.pt%20Direito%20mestrado" TargetMode="External"/><Relationship Id="rId4312" Type="http://schemas.openxmlformats.org/officeDocument/2006/relationships/hyperlink" Target="https://www.google.com/search?q=site%3Auc.pt%20Hist&#243;ria%20licenciatura" TargetMode="External"/><Relationship Id="rId2070" Type="http://schemas.openxmlformats.org/officeDocument/2006/relationships/hyperlink" Target="https://www.google.com/search?q=site%3Aipt.pt%20Artes%20para%20Jogos%20Digitais%20CTeSP" TargetMode="External"/><Relationship Id="rId3121" Type="http://schemas.openxmlformats.org/officeDocument/2006/relationships/hyperlink" Target="https://www.google.com/search?q=site%3Acespu.pt%20Enfermagem%20Gerontogeri&#225;trica%20&#8211;%201.&#170;%20edi&#231;&#227;o%20p&#243;s-gradua&#231;&#227;o" TargetMode="External"/><Relationship Id="rId999" Type="http://schemas.openxmlformats.org/officeDocument/2006/relationships/hyperlink" Target="https://www.google.com/search?q=site%3Aipb.pt%20Dire&#231;&#227;o%20e%20Gest&#227;o%20Hoteleira%20licenciatura" TargetMode="External"/><Relationship Id="rId2887" Type="http://schemas.openxmlformats.org/officeDocument/2006/relationships/hyperlink" Target="https://www.google.com/search?q=site%3Aisdd.pt%20Gest&#227;o%20Comercial%20licenciatura" TargetMode="External"/><Relationship Id="rId5086" Type="http://schemas.openxmlformats.org/officeDocument/2006/relationships/hyperlink" Target="https://www.google.com/search?q=site%3Autad.pt%20Enfermagem%20Comunit&#225;ria%20na%20&#193;rea%20de%20Enfermagem%20de%20Sa&#250;de%20Familiar%20mestrado" TargetMode="External"/><Relationship Id="rId5293" Type="http://schemas.openxmlformats.org/officeDocument/2006/relationships/hyperlink" Target="https://www.google.com/search?q=site%3Aualg.pt%20Engenharia%20Alimentar%20licenciatura" TargetMode="External"/><Relationship Id="rId859" Type="http://schemas.openxmlformats.org/officeDocument/2006/relationships/hyperlink" Target="https://www.google.com/search?q=site%3Aipluso.pt%20P&#243;s&#8209;Gradua&#231;&#227;o%20em%20Recursos%20Gr&#225;ficos%20e%20Visualiza&#231;&#227;o%20p&#243;s-gradua&#231;&#227;o" TargetMode="External"/><Relationship Id="rId1489" Type="http://schemas.openxmlformats.org/officeDocument/2006/relationships/hyperlink" Target="https://www.google.com/search?q=site%3Aipleiria.pt%20Terapia%20da%20Fala%20licenciatura" TargetMode="External"/><Relationship Id="rId1696" Type="http://schemas.openxmlformats.org/officeDocument/2006/relationships/hyperlink" Target="https://www.google.com/search?q=site%3Aipl.pt%20Gest&#227;o%20Estrat&#233;gica%20das%20Rela&#231;&#245;es%20P&#250;blicas%20mestrado" TargetMode="External"/><Relationship Id="rId3938" Type="http://schemas.openxmlformats.org/officeDocument/2006/relationships/hyperlink" Target="https://www.google.com/search?q=site%3Aunl.pt%20Est&#233;tica%20e%20Estudos%20Art&#237;sticos%20mestrado" TargetMode="External"/><Relationship Id="rId5153" Type="http://schemas.openxmlformats.org/officeDocument/2006/relationships/hyperlink" Target="https://www.google.com/search?q=site%3Auevora.pt%20Ecologia%20e%20Ambiente%20licenciatura" TargetMode="External"/><Relationship Id="rId5360" Type="http://schemas.openxmlformats.org/officeDocument/2006/relationships/hyperlink" Target="https://www.google.com/search?q=site%3Aualg.pt%20Gest&#227;o%20Empresarial%20mestrado" TargetMode="External"/><Relationship Id="rId1349" Type="http://schemas.openxmlformats.org/officeDocument/2006/relationships/hyperlink" Target="https://www.google.com/search?q=site%3Aipc.pt%20Desporto%20Adaptado%20p&#243;s-gradua&#231;&#227;o" TargetMode="External"/><Relationship Id="rId2747" Type="http://schemas.openxmlformats.org/officeDocument/2006/relationships/hyperlink" Target="https://www.google.com/search?q=site%3Aipp.pt%20Fisioterapia%20Dermatofuncional%20mestrado" TargetMode="External"/><Relationship Id="rId2954" Type="http://schemas.openxmlformats.org/officeDocument/2006/relationships/hyperlink" Target="https://www.google.com/search?q=site%3Aisag.pt%20Turismo%20licenciatura" TargetMode="External"/><Relationship Id="rId5013" Type="http://schemas.openxmlformats.org/officeDocument/2006/relationships/hyperlink" Target="https://www.google.com/search?q=site%3Autad.pt%20Termalismo%20e%20Bem-Estar%20CTeSP" TargetMode="External"/><Relationship Id="rId5220" Type="http://schemas.openxmlformats.org/officeDocument/2006/relationships/hyperlink" Target="https://www.google.com/search?q=site%3Auevora.pt%20Ambiente%2C%20Sustentabilidade%20e%20Educa&#231;&#227;o%20%28curso%203002%20/%201660%29%20p&#243;s-gradua&#231;&#227;o" TargetMode="External"/><Relationship Id="rId719" Type="http://schemas.openxmlformats.org/officeDocument/2006/relationships/hyperlink" Target="https://www.google.com/search?q=site%3Aipg.pt%20Desportos%20de%20Montanha%20CTeSP" TargetMode="External"/><Relationship Id="rId926" Type="http://schemas.openxmlformats.org/officeDocument/2006/relationships/hyperlink" Target="https://www.google.com/search?q=site%3Aipbeja.pt%20Servi&#231;o%20Social%20&#8211;%20Riscos%20Sociais%20e%20Desenvolvimento%20Local%20mestrado" TargetMode="External"/><Relationship Id="rId1556" Type="http://schemas.openxmlformats.org/officeDocument/2006/relationships/hyperlink" Target="https://www.google.com/search?q=site%3Aipleiria.pt%20Inova&#231;&#227;o%20em%20Sistemas%20Alimentares%20e%20Nutri&#231;&#227;o%20%28regime%20de%20ensino%20a%20dist&#226;ncia%29%20mestrado" TargetMode="External"/><Relationship Id="rId1763" Type="http://schemas.openxmlformats.org/officeDocument/2006/relationships/hyperlink" Target="https://www.google.com/search?q=site%3Aipportalegre.pt%20Guias%20da%20Natureza%20CTeSP" TargetMode="External"/><Relationship Id="rId1970" Type="http://schemas.openxmlformats.org/officeDocument/2006/relationships/hyperlink" Target="https://www.google.com/search?q=site%3Aips.pt%20Cloud%20e%20Ciberseguran&#231;a%20CTeSP" TargetMode="External"/><Relationship Id="rId2607" Type="http://schemas.openxmlformats.org/officeDocument/2006/relationships/hyperlink" Target="https://www.google.com/search?q=site%3Aipp.pt%20Sistemas%20Eletromec&#226;nicos%20CTeSP" TargetMode="External"/><Relationship Id="rId2814" Type="http://schemas.openxmlformats.org/officeDocument/2006/relationships/hyperlink" Target="https://www.google.com/search?q=site%3Aipp.pt%20Gest&#227;o%20e%20Dire&#231;&#227;o%20de%20Unidades%20de%20Sa&#250;de%20p&#243;s-gradua&#231;&#227;o" TargetMode="External"/><Relationship Id="rId55" Type="http://schemas.openxmlformats.org/officeDocument/2006/relationships/hyperlink" Target="https://www.google.com/search?q=site%3Aesap.pt%20Arte%20Contempor&#226;nea%20p&#243;s-gradua&#231;&#227;o" TargetMode="External"/><Relationship Id="rId1209" Type="http://schemas.openxmlformats.org/officeDocument/2006/relationships/hyperlink" Target="https://www.google.com/search?q=site%3Aipc.pt%20Contabilidade%20e%20Fiscalidade%20para%20PME%20CTeSP" TargetMode="External"/><Relationship Id="rId1416" Type="http://schemas.openxmlformats.org/officeDocument/2006/relationships/hyperlink" Target="https://www.google.com/search?q=site%3Aipleiria.pt%20Processos%20de%20Transforma&#231;&#227;o%20de%20Pl&#225;sticos%20CTeSP" TargetMode="External"/><Relationship Id="rId1623" Type="http://schemas.openxmlformats.org/officeDocument/2006/relationships/hyperlink" Target="https://www.google.com/search?q=site%3Aipl.pt%20Contabilidade%20licenciatura" TargetMode="External"/><Relationship Id="rId1830" Type="http://schemas.openxmlformats.org/officeDocument/2006/relationships/hyperlink" Target="https://www.google.com/search?q=site%3Aipsantarem.pt%20Apoio%20Domicili&#225;rio%20CTeSP" TargetMode="External"/><Relationship Id="rId4779" Type="http://schemas.openxmlformats.org/officeDocument/2006/relationships/hyperlink" Target="https://www.google.com/search?q=site%3Aulisboa.pt%20Hist&#243;ria%20e%20Filosofia%20das%20Ci&#234;ncias%20mestrado" TargetMode="External"/><Relationship Id="rId4986" Type="http://schemas.openxmlformats.org/officeDocument/2006/relationships/hyperlink" Target="https://www.google.com/search?q=site%3Aulisboa.pt%20Programa&#231;&#227;o%20de%20Software%20para%20Gest&#227;o%20p&#243;s-gradua&#231;&#227;o" TargetMode="External"/><Relationship Id="rId3588" Type="http://schemas.openxmlformats.org/officeDocument/2006/relationships/hyperlink" Target="https://www.google.com/search?q=site%3Aulusiada.pt%20Rela&#231;&#245;es%20Internacionais%20licenciatura" TargetMode="External"/><Relationship Id="rId3795" Type="http://schemas.openxmlformats.org/officeDocument/2006/relationships/hyperlink" Target="https://www.google.com/search?q=site%3Alusofona.pt%20Registos%20e%20Notariado%20p&#243;s-gradua&#231;&#227;o" TargetMode="External"/><Relationship Id="rId4639" Type="http://schemas.openxmlformats.org/officeDocument/2006/relationships/hyperlink" Target="https://www.google.com/search?q=site%3Aulisboa.pt%20Ci&#234;ncias%20Empresariais%20mestrado" TargetMode="External"/><Relationship Id="rId4846" Type="http://schemas.openxmlformats.org/officeDocument/2006/relationships/hyperlink" Target="https://www.google.com/search?q=site%3Aulisboa.pt%20Sistemas%20de%20Informa&#231;&#227;o%20Geogr&#225;fica%20-%20Tecnologias%20e%20Aplica&#231;&#245;es%20mestrado" TargetMode="External"/><Relationship Id="rId2397" Type="http://schemas.openxmlformats.org/officeDocument/2006/relationships/hyperlink" Target="https://www.google.com/search?q=site%3Aipv.pt%20Gest&#227;o%20de%20Organiza&#231;&#245;es%20Sociais%20mestrado" TargetMode="External"/><Relationship Id="rId3448" Type="http://schemas.openxmlformats.org/officeDocument/2006/relationships/hyperlink" Target="https://www.google.com/search?q=site%3Aeuropeia.pt%20Direito%20P&#250;blico%20mestrado" TargetMode="External"/><Relationship Id="rId3655" Type="http://schemas.openxmlformats.org/officeDocument/2006/relationships/hyperlink" Target="https://www.google.com/search?q=site%3Alusofona.pt%20Cinema%20&#8211;%20Pathfinder%20licenciatura" TargetMode="External"/><Relationship Id="rId3862" Type="http://schemas.openxmlformats.org/officeDocument/2006/relationships/hyperlink" Target="https://www.google.com/search?q=site%3Aunl.pt%20Biologia%20Computacional%20e%20Bioinform&#225;tica%20mestrado" TargetMode="External"/><Relationship Id="rId4706" Type="http://schemas.openxmlformats.org/officeDocument/2006/relationships/hyperlink" Target="https://www.google.com/search?q=site%3Aulisboa.pt%20Engenharia%20Inform&#225;tica%20mestrado" TargetMode="External"/><Relationship Id="rId369" Type="http://schemas.openxmlformats.org/officeDocument/2006/relationships/hyperlink" Target="https://www.google.com/search?q=site%3Aessa.pt%20Abordagens%20na%20Crian&#231;a%20em%20Contexto%20Educativo%20mestrado" TargetMode="External"/><Relationship Id="rId576" Type="http://schemas.openxmlformats.org/officeDocument/2006/relationships/hyperlink" Target="https://www.google.com/search?q=site%3Aiseclisboa.pt%20Educa&#231;&#227;o%20Especial%3A%20Dom&#237;nio%20Cognitivo%20e%20Motor%20p&#243;s-gradua&#231;&#227;o" TargetMode="External"/><Relationship Id="rId783" Type="http://schemas.openxmlformats.org/officeDocument/2006/relationships/hyperlink" Target="https://www.google.com/search?q=site%3Aipg.pt%20Enfermagem%20Comunit&#225;ria%20mestrado" TargetMode="External"/><Relationship Id="rId990" Type="http://schemas.openxmlformats.org/officeDocument/2006/relationships/hyperlink" Target="https://www.google.com/search?q=site%3Aipb.pt%20Viticultura%20e%20Enologia%20CTeSP" TargetMode="External"/><Relationship Id="rId2257" Type="http://schemas.openxmlformats.org/officeDocument/2006/relationships/hyperlink" Target="https://www.google.com/search?q=site%3Aipvc.pt%20Enfermagem%20de%20Sa&#250;de%20Mental%20e%20Psiqui&#225;trica%20mestrado" TargetMode="External"/><Relationship Id="rId2464" Type="http://schemas.openxmlformats.org/officeDocument/2006/relationships/hyperlink" Target="https://www.google.com/search?q=site%3Aipca.pt%20Servi&#231;os%20Jur&#237;dicos%20CTeSP" TargetMode="External"/><Relationship Id="rId2671" Type="http://schemas.openxmlformats.org/officeDocument/2006/relationships/hyperlink" Target="https://www.google.com/search?q=site%3Aipp.pt%20M&#250;sica%2C%20variante%20de%20Produ&#231;&#227;o%20e%20Tecnologias%20da%20M&#250;sica%20licenciatura" TargetMode="External"/><Relationship Id="rId3308" Type="http://schemas.openxmlformats.org/officeDocument/2006/relationships/hyperlink" Target="https://www.google.com/search?q=site%3Aucp.pt%20Gest&#227;o%20de%20Empresas%20&#8211;%20Internacional%20mestrado" TargetMode="External"/><Relationship Id="rId3515" Type="http://schemas.openxmlformats.org/officeDocument/2006/relationships/hyperlink" Target="https://www.google.com/search?q=site%3Aufp.pt%20Engenharia%20Inform&#225;tica%20licenciatura" TargetMode="External"/><Relationship Id="rId4913" Type="http://schemas.openxmlformats.org/officeDocument/2006/relationships/hyperlink" Target="https://www.google.com/search?q=site%3Aulisboa.pt%20Curso%20B-Learning%20de%20Tecnologias%20Digitais%20em%20Higiene%20Oral%20p&#243;s-gradua&#231;&#227;o" TargetMode="External"/><Relationship Id="rId229" Type="http://schemas.openxmlformats.org/officeDocument/2006/relationships/hyperlink" Target="https://www.google.com/search?q=site%3Aegasmoniz.edu.pt%20Enfermagem%20M&#233;dico&#8209;Cir&#250;rgica%20na%20&#225;rea%20de%20Enfermagem%20&#224;%20Pessoa%20em%20Situa&#231;&#227;o%20Cr&#237;tica%20mestrado" TargetMode="External"/><Relationship Id="rId436" Type="http://schemas.openxmlformats.org/officeDocument/2006/relationships/hyperlink" Target="https://www.google.com/search?q=site%3Aiscte-iul.pt%20Inform&#225;tica%20e%20Gest&#227;o%20de%20Empresas%20licenciatura" TargetMode="External"/><Relationship Id="rId643" Type="http://schemas.openxmlformats.org/officeDocument/2006/relationships/hyperlink" Target="https://www.google.com/search?q=site%3Aistec.pt%20Ciberseguran&#231;a%20CTeSP" TargetMode="External"/><Relationship Id="rId1066" Type="http://schemas.openxmlformats.org/officeDocument/2006/relationships/hyperlink" Target="https://www.google.com/search?q=site%3Aipb.pt%20Gest&#227;o%20Aplicada%20mestrado" TargetMode="External"/><Relationship Id="rId1273" Type="http://schemas.openxmlformats.org/officeDocument/2006/relationships/hyperlink" Target="https://www.google.com/search?q=site%3Aipc.pt%20Gest&#227;o%20e%20Bioci&#234;ncias%20licenciatura" TargetMode="External"/><Relationship Id="rId1480" Type="http://schemas.openxmlformats.org/officeDocument/2006/relationships/hyperlink" Target="https://www.google.com/search?q=site%3Aipleiria.pt%20Rela&#231;&#245;es%20Humanas%20e%20Comunica&#231;&#227;o%20Organizacional%20licenciatura" TargetMode="External"/><Relationship Id="rId2117" Type="http://schemas.openxmlformats.org/officeDocument/2006/relationships/hyperlink" Target="https://www.google.com/search?q=site%3Aipt.pt%20Engenharia%20Inform&#225;tica%20licenciatura" TargetMode="External"/><Relationship Id="rId2324" Type="http://schemas.openxmlformats.org/officeDocument/2006/relationships/hyperlink" Target="https://www.google.com/search?q=site%3Aipv.pt%20Prote&#231;&#227;o%20Civil%20CTeSP" TargetMode="External"/><Relationship Id="rId3722" Type="http://schemas.openxmlformats.org/officeDocument/2006/relationships/hyperlink" Target="https://www.google.com/search?q=site%3Alusofona.pt%20Ci&#234;ncias%20Criminais%20mestrado" TargetMode="External"/><Relationship Id="rId850" Type="http://schemas.openxmlformats.org/officeDocument/2006/relationships/hyperlink" Target="https://www.google.com/search?q=site%3Aipluso.pt%20Sa&#250;de%20Digital%20mestrado" TargetMode="External"/><Relationship Id="rId1133" Type="http://schemas.openxmlformats.org/officeDocument/2006/relationships/hyperlink" Target="https://www.google.com/search?q=site%3Aipcb.pt%20Biotecnologia%20Alimentar%20licenciatura" TargetMode="External"/><Relationship Id="rId2531" Type="http://schemas.openxmlformats.org/officeDocument/2006/relationships/hyperlink" Target="https://www.google.com/search?q=site%3Aipca.pt%20Contabilidade%20Financeira%20Empresarial%20p&#243;s-gradua&#231;&#227;o" TargetMode="External"/><Relationship Id="rId4289" Type="http://schemas.openxmlformats.org/officeDocument/2006/relationships/hyperlink" Target="https://www.google.com/search?q=site%3Auc.pt%20Economia%20licenciatura" TargetMode="External"/><Relationship Id="rId5687" Type="http://schemas.openxmlformats.org/officeDocument/2006/relationships/hyperlink" Target="https://www.google.com/search?q=site%3Auac.pt%20Desenvolvimento%20de%20Aplica&#231;&#245;es%20Web%20CTeSP" TargetMode="External"/><Relationship Id="rId503" Type="http://schemas.openxmlformats.org/officeDocument/2006/relationships/hyperlink" Target="https://www.google.com/search?q=site%3Aisec.pt%20Engenharia%20Inform&#225;tica%20licenciatura" TargetMode="External"/><Relationship Id="rId710" Type="http://schemas.openxmlformats.org/officeDocument/2006/relationships/hyperlink" Target="https://www.google.com/search?q=site%3Aipg.pt%20Cadastro%20Predial%20CTeSP" TargetMode="External"/><Relationship Id="rId1340" Type="http://schemas.openxmlformats.org/officeDocument/2006/relationships/hyperlink" Target="https://www.google.com/search?q=site%3Aipc.pt%20Administra&#231;&#227;o%20e%20Organiza&#231;&#227;o%20Escolar%20p&#243;s-gradua&#231;&#227;o" TargetMode="External"/><Relationship Id="rId3098" Type="http://schemas.openxmlformats.org/officeDocument/2006/relationships/hyperlink" Target="https://www.google.com/search?q=site%3Acespu.pt%20Fisioterapia%20licenciatura" TargetMode="External"/><Relationship Id="rId4496" Type="http://schemas.openxmlformats.org/officeDocument/2006/relationships/hyperlink" Target="https://www.google.com/search?q=site%3Auc.pt%20Engenharia%20Biom&#233;dica%20mestrado%20integrado" TargetMode="External"/><Relationship Id="rId5547" Type="http://schemas.openxmlformats.org/officeDocument/2006/relationships/hyperlink" Target="https://www.google.com/search?q=site%3Aup.pt%20Engenharia%20Inform&#225;tica%20e%20Computa&#231;&#227;o%20mestrado" TargetMode="External"/><Relationship Id="rId5754" Type="http://schemas.openxmlformats.org/officeDocument/2006/relationships/hyperlink" Target="https://www.google.com/search?q=site%3Auac.pt%20Avalia&#231;&#227;o%20e%20Gest&#227;o%20Imobili&#225;ria%20%5B2025/2026%5D%20p&#243;s-gradua&#231;&#227;o" TargetMode="External"/><Relationship Id="rId1200" Type="http://schemas.openxmlformats.org/officeDocument/2006/relationships/hyperlink" Target="https://www.google.com/search?q=site%3Aipcb.pt%20Servi&#231;o%20Social%20e%20Sustentabilidade%20das%20Organiza&#231;&#245;es%20de%20Economia%20Social%20p&#243;s-gradua&#231;&#227;o" TargetMode="External"/><Relationship Id="rId4149" Type="http://schemas.openxmlformats.org/officeDocument/2006/relationships/hyperlink" Target="https://www.google.com/search?q=site%3Aubi.pt%20Psicologia%20licenciatura" TargetMode="External"/><Relationship Id="rId4356" Type="http://schemas.openxmlformats.org/officeDocument/2006/relationships/hyperlink" Target="https://www.google.com/search?q=site%3Auc.pt%20Ci&#234;ncias%20da%20Educa&#231;&#227;o%20mestrado" TargetMode="External"/><Relationship Id="rId4563" Type="http://schemas.openxmlformats.org/officeDocument/2006/relationships/hyperlink" Target="https://www.google.com/search?q=site%3Aulisboa.pt%20Engenharia%20Zoot&#233;cnica%20licenciatura" TargetMode="External"/><Relationship Id="rId4770" Type="http://schemas.openxmlformats.org/officeDocument/2006/relationships/hyperlink" Target="https://www.google.com/search?q=site%3Aulisboa.pt%20Gest&#227;o%20e%20Conserva&#231;&#227;o%20de%20Recursos%20Naturais%20mestrado" TargetMode="External"/><Relationship Id="rId5407" Type="http://schemas.openxmlformats.org/officeDocument/2006/relationships/hyperlink" Target="https://www.google.com/search?q=site%3Auminho.pt%20Enfermagem%20M&#233;dico&#8209;Cir&#250;rgica%20na%20&#225;rea%20de%20Enfermagem%20&#224;%20Pessoa%20em%20Situa&#231;&#227;o%20Cr&#237;tica%20mestrado" TargetMode="External"/><Relationship Id="rId5614" Type="http://schemas.openxmlformats.org/officeDocument/2006/relationships/hyperlink" Target="https://www.google.com/search?q=site%3Aup.pt%20Intelig&#234;ncia%20Artificial%20mestrado" TargetMode="External"/><Relationship Id="rId3165" Type="http://schemas.openxmlformats.org/officeDocument/2006/relationships/hyperlink" Target="https://www.google.com/search?q=site%3Auab.pt%20Cidadania%20Ambiental%20e%20Participa&#231;&#227;o%20mestrado" TargetMode="External"/><Relationship Id="rId3372" Type="http://schemas.openxmlformats.org/officeDocument/2006/relationships/hyperlink" Target="https://www.google.com/search?q=site%3Aucp.pt%20Real&#8209;World%20Evidence%20%28RWE%29%20na%20Tomada%20de%20Decis&#227;o%20em%20Sa&#250;de%20p&#243;s-gradua&#231;&#227;o" TargetMode="External"/><Relationship Id="rId4009" Type="http://schemas.openxmlformats.org/officeDocument/2006/relationships/hyperlink" Target="https://www.google.com/search?q=site%3Aunl.pt%20Tecnologia%20e%20Seguran&#231;a%20Alimentar%20mestrado" TargetMode="External"/><Relationship Id="rId4216" Type="http://schemas.openxmlformats.org/officeDocument/2006/relationships/hyperlink" Target="https://www.google.com/search?q=site%3Aua.pt%20Metrologia%20e%20Qualidade%20na%20Ind&#250;stria%20CTeSP" TargetMode="External"/><Relationship Id="rId4423" Type="http://schemas.openxmlformats.org/officeDocument/2006/relationships/hyperlink" Target="https://www.google.com/search?q=site%3Auc.pt%20Geografia%20F&#237;sica%2C%20Ambiente%20e%20Ordenamento%20do%20Territ&#243;rio%20mestrado" TargetMode="External"/><Relationship Id="rId4630" Type="http://schemas.openxmlformats.org/officeDocument/2006/relationships/hyperlink" Target="https://www.google.com/search?q=site%3Aulisboa.pt%20Bioquimica%20e%20Biomedicina%20mestrado" TargetMode="External"/><Relationship Id="rId293" Type="http://schemas.openxmlformats.org/officeDocument/2006/relationships/hyperlink" Target="https://www.google.com/search?q=site%3Aesscvp.eu%20Cardiopneumologia%20licenciatura" TargetMode="External"/><Relationship Id="rId2181" Type="http://schemas.openxmlformats.org/officeDocument/2006/relationships/hyperlink" Target="https://www.google.com/search?q=site%3Aipvc.pt%20Manuten&#231;&#227;o%20Mec&#226;nica%20CTeSP" TargetMode="External"/><Relationship Id="rId3025" Type="http://schemas.openxmlformats.org/officeDocument/2006/relationships/hyperlink" Target="https://www.google.com/search?q=site%3Aiscia.pt%20Gest&#227;o%20de%20Alojamentos%20Tur&#237;sticos%20CTeSP" TargetMode="External"/><Relationship Id="rId3232" Type="http://schemas.openxmlformats.org/officeDocument/2006/relationships/hyperlink" Target="https://www.google.com/search?q=site%3Aucp.pt%20Ci&#234;ncias%20da%20Comunica&#231;&#227;o%20licenciatura" TargetMode="External"/><Relationship Id="rId153" Type="http://schemas.openxmlformats.org/officeDocument/2006/relationships/hyperlink" Target="https://www.google.com/search?q=site%3Aesel.pt%20Sa&#250;de%20da%20Crian&#231;a%20e%20Cuidado%20Pedi&#225;trico%20p&#243;s-gradua&#231;&#227;o" TargetMode="External"/><Relationship Id="rId360" Type="http://schemas.openxmlformats.org/officeDocument/2006/relationships/hyperlink" Target="https://www.google.com/search?q=site%3Asantamaria.pt%20Emerg&#234;ncia%2C%20Trauma%20e%20Cat&#225;strofe%20%28Enfermagem%20em%20Emerg&#234;ncia%20Extra&#8209;Hospitalar%29%20p&#243;s-gradua&#231;&#227;o" TargetMode="External"/><Relationship Id="rId2041" Type="http://schemas.openxmlformats.org/officeDocument/2006/relationships/hyperlink" Target="https://www.google.com/search?q=site%3Aips.pt%20Engenharia%20de%20Software%20mestrado" TargetMode="External"/><Relationship Id="rId5197" Type="http://schemas.openxmlformats.org/officeDocument/2006/relationships/hyperlink" Target="https://www.google.com/search?q=site%3Auevora.pt%20Gest&#227;o%20e%20Conserva&#231;&#227;o%20de%20Recursos%20Naturais%20mestrado" TargetMode="External"/><Relationship Id="rId220" Type="http://schemas.openxmlformats.org/officeDocument/2006/relationships/hyperlink" Target="https://www.google.com/search?q=site%3Aegasmoniz.edu.pt%20Enfermagem%20Veterin&#225;ria%20licenciatura" TargetMode="External"/><Relationship Id="rId2998" Type="http://schemas.openxmlformats.org/officeDocument/2006/relationships/hyperlink" Target="https://www.google.com/search?q=site%3Aiscet.pt%20Assessoria%20e%20Comunica&#231;&#227;o%20Organizacional%20CTeSP" TargetMode="External"/><Relationship Id="rId5057" Type="http://schemas.openxmlformats.org/officeDocument/2006/relationships/hyperlink" Target="https://www.google.com/search?q=site%3Autad.pt%20Servi&#231;o%20Social%20licenciatura" TargetMode="External"/><Relationship Id="rId5264" Type="http://schemas.openxmlformats.org/officeDocument/2006/relationships/hyperlink" Target="https://www.google.com/search?q=site%3Aualg.pt%20Secretariado%20Executivo%20CTeSP" TargetMode="External"/><Relationship Id="rId2858" Type="http://schemas.openxmlformats.org/officeDocument/2006/relationships/hyperlink" Target="https://www.google.com/search?q=site%3Aipam.pt%20P&#243;s&#8209;Gradua&#231;&#227;o%20em%20Branding%20p&#243;s-gradua&#231;&#227;o" TargetMode="External"/><Relationship Id="rId3909" Type="http://schemas.openxmlformats.org/officeDocument/2006/relationships/hyperlink" Target="https://www.google.com/search?q=site%3Aunl.pt%20Engenharia%20Mec&#226;nica%20mestrado" TargetMode="External"/><Relationship Id="rId4073" Type="http://schemas.openxmlformats.org/officeDocument/2006/relationships/hyperlink" Target="https://www.google.com/search?q=site%3Aunl.pt%20Lideran&#231;a%20%28Lideran&#231;a%20e%20Gest&#227;o%20de%20Talento%29%20p&#243;s-gradua&#231;&#227;o" TargetMode="External"/><Relationship Id="rId5471" Type="http://schemas.openxmlformats.org/officeDocument/2006/relationships/hyperlink" Target="https://www.google.com/search?q=site%3Aup.pt%20Alimenta&#231;&#227;o%20Coletiva%20mestrado" TargetMode="External"/><Relationship Id="rId99" Type="http://schemas.openxmlformats.org/officeDocument/2006/relationships/hyperlink" Target="https://www.google.com/search?q=site%3Ajoaodedeus.pt%20Interven&#231;&#227;o%20em%20Creche%3A%20Sa&#250;de%2C%20Bem&#8209;Estar%20e%20Desenvolvimento%20p&#243;s-gradua&#231;&#227;o" TargetMode="External"/><Relationship Id="rId1667" Type="http://schemas.openxmlformats.org/officeDocument/2006/relationships/hyperlink" Target="https://www.google.com/search?q=site%3Aipl.pt%20Cria&#231;&#227;o%20Coreogr&#225;fica%20e%20Pr&#225;ticas%20Profissionais%20mestrado" TargetMode="External"/><Relationship Id="rId1874" Type="http://schemas.openxmlformats.org/officeDocument/2006/relationships/hyperlink" Target="https://www.google.com/search?q=site%3Aipsantarem.pt%20Engenharia%20Inform&#225;tica%20licenciatura" TargetMode="External"/><Relationship Id="rId2718" Type="http://schemas.openxmlformats.org/officeDocument/2006/relationships/hyperlink" Target="https://www.google.com/search?q=site%3Aipp.pt%20Educa&#231;&#227;o%20e%20Interven&#231;&#227;o%20Social%20mestrado" TargetMode="External"/><Relationship Id="rId2925" Type="http://schemas.openxmlformats.org/officeDocument/2006/relationships/hyperlink" Target="https://www.google.com/search?q=site%3Aispgaya.pt%20Contabilidade%20e%20Fiscalidade%20CTeSP" TargetMode="External"/><Relationship Id="rId4280" Type="http://schemas.openxmlformats.org/officeDocument/2006/relationships/hyperlink" Target="https://www.google.com/search?q=site%3Auc.pt%20Ci&#234;ncias%20da%20Educa&#231;&#227;o%20licenciatura" TargetMode="External"/><Relationship Id="rId5124" Type="http://schemas.openxmlformats.org/officeDocument/2006/relationships/hyperlink" Target="https://www.google.com/search?q=site%3Autad.pt%20Patrim&#243;nio%20Cultural%20Digital%20mestrado" TargetMode="External"/><Relationship Id="rId5331" Type="http://schemas.openxmlformats.org/officeDocument/2006/relationships/hyperlink" Target="https://www.google.com/search?q=site%3Aualg.pt%20Ci&#234;ncias%20da%20Linguagem%20mestrado" TargetMode="External"/><Relationship Id="rId1527" Type="http://schemas.openxmlformats.org/officeDocument/2006/relationships/hyperlink" Target="https://www.google.com/search?q=site%3Aipleiria.pt%20Enfermagem%20Comunit&#225;ria%2C%20na%20&#225;rea%20de%20Enfermagem%20de%20Sa&#250;de%20Familiar%20mestrado" TargetMode="External"/><Relationship Id="rId1734" Type="http://schemas.openxmlformats.org/officeDocument/2006/relationships/hyperlink" Target="https://www.google.com/search?q=site%3Aipl.pt%20Marionetas%20e%20Formas%20Animadas%20p&#243;s-gradua&#231;&#227;o" TargetMode="External"/><Relationship Id="rId1941" Type="http://schemas.openxmlformats.org/officeDocument/2006/relationships/hyperlink" Target="https://www.google.com/search?q=site%3Acespu.pt%20An&#225;lises%20Cl&#237;nicas%20&#8211;%204.&#170;%20edi&#231;&#227;o%20p&#243;s-gradua&#231;&#227;o" TargetMode="External"/><Relationship Id="rId4140" Type="http://schemas.openxmlformats.org/officeDocument/2006/relationships/hyperlink" Target="https://www.google.com/search?q=site%3Aubi.pt%20Estudos%20Portugueses%20e%20Espanh&#243;is%20licenciatura" TargetMode="External"/><Relationship Id="rId26" Type="http://schemas.openxmlformats.org/officeDocument/2006/relationships/hyperlink" Target="https://www.google.com/search?q=site%3Auatlantica.pt%20P&#243;s-Gradua&#231;&#227;o%20em%20Novos%20Modelos%20de%20Neg&#243;cio%20no%20Mercado%20Farmac&#234;utico%20p&#243;s-gradua&#231;&#227;o" TargetMode="External"/><Relationship Id="rId3699" Type="http://schemas.openxmlformats.org/officeDocument/2006/relationships/hyperlink" Target="https://www.google.com/search?q=site%3Alusofona.pt%20Gest&#227;o%20de%20Recursos%20Humanos%20licenciatura" TargetMode="External"/><Relationship Id="rId4000" Type="http://schemas.openxmlformats.org/officeDocument/2006/relationships/hyperlink" Target="https://www.google.com/search?q=site%3Aunl.pt%20Sa&#250;de%20Ambiental%20e%20Altera&#231;&#245;es%20Clim&#225;ticas%20mestrado" TargetMode="External"/><Relationship Id="rId1801" Type="http://schemas.openxmlformats.org/officeDocument/2006/relationships/hyperlink" Target="https://www.google.com/search?q=site%3Aipportalegre.pt%20Turismo%20licenciatura" TargetMode="External"/><Relationship Id="rId3559" Type="http://schemas.openxmlformats.org/officeDocument/2006/relationships/hyperlink" Target="https://www.google.com/search?q=site%3Aufp.pt%20Reabilita&#231;&#227;o%20de%20Edif&#237;cios%20p&#243;s-gradua&#231;&#227;o" TargetMode="External"/><Relationship Id="rId4957" Type="http://schemas.openxmlformats.org/officeDocument/2006/relationships/hyperlink" Target="https://www.google.com/search?q=site%3Aulisboa.pt%20Gest&#227;o%20e%20Avalia&#231;&#227;o%20Imobili&#225;ria%20p&#243;s-gradua&#231;&#227;o" TargetMode="External"/><Relationship Id="rId687" Type="http://schemas.openxmlformats.org/officeDocument/2006/relationships/hyperlink" Target="https://www.google.com/search?q=site%3Aiees.pt%20Turismo%20licenciatura" TargetMode="External"/><Relationship Id="rId2368" Type="http://schemas.openxmlformats.org/officeDocument/2006/relationships/hyperlink" Target="https://www.google.com/search?q=site%3Aipv.pt%20Tecnologia%20e%20Design%20de%20Mobili&#225;rio%20licenciatura" TargetMode="External"/><Relationship Id="rId3766" Type="http://schemas.openxmlformats.org/officeDocument/2006/relationships/hyperlink" Target="https://www.google.com/search?q=site%3Alusofona.pt%20Descarboniza&#231;&#227;o%20do%20Transporte%20Mar&#237;timo%3A%20Estrat&#233;gias%20e%20Tecnologias%20de%20Futuro%20p&#243;s-gradua&#231;&#227;o" TargetMode="External"/><Relationship Id="rId3973" Type="http://schemas.openxmlformats.org/officeDocument/2006/relationships/hyperlink" Target="https://www.google.com/search?q=site%3Aunl.pt%20Marketing%20Anal&#237;tico%20%28120%20ECTS%29%20mestrado" TargetMode="External"/><Relationship Id="rId4817" Type="http://schemas.openxmlformats.org/officeDocument/2006/relationships/hyperlink" Target="https://www.google.com/search?q=site%3Aulisboa.pt%20Pol&#237;tica%20Social%20mestrado" TargetMode="External"/><Relationship Id="rId894" Type="http://schemas.openxmlformats.org/officeDocument/2006/relationships/hyperlink" Target="https://www.google.com/search?q=site%3Aipbeja.pt%20Turismo%20de%20Fronteira%20e%20Eurocidade%20CTeSP" TargetMode="External"/><Relationship Id="rId1177" Type="http://schemas.openxmlformats.org/officeDocument/2006/relationships/hyperlink" Target="https://www.google.com/search?q=site%3Aipcb.pt%20Ensino%20de%20M&#250;sica%20mestrado" TargetMode="External"/><Relationship Id="rId2575" Type="http://schemas.openxmlformats.org/officeDocument/2006/relationships/hyperlink" Target="https://www.google.com/search?q=site%3Aipp.pt%20Design%20de%20Mobili&#225;rio%20e%20Espa&#231;os%20CTeSP" TargetMode="External"/><Relationship Id="rId2782" Type="http://schemas.openxmlformats.org/officeDocument/2006/relationships/hyperlink" Target="https://www.google.com/search?q=site%3Aipp.pt%20Tradu&#231;&#227;o%20e%20Interpreta&#231;&#227;o%20Especializadas%20em%20L&#237;ngua%20Gestual%20Portuguesa%20mestrado" TargetMode="External"/><Relationship Id="rId3419" Type="http://schemas.openxmlformats.org/officeDocument/2006/relationships/hyperlink" Target="https://www.google.com/search?q=site%3Aeuropeia.pt%20Marketing%20e%20Publicidade%20licenciatura" TargetMode="External"/><Relationship Id="rId3626" Type="http://schemas.openxmlformats.org/officeDocument/2006/relationships/hyperlink" Target="https://www.google.com/search?q=site%3Aulusiada.pt%20Enfermagem%20em%20Emerg&#234;ncia%20e%20Trauma%20&#8211;%2023.&#170;%20edi&#231;&#227;o%20p&#243;s-gradua&#231;&#227;o" TargetMode="External"/><Relationship Id="rId3833" Type="http://schemas.openxmlformats.org/officeDocument/2006/relationships/hyperlink" Target="https://www.google.com/search?q=site%3Aunl.pt%20Engenharia%20e%20Gest&#227;o%20Industrial%20licenciatura" TargetMode="External"/><Relationship Id="rId547" Type="http://schemas.openxmlformats.org/officeDocument/2006/relationships/hyperlink" Target="https://www.google.com/search?q=site%3Aiseclisboa.pt%20Ci&#234;ncias%20Aeron&#225;uticas%20licenciatura" TargetMode="External"/><Relationship Id="rId754" Type="http://schemas.openxmlformats.org/officeDocument/2006/relationships/hyperlink" Target="https://www.google.com/search?q=site%3Aipg.pt%20Contabilidade%20licenciatura" TargetMode="External"/><Relationship Id="rId961" Type="http://schemas.openxmlformats.org/officeDocument/2006/relationships/hyperlink" Target="https://www.google.com/search?q=site%3Aipb.pt%20Gastronomia%20e%20Produ&#231;&#227;o%20Alimentar%20CTeSP" TargetMode="External"/><Relationship Id="rId1384" Type="http://schemas.openxmlformats.org/officeDocument/2006/relationships/hyperlink" Target="https://www.google.com/search?q=site%3Aipleiria.pt%20Automa&#231;&#227;o%2C%20Rob&#243;tica%20e%20Manuten&#231;&#227;o%20Industrial%20CTeSP" TargetMode="External"/><Relationship Id="rId1591" Type="http://schemas.openxmlformats.org/officeDocument/2006/relationships/hyperlink" Target="https://www.google.com/search?q=site%3Aipleiria.pt%20Fiscalidade%20p&#243;s-gradua&#231;&#227;o" TargetMode="External"/><Relationship Id="rId2228" Type="http://schemas.openxmlformats.org/officeDocument/2006/relationships/hyperlink" Target="https://www.google.com/search?q=site%3Aipvc.pt%20Gest&#227;o%20licenciatura" TargetMode="External"/><Relationship Id="rId2435" Type="http://schemas.openxmlformats.org/officeDocument/2006/relationships/hyperlink" Target="https://www.google.com/search?q=site%3Aipca.pt%20Gest&#227;o%20Empresarial%20CTeSP" TargetMode="External"/><Relationship Id="rId2642" Type="http://schemas.openxmlformats.org/officeDocument/2006/relationships/hyperlink" Target="https://www.google.com/search?q=site%3Aipp.pt%20Engenharia%20Geot&#233;cnica%20e%20Geoambiente%20licenciatura" TargetMode="External"/><Relationship Id="rId3900" Type="http://schemas.openxmlformats.org/officeDocument/2006/relationships/hyperlink" Target="https://www.google.com/search?q=site%3Aunl.pt%20Empreendedorismo%20de%20Impacto%20e%20Inova&#231;&#227;o%20mestrado" TargetMode="External"/><Relationship Id="rId5798" Type="http://schemas.openxmlformats.org/officeDocument/2006/relationships/hyperlink" Target="https://www.google.com/search?q=site%3Aium.pt%20Tecnologias%20Militares%20Navais%20licenciatura" TargetMode="External"/><Relationship Id="rId90" Type="http://schemas.openxmlformats.org/officeDocument/2006/relationships/hyperlink" Target="https://www.google.com/search?q=site%3Ajoaodedeus.pt%20Supervis&#227;o%20Pedag&#243;gica%20mestrado" TargetMode="External"/><Relationship Id="rId407" Type="http://schemas.openxmlformats.org/officeDocument/2006/relationships/hyperlink" Target="https://www.google.com/search?q=site%3Aisave.pt%20Sustentabilidade%20e%20Sa&#250;de%20Ambiental%20p&#243;s-gradua&#231;&#227;o" TargetMode="External"/><Relationship Id="rId614" Type="http://schemas.openxmlformats.org/officeDocument/2006/relationships/hyperlink" Target="https://www.google.com/search?q=site%3Aisla.pt%20Redes%20&#8211;%20Cisco%20Networking%20p&#243;s-gradua&#231;&#227;o" TargetMode="External"/><Relationship Id="rId821" Type="http://schemas.openxmlformats.org/officeDocument/2006/relationships/hyperlink" Target="https://www.google.com/search?q=site%3Aipluso.pt%20Gest&#227;o%20de%20Sistemas%20de%20Informa&#231;&#227;o%20CTeSP" TargetMode="External"/><Relationship Id="rId1037" Type="http://schemas.openxmlformats.org/officeDocument/2006/relationships/hyperlink" Target="https://www.google.com/search?q=site%3Aipb.pt%20Administra&#231;&#227;o%20Aut&#225;rquica%20mestrado" TargetMode="External"/><Relationship Id="rId1244" Type="http://schemas.openxmlformats.org/officeDocument/2006/relationships/hyperlink" Target="https://www.google.com/search?q=site%3Aipc.pt%20Biotecnologia%20licenciatura" TargetMode="External"/><Relationship Id="rId1451" Type="http://schemas.openxmlformats.org/officeDocument/2006/relationships/hyperlink" Target="https://www.google.com/search?q=site%3Aipleiria.pt%20Design%20Industrial%20licenciatura" TargetMode="External"/><Relationship Id="rId2502" Type="http://schemas.openxmlformats.org/officeDocument/2006/relationships/hyperlink" Target="https://www.google.com/search?q=site%3Aipca.pt%20Engenharia%20Inform&#225;tica%20mestrado" TargetMode="External"/><Relationship Id="rId5658" Type="http://schemas.openxmlformats.org/officeDocument/2006/relationships/hyperlink" Target="https://www.google.com/search?q=site%3Aup.pt%20Tecnologias%20Digitais%20Aplicadas%20&#224;s%20Ci&#234;ncias%20Agr&#225;rias%20e%20Veterin&#225;rias%20mestrado" TargetMode="External"/><Relationship Id="rId1104" Type="http://schemas.openxmlformats.org/officeDocument/2006/relationships/hyperlink" Target="https://www.google.com/search?q=site%3Aipb.pt%20Sistema%20de%20Normaliza&#231;&#227;o%20Contabil&#237;stica%20para%20as%20Administra&#231;&#245;es%20P&#250;blicas%20p&#243;s-gradua&#231;&#227;o" TargetMode="External"/><Relationship Id="rId1311" Type="http://schemas.openxmlformats.org/officeDocument/2006/relationships/hyperlink" Target="https://www.google.com/search?q=site%3Aipc.pt%20Engenharia%20Alimentar%20mestrado" TargetMode="External"/><Relationship Id="rId4467" Type="http://schemas.openxmlformats.org/officeDocument/2006/relationships/hyperlink" Target="https://www.google.com/search?q=site%3Auc.pt%20Psicologia%20do%20Trabalho%2C%20das%20Organiza&#231;&#245;es%20e%20dos%20Recursos%20Humanos%20mestrado" TargetMode="External"/><Relationship Id="rId4674" Type="http://schemas.openxmlformats.org/officeDocument/2006/relationships/hyperlink" Target="https://www.google.com/search?q=site%3Aulisboa.pt%20Direito%20e%20Pr&#225;tica%20Jur&#237;dica%20mestrado" TargetMode="External"/><Relationship Id="rId4881" Type="http://schemas.openxmlformats.org/officeDocument/2006/relationships/hyperlink" Target="https://www.google.com/search?q=site%3Aulisboa.pt%20Acesso%20ao%20Mercado%20Internacional%20p&#243;s-gradua&#231;&#227;o" TargetMode="External"/><Relationship Id="rId5518" Type="http://schemas.openxmlformats.org/officeDocument/2006/relationships/hyperlink" Target="https://www.google.com/search?q=site%3Aup.pt%20Desafios%20das%20Cidades%20mestrado" TargetMode="External"/><Relationship Id="rId5725" Type="http://schemas.openxmlformats.org/officeDocument/2006/relationships/hyperlink" Target="https://www.google.com/search?q=site%3Auac.pt%20Engenharia%20e%20Gest&#227;o%20de%20Sistemas%20de%20&#193;gua%20mestrado" TargetMode="External"/><Relationship Id="rId3069" Type="http://schemas.openxmlformats.org/officeDocument/2006/relationships/hyperlink" Target="https://www.google.com/search?q=site%3Aisg.pt%20Gest&#227;o%20do%20Turismo%20licenciatura" TargetMode="External"/><Relationship Id="rId3276" Type="http://schemas.openxmlformats.org/officeDocument/2006/relationships/hyperlink" Target="https://www.google.com/search?q=site%3Aucp.pt%20Cuidados%20Paliativos%20mestrado" TargetMode="External"/><Relationship Id="rId3483" Type="http://schemas.openxmlformats.org/officeDocument/2006/relationships/hyperlink" Target="https://www.google.com/search?q=site%3Aeuropeia.pt%20P&#243;s&#8209;Gradua&#231;&#227;o%20em%20Design%20para%20a%20Cer&#226;mica%20%28IADE%29%20p&#243;s-gradua&#231;&#227;o" TargetMode="External"/><Relationship Id="rId3690" Type="http://schemas.openxmlformats.org/officeDocument/2006/relationships/hyperlink" Target="https://www.google.com/search?q=site%3Alusofona.pt%20Estudos%20Europeus%2C%20Estudos%20Lus&#243;fonos%20e%20Rela&#231;&#245;es%20Internacionais%20licenciatura" TargetMode="External"/><Relationship Id="rId4327" Type="http://schemas.openxmlformats.org/officeDocument/2006/relationships/hyperlink" Target="https://www.google.com/search?q=site%3Auc.pt%20Sociologia%20licenciatura" TargetMode="External"/><Relationship Id="rId4534" Type="http://schemas.openxmlformats.org/officeDocument/2006/relationships/hyperlink" Target="https://www.google.com/search?q=site%3Aulisboa.pt%20Desenho%20licenciatura" TargetMode="External"/><Relationship Id="rId197" Type="http://schemas.openxmlformats.org/officeDocument/2006/relationships/hyperlink" Target="https://www.google.com/search?q=site%3Auatlantica.pt%20Enfermagem%20licenciatura" TargetMode="External"/><Relationship Id="rId2085" Type="http://schemas.openxmlformats.org/officeDocument/2006/relationships/hyperlink" Target="https://www.google.com/search?q=site%3Aipt.pt%20Gest&#227;o%20P&#250;blica%20e%20Social%20CTeSP" TargetMode="External"/><Relationship Id="rId2292" Type="http://schemas.openxmlformats.org/officeDocument/2006/relationships/hyperlink" Target="https://www.google.com/search?q=site%3Aipvc.pt%20One%20Health%20p&#243;s-gradua&#231;&#227;o" TargetMode="External"/><Relationship Id="rId3136" Type="http://schemas.openxmlformats.org/officeDocument/2006/relationships/hyperlink" Target="https://www.google.com/search?q=site%3Acespu.pt%20Ortodontia%20Cl&#237;nica%20&#8211;%202.&#170;%20edi&#231;&#227;o%20p&#243;s-gradua&#231;&#227;o" TargetMode="External"/><Relationship Id="rId3343" Type="http://schemas.openxmlformats.org/officeDocument/2006/relationships/hyperlink" Target="https://www.google.com/search?q=site%3Aucp.pt%20Tradu&#231;&#227;o%20mestrado" TargetMode="External"/><Relationship Id="rId4741" Type="http://schemas.openxmlformats.org/officeDocument/2006/relationships/hyperlink" Target="https://www.google.com/search?q=site%3Aulisboa.pt%20Estudos%20Africanos%20mestrado" TargetMode="External"/><Relationship Id="rId264" Type="http://schemas.openxmlformats.org/officeDocument/2006/relationships/hyperlink" Target="https://www.google.com/search?q=site%3Aesscvp.eu%20Acupuntura%20licenciatura" TargetMode="External"/><Relationship Id="rId471" Type="http://schemas.openxmlformats.org/officeDocument/2006/relationships/hyperlink" Target="https://www.google.com/search?q=site%3Aiscte-iul.pt%20Direc&#231;&#227;o%20Empresarial%20&#8211;%20Executive%20MBA%20p&#243;s-gradua&#231;&#227;o%20executiva" TargetMode="External"/><Relationship Id="rId2152" Type="http://schemas.openxmlformats.org/officeDocument/2006/relationships/hyperlink" Target="https://www.google.com/search?q=site%3Aipt.pt%20Marketing%20Digital%2C%20Intelig&#234;ncia%20Artificial%20e%20Projetos%20Digitais%20p&#243;s-gradua&#231;&#227;o" TargetMode="External"/><Relationship Id="rId3550" Type="http://schemas.openxmlformats.org/officeDocument/2006/relationships/hyperlink" Target="https://www.google.com/search?q=site%3Aufp.pt%20Health%20Consulting%20/%20Consultoria%20Aplicada%20&#224;%20&#225;rea%20da%20Sa&#250;de%20e%20do%20Medicamento%20p&#243;s-gradua&#231;&#227;o" TargetMode="External"/><Relationship Id="rId4601" Type="http://schemas.openxmlformats.org/officeDocument/2006/relationships/hyperlink" Target="https://www.google.com/search?q=site%3Aulisboa.pt%20Pintura%20licenciatura" TargetMode="External"/><Relationship Id="rId124" Type="http://schemas.openxmlformats.org/officeDocument/2006/relationships/hyperlink" Target="https://www.google.com/search?q=site%3Aesepf.pt%20P&#243;s&#8209;Gradua&#231;&#227;o%20em%20Interven&#231;&#227;o%20em%20Creche%3A%20Bem&#8209;estar%20e%20Aprendizagem%20p&#243;s-gradua&#231;&#227;o" TargetMode="External"/><Relationship Id="rId3203" Type="http://schemas.openxmlformats.org/officeDocument/2006/relationships/hyperlink" Target="https://www.google.com/search?q=site%3Aautonoma.pt%20Psicologia%20licenciatura" TargetMode="External"/><Relationship Id="rId3410" Type="http://schemas.openxmlformats.org/officeDocument/2006/relationships/hyperlink" Target="https://www.google.com/search?q=site%3Aeuropeia.pt%20Gest&#227;o%20de%20Empresas%20%28regime%20de%20ensino%20a%20dist&#226;ncia%29%20licenciatura" TargetMode="External"/><Relationship Id="rId331" Type="http://schemas.openxmlformats.org/officeDocument/2006/relationships/hyperlink" Target="https://www.google.com/search?q=site%3Aess.ufp.pt%20Inova&#231;&#227;o%20Tecnol&#243;gica%20em%20Sa&#250;de%3A%20Biotecnologia%20Aplicada%20&#224;%20Sa&#250;de%20p&#243;s-gradua&#231;&#227;o" TargetMode="External"/><Relationship Id="rId2012" Type="http://schemas.openxmlformats.org/officeDocument/2006/relationships/hyperlink" Target="https://www.google.com/search?q=site%3Aips.pt%20Engenharia%20Mec&#226;nica%20licenciatura" TargetMode="External"/><Relationship Id="rId2969" Type="http://schemas.openxmlformats.org/officeDocument/2006/relationships/hyperlink" Target="https://www.google.com/search?q=site%3Aisced.pt%20Servi&#231;o%20Familiar%20e%20Comunit&#225;rio%20CTeSP" TargetMode="External"/><Relationship Id="rId5168" Type="http://schemas.openxmlformats.org/officeDocument/2006/relationships/hyperlink" Target="https://www.google.com/search?q=site%3Auevora.pt%20Matem&#225;tica%20Aplicada%20&#224;%20Economia%20e%20&#224;%20Gest&#227;o%20licenciatura" TargetMode="External"/><Relationship Id="rId5375" Type="http://schemas.openxmlformats.org/officeDocument/2006/relationships/hyperlink" Target="https://www.google.com/search?q=site%3Aualg.pt%20Inova&#231;&#227;o%20Qu&#237;mica%20e%20Regulamenta&#231;&#227;o%20%28Erasmus%20Mundus%29%20mestrado" TargetMode="External"/><Relationship Id="rId5582" Type="http://schemas.openxmlformats.org/officeDocument/2006/relationships/hyperlink" Target="https://www.google.com/search?q=site%3Aup.pt%20Estudos%20Anglo-Americanos%20mestrado" TargetMode="External"/><Relationship Id="rId1778" Type="http://schemas.openxmlformats.org/officeDocument/2006/relationships/hyperlink" Target="https://www.google.com/search?q=site%3Aipportalegre.pt%20Viticultura%20e%20Enologia%20CTeSP" TargetMode="External"/><Relationship Id="rId1985" Type="http://schemas.openxmlformats.org/officeDocument/2006/relationships/hyperlink" Target="https://www.google.com/search?q=site%3Aips.pt%20Produ&#231;&#227;o%20Audiovisual%20CTeSP" TargetMode="External"/><Relationship Id="rId2829" Type="http://schemas.openxmlformats.org/officeDocument/2006/relationships/hyperlink" Target="https://www.google.com/search?q=site%3Aipp.pt%20Qualidade%20e%20Sa&#250;de%20em%20Gastronomia%20p&#243;s-gradua&#231;&#227;o" TargetMode="External"/><Relationship Id="rId4184" Type="http://schemas.openxmlformats.org/officeDocument/2006/relationships/hyperlink" Target="https://www.google.com/search?q=site%3Aismai.pt%20Inform&#225;tica%20%28regime%20de%20ensino%20a%20dist&#226;ncia%29%20mestrado" TargetMode="External"/><Relationship Id="rId4391" Type="http://schemas.openxmlformats.org/officeDocument/2006/relationships/hyperlink" Target="https://www.google.com/search?q=site%3Auc.pt%20Engenharia%20do%20Ambiente%20e%20Sustentabilidade%20mestrado" TargetMode="External"/><Relationship Id="rId5028" Type="http://schemas.openxmlformats.org/officeDocument/2006/relationships/hyperlink" Target="https://www.google.com/search?q=site%3Autad.pt%20Ci&#234;ncias%20do%20Desporto%20licenciatura" TargetMode="External"/><Relationship Id="rId5235" Type="http://schemas.openxmlformats.org/officeDocument/2006/relationships/hyperlink" Target="https://www.google.com/search?q=site%3Auevora.pt%20Inspe&#231;&#227;o%20da%20Educa&#231;&#227;o%20%28S&#227;o%20Tom&#233;%20e%20Pr&#237;ncipe%29%20p&#243;s-gradua&#231;&#227;o" TargetMode="External"/><Relationship Id="rId5442" Type="http://schemas.openxmlformats.org/officeDocument/2006/relationships/hyperlink" Target="https://www.google.com/search?q=site%3Aup.pt%20Engenharia%20Inform&#225;tica%20e%20Computa&#231;&#227;o%20licenciatura" TargetMode="External"/><Relationship Id="rId1638" Type="http://schemas.openxmlformats.org/officeDocument/2006/relationships/hyperlink" Target="https://www.google.com/search?q=site%3Aipl.pt%20Farm&#225;cia%20licenciatura" TargetMode="External"/><Relationship Id="rId4044" Type="http://schemas.openxmlformats.org/officeDocument/2006/relationships/hyperlink" Target="https://www.google.com/search?q=site%3Aunl.pt%20Customer%20Experience%20p&#243;s-gradua&#231;&#227;o" TargetMode="External"/><Relationship Id="rId4251" Type="http://schemas.openxmlformats.org/officeDocument/2006/relationships/hyperlink" Target="https://www.google.com/search?q=site%3Aua.pt%20Enfermagem%20M&#233;dico&#8209;Cir&#250;rgica%2C%20na%20&#225;rea%20de%20Enfermagem%20&#224;%20Pessoa%20em%20Situa&#231;&#227;o%20Cr&#243;nica%20mestrado" TargetMode="External"/><Relationship Id="rId5302" Type="http://schemas.openxmlformats.org/officeDocument/2006/relationships/hyperlink" Target="https://www.google.com/search?q=site%3Aualg.pt%20Gest&#227;o%20licenciatura" TargetMode="External"/><Relationship Id="rId1845" Type="http://schemas.openxmlformats.org/officeDocument/2006/relationships/hyperlink" Target="https://www.google.com/search?q=site%3Aipsantarem.pt%20Pintura%20e%20Ilustra&#231;&#227;o%20CTeSP" TargetMode="External"/><Relationship Id="rId3060" Type="http://schemas.openxmlformats.org/officeDocument/2006/relationships/hyperlink" Target="https://www.google.com/search?q=site%3Aisvouga.pt%20Ciberseguran&#231;a%20p&#243;s-gradua&#231;&#227;o" TargetMode="External"/><Relationship Id="rId4111" Type="http://schemas.openxmlformats.org/officeDocument/2006/relationships/hyperlink" Target="https://www.google.com/search?q=site%3Aupt.pt%20Psicologia%20Cl&#237;nica%20e%20da%20Sa&#250;de%20mestrado" TargetMode="External"/><Relationship Id="rId1705" Type="http://schemas.openxmlformats.org/officeDocument/2006/relationships/hyperlink" Target="https://www.google.com/search?q=site%3Aipl.pt%20Nutri&#231;&#227;o%20Cl&#237;nica%20mestrado" TargetMode="External"/><Relationship Id="rId1912" Type="http://schemas.openxmlformats.org/officeDocument/2006/relationships/hyperlink" Target="https://www.google.com/search?q=site%3Aipsantarem.pt%20Tecnologia%20Alimentar%20mestrado" TargetMode="External"/><Relationship Id="rId3877" Type="http://schemas.openxmlformats.org/officeDocument/2006/relationships/hyperlink" Target="https://www.google.com/search?q=site%3Aunl.pt%20Ci&#234;ncias%20Musicais%20mestrado" TargetMode="External"/><Relationship Id="rId4928" Type="http://schemas.openxmlformats.org/officeDocument/2006/relationships/hyperlink" Target="https://www.google.com/search?q=site%3Aulisboa.pt%20Curso%20p&#243;s-graduado%20de%20especializa&#231;&#227;o%20em%20Periodontologia%20p&#243;s-gradua&#231;&#227;o" TargetMode="External"/><Relationship Id="rId5092" Type="http://schemas.openxmlformats.org/officeDocument/2006/relationships/hyperlink" Target="https://www.google.com/search?q=site%3Autad.pt%20Engenharia%20Agron&#243;mica%20mestrado" TargetMode="External"/><Relationship Id="rId798" Type="http://schemas.openxmlformats.org/officeDocument/2006/relationships/hyperlink" Target="https://www.google.com/search?q=site%3Aipg.pt%20T&#233;cnico%20Superior%20de%20Seguran&#231;a%20no%20Trabalho%20p&#243;s-gradua&#231;&#227;o" TargetMode="External"/><Relationship Id="rId2479" Type="http://schemas.openxmlformats.org/officeDocument/2006/relationships/hyperlink" Target="https://www.google.com/search?q=site%3Aipca.pt%20Desporto%20licenciatura" TargetMode="External"/><Relationship Id="rId2686" Type="http://schemas.openxmlformats.org/officeDocument/2006/relationships/hyperlink" Target="https://www.google.com/search?q=site%3Aipp.pt%20Tecnologias%20da%20Madeira%20licenciatura" TargetMode="External"/><Relationship Id="rId2893" Type="http://schemas.openxmlformats.org/officeDocument/2006/relationships/hyperlink" Target="https://www.google.com/search?q=site%3Aismat.pt%20Ci&#234;ncias%20do%20Desporto%20licenciatura" TargetMode="External"/><Relationship Id="rId3737" Type="http://schemas.openxmlformats.org/officeDocument/2006/relationships/hyperlink" Target="https://www.google.com/search?q=site%3Alusofona.pt%20Gest&#227;o%20mestrado" TargetMode="External"/><Relationship Id="rId3944" Type="http://schemas.openxmlformats.org/officeDocument/2006/relationships/hyperlink" Target="https://www.google.com/search?q=site%3Aunl.pt%20Fisioterapia%20em%20Condi&#231;&#245;es%20M&#250;sculo-Esquel&#233;ticas%20mestrado" TargetMode="External"/><Relationship Id="rId658" Type="http://schemas.openxmlformats.org/officeDocument/2006/relationships/hyperlink" Target="https://www.google.com/search?q=site%3Aistec.pt%20Intelig&#234;ncia%20Artificial%20Respons&#225;vel%20p&#243;s-gradua&#231;&#227;o" TargetMode="External"/><Relationship Id="rId865" Type="http://schemas.openxmlformats.org/officeDocument/2006/relationships/hyperlink" Target="https://www.google.com/search?q=site%3Aipmaia.pt%20Servi&#231;os%20Jur&#237;dicos%20CTeSP" TargetMode="External"/><Relationship Id="rId1288" Type="http://schemas.openxmlformats.org/officeDocument/2006/relationships/hyperlink" Target="https://www.google.com/search?q=site%3Aipc.pt%20Zootecnia%20licenciatura" TargetMode="External"/><Relationship Id="rId1495" Type="http://schemas.openxmlformats.org/officeDocument/2006/relationships/hyperlink" Target="https://www.google.com/search?q=site%3Aipleiria.pt%20Aquacultura%20mestrado" TargetMode="External"/><Relationship Id="rId2339" Type="http://schemas.openxmlformats.org/officeDocument/2006/relationships/hyperlink" Target="https://www.google.com/search?q=site%3Aipv.pt%20Ci&#234;ncia%20e%20Tecnologia%20Animal%20licenciatura" TargetMode="External"/><Relationship Id="rId2546" Type="http://schemas.openxmlformats.org/officeDocument/2006/relationships/hyperlink" Target="https://www.google.com/search?q=site%3Aipca.pt%20Forma&#231;&#227;o%20de%20Equipas%20T&#233;cnicas%20no%20Futebol%20p&#243;s-gradua&#231;&#227;o" TargetMode="External"/><Relationship Id="rId2753" Type="http://schemas.openxmlformats.org/officeDocument/2006/relationships/hyperlink" Target="https://www.google.com/search?q=site%3Aipp.pt%20Gest&#227;o%20e%20Decis&#227;o%20Industrial%20mestrado" TargetMode="External"/><Relationship Id="rId2960" Type="http://schemas.openxmlformats.org/officeDocument/2006/relationships/hyperlink" Target="https://www.google.com/search?q=site%3Aisag.pt%20Modelos%20&#193;geis%20de%20Gest&#227;o%20e%20Transforma&#231;&#227;o%20Organizacional%20p&#243;s-gradua&#231;&#227;o" TargetMode="External"/><Relationship Id="rId3804" Type="http://schemas.openxmlformats.org/officeDocument/2006/relationships/hyperlink" Target="https://www.google.com/search?q=site%3Aunl.pt%20Antropologia%20licenciatura" TargetMode="External"/><Relationship Id="rId518" Type="http://schemas.openxmlformats.org/officeDocument/2006/relationships/hyperlink" Target="https://www.google.com/search?q=site%3Aisec.pt%20Engenharia%20Mec&#226;nica%20mestrado" TargetMode="External"/><Relationship Id="rId725" Type="http://schemas.openxmlformats.org/officeDocument/2006/relationships/hyperlink" Target="https://www.google.com/search?q=site%3Aipg.pt%20Gest&#227;o%20Administrativa%20em%20Sa&#250;de%20CTeSP" TargetMode="External"/><Relationship Id="rId932" Type="http://schemas.openxmlformats.org/officeDocument/2006/relationships/hyperlink" Target="https://www.google.com/search?q=site%3Aipbeja.pt%20Sistemas%20de%20Informa&#231;&#227;o%20Geogr&#225;fica%20no%20Setor%20Florestal%20p&#243;s-gradua&#231;&#227;o" TargetMode="External"/><Relationship Id="rId1148" Type="http://schemas.openxmlformats.org/officeDocument/2006/relationships/hyperlink" Target="https://www.google.com/search?q=site%3Aipcb.pt%20Fisiologia%20Cl&#237;nica%20licenciatura" TargetMode="External"/><Relationship Id="rId1355" Type="http://schemas.openxmlformats.org/officeDocument/2006/relationships/hyperlink" Target="https://www.google.com/search?q=site%3Aipc.pt%20Educa&#231;&#227;o%20e%20Lazer%20p&#243;s-gradua&#231;&#227;o" TargetMode="External"/><Relationship Id="rId1562" Type="http://schemas.openxmlformats.org/officeDocument/2006/relationships/hyperlink" Target="https://www.google.com/search?q=site%3Aipleiria.pt%20Prescri&#231;&#227;o%20do%20Exerc&#237;cio%20e%20Promo&#231;&#227;o%20da%20Sa&#250;de%20mestrado" TargetMode="External"/><Relationship Id="rId2406" Type="http://schemas.openxmlformats.org/officeDocument/2006/relationships/hyperlink" Target="https://www.google.com/search?q=site%3Aipv.pt%20Engenharia%20Electrot&#233;cnica%20&#8211;%20Energia%20e%20Automa&#231;&#227;o%20Industrial%20p&#243;s-gradua&#231;&#227;o" TargetMode="External"/><Relationship Id="rId2613" Type="http://schemas.openxmlformats.org/officeDocument/2006/relationships/hyperlink" Target="https://www.google.com/search?q=site%3Aipp.pt%20Tecnologias%20da%20Informa&#231;&#227;o%20para%20a%20Inova&#231;&#227;o%20Empresarial%20CTeSP" TargetMode="External"/><Relationship Id="rId5769" Type="http://schemas.openxmlformats.org/officeDocument/2006/relationships/hyperlink" Target="https://www.google.com/search?q=site%3Auac.pt%20P&#243;s&#8209;Gradua&#231;&#227;o%20em%20Gest&#227;o%20do%20Meio%20Ambiente%20p&#243;s-gradua&#231;&#227;o" TargetMode="External"/><Relationship Id="rId1008" Type="http://schemas.openxmlformats.org/officeDocument/2006/relationships/hyperlink" Target="https://www.google.com/search?q=site%3Aipb.pt%20Engenharia%20Eletrot&#233;cnica%20e%20de%20Computadores%20licenciatura" TargetMode="External"/><Relationship Id="rId1215" Type="http://schemas.openxmlformats.org/officeDocument/2006/relationships/hyperlink" Target="https://www.google.com/search?q=site%3Aipc.pt%20Desporto%20CTeSP" TargetMode="External"/><Relationship Id="rId1422" Type="http://schemas.openxmlformats.org/officeDocument/2006/relationships/hyperlink" Target="https://www.google.com/search?q=site%3Aipleiria.pt%20Programa&#231;&#227;o%20de%20Sistemas%20de%20Informa&#231;&#227;o%20CTeSP" TargetMode="External"/><Relationship Id="rId2820" Type="http://schemas.openxmlformats.org/officeDocument/2006/relationships/hyperlink" Target="https://www.google.com/search?q=site%3Aipp.pt%20MBA%20Executivo%20p&#243;s-gradua&#231;&#227;o" TargetMode="External"/><Relationship Id="rId4578" Type="http://schemas.openxmlformats.org/officeDocument/2006/relationships/hyperlink" Target="https://www.google.com/search?q=site%3Aulisboa.pt%20Estudos%20Comparatistas%20licenciatura" TargetMode="External"/><Relationship Id="rId61" Type="http://schemas.openxmlformats.org/officeDocument/2006/relationships/hyperlink" Target="https://www.google.com/search?q=site%3Aesap.pt%20Curadoria%2C%20Cultura%20Urbana%20e%20Pr&#225;ticas%20Espaciais%20p&#243;s-gradua&#231;&#227;o" TargetMode="External"/><Relationship Id="rId3387" Type="http://schemas.openxmlformats.org/officeDocument/2006/relationships/hyperlink" Target="https://www.google.com/search?q=site%3Aeuropeia.pt%20Ci&#234;ncias%20da%20Comunica&#231;&#227;o%20%28regime%20de%20ensino%20a%20dist&#226;ncia%29%20licenciatura" TargetMode="External"/><Relationship Id="rId4785" Type="http://schemas.openxmlformats.org/officeDocument/2006/relationships/hyperlink" Target="https://www.google.com/search?q=site%3Aulisboa.pt%20Interioridade%20e%20Rela&#231;&#245;es%20Transfronteiri&#231;as%20mestrado" TargetMode="External"/><Relationship Id="rId4992" Type="http://schemas.openxmlformats.org/officeDocument/2006/relationships/hyperlink" Target="https://www.google.com/search?q=site%3Aulisboa.pt%20Psicologia%20para%20Pais%20p&#243;s-gradua&#231;&#227;o" TargetMode="External"/><Relationship Id="rId5629" Type="http://schemas.openxmlformats.org/officeDocument/2006/relationships/hyperlink" Target="https://www.google.com/search?q=site%3Aup.pt%20Neurobiologia%20mestrado" TargetMode="External"/><Relationship Id="rId2196" Type="http://schemas.openxmlformats.org/officeDocument/2006/relationships/hyperlink" Target="https://www.google.com/search?q=site%3Aipvc.pt%20Sistemas%20Eletr&#243;nicos%20e%20Computadores%20CTeSP" TargetMode="External"/><Relationship Id="rId3594" Type="http://schemas.openxmlformats.org/officeDocument/2006/relationships/hyperlink" Target="https://www.google.com/search?q=site%3Aulusiada.pt%20Criminologia%20mestrado" TargetMode="External"/><Relationship Id="rId4438" Type="http://schemas.openxmlformats.org/officeDocument/2006/relationships/hyperlink" Target="https://www.google.com/search?q=site%3Auc.pt%20Interven&#231;&#245;es%20Cognitivo-Comportamentais%20em%20Psicologia%20Cl&#237;nica%20e%20da%20Sa&#250;de%20mestrado" TargetMode="External"/><Relationship Id="rId4645" Type="http://schemas.openxmlformats.org/officeDocument/2006/relationships/hyperlink" Target="https://www.google.com/search?q=site%3Aulisboa.pt%20Ci&#234;ncias%20da%20Comunica&#231;&#227;o%20mestrado" TargetMode="External"/><Relationship Id="rId4852" Type="http://schemas.openxmlformats.org/officeDocument/2006/relationships/hyperlink" Target="https://www.google.com/search?q=site%3Aulisboa.pt%20Sustentabilidade%20Ambiental%20Aplicada%20mestrado" TargetMode="External"/><Relationship Id="rId168" Type="http://schemas.openxmlformats.org/officeDocument/2006/relationships/hyperlink" Target="https://www.google.com/search?q=site%3Aesenf.pt%20Enfermagem%20Perioperat&#243;ria%20p&#243;s-gradua&#231;&#227;o" TargetMode="External"/><Relationship Id="rId3247" Type="http://schemas.openxmlformats.org/officeDocument/2006/relationships/hyperlink" Target="https://www.google.com/search?q=site%3Aucp.pt%20Gest&#227;o%20Aplicada%20licenciatura" TargetMode="External"/><Relationship Id="rId3454" Type="http://schemas.openxmlformats.org/officeDocument/2006/relationships/hyperlink" Target="https://www.google.com/search?q=site%3Aeuropeia.pt%20Fisiologia%20do%20Exerc&#237;cio%20Cl&#237;nico%20%28regime%20de%20ensino%20a%20dist&#226;ncia%29%20mestrado" TargetMode="External"/><Relationship Id="rId3661" Type="http://schemas.openxmlformats.org/officeDocument/2006/relationships/hyperlink" Target="https://www.google.com/search?q=site%3Alusofona.pt%20Ci&#234;ncias%20da%20Comunica&#231;&#227;o%20licenciatura" TargetMode="External"/><Relationship Id="rId4505" Type="http://schemas.openxmlformats.org/officeDocument/2006/relationships/hyperlink" Target="https://www.google.com/search?q=site%3Auc.pt%20Medicina%20Veterin&#225;ria%20mestrado%20integrado" TargetMode="External"/><Relationship Id="rId4712" Type="http://schemas.openxmlformats.org/officeDocument/2006/relationships/hyperlink" Target="https://www.google.com/search?q=site%3Aulisboa.pt%20Engenharia%20da%20Energia%20e%20Ambiente%20mestrado" TargetMode="External"/><Relationship Id="rId375" Type="http://schemas.openxmlformats.org/officeDocument/2006/relationships/hyperlink" Target="https://www.google.com/search?q=site%3Aeuvg.pt%20Sa&#250;de%20P&#250;blica%20e%20One%20Health%20p&#243;s-gradua&#231;&#227;o" TargetMode="External"/><Relationship Id="rId582" Type="http://schemas.openxmlformats.org/officeDocument/2006/relationships/hyperlink" Target="https://www.google.com/search?q=site%3Aiseclisboa.pt%20Investiga&#231;&#227;o%20e%20Gest&#227;o%20do%20Design%20p&#243;s-gradua&#231;&#227;o" TargetMode="External"/><Relationship Id="rId2056" Type="http://schemas.openxmlformats.org/officeDocument/2006/relationships/hyperlink" Target="https://www.google.com/search?q=site%3Aips.pt%20Seguran&#231;a%20e%20Higiene%20no%20Trabalho%20mestrado" TargetMode="External"/><Relationship Id="rId2263" Type="http://schemas.openxmlformats.org/officeDocument/2006/relationships/hyperlink" Target="https://www.google.com/search?q=site%3Aipvc.pt%20Engenharia%20Mec&#226;nica%2C%20Energia%20e%20Materiais%20mestrado" TargetMode="External"/><Relationship Id="rId2470" Type="http://schemas.openxmlformats.org/officeDocument/2006/relationships/hyperlink" Target="https://www.google.com/search?q=site%3Aipca.pt%20Tecnologias%20e%20Inova&#231;&#227;o%20Inform&#225;tica%20CTeSP" TargetMode="External"/><Relationship Id="rId3107" Type="http://schemas.openxmlformats.org/officeDocument/2006/relationships/hyperlink" Target="https://www.google.com/search?q=site%3Acespu.pt%20Medicina%20Dent&#225;ria%20mestrado%20integrado" TargetMode="External"/><Relationship Id="rId3314" Type="http://schemas.openxmlformats.org/officeDocument/2006/relationships/hyperlink" Target="https://www.google.com/search?q=site%3Aucp.pt%20Gest&#227;o%20&#8211;%20Executivo%20mestrado" TargetMode="External"/><Relationship Id="rId3521" Type="http://schemas.openxmlformats.org/officeDocument/2006/relationships/hyperlink" Target="https://www.google.com/search?q=site%3Aufp.pt%20Biomedicina%20mestrado" TargetMode="External"/><Relationship Id="rId235" Type="http://schemas.openxmlformats.org/officeDocument/2006/relationships/hyperlink" Target="https://www.google.com/search?q=site%3Aegasmoniz.edu.pt%20Nutri&#231;&#227;o%20Cl&#237;nica%20mestrado" TargetMode="External"/><Relationship Id="rId442" Type="http://schemas.openxmlformats.org/officeDocument/2006/relationships/hyperlink" Target="https://www.google.com/search?q=site%3Aiscte-iul.pt%20Sociologia%20licenciatura" TargetMode="External"/><Relationship Id="rId1072" Type="http://schemas.openxmlformats.org/officeDocument/2006/relationships/hyperlink" Target="https://www.google.com/search?q=site%3Aipb.pt%20Inova&#231;&#227;o%20de%20Produtos%20e%20Processos%20mestrado" TargetMode="External"/><Relationship Id="rId2123" Type="http://schemas.openxmlformats.org/officeDocument/2006/relationships/hyperlink" Target="https://www.google.com/search?q=site%3Aipt.pt%20Inform&#225;tica%20e%20Tecnologias%20Multim&#233;dia%20licenciatura" TargetMode="External"/><Relationship Id="rId2330" Type="http://schemas.openxmlformats.org/officeDocument/2006/relationships/hyperlink" Target="https://www.google.com/search?q=site%3Aipv.pt%20Tecnologia%20Autom&#243;vel%20CTeSP" TargetMode="External"/><Relationship Id="rId5279" Type="http://schemas.openxmlformats.org/officeDocument/2006/relationships/hyperlink" Target="https://www.google.com/search?q=site%3Aualg.pt%20Bioqu&#237;mica%20licenciatura" TargetMode="External"/><Relationship Id="rId5486" Type="http://schemas.openxmlformats.org/officeDocument/2006/relationships/hyperlink" Target="https://www.google.com/search?q=site%3Aup.pt%20Biodiversidade%2C%20Gen&#233;tica%20e%20Conserva&#231;&#227;o%20mestrado" TargetMode="External"/><Relationship Id="rId5693" Type="http://schemas.openxmlformats.org/officeDocument/2006/relationships/hyperlink" Target="https://www.google.com/search?q=site%3Auac.pt%20Ci&#234;ncias%20do%20Oceano%20%28Ocean%20Sciences%29%20licenciatura" TargetMode="External"/><Relationship Id="rId302" Type="http://schemas.openxmlformats.org/officeDocument/2006/relationships/hyperlink" Target="https://www.google.com/search?q=site%3Aesscvp.eu%20Enfermagem%20Comunit&#225;ria%2C%20na%20&#193;rea%20de%20Enfermagem%20de%20Sa&#250;de%20Comunit&#225;ria%20e%20de%20Sa&#250;de%20P&#250;blica%20mestrado" TargetMode="External"/><Relationship Id="rId4088" Type="http://schemas.openxmlformats.org/officeDocument/2006/relationships/hyperlink" Target="https://www.google.com/search?q=site%3Aupt.pt%20Educa&#231;&#227;o%20Social%20licenciatura" TargetMode="External"/><Relationship Id="rId4295" Type="http://schemas.openxmlformats.org/officeDocument/2006/relationships/hyperlink" Target="https://www.google.com/search?q=site%3Auc.pt%20Engenharia%20F&#237;sica%20licenciatura" TargetMode="External"/><Relationship Id="rId5139" Type="http://schemas.openxmlformats.org/officeDocument/2006/relationships/hyperlink" Target="https://www.google.com/search?q=site%3Autad.pt%20Nutri&#231;&#227;o%20na%20Gest&#227;o%20das%20Doen&#231;as%20Cr&#243;nicas%20N&#227;o%20Transmiss&#237;veis%20%282.&#170;%20edi&#231;&#227;o%29%20p&#243;s-gradua&#231;&#227;o" TargetMode="External"/><Relationship Id="rId5346" Type="http://schemas.openxmlformats.org/officeDocument/2006/relationships/hyperlink" Target="https://www.google.com/search?q=site%3Aualg.pt%20Engenharia%20Eletrot&#233;cnica%20e%20de%20Computadores%20mestrado" TargetMode="External"/><Relationship Id="rId5553" Type="http://schemas.openxmlformats.org/officeDocument/2006/relationships/hyperlink" Target="https://www.google.com/search?q=site%3Aup.pt%20Engenharia%20de%20Redes%20e%20Sistemas%20Inform&#225;ticos%20mestrado" TargetMode="External"/><Relationship Id="rId1889" Type="http://schemas.openxmlformats.org/officeDocument/2006/relationships/hyperlink" Target="https://www.google.com/search?q=site%3Aipsantarem.pt%20Desporto%20de%20Recrea&#231;&#227;o%20mestrado" TargetMode="External"/><Relationship Id="rId4155" Type="http://schemas.openxmlformats.org/officeDocument/2006/relationships/hyperlink" Target="https://www.google.com/search?q=site%3Auma.pt%20Ci&#234;ncia%20Pol&#237;tica%20e%20Rela&#231;&#245;es%20Internacionais%20p&#243;s-gradua&#231;&#227;o" TargetMode="External"/><Relationship Id="rId4362" Type="http://schemas.openxmlformats.org/officeDocument/2006/relationships/hyperlink" Target="https://www.google.com/search?q=site%3Auc.pt%20Culturas%20Urbanas%20mestrado" TargetMode="External"/><Relationship Id="rId5206" Type="http://schemas.openxmlformats.org/officeDocument/2006/relationships/hyperlink" Target="https://www.google.com/search?q=site%3Auevora.pt%20Pol&#237;ticas%20de%20Bem%20Estar%20em%20Perspetiva%3A%20Evolu&#231;&#227;o%20Conceito%20e%20Atores%20mestrado" TargetMode="External"/><Relationship Id="rId5760" Type="http://schemas.openxmlformats.org/officeDocument/2006/relationships/hyperlink" Target="https://www.google.com/search?q=site%3Auac.pt%20Gest&#227;o%20de%20servi&#231;os%20de%20sa&#250;de%20p&#243;s-gradua&#231;&#227;o" TargetMode="External"/><Relationship Id="rId1749" Type="http://schemas.openxmlformats.org/officeDocument/2006/relationships/hyperlink" Target="https://www.google.com/search?q=site%3Aipportalegre.pt%20Apoio%20em%20Cuidados%20Continuados%20Integrados%20CTeSP" TargetMode="External"/><Relationship Id="rId1956" Type="http://schemas.openxmlformats.org/officeDocument/2006/relationships/hyperlink" Target="https://www.google.com/search?q=site%3Acespu.pt%20Nutri&#231;&#227;o%20e%20Suplementa&#231;&#227;o%20Alimentar%20&#8211;%207.&#170;%20edi&#231;&#227;o%20p&#243;s-gradua&#231;&#227;o" TargetMode="External"/><Relationship Id="rId3171" Type="http://schemas.openxmlformats.org/officeDocument/2006/relationships/hyperlink" Target="https://www.google.com/search?q=site%3Auab.pt%20Estat&#237;stica%2C%20Matem&#225;tica%20e%20Computa&#231;&#227;o%20mestrado" TargetMode="External"/><Relationship Id="rId4015" Type="http://schemas.openxmlformats.org/officeDocument/2006/relationships/hyperlink" Target="https://www.google.com/search?q=site%3Aunl.pt%20Tradu&#231;&#227;o%20mestrado" TargetMode="External"/><Relationship Id="rId5413" Type="http://schemas.openxmlformats.org/officeDocument/2006/relationships/hyperlink" Target="https://www.google.com/search?q=site%3Aup.pt%20Artes%20Pl&#225;sticas%20licenciatura" TargetMode="External"/><Relationship Id="rId5620" Type="http://schemas.openxmlformats.org/officeDocument/2006/relationships/hyperlink" Target="https://www.google.com/search?q=site%3Aup.pt%20Medicina%20Legal%20mestrado" TargetMode="External"/><Relationship Id="rId1609" Type="http://schemas.openxmlformats.org/officeDocument/2006/relationships/hyperlink" Target="https://www.google.com/search?q=site%3Aipleiria.pt%20Risco%20e%20Bem&#8209;Estar%20nas%20Organiza&#231;&#245;es%20p&#243;s-gradua&#231;&#227;o" TargetMode="External"/><Relationship Id="rId1816" Type="http://schemas.openxmlformats.org/officeDocument/2006/relationships/hyperlink" Target="https://www.google.com/search?q=site%3Aipportalegre.pt%20Inform&#225;tica%20mestrado" TargetMode="External"/><Relationship Id="rId4222" Type="http://schemas.openxmlformats.org/officeDocument/2006/relationships/hyperlink" Target="https://www.google.com/search?q=site%3Aua.pt%20Soldadura%20e%20Constru&#231;&#245;es%20Met&#225;licas%20CTeSP" TargetMode="External"/><Relationship Id="rId3031" Type="http://schemas.openxmlformats.org/officeDocument/2006/relationships/hyperlink" Target="https://www.google.com/search?q=site%3Aiscia.pt%20Educa&#231;&#227;o%20Social%20licenciatura" TargetMode="External"/><Relationship Id="rId3988" Type="http://schemas.openxmlformats.org/officeDocument/2006/relationships/hyperlink" Target="https://www.google.com/search?q=site%3Aunl.pt%20Paleontologia%20mestrado" TargetMode="External"/><Relationship Id="rId2797" Type="http://schemas.openxmlformats.org/officeDocument/2006/relationships/hyperlink" Target="https://www.google.com/search?q=site%3Aipp.pt%20Dire&#231;&#227;o%20Financeira%20%28Novo%20Plano%202025/2026%29%20p&#243;s-gradua&#231;&#227;o" TargetMode="External"/><Relationship Id="rId3848" Type="http://schemas.openxmlformats.org/officeDocument/2006/relationships/hyperlink" Target="https://www.google.com/search?q=site%3Aunl.pt%20Qu&#237;mica%20Aplicada%20licenciatura" TargetMode="External"/><Relationship Id="rId769" Type="http://schemas.openxmlformats.org/officeDocument/2006/relationships/hyperlink" Target="https://www.google.com/search?q=site%3Aipg.pt%20Gest&#227;o%20de%20Recursos%20Humanos%20licenciatura" TargetMode="External"/><Relationship Id="rId976" Type="http://schemas.openxmlformats.org/officeDocument/2006/relationships/hyperlink" Target="https://www.google.com/search?q=site%3Aipb.pt%20Prospe&#231;&#227;o%20Mineral%20e%20Geot&#233;cnica%20CTeSP" TargetMode="External"/><Relationship Id="rId1399" Type="http://schemas.openxmlformats.org/officeDocument/2006/relationships/hyperlink" Target="https://www.google.com/search?q=site%3Aipleiria.pt%20Gest&#227;o%20Energ&#233;tica%20e%20Ambiental%20CTeSP" TargetMode="External"/><Relationship Id="rId2657" Type="http://schemas.openxmlformats.org/officeDocument/2006/relationships/hyperlink" Target="https://www.google.com/search?q=site%3Aipp.pt%20Gest&#227;o%20Lingu&#237;stica%20para%20Neg&#243;cios%20Internacionais%20licenciatura" TargetMode="External"/><Relationship Id="rId5063" Type="http://schemas.openxmlformats.org/officeDocument/2006/relationships/hyperlink" Target="https://www.google.com/search?q=site%3Autad.pt%20Antropologia%20mestrado" TargetMode="External"/><Relationship Id="rId5270" Type="http://schemas.openxmlformats.org/officeDocument/2006/relationships/hyperlink" Target="https://www.google.com/search?q=site%3Aualg.pt%20Tecnologias%20de%20Informa&#231;&#227;o%20Urban&#237;stica%20e%20Arquitet&#243;nica%20CTeSP" TargetMode="External"/><Relationship Id="rId629" Type="http://schemas.openxmlformats.org/officeDocument/2006/relationships/hyperlink" Target="https://www.google.com/search?q=site%3Aispa.pt%20Neuropsicologia%20mestrado" TargetMode="External"/><Relationship Id="rId1259" Type="http://schemas.openxmlformats.org/officeDocument/2006/relationships/hyperlink" Target="https://www.google.com/search?q=site%3Aipc.pt%20Enfermagem%20Veterin&#225;ria%20licenciatura" TargetMode="External"/><Relationship Id="rId1466" Type="http://schemas.openxmlformats.org/officeDocument/2006/relationships/hyperlink" Target="https://www.google.com/search?q=site%3Aipleiria.pt%20Engenharia%20da%20Energia%20e%20do%20Ambiente%20licenciatura" TargetMode="External"/><Relationship Id="rId2864" Type="http://schemas.openxmlformats.org/officeDocument/2006/relationships/hyperlink" Target="https://www.google.com/search?q=site%3Aipam.pt%20P&#243;s&#8209;Gradua&#231;&#227;o%20em%20Organiza&#231;&#227;o%20de%20Eventos%20p&#243;s-gradua&#231;&#227;o" TargetMode="External"/><Relationship Id="rId3708" Type="http://schemas.openxmlformats.org/officeDocument/2006/relationships/hyperlink" Target="https://www.google.com/search?q=site%3Alusofona.pt%20Turismo%20e%20Gest&#227;o%20de%20Empresas%20Tur&#237;sticas%20licenciatura" TargetMode="External"/><Relationship Id="rId3915" Type="http://schemas.openxmlformats.org/officeDocument/2006/relationships/hyperlink" Target="https://www.google.com/search?q=site%3Aunl.pt%20Engenharia%20de%20Nanossistemas%20e%20Sistemas%20Embutidos%20-%20da%20Nanotecnologia%20at&#233;%20Sensores%20inteligentes%20para%20IoT%20%28Mestrado%20Europeu%29%20mestrado" TargetMode="External"/><Relationship Id="rId5130" Type="http://schemas.openxmlformats.org/officeDocument/2006/relationships/hyperlink" Target="https://www.google.com/search?q=site%3Autad.pt%20Servi&#231;o%20Social%20mestrado" TargetMode="External"/><Relationship Id="rId836" Type="http://schemas.openxmlformats.org/officeDocument/2006/relationships/hyperlink" Target="https://www.google.com/search?q=site%3Aipluso.pt%20Farm&#225;cia%20licenciatura" TargetMode="External"/><Relationship Id="rId1119" Type="http://schemas.openxmlformats.org/officeDocument/2006/relationships/hyperlink" Target="https://www.google.com/search?q=site%3Aipcb.pt%20Energias%20Renov&#225;veis%20CTeSP" TargetMode="External"/><Relationship Id="rId1673" Type="http://schemas.openxmlformats.org/officeDocument/2006/relationships/hyperlink" Target="https://www.google.com/search?q=site%3Aipl.pt%20Educa&#231;&#227;o%20Matem&#225;tica%20na%20Educa&#231;&#227;o%20Pr&#233;-Escolar%20e%20nos%201.&#186;%20e%202.&#186;%20Ciclos%20do%20Ensino%20B&#225;sico%20mestrado" TargetMode="External"/><Relationship Id="rId1880" Type="http://schemas.openxmlformats.org/officeDocument/2006/relationships/hyperlink" Target="https://www.google.com/search?q=site%3Aipsantarem.pt%20Produ&#231;&#227;o%20Multim&#233;dia%20em%20Educa&#231;&#227;o%20licenciatura" TargetMode="External"/><Relationship Id="rId2517" Type="http://schemas.openxmlformats.org/officeDocument/2006/relationships/hyperlink" Target="https://www.google.com/search?q=site%3Aipca.pt%20Log&#237;stica%20mestrado" TargetMode="External"/><Relationship Id="rId2724" Type="http://schemas.openxmlformats.org/officeDocument/2006/relationships/hyperlink" Target="https://www.google.com/search?q=site%3Aipp.pt%20Engenharia%20Eletrot&#233;cnica%20-%20Sistemas%20El&#233;tricos%20de%20Energia%20mestrado" TargetMode="External"/><Relationship Id="rId2931" Type="http://schemas.openxmlformats.org/officeDocument/2006/relationships/hyperlink" Target="https://www.google.com/search?q=site%3Aispgaya.pt%20Gest&#227;o%20de%20Atividades%20Tur&#237;sticas%204.0%20CTeSP" TargetMode="External"/><Relationship Id="rId903" Type="http://schemas.openxmlformats.org/officeDocument/2006/relationships/hyperlink" Target="https://www.google.com/search?q=site%3Aipbeja.pt%20Engenharia%20Inform&#225;tica%20licenciatura" TargetMode="External"/><Relationship Id="rId1326" Type="http://schemas.openxmlformats.org/officeDocument/2006/relationships/hyperlink" Target="https://www.google.com/search?q=site%3Aipc.pt%20Imagem%20M&#233;dica%20e%20Radioterapia%20mestrado" TargetMode="External"/><Relationship Id="rId1533" Type="http://schemas.openxmlformats.org/officeDocument/2006/relationships/hyperlink" Target="https://www.google.com/search?q=site%3Aipleiria.pt%20Enfermagem%20de%20Sa&#250;de%20Mental%20e%20Psiqui&#225;trica%20mestrado" TargetMode="External"/><Relationship Id="rId1740" Type="http://schemas.openxmlformats.org/officeDocument/2006/relationships/hyperlink" Target="https://www.google.com/search?q=site%3Aipl.pt%20Produ&#231;&#227;o%20Audiovisual%20na%20&#193;rea%20da%20M&#250;sica%20p&#243;s-gradua&#231;&#227;o" TargetMode="External"/><Relationship Id="rId4689" Type="http://schemas.openxmlformats.org/officeDocument/2006/relationships/hyperlink" Target="https://www.google.com/search?q=site%3Aulisboa.pt%20Engenharia%20Aeroespacial%20mestrado" TargetMode="External"/><Relationship Id="rId4896" Type="http://schemas.openxmlformats.org/officeDocument/2006/relationships/hyperlink" Target="https://www.google.com/search?q=site%3Aulisboa.pt%20Cl&#237;nica%20Integrada%20de%20Medicina%20Dent&#225;ria%20p&#243;s-gradua&#231;&#227;o" TargetMode="External"/><Relationship Id="rId32" Type="http://schemas.openxmlformats.org/officeDocument/2006/relationships/hyperlink" Target="https://www.google.com/search?q=site%3Aenautica.pt%20Navega&#231;&#227;o%2C%20Op.%20Mar&#237;timo-Portu&#225;rias%20e%20Pesca%20CTeSP" TargetMode="External"/><Relationship Id="rId1600" Type="http://schemas.openxmlformats.org/officeDocument/2006/relationships/hyperlink" Target="https://www.google.com/search?q=site%3Aipleiria.pt%20Marketing%20Digital%20&#8211;%204.&#170;%20Edi&#231;&#227;o%20p&#243;s-gradua&#231;&#227;o" TargetMode="External"/><Relationship Id="rId3498" Type="http://schemas.openxmlformats.org/officeDocument/2006/relationships/hyperlink" Target="https://www.google.com/search?q=site%3Aeuropeia.pt%20P&#243;s&#8209;Gradua&#231;&#227;o%20em%20Lideran&#231;a%20e%20Desenvolvimento%20Pessoal%20p&#243;s-gradua&#231;&#227;o" TargetMode="External"/><Relationship Id="rId4549" Type="http://schemas.openxmlformats.org/officeDocument/2006/relationships/hyperlink" Target="https://www.google.com/search?q=site%3Aulisboa.pt%20Engenharia%20Civil%20%28ULisboa%20e%20SHU%29%20licenciatura" TargetMode="External"/><Relationship Id="rId4756" Type="http://schemas.openxmlformats.org/officeDocument/2006/relationships/hyperlink" Target="https://www.google.com/search?q=site%3Aulisboa.pt%20Geografia%20F&#237;sica%20e%20Ordenamento%20do%20Territ&#243;rio%20mestrado" TargetMode="External"/><Relationship Id="rId4963" Type="http://schemas.openxmlformats.org/officeDocument/2006/relationships/hyperlink" Target="https://www.google.com/search?q=site%3Aulisboa.pt%20Ilustra&#231;&#227;o%20e%20Narrativa%20Visual%20p&#243;s-gradua&#231;&#227;o" TargetMode="External"/><Relationship Id="rId3358" Type="http://schemas.openxmlformats.org/officeDocument/2006/relationships/hyperlink" Target="https://www.google.com/search?q=site%3Aucp.pt%20Gest&#227;o%20e%20Lideran&#231;a%20%28Gest&#227;o%29%20p&#243;s-gradua&#231;&#227;o" TargetMode="External"/><Relationship Id="rId3565" Type="http://schemas.openxmlformats.org/officeDocument/2006/relationships/hyperlink" Target="https://www.google.com/search?q=site%3Aufp.pt%20MBA%20em%20Gest&#227;o%20de%20Projetos%20p&#243;s-gradua&#231;&#227;o%20executiva" TargetMode="External"/><Relationship Id="rId3772" Type="http://schemas.openxmlformats.org/officeDocument/2006/relationships/hyperlink" Target="https://www.google.com/search?q=site%3Alusofona.pt%20E&#8209;commerce%20&#8211;%20Edi&#231;&#227;o%20Online%20p&#243;s-gradua&#231;&#227;o" TargetMode="External"/><Relationship Id="rId4409" Type="http://schemas.openxmlformats.org/officeDocument/2006/relationships/hyperlink" Target="https://www.google.com/search?q=site%3Auc.pt%20Estudos%20Curatoriais%20mestrado" TargetMode="External"/><Relationship Id="rId4616" Type="http://schemas.openxmlformats.org/officeDocument/2006/relationships/hyperlink" Target="https://www.google.com/search?q=site%3Aulisboa.pt%20An&#225;lises%20Cl&#237;nicas%20mestrado" TargetMode="External"/><Relationship Id="rId4823" Type="http://schemas.openxmlformats.org/officeDocument/2006/relationships/hyperlink" Target="https://www.google.com/search?q=site%3Aulisboa.pt%20Psicologia%20Cl&#237;nica%20e%20da%20Sa&#250;de%20mestrado" TargetMode="External"/><Relationship Id="rId279" Type="http://schemas.openxmlformats.org/officeDocument/2006/relationships/hyperlink" Target="https://www.google.com/search?q=site%3Aesscvp.eu%20Enfermagem%20Gerontogeri&#225;trica%20&#8211;%20NOVO%20p&#243;s-gradua&#231;&#227;o" TargetMode="External"/><Relationship Id="rId486" Type="http://schemas.openxmlformats.org/officeDocument/2006/relationships/hyperlink" Target="https://www.google.com/search?q=site%3Aisec.pt%20Instala&#231;&#245;es%20de%20&#193;gua%20e%20Saneamento%20CTeSP" TargetMode="External"/><Relationship Id="rId693" Type="http://schemas.openxmlformats.org/officeDocument/2006/relationships/hyperlink" Target="https://www.google.com/search?q=site%3Aiees.pt%20Gest&#227;o%20mestrado" TargetMode="External"/><Relationship Id="rId2167" Type="http://schemas.openxmlformats.org/officeDocument/2006/relationships/hyperlink" Target="https://www.google.com/search?q=site%3Aipvc.pt%20Fruticultura%2C%20Viticultura%20e%20Enologia%20CTeSP" TargetMode="External"/><Relationship Id="rId2374" Type="http://schemas.openxmlformats.org/officeDocument/2006/relationships/hyperlink" Target="https://www.google.com/search?q=site%3Aipv.pt%20Comunica&#231;&#227;o%20Aplicada%20mestrado" TargetMode="External"/><Relationship Id="rId2581" Type="http://schemas.openxmlformats.org/officeDocument/2006/relationships/hyperlink" Target="https://www.google.com/search?q=site%3Aipp.pt%20Gest&#227;o%20Industrial%204.0%20CTeSP" TargetMode="External"/><Relationship Id="rId3218" Type="http://schemas.openxmlformats.org/officeDocument/2006/relationships/hyperlink" Target="https://www.google.com/search?q=site%3Aautonoma.pt%20MBA%20Data%20Science%20p&#243;s-gradua&#231;&#227;o%20executiva" TargetMode="External"/><Relationship Id="rId3425" Type="http://schemas.openxmlformats.org/officeDocument/2006/relationships/hyperlink" Target="https://www.google.com/search?q=site%3Aeuropeia.pt%20Tecnologias%20Criativas%20licenciatura" TargetMode="External"/><Relationship Id="rId3632" Type="http://schemas.openxmlformats.org/officeDocument/2006/relationships/hyperlink" Target="https://www.google.com/search?q=site%3Aulusiada.pt%20Gest&#227;o%20de%20Neg&#243;cios%20Digitais%20%5B2025/2026%5D%20p&#243;s-gradua&#231;&#227;o" TargetMode="External"/><Relationship Id="rId139" Type="http://schemas.openxmlformats.org/officeDocument/2006/relationships/hyperlink" Target="https://www.google.com/search?q=site%3Aesesfm.pt%20Hospitaliza&#231;&#227;o%20Domicili&#225;ria%20p&#243;s-gradua&#231;&#227;o" TargetMode="External"/><Relationship Id="rId346" Type="http://schemas.openxmlformats.org/officeDocument/2006/relationships/hyperlink" Target="https://www.google.com/search?q=site%3Asantamaria.pt%20Design%20Educacional%20e%20Tecnologias%20Digitais%20CTeSP" TargetMode="External"/><Relationship Id="rId553" Type="http://schemas.openxmlformats.org/officeDocument/2006/relationships/hyperlink" Target="https://www.google.com/search?q=site%3Aiseclisboa.pt%20Engenharia%20da%20Constru&#231;&#227;o%20e%20da%20Reabilita&#231;&#227;o%20licenciatura" TargetMode="External"/><Relationship Id="rId760" Type="http://schemas.openxmlformats.org/officeDocument/2006/relationships/hyperlink" Target="https://www.google.com/search?q=site%3Aipg.pt%20Energia%20e%20Ambiente%20licenciatura" TargetMode="External"/><Relationship Id="rId1183" Type="http://schemas.openxmlformats.org/officeDocument/2006/relationships/hyperlink" Target="https://www.google.com/search?q=site%3Aipcb.pt%20Inova&#231;&#227;o%20e%20Qualidade%20na%20Produ&#231;&#227;o%20Alimentar%20mestrado" TargetMode="External"/><Relationship Id="rId1390" Type="http://schemas.openxmlformats.org/officeDocument/2006/relationships/hyperlink" Target="https://www.google.com/search?q=site%3Aipleiria.pt%20Desenvolvimento%20Web%20e%20Multim&#233;dia%20CTeSP" TargetMode="External"/><Relationship Id="rId2027" Type="http://schemas.openxmlformats.org/officeDocument/2006/relationships/hyperlink" Target="https://www.google.com/search?q=site%3Aips.pt%20Ci&#234;ncia%20de%20Dados%20para%20Empresas%20mestrado" TargetMode="External"/><Relationship Id="rId2234" Type="http://schemas.openxmlformats.org/officeDocument/2006/relationships/hyperlink" Target="https://www.google.com/search?q=site%3Aipvc.pt%20Tecnologia%20dos%20Espa&#231;os%20Verdes%20licenciatura" TargetMode="External"/><Relationship Id="rId2441" Type="http://schemas.openxmlformats.org/officeDocument/2006/relationships/hyperlink" Target="https://www.google.com/search?q=site%3Aipca.pt%20Gest&#227;o%20de%20restaura&#231;&#227;o%20e%20de%20bebidas%20CTeSP" TargetMode="External"/><Relationship Id="rId5597" Type="http://schemas.openxmlformats.org/officeDocument/2006/relationships/hyperlink" Target="https://www.google.com/search?q=site%3Aup.pt%20Gest&#227;o%20mestrado" TargetMode="External"/><Relationship Id="rId206" Type="http://schemas.openxmlformats.org/officeDocument/2006/relationships/hyperlink" Target="https://www.google.com/search?q=site%3Auatlantica.pt%20Fisioterapia%20mestrado" TargetMode="External"/><Relationship Id="rId413" Type="http://schemas.openxmlformats.org/officeDocument/2006/relationships/hyperlink" Target="https://www.google.com/search?q=site%3Aisce.pt%20Gest&#227;o%20Tur&#237;stica%20licenciatura" TargetMode="External"/><Relationship Id="rId1043" Type="http://schemas.openxmlformats.org/officeDocument/2006/relationships/hyperlink" Target="https://www.google.com/search?q=site%3Aipb.pt%20Educa&#231;&#227;o%20Ambiental%20mestrado" TargetMode="External"/><Relationship Id="rId4199" Type="http://schemas.openxmlformats.org/officeDocument/2006/relationships/hyperlink" Target="https://www.google.com/search?q=site%3Aismai.pt%20P&#243;s-Gradua&#231;&#227;o%20em%20Cria&#231;&#227;o%20de%20Conte&#250;dos%20Digitais%20e%20Estrat&#233;gia%20Online%20p&#243;s-gradua&#231;&#227;o" TargetMode="External"/><Relationship Id="rId620" Type="http://schemas.openxmlformats.org/officeDocument/2006/relationships/hyperlink" Target="https://www.google.com/search?q=site%3Aispa.pt%20Biologia%20licenciatura" TargetMode="External"/><Relationship Id="rId1250" Type="http://schemas.openxmlformats.org/officeDocument/2006/relationships/hyperlink" Target="https://www.google.com/search?q=site%3Aipc.pt%20Comunica&#231;&#227;o%20Social%20licenciatura" TargetMode="External"/><Relationship Id="rId2301" Type="http://schemas.openxmlformats.org/officeDocument/2006/relationships/hyperlink" Target="https://www.google.com/search?q=site%3Aipv.pt%20Ciberseguran&#231;a%20e%20Telecomunica&#231;&#245;es%20CTeSP" TargetMode="External"/><Relationship Id="rId4059" Type="http://schemas.openxmlformats.org/officeDocument/2006/relationships/hyperlink" Target="https://www.google.com/search?q=site%3Aunl.pt%20Gest&#227;o%20Aplicada%20p&#243;s-gradua&#231;&#227;o" TargetMode="External"/><Relationship Id="rId5457" Type="http://schemas.openxmlformats.org/officeDocument/2006/relationships/hyperlink" Target="https://www.google.com/search?q=site%3Aup.pt%20Hist&#243;ria%20da%20Arte%20licenciatura" TargetMode="External"/><Relationship Id="rId5664" Type="http://schemas.openxmlformats.org/officeDocument/2006/relationships/hyperlink" Target="https://www.google.com/search?q=site%3Aup.pt%20Treino%20Desportivo%20mestrado" TargetMode="External"/><Relationship Id="rId1110" Type="http://schemas.openxmlformats.org/officeDocument/2006/relationships/hyperlink" Target="https://www.google.com/search?q=site%3Aipcb.pt%20Comunica&#231;&#245;es%20M&#243;veis%20CTeSP" TargetMode="External"/><Relationship Id="rId4266" Type="http://schemas.openxmlformats.org/officeDocument/2006/relationships/hyperlink" Target="https://www.ua.pt/pt/curso/216" TargetMode="External"/><Relationship Id="rId4473" Type="http://schemas.openxmlformats.org/officeDocument/2006/relationships/hyperlink" Target="https://www.google.com/search?q=site%3Auc.pt%20Reabilita&#231;&#227;o%20Urbana%20Integrada%20mestrado" TargetMode="External"/><Relationship Id="rId4680" Type="http://schemas.openxmlformats.org/officeDocument/2006/relationships/hyperlink" Target="https://www.google.com/search?q=site%3Aulisboa.pt%20Econometria%20Aplicada%20e%20Previs&#227;o%20mestrado" TargetMode="External"/><Relationship Id="rId5317" Type="http://schemas.openxmlformats.org/officeDocument/2006/relationships/hyperlink" Target="https://www.google.com/search?q=site%3Aualg.pt%20Tecnologia%20e%20Seguran&#231;a%20dos%20Alimentos%20licenciatura" TargetMode="External"/><Relationship Id="rId5524" Type="http://schemas.openxmlformats.org/officeDocument/2006/relationships/hyperlink" Target="https://www.google.com/search?q=site%3Aup.pt%20Design%20de%20Intera&#231;&#227;o%20e%20Meios%20Computacionais%20mestrado" TargetMode="External"/><Relationship Id="rId5731" Type="http://schemas.openxmlformats.org/officeDocument/2006/relationships/hyperlink" Target="https://www.google.com/search?q=site%3Auac.pt%20Estudos%20Integrados%20dos%20Oceanos%20mestrado" TargetMode="External"/><Relationship Id="rId1927" Type="http://schemas.openxmlformats.org/officeDocument/2006/relationships/hyperlink" Target="https://www.google.com/search?q=site%3Acespu.pt%20Farm&#225;cia%20licenciatura" TargetMode="External"/><Relationship Id="rId3075" Type="http://schemas.openxmlformats.org/officeDocument/2006/relationships/hyperlink" Target="https://www.google.com/search?q=site%3Aisg.pt%20P&#243;s&#8209;Gradua&#231;&#227;o%20em%20Coaching%20Executivo%20e%20Lideran&#231;a%20de%20Alta%20Performance%20p&#243;s-gradua&#231;&#227;o" TargetMode="External"/><Relationship Id="rId3282" Type="http://schemas.openxmlformats.org/officeDocument/2006/relationships/hyperlink" Target="https://www.google.com/search?q=site%3Aucp.pt%20Economia%20Empresarial%20mestrado" TargetMode="External"/><Relationship Id="rId4126" Type="http://schemas.openxmlformats.org/officeDocument/2006/relationships/hyperlink" Target="https://www.google.com/search?q=site%3Aubi.pt%20Ci&#234;ncias%20da%20Cultura%20licenciatura" TargetMode="External"/><Relationship Id="rId4333" Type="http://schemas.openxmlformats.org/officeDocument/2006/relationships/hyperlink" Target="https://www.google.com/search?q=site%3Auc.pt%20Antropologia%20M&#233;dica%20e%20Sa&#250;de%20Global%20mestrado" TargetMode="External"/><Relationship Id="rId4540" Type="http://schemas.openxmlformats.org/officeDocument/2006/relationships/hyperlink" Target="https://www.google.com/search?q=site%3Aulisboa.pt%20Economia%20licenciatura" TargetMode="External"/><Relationship Id="rId2091" Type="http://schemas.openxmlformats.org/officeDocument/2006/relationships/hyperlink" Target="https://www.google.com/search?q=site%3Aipt.pt%20Manuten&#231;&#227;o%20de%20Sistemas%20Mecatr&#243;nicos%20CTeSP" TargetMode="External"/><Relationship Id="rId3142" Type="http://schemas.openxmlformats.org/officeDocument/2006/relationships/hyperlink" Target="https://www.google.com/search?q=site%3Acespu.pt%20Psiquiatria%20Geri&#225;trica%20&#8211;%202.&#170;%20edi&#231;&#227;o%20p&#243;s-gradua&#231;&#227;o" TargetMode="External"/><Relationship Id="rId4400" Type="http://schemas.openxmlformats.org/officeDocument/2006/relationships/hyperlink" Target="https://www.google.com/search?q=site%3Auc.pt%20Ensino%20de%20Ingl&#234;s%20no%203.&#186;%20Ciclo%20do%20Ensino%20B&#225;sico%20e%20no%20Ensino%20Secund&#225;rio%20mestrado" TargetMode="External"/><Relationship Id="rId270" Type="http://schemas.openxmlformats.org/officeDocument/2006/relationships/hyperlink" Target="https://www.google.com/search?q=site%3Aesscvp.eu%20Enfermagem%20M&#233;dico-Cir&#250;rgica%20na%20&#225;rea%20de%20Enfermagem%20&#224;%20Pessoa%20em%20Situa&#231;&#227;o%20Cr&#243;nica%20mestrado" TargetMode="External"/><Relationship Id="rId3002" Type="http://schemas.openxmlformats.org/officeDocument/2006/relationships/hyperlink" Target="https://www.google.com/search?q=site%3Aiscet.pt%20Gest&#227;o%20de%20Vendas%20e%20Marketing%20CTeSP" TargetMode="External"/><Relationship Id="rId130" Type="http://schemas.openxmlformats.org/officeDocument/2006/relationships/hyperlink" Target="https://www.google.com/search?q=site%3Aesesfm.pt%20Enfermagem%20Oftalmol&#243;gica%20p&#243;s-gradua&#231;&#227;o" TargetMode="External"/><Relationship Id="rId3959" Type="http://schemas.openxmlformats.org/officeDocument/2006/relationships/hyperlink" Target="https://www.google.com/search?q=site%3Aunl.pt%20Hist&#243;ria%20mestrado" TargetMode="External"/><Relationship Id="rId5174" Type="http://schemas.openxmlformats.org/officeDocument/2006/relationships/hyperlink" Target="https://www.google.com/search?q=site%3Auevora.pt%20Arquitetura%20Paisagista%20mestrado" TargetMode="External"/><Relationship Id="rId5381" Type="http://schemas.openxmlformats.org/officeDocument/2006/relationships/hyperlink" Target="https://www.google.com/search?q=site%3Aualg.pt%20Psicologia%20Cl&#237;nica%20e%20da%20Sa&#250;de%20mestrado" TargetMode="External"/><Relationship Id="rId2768" Type="http://schemas.openxmlformats.org/officeDocument/2006/relationships/hyperlink" Target="https://www.google.com/search?q=site%3Aipp.pt%20Pr&#225;ticas%20Art&#237;sticas%20e%20Media&#231;&#227;o%20em%20Arte%20mestrado" TargetMode="External"/><Relationship Id="rId2975" Type="http://schemas.openxmlformats.org/officeDocument/2006/relationships/hyperlink" Target="https://www.google.com/search?q=site%3Aisced.pt%20Educa&#231;&#227;o%20Social%20licenciatura" TargetMode="External"/><Relationship Id="rId3819" Type="http://schemas.openxmlformats.org/officeDocument/2006/relationships/hyperlink" Target="https://www.google.com/search?q=site%3Aunl.pt%20Economia%20licenciatura" TargetMode="External"/><Relationship Id="rId5034" Type="http://schemas.openxmlformats.org/officeDocument/2006/relationships/hyperlink" Target="https://www.google.com/search?q=site%3Autad.pt%20Educa&#231;&#227;o%20B&#225;sica%20licenciatura" TargetMode="External"/><Relationship Id="rId947" Type="http://schemas.openxmlformats.org/officeDocument/2006/relationships/hyperlink" Target="https://www.google.com/search?q=site%3Aipb.pt%20Comunica&#231;&#227;o%20Digital%20CTeSP" TargetMode="External"/><Relationship Id="rId1577" Type="http://schemas.openxmlformats.org/officeDocument/2006/relationships/hyperlink" Target="https://www.google.com/search?q=site%3Aipleiria.pt%20Data%20Science%20and%20Digital%20Transformation%20p&#243;s-gradua&#231;&#227;o" TargetMode="External"/><Relationship Id="rId1784" Type="http://schemas.openxmlformats.org/officeDocument/2006/relationships/hyperlink" Target="https://www.google.com/search?q=site%3Aipportalegre.pt%20Educa&#231;&#227;o%20B&#225;sica%20licenciatura" TargetMode="External"/><Relationship Id="rId1991" Type="http://schemas.openxmlformats.org/officeDocument/2006/relationships/hyperlink" Target="https://www.google.com/search?q=site%3Aips.pt%20Sistemas%20Eletr&#243;nicos%20e%20Computadores%20CTeSP" TargetMode="External"/><Relationship Id="rId2628" Type="http://schemas.openxmlformats.org/officeDocument/2006/relationships/hyperlink" Target="https://www.google.com/search?q=site%3Aipp.pt%20Comunica&#231;&#227;o%20Empresarial%20licenciatura" TargetMode="External"/><Relationship Id="rId2835" Type="http://schemas.openxmlformats.org/officeDocument/2006/relationships/hyperlink" Target="https://www.google.com/search?q=site%3Aipp.pt%20Sommelier%20de%20Cervejas%20%28Novo%20Plano%29%20p&#243;s-gradua&#231;&#227;o" TargetMode="External"/><Relationship Id="rId4190" Type="http://schemas.openxmlformats.org/officeDocument/2006/relationships/hyperlink" Target="https://www.google.com/search?q=site%3Aismai.pt%20Transforma&#231;&#227;o%20Digital%20mestrado" TargetMode="External"/><Relationship Id="rId5241" Type="http://schemas.openxmlformats.org/officeDocument/2006/relationships/hyperlink" Target="https://www.google.com/search?q=site%3Auevora.pt%20Solo%20e%20&#225;gua%3A%20Bases%20para%20a%20sustentabilidade%20dos%20servi&#231;os%20dos%20ecossistemas%20p&#243;s-gradua&#231;&#227;o" TargetMode="External"/><Relationship Id="rId76" Type="http://schemas.openxmlformats.org/officeDocument/2006/relationships/hyperlink" Target="https://www.google.com/search?q=site%3Aesad.pt%20Artes%20Digitais%20e%20Multim&#233;dia%20licenciatura" TargetMode="External"/><Relationship Id="rId807" Type="http://schemas.openxmlformats.org/officeDocument/2006/relationships/hyperlink" Target="https://www.google.com/search?q=site%3Aipluso.pt%20Aplica&#231;&#245;es%20Inform&#225;ticas%20para%20Ci&#234;ncias%20de%20Dados%20CTeSP" TargetMode="External"/><Relationship Id="rId1437" Type="http://schemas.openxmlformats.org/officeDocument/2006/relationships/hyperlink" Target="https://www.google.com/search?q=site%3Aipleiria.pt%20Turismo%204.0%20CTeSP" TargetMode="External"/><Relationship Id="rId1644" Type="http://schemas.openxmlformats.org/officeDocument/2006/relationships/hyperlink" Target="https://www.google.com/search?q=site%3Aipl.pt%20Inform&#225;tica%20e%20Economia%20dos%20Dados%20licenciatura" TargetMode="External"/><Relationship Id="rId1851" Type="http://schemas.openxmlformats.org/officeDocument/2006/relationships/hyperlink" Target="https://www.google.com/search?q=site%3Aipsantarem.pt%20Secretariado%20em%20Sa&#250;de%20CTeSP" TargetMode="External"/><Relationship Id="rId2902" Type="http://schemas.openxmlformats.org/officeDocument/2006/relationships/hyperlink" Target="https://www.google.com/search?q=site%3Aismat.pt%20Psicologia%20licenciatura" TargetMode="External"/><Relationship Id="rId4050" Type="http://schemas.openxmlformats.org/officeDocument/2006/relationships/hyperlink" Target="https://www.google.com/search?q=site%3Aunl.pt%20Direito%20da%20Prote&#231;&#227;o%20de%20Dados%20Pessoais%20p&#243;s-gradua&#231;&#227;o" TargetMode="External"/><Relationship Id="rId5101" Type="http://schemas.openxmlformats.org/officeDocument/2006/relationships/hyperlink" Target="https://www.google.com/search?q=site%3Autad.pt%20Engenharia%20Zoot&#233;cnica%20mestrado" TargetMode="External"/><Relationship Id="rId1504" Type="http://schemas.openxmlformats.org/officeDocument/2006/relationships/hyperlink" Target="https://www.google.com/search?q=site%3Aipleiria.pt%20Ci&#234;ncias%20da%20Educa&#231;&#227;o%20-%20Gest&#227;o%20Escolar%20mestrado" TargetMode="External"/><Relationship Id="rId1711" Type="http://schemas.openxmlformats.org/officeDocument/2006/relationships/hyperlink" Target="https://www.google.com/search?q=site%3Aipl.pt%20Tecnologias%20Cl&#237;nico-Laboratoriais%20mestrado" TargetMode="External"/><Relationship Id="rId4867" Type="http://schemas.openxmlformats.org/officeDocument/2006/relationships/hyperlink" Target="https://www.google.com/search?q=site%3Aulisboa.pt%20Engenharia%20Biom&#233;dica%20e%20Biof&#237;sica%20mestrado%20integrado" TargetMode="External"/><Relationship Id="rId3469" Type="http://schemas.openxmlformats.org/officeDocument/2006/relationships/hyperlink" Target="https://www.google.com/search?q=site%3Aeuropeia.pt%20Neuropsicologia%20%28regime%20de%20ensino%20a%20dist&#226;ncia%29%20mestrado" TargetMode="External"/><Relationship Id="rId3676" Type="http://schemas.openxmlformats.org/officeDocument/2006/relationships/hyperlink" Target="https://www.google.com/search?q=site%3Alusofona.pt%20Direito%20licenciatura" TargetMode="External"/><Relationship Id="rId597" Type="http://schemas.openxmlformats.org/officeDocument/2006/relationships/hyperlink" Target="https://www.google.com/search?q=site%3Aisla.pt%20Gest&#227;o%20do%20Turismo%20licenciatura" TargetMode="External"/><Relationship Id="rId2278" Type="http://schemas.openxmlformats.org/officeDocument/2006/relationships/hyperlink" Target="https://www.google.com/search?q=site%3Aipvc.pt%20Tecnologias%20Digitais%20Aplicadas%20&#224;s%20Ci&#234;ncias%20Agr&#225;rias%20e%20Veterin&#225;rias%20mestrado" TargetMode="External"/><Relationship Id="rId2485" Type="http://schemas.openxmlformats.org/officeDocument/2006/relationships/hyperlink" Target="https://www.google.com/search?q=site%3Aipca.pt%20Engenharia%20em%20Desenvolvimento%20de%20Jogos%20Digitais%20licenciatura" TargetMode="External"/><Relationship Id="rId3329" Type="http://schemas.openxmlformats.org/officeDocument/2006/relationships/hyperlink" Target="https://www.google.com/search?q=site%3Aucp.pt%20Psicologia%20Cl&#237;nica%20e%20da%20Sa&#250;de%20mestrado" TargetMode="External"/><Relationship Id="rId3883" Type="http://schemas.openxmlformats.org/officeDocument/2006/relationships/hyperlink" Target="https://www.google.com/search?q=site%3Aunl.pt%20Conserva&#231;&#227;o%20e%20Restauro%20mestrado" TargetMode="External"/><Relationship Id="rId4727" Type="http://schemas.openxmlformats.org/officeDocument/2006/relationships/hyperlink" Target="https://www.google.com/search?q=site%3Aulisboa.pt%20Ensino%20de%20Economia%20e%20de%20Contabilidade%20mestrado" TargetMode="External"/><Relationship Id="rId4934" Type="http://schemas.openxmlformats.org/officeDocument/2006/relationships/hyperlink" Target="https://www.google.com/search?q=site%3Aulisboa.pt%20Desporto%20Adaptado%20p&#243;s-gradua&#231;&#227;o" TargetMode="External"/><Relationship Id="rId457" Type="http://schemas.openxmlformats.org/officeDocument/2006/relationships/hyperlink" Target="https://www.google.com/search?q=site%3Aiscte-iul.pt%20Desigualdades%2C%20Seguran&#231;a%20Social%20e%20Solidariedades%20p&#243;s-gradua&#231;&#227;o" TargetMode="External"/><Relationship Id="rId1087" Type="http://schemas.openxmlformats.org/officeDocument/2006/relationships/hyperlink" Target="https://www.google.com/search?q=site%3Aipb.pt%20Tradu&#231;&#227;o%20mestrado" TargetMode="External"/><Relationship Id="rId1294" Type="http://schemas.openxmlformats.org/officeDocument/2006/relationships/hyperlink" Target="https://www.google.com/search?q=site%3Aipc.pt%20Biotecnologia%20mestrado" TargetMode="External"/><Relationship Id="rId2138" Type="http://schemas.openxmlformats.org/officeDocument/2006/relationships/hyperlink" Target="https://www.google.com/search?q=site%3Aipt.pt%20Gest&#227;o%20de%20Empresas%20Familiares%20e%20Empreendedorismo%20mestrado" TargetMode="External"/><Relationship Id="rId2692" Type="http://schemas.openxmlformats.org/officeDocument/2006/relationships/hyperlink" Target="https://www.google.com/search?q=site%3Aipp.pt%20Abordagens%20Inovadoras%20em%20Ci&#234;ncias%20da%20Fala%2C%20Linguagem%20e%20Audi&#231;&#227;o%20mestrado" TargetMode="External"/><Relationship Id="rId3536" Type="http://schemas.openxmlformats.org/officeDocument/2006/relationships/hyperlink" Target="https://www.google.com/search?q=site%3Aufp.pt%20Aleitamento%20Materno%20p&#243;s-gradua&#231;&#227;o" TargetMode="External"/><Relationship Id="rId3743" Type="http://schemas.openxmlformats.org/officeDocument/2006/relationships/hyperlink" Target="https://www.google.com/search?q=site%3Alusofona.pt%20Intelig&#234;ncia%20Artificial%20para%20Sociedades%20Sustent&#225;veis%20mestrado" TargetMode="External"/><Relationship Id="rId3950" Type="http://schemas.openxmlformats.org/officeDocument/2006/relationships/hyperlink" Target="https://www.google.com/search?q=site%3Aunl.pt%20Gest&#227;o%20da%20Investiga&#231;&#227;o%20Cl&#237;nica%20mestrado" TargetMode="External"/><Relationship Id="rId664" Type="http://schemas.openxmlformats.org/officeDocument/2006/relationships/hyperlink" Target="https://www.google.com/search?q=site%3Aiees.pt%20Acompanhamento%20de%20Crian&#231;as%20e%20Jovens%20CTeSP" TargetMode="External"/><Relationship Id="rId871" Type="http://schemas.openxmlformats.org/officeDocument/2006/relationships/hyperlink" Target="https://www.google.com/search?q=site%3Aipmaia.pt%20Condi&#231;&#227;o%20F&#237;sica%20no%20Desporto%20e%20Exerc&#237;cio%20mestrado" TargetMode="External"/><Relationship Id="rId2345" Type="http://schemas.openxmlformats.org/officeDocument/2006/relationships/hyperlink" Target="https://www.google.com/search?q=site%3Aipv.pt%20Educa&#231;&#227;o%20Social%20licenciatura" TargetMode="External"/><Relationship Id="rId2552" Type="http://schemas.openxmlformats.org/officeDocument/2006/relationships/hyperlink" Target="https://www.google.com/search?q=site%3Aipca.pt%20Marketing%20Digital%20p&#243;s-gradua&#231;&#227;o" TargetMode="External"/><Relationship Id="rId3603" Type="http://schemas.openxmlformats.org/officeDocument/2006/relationships/hyperlink" Target="https://www.google.com/search?q=site%3Aulusiada.pt%20Gest&#227;o%20mestrado" TargetMode="External"/><Relationship Id="rId3810" Type="http://schemas.openxmlformats.org/officeDocument/2006/relationships/hyperlink" Target="https://www.google.com/search?q=site%3Aunl.pt%20Ci&#234;ncia%20de%20Dados%20licenciatura" TargetMode="External"/><Relationship Id="rId317" Type="http://schemas.openxmlformats.org/officeDocument/2006/relationships/hyperlink" Target="https://www.google.com/search?q=site%3Aesscvp.eu%20Enfermagem%20no%20Desporto%20p&#243;s-gradua&#231;&#227;o" TargetMode="External"/><Relationship Id="rId524" Type="http://schemas.openxmlformats.org/officeDocument/2006/relationships/hyperlink" Target="https://www.google.com/search?q=site%3Aisec.pt%20Sistemas%20Avan&#231;ados%20de%20Gest&#227;o%20da%20Sa&#250;de%20mestrado" TargetMode="External"/><Relationship Id="rId731" Type="http://schemas.openxmlformats.org/officeDocument/2006/relationships/hyperlink" Target="https://www.google.com/search?q=site%3Aipg.pt%20Gest&#227;o%20e%20Marketing%20de%20Produtos%20Tur&#237;sticos%20CTeSP" TargetMode="External"/><Relationship Id="rId1154" Type="http://schemas.openxmlformats.org/officeDocument/2006/relationships/hyperlink" Target="https://www.google.com/search?q=site%3Aipcb.pt%20M&#250;sica%2C%20variante%20de%20Canto%20licenciatura" TargetMode="External"/><Relationship Id="rId1361" Type="http://schemas.openxmlformats.org/officeDocument/2006/relationships/hyperlink" Target="https://www.google.com/search?q=site%3Aipc.pt%20Health%20Data%20Science%20p&#243;s-gradua&#231;&#227;o" TargetMode="External"/><Relationship Id="rId2205" Type="http://schemas.openxmlformats.org/officeDocument/2006/relationships/hyperlink" Target="https://www.google.com/search?q=site%3Aipvc.pt%20Agronomia%20licenciatura" TargetMode="External"/><Relationship Id="rId2412" Type="http://schemas.openxmlformats.org/officeDocument/2006/relationships/hyperlink" Target="https://www.google.com/search?q=site%3Aipv.pt%20Marketing%20p&#243;s-gradua&#231;&#227;o" TargetMode="External"/><Relationship Id="rId5568" Type="http://schemas.openxmlformats.org/officeDocument/2006/relationships/hyperlink" Target="https://www.google.com/search?q=site%3Aup.pt%20Ensino%20de%20Geografia%20no%203&#186;%20ciclo%20do%20Ensino%20B&#225;sico%20e%20no%20Ensino%20Secund&#225;rio%20mestrado" TargetMode="External"/><Relationship Id="rId5775" Type="http://schemas.openxmlformats.org/officeDocument/2006/relationships/hyperlink" Target="https://www.google.com/search?q=site%3Auac.pt%20P&#243;s&#8209;Gradua&#231;&#227;o%20em%20Turismo%20Cultural%20p&#243;s-gradua&#231;&#227;o" TargetMode="External"/><Relationship Id="rId1014" Type="http://schemas.openxmlformats.org/officeDocument/2006/relationships/hyperlink" Target="https://www.google.com/search?q=site%3Aipb.pt%20Engenharia%20do%20Ambiente%20licenciatura" TargetMode="External"/><Relationship Id="rId1221" Type="http://schemas.openxmlformats.org/officeDocument/2006/relationships/hyperlink" Target="https://www.google.com/search?q=site%3Aipc.pt%20Interpreta&#231;&#227;o%20da%20Natureza%20e%20dos%20Espa&#231;os%20Rurais%20CTeSP" TargetMode="External"/><Relationship Id="rId4377" Type="http://schemas.openxmlformats.org/officeDocument/2006/relationships/hyperlink" Target="https://www.google.com/search?q=site%3Auc.pt%20Engenharia%20Biotecnol&#243;gica%20mestrado" TargetMode="External"/><Relationship Id="rId4584" Type="http://schemas.openxmlformats.org/officeDocument/2006/relationships/hyperlink" Target="https://www.google.com/search?q=site%3Aulisboa.pt%20Finan&#231;as%20licenciatura" TargetMode="External"/><Relationship Id="rId4791" Type="http://schemas.openxmlformats.org/officeDocument/2006/relationships/hyperlink" Target="https://www.google.com/search?q=site%3Aulisboa.pt%20Lingu&#237;stica%20mestrado" TargetMode="External"/><Relationship Id="rId5428" Type="http://schemas.openxmlformats.org/officeDocument/2006/relationships/hyperlink" Target="https://www.google.com/search?q=site%3Aup.pt%20Ci&#234;ncias%20do%20Meio%20Aqu&#225;tico%20licenciatura" TargetMode="External"/><Relationship Id="rId5635" Type="http://schemas.openxmlformats.org/officeDocument/2006/relationships/hyperlink" Target="https://www.google.com/search?q=site%3Aup.pt%20Planeamento%20e%20Projeto%20Urbano%20mestrado" TargetMode="External"/><Relationship Id="rId3186" Type="http://schemas.openxmlformats.org/officeDocument/2006/relationships/hyperlink" Target="https://www.google.com/search?q=site%3Auab.pt%20Transi&#231;&#227;o%20e%20Transforma&#231;&#227;o%20Digital%20das%20Organiza&#231;&#245;es%20mestrado" TargetMode="External"/><Relationship Id="rId3393" Type="http://schemas.openxmlformats.org/officeDocument/2006/relationships/hyperlink" Target="https://www.google.com/search?q=site%3Aeuropeia.pt%20Desenvolvimento%20de%20Jogos%20licenciatura" TargetMode="External"/><Relationship Id="rId4237" Type="http://schemas.openxmlformats.org/officeDocument/2006/relationships/hyperlink" Target="https://www.ua.pt/pt/curso/64" TargetMode="External"/><Relationship Id="rId4444" Type="http://schemas.openxmlformats.org/officeDocument/2006/relationships/hyperlink" Target="https://www.google.com/search?q=site%3Auc.pt%20Matem&#225;tica%20mestrado" TargetMode="External"/><Relationship Id="rId4651" Type="http://schemas.openxmlformats.org/officeDocument/2006/relationships/hyperlink" Target="https://www.google.com/search?q=site%3Aulisboa.pt%20Contabilidade%20mestrado" TargetMode="External"/><Relationship Id="rId3046" Type="http://schemas.openxmlformats.org/officeDocument/2006/relationships/hyperlink" Target="https://www.google.com/search?q=site%3Aisvouga.pt%20Contabilidade%20e%20Fiscalidade%20CTeSP" TargetMode="External"/><Relationship Id="rId3253" Type="http://schemas.openxmlformats.org/officeDocument/2006/relationships/hyperlink" Target="https://www.google.com/search?q=site%3Aucp.pt%20Psicologia%20licenciatura" TargetMode="External"/><Relationship Id="rId3460" Type="http://schemas.openxmlformats.org/officeDocument/2006/relationships/hyperlink" Target="https://www.google.com/search?q=site%3Aeuropeia.pt%20Gest&#227;o%20de%20Recursos%20Humanos%20%28regime%20de%20ensino%20a%20dist&#226;ncia%29%20mestrado" TargetMode="External"/><Relationship Id="rId4304" Type="http://schemas.openxmlformats.org/officeDocument/2006/relationships/hyperlink" Target="https://www.google.com/search?q=site%3Auc.pt%20Farm&#225;cia%20Biom&#233;dica%20licenciatura" TargetMode="External"/><Relationship Id="rId5702" Type="http://schemas.openxmlformats.org/officeDocument/2006/relationships/hyperlink" Target="https://www.google.com/search?q=site%3Auac.pt%20Hist&#243;ria%20licenciatura" TargetMode="External"/><Relationship Id="rId174" Type="http://schemas.openxmlformats.org/officeDocument/2006/relationships/hyperlink" Target="https://www.google.com/search?q=site%3Aesenf.pt%20Enfermagem%20de%20Sa&#250;de%20Mental%20p&#243;s-gradua&#231;&#227;o" TargetMode="External"/><Relationship Id="rId381" Type="http://schemas.openxmlformats.org/officeDocument/2006/relationships/hyperlink" Target="https://www.google.com/search?q=site%3Aipluso.pt%20Mandarim%20e%20Cultura%20Chinesa%20p&#243;s-gradua&#231;&#227;o" TargetMode="External"/><Relationship Id="rId2062" Type="http://schemas.openxmlformats.org/officeDocument/2006/relationships/hyperlink" Target="https://www.google.com/search?q=site%3Aips.pt%20Log&#237;stica%20Mar&#237;tima%20e%20Portu&#225;ria%20p&#243;s-gradua&#231;&#227;o" TargetMode="External"/><Relationship Id="rId3113" Type="http://schemas.openxmlformats.org/officeDocument/2006/relationships/hyperlink" Target="https://www.google.com/search?q=site%3Acespu.pt%20Cronobiologia%20e%20Medicina%20do%20Sono%20&#8211;%208.&#170;%20edi&#231;&#227;o%20p&#243;s-gradua&#231;&#227;o" TargetMode="External"/><Relationship Id="rId4511" Type="http://schemas.openxmlformats.org/officeDocument/2006/relationships/hyperlink" Target="https://www.google.com/search?q=site%3Auc.pt%20Medicina%20Interna%20de%20Animais%20de%20Companhia%20p&#243;s-gradua&#231;&#227;o" TargetMode="External"/><Relationship Id="rId241" Type="http://schemas.openxmlformats.org/officeDocument/2006/relationships/hyperlink" Target="https://www.google.com/search?q=site%3Aegasmoniz.edu.pt%20Uma%20S&#243;%20Sa&#250;de%20mestrado" TargetMode="External"/><Relationship Id="rId3320" Type="http://schemas.openxmlformats.org/officeDocument/2006/relationships/hyperlink" Target="https://www.google.com/search?q=site%3Aucp.pt%20L&#237;ngua%20Gestual%20Portuguesa%20e%20Educa&#231;&#227;o%20de%20Surdos%20mestrado" TargetMode="External"/><Relationship Id="rId5078" Type="http://schemas.openxmlformats.org/officeDocument/2006/relationships/hyperlink" Target="https://www.google.com/search?q=site%3Autad.pt%20Ci&#234;ncias%20do%20Desporto%20-%20especializa&#231;&#227;o%20em%20Atividades%20de%20Academia%20mestrado" TargetMode="External"/><Relationship Id="rId2879" Type="http://schemas.openxmlformats.org/officeDocument/2006/relationships/hyperlink" Target="https://www.google.com/search?q=site%3Aisdd.pt%20Sistemas%20Mecatr&#243;nicos%20e%20de%20Produ&#231;&#227;o%20CTeSP" TargetMode="External"/><Relationship Id="rId5285" Type="http://schemas.openxmlformats.org/officeDocument/2006/relationships/hyperlink" Target="https://www.google.com/search?q=site%3Aualg.pt%20Design%20de%20Comunica&#231;&#227;o%20licenciatura" TargetMode="External"/><Relationship Id="rId5492" Type="http://schemas.openxmlformats.org/officeDocument/2006/relationships/hyperlink" Target="https://www.google.com/search?q=site%3Aup.pt%20Biologia%20e%20Gest&#227;o%20da%20Qualidade%20da%20&#193;gua%20mestrado" TargetMode="External"/><Relationship Id="rId101" Type="http://schemas.openxmlformats.org/officeDocument/2006/relationships/hyperlink" Target="https://www.google.com/search?q=site%3Ajoaodedeus.pt%20Media&#231;&#227;o%20da%20Aprendizagem%20em%20Crian&#231;as%20com%20Perturba&#231;&#227;o%20da%20Linguagem%20Oral/Escrita%20p&#243;s-gradua&#231;&#227;o" TargetMode="External"/><Relationship Id="rId1688" Type="http://schemas.openxmlformats.org/officeDocument/2006/relationships/hyperlink" Target="https://www.google.com/search?q=site%3Aipl.pt%20Ensino%20de%20Educa&#231;&#227;o%20Musical%20no%20Ensino%20B&#225;sico%20mestrado" TargetMode="External"/><Relationship Id="rId1895" Type="http://schemas.openxmlformats.org/officeDocument/2006/relationships/hyperlink" Target="https://www.google.com/search?q=site%3Aipsantarem.pt%20Enfermagem%20Comunit&#225;ria%20&#8211;%20&#193;rea%20de%20Enfermagem%20de%20Sa&#250;de%20Comunit&#225;ria%20e%20de%20Sa&#250;de%20P&#250;blica%20mestrado" TargetMode="External"/><Relationship Id="rId2739" Type="http://schemas.openxmlformats.org/officeDocument/2006/relationships/hyperlink" Target="https://www.google.com/search?q=site%3Aipp.pt%20Ensino%20de%20Portugu&#234;s%20e%20Ingl&#234;s%20no%202.&#186;%20Ciclo%20do%20Ensino%20B&#225;sico%20mestrado" TargetMode="External"/><Relationship Id="rId2946" Type="http://schemas.openxmlformats.org/officeDocument/2006/relationships/hyperlink" Target="https://www.google.com/search?q=site%3Aispgaya.pt%20Gest&#227;o%20licenciatura" TargetMode="External"/><Relationship Id="rId4094" Type="http://schemas.openxmlformats.org/officeDocument/2006/relationships/hyperlink" Target="https://www.google.com/search?q=site%3Aupt.pt%20Marketing%20licenciatura" TargetMode="External"/><Relationship Id="rId5145" Type="http://schemas.openxmlformats.org/officeDocument/2006/relationships/hyperlink" Target="https://www.google.com/search?q=site%3Auevora.pt%20Biologia%20Humana%20licenciatura" TargetMode="External"/><Relationship Id="rId5352" Type="http://schemas.openxmlformats.org/officeDocument/2006/relationships/hyperlink" Target="https://www.google.com/search?q=site%3Aualg.pt%20Ensino%20de%20Portugu&#234;s%20e%20Ingl&#234;s%20no%202.&#186;%20Ciclo%20do%20Ensino%20B&#225;sico%20mestrado" TargetMode="External"/><Relationship Id="rId918" Type="http://schemas.openxmlformats.org/officeDocument/2006/relationships/hyperlink" Target="https://www.google.com/search?q=site%3Aipbeja.pt%20Enfermagem%20mestrado" TargetMode="External"/><Relationship Id="rId1548" Type="http://schemas.openxmlformats.org/officeDocument/2006/relationships/hyperlink" Target="https://www.google.com/search?q=site%3Aipleiria.pt%20Gastronomia%20mestrado" TargetMode="External"/><Relationship Id="rId1755" Type="http://schemas.openxmlformats.org/officeDocument/2006/relationships/hyperlink" Target="https://www.google.com/search?q=site%3Aipportalegre.pt%20Cuidados%20Veterin&#225;rios%20CTeSP" TargetMode="External"/><Relationship Id="rId4161" Type="http://schemas.openxmlformats.org/officeDocument/2006/relationships/hyperlink" Target="https://www.google.com/search?q=site%3Aismai.pt%20Ci&#234;ncias%20da%20Comunica&#231;&#227;o%20licenciatura" TargetMode="External"/><Relationship Id="rId5005" Type="http://schemas.openxmlformats.org/officeDocument/2006/relationships/hyperlink" Target="https://www.google.com/search?q=site%3Aulisboa.pt%20Strategic%20HR%20Practices%20p&#243;s-gradua&#231;&#227;o" TargetMode="External"/><Relationship Id="rId5212" Type="http://schemas.openxmlformats.org/officeDocument/2006/relationships/hyperlink" Target="https://www.google.com/search?q=site%3Auevora.pt%20Tecnologia%20no%20Desporto%20e%20na%20Sa&#250;de%20mestrado" TargetMode="External"/><Relationship Id="rId1408" Type="http://schemas.openxmlformats.org/officeDocument/2006/relationships/hyperlink" Target="https://www.google.com/search?q=site%3Aipleiria.pt%20Interven&#231;&#227;o%20Sociocultural%20e%20Desportiva%20CTeSP" TargetMode="External"/><Relationship Id="rId1962" Type="http://schemas.openxmlformats.org/officeDocument/2006/relationships/hyperlink" Target="https://www.google.com/search?q=site%3Acespu.pt%20Terapia%20Cognitivo&#8209;Comportamental%20&#8211;%20As%20Tr&#234;s%20Gera&#231;&#245;es%20da%20Terapia%20do%20Comportamento%20&#8211;%2012.&#170;%20edi&#231;&#227;o%20p&#243;s-gradua&#231;&#227;o" TargetMode="External"/><Relationship Id="rId2806" Type="http://schemas.openxmlformats.org/officeDocument/2006/relationships/hyperlink" Target="https://www.google.com/search?q=site%3Aipp.pt%20Gest&#227;o%20da%20Documenta&#231;&#227;o%20da%20Sa&#250;de%20p&#243;s-gradua&#231;&#227;o" TargetMode="External"/><Relationship Id="rId4021" Type="http://schemas.openxmlformats.org/officeDocument/2006/relationships/hyperlink" Target="https://www.google.com/search?q=site%3Aunl.pt%20Engenharia%20Eletrot&#233;cnica%20e%20de%20Computadores%20mestrado%20integrado" TargetMode="External"/><Relationship Id="rId47" Type="http://schemas.openxmlformats.org/officeDocument/2006/relationships/hyperlink" Target="https://www.google.com/search?q=site%3Aesap.pt%20Cinema%20e%20Audiovisual%20licenciatura" TargetMode="External"/><Relationship Id="rId1615" Type="http://schemas.openxmlformats.org/officeDocument/2006/relationships/hyperlink" Target="https://www.google.com/search?q=site%3Aipleiria.pt%20Terapia%20da%20Fala%20&#8211;%20Interven&#231;&#227;o%20nas%20Perturba&#231;&#245;es%20da%20Linguagem%20Escrita%20p&#243;s-gradua&#231;&#227;o" TargetMode="External"/><Relationship Id="rId1822" Type="http://schemas.openxmlformats.org/officeDocument/2006/relationships/hyperlink" Target="https://www.google.com/search?q=site%3Aipportalegre.pt%20Supervis&#227;o%20Cl&#237;nica%20p&#243;s-gradua&#231;&#227;o" TargetMode="External"/><Relationship Id="rId4978" Type="http://schemas.openxmlformats.org/officeDocument/2006/relationships/hyperlink" Target="https://www.google.com/search?q=site%3Aulisboa.pt%20Medicina%20em%20Animais%20de%20Companhia%20p&#243;s-gradua&#231;&#227;o" TargetMode="External"/><Relationship Id="rId3787" Type="http://schemas.openxmlformats.org/officeDocument/2006/relationships/hyperlink" Target="https://www.google.com/search?q=site%3Alusofona.pt%20Marketing%20e%20Estrat&#233;gias%20de%20Marca%20p&#243;s-gradua&#231;&#227;o" TargetMode="External"/><Relationship Id="rId3994" Type="http://schemas.openxmlformats.org/officeDocument/2006/relationships/hyperlink" Target="https://www.google.com/search?q=site%3Aunl.pt%20Preven&#231;&#227;o%20Cardiovascular%20mestrado" TargetMode="External"/><Relationship Id="rId4838" Type="http://schemas.openxmlformats.org/officeDocument/2006/relationships/hyperlink" Target="https://www.google.com/search?q=site%3Aulisboa.pt%20Restauro%20Ecol&#243;gico%20mestrado" TargetMode="External"/><Relationship Id="rId2389" Type="http://schemas.openxmlformats.org/officeDocument/2006/relationships/hyperlink" Target="https://www.google.com/search?q=site%3Aipv.pt%20Engenharia%20Mec&#226;nica%20e%20Gest&#227;o%20Industrial%20mestrado" TargetMode="External"/><Relationship Id="rId2596" Type="http://schemas.openxmlformats.org/officeDocument/2006/relationships/hyperlink" Target="https://www.google.com/search?q=site%3Aipp.pt%20Neg&#243;cios%20Digitais%2C%20Marketing%20e%20Com&#233;rcio%20de%20Moda%20CTeSP" TargetMode="External"/><Relationship Id="rId3647" Type="http://schemas.openxmlformats.org/officeDocument/2006/relationships/hyperlink" Target="https://www.google.com/search?q=site%3Alusofona.pt%20Artes%20Dram&#225;ticas%20-%20Forma&#231;&#227;o%20de%20Atores%20licenciatura" TargetMode="External"/><Relationship Id="rId3854" Type="http://schemas.openxmlformats.org/officeDocument/2006/relationships/hyperlink" Target="https://www.google.com/search?q=site%3Aunl.pt%20Antropologia%20mestrado" TargetMode="External"/><Relationship Id="rId4905" Type="http://schemas.openxmlformats.org/officeDocument/2006/relationships/hyperlink" Target="https://www.google.com/search?q=site%3Aulisboa.pt%20Contabilidade%20e%20Gest&#227;o%20P&#250;blica%20p&#243;s-gradua&#231;&#227;o" TargetMode="External"/><Relationship Id="rId568" Type="http://schemas.openxmlformats.org/officeDocument/2006/relationships/hyperlink" Target="https://www.google.com/search?q=site%3Aiseclisboa.pt%20Gest&#227;o%20da%20Sustentabilidade%20do%20Transporte%20A&#233;reo%20mestrado" TargetMode="External"/><Relationship Id="rId775" Type="http://schemas.openxmlformats.org/officeDocument/2006/relationships/hyperlink" Target="https://www.google.com/search?q=site%3Aipg.pt%20Biotecnologia%20Medicinal%20e%20Farmac&#234;utica%20mestrado" TargetMode="External"/><Relationship Id="rId982" Type="http://schemas.openxmlformats.org/officeDocument/2006/relationships/hyperlink" Target="https://www.google.com/search?q=site%3Aipb.pt%20Servi&#231;os%20Jur&#237;dicos%20CTeSP" TargetMode="External"/><Relationship Id="rId1198" Type="http://schemas.openxmlformats.org/officeDocument/2006/relationships/hyperlink" Target="https://www.google.com/search?q=site%3Aipcb.pt%20Reabilita&#231;&#227;o%20Sustent&#225;vel%20de%20Edif&#237;cios%20p&#243;s-gradua&#231;&#227;o" TargetMode="External"/><Relationship Id="rId2249" Type="http://schemas.openxmlformats.org/officeDocument/2006/relationships/hyperlink" Target="https://www.google.com/search?q=site%3Aipvc.pt%20Empreendedorismo%20e%20Inova&#231;&#227;o%20na%20Ind&#250;stria%20Alimentar%20mestrado" TargetMode="External"/><Relationship Id="rId2456" Type="http://schemas.openxmlformats.org/officeDocument/2006/relationships/hyperlink" Target="https://www.google.com/search?q=site%3Aipca.pt%20Prepara&#231;&#227;o%20e%20Fabrico%20de%20Estruturas%20Modulares%20CTeSP" TargetMode="External"/><Relationship Id="rId2663" Type="http://schemas.openxmlformats.org/officeDocument/2006/relationships/hyperlink" Target="https://www.google.com/search?q=site%3Aipp.pt%20L&#237;nguas%20e%20Culturas%20Estrangeiras%20licenciatura" TargetMode="External"/><Relationship Id="rId2870" Type="http://schemas.openxmlformats.org/officeDocument/2006/relationships/hyperlink" Target="https://www.google.com/search?q=site%3Aisdd.pt%20Contabilidade%20e%20Gest&#227;o%20CTeSP" TargetMode="External"/><Relationship Id="rId3507" Type="http://schemas.openxmlformats.org/officeDocument/2006/relationships/hyperlink" Target="https://www.google.com/search?q=site%3Aufp.pt%20Gerontologia%20e%20Interven&#231;&#227;o%20Comunit&#225;ria%20CTeSP" TargetMode="External"/><Relationship Id="rId3714" Type="http://schemas.openxmlformats.org/officeDocument/2006/relationships/hyperlink" Target="https://www.google.com/search?q=site%3Alusofona.pt%20Biotecnologia%20Alimentar%20e%20Molecular%20mestrado" TargetMode="External"/><Relationship Id="rId3921" Type="http://schemas.openxmlformats.org/officeDocument/2006/relationships/hyperlink" Target="https://www.google.com/search?q=site%3Aunl.pt%20Ensino%20de%20Filosofia%20no%20Ensino%20Secund&#225;rio%20mestrado" TargetMode="External"/><Relationship Id="rId428" Type="http://schemas.openxmlformats.org/officeDocument/2006/relationships/hyperlink" Target="https://www.google.com/search?q=site%3Aiscte-iul.pt%20Engenharia%20de%20Telecomunica&#231;&#245;es%20e%20Inform&#225;tica%20licenciatura" TargetMode="External"/><Relationship Id="rId635" Type="http://schemas.openxmlformats.org/officeDocument/2006/relationships/hyperlink" Target="https://www.google.com/search?q=site%3Aispa.pt%20Psicologia%20da%20Educa&#231;&#227;o%20mestrado" TargetMode="External"/><Relationship Id="rId842" Type="http://schemas.openxmlformats.org/officeDocument/2006/relationships/hyperlink" Target="https://www.google.com/search?q=site%3Aipluso.pt%20Osteopatia%20licenciatura" TargetMode="External"/><Relationship Id="rId1058" Type="http://schemas.openxmlformats.org/officeDocument/2006/relationships/hyperlink" Target="https://www.google.com/search?q=site%3Aipb.pt%20Engenharia%20Civil%20mestrado" TargetMode="External"/><Relationship Id="rId1265" Type="http://schemas.openxmlformats.org/officeDocument/2006/relationships/hyperlink" Target="https://www.google.com/search?q=site%3Aipc.pt%20Fisiologia%20Cl&#237;nica%20licenciatura" TargetMode="External"/><Relationship Id="rId1472" Type="http://schemas.openxmlformats.org/officeDocument/2006/relationships/hyperlink" Target="https://www.google.com/search?q=site%3Aipleiria.pt%20Gest&#227;o%20da%20Restaura&#231;&#227;o%20e%20Catering%20licenciatura" TargetMode="External"/><Relationship Id="rId2109" Type="http://schemas.openxmlformats.org/officeDocument/2006/relationships/hyperlink" Target="https://www.google.com/search?q=site%3Aipt.pt%20Cinema%20e%20M&#233;dia%20Digitais%20licenciatura" TargetMode="External"/><Relationship Id="rId2316" Type="http://schemas.openxmlformats.org/officeDocument/2006/relationships/hyperlink" Target="https://www.google.com/search?q=site%3Aipv.pt%20Gest&#227;o%20de%20Enoturismo%20CTeSP" TargetMode="External"/><Relationship Id="rId2523" Type="http://schemas.openxmlformats.org/officeDocument/2006/relationships/hyperlink" Target="https://www.google.com/search?q=site%3Aipca.pt%20Sistemas%20Integrados%20de%20Gest&#227;o%20QAS%20%28Qualidade%2C%20Ambiente%20e%20Seguran&#231;a%29%20mestrado" TargetMode="External"/><Relationship Id="rId2730" Type="http://schemas.openxmlformats.org/officeDocument/2006/relationships/hyperlink" Target="https://www.google.com/search?q=site%3Aipp.pt%20Engenharia%20de%20Biorrecursos%20mestrado" TargetMode="External"/><Relationship Id="rId5679" Type="http://schemas.openxmlformats.org/officeDocument/2006/relationships/hyperlink" Target="https://www.google.com/search?q=site%3Aup.pt%20Engenharia%20e%20Gest&#227;o%20Industrial%20mestrado%20integrado" TargetMode="External"/><Relationship Id="rId702" Type="http://schemas.openxmlformats.org/officeDocument/2006/relationships/hyperlink" Target="https://www.google.com/search?q=site%3Aiees.pt%20Webdev%20Mastery%3A%20Web%20Developer%20p&#243;s-gradua&#231;&#227;o" TargetMode="External"/><Relationship Id="rId1125" Type="http://schemas.openxmlformats.org/officeDocument/2006/relationships/hyperlink" Target="https://www.google.com/search?q=site%3Aipcb.pt%20Recursos%20Florestais%20CTeSP" TargetMode="External"/><Relationship Id="rId1332" Type="http://schemas.openxmlformats.org/officeDocument/2006/relationships/hyperlink" Target="https://www.google.com/search?q=site%3Aipc.pt%20Marketing%20e%20Neg&#243;cios%20Internacionais%20mestrado" TargetMode="External"/><Relationship Id="rId4488" Type="http://schemas.openxmlformats.org/officeDocument/2006/relationships/hyperlink" Target="https://www.google.com/search?q=site%3Auc.pt%20Tecnologias%20do%20Medicamento%20mestrado" TargetMode="External"/><Relationship Id="rId4695" Type="http://schemas.openxmlformats.org/officeDocument/2006/relationships/hyperlink" Target="https://www.google.com/search?q=site%3Aulisboa.pt%20Engenharia%20Civil%20mestrado" TargetMode="External"/><Relationship Id="rId5539" Type="http://schemas.openxmlformats.org/officeDocument/2006/relationships/hyperlink" Target="https://www.google.com/search?q=site%3Aup.pt%20Educa&#231;&#227;o%20para%20a%20Sa&#250;de%20mestrado" TargetMode="External"/><Relationship Id="rId3297" Type="http://schemas.openxmlformats.org/officeDocument/2006/relationships/hyperlink" Target="https://www.google.com/search?q=site%3Aucp.pt%20Finan&#231;as%20mestrado" TargetMode="External"/><Relationship Id="rId4348" Type="http://schemas.openxmlformats.org/officeDocument/2006/relationships/hyperlink" Target="https://www.google.com/search?q=site%3Auc.pt%20Biologia%20Marinha%20e%20Altera&#231;&#245;es%20Globais%20mestrado" TargetMode="External"/><Relationship Id="rId5746" Type="http://schemas.openxmlformats.org/officeDocument/2006/relationships/hyperlink" Target="https://www.google.com/search?q=site%3Auac.pt%20Sociologia%20mestrado" TargetMode="External"/><Relationship Id="rId3157" Type="http://schemas.openxmlformats.org/officeDocument/2006/relationships/hyperlink" Target="https://www.google.com/search?q=site%3Auab.pt%20Gest&#227;o%20de%20Vendas%20e%20do%20Retalho%20licenciatura" TargetMode="External"/><Relationship Id="rId4555" Type="http://schemas.openxmlformats.org/officeDocument/2006/relationships/hyperlink" Target="https://www.google.com/search?q=site%3Aulisboa.pt%20Engenharia%20F&#237;sica%20Tecnol&#243;gica%20licenciatura" TargetMode="External"/><Relationship Id="rId4762" Type="http://schemas.openxmlformats.org/officeDocument/2006/relationships/hyperlink" Target="https://www.google.com/search?q=site%3Aulisboa.pt%20Gest&#227;o%20Industrial%2C%20Opera&#231;&#245;es%20e%20Sustentabilidade%20mestrado" TargetMode="External"/><Relationship Id="rId5606" Type="http://schemas.openxmlformats.org/officeDocument/2006/relationships/hyperlink" Target="https://www.google.com/search?q=site%3Aup.pt%20Hist&#243;ria%20da%20Arte%2C%20Patrim&#243;nio%20e%20Cultura%20Visual%20mestrado" TargetMode="External"/><Relationship Id="rId285" Type="http://schemas.openxmlformats.org/officeDocument/2006/relationships/hyperlink" Target="https://www.google.com/search?q=site%3Aesscvp.eu%20Health%20Data%20Science%20p&#243;s-gradua&#231;&#227;o" TargetMode="External"/><Relationship Id="rId3364" Type="http://schemas.openxmlformats.org/officeDocument/2006/relationships/hyperlink" Target="https://www.google.com/search?q=site%3Aucp.pt%20Managing%20With%20Analytics%20p&#243;s-gradua&#231;&#227;o" TargetMode="External"/><Relationship Id="rId3571" Type="http://schemas.openxmlformats.org/officeDocument/2006/relationships/hyperlink" Target="https://www.google.com/search?q=site%3Aulusiada.pt%20Criminologia%20licenciatura" TargetMode="External"/><Relationship Id="rId4208" Type="http://schemas.openxmlformats.org/officeDocument/2006/relationships/hyperlink" Target="https://www.google.com/search?q=site%3Aua.pt%20Design%20de%20Produto%20CTeSP" TargetMode="External"/><Relationship Id="rId4415" Type="http://schemas.openxmlformats.org/officeDocument/2006/relationships/hyperlink" Target="https://www.google.com/search?q=site%3Auc.pt%20Farmacologia%20Aplicada%20mestrado" TargetMode="External"/><Relationship Id="rId4622" Type="http://schemas.openxmlformats.org/officeDocument/2006/relationships/hyperlink" Target="https://www.google.com/search?q=site%3Aulisboa.pt%20Bioengenharia%20em%20Medicina%20Regenerativa%20e%20de%20Precis&#227;o%20mestrado" TargetMode="External"/><Relationship Id="rId492" Type="http://schemas.openxmlformats.org/officeDocument/2006/relationships/hyperlink" Target="https://www.google.com/search?q=site%3Aisec.pt%20Reabilita&#231;&#227;o%20Sustent&#225;vel%20de%20Edif&#237;cios%20CTeSP" TargetMode="External"/><Relationship Id="rId2173" Type="http://schemas.openxmlformats.org/officeDocument/2006/relationships/hyperlink" Target="https://www.google.com/search?q=site%3Aipvc.pt%20Gest&#227;o%20e%20Melhoria%20Cont&#237;nua%20nas%20Empresas%20CTeSP" TargetMode="External"/><Relationship Id="rId2380" Type="http://schemas.openxmlformats.org/officeDocument/2006/relationships/hyperlink" Target="https://www.google.com/search?q=site%3Aipv.pt%20Enfermagem%20M&#233;dico-Cir&#250;rgica%20na%20&#225;rea%20de%20Enfermagem%20&#224;%20Pessoa%20em%20Situa&#231;&#227;o%20Cr&#237;tica%20mestrado" TargetMode="External"/><Relationship Id="rId3017" Type="http://schemas.openxmlformats.org/officeDocument/2006/relationships/hyperlink" Target="https://www.google.com/search?q=site%3Aiscet.pt%20Registos%20e%20Notariado%20p&#243;s-gradua&#231;&#227;o" TargetMode="External"/><Relationship Id="rId3224" Type="http://schemas.openxmlformats.org/officeDocument/2006/relationships/hyperlink" Target="https://www.google.com/search?q=site%3Aucp.pt%20Bioengenharia%20licenciatura" TargetMode="External"/><Relationship Id="rId3431" Type="http://schemas.openxmlformats.org/officeDocument/2006/relationships/hyperlink" Target="https://www.google.com/search?q=site%3Aeuropeia.pt%20Ciberseguran&#231;a%20%28regime%20de%20ensino%20a%20dist&#226;ncia%29%20mestrado" TargetMode="External"/><Relationship Id="rId145" Type="http://schemas.openxmlformats.org/officeDocument/2006/relationships/hyperlink" Target="https://www.google.com/search?q=site%3Aesenfc.pt%20Supervis&#227;o%20Cl&#237;nica%20em%20Enfermagem%20&#8211;%207.&#170;%20edi&#231;&#227;o%20p&#243;s-gradua&#231;&#227;o" TargetMode="External"/><Relationship Id="rId352" Type="http://schemas.openxmlformats.org/officeDocument/2006/relationships/hyperlink" Target="https://www.google.com/search?q=site%3Asantamaria.pt%20Terapia%20Ocupacional%20licenciatura" TargetMode="External"/><Relationship Id="rId2033" Type="http://schemas.openxmlformats.org/officeDocument/2006/relationships/hyperlink" Target="https://www.google.com/search?q=site%3Aips.pt%20Educa&#231;&#227;o%2C%20Pr&#225;ticas%20Art&#237;sticas%20e%20Inclus&#227;o%20mestrado" TargetMode="External"/><Relationship Id="rId2240" Type="http://schemas.openxmlformats.org/officeDocument/2006/relationships/hyperlink" Target="https://www.google.com/search?q=site%3Aipvc.pt%20Ciberseguran&#231;a%20mestrado" TargetMode="External"/><Relationship Id="rId5189" Type="http://schemas.openxmlformats.org/officeDocument/2006/relationships/hyperlink" Target="https://www.google.com/search?q=site%3Auevora.pt%20Engenharia%20Mecatr&#243;nica%20mestrado" TargetMode="External"/><Relationship Id="rId5396" Type="http://schemas.openxmlformats.org/officeDocument/2006/relationships/hyperlink" Target="https://www.google.com/search?q=site%3Aualg.pt%20A&#231;&#227;o%20Humanit&#225;ria%20p&#243;s-gradua&#231;&#227;o" TargetMode="External"/><Relationship Id="rId212" Type="http://schemas.openxmlformats.org/officeDocument/2006/relationships/hyperlink" Target="https://www.google.com/search?q=site%3Aegasmoniz.edu.pt%20Apoio%20ao%20Consult&#243;rio%20M&#233;dico%20e%20Dent&#225;rio%20CTeSP" TargetMode="External"/><Relationship Id="rId1799" Type="http://schemas.openxmlformats.org/officeDocument/2006/relationships/hyperlink" Target="https://www.google.com/search?q=site%3Aipportalegre.pt%20Servi&#231;o%20Social%20licenciatura" TargetMode="External"/><Relationship Id="rId2100" Type="http://schemas.openxmlformats.org/officeDocument/2006/relationships/hyperlink" Target="https://www.google.com/search?q=site%3Aipt.pt%20Seguran&#231;a%20e%20Prote&#231;&#227;o%20Civil%20CTeSP" TargetMode="External"/><Relationship Id="rId5049" Type="http://schemas.openxmlformats.org/officeDocument/2006/relationships/hyperlink" Target="https://www.google.com/search?q=site%3Autad.pt%20Gen&#233;tica%20e%20Biotecnologia%20licenciatura" TargetMode="External"/><Relationship Id="rId5256" Type="http://schemas.openxmlformats.org/officeDocument/2006/relationships/hyperlink" Target="https://www.google.com/search?q=site%3Aualg.pt%20Gastronomia%20e%20Inova&#231;&#227;o%20Alimentar%20CTeSP" TargetMode="External"/><Relationship Id="rId5463" Type="http://schemas.openxmlformats.org/officeDocument/2006/relationships/hyperlink" Target="https://www.google.com/search?q=site%3Aup.pt%20Matem&#225;tica%20licenciatura" TargetMode="External"/><Relationship Id="rId5670" Type="http://schemas.openxmlformats.org/officeDocument/2006/relationships/hyperlink" Target="https://www.google.com/search?q=site%3Aup.pt%20Engenharia%20Civil%20mestrado%20integrado" TargetMode="External"/><Relationship Id="rId4065" Type="http://schemas.openxmlformats.org/officeDocument/2006/relationships/hyperlink" Target="https://www.google.com/search?q=site%3Aunl.pt%20Gest&#227;o%20de%20Projetos%20&#8211;%20P&#243;s&#8209;Gradua&#231;&#227;o%20Online%20p&#243;s-gradua&#231;&#227;o" TargetMode="External"/><Relationship Id="rId4272" Type="http://schemas.openxmlformats.org/officeDocument/2006/relationships/hyperlink" Target="https://www.google.com/search?q=site%3Auc.pt%20Antropologia%20licenciatura" TargetMode="External"/><Relationship Id="rId5116" Type="http://schemas.openxmlformats.org/officeDocument/2006/relationships/hyperlink" Target="https://www.google.com/search?q=site%3Autad.pt%20Gerontologia%3A%20Atividade%20F&#237;sica%20e%20Sa&#250;de%20no%20Idoso%20mestrado" TargetMode="External"/><Relationship Id="rId5323" Type="http://schemas.openxmlformats.org/officeDocument/2006/relationships/hyperlink" Target="https://www.google.com/search?q=site%3Aualg.pt%20Arquitetura%20Paisagista%20mestrado" TargetMode="External"/><Relationship Id="rId1659" Type="http://schemas.openxmlformats.org/officeDocument/2006/relationships/hyperlink" Target="https://www.google.com/search?q=site%3Aipl.pt%20Administra&#231;&#227;o%20Educacional%20mestrado" TargetMode="External"/><Relationship Id="rId1866" Type="http://schemas.openxmlformats.org/officeDocument/2006/relationships/hyperlink" Target="https://www.google.com/search?q=site%3Aipsantarem.pt%20Desporto%20de%20Natureza%20e%20Turismo%20Ativo%20licenciatura" TargetMode="External"/><Relationship Id="rId2917" Type="http://schemas.openxmlformats.org/officeDocument/2006/relationships/hyperlink" Target="https://www.google.com/search?q=site%3Aismt.pt%20Gest&#227;o%20e%20Finan&#231;as%20&#8211;%20Candidaturas%20Abertas%20p&#243;s-gradua&#231;&#227;o" TargetMode="External"/><Relationship Id="rId3081" Type="http://schemas.openxmlformats.org/officeDocument/2006/relationships/hyperlink" Target="https://www.google.com/search?q=site%3Aisg.pt%20P&#243;s&#8209;Gradua&#231;&#227;o%20em%20Gest&#227;o%20de%20Institui&#231;&#245;es%20Sociais%20p&#243;s-gradua&#231;&#227;o" TargetMode="External"/><Relationship Id="rId4132" Type="http://schemas.openxmlformats.org/officeDocument/2006/relationships/hyperlink" Target="https://www.google.com/search?q=site%3Aubi.pt%20Economia%20licenciatura" TargetMode="External"/><Relationship Id="rId5530" Type="http://schemas.openxmlformats.org/officeDocument/2006/relationships/hyperlink" Target="https://www.google.com/search?q=site%3Aup.pt%20Economia%20e%20Administra&#231;&#227;o%20de%20Empresas%20mestrado" TargetMode="External"/><Relationship Id="rId1519" Type="http://schemas.openxmlformats.org/officeDocument/2006/relationships/hyperlink" Target="https://www.google.com/search?q=site%3Aipleiria.pt%20Economia%20Azul%20e%20Circular%20mestrado" TargetMode="External"/><Relationship Id="rId1726" Type="http://schemas.openxmlformats.org/officeDocument/2006/relationships/hyperlink" Target="https://www.google.com/search?q=site%3Aipl.pt%20Educa&#231;&#227;o%20em%20Creche%20e%20outros%20Equipamentos%20com%20Crian&#231;as%20dos%200%20aos%203%20anos%20p&#243;s-gradua&#231;&#227;o" TargetMode="External"/><Relationship Id="rId1933" Type="http://schemas.openxmlformats.org/officeDocument/2006/relationships/hyperlink" Target="https://www.google.com/search?q=site%3Acespu.pt%20Podologia%20licenciatura" TargetMode="External"/><Relationship Id="rId18" Type="http://schemas.openxmlformats.org/officeDocument/2006/relationships/hyperlink" Target="https://www.google.com/search?q=site%3Auatlantica.pt%20Curso%20de%20Especialista%20Europeu%20de%20Adesivos%20%28EAS%29%20p&#243;s-gradua&#231;&#227;o" TargetMode="External"/><Relationship Id="rId3898" Type="http://schemas.openxmlformats.org/officeDocument/2006/relationships/hyperlink" Target="https://www.google.com/search?q=site%3Aunl.pt%20Edi&#231;&#227;o%20de%20Texto%20mestrado" TargetMode="External"/><Relationship Id="rId4949" Type="http://schemas.openxmlformats.org/officeDocument/2006/relationships/hyperlink" Target="https://www.google.com/search?q=site%3Aulisboa.pt%20Gest&#227;o%20Empresarial%20p&#243;s-gradua&#231;&#227;o" TargetMode="External"/><Relationship Id="rId3758" Type="http://schemas.openxmlformats.org/officeDocument/2006/relationships/hyperlink" Target="https://www.google.com/search?q=site%3Alusofona.pt%20Blockchain%2C%20Criptoeconomia%20e%20Inova&#231;&#227;o%20Tecnol&#243;gica%20p&#243;s-gradua&#231;&#227;o" TargetMode="External"/><Relationship Id="rId3965" Type="http://schemas.openxmlformats.org/officeDocument/2006/relationships/hyperlink" Target="https://www.google.com/search?q=site%3Aunl.pt%20Insetos%20como%20solu&#231;&#227;o%20para%20um%20futuro%20sustent&#225;vel%20mestrado" TargetMode="External"/><Relationship Id="rId4809" Type="http://schemas.openxmlformats.org/officeDocument/2006/relationships/hyperlink" Target="https://www.google.com/search?q=site%3Aulisboa.pt%20M&#233;todos%20Quantitativos%20para%20a%20Decis&#227;o%20Econ&#243;mica%20e%20Empresarial%20mestrado" TargetMode="External"/><Relationship Id="rId679" Type="http://schemas.openxmlformats.org/officeDocument/2006/relationships/hyperlink" Target="https://www.google.com/search?q=site%3Aiees.pt%20Treino%20Desportivo%20CTeSP" TargetMode="External"/><Relationship Id="rId886" Type="http://schemas.openxmlformats.org/officeDocument/2006/relationships/hyperlink" Target="https://www.google.com/search?q=site%3Aipbeja.pt%20Redes%20e%20Sistemas%20Inform&#225;ticos%20CTeSP" TargetMode="External"/><Relationship Id="rId2567" Type="http://schemas.openxmlformats.org/officeDocument/2006/relationships/hyperlink" Target="https://www.google.com/search?q=site%3Aipp.pt%20Automa&#231;&#227;o%2C%20Rob&#243;tica%20e%20Controlo%20Industrial%20CTeSP" TargetMode="External"/><Relationship Id="rId2774" Type="http://schemas.openxmlformats.org/officeDocument/2006/relationships/hyperlink" Target="https://www.google.com/search?q=site%3Aipp.pt%20Solicitadoria%20mestrado" TargetMode="External"/><Relationship Id="rId3618" Type="http://schemas.openxmlformats.org/officeDocument/2006/relationships/hyperlink" Target="https://www.google.com/search?q=site%3Aulusiada.pt%20Concep&#231;&#227;o%20de%20espa&#231;os%20expositivos%20e%20c&#233;nicos%20p&#243;s-gradua&#231;&#227;o" TargetMode="External"/><Relationship Id="rId5180" Type="http://schemas.openxmlformats.org/officeDocument/2006/relationships/hyperlink" Target="https://www.google.com/search?q=site%3Auevora.pt%20Ci&#234;ncias%20da%20Terra%20e%20da%20Atmosfera%20mestrado" TargetMode="External"/><Relationship Id="rId2" Type="http://schemas.openxmlformats.org/officeDocument/2006/relationships/hyperlink" Target="https://www.google.com/search?q=site%3Auatlantica.pt%20Design%20UX/UI%20licenciatura" TargetMode="External"/><Relationship Id="rId539" Type="http://schemas.openxmlformats.org/officeDocument/2006/relationships/hyperlink" Target="https://www.google.com/search?q=site%3Aiseclisboa.pt%20Opera&#231;&#245;es%20com%20Aeronaves%20n&#227;o%20Tripuladas%20CTeSP" TargetMode="External"/><Relationship Id="rId746" Type="http://schemas.openxmlformats.org/officeDocument/2006/relationships/hyperlink" Target="https://www.google.com/search?q=site%3Aipg.pt%20Treino%20Desportivo%20CTeSP" TargetMode="External"/><Relationship Id="rId1169" Type="http://schemas.openxmlformats.org/officeDocument/2006/relationships/hyperlink" Target="https://www.google.com/search?q=site%3Aipcb.pt%20Educa&#231;&#227;o%20Especial%20-%20Dom&#237;nio%20Cognitivo%20e%20Motor%20mestrado" TargetMode="External"/><Relationship Id="rId1376" Type="http://schemas.openxmlformats.org/officeDocument/2006/relationships/hyperlink" Target="https://www.google.com/search?q=site%3Aipleiria.pt%20Ambiente%2C%20Patrim&#243;nio%20e%20Turismo%20Sustent&#225;vel%20CTeSP" TargetMode="External"/><Relationship Id="rId1583" Type="http://schemas.openxmlformats.org/officeDocument/2006/relationships/hyperlink" Target="https://www.google.com/search?q=site%3Aipleiria.pt%20Dire&#231;&#227;o%20de%20Organiza&#231;&#245;es%20de%20Interven&#231;&#227;o%20Social%20p&#243;s-gradua&#231;&#227;o" TargetMode="External"/><Relationship Id="rId2427" Type="http://schemas.openxmlformats.org/officeDocument/2006/relationships/hyperlink" Target="https://www.google.com/search?q=site%3Aipca.pt%20Design%20de%20Moda%20CTeSP" TargetMode="External"/><Relationship Id="rId2981" Type="http://schemas.openxmlformats.org/officeDocument/2006/relationships/hyperlink" Target="https://www.google.com/search?q=site%3Aisced.pt%20Enfermagem%20Comunit&#225;ria%20na%20&#225;rea%20de%20Enfermagem%20de%20Sa&#250;de%20Familiar%20mestrado" TargetMode="External"/><Relationship Id="rId3825" Type="http://schemas.openxmlformats.org/officeDocument/2006/relationships/hyperlink" Target="https://www.google.com/search?q=site%3Aunl.pt%20Engenharia%20Geol&#243;gica%20licenciatura" TargetMode="External"/><Relationship Id="rId5040" Type="http://schemas.openxmlformats.org/officeDocument/2006/relationships/hyperlink" Target="https://www.google.com/search?q=site%3Autad.pt%20Engenharia%20Florestal%20licenciatura" TargetMode="External"/><Relationship Id="rId953" Type="http://schemas.openxmlformats.org/officeDocument/2006/relationships/hyperlink" Target="https://www.google.com/search?q=site%3Aipb.pt%20Desenvolvimento%20de%20Produtos%20Multim&#233;dia%20CTeSP" TargetMode="External"/><Relationship Id="rId1029" Type="http://schemas.openxmlformats.org/officeDocument/2006/relationships/hyperlink" Target="https://www.google.com/search?q=site%3Aipb.pt%20M&#250;sica%20em%20Contextos%20Comunit&#225;rios%20licenciatura" TargetMode="External"/><Relationship Id="rId1236" Type="http://schemas.openxmlformats.org/officeDocument/2006/relationships/hyperlink" Target="https://www.google.com/search?q=site%3Aipc.pt%20Agricultura%20Biol&#243;gica%20licenciatura" TargetMode="External"/><Relationship Id="rId1790" Type="http://schemas.openxmlformats.org/officeDocument/2006/relationships/hyperlink" Target="https://www.google.com/search?q=site%3Aipportalegre.pt%20Engenharia%20Qu&#237;mica%20e%20Biol&#243;gica%20licenciatura" TargetMode="External"/><Relationship Id="rId2634" Type="http://schemas.openxmlformats.org/officeDocument/2006/relationships/hyperlink" Target="https://www.google.com/search?q=site%3Aipp.pt%20Educa&#231;&#227;o%20B&#225;sica%20licenciatura" TargetMode="External"/><Relationship Id="rId2841" Type="http://schemas.openxmlformats.org/officeDocument/2006/relationships/hyperlink" Target="https://www.google.com/search?q=site%3Aipam.pt%20Marketing%20Digital%20CTeSP" TargetMode="External"/><Relationship Id="rId82" Type="http://schemas.openxmlformats.org/officeDocument/2006/relationships/hyperlink" Target="https://www.google.com/search?q=site%3Ajoaodedeus.pt%20Multim&#233;dia%20e%20Recursos%20Educativos%20Digitais%20CTeSP" TargetMode="External"/><Relationship Id="rId606" Type="http://schemas.openxmlformats.org/officeDocument/2006/relationships/hyperlink" Target="https://www.google.com/search?q=site%3Aisla.pt%20Gest&#227;o%20Avan&#231;ada%20de%20Recursos%20Humanos%20p&#243;s-gradua&#231;&#227;o" TargetMode="External"/><Relationship Id="rId813" Type="http://schemas.openxmlformats.org/officeDocument/2006/relationships/hyperlink" Target="https://www.google.com/search?q=site%3Aipluso.pt%20Controlo%20de%20Drones%20e%20Sistemas%20Aut&#243;nomos%20CTeSP" TargetMode="External"/><Relationship Id="rId1443" Type="http://schemas.openxmlformats.org/officeDocument/2006/relationships/hyperlink" Target="https://www.google.com/search?q=site%3Aipleiria.pt%20Artes%20Pl&#225;sticas%20licenciatura" TargetMode="External"/><Relationship Id="rId1650" Type="http://schemas.openxmlformats.org/officeDocument/2006/relationships/hyperlink" Target="https://www.google.com/search?q=site%3Aipl.pt%20Ortoprotesia%20licenciatura" TargetMode="External"/><Relationship Id="rId2701" Type="http://schemas.openxmlformats.org/officeDocument/2006/relationships/hyperlink" Target="https://www.google.com/search?q=site%3Aipp.pt%20Audiologia%20mestrado" TargetMode="External"/><Relationship Id="rId4599" Type="http://schemas.openxmlformats.org/officeDocument/2006/relationships/hyperlink" Target="https://www.google.com/search?q=site%3Aulisboa.pt%20Matem&#225;tica%20Aplicada%20&#224;%20Economia%20e%20&#224;%20Gest&#227;o%20licenciatura" TargetMode="External"/><Relationship Id="rId1303" Type="http://schemas.openxmlformats.org/officeDocument/2006/relationships/hyperlink" Target="https://www.google.com/search?q=site%3Aipc.pt%20Ecoturismo%20mestrado" TargetMode="External"/><Relationship Id="rId1510" Type="http://schemas.openxmlformats.org/officeDocument/2006/relationships/hyperlink" Target="https://www.google.com/search?q=site%3Aipleiria.pt%20Controlo%20de%20Gest&#227;o%20mestrado" TargetMode="External"/><Relationship Id="rId4459" Type="http://schemas.openxmlformats.org/officeDocument/2006/relationships/hyperlink" Target="https://www.google.com/search?q=site%3Auc.pt%20Pl&#225;sticos%20e%20Sustentabilidade%20mestrado" TargetMode="External"/><Relationship Id="rId4666" Type="http://schemas.openxmlformats.org/officeDocument/2006/relationships/hyperlink" Target="https://www.google.com/search?q=site%3Aulisboa.pt%20Design%20de%20Moda%20mestrado" TargetMode="External"/><Relationship Id="rId4873" Type="http://schemas.openxmlformats.org/officeDocument/2006/relationships/hyperlink" Target="https://www.google.com/search?q=site%3Aulisboa.pt%20Engenharia%20Qu&#237;mica%20mestrado%20integrado" TargetMode="External"/><Relationship Id="rId5717" Type="http://schemas.openxmlformats.org/officeDocument/2006/relationships/hyperlink" Target="https://www.google.com/search?q=site%3Auac.pt%20Educa&#231;&#227;o%20Pr&#233;&#8209;Escolar%20e%20Ensino%20do%201.&#186;%20Ciclo%20do%20Ensino%20B&#225;sico%20mestrado" TargetMode="External"/><Relationship Id="rId3268" Type="http://schemas.openxmlformats.org/officeDocument/2006/relationships/hyperlink" Target="https://www.google.com/search?q=site%3Aucp.pt%20Ci&#234;ncias%20Religiosas%20mestrado" TargetMode="External"/><Relationship Id="rId3475" Type="http://schemas.openxmlformats.org/officeDocument/2006/relationships/hyperlink" Target="https://www.google.com/search?q=site%3Aeuropeia.pt%20Treino%20de%20Futebol%20mestrado" TargetMode="External"/><Relationship Id="rId3682" Type="http://schemas.openxmlformats.org/officeDocument/2006/relationships/hyperlink" Target="https://www.google.com/search?q=site%3Alusofona.pt%20Engenharia%20Eletrot&#233;cnica%20de%20Sistemas%20de%20Energia%20licenciatura" TargetMode="External"/><Relationship Id="rId4319" Type="http://schemas.openxmlformats.org/officeDocument/2006/relationships/hyperlink" Target="https://www.google.com/search?q=site%3Auc.pt%20Matem&#225;tica%20licenciatura" TargetMode="External"/><Relationship Id="rId4526" Type="http://schemas.openxmlformats.org/officeDocument/2006/relationships/hyperlink" Target="https://www.google.com/search?q=site%3Aulisboa.pt%20Ci&#234;ncia%20de%20Dados%20licenciatura" TargetMode="External"/><Relationship Id="rId4733" Type="http://schemas.openxmlformats.org/officeDocument/2006/relationships/hyperlink" Target="https://www.google.com/search?q=site%3Aulisboa.pt%20Ensino%20de%20Inform&#225;tica%20mestrado" TargetMode="External"/><Relationship Id="rId4940" Type="http://schemas.openxmlformats.org/officeDocument/2006/relationships/hyperlink" Target="https://www.google.com/search?q=site%3Aulisboa.pt%20Doen&#231;as%20do%20Movimento%20p&#243;s-gradua&#231;&#227;o" TargetMode="External"/><Relationship Id="rId189" Type="http://schemas.openxmlformats.org/officeDocument/2006/relationships/hyperlink" Target="https://www.google.com/search?q=site%3Aesna.pt%20Gest&#227;o%20Financeira%20e%20Fiscal%20licenciatura" TargetMode="External"/><Relationship Id="rId396" Type="http://schemas.openxmlformats.org/officeDocument/2006/relationships/hyperlink" Target="https://www.google.com/search?q=site%3Aisave.pt%20Diet&#233;tica%20e%20Nutri&#231;&#227;o%20licenciatura" TargetMode="External"/><Relationship Id="rId2077" Type="http://schemas.openxmlformats.org/officeDocument/2006/relationships/hyperlink" Target="https://www.google.com/search?q=site%3Aipt.pt%20Desenho%20Tecnol&#243;gico%20CTeSP" TargetMode="External"/><Relationship Id="rId2284" Type="http://schemas.openxmlformats.org/officeDocument/2006/relationships/hyperlink" Target="https://www.google.com/search?q=site%3Aipvc.pt%20Design%20de%20Interiores%20p&#243;s-gradua&#231;&#227;o" TargetMode="External"/><Relationship Id="rId2491" Type="http://schemas.openxmlformats.org/officeDocument/2006/relationships/hyperlink" Target="https://www.google.com/search?q=site%3Aipca.pt%20Gest&#227;o%20P&#250;blica%20%28regime%20de%20ensino%20a%20dist&#226;ncia%29%20licenciatura" TargetMode="External"/><Relationship Id="rId3128" Type="http://schemas.openxmlformats.org/officeDocument/2006/relationships/hyperlink" Target="https://www.google.com/search?q=site%3Acespu.pt%20Fisioterapia%20Cardiorrespirat&#243;ria%20&#8211;%204.&#170;%20edi&#231;&#227;o%20p&#243;s-gradua&#231;&#227;o" TargetMode="External"/><Relationship Id="rId3335" Type="http://schemas.openxmlformats.org/officeDocument/2006/relationships/hyperlink" Target="https://www.google.com/search?q=site%3Aucp.pt%20Psicologia%20e%20Sustentabilidade%20Ambiental%20mestrado" TargetMode="External"/><Relationship Id="rId3542" Type="http://schemas.openxmlformats.org/officeDocument/2006/relationships/hyperlink" Target="https://www.google.com/search?q=site%3Aufp.pt%20Dire&#231;&#227;o%20de%20Obra%20p&#243;s-gradua&#231;&#227;o" TargetMode="External"/><Relationship Id="rId256" Type="http://schemas.openxmlformats.org/officeDocument/2006/relationships/hyperlink" Target="https://www.google.com/search?q=site%3Aegasmoniz.edu.pt%20P&#243;s&#8209;Gradua&#231;&#227;o%20de%20Especializa&#231;&#227;o%20em%20Endodontia%20p&#243;s-gradua&#231;&#227;o" TargetMode="External"/><Relationship Id="rId463" Type="http://schemas.openxmlformats.org/officeDocument/2006/relationships/hyperlink" Target="https://www.google.com/search?q=site%3Aiscte-iul.pt%20Gest&#227;o%20Fiscal%20p&#243;s-gradua&#231;&#227;o" TargetMode="External"/><Relationship Id="rId670" Type="http://schemas.openxmlformats.org/officeDocument/2006/relationships/hyperlink" Target="https://www.google.com/search?q=site%3Aiees.pt%20Exerc&#237;cio%20F&#237;sico%20CTeSP" TargetMode="External"/><Relationship Id="rId1093" Type="http://schemas.openxmlformats.org/officeDocument/2006/relationships/hyperlink" Target="https://www.google.com/search?q=site%3Aipb.pt%20Gest&#227;o%20Aut&#225;rquica%20p&#243;s-gradua&#231;&#227;o" TargetMode="External"/><Relationship Id="rId2144" Type="http://schemas.openxmlformats.org/officeDocument/2006/relationships/hyperlink" Target="https://www.google.com/search?q=site%3Aipt.pt%20Tecnologias%20e%20Produ&#231;&#227;o%20de%20Conte&#250;dos%20Digitais%20mestrado" TargetMode="External"/><Relationship Id="rId2351" Type="http://schemas.openxmlformats.org/officeDocument/2006/relationships/hyperlink" Target="https://www.google.com/search?q=site%3Aipv.pt%20Engenharia%20Eletrot&#233;cnica%20licenciatura" TargetMode="External"/><Relationship Id="rId3402" Type="http://schemas.openxmlformats.org/officeDocument/2006/relationships/hyperlink" Target="https://www.google.com/search?q=site%3Aeuropeia.pt%20Economia%20licenciatura" TargetMode="External"/><Relationship Id="rId4800" Type="http://schemas.openxmlformats.org/officeDocument/2006/relationships/hyperlink" Target="https://www.google.com/search?q=site%3Aulisboa.pt%20Medicina%20Hiperb&#225;rica%20e%20Subaqu&#225;tica%20mestrado" TargetMode="External"/><Relationship Id="rId116" Type="http://schemas.openxmlformats.org/officeDocument/2006/relationships/hyperlink" Target="https://www.google.com/search?q=site%3Aesepf.pt%20Educa&#231;&#227;o%20mestrado" TargetMode="External"/><Relationship Id="rId323" Type="http://schemas.openxmlformats.org/officeDocument/2006/relationships/hyperlink" Target="https://www.google.com/search?q=site%3Aesscvp.eu%20Osteopatia%20Visceral%20p&#243;s-gradua&#231;&#227;o" TargetMode="External"/><Relationship Id="rId530" Type="http://schemas.openxmlformats.org/officeDocument/2006/relationships/hyperlink" Target="https://www.google.com/search?q=site%3Aiseclisboa.pt%20Desenvolvimento%20de%20Produtos%20Tur&#237;sticos%20CTeSP" TargetMode="External"/><Relationship Id="rId1160" Type="http://schemas.openxmlformats.org/officeDocument/2006/relationships/hyperlink" Target="https://www.google.com/search?q=site%3Aipcb.pt%20Solicitadoria%20licenciatura" TargetMode="External"/><Relationship Id="rId2004" Type="http://schemas.openxmlformats.org/officeDocument/2006/relationships/hyperlink" Target="https://www.google.com/search?q=site%3Aips.pt%20Contabilidade%20e%20Finan&#231;as%20-%20Regime%20Noturno%20licenciatura" TargetMode="External"/><Relationship Id="rId2211" Type="http://schemas.openxmlformats.org/officeDocument/2006/relationships/hyperlink" Target="https://www.google.com/search?q=site%3Aipvc.pt%20Design%20de%20Ambientes%20licenciatura" TargetMode="External"/><Relationship Id="rId5367" Type="http://schemas.openxmlformats.org/officeDocument/2006/relationships/hyperlink" Target="https://www.google.com/search?q=site%3Aualg.pt%20Gest&#227;o%20de%20Portos%20e%20Log&#237;stica%20mestrado" TargetMode="External"/><Relationship Id="rId4176" Type="http://schemas.openxmlformats.org/officeDocument/2006/relationships/hyperlink" Target="https://www.google.com/search?q=site%3Aismai.pt%20Cinema%20e%20Cultura%20Digital%20mestrado" TargetMode="External"/><Relationship Id="rId5574" Type="http://schemas.openxmlformats.org/officeDocument/2006/relationships/hyperlink" Target="https://www.google.com/search?q=site%3Aup.pt%20Ensino%20de%20Portugu&#234;s%20e%20de%20L&#237;ngua%20Estrangeira%20no%203.&#186;%20Ciclo%20do%20Ensino%20B&#225;sico%20e%20no%20Ensino%20Secund&#225;rio%2C%20nas%20&#225;reas%20de%20especializa&#231;&#227;o%20de%20Alem&#227;o%20ou%20de%20Espanhol%20ou%20de%20Franc&#234;s%20ou%20de%20Ingl&#234;s%20mestrado" TargetMode="External"/><Relationship Id="rId5781" Type="http://schemas.openxmlformats.org/officeDocument/2006/relationships/hyperlink" Target="https://www.google.com/search?q=site%3Aium.pt%20Ci&#234;ncias%20Militares%2C%20ramo%20Ex&#233;rcito%20licenciatura" TargetMode="External"/><Relationship Id="rId1020" Type="http://schemas.openxmlformats.org/officeDocument/2006/relationships/hyperlink" Target="https://www.google.com/search?q=site%3Aipb.pt%20Gest&#227;o%20licenciatura" TargetMode="External"/><Relationship Id="rId1977" Type="http://schemas.openxmlformats.org/officeDocument/2006/relationships/hyperlink" Target="https://www.google.com/search?q=site%3Aips.pt%20Gest&#227;o%20de%20Turismo%20CTeSP" TargetMode="External"/><Relationship Id="rId4383" Type="http://schemas.openxmlformats.org/officeDocument/2006/relationships/hyperlink" Target="https://www.google.com/search?q=site%3Auc.pt%20Engenharia%20Mec&#226;nica%20mestrado" TargetMode="External"/><Relationship Id="rId4590" Type="http://schemas.openxmlformats.org/officeDocument/2006/relationships/hyperlink" Target="https://www.google.com/search?q=site%3Aulisboa.pt%20Gest&#227;o%20de%20Recursos%20Humanos%20licenciatura" TargetMode="External"/><Relationship Id="rId5227" Type="http://schemas.openxmlformats.org/officeDocument/2006/relationships/hyperlink" Target="https://www.google.com/search?q=site%3Auevora.pt%20Desenvolvimento%20Sustent&#225;vel%20em%20Regi&#245;es%20Tropicais%20%28S&#227;o%20Tom&#233;%20e%20Pr&#237;ncipe%29%20p&#243;s-gradua&#231;&#227;o" TargetMode="External"/><Relationship Id="rId5434" Type="http://schemas.openxmlformats.org/officeDocument/2006/relationships/hyperlink" Target="https://www.google.com/search?q=site%3Aup.pt%20Direito%20licenciatura" TargetMode="External"/><Relationship Id="rId5641" Type="http://schemas.openxmlformats.org/officeDocument/2006/relationships/hyperlink" Target="https://www.google.com/search?q=site%3Aup.pt%20Psicologia%20do%20Desporto%20e%20Desenvolvimento%20Humano%20mestrado" TargetMode="External"/><Relationship Id="rId1837" Type="http://schemas.openxmlformats.org/officeDocument/2006/relationships/hyperlink" Target="https://www.google.com/search?q=site%3Aipsantarem.pt%20Equinicultura%20e%20Atividades%20H&#237;picas%20CTeSP" TargetMode="External"/><Relationship Id="rId3192" Type="http://schemas.openxmlformats.org/officeDocument/2006/relationships/hyperlink" Target="https://www.google.com/search?q=site%3Aautonoma.pt%20Ci&#234;ncias%20da%20Comunica&#231;&#227;o%20licenciatura" TargetMode="External"/><Relationship Id="rId4036" Type="http://schemas.openxmlformats.org/officeDocument/2006/relationships/hyperlink" Target="https://www.google.com/search?q=site%3Aunl.pt%20Business%20Intelligence%20p&#243;s-gradua&#231;&#227;o" TargetMode="External"/><Relationship Id="rId4243" Type="http://schemas.openxmlformats.org/officeDocument/2006/relationships/hyperlink" Target="https://www.google.com/search?q=site%3Aua.pt%20Tecnologias%20da%20Informa&#231;&#227;o%20licenciatura" TargetMode="External"/><Relationship Id="rId4450" Type="http://schemas.openxmlformats.org/officeDocument/2006/relationships/hyperlink" Target="https://www.google.com/search?q=site%3Auc.pt%20Microbiologia%20e%20Biotecnologia%20Microbiana%20mestrado" TargetMode="External"/><Relationship Id="rId5501" Type="http://schemas.openxmlformats.org/officeDocument/2006/relationships/hyperlink" Target="https://www.google.com/search?q=site%3Aup.pt%20Ci&#234;ncia%20e%20Tecnologia%20de%20Nanomateriais%20mestrado" TargetMode="External"/><Relationship Id="rId3052" Type="http://schemas.openxmlformats.org/officeDocument/2006/relationships/hyperlink" Target="https://www.google.com/search?q=site%3Aisvouga.pt%20Servi&#231;os%20Jur&#237;dicos%20CTeSP" TargetMode="External"/><Relationship Id="rId4103" Type="http://schemas.openxmlformats.org/officeDocument/2006/relationships/hyperlink" Target="https://www.google.com/search?q=site%3Aupt.pt%20Ci&#234;ncia%20de%20Dados%20mestrado" TargetMode="External"/><Relationship Id="rId4310" Type="http://schemas.openxmlformats.org/officeDocument/2006/relationships/hyperlink" Target="https://www.google.com/search?q=site%3Auc.pt%20Gest&#227;o%20de%20Cidades%20Sustent&#225;veis%20e%20Inteligentes%20licenciatura" TargetMode="External"/><Relationship Id="rId180" Type="http://schemas.openxmlformats.org/officeDocument/2006/relationships/hyperlink" Target="https://www.google.com/search?q=site%3Aesenf.pt%20Sistemas%20de%20Informa&#231;&#227;o%20em%20Enfermagem%20p&#243;s-gradua&#231;&#227;o" TargetMode="External"/><Relationship Id="rId1904" Type="http://schemas.openxmlformats.org/officeDocument/2006/relationships/hyperlink" Target="https://www.google.com/search?q=site%3Aipsantarem.pt%20Ensino%20do%201.&#186;%20Ciclo%20do%20Ensino%20B&#225;sico%20e%20de%20Portugu&#234;s%20e%20Hist&#243;ria%20e%20Geografia%20de%20Portugal%20no%202.&#186;%20Ciclo%20do%20Ensino%20B&#225;sico%20mestrado" TargetMode="External"/><Relationship Id="rId3869" Type="http://schemas.openxmlformats.org/officeDocument/2006/relationships/hyperlink" Target="https://www.google.com/search?q=site%3Aunl.pt%20Cidades%20Inteligentes%20e%20Anal&#237;tica%20Urbana%20mestrado" TargetMode="External"/><Relationship Id="rId5084" Type="http://schemas.openxmlformats.org/officeDocument/2006/relationships/hyperlink" Target="https://www.google.com/search?q=site%3Autad.pt%20Desporto%20de%20Natureza%20Sustentabilidade%20e%20Sa&#250;de%20mestrado" TargetMode="External"/><Relationship Id="rId5291" Type="http://schemas.openxmlformats.org/officeDocument/2006/relationships/hyperlink" Target="https://www.google.com/search?q=site%3Aualg.pt%20Educa&#231;&#227;o%20Social%20licenciatura" TargetMode="External"/><Relationship Id="rId997" Type="http://schemas.openxmlformats.org/officeDocument/2006/relationships/hyperlink" Target="https://www.google.com/search?q=site%3Aipb.pt%20Desporto%20licenciatura" TargetMode="External"/><Relationship Id="rId2678" Type="http://schemas.openxmlformats.org/officeDocument/2006/relationships/hyperlink" Target="https://www.google.com/search?q=site%3Aipp.pt%20Seguran&#231;a%20do%20Trabalho%20e%20Ambiente%20licenciatura" TargetMode="External"/><Relationship Id="rId2885" Type="http://schemas.openxmlformats.org/officeDocument/2006/relationships/hyperlink" Target="https://www.google.com/search?q=site%3Aisdd.pt%20Engenharia%20e%20Gest&#227;o%20da%20Produ&#231;&#227;o%20de%20Moldes%20licenciatura" TargetMode="External"/><Relationship Id="rId3729" Type="http://schemas.openxmlformats.org/officeDocument/2006/relationships/hyperlink" Target="https://www.google.com/search?q=site%3Alusofona.pt%20Comunica&#231;&#227;o%20nas%20Organiza&#231;&#245;es%20mestrado" TargetMode="External"/><Relationship Id="rId3936" Type="http://schemas.openxmlformats.org/officeDocument/2006/relationships/hyperlink" Target="https://www.google.com/search?q=site%3Aunl.pt%20Estudos%20Urbanos%20mestrado" TargetMode="External"/><Relationship Id="rId5151" Type="http://schemas.openxmlformats.org/officeDocument/2006/relationships/hyperlink" Target="https://www.google.com/search?q=site%3Auevora.pt%20Ci&#234;ncias%20do%20Desporto%20licenciatura" TargetMode="External"/><Relationship Id="rId857" Type="http://schemas.openxmlformats.org/officeDocument/2006/relationships/hyperlink" Target="https://www.google.com/search?q=site%3Aipluso.pt%20P&#243;s&#8209;Gradua&#231;&#227;o%20em%20Mandarim%20e%20Cultura%20Chinesa%20p&#243;s-gradua&#231;&#227;o" TargetMode="External"/><Relationship Id="rId1487" Type="http://schemas.openxmlformats.org/officeDocument/2006/relationships/hyperlink" Target="https://www.google.com/search?q=site%3Aipleiria.pt%20Tecnologias%20Digitais%20Aplicadas%20ao%20Turismo%20licenciatura" TargetMode="External"/><Relationship Id="rId1694" Type="http://schemas.openxmlformats.org/officeDocument/2006/relationships/hyperlink" Target="https://www.google.com/search?q=site%3Aipl.pt%20Fiscalidade%20mestrado" TargetMode="External"/><Relationship Id="rId2538" Type="http://schemas.openxmlformats.org/officeDocument/2006/relationships/hyperlink" Target="https://www.google.com/search?q=site%3Aipca.pt%20Design%20de%20T&#234;xtil%20e%20Moda%20p&#243;s-gradua&#231;&#227;o" TargetMode="External"/><Relationship Id="rId2745" Type="http://schemas.openxmlformats.org/officeDocument/2006/relationships/hyperlink" Target="https://www.google.com/search?q=site%3Aipp.pt%20Finan&#231;as%20Empresariais%20mestrado" TargetMode="External"/><Relationship Id="rId2952" Type="http://schemas.openxmlformats.org/officeDocument/2006/relationships/hyperlink" Target="https://www.google.com/search?q=site%3Aisag.pt%20Gest&#227;o%20de%20Empresas%20licenciatura" TargetMode="External"/><Relationship Id="rId717" Type="http://schemas.openxmlformats.org/officeDocument/2006/relationships/hyperlink" Target="https://www.google.com/search?q=site%3Aipg.pt%20Desenvolvimento%20de%20Aplica&#231;&#245;es%20Inform&#225;ticas%20CTeSP" TargetMode="External"/><Relationship Id="rId924" Type="http://schemas.openxmlformats.org/officeDocument/2006/relationships/hyperlink" Target="https://www.google.com/search?q=site%3Aipbeja.pt%20Gerontologia%20Social%20e%20Comunit&#225;ria%20mestrado" TargetMode="External"/><Relationship Id="rId1347" Type="http://schemas.openxmlformats.org/officeDocument/2006/relationships/hyperlink" Target="https://www.google.com/search?q=site%3Aipc.pt%20Comunica&#231;&#227;o%20Estrat&#233;gica%20para%20as%20Autarquias%20p&#243;s-gradua&#231;&#227;o" TargetMode="External"/><Relationship Id="rId1554" Type="http://schemas.openxmlformats.org/officeDocument/2006/relationships/hyperlink" Target="https://www.google.com/search?q=site%3Aipleiria.pt%20Gest&#227;o%20e%20Direc&#231;&#227;o%20Hoteleira%20mestrado" TargetMode="External"/><Relationship Id="rId1761" Type="http://schemas.openxmlformats.org/officeDocument/2006/relationships/hyperlink" Target="https://www.google.com/search?q=site%3Aipportalegre.pt%20Fotografia%20e%20Imagem%20Digital%20CTeSP" TargetMode="External"/><Relationship Id="rId2605" Type="http://schemas.openxmlformats.org/officeDocument/2006/relationships/hyperlink" Target="https://www.google.com/search?q=site%3Aipp.pt%20Servi&#231;os%20de%20Tecnologias%20Educativas%20CTeSP" TargetMode="External"/><Relationship Id="rId2812" Type="http://schemas.openxmlformats.org/officeDocument/2006/relationships/hyperlink" Target="https://www.google.com/search?q=site%3Aipp.pt%20Gest&#227;o%20de%20Servi&#231;os%20de%20Informa&#231;&#227;o%20p&#243;s-gradua&#231;&#227;o" TargetMode="External"/><Relationship Id="rId5011" Type="http://schemas.openxmlformats.org/officeDocument/2006/relationships/hyperlink" Target="https://www.google.com/search?q=site%3Autad.pt%20Secretariado%20Cl&#237;nico%20CTeSP" TargetMode="External"/><Relationship Id="rId53" Type="http://schemas.openxmlformats.org/officeDocument/2006/relationships/hyperlink" Target="https://www.google.com/search?q=site%3Aesap.pt%20Argumento%20para%20Cinema%20e%20S&#233;ries%20de%20Fic&#231;&#227;o%20p&#243;s-gradua&#231;&#227;o" TargetMode="External"/><Relationship Id="rId1207" Type="http://schemas.openxmlformats.org/officeDocument/2006/relationships/hyperlink" Target="https://www.google.com/search?q=site%3Aipc.pt%20Compostagem%20e%20Valoriza&#231;&#227;o%20de%20Res&#237;duos%20Biodegrad&#225;veis%20CTeSP" TargetMode="External"/><Relationship Id="rId1414" Type="http://schemas.openxmlformats.org/officeDocument/2006/relationships/hyperlink" Target="https://www.google.com/search?q=site%3Aipleiria.pt%20Organiza&#231;&#227;o%20e%20Comunica&#231;&#227;o%20de%20Eventos%20CTeSP" TargetMode="External"/><Relationship Id="rId1621" Type="http://schemas.openxmlformats.org/officeDocument/2006/relationships/hyperlink" Target="https://www.google.com/search?q=site%3Aipl.pt%20Com&#233;rcio%20e%20Neg&#243;cios%20Internacionais%20licenciatura" TargetMode="External"/><Relationship Id="rId4777" Type="http://schemas.openxmlformats.org/officeDocument/2006/relationships/hyperlink" Target="https://www.google.com/search?q=site%3Aulisboa.pt%20Hist&#243;ria%20do%20Mediterr&#226;neo%20Isl&#226;mico%20mestrado" TargetMode="External"/><Relationship Id="rId4984" Type="http://schemas.openxmlformats.org/officeDocument/2006/relationships/hyperlink" Target="https://www.google.com/search?q=site%3Aulisboa.pt%20Preven&#231;&#227;o%20da%20Dopagem%20p&#243;s-gradua&#231;&#227;o" TargetMode="External"/><Relationship Id="rId3379" Type="http://schemas.openxmlformats.org/officeDocument/2006/relationships/hyperlink" Target="https://www.google.com/search?q=site%3Aucp.pt%20Transforma&#231;&#227;o%20Digital%20e%20IA%20p&#243;s-gradua&#231;&#227;o" TargetMode="External"/><Relationship Id="rId3586" Type="http://schemas.openxmlformats.org/officeDocument/2006/relationships/hyperlink" Target="https://www.google.com/search?q=site%3Aulusiada.pt%20Marketing%20licenciatura" TargetMode="External"/><Relationship Id="rId3793" Type="http://schemas.openxmlformats.org/officeDocument/2006/relationships/hyperlink" Target="https://www.google.com/search?q=site%3Alusofona.pt%20P&#243;s&#8209;Gradua&#231;&#227;o%20em%20Medicina%20Tradicional%20Chinesa%20p&#243;s-gradua&#231;&#227;o" TargetMode="External"/><Relationship Id="rId4637" Type="http://schemas.openxmlformats.org/officeDocument/2006/relationships/hyperlink" Target="https://www.google.com/search?q=site%3Aulisboa.pt%20Ci&#234;ncias%20Actuariais%20mestrado" TargetMode="External"/><Relationship Id="rId2188" Type="http://schemas.openxmlformats.org/officeDocument/2006/relationships/hyperlink" Target="https://www.google.com/search?q=site%3Aipvc.pt%20Neg&#243;cios%20Digitais%20CTeSP" TargetMode="External"/><Relationship Id="rId2395" Type="http://schemas.openxmlformats.org/officeDocument/2006/relationships/hyperlink" Target="https://www.google.com/search?q=site%3Aipv.pt%20Gest&#227;o%20mestrado" TargetMode="External"/><Relationship Id="rId3239" Type="http://schemas.openxmlformats.org/officeDocument/2006/relationships/hyperlink" Target="https://www.google.com/search?q=site%3Aucp.pt%20Educa&#231;&#227;o%20licenciatura" TargetMode="External"/><Relationship Id="rId3446" Type="http://schemas.openxmlformats.org/officeDocument/2006/relationships/hyperlink" Target="https://www.google.com/search?q=site%3Aeuropeia.pt%20Design%20para%20a%20Sustentabilidade%20mestrado" TargetMode="External"/><Relationship Id="rId4844" Type="http://schemas.openxmlformats.org/officeDocument/2006/relationships/hyperlink" Target="https://www.google.com/search?q=site%3Aulisboa.pt%20Servi&#231;o%20Social%20e%20Sustentabilidade%20mestrado" TargetMode="External"/><Relationship Id="rId367" Type="http://schemas.openxmlformats.org/officeDocument/2006/relationships/hyperlink" Target="https://www.google.com/search?q=site%3Aessa.pt%20Terapia%20Ocupacional%20licenciatura" TargetMode="External"/><Relationship Id="rId574" Type="http://schemas.openxmlformats.org/officeDocument/2006/relationships/hyperlink" Target="https://www.google.com/search?q=site%3Aiseclisboa.pt%20Coordenadores%20Municipais%20de%20Prote&#231;&#227;o%20Civil%20p&#243;s-gradua&#231;&#227;o" TargetMode="External"/><Relationship Id="rId2048" Type="http://schemas.openxmlformats.org/officeDocument/2006/relationships/hyperlink" Target="https://www.google.com/search?q=site%3Aips.pt%20Fisioterapia%20no%20Desporto%20mestrado" TargetMode="External"/><Relationship Id="rId2255" Type="http://schemas.openxmlformats.org/officeDocument/2006/relationships/hyperlink" Target="https://www.google.com/search?q=site%3Aipvc.pt%20Enfermagem%20de%20Reabilita&#231;&#227;o%20mestrado" TargetMode="External"/><Relationship Id="rId3653" Type="http://schemas.openxmlformats.org/officeDocument/2006/relationships/hyperlink" Target="https://www.google.com/search?q=site%3Alusofona.pt%20Biotecnologia%20licenciatura" TargetMode="External"/><Relationship Id="rId3860" Type="http://schemas.openxmlformats.org/officeDocument/2006/relationships/hyperlink" Target="https://www.google.com/search?q=site%3Aunl.pt%20Artes%20Musicais%20mestrado" TargetMode="External"/><Relationship Id="rId4704" Type="http://schemas.openxmlformats.org/officeDocument/2006/relationships/hyperlink" Target="https://www.google.com/search?q=site%3Aulisboa.pt%20Engenharia%20Geoespacial%20mestrado" TargetMode="External"/><Relationship Id="rId4911" Type="http://schemas.openxmlformats.org/officeDocument/2006/relationships/hyperlink" Target="https://www.google.com/search?q=site%3Aulisboa.pt%20Criminologia%20e%20Reinser&#231;&#227;o%20Social%20p&#243;s-gradua&#231;&#227;o" TargetMode="External"/><Relationship Id="rId227" Type="http://schemas.openxmlformats.org/officeDocument/2006/relationships/hyperlink" Target="https://www.google.com/search?q=site%3Aegasmoniz.edu.pt%20Enfermagem%20Comunit&#225;ria%20na%20&#225;rea%20de%20Enfermagem%20de%20Sa&#250;de%20Familiar%20mestrado" TargetMode="External"/><Relationship Id="rId781" Type="http://schemas.openxmlformats.org/officeDocument/2006/relationships/hyperlink" Target="https://www.google.com/search?q=site%3Aipg.pt%20Design%20de%20Interiores%20e%20Produto%20mestrado" TargetMode="External"/><Relationship Id="rId2462" Type="http://schemas.openxmlformats.org/officeDocument/2006/relationships/hyperlink" Target="https://www.google.com/search?q=site%3Aipca.pt%20Rob&#243;tica%20Colaborativa%20e%20Intelig&#234;ncia%20Industrial%20CTeSP" TargetMode="External"/><Relationship Id="rId3306" Type="http://schemas.openxmlformats.org/officeDocument/2006/relationships/hyperlink" Target="https://www.google.com/search?q=site%3Aucp.pt%20Gest&#227;o%20da%20Floresta%20e%20dos%20Recursos%20Naturais%20no%20Mediterr&#226;neo%20%28MEDfOR%29%20mestrado" TargetMode="External"/><Relationship Id="rId3513" Type="http://schemas.openxmlformats.org/officeDocument/2006/relationships/hyperlink" Target="https://www.google.com/search?q=site%3Aufp.pt%20Criminologia%20%28regime%20de%20ensino%20a%20dist&#226;ncia%29%20licenciatura" TargetMode="External"/><Relationship Id="rId3720" Type="http://schemas.openxmlformats.org/officeDocument/2006/relationships/hyperlink" Target="https://www.google.com/search?q=site%3Alusofona.pt%20Ci&#234;ncia%20das%20Religi&#245;es%20mestrado" TargetMode="External"/><Relationship Id="rId434" Type="http://schemas.openxmlformats.org/officeDocument/2006/relationships/hyperlink" Target="https://www.google.com/search?q=site%3Aiscte-iul.pt%20Gest&#227;o%20de%20Recursos%20Humanos%20licenciatura" TargetMode="External"/><Relationship Id="rId641" Type="http://schemas.openxmlformats.org/officeDocument/2006/relationships/hyperlink" Target="https://www.google.com/search?q=site%3Aispa.pt%20Psicologia%20Vocacional%20e%20do%20Desenvolvimento%20de%20Carreira%20p&#243;s-gradua&#231;&#227;o" TargetMode="External"/><Relationship Id="rId1064" Type="http://schemas.openxmlformats.org/officeDocument/2006/relationships/hyperlink" Target="https://www.google.com/search?q=site%3Aipb.pt%20Ensino%20do%201.&#186;%20Ciclo%20do%20Ensino%20B&#225;sico%20e%20de%20Portugu&#234;s%20e%20Hist&#243;ria%20e%20Geografia%20de%20Portugal%20no%202.&#186;%20Ciclo%20do%20Ensino%20B&#225;sico%20mestrado" TargetMode="External"/><Relationship Id="rId1271" Type="http://schemas.openxmlformats.org/officeDocument/2006/relationships/hyperlink" Target="https://www.google.com/search?q=site%3Aipc.pt%20Gest&#227;o%20de%20Recursos%20Humanos%20licenciatura" TargetMode="External"/><Relationship Id="rId2115" Type="http://schemas.openxmlformats.org/officeDocument/2006/relationships/hyperlink" Target="https://www.google.com/search?q=site%3Aipt.pt%20Engenharia%20Civil%20licenciatura" TargetMode="External"/><Relationship Id="rId2322" Type="http://schemas.openxmlformats.org/officeDocument/2006/relationships/hyperlink" Target="https://www.google.com/search?q=site%3Aipv.pt%20Produ&#231;&#227;o%20Animal%20CTeSP" TargetMode="External"/><Relationship Id="rId5478" Type="http://schemas.openxmlformats.org/officeDocument/2006/relationships/hyperlink" Target="https://www.google.com/search?q=site%3Aup.pt%20Assist&#234;ncia%20Integral%20em%20Urg&#234;ncias%20e%20Emerg&#234;ncias%20mestrado" TargetMode="External"/><Relationship Id="rId5685" Type="http://schemas.openxmlformats.org/officeDocument/2006/relationships/hyperlink" Target="https://www.google.com/search?q=site%3Auac.pt%20Agropecu&#225;ria%20CTeSP" TargetMode="External"/><Relationship Id="rId501" Type="http://schemas.openxmlformats.org/officeDocument/2006/relationships/hyperlink" Target="https://www.google.com/search?q=site%3Aisec.pt%20Engenharia%20Eletromec&#226;nica%20licenciatura" TargetMode="External"/><Relationship Id="rId1131" Type="http://schemas.openxmlformats.org/officeDocument/2006/relationships/hyperlink" Target="https://www.google.com/search?q=site%3Aipcb.pt%20Turismo%20e%20Hotelaria%20CTeSP" TargetMode="External"/><Relationship Id="rId4287" Type="http://schemas.openxmlformats.org/officeDocument/2006/relationships/hyperlink" Target="https://www.google.com/search?q=site%3Auc.pt%20Direito%20Luso-Brasileiro%20licenciatura" TargetMode="External"/><Relationship Id="rId4494" Type="http://schemas.openxmlformats.org/officeDocument/2006/relationships/hyperlink" Target="https://www.google.com/search?q=site%3Auc.pt%20Arquitetura%20mestrado%20integrado" TargetMode="External"/><Relationship Id="rId5338" Type="http://schemas.openxmlformats.org/officeDocument/2006/relationships/hyperlink" Target="https://www.google.com/search?q=site%3Aualg.pt%20Economia%20Financeira%20mestrado" TargetMode="External"/><Relationship Id="rId5545" Type="http://schemas.openxmlformats.org/officeDocument/2006/relationships/hyperlink" Target="https://www.google.com/search?q=site%3Aup.pt%20Engenharia%20F&#237;sica%20mestrado" TargetMode="External"/><Relationship Id="rId5752" Type="http://schemas.openxmlformats.org/officeDocument/2006/relationships/hyperlink" Target="https://www.google.com/search?q=site%3Auac.pt%20Administra&#231;&#227;o%20e%20Gest&#227;o%20da%20Sa&#250;de%20%5B2026/2027%5D%20p&#243;s-gradua&#231;&#227;o" TargetMode="External"/><Relationship Id="rId3096" Type="http://schemas.openxmlformats.org/officeDocument/2006/relationships/hyperlink" Target="https://www.google.com/search?q=site%3Acespu.pt%20Ci&#234;ncias%20da%20Nutri&#231;&#227;o%20licenciatura" TargetMode="External"/><Relationship Id="rId4147" Type="http://schemas.openxmlformats.org/officeDocument/2006/relationships/hyperlink" Target="https://www.google.com/search?q=site%3Aubi.pt%20Matem&#225;tica%20e%20Aplica&#231;&#245;es%20licenciatura" TargetMode="External"/><Relationship Id="rId4354" Type="http://schemas.openxmlformats.org/officeDocument/2006/relationships/hyperlink" Target="https://www.google.com/search?q=site%3Auc.pt%20Ci&#234;ncia%20da%20Informa&#231;&#227;o%20mestrado" TargetMode="External"/><Relationship Id="rId4561" Type="http://schemas.openxmlformats.org/officeDocument/2006/relationships/hyperlink" Target="https://www.google.com/search?q=site%3Aulisboa.pt%20Engenharia%20Naval%20e%20Oce&#226;nica%20licenciatura" TargetMode="External"/><Relationship Id="rId5405" Type="http://schemas.openxmlformats.org/officeDocument/2006/relationships/hyperlink" Target="https://www.google.com/search?q=site%3Auminho.pt%20Enfermagem%20licenciatura" TargetMode="External"/><Relationship Id="rId5612" Type="http://schemas.openxmlformats.org/officeDocument/2006/relationships/hyperlink" Target="https://www.google.com/search?q=site%3Aup.pt%20Inova&#231;&#227;o%20Digital%20para%20Pr&#225;ticas%20de%20Projeto%20mestrado" TargetMode="External"/><Relationship Id="rId1948" Type="http://schemas.openxmlformats.org/officeDocument/2006/relationships/hyperlink" Target="https://www.google.com/search?q=site%3Acespu.pt%20Enfermagem%20Gerontogeri&#225;trica%20&#8211;%201.&#170;%20edi&#231;&#227;o%20p&#243;s-gradua&#231;&#227;o" TargetMode="External"/><Relationship Id="rId3163" Type="http://schemas.openxmlformats.org/officeDocument/2006/relationships/hyperlink" Target="https://www.google.com/search?q=site%3Auab.pt%20Administra&#231;&#227;o%20e%20Gest&#227;o%20Educacional%20mestrado" TargetMode="External"/><Relationship Id="rId3370" Type="http://schemas.openxmlformats.org/officeDocument/2006/relationships/hyperlink" Target="https://www.google.com/search?q=site%3Aucp.pt%20Pharma%20Key%20Account%20Management%20p&#243;s-gradua&#231;&#227;o" TargetMode="External"/><Relationship Id="rId4007" Type="http://schemas.openxmlformats.org/officeDocument/2006/relationships/hyperlink" Target="https://www.google.com/search?q=site%3Aunl.pt%20Sociologia%20mestrado" TargetMode="External"/><Relationship Id="rId4214" Type="http://schemas.openxmlformats.org/officeDocument/2006/relationships/hyperlink" Target="https://www.google.com/search?q=site%3Aua.pt%20Instala&#231;&#245;es%20El&#233;tricas%20e%20Automa&#231;&#227;o%20CTeSP" TargetMode="External"/><Relationship Id="rId4421" Type="http://schemas.openxmlformats.org/officeDocument/2006/relationships/hyperlink" Target="https://www.google.com/search?q=site%3Auc.pt%20Geoci&#234;ncias%20mestrado" TargetMode="External"/><Relationship Id="rId291" Type="http://schemas.openxmlformats.org/officeDocument/2006/relationships/hyperlink" Target="https://www.google.com/search?q=site%3Aesscvp.eu%20Gest&#227;o%20Administrativa%20em%20Contexto%20Cl&#237;nico%20CTeSP" TargetMode="External"/><Relationship Id="rId1808" Type="http://schemas.openxmlformats.org/officeDocument/2006/relationships/hyperlink" Target="https://www.google.com/search?q=site%3Aipportalegre.pt%20Educa&#231;&#227;o%20Pr&#233;&#8209;Escolar%20e%20Ensino%20do%201.&#186;%20Ciclo%20do%20Ensino%20B&#225;sico%20mestrado" TargetMode="External"/><Relationship Id="rId3023" Type="http://schemas.openxmlformats.org/officeDocument/2006/relationships/hyperlink" Target="https://www.google.com/search?q=site%3Aiscia.pt%20Comunica&#231;&#227;o%20Digital%20CTeSP" TargetMode="External"/><Relationship Id="rId151" Type="http://schemas.openxmlformats.org/officeDocument/2006/relationships/hyperlink" Target="https://www.google.com/search?q=site%3Aesel.pt%20Enfermagem%20do%20Trabalho%20p&#243;s-gradua&#231;&#227;o" TargetMode="External"/><Relationship Id="rId3230" Type="http://schemas.openxmlformats.org/officeDocument/2006/relationships/hyperlink" Target="https://www.google.com/search?q=site%3Aucp.pt%20Ci&#234;ncias%20Religiosas%20licenciatura" TargetMode="External"/><Relationship Id="rId5195" Type="http://schemas.openxmlformats.org/officeDocument/2006/relationships/hyperlink" Target="https://www.google.com/search?q=site%3Auevora.pt%20Exerc&#237;cio%20e%20Sa&#250;de%20mestrado" TargetMode="External"/><Relationship Id="rId2789" Type="http://schemas.openxmlformats.org/officeDocument/2006/relationships/hyperlink" Target="https://www.google.com/search?q=site%3Aipp.pt%20Cartografia%20de%20Risco%20e%20Planeamento%20de%20Prote&#231;&#227;o%20Civil%20p&#243;s-gradua&#231;&#227;o" TargetMode="External"/><Relationship Id="rId2996" Type="http://schemas.openxmlformats.org/officeDocument/2006/relationships/hyperlink" Target="https://www.google.com/search?q=site%3Aisced.pt%20Supervis&#227;o%20Cl&#237;nica%20em%20Enfermagem%20&#8211;%208.&#170;%20edi&#231;&#227;o%20p&#243;s-gradua&#231;&#227;o" TargetMode="External"/><Relationship Id="rId968" Type="http://schemas.openxmlformats.org/officeDocument/2006/relationships/hyperlink" Target="https://www.google.com/search?q=site%3Aipb.pt%20Ilustra&#231;&#227;o%20e%20Arte%20Gr&#225;fica%20CTeSP" TargetMode="External"/><Relationship Id="rId1598" Type="http://schemas.openxmlformats.org/officeDocument/2006/relationships/hyperlink" Target="https://www.google.com/search?q=site%3Aipleiria.pt%20Inova&#231;&#227;o%20na%20Humaniza&#231;&#227;o%20dos%20Cuidados%20p&#243;s-gradua&#231;&#227;o" TargetMode="External"/><Relationship Id="rId2649" Type="http://schemas.openxmlformats.org/officeDocument/2006/relationships/hyperlink" Target="https://www.google.com/search?q=site%3Aipp.pt%20Engenharia%20e%20Gest&#227;o%20Industrial%20licenciatura" TargetMode="External"/><Relationship Id="rId2856" Type="http://schemas.openxmlformats.org/officeDocument/2006/relationships/hyperlink" Target="https://www.google.com/search?q=site%3Aipam.pt%20Neg&#243;cios%20Globais%20mestrado" TargetMode="External"/><Relationship Id="rId3907" Type="http://schemas.openxmlformats.org/officeDocument/2006/relationships/hyperlink" Target="https://www.google.com/search?q=site%3Aunl.pt%20Engenharia%20Geol&#243;gica%20mestrado" TargetMode="External"/><Relationship Id="rId5055" Type="http://schemas.openxmlformats.org/officeDocument/2006/relationships/hyperlink" Target="https://www.google.com/search?q=site%3Autad.pt%20Psicomotricidade%20licenciatura" TargetMode="External"/><Relationship Id="rId5262" Type="http://schemas.openxmlformats.org/officeDocument/2006/relationships/hyperlink" Target="https://www.google.com/search?q=site%3Aualg.pt%20Programa&#231;&#227;o%20de%20Dispositivos%20para%20a%20Internet%20CTeSP" TargetMode="External"/><Relationship Id="rId97" Type="http://schemas.openxmlformats.org/officeDocument/2006/relationships/hyperlink" Target="https://www.google.com/search?q=site%3Ajoaodedeus.pt%20Gram&#225;tica%20para%20os%201.&#186;%20e%202.&#186;%20CEB%3A%20do%20Conhecimento%20da%20L&#237;ngua%20&#224;s%20Propostas%20Did&#225;ticas%20p&#243;s-gradua&#231;&#227;o" TargetMode="External"/><Relationship Id="rId828" Type="http://schemas.openxmlformats.org/officeDocument/2006/relationships/hyperlink" Target="https://www.google.com/search?q=site%3Aipluso.pt%20Arte%20Multim&#233;dia%20licenciatura" TargetMode="External"/><Relationship Id="rId1458" Type="http://schemas.openxmlformats.org/officeDocument/2006/relationships/hyperlink" Target="https://www.google.com/search?q=site%3Aipleiria.pt%20Enfermagem%20licenciatura" TargetMode="External"/><Relationship Id="rId1665" Type="http://schemas.openxmlformats.org/officeDocument/2006/relationships/hyperlink" Target="https://www.google.com/search?q=site%3Aipl.pt%20Contabilidade%20mestrado" TargetMode="External"/><Relationship Id="rId1872" Type="http://schemas.openxmlformats.org/officeDocument/2006/relationships/hyperlink" Target="https://www.google.com/search?q=site%3Aipsantarem.pt%20Enfermagem%20licenciatura" TargetMode="External"/><Relationship Id="rId2509" Type="http://schemas.openxmlformats.org/officeDocument/2006/relationships/hyperlink" Target="https://www.google.com/search?q=site%3Aipca.pt%20Gest&#227;o%20Fiscal%20mestrado" TargetMode="External"/><Relationship Id="rId2716" Type="http://schemas.openxmlformats.org/officeDocument/2006/relationships/hyperlink" Target="https://www.google.com/search?q=site%3Aipp.pt%20Educa&#231;&#227;o%20Pr&#233;-Escolar%20mestrado" TargetMode="External"/><Relationship Id="rId4071" Type="http://schemas.openxmlformats.org/officeDocument/2006/relationships/hyperlink" Target="https://www.google.com/search?q=site%3Aunl.pt%20Glyco%20e&#8209;learning%3A%20Da%20Glicobiologia%20b&#225;sica%20&#224;%20aplicada%20p&#243;s-gradua&#231;&#227;o" TargetMode="External"/><Relationship Id="rId5122" Type="http://schemas.openxmlformats.org/officeDocument/2006/relationships/hyperlink" Target="https://www.google.com/search?q=site%3Autad.pt%20Modela&#231;&#227;o%20Computacional%20mestrado" TargetMode="External"/><Relationship Id="rId1318" Type="http://schemas.openxmlformats.org/officeDocument/2006/relationships/hyperlink" Target="https://www.google.com/search?q=site%3Aipc.pt%20Fisioterapia%20mestrado" TargetMode="External"/><Relationship Id="rId1525" Type="http://schemas.openxmlformats.org/officeDocument/2006/relationships/hyperlink" Target="https://www.google.com/search?q=site%3Aipleiria.pt%20Empreendedorismo%20e%20Inova&#231;&#227;o%20mestrado" TargetMode="External"/><Relationship Id="rId2923" Type="http://schemas.openxmlformats.org/officeDocument/2006/relationships/hyperlink" Target="https://www.google.com/search?q=site%3Aismt.pt%20Realiza&#231;&#227;o%20e%20Distribui&#231;&#227;o%20de%20Conte&#250;dos%20Audiovisuais%20&#8211;%20NOVA%20PG%20p&#243;s-gradua&#231;&#227;o" TargetMode="External"/><Relationship Id="rId1732" Type="http://schemas.openxmlformats.org/officeDocument/2006/relationships/hyperlink" Target="https://www.google.com/search?q=site%3Aipl.pt%20Health%20Data%20Science%20p&#243;s-gradua&#231;&#227;o" TargetMode="External"/><Relationship Id="rId4888" Type="http://schemas.openxmlformats.org/officeDocument/2006/relationships/hyperlink" Target="https://www.google.com/search?q=site%3Aulisboa.pt%20Artes%20Sonoras%3A%20Pr&#225;ticas%20e%20Tecnologias%20de%20Cria&#231;&#227;o%20p&#243;s-gradua&#231;&#227;o" TargetMode="External"/><Relationship Id="rId24" Type="http://schemas.openxmlformats.org/officeDocument/2006/relationships/hyperlink" Target="https://www.google.com/search?q=site%3Auatlantica.pt%20P&#243;s-Gradua&#231;&#227;o%20em%20Gest&#227;o%20e%20Lideran&#231;a%20dos%20Servi&#231;os%20de%20Sa&#250;de%20p&#243;s-gradua&#231;&#227;o" TargetMode="External"/><Relationship Id="rId2299" Type="http://schemas.openxmlformats.org/officeDocument/2006/relationships/hyperlink" Target="https://www.google.com/search?q=site%3Aipv.pt%20Atividades%20Educativas%20e%20Divulga&#231;&#227;o%20em%20Ci&#234;ncia%20CTeSP" TargetMode="External"/><Relationship Id="rId3697" Type="http://schemas.openxmlformats.org/officeDocument/2006/relationships/hyperlink" Target="https://www.google.com/search?q=site%3Alusofona.pt%20Gest&#227;o%20Comercial%20licenciatura" TargetMode="External"/><Relationship Id="rId4748" Type="http://schemas.openxmlformats.org/officeDocument/2006/relationships/hyperlink" Target="https://www.google.com/search?q=site%3Aulisboa.pt%20Estudos%20de%20Teatro%20e%20de%20Performance%20mestrado" TargetMode="External"/><Relationship Id="rId4955" Type="http://schemas.openxmlformats.org/officeDocument/2006/relationships/hyperlink" Target="https://www.google.com/search?q=site%3Aulisboa.pt%20Gest&#227;o%20de%20Risco%20e%20Auditoria%20em%20Sa&#250;de%20p&#243;s-gradua&#231;&#227;o" TargetMode="External"/><Relationship Id="rId3557" Type="http://schemas.openxmlformats.org/officeDocument/2006/relationships/hyperlink" Target="https://www.google.com/search?q=site%3Aufp.pt%20Perda%20e%20Luto%20p&#243;s-gradua&#231;&#227;o" TargetMode="External"/><Relationship Id="rId3764" Type="http://schemas.openxmlformats.org/officeDocument/2006/relationships/hyperlink" Target="https://www.google.com/search?q=site%3Alusofona.pt%20Criminologia%20e%20Investiga&#231;&#227;o%20Criminal%20p&#243;s-gradua&#231;&#227;o" TargetMode="External"/><Relationship Id="rId3971" Type="http://schemas.openxmlformats.org/officeDocument/2006/relationships/hyperlink" Target="https://www.google.com/search?q=site%3Aunl.pt%20Log&#237;stica%20Mar&#237;tima%20mestrado" TargetMode="External"/><Relationship Id="rId4608" Type="http://schemas.openxmlformats.org/officeDocument/2006/relationships/hyperlink" Target="https://www.google.com/search?q=site%3Aulisboa.pt%20Rela&#231;&#245;es%20Internacionais%20licenciatura" TargetMode="External"/><Relationship Id="rId4815" Type="http://schemas.openxmlformats.org/officeDocument/2006/relationships/hyperlink" Target="https://www.google.com/search?q=site%3Aulisboa.pt%20Ordenamento%20do%20Territ&#243;rio%20e%20Urbanismo%20mestrado" TargetMode="External"/><Relationship Id="rId478" Type="http://schemas.openxmlformats.org/officeDocument/2006/relationships/hyperlink" Target="https://www.google.com/search?q=site%3Aisec.pt%20An&#225;lises%20Qu&#237;micas%20e%20Biol&#243;gicas%20CTeSP" TargetMode="External"/><Relationship Id="rId685" Type="http://schemas.openxmlformats.org/officeDocument/2006/relationships/hyperlink" Target="https://www.google.com/search?q=site%3Aiees.pt%20Gest&#227;o%20Hoteleira%20licenciatura" TargetMode="External"/><Relationship Id="rId892" Type="http://schemas.openxmlformats.org/officeDocument/2006/relationships/hyperlink" Target="https://www.google.com/search?q=site%3Aipbeja.pt%20Tecnologias%20Web%20e%20Dispositivos%20M&#243;veis%20CTeSP" TargetMode="External"/><Relationship Id="rId2159" Type="http://schemas.openxmlformats.org/officeDocument/2006/relationships/hyperlink" Target="https://www.google.com/search?q=site%3Aipvc.pt%20Arte%20e%20Fabrica&#231;&#227;o%20Digital%20CTeSP" TargetMode="External"/><Relationship Id="rId2366" Type="http://schemas.openxmlformats.org/officeDocument/2006/relationships/hyperlink" Target="https://www.google.com/search?q=site%3Aipv.pt%20Secretariado%20de%20Administra&#231;&#227;o%20licenciatura" TargetMode="External"/><Relationship Id="rId2573" Type="http://schemas.openxmlformats.org/officeDocument/2006/relationships/hyperlink" Target="https://www.google.com/search?q=site%3Aipp.pt%20Desenvolvimento%20&#193;gil%20de%20Software%20CTeSP" TargetMode="External"/><Relationship Id="rId2780" Type="http://schemas.openxmlformats.org/officeDocument/2006/relationships/hyperlink" Target="https://www.google.com/search?q=site%3Aipp.pt%20Terapia%20da%20Fala%20mestrado" TargetMode="External"/><Relationship Id="rId3417" Type="http://schemas.openxmlformats.org/officeDocument/2006/relationships/hyperlink" Target="https://www.google.com/search?q=site%3Aeuropeia.pt%20Marketing%20%28regime%20de%20ensino%20a%20dist&#226;ncia%29%20licenciatura" TargetMode="External"/><Relationship Id="rId3624" Type="http://schemas.openxmlformats.org/officeDocument/2006/relationships/hyperlink" Target="https://www.google.com/search?q=site%3Aulusiada.pt%20Enfermagem%20em%20Di&#225;lise%20&#8211;%201.&#170;%20edi&#231;&#227;o%20p&#243;s-gradua&#231;&#227;o" TargetMode="External"/><Relationship Id="rId3831" Type="http://schemas.openxmlformats.org/officeDocument/2006/relationships/hyperlink" Target="https://www.google.com/search?q=site%3Aunl.pt%20Engenharia%20de%20Micro%20e%20Nanotecnologias%20licenciatura" TargetMode="External"/><Relationship Id="rId338" Type="http://schemas.openxmlformats.org/officeDocument/2006/relationships/hyperlink" Target="https://www.google.com/search?q=site%3Aess.ufp.pt%20Inova&#231;&#227;o%20Tecnol&#243;gica%20em%20Sa&#250;de%3A%20Novos%20F&#225;rmacos%2C%20Produtos%20de%20Sa&#250;de%20e%20Suplementos%20Alimentares%20p&#243;s-gradua&#231;&#227;o" TargetMode="External"/><Relationship Id="rId545" Type="http://schemas.openxmlformats.org/officeDocument/2006/relationships/hyperlink" Target="https://www.google.com/search?q=site%3Aiseclisboa.pt%20Turismo%20e%20Transporte%20A&#233;reo%20CTeSP" TargetMode="External"/><Relationship Id="rId752" Type="http://schemas.openxmlformats.org/officeDocument/2006/relationships/hyperlink" Target="https://www.google.com/search?q=site%3Aipg.pt%20Comunica&#231;&#227;o%20Multim&#233;dia%20licenciatura" TargetMode="External"/><Relationship Id="rId1175" Type="http://schemas.openxmlformats.org/officeDocument/2006/relationships/hyperlink" Target="https://www.google.com/search?q=site%3Aipcb.pt%20Engenharia%20Zoot&#233;cnica%20mestrado" TargetMode="External"/><Relationship Id="rId1382" Type="http://schemas.openxmlformats.org/officeDocument/2006/relationships/hyperlink" Target="https://www.google.com/search?q=site%3Aipleiria.pt%20Atividades%20Mar&#237;timas%20e%20Fluviais%20CTeSP" TargetMode="External"/><Relationship Id="rId2019" Type="http://schemas.openxmlformats.org/officeDocument/2006/relationships/hyperlink" Target="https://www.google.com/search?q=site%3Aips.pt%20Tecnologia%20Biom&#233;dica%20licenciatura" TargetMode="External"/><Relationship Id="rId2226" Type="http://schemas.openxmlformats.org/officeDocument/2006/relationships/hyperlink" Target="https://www.google.com/search?q=site%3Aipvc.pt%20Gastronomia%20e%20Artes%20Culin&#225;rias%20licenciatura" TargetMode="External"/><Relationship Id="rId2433" Type="http://schemas.openxmlformats.org/officeDocument/2006/relationships/hyperlink" Target="https://www.google.com/search?q=site%3Aipca.pt%20Exporta&#231;&#227;o%20e%20Log&#237;stica%20CTeSP" TargetMode="External"/><Relationship Id="rId2640" Type="http://schemas.openxmlformats.org/officeDocument/2006/relationships/hyperlink" Target="https://www.google.com/search?q=site%3Aipp.pt%20Engenharia%20Eletrot&#233;cnica%20e%20de%20Computadores%20licenciatura" TargetMode="External"/><Relationship Id="rId5589" Type="http://schemas.openxmlformats.org/officeDocument/2006/relationships/hyperlink" Target="https://www.google.com/search?q=site%3Aup.pt%20Finan&#231;as%20mestrado" TargetMode="External"/><Relationship Id="rId5796" Type="http://schemas.openxmlformats.org/officeDocument/2006/relationships/hyperlink" Target="https://www.google.com/search?q=site%3Aium.pt%20Ci&#234;ncias%20Militares%20Navais%2C%20ramo%20de%20Engenharia%20Naval%20licenciatura" TargetMode="External"/><Relationship Id="rId405" Type="http://schemas.openxmlformats.org/officeDocument/2006/relationships/hyperlink" Target="https://www.google.com/search?q=site%3Aisave.pt%20Nutri&#231;&#227;o%20Comunit&#225;ria%20em%20Pa&#237;ses%20em%20Desenvolvimento%20p&#243;s-gradua&#231;&#227;o" TargetMode="External"/><Relationship Id="rId612" Type="http://schemas.openxmlformats.org/officeDocument/2006/relationships/hyperlink" Target="https://www.google.com/search?q=site%3Aisla.pt%20Intelig&#234;ncia%20Artificial%20p&#243;s-gradua&#231;&#227;o" TargetMode="External"/><Relationship Id="rId1035" Type="http://schemas.openxmlformats.org/officeDocument/2006/relationships/hyperlink" Target="https://www.google.com/search?q=site%3Aipb.pt%20Tecnologias%20Digitais%20e%20Gest&#227;o%20licenciatura" TargetMode="External"/><Relationship Id="rId1242" Type="http://schemas.openxmlformats.org/officeDocument/2006/relationships/hyperlink" Target="https://www.google.com/search?q=site%3Aipc.pt%20Audiologia%20licenciatura" TargetMode="External"/><Relationship Id="rId2500" Type="http://schemas.openxmlformats.org/officeDocument/2006/relationships/hyperlink" Target="https://www.google.com/search?q=site%3Aipca.pt%20Dire&#231;&#227;o%20e%20Gest&#227;o%20Hoteleira%20mestrado" TargetMode="External"/><Relationship Id="rId4398" Type="http://schemas.openxmlformats.org/officeDocument/2006/relationships/hyperlink" Target="https://www.google.com/search?q=site%3Auc.pt%20Ensino%20de%20Hist&#243;ria%20no%203.&#186;%20Ciclo%20do%20Ensino%20B&#225;sico%20e%20no%20Ensino%20Secund&#225;rio%20mestrado" TargetMode="External"/><Relationship Id="rId5449" Type="http://schemas.openxmlformats.org/officeDocument/2006/relationships/hyperlink" Target="https://www.google.com/search?q=site%3Aup.pt%20Engenharia%20e%20Gest&#227;o%20Industrial%20licenciatura" TargetMode="External"/><Relationship Id="rId5656" Type="http://schemas.openxmlformats.org/officeDocument/2006/relationships/hyperlink" Target="https://www.google.com/search?q=site%3Aup.pt%20Tecnologia%20Farmac&#234;utica%20mestrado" TargetMode="External"/><Relationship Id="rId1102" Type="http://schemas.openxmlformats.org/officeDocument/2006/relationships/hyperlink" Target="https://www.google.com/search?q=site%3Aipb.pt%20Obesidade%20e%20Controlo%20de%20Peso%20p&#243;s-gradua&#231;&#227;o" TargetMode="External"/><Relationship Id="rId4258" Type="http://schemas.openxmlformats.org/officeDocument/2006/relationships/hyperlink" Target="https://www.google.com/search?q=site%3Aua.pt%20Fisioterapia%20Cardiovascular%20e%20Respirat&#243;ria%20mestrado" TargetMode="External"/><Relationship Id="rId4465" Type="http://schemas.openxmlformats.org/officeDocument/2006/relationships/hyperlink" Target="https://www.google.com/search?q=site%3Auc.pt%20Psicologia%20Organizacional%20mestrado" TargetMode="External"/><Relationship Id="rId5309" Type="http://schemas.openxmlformats.org/officeDocument/2006/relationships/hyperlink" Target="https://www.google.com/search?q=site%3Aualg.pt%20L&#237;nguas%20e%20Comunica&#231;&#227;o%20Intercultural%20licenciatura" TargetMode="External"/><Relationship Id="rId3067" Type="http://schemas.openxmlformats.org/officeDocument/2006/relationships/hyperlink" Target="https://www.google.com/search?q=site%3Aisg.pt%20Gest&#227;o%20licenciatura" TargetMode="External"/><Relationship Id="rId3274" Type="http://schemas.openxmlformats.org/officeDocument/2006/relationships/hyperlink" Target="https://www.google.com/search?q=site%3Aucp.pt%20Comunica&#231;&#227;o%20Digital%20mestrado" TargetMode="External"/><Relationship Id="rId4118" Type="http://schemas.openxmlformats.org/officeDocument/2006/relationships/hyperlink" Target="https://www.google.com/search?q=site%3Aubi.pt%20Bioengenharia%20licenciatura" TargetMode="External"/><Relationship Id="rId4672" Type="http://schemas.openxmlformats.org/officeDocument/2006/relationships/hyperlink" Target="https://www.google.com/search?q=site%3Aulisboa.pt%20Direito%20e%20Ci&#234;ncia%20Jur&#237;dica%20mestrado" TargetMode="External"/><Relationship Id="rId5516" Type="http://schemas.openxmlformats.org/officeDocument/2006/relationships/hyperlink" Target="https://www.google.com/search?q=site%3Aup.pt%20Cuidados%20Paliativos%20mestrado" TargetMode="External"/><Relationship Id="rId5723" Type="http://schemas.openxmlformats.org/officeDocument/2006/relationships/hyperlink" Target="https://www.google.com/search?q=site%3Auac.pt%20Engenharia%20Agron&#243;mica%20mestrado" TargetMode="External"/><Relationship Id="rId195" Type="http://schemas.openxmlformats.org/officeDocument/2006/relationships/hyperlink" Target="https://www.google.com/search?q=site%3Auatlantica.pt%20Gest&#227;o%20de%20Servi&#231;os%20de%20Sa&#250;de%20CTeSP" TargetMode="External"/><Relationship Id="rId1919" Type="http://schemas.openxmlformats.org/officeDocument/2006/relationships/hyperlink" Target="https://www.google.com/search?q=site%3Acespu.pt%20Gerontologia%20CTeSP" TargetMode="External"/><Relationship Id="rId3481" Type="http://schemas.openxmlformats.org/officeDocument/2006/relationships/hyperlink" Target="https://www.google.com/search?q=site%3Aeuropeia.pt%20P&#243;s&#8209;Gradua&#231;&#227;o%20em%20Contabilidade%20e%20Fiscalidade%20p&#243;s-gradua&#231;&#227;o" TargetMode="External"/><Relationship Id="rId4325" Type="http://schemas.openxmlformats.org/officeDocument/2006/relationships/hyperlink" Target="https://www.google.com/search?q=site%3Auc.pt%20Rela&#231;&#245;es%20Internacionais%20licenciatura" TargetMode="External"/><Relationship Id="rId4532" Type="http://schemas.openxmlformats.org/officeDocument/2006/relationships/hyperlink" Target="https://www.google.com/search?q=site%3Aulisboa.pt%20Ci&#234;ncias%20do%20Desporto%20licenciatura" TargetMode="External"/><Relationship Id="rId2083" Type="http://schemas.openxmlformats.org/officeDocument/2006/relationships/hyperlink" Target="https://www.google.com/search?q=site%3Aipt.pt%20Gest&#227;o%20Administrativa%20de%20Recursos%20Humanos%20CTeSP" TargetMode="External"/><Relationship Id="rId2290" Type="http://schemas.openxmlformats.org/officeDocument/2006/relationships/hyperlink" Target="https://www.google.com/search?q=site%3Aipvc.pt%20Marketing%20Digital%20e%20E&#8209;Business%20p&#243;s-gradua&#231;&#227;o" TargetMode="External"/><Relationship Id="rId3134" Type="http://schemas.openxmlformats.org/officeDocument/2006/relationships/hyperlink" Target="https://www.google.com/search?q=site%3Acespu.pt%20Nutri&#231;&#227;o%20e%20Suplementa&#231;&#227;o%20Alimentar%20&#8211;%207.&#170;%20edi&#231;&#227;o%20p&#243;s-gradua&#231;&#227;o" TargetMode="External"/><Relationship Id="rId3341" Type="http://schemas.openxmlformats.org/officeDocument/2006/relationships/hyperlink" Target="https://www.google.com/search?q=site%3Aucp.pt%20Som%20e%20Imagem%20mestrado" TargetMode="External"/><Relationship Id="rId262" Type="http://schemas.openxmlformats.org/officeDocument/2006/relationships/hyperlink" Target="https://www.google.com/search?q=site%3Aesscvp.eu%20Secretariado%20em%20Sa&#250;de%20CTeSP" TargetMode="External"/><Relationship Id="rId2150" Type="http://schemas.openxmlformats.org/officeDocument/2006/relationships/hyperlink" Target="https://www.google.com/search?q=site%3Aipt.pt%20Inova&#231;&#227;o%20e%20Transforma&#231;&#227;o%20Digital%20nas%20Organiza&#231;&#245;es%20p&#243;s-gradua&#231;&#227;o" TargetMode="External"/><Relationship Id="rId3201" Type="http://schemas.openxmlformats.org/officeDocument/2006/relationships/hyperlink" Target="https://www.google.com/search?q=site%3Aautonoma.pt%20Inform&#225;tica%20de%20Gest&#227;o%20licenciatura" TargetMode="External"/><Relationship Id="rId5099" Type="http://schemas.openxmlformats.org/officeDocument/2006/relationships/hyperlink" Target="https://www.google.com/search?q=site%3Autad.pt%20Engenharia%20Inform&#225;tica%20e%20Tecnologia%20Web%20mestrado" TargetMode="External"/><Relationship Id="rId122" Type="http://schemas.openxmlformats.org/officeDocument/2006/relationships/hyperlink" Target="https://www.google.com/search?q=site%3Aesepf.pt%20P&#243;s&#8209;Gradua&#231;&#227;o%20em%20Inova&#231;&#227;o%20e%20%28Trans%29Forma&#231;&#227;o%20Educacional%2C%20Pedagogia%20e%20Tecnologias%20Digitais%20p&#243;s-gradua&#231;&#227;o" TargetMode="External"/><Relationship Id="rId2010" Type="http://schemas.openxmlformats.org/officeDocument/2006/relationships/hyperlink" Target="https://www.google.com/search?q=site%3Aips.pt%20Engenharia%20Eletrot&#233;cnica%20e%20de%20Computadores%20licenciatura" TargetMode="External"/><Relationship Id="rId5166" Type="http://schemas.openxmlformats.org/officeDocument/2006/relationships/hyperlink" Target="https://www.google.com/search?q=site%3Auevora.pt%20Intelig&#234;ncia%20Artificial%20e%20Ci&#234;ncia%20de%20Dados%20licenciatura" TargetMode="External"/><Relationship Id="rId5373" Type="http://schemas.openxmlformats.org/officeDocument/2006/relationships/hyperlink" Target="https://www.google.com/search?q=site%3Aualg.pt%20Hist&#243;ria%20e%20Patrim&#243;nios%20mestrado" TargetMode="External"/><Relationship Id="rId5580" Type="http://schemas.openxmlformats.org/officeDocument/2006/relationships/hyperlink" Target="https://www.google.com/search?q=site%3Aup.pt%20Estudos%20Africanos%20%28Mestrado%20Europeu%20Interdisciplinar%29%20mestrado" TargetMode="External"/><Relationship Id="rId1569" Type="http://schemas.openxmlformats.org/officeDocument/2006/relationships/hyperlink" Target="https://www.google.com/search?q=site%3Aipleiria.pt%206%20Sigma%20ao%20N&#237;vel%20de%20Black%20Belt%20&#8211;%2013.&#170;%20Edi&#231;&#227;o%20p&#243;s-gradua&#231;&#227;o" TargetMode="External"/><Relationship Id="rId2967" Type="http://schemas.openxmlformats.org/officeDocument/2006/relationships/hyperlink" Target="https://www.google.com/search?q=site%3Aisced.pt%20Exerc&#237;cio%20F&#237;sico%20CTeSP" TargetMode="External"/><Relationship Id="rId4182" Type="http://schemas.openxmlformats.org/officeDocument/2006/relationships/hyperlink" Target="https://www.google.com/search?q=site%3Aismai.pt%20Gest&#227;o%20de%20Empresas%20mestrado" TargetMode="External"/><Relationship Id="rId5026" Type="http://schemas.openxmlformats.org/officeDocument/2006/relationships/hyperlink" Target="https://www.google.com/search?q=site%3Autad.pt%20Ci&#234;ncias%20da%20Nutri&#231;&#227;o%20licenciatura" TargetMode="External"/><Relationship Id="rId5233" Type="http://schemas.openxmlformats.org/officeDocument/2006/relationships/hyperlink" Target="https://www.google.com/search?q=site%3Auevora.pt%20Globaliza&#231;&#227;o%20e%20Desafios%20do%20Desenvolvimento%20p&#243;s-gradua&#231;&#227;o" TargetMode="External"/><Relationship Id="rId5440" Type="http://schemas.openxmlformats.org/officeDocument/2006/relationships/hyperlink" Target="https://www.google.com/search?q=site%3Aup.pt%20Engenharia%20F&#237;sica%20licenciatura" TargetMode="External"/><Relationship Id="rId939" Type="http://schemas.openxmlformats.org/officeDocument/2006/relationships/hyperlink" Target="https://www.google.com/search?q=site%3Aipb.pt%20Acompanhamento%20de%20Crian&#231;as%20e%20Jovens%20CTeSP" TargetMode="External"/><Relationship Id="rId1776" Type="http://schemas.openxmlformats.org/officeDocument/2006/relationships/hyperlink" Target="https://www.google.com/search?q=site%3Aipportalegre.pt%20Tecnologias%20e%20Programa&#231;&#227;o%20de%20Sistemas%20de%20Informa&#231;&#227;o%20CTeSP" TargetMode="External"/><Relationship Id="rId1983" Type="http://schemas.openxmlformats.org/officeDocument/2006/relationships/hyperlink" Target="https://www.google.com/search?q=site%3Aips.pt%20Organiza&#231;&#227;o%20e%20Gest&#227;o%20Industrial%20CTeSP" TargetMode="External"/><Relationship Id="rId2827" Type="http://schemas.openxmlformats.org/officeDocument/2006/relationships/hyperlink" Target="https://www.google.com/search?q=site%3Aipp.pt%20Media&#231;&#227;o%20Intercultural%20p&#243;s-gradua&#231;&#227;o" TargetMode="External"/><Relationship Id="rId4042" Type="http://schemas.openxmlformats.org/officeDocument/2006/relationships/hyperlink" Target="https://www.google.com/search?q=site%3Aunl.pt%20Corporate%20Finance%20p&#243;s-gradua&#231;&#227;o" TargetMode="External"/><Relationship Id="rId68" Type="http://schemas.openxmlformats.org/officeDocument/2006/relationships/hyperlink" Target="https://www.google.com/search?q=site%3Aesai.pt%20Media&#231;&#227;o%20Imobili&#225;ria%20CTeSP" TargetMode="External"/><Relationship Id="rId1429" Type="http://schemas.openxmlformats.org/officeDocument/2006/relationships/hyperlink" Target="https://www.google.com/search?q=site%3Aipleiria.pt%20Servi&#231;os%20Jur&#237;dicos%20CTeSP" TargetMode="External"/><Relationship Id="rId1636" Type="http://schemas.openxmlformats.org/officeDocument/2006/relationships/hyperlink" Target="https://www.google.com/search?q=site%3Aipl.pt%20Engenharia%20Qu&#237;mica%20e%20Biol&#243;gica%20licenciatura" TargetMode="External"/><Relationship Id="rId1843" Type="http://schemas.openxmlformats.org/officeDocument/2006/relationships/hyperlink" Target="https://www.google.com/search?q=site%3Aipsantarem.pt%20Marketing%20Digital%20CTeSP" TargetMode="External"/><Relationship Id="rId4999" Type="http://schemas.openxmlformats.org/officeDocument/2006/relationships/hyperlink" Target="https://www.google.com/search?q=site%3Aulisboa.pt%20Rela&#231;&#245;es%20Internacionais%2C%20Direito%20e%20Ciberseguran&#231;a%20p&#243;s-gradua&#231;&#227;o" TargetMode="External"/><Relationship Id="rId5300" Type="http://schemas.openxmlformats.org/officeDocument/2006/relationships/hyperlink" Target="https://www.google.com/search?q=site%3Aualg.pt%20Farm&#225;cia%20licenciatura" TargetMode="External"/><Relationship Id="rId1703" Type="http://schemas.openxmlformats.org/officeDocument/2006/relationships/hyperlink" Target="https://www.google.com/search?q=site%3Aipl.pt%20Matem&#225;tica%20Aplicada%20para%20a%20Ind&#250;stria%20mestrado" TargetMode="External"/><Relationship Id="rId1910" Type="http://schemas.openxmlformats.org/officeDocument/2006/relationships/hyperlink" Target="https://www.google.com/search?q=site%3Aipsantarem.pt%20Inform&#225;tica%20Aplicada%20mestrado" TargetMode="External"/><Relationship Id="rId4859" Type="http://schemas.openxmlformats.org/officeDocument/2006/relationships/hyperlink" Target="https://www.google.com/search?q=site%3Aulisboa.pt%20Turismo%20e%20Comunica&#231;&#227;o%20mestrado" TargetMode="External"/><Relationship Id="rId3668" Type="http://schemas.openxmlformats.org/officeDocument/2006/relationships/hyperlink" Target="https://www.google.com/search?q=site%3Alusofona.pt%20Comunica&#231;&#227;o%20Aplicada%3A%20Marketing%2C%20Publicidade%20e%20Rela&#231;&#245;es%20P&#250;blicas%20licenciatura" TargetMode="External"/><Relationship Id="rId3875" Type="http://schemas.openxmlformats.org/officeDocument/2006/relationships/hyperlink" Target="https://www.google.com/search?q=site%3Aunl.pt%20Ci&#234;ncias%20Biom&#233;dicas%20mestrado" TargetMode="External"/><Relationship Id="rId4719" Type="http://schemas.openxmlformats.org/officeDocument/2006/relationships/hyperlink" Target="https://www.google.com/search?q=site%3Aulisboa.pt%20Engenharia%20e%20Ci&#234;ncia%20de%20Dados%20mestrado" TargetMode="External"/><Relationship Id="rId4926" Type="http://schemas.openxmlformats.org/officeDocument/2006/relationships/hyperlink" Target="https://www.google.com/search?q=site%3Aulisboa.pt%20Curso%20p&#243;s-graduado%20de%20especializa&#231;&#227;o%20em%20Odontopediatria%20p&#243;s-gradua&#231;&#227;o" TargetMode="External"/><Relationship Id="rId589" Type="http://schemas.openxmlformats.org/officeDocument/2006/relationships/hyperlink" Target="https://www.google.com/search?q=site%3Aisla.pt%20Gastronomia%2C%20Vinhos%20e%20Turismo%20CTeSP" TargetMode="External"/><Relationship Id="rId796" Type="http://schemas.openxmlformats.org/officeDocument/2006/relationships/hyperlink" Target="https://www.google.com/search?q=site%3Aipg.pt%20Tecnologias%20para%20a%20Log&#237;stica%20mestrado" TargetMode="External"/><Relationship Id="rId2477" Type="http://schemas.openxmlformats.org/officeDocument/2006/relationships/hyperlink" Target="https://www.google.com/search?q=site%3Aipca.pt%20Design%20Gr&#225;fico%20licenciatura" TargetMode="External"/><Relationship Id="rId2684" Type="http://schemas.openxmlformats.org/officeDocument/2006/relationships/hyperlink" Target="https://www.google.com/search?q=site%3Aipp.pt%20Teatro%2C%20variante%20Figurino%20licenciatura" TargetMode="External"/><Relationship Id="rId3528" Type="http://schemas.openxmlformats.org/officeDocument/2006/relationships/hyperlink" Target="https://www.google.com/search?q=site%3Aufp.pt%20Engenharia%20Inform&#225;tica%20mestrado" TargetMode="External"/><Relationship Id="rId3735" Type="http://schemas.openxmlformats.org/officeDocument/2006/relationships/hyperlink" Target="https://www.google.com/search?q=site%3Alusofona.pt%20Ensino%20de%20Inform&#225;tica%20mestrado" TargetMode="External"/><Relationship Id="rId5090" Type="http://schemas.openxmlformats.org/officeDocument/2006/relationships/hyperlink" Target="https://www.google.com/search?q=site%3Autad.pt%20Enfermagem%20de%20Sa&#250;de%20Familiar%20mestrado" TargetMode="External"/><Relationship Id="rId449" Type="http://schemas.openxmlformats.org/officeDocument/2006/relationships/hyperlink" Target="https://www.google.com/search?q=site%3Aiscte-iul.pt%20Tecnologias%20Digitais%2C%20Edif&#237;cios%20e%20Constru&#231;&#227;o%20Sustent&#225;vel%20licenciatura" TargetMode="External"/><Relationship Id="rId656" Type="http://schemas.openxmlformats.org/officeDocument/2006/relationships/hyperlink" Target="https://www.google.com/search?q=site%3Aistec.pt%20Business%20Analytics%20p&#243;s-gradua&#231;&#227;o" TargetMode="External"/><Relationship Id="rId863" Type="http://schemas.openxmlformats.org/officeDocument/2006/relationships/hyperlink" Target="https://www.google.com/search?q=site%3Aipmaia.pt%20Lazer%20Desportivo%20CTeSP" TargetMode="External"/><Relationship Id="rId1079" Type="http://schemas.openxmlformats.org/officeDocument/2006/relationships/hyperlink" Target="https://www.google.com/search?q=site%3Aipb.pt%20Qualidade%20e%20Seguran&#231;a%20Alimentar%20mestrado" TargetMode="External"/><Relationship Id="rId1286" Type="http://schemas.openxmlformats.org/officeDocument/2006/relationships/hyperlink" Target="https://www.google.com/search?q=site%3Aipc.pt%20Turismo%20licenciatura" TargetMode="External"/><Relationship Id="rId1493" Type="http://schemas.openxmlformats.org/officeDocument/2006/relationships/hyperlink" Target="https://www.google.com/search?q=site%3Aipleiria.pt%20Acessibilidade%20e%20Inclus&#227;o%20%28regime%20de%20ensino%20a%20dist&#226;ncia%29%20mestrado" TargetMode="External"/><Relationship Id="rId2337" Type="http://schemas.openxmlformats.org/officeDocument/2006/relationships/hyperlink" Target="https://www.google.com/search?q=site%3Aipv.pt%20Artes%20Pl&#225;sticas%20e%20Multim&#233;dia%20licenciatura" TargetMode="External"/><Relationship Id="rId2544" Type="http://schemas.openxmlformats.org/officeDocument/2006/relationships/hyperlink" Target="https://www.google.com/search?q=site%3Aipca.pt%20Fiscalidade%20p&#243;s-gradua&#231;&#227;o" TargetMode="External"/><Relationship Id="rId2891" Type="http://schemas.openxmlformats.org/officeDocument/2006/relationships/hyperlink" Target="https://www.google.com/search?q=site%3Aisdd.pt%20Engenharia%20e%20Gest&#227;o%20da%20Produ&#231;&#227;o%20de%20Moldes%20mestrado" TargetMode="External"/><Relationship Id="rId3942" Type="http://schemas.openxmlformats.org/officeDocument/2006/relationships/hyperlink" Target="https://www.google.com/search?q=site%3Aunl.pt%20Finan&#231;as%20e%20Mercados%20Financeiros%20-%20Executivo%20mestrado" TargetMode="External"/><Relationship Id="rId309" Type="http://schemas.openxmlformats.org/officeDocument/2006/relationships/hyperlink" Target="https://www.google.com/search?q=site%3Aesscvp.eu%20Enfermagem%20de%20Sa&#250;de%20Mental%20e%20Psiqui&#225;trica%20mestrado" TargetMode="External"/><Relationship Id="rId516" Type="http://schemas.openxmlformats.org/officeDocument/2006/relationships/hyperlink" Target="https://www.google.com/search?q=site%3Aisec.pt%20Engenharia%20Eletrot&#233;cnica%20mestrado" TargetMode="External"/><Relationship Id="rId1146" Type="http://schemas.openxmlformats.org/officeDocument/2006/relationships/hyperlink" Target="https://www.google.com/search?q=site%3Aipcb.pt%20Engenharia%20de%20Prote&#231;&#227;o%20Civil%20licenciatura" TargetMode="External"/><Relationship Id="rId2751" Type="http://schemas.openxmlformats.org/officeDocument/2006/relationships/hyperlink" Target="https://www.google.com/search?q=site%3Aipp.pt%20Gest&#227;o%20de%20Projetos%20mestrado" TargetMode="External"/><Relationship Id="rId3802" Type="http://schemas.openxmlformats.org/officeDocument/2006/relationships/hyperlink" Target="https://www.google.com/search?q=site%3Alusofona.pt%20Sustentabilidade%20na%20Gest&#227;o%20de%20Res&#237;duos%20&#8211;%20Especializa&#231;&#227;o%20em%20Biorres&#237;duos%20p&#243;s-gradua&#231;&#227;o" TargetMode="External"/><Relationship Id="rId723" Type="http://schemas.openxmlformats.org/officeDocument/2006/relationships/hyperlink" Target="https://www.google.com/search?q=site%3Aipg.pt%20Enogastronomia%20CTeSP" TargetMode="External"/><Relationship Id="rId930" Type="http://schemas.openxmlformats.org/officeDocument/2006/relationships/hyperlink" Target="https://www.google.com/search?q=site%3Aipbeja.pt%20Interven&#231;&#227;o%20Psicossocial%20na%20Dem&#234;ncia%20p&#243;s-gradua&#231;&#227;o" TargetMode="External"/><Relationship Id="rId1006" Type="http://schemas.openxmlformats.org/officeDocument/2006/relationships/hyperlink" Target="https://www.google.com/search?q=site%3Aipb.pt%20Engenharia%20Alimentar%20licenciatura" TargetMode="External"/><Relationship Id="rId1353" Type="http://schemas.openxmlformats.org/officeDocument/2006/relationships/hyperlink" Target="https://www.google.com/search?q=site%3Aipc.pt%20Educa&#231;&#227;o%20Especial%20&#8211;%20Dom&#237;nio%20de%20Interven&#231;&#227;o%20Precoce%20na%20Inf&#226;ncia%20p&#243;s-gradua&#231;&#227;o" TargetMode="External"/><Relationship Id="rId1560" Type="http://schemas.openxmlformats.org/officeDocument/2006/relationships/hyperlink" Target="https://www.google.com/search?q=site%3Aipleiria.pt%20Media&#231;&#227;o%20Intercultural%20e%20Interven&#231;&#227;o%20Social%20mestrado" TargetMode="External"/><Relationship Id="rId2404" Type="http://schemas.openxmlformats.org/officeDocument/2006/relationships/hyperlink" Target="https://www.google.com/search?q=site%3Aipv.pt%20Tecnologias%20da%20Produ&#231;&#227;o%20Animal%20mestrado" TargetMode="External"/><Relationship Id="rId2611" Type="http://schemas.openxmlformats.org/officeDocument/2006/relationships/hyperlink" Target="https://www.google.com/search?q=site%3Aipp.pt%20Tecnologias%20Aplicadas%20&#224;%20Comunica&#231;&#227;o%20Internacional%20em%20PME%20CTeSP" TargetMode="External"/><Relationship Id="rId5767" Type="http://schemas.openxmlformats.org/officeDocument/2006/relationships/hyperlink" Target="https://www.google.com/search?q=site%3Auac.pt%20P&#243;s&#8209;Gradua&#231;&#227;o%20em%20Ecoturismo%20e%20Guias%20de%20Natureza%20p&#243;s-gradua&#231;&#227;o" TargetMode="External"/><Relationship Id="rId1213" Type="http://schemas.openxmlformats.org/officeDocument/2006/relationships/hyperlink" Target="https://www.google.com/search?q=site%3Aipc.pt%20Design%20T&#234;xtil%20CTeSP" TargetMode="External"/><Relationship Id="rId1420" Type="http://schemas.openxmlformats.org/officeDocument/2006/relationships/hyperlink" Target="https://www.google.com/search?q=site%3Aipleiria.pt%20Produ&#231;&#227;o%20de%20Constru&#231;&#245;es%20Met&#225;licas%20CTeSP" TargetMode="External"/><Relationship Id="rId4369" Type="http://schemas.openxmlformats.org/officeDocument/2006/relationships/hyperlink" Target="https://www.google.com/search?q=site%3Auc.pt%20Ecologia%20Aplicada%20mestrado" TargetMode="External"/><Relationship Id="rId4576" Type="http://schemas.openxmlformats.org/officeDocument/2006/relationships/hyperlink" Target="https://www.google.com/search?q=site%3Aulisboa.pt%20Estudos%20Asi&#225;ticos%20licenciatura" TargetMode="External"/><Relationship Id="rId4783" Type="http://schemas.openxmlformats.org/officeDocument/2006/relationships/hyperlink" Target="https://www.google.com/search?q=site%3Aulisboa.pt%20Inova&#231;&#227;o%20Qu&#237;mica%2C%20Regulamenta&#231;&#227;o%20e%20Sustentabilidade%20%28Erasmus%20Mundus%29%20mestrado" TargetMode="External"/><Relationship Id="rId4990" Type="http://schemas.openxmlformats.org/officeDocument/2006/relationships/hyperlink" Target="https://www.google.com/search?q=site%3Aulisboa.pt%20Psicologia%20da%20Sa&#250;de%20Ocupacional%20p&#243;s-gradua&#231;&#227;o" TargetMode="External"/><Relationship Id="rId5627" Type="http://schemas.openxmlformats.org/officeDocument/2006/relationships/hyperlink" Target="https://www.google.com/search?q=site%3Aup.pt%20M&#233;todos%20Anal&#237;ticos%20para%20a%20Gest&#227;o%20-%20Executivo%20mestrado" TargetMode="External"/><Relationship Id="rId3178" Type="http://schemas.openxmlformats.org/officeDocument/2006/relationships/hyperlink" Target="https://www.google.com/search?q=site%3Auab.pt%20Gest&#227;o%20mestrado" TargetMode="External"/><Relationship Id="rId3385" Type="http://schemas.openxmlformats.org/officeDocument/2006/relationships/hyperlink" Target="https://www.google.com/search?q=site%3Aeuropeia.pt%20Ci&#234;ncias%20Sociais%20%28regime%20de%20ensino%20a%20dist&#226;ncia%29%20licenciatura" TargetMode="External"/><Relationship Id="rId3592" Type="http://schemas.openxmlformats.org/officeDocument/2006/relationships/hyperlink" Target="https://www.google.com/search?q=site%3Aulusiada.pt%20Comunica&#231;&#227;o%20e%20Multim&#233;dia%20mestrado" TargetMode="External"/><Relationship Id="rId4229" Type="http://schemas.openxmlformats.org/officeDocument/2006/relationships/hyperlink" Target="https://www.google.com/search?q=site%3Aua.pt%20Design%20de%20Produto%20e%20Tecnologia%20licenciatura" TargetMode="External"/><Relationship Id="rId4436" Type="http://schemas.openxmlformats.org/officeDocument/2006/relationships/hyperlink" Target="https://www.google.com/search?q=site%3Auc.pt%20Intelig&#234;ncia%20Artificial%20e%20Ci&#234;ncia%20de%20Dados%20mestrado" TargetMode="External"/><Relationship Id="rId4643" Type="http://schemas.openxmlformats.org/officeDocument/2006/relationships/hyperlink" Target="https://www.google.com/search?q=site%3Aulisboa.pt%20Ci&#234;ncias%20M&#233;dico-Dent&#225;rias%20mestrado" TargetMode="External"/><Relationship Id="rId4850" Type="http://schemas.openxmlformats.org/officeDocument/2006/relationships/hyperlink" Target="https://www.google.com/search?q=site%3Aulisboa.pt%20Sociologia%20mestrado" TargetMode="External"/><Relationship Id="rId2194" Type="http://schemas.openxmlformats.org/officeDocument/2006/relationships/hyperlink" Target="https://www.google.com/search?q=site%3Aipvc.pt%20Riscos%20e%20Prote&#231;&#227;o%20Civil%20CTeSP" TargetMode="External"/><Relationship Id="rId3038" Type="http://schemas.openxmlformats.org/officeDocument/2006/relationships/hyperlink" Target="https://www.google.com/search?q=site%3Aiscia.pt%20Seguran&#231;a%2C%20Defesa%20e%20Resolu&#231;&#227;o%20de%20Conflitos%20mestrado" TargetMode="External"/><Relationship Id="rId3245" Type="http://schemas.openxmlformats.org/officeDocument/2006/relationships/hyperlink" Target="https://www.google.com/search?q=site%3Aucp.pt%20Filosofia%2C%20Pol&#237;tica%20e%20Economia%20licenciatura" TargetMode="External"/><Relationship Id="rId3452" Type="http://schemas.openxmlformats.org/officeDocument/2006/relationships/hyperlink" Target="https://www.google.com/search?q=site%3Aeuropeia.pt%20Empreendedorismo%2C%20Inova&#231;&#227;o%20e%20Tecnologia%20mestrado" TargetMode="External"/><Relationship Id="rId4503" Type="http://schemas.openxmlformats.org/officeDocument/2006/relationships/hyperlink" Target="https://www.google.com/search?q=site%3Auc.pt%20Medicina%20mestrado%20integrado" TargetMode="External"/><Relationship Id="rId4710" Type="http://schemas.openxmlformats.org/officeDocument/2006/relationships/hyperlink" Target="https://www.google.com/search?q=site%3Aulisboa.pt%20Engenharia%20Qu&#237;mica%20mestrado" TargetMode="External"/><Relationship Id="rId166" Type="http://schemas.openxmlformats.org/officeDocument/2006/relationships/hyperlink" Target="https://www.google.com/search?q=site%3Aesenf.pt%20Enfermagem%20licenciatura" TargetMode="External"/><Relationship Id="rId373" Type="http://schemas.openxmlformats.org/officeDocument/2006/relationships/hyperlink" Target="https://www.google.com/search?q=site%3Aessa.pt%20Nutri&#231;&#227;o%20em%20Contexto%20e%20Popula&#231;&#245;es%20Espec&#237;ficas%20p&#243;s-gradua&#231;&#227;o" TargetMode="External"/><Relationship Id="rId580" Type="http://schemas.openxmlformats.org/officeDocument/2006/relationships/hyperlink" Target="https://www.google.com/search?q=site%3Aiseclisboa.pt%20Gest&#227;o%20e%20Investiga&#231;&#227;o%20dos%20Servi&#231;os%20&#211;ticos&#8209;Optom&#233;tricos%20p&#243;s-gradua&#231;&#227;o" TargetMode="External"/><Relationship Id="rId2054" Type="http://schemas.openxmlformats.org/officeDocument/2006/relationships/hyperlink" Target="https://www.google.com/search?q=site%3Aips.pt%20Log&#237;stica%20e%20Gest&#227;o%20da%20Cadeia%20de%20Abastecimento%20mestrado" TargetMode="External"/><Relationship Id="rId2261" Type="http://schemas.openxmlformats.org/officeDocument/2006/relationships/hyperlink" Target="https://www.google.com/search?q=site%3Aipvc.pt%20Engenharia%20Civil%20e%20do%20Ambiente%20mestrado" TargetMode="External"/><Relationship Id="rId3105" Type="http://schemas.openxmlformats.org/officeDocument/2006/relationships/hyperlink" Target="https://www.google.com/search?q=site%3Acespu.pt%20Reabilita&#231;&#227;o%20Oral%20mestrado" TargetMode="External"/><Relationship Id="rId3312" Type="http://schemas.openxmlformats.org/officeDocument/2006/relationships/hyperlink" Target="https://www.google.com/search?q=site%3Aucp.pt%20Gest&#227;o%20e%20Administra&#231;&#227;o%20de%20Empresas%20mestrado" TargetMode="External"/><Relationship Id="rId233" Type="http://schemas.openxmlformats.org/officeDocument/2006/relationships/hyperlink" Target="https://www.google.com/search?q=site%3Aegasmoniz.edu.pt%20Fisioterapia%20mestrado" TargetMode="External"/><Relationship Id="rId440" Type="http://schemas.openxmlformats.org/officeDocument/2006/relationships/hyperlink" Target="https://www.google.com/search?q=site%3Aiscte-iul.pt%20Psicologia%20licenciatura" TargetMode="External"/><Relationship Id="rId1070" Type="http://schemas.openxmlformats.org/officeDocument/2006/relationships/hyperlink" Target="https://www.google.com/search?q=site%3Aipb.pt%20Ind&#250;strias%20Culturais%20e%20Criativas%20mestrado" TargetMode="External"/><Relationship Id="rId2121" Type="http://schemas.openxmlformats.org/officeDocument/2006/relationships/hyperlink" Target="https://www.google.com/search?q=site%3Aipt.pt%20Gest&#227;o%20de%20Empresas%20licenciatura" TargetMode="External"/><Relationship Id="rId5277" Type="http://schemas.openxmlformats.org/officeDocument/2006/relationships/hyperlink" Target="https://www.google.com/search?q=site%3Aualg.pt%20Biologia%20licenciatura" TargetMode="External"/><Relationship Id="rId5484" Type="http://schemas.openxmlformats.org/officeDocument/2006/relationships/hyperlink" Target="https://www.google.com/search?q=site%3Aup.pt%20Avalia&#231;&#227;o%20e%20Remedia&#231;&#227;o%20de%20Solos%20mestrado" TargetMode="External"/><Relationship Id="rId300" Type="http://schemas.openxmlformats.org/officeDocument/2006/relationships/hyperlink" Target="https://www.google.com/search?q=site%3Aesscvp.eu%20Terapia%20da%20Fala%20licenciatura" TargetMode="External"/><Relationship Id="rId4086" Type="http://schemas.openxmlformats.org/officeDocument/2006/relationships/hyperlink" Target="https://www.google.com/search?q=site%3Aupt.pt%20Dire&#231;&#227;o%20e%20Gest&#227;o%20Hoteleira%20licenciatura" TargetMode="External"/><Relationship Id="rId5137" Type="http://schemas.openxmlformats.org/officeDocument/2006/relationships/hyperlink" Target="https://www.google.com/search?q=site%3Autad.pt%20Medicina%20Veterin&#225;ria%20mestrado%20integrado" TargetMode="External"/><Relationship Id="rId5691" Type="http://schemas.openxmlformats.org/officeDocument/2006/relationships/hyperlink" Target="https://www.google.com/search?q=site%3Auac.pt%20Biotecnologia%20licenciatura" TargetMode="External"/><Relationship Id="rId1887" Type="http://schemas.openxmlformats.org/officeDocument/2006/relationships/hyperlink" Target="https://www.google.com/search?q=site%3Aipsantarem.pt%20Atividade%20F&#237;sica%20e%20Sa&#250;de%20mestrado" TargetMode="External"/><Relationship Id="rId2938" Type="http://schemas.openxmlformats.org/officeDocument/2006/relationships/hyperlink" Target="https://www.google.com/search?q=site%3Aispgaya.pt%20Projeto%20de%20M&#225;quinas%20e%20Rob&#243;tica%20Industrial%20CTeSP" TargetMode="External"/><Relationship Id="rId4293" Type="http://schemas.openxmlformats.org/officeDocument/2006/relationships/hyperlink" Target="https://www.google.com/search?q=site%3Auc.pt%20Engenharia%20Civil%20licenciatura" TargetMode="External"/><Relationship Id="rId5344" Type="http://schemas.openxmlformats.org/officeDocument/2006/relationships/hyperlink" Target="https://www.google.com/search?q=site%3Aualg.pt%20Enfermagem%20mestrado" TargetMode="External"/><Relationship Id="rId5551" Type="http://schemas.openxmlformats.org/officeDocument/2006/relationships/hyperlink" Target="https://www.google.com/search?q=site%3Aup.pt%20Engenharia%20de%20Materiais%20mestrado" TargetMode="External"/><Relationship Id="rId1747" Type="http://schemas.openxmlformats.org/officeDocument/2006/relationships/hyperlink" Target="https://www.google.com/search?q=site%3Aipportalegre.pt%20An&#225;lises%20Laboratoriais%20CTeSP" TargetMode="External"/><Relationship Id="rId1954" Type="http://schemas.openxmlformats.org/officeDocument/2006/relationships/hyperlink" Target="https://www.google.com/search?q=site%3Acespu.pt%20Fisiologia%20e%20Exerc&#237;cio%20Cl&#237;nico%20&#8211;%2012.&#170;%20edi&#231;&#227;o%20p&#243;s-gradua&#231;&#227;o" TargetMode="External"/><Relationship Id="rId4153" Type="http://schemas.openxmlformats.org/officeDocument/2006/relationships/hyperlink" Target="https://www.google.com/search?q=site%3Aubi.pt%20Tecnologia%20e%20Produto%20de%20Moda%20Sustent&#225;vel%20licenciatura" TargetMode="External"/><Relationship Id="rId4360" Type="http://schemas.openxmlformats.org/officeDocument/2006/relationships/hyperlink" Target="https://www.google.com/search?q=site%3Auc.pt%20Contabilidade%20e%20Finan&#231;as%20mestrado" TargetMode="External"/><Relationship Id="rId5204" Type="http://schemas.openxmlformats.org/officeDocument/2006/relationships/hyperlink" Target="https://www.google.com/search?q=site%3Auevora.pt%20M&#250;sica%20mestrado" TargetMode="External"/><Relationship Id="rId5411" Type="http://schemas.openxmlformats.org/officeDocument/2006/relationships/hyperlink" Target="https://www.google.com/search?q=site%3Aup.pt%20Arquitetura%20licenciatura" TargetMode="External"/><Relationship Id="rId39" Type="http://schemas.openxmlformats.org/officeDocument/2006/relationships/hyperlink" Target="https://www.google.com/search?q=site%3Aenautica.pt%20Gest&#227;o%20Portu&#225;ria%20licenciatura" TargetMode="External"/><Relationship Id="rId1607" Type="http://schemas.openxmlformats.org/officeDocument/2006/relationships/hyperlink" Target="https://www.google.com/search?q=site%3Aipleiria.pt%20Registos%20e%20Notariado%20&#8211;%207.&#170;%20Edi&#231;&#227;o%20p&#243;s-gradua&#231;&#227;o" TargetMode="External"/><Relationship Id="rId1814" Type="http://schemas.openxmlformats.org/officeDocument/2006/relationships/hyperlink" Target="https://www.google.com/search?q=site%3Aipportalegre.pt%20Gerontologia%20mestrado" TargetMode="External"/><Relationship Id="rId4013" Type="http://schemas.openxmlformats.org/officeDocument/2006/relationships/hyperlink" Target="https://www.google.com/search?q=site%3Aunl.pt%20Tend&#234;ncias%20em%20Estudos%20Ingleses%20e%20Norte-Americanos%20mestrado" TargetMode="External"/><Relationship Id="rId4220" Type="http://schemas.openxmlformats.org/officeDocument/2006/relationships/hyperlink" Target="https://www.google.com/search?q=site%3Aua.pt%20Secretariado%20Cl&#237;nico%20CTeSP" TargetMode="External"/><Relationship Id="rId3779" Type="http://schemas.openxmlformats.org/officeDocument/2006/relationships/hyperlink" Target="https://www.google.com/search?q=site%3Alusofona.pt%20Gest&#227;o%20e%20Empreendedorismo%20dos%20Eventos%20p&#243;s-gradua&#231;&#227;o" TargetMode="External"/><Relationship Id="rId2588" Type="http://schemas.openxmlformats.org/officeDocument/2006/relationships/hyperlink" Target="https://www.google.com/search?q=site%3Aipp.pt%20Inform&#225;tica%20Jur&#237;dica%20CTeSP" TargetMode="External"/><Relationship Id="rId3986" Type="http://schemas.openxmlformats.org/officeDocument/2006/relationships/hyperlink" Target="https://www.google.com/search?q=site%3Aunl.pt%20Ordenamento%20do%20Territ&#243;rio%20e%20Sistemas%20de%20Informa&#231;&#227;o%20Geogr&#225;fica%20mestrado" TargetMode="External"/><Relationship Id="rId1397" Type="http://schemas.openxmlformats.org/officeDocument/2006/relationships/hyperlink" Target="https://www.google.com/search?q=site%3Aipleiria.pt%20Fitotecnologia%20e%20Fitoterapia%20CTeSP" TargetMode="External"/><Relationship Id="rId2795" Type="http://schemas.openxmlformats.org/officeDocument/2006/relationships/hyperlink" Target="https://www.google.com/search?q=site%3Aipp.pt%20Digital%20Personal%20Branding%20p&#243;s-gradua&#231;&#227;o" TargetMode="External"/><Relationship Id="rId3639" Type="http://schemas.openxmlformats.org/officeDocument/2006/relationships/hyperlink" Target="https://www.google.com/search?q=site%3Aulusiada.pt%20Materiais%20para%20uma%20arquitectura%20regenerativa%20p&#243;s-gradua&#231;&#227;o" TargetMode="External"/><Relationship Id="rId3846" Type="http://schemas.openxmlformats.org/officeDocument/2006/relationships/hyperlink" Target="https://www.google.com/search?q=site%3Aunl.pt%20Matem&#225;tica%20Aplicada%20&#224;%20Gest&#227;o%20do%20Risco%20licenciatura" TargetMode="External"/><Relationship Id="rId5061" Type="http://schemas.openxmlformats.org/officeDocument/2006/relationships/hyperlink" Target="https://www.google.com/search?q=site%3Autad.pt%20Turismo%20licenciatura" TargetMode="External"/><Relationship Id="rId767" Type="http://schemas.openxmlformats.org/officeDocument/2006/relationships/hyperlink" Target="https://www.google.com/search?q=site%3Aipg.pt%20Gest&#227;o%20licenciatura" TargetMode="External"/><Relationship Id="rId974" Type="http://schemas.openxmlformats.org/officeDocument/2006/relationships/hyperlink" Target="https://www.google.com/search?q=site%3Aipb.pt%20Produ&#231;&#227;o%20Animal%20e%20Atividades%20Equestres%20CTeSP" TargetMode="External"/><Relationship Id="rId2448" Type="http://schemas.openxmlformats.org/officeDocument/2006/relationships/hyperlink" Target="https://www.google.com/search?q=site%3Aipca.pt%20Inova&#231;&#227;o%20Alimentar%20e%20Artes%20Culin&#225;rias%20CTeSP" TargetMode="External"/><Relationship Id="rId2655" Type="http://schemas.openxmlformats.org/officeDocument/2006/relationships/hyperlink" Target="https://www.google.com/search?q=site%3Aipp.pt%20Gest&#227;o%20licenciatura" TargetMode="External"/><Relationship Id="rId2862" Type="http://schemas.openxmlformats.org/officeDocument/2006/relationships/hyperlink" Target="https://www.google.com/search?q=site%3Aipam.pt%20P&#243;s&#8209;Gradua&#231;&#227;o%20em%20Intelig&#234;ncia%20Artificial%20nos%20Neg&#243;cios%20p&#243;s-gradua&#231;&#227;o" TargetMode="External"/><Relationship Id="rId3706" Type="http://schemas.openxmlformats.org/officeDocument/2006/relationships/hyperlink" Target="https://www.google.com/search?q=site%3Alusofona.pt%20Tecnologias%20e%20Gest&#227;o%20do%20Ambiente%20licenciatura" TargetMode="External"/><Relationship Id="rId3913" Type="http://schemas.openxmlformats.org/officeDocument/2006/relationships/hyperlink" Target="https://www.google.com/search?q=site%3Aunl.pt%20Engenharia%20de%20Materiais%20mestrado" TargetMode="External"/><Relationship Id="rId627" Type="http://schemas.openxmlformats.org/officeDocument/2006/relationships/hyperlink" Target="https://www.google.com/search?q=site%3Aispa.pt%20Neuroci&#234;ncias%20Cognitivas%20e%20Comportamentais%20mestrado" TargetMode="External"/><Relationship Id="rId834" Type="http://schemas.openxmlformats.org/officeDocument/2006/relationships/hyperlink" Target="https://www.google.com/search?q=site%3Aipluso.pt%20Enfermagem%20Veterin&#225;ria%20licenciatura" TargetMode="External"/><Relationship Id="rId1257" Type="http://schemas.openxmlformats.org/officeDocument/2006/relationships/hyperlink" Target="https://www.google.com/search?q=site%3Aipc.pt%20Diet&#233;tica%20e%20Nutri&#231;&#227;o%20licenciatura" TargetMode="External"/><Relationship Id="rId1464" Type="http://schemas.openxmlformats.org/officeDocument/2006/relationships/hyperlink" Target="https://www.google.com/search?q=site%3Aipleiria.pt%20Engenharia%20Inform&#225;tica%20licenciatura" TargetMode="External"/><Relationship Id="rId1671" Type="http://schemas.openxmlformats.org/officeDocument/2006/relationships/hyperlink" Target="https://www.google.com/search?q=site%3Aipl.pt%20Educa&#231;&#227;o%20Art&#237;stica%20mestrado" TargetMode="External"/><Relationship Id="rId2308" Type="http://schemas.openxmlformats.org/officeDocument/2006/relationships/hyperlink" Target="https://www.google.com/search?q=site%3Aipv.pt%20Efici&#234;ncia%20Energ&#233;tica%20nos%20Edif&#237;cios%20CTeSP" TargetMode="External"/><Relationship Id="rId2515" Type="http://schemas.openxmlformats.org/officeDocument/2006/relationships/hyperlink" Target="https://www.google.com/search?q=site%3Aipca.pt%20Ilustra&#231;&#227;o%20e%20Anima&#231;&#227;o%20mestrado" TargetMode="External"/><Relationship Id="rId2722" Type="http://schemas.openxmlformats.org/officeDocument/2006/relationships/hyperlink" Target="https://www.google.com/search?q=site%3Aipp.pt%20Engenharia%20Biom&#233;dica%20mestrado" TargetMode="External"/><Relationship Id="rId901" Type="http://schemas.openxmlformats.org/officeDocument/2006/relationships/hyperlink" Target="https://www.google.com/search?q=site%3Aipbeja.pt%20Enfermagem%20licenciatura" TargetMode="External"/><Relationship Id="rId1117" Type="http://schemas.openxmlformats.org/officeDocument/2006/relationships/hyperlink" Target="https://www.google.com/search?q=site%3Aipcb.pt%20Desporto%20e%20Tecnologias%20CTeSP" TargetMode="External"/><Relationship Id="rId1324" Type="http://schemas.openxmlformats.org/officeDocument/2006/relationships/hyperlink" Target="https://www.google.com/search?q=site%3Aipc.pt%20Gest&#227;o%20de%20Recursos%20Humanos%20mestrado" TargetMode="External"/><Relationship Id="rId1531" Type="http://schemas.openxmlformats.org/officeDocument/2006/relationships/hyperlink" Target="https://www.google.com/search?q=site%3Aipleiria.pt%20Enfermagem%20de%20Reabilita&#231;&#227;o%20mestrado" TargetMode="External"/><Relationship Id="rId4687" Type="http://schemas.openxmlformats.org/officeDocument/2006/relationships/hyperlink" Target="https://www.google.com/search?q=site%3Aulisboa.pt%20Educa&#231;&#227;o%20e%20Forma&#231;&#227;o%20mestrado" TargetMode="External"/><Relationship Id="rId4894" Type="http://schemas.openxmlformats.org/officeDocument/2006/relationships/hyperlink" Target="https://www.google.com/search?q=site%3Aulisboa.pt%20Cirurgia%20em%20Animais%20de%20Companhia%20p&#243;s-gradua&#231;&#227;o" TargetMode="External"/><Relationship Id="rId5738" Type="http://schemas.openxmlformats.org/officeDocument/2006/relationships/hyperlink" Target="https://www.google.com/search?q=site%3Auac.pt%20Gest&#227;o%20e%20Conserva&#231;&#227;o%20da%20Natureza%20mestrado" TargetMode="External"/><Relationship Id="rId30" Type="http://schemas.openxmlformats.org/officeDocument/2006/relationships/hyperlink" Target="https://www.google.com/search?q=site%3Aenautica.pt%20Mec&#226;nica%20Naval%20CTeSP" TargetMode="External"/><Relationship Id="rId3289" Type="http://schemas.openxmlformats.org/officeDocument/2006/relationships/hyperlink" Target="https://www.google.com/search?q=site%3Aucp.pt%20Ensino%20da%20M&#250;sica%20mestrado" TargetMode="External"/><Relationship Id="rId3496" Type="http://schemas.openxmlformats.org/officeDocument/2006/relationships/hyperlink" Target="https://www.google.com/search?q=site%3Aeuropeia.pt%20P&#243;s&#8209;Gradua&#231;&#227;o%20em%20Intelig&#234;ncia%20Artificial%20para%20o%20Design%20%28IADE%29%20/%20Design%20e%20Intelig&#234;ncia%20Artificial%20p&#243;s-gradua&#231;&#227;o" TargetMode="External"/><Relationship Id="rId4547" Type="http://schemas.openxmlformats.org/officeDocument/2006/relationships/hyperlink" Target="https://www.google.com/search?q=site%3Aulisboa.pt%20Engenharia%20Biom&#233;dica%20e%20Biof&#237;sica%20licenciatura" TargetMode="External"/><Relationship Id="rId4754" Type="http://schemas.openxmlformats.org/officeDocument/2006/relationships/hyperlink" Target="https://www.google.com/search?q=site%3Aulisboa.pt%20F&#237;sica%20M&#233;dica%20mestrado" TargetMode="External"/><Relationship Id="rId2098" Type="http://schemas.openxmlformats.org/officeDocument/2006/relationships/hyperlink" Target="https://www.google.com/search?q=site%3Aipt.pt%20Qualidade%20Ambiental%20CTeSP" TargetMode="External"/><Relationship Id="rId3149" Type="http://schemas.openxmlformats.org/officeDocument/2006/relationships/hyperlink" Target="https://www.google.com/search?q=site%3Acespu.pt%20Hand%20in%20Hand%20&#8211;%20Endodontic%20Advanced%20International%20Master%20Program%20&#8211;%201.&#170;%20edi&#231;&#227;o%20p&#243;s-gradua&#231;&#227;o%20executiva" TargetMode="External"/><Relationship Id="rId3356" Type="http://schemas.openxmlformats.org/officeDocument/2006/relationships/hyperlink" Target="https://www.google.com/search?q=site%3Aucp.pt%20Fiscalidade%20Intensiva%20p&#243;s-gradua&#231;&#227;o" TargetMode="External"/><Relationship Id="rId3563" Type="http://schemas.openxmlformats.org/officeDocument/2006/relationships/hyperlink" Target="https://www.google.com/search?q=site%3Aufp.pt%20MBA%20em%20Ci&#234;ncias%20Empresariais%20p&#243;s-gradua&#231;&#227;o%20executiva" TargetMode="External"/><Relationship Id="rId4407" Type="http://schemas.openxmlformats.org/officeDocument/2006/relationships/hyperlink" Target="https://www.google.com/search?q=site%3Auc.pt%20Estudos%20Art&#237;sticos%20mestrado" TargetMode="External"/><Relationship Id="rId4961" Type="http://schemas.openxmlformats.org/officeDocument/2006/relationships/hyperlink" Target="https://www.google.com/search?q=site%3Aulisboa.pt%20Igualdade%20de%20G&#233;nero%20p&#243;s-gradua&#231;&#227;o" TargetMode="External"/><Relationship Id="rId277" Type="http://schemas.openxmlformats.org/officeDocument/2006/relationships/hyperlink" Target="https://www.google.com/search?q=site%3Aesscvp.eu%20Emerg&#234;ncia%20em%20Ambientes%20Remotos%20&#8211;%20NOVO%20p&#243;s-gradua&#231;&#227;o" TargetMode="External"/><Relationship Id="rId484" Type="http://schemas.openxmlformats.org/officeDocument/2006/relationships/hyperlink" Target="https://www.google.com/search?q=site%3Aisec.pt%20Instala&#231;&#245;es%20El&#233;tricas%20e%20Manuten&#231;&#227;o%20Industrial%20CTeSP" TargetMode="External"/><Relationship Id="rId2165" Type="http://schemas.openxmlformats.org/officeDocument/2006/relationships/hyperlink" Target="https://www.google.com/search?q=site%3Aipvc.pt%20Design%20de%20Comunica&#231;&#227;o%20Digital%20CTeSP" TargetMode="External"/><Relationship Id="rId3009" Type="http://schemas.openxmlformats.org/officeDocument/2006/relationships/hyperlink" Target="https://www.google.com/search?q=site%3Aiscet.pt%20Marketing%20e%20Publicidade%20licenciatura" TargetMode="External"/><Relationship Id="rId3216" Type="http://schemas.openxmlformats.org/officeDocument/2006/relationships/hyperlink" Target="https://www.google.com/search?q=site%3Aautonoma.pt%20Estrat&#233;gia%20de%20Marca%20e%20Criatividade%20com%20IA%20p&#243;s-gradua&#231;&#227;o" TargetMode="External"/><Relationship Id="rId3770" Type="http://schemas.openxmlformats.org/officeDocument/2006/relationships/hyperlink" Target="https://www.google.com/search?q=site%3Alusofona.pt%20Enologia%20p&#243;s-gradua&#231;&#227;o" TargetMode="External"/><Relationship Id="rId4614" Type="http://schemas.openxmlformats.org/officeDocument/2006/relationships/hyperlink" Target="https://www.google.com/search?q=site%3Aulisboa.pt%20Antropologia%20mestrado" TargetMode="External"/><Relationship Id="rId4821" Type="http://schemas.openxmlformats.org/officeDocument/2006/relationships/hyperlink" Target="https://www.google.com/search?q=site%3Aulisboa.pt%20Prote&#231;&#227;o%20e%20Seguran&#231;a%20Radiol&#243;gica%20mestrado" TargetMode="External"/><Relationship Id="rId137" Type="http://schemas.openxmlformats.org/officeDocument/2006/relationships/hyperlink" Target="https://www.google.com/search?q=site%3Aesesfm.pt%20Enfermagem%20&#224;%20Pessoa%20em%20Situa&#231;&#227;o%20Perioperat&#243;ria%20p&#243;s-gradua&#231;&#227;o" TargetMode="External"/><Relationship Id="rId344" Type="http://schemas.openxmlformats.org/officeDocument/2006/relationships/hyperlink" Target="https://www.google.com/search?q=site%3Aess.ufp.pt%20Interven&#231;&#245;es%20Percut&#226;neas%20em%20Fisioterapia%20p&#243;s-gradua&#231;&#227;o" TargetMode="External"/><Relationship Id="rId691" Type="http://schemas.openxmlformats.org/officeDocument/2006/relationships/hyperlink" Target="https://www.google.com/search?q=site%3Aiees.pt%20Educa&#231;&#227;o%20Pr&#233;-Escolar%20e%20Ensino%20do%201.&#186;%20Ciclo%20do%20Ensino%20B&#225;sico%20mestrado" TargetMode="External"/><Relationship Id="rId2025" Type="http://schemas.openxmlformats.org/officeDocument/2006/relationships/hyperlink" Target="https://www.google.com/search?q=site%3Aips.pt%20Tradu&#231;&#227;o%20e%20Interpreta&#231;&#227;o%20de%20L&#237;ngua%20Gestual%20Portuguesa%20licenciatura" TargetMode="External"/><Relationship Id="rId2372" Type="http://schemas.openxmlformats.org/officeDocument/2006/relationships/hyperlink" Target="https://www.google.com/search?q=site%3Aipv.pt%20Ambiente%20e%20Sa&#250;de%20mestrado" TargetMode="External"/><Relationship Id="rId3423" Type="http://schemas.openxmlformats.org/officeDocument/2006/relationships/hyperlink" Target="https://www.google.com/search?q=site%3Aeuropeia.pt%20Rela&#231;&#245;es%20Internacionais%20licenciatura" TargetMode="External"/><Relationship Id="rId3630" Type="http://schemas.openxmlformats.org/officeDocument/2006/relationships/hyperlink" Target="https://www.google.com/search?q=site%3Aulusiada.pt%20Fisioterapia%20nas%20Disfun&#231;&#245;es%20P&#233;lvicas%20&#8211;%202.&#170;%20edi&#231;&#227;o%20p&#243;s-gradua&#231;&#227;o" TargetMode="External"/><Relationship Id="rId551" Type="http://schemas.openxmlformats.org/officeDocument/2006/relationships/hyperlink" Target="https://www.google.com/search?q=site%3Aiseclisboa.pt%20Educa&#231;&#227;o%20B&#225;sica%20licenciatura" TargetMode="External"/><Relationship Id="rId1181" Type="http://schemas.openxmlformats.org/officeDocument/2006/relationships/hyperlink" Target="https://www.google.com/search?q=site%3Aipcb.pt%20Gest&#227;o%20de%20Recursos%20Humanos%20mestrado" TargetMode="External"/><Relationship Id="rId2232" Type="http://schemas.openxmlformats.org/officeDocument/2006/relationships/hyperlink" Target="https://www.google.com/search?q=site%3Aipvc.pt%20Organiza&#231;&#227;o%20e%20Gest&#227;o%20Empresariais%20licenciatura" TargetMode="External"/><Relationship Id="rId5388" Type="http://schemas.openxmlformats.org/officeDocument/2006/relationships/hyperlink" Target="https://www.google.com/search?q=site%3Aualg.pt%20Sistemas%20Marinhos%20e%20Costeiros%20mestrado" TargetMode="External"/><Relationship Id="rId5595" Type="http://schemas.openxmlformats.org/officeDocument/2006/relationships/hyperlink" Target="https://www.google.com/search?q=site%3Aup.pt%20Geologia%20mestrado" TargetMode="External"/><Relationship Id="rId204" Type="http://schemas.openxmlformats.org/officeDocument/2006/relationships/hyperlink" Target="https://www.google.com/search?q=site%3Auatlantica.pt%20Enfermagem%20M&#233;dico-Cir&#250;rgica%20na%20&#193;rea%20de%20Enfermagem%20&#224;%20Pessoa%20em%20Situa&#231;&#227;o%20Cr&#243;nica%20mestrado" TargetMode="External"/><Relationship Id="rId411" Type="http://schemas.openxmlformats.org/officeDocument/2006/relationships/hyperlink" Target="https://www.google.com/search?q=site%3Aisce.pt%20Educa&#231;&#227;o%20B&#225;sica%20licenciatura" TargetMode="External"/><Relationship Id="rId1041" Type="http://schemas.openxmlformats.org/officeDocument/2006/relationships/hyperlink" Target="https://www.google.com/search?q=site%3Aipb.pt%20Design%20e%20Desenvolvimento%20de%20Jogos%20Digitais%20mestrado" TargetMode="External"/><Relationship Id="rId1998" Type="http://schemas.openxmlformats.org/officeDocument/2006/relationships/hyperlink" Target="https://www.google.com/search?q=site%3Aips.pt%20Ve&#237;culos%20El&#233;tricos%20CTeSP" TargetMode="External"/><Relationship Id="rId4197" Type="http://schemas.openxmlformats.org/officeDocument/2006/relationships/hyperlink" Target="https://www.google.com/search?q=site%3Aismai.pt%20MBA%20em%20Gest&#227;o%20Empresarial%20p&#243;s-gradua&#231;&#227;o" TargetMode="External"/><Relationship Id="rId5248" Type="http://schemas.openxmlformats.org/officeDocument/2006/relationships/hyperlink" Target="https://www.google.com/search?q=site%3Aualg.pt%20Constru&#231;&#227;o%20Civil%20CTeSP" TargetMode="External"/><Relationship Id="rId5455" Type="http://schemas.openxmlformats.org/officeDocument/2006/relationships/hyperlink" Target="https://www.google.com/search?q=site%3Aup.pt%20Gest&#227;o%20licenciatura" TargetMode="External"/><Relationship Id="rId5662" Type="http://schemas.openxmlformats.org/officeDocument/2006/relationships/hyperlink" Target="https://www.google.com/search?q=site%3Aup.pt%20Tradu&#231;&#227;o%20e%20Servi&#231;os%20Lingu&#237;sticos%20mestrado" TargetMode="External"/><Relationship Id="rId1858" Type="http://schemas.openxmlformats.org/officeDocument/2006/relationships/hyperlink" Target="https://www.google.com/search?q=site%3Aipsantarem.pt%20Transforma&#231;&#227;o%20Agroalimentar%20CTeSP" TargetMode="External"/><Relationship Id="rId4057" Type="http://schemas.openxmlformats.org/officeDocument/2006/relationships/hyperlink" Target="https://www.google.com/search?q=site%3Aunl.pt%20Generative%20Artificial%20Intelligence%20for%20Business%20p&#243;s-gradua&#231;&#227;o" TargetMode="External"/><Relationship Id="rId4264" Type="http://schemas.openxmlformats.org/officeDocument/2006/relationships/hyperlink" Target="https://www.google.com/search?q=site%3Aua.pt%20Gest&#227;o%20e%20Neg&#243;cios%20Digitais%20mestrado" TargetMode="External"/><Relationship Id="rId4471" Type="http://schemas.openxmlformats.org/officeDocument/2006/relationships/hyperlink" Target="https://www.google.com/search?q=site%3Auc.pt%20Qu&#237;mica%20Forense%20mestrado" TargetMode="External"/><Relationship Id="rId5108" Type="http://schemas.openxmlformats.org/officeDocument/2006/relationships/hyperlink" Target="https://www.google.com/search?q=site%3Autad.pt%20Ensino%20de%20Educa&#231;&#227;o%20F&#237;sica%20nos%20Ensinos%20B&#225;sico%20e%20Secund&#225;rio%20mestrado" TargetMode="External"/><Relationship Id="rId5315" Type="http://schemas.openxmlformats.org/officeDocument/2006/relationships/hyperlink" Target="https://www.google.com/search?q=site%3Aualg.pt%20Psicologia%20licenciatura" TargetMode="External"/><Relationship Id="rId5522" Type="http://schemas.openxmlformats.org/officeDocument/2006/relationships/hyperlink" Target="https://www.google.com/search?q=site%3Aup.pt%20Design%20Industrial%20e%20de%20Produto%20mestrado" TargetMode="External"/><Relationship Id="rId2909" Type="http://schemas.openxmlformats.org/officeDocument/2006/relationships/hyperlink" Target="https://www.google.com/search?q=site%3Aismat.pt%20Gest&#227;o%20e%20Inova&#231;&#227;o%20em%20Turismo%20e%20Hospitalidade%20%28ensino%20a%20dist&#226;ncia%29%20mestrado" TargetMode="External"/><Relationship Id="rId3073" Type="http://schemas.openxmlformats.org/officeDocument/2006/relationships/hyperlink" Target="https://www.google.com/search?q=site%3Aisg.pt%20Gest&#227;o%20do%20Potencial%20Humano%20mestrado" TargetMode="External"/><Relationship Id="rId3280" Type="http://schemas.openxmlformats.org/officeDocument/2006/relationships/hyperlink" Target="https://www.google.com/search?q=site%3Aucp.pt%20Direito%20e%20Gest&#227;o%20mestrado" TargetMode="External"/><Relationship Id="rId4124" Type="http://schemas.openxmlformats.org/officeDocument/2006/relationships/hyperlink" Target="https://www.google.com/search?q=site%3Aubi.pt%20Ci&#234;ncias%20Biom&#233;dicas%20licenciatura" TargetMode="External"/><Relationship Id="rId4331" Type="http://schemas.openxmlformats.org/officeDocument/2006/relationships/hyperlink" Target="https://www.google.com/search?q=site%3Auc.pt%20Alimenta&#231;&#227;o%3A%20Fontes%2C%20Cultura%20e%20Sociedade%20mestrado" TargetMode="External"/><Relationship Id="rId1718" Type="http://schemas.openxmlformats.org/officeDocument/2006/relationships/hyperlink" Target="https://www.google.com/search?q=site%3Aipl.pt%20Comunica&#231;&#227;o%20Corporativa%2C%20Sustentabilidade%20e%20Cidadania%20p&#243;s-gradua&#231;&#227;o" TargetMode="External"/><Relationship Id="rId1925" Type="http://schemas.openxmlformats.org/officeDocument/2006/relationships/hyperlink" Target="https://www.google.com/search?q=site%3Acespu.pt%20Ci&#234;ncias%20Biom&#233;dicas%20Laboratoriais%20licenciatura" TargetMode="External"/><Relationship Id="rId3140" Type="http://schemas.openxmlformats.org/officeDocument/2006/relationships/hyperlink" Target="https://www.google.com/search?q=site%3Acespu.pt%20Per&#237;cias%20Forenses%20e%20Criminologia%20&#8211;%203.&#170;%20edi&#231;&#227;o%20p&#243;s-gradua&#231;&#227;o" TargetMode="External"/><Relationship Id="rId2699" Type="http://schemas.openxmlformats.org/officeDocument/2006/relationships/hyperlink" Target="https://www.google.com/search?q=site%3Aipp.pt%20Assessoria%20de%20Administra&#231;&#227;o%20mestrado" TargetMode="External"/><Relationship Id="rId3000" Type="http://schemas.openxmlformats.org/officeDocument/2006/relationships/hyperlink" Target="https://www.google.com/search?q=site%3Aiscet.pt%20Contrata&#231;&#227;o%20P&#250;blica%20CTeSP" TargetMode="External"/><Relationship Id="rId3957" Type="http://schemas.openxmlformats.org/officeDocument/2006/relationships/hyperlink" Target="https://www.google.com/search?q=site%3Aunl.pt%20Gest&#227;o%20do%20Territ&#243;rio%20mestrado" TargetMode="External"/><Relationship Id="rId878" Type="http://schemas.openxmlformats.org/officeDocument/2006/relationships/hyperlink" Target="https://www.google.com/search?q=site%3Aipbeja.pt%20Culturas%20Regadas%20CTeSP" TargetMode="External"/><Relationship Id="rId2559" Type="http://schemas.openxmlformats.org/officeDocument/2006/relationships/hyperlink" Target="https://www.google.com/search?q=site%3Aipca.pt%20Turismo%20Gastron&#243;mico%20e%20Enol&#243;gico%20p&#243;s-gradua&#231;&#227;o" TargetMode="External"/><Relationship Id="rId2766" Type="http://schemas.openxmlformats.org/officeDocument/2006/relationships/hyperlink" Target="https://www.google.com/search?q=site%3Aipp.pt%20Neg&#243;cios%20e%20Tecnologias%20Digitais%20mestrado" TargetMode="External"/><Relationship Id="rId2973" Type="http://schemas.openxmlformats.org/officeDocument/2006/relationships/hyperlink" Target="https://www.google.com/search?q=site%3Aisced.pt%20Desporto%20licenciatura" TargetMode="External"/><Relationship Id="rId3817" Type="http://schemas.openxmlformats.org/officeDocument/2006/relationships/hyperlink" Target="https://www.google.com/search?q=site%3Aunl.pt%20Conserva&#231;&#227;o%20-%20Restauro%20licenciatura" TargetMode="External"/><Relationship Id="rId5172" Type="http://schemas.openxmlformats.org/officeDocument/2006/relationships/hyperlink" Target="https://www.google.com/search?q=site%3Auevora.pt%20Teatro%20licenciatura" TargetMode="External"/><Relationship Id="rId738" Type="http://schemas.openxmlformats.org/officeDocument/2006/relationships/hyperlink" Target="https://www.google.com/search?q=site%3Aipg.pt%20Multim&#233;dia%20e%20Artes%20Performativas%20CTeSP" TargetMode="External"/><Relationship Id="rId945" Type="http://schemas.openxmlformats.org/officeDocument/2006/relationships/hyperlink" Target="https://www.google.com/search?q=site%3Aipb.pt%20Biotecnologia%20e%20Inova&#231;&#227;o%20CTeSP" TargetMode="External"/><Relationship Id="rId1368" Type="http://schemas.openxmlformats.org/officeDocument/2006/relationships/hyperlink" Target="https://www.google.com/search?q=site%3Aipc.pt%20Nutri&#231;&#227;o%2C%20Alimenta&#231;&#227;o%20Coletiva%20e%20Restaura&#231;&#227;o%20p&#243;s-gradua&#231;&#227;o" TargetMode="External"/><Relationship Id="rId1575" Type="http://schemas.openxmlformats.org/officeDocument/2006/relationships/hyperlink" Target="https://www.google.com/search?q=site%3Aipleiria.pt%20Business%20Management%20p&#243;s-gradua&#231;&#227;o" TargetMode="External"/><Relationship Id="rId1782" Type="http://schemas.openxmlformats.org/officeDocument/2006/relationships/hyperlink" Target="https://www.google.com/search?q=site%3Aipportalegre.pt%20Design%20de%20Comunica&#231;&#227;o%20licenciatura" TargetMode="External"/><Relationship Id="rId2419" Type="http://schemas.openxmlformats.org/officeDocument/2006/relationships/hyperlink" Target="https://www.google.com/search?q=site%3Aipca.pt%20Cabos%20El&#233;tricos%20e%20Infraestruturas%20CTeSP" TargetMode="External"/><Relationship Id="rId2626" Type="http://schemas.openxmlformats.org/officeDocument/2006/relationships/hyperlink" Target="https://www.google.com/search?q=site%3Aipp.pt%20Ci&#234;ncias%20Empresariais%20licenciatura" TargetMode="External"/><Relationship Id="rId2833" Type="http://schemas.openxmlformats.org/officeDocument/2006/relationships/hyperlink" Target="https://www.google.com/search?q=site%3Aipp.pt%20Sommelier%20Executive%20Program%20p&#243;s-gradua&#231;&#227;o" TargetMode="External"/><Relationship Id="rId5032" Type="http://schemas.openxmlformats.org/officeDocument/2006/relationships/hyperlink" Target="https://www.google.com/search?q=site%3Autad.pt%20Design%20Sustent&#225;vel%20licenciatura" TargetMode="External"/><Relationship Id="rId74" Type="http://schemas.openxmlformats.org/officeDocument/2006/relationships/hyperlink" Target="https://www.google.com/search?q=site%3Aesad.pt%20Design%20de%20Interfaces%20e%20Multim&#233;dia%20CTeSP" TargetMode="External"/><Relationship Id="rId805" Type="http://schemas.openxmlformats.org/officeDocument/2006/relationships/hyperlink" Target="https://www.google.com/search?q=site%3Aipg.pt%20Inova&#231;&#227;o%20e%20Propriedade%20Intelectual%20p&#243;s-gradua&#231;&#227;o%20executiva" TargetMode="External"/><Relationship Id="rId1228" Type="http://schemas.openxmlformats.org/officeDocument/2006/relationships/hyperlink" Target="https://www.google.com/search?q=site%3Aipc.pt%20Produ&#231;&#227;o%20de%20Bovinos%20de%20Leite%20CTeSP" TargetMode="External"/><Relationship Id="rId1435" Type="http://schemas.openxmlformats.org/officeDocument/2006/relationships/hyperlink" Target="https://www.google.com/search?q=site%3Aipleiria.pt%20Tecnologias%20Mec&#226;nicas%20e%20de%20Moldes%20CTeSP" TargetMode="External"/><Relationship Id="rId4798" Type="http://schemas.openxmlformats.org/officeDocument/2006/relationships/hyperlink" Target="https://www.google.com/search?q=site%3Aulisboa.pt%20Matem&#225;tica%20Financeira%20mestrado" TargetMode="External"/><Relationship Id="rId1642" Type="http://schemas.openxmlformats.org/officeDocument/2006/relationships/hyperlink" Target="https://www.google.com/search?q=site%3Aipl.pt%20Gest&#227;o%20licenciatura" TargetMode="External"/><Relationship Id="rId2900" Type="http://schemas.openxmlformats.org/officeDocument/2006/relationships/hyperlink" Target="https://www.google.com/search?q=site%3Aismat.pt%20Gest&#227;o%20de%20Recursos%20Humanos%20licenciatura" TargetMode="External"/><Relationship Id="rId1502" Type="http://schemas.openxmlformats.org/officeDocument/2006/relationships/hyperlink" Target="https://www.google.com/search?q=site%3Aipleiria.pt%20Ciberseguran&#231;a%20e%20Inform&#225;tica%20Forense%20mestrado" TargetMode="External"/><Relationship Id="rId4658" Type="http://schemas.openxmlformats.org/officeDocument/2006/relationships/hyperlink" Target="https://www.google.com/search?q=site%3Aulisboa.pt%20Cultura%20e%20Comunica&#231;&#227;o%20mestrado" TargetMode="External"/><Relationship Id="rId4865" Type="http://schemas.openxmlformats.org/officeDocument/2006/relationships/hyperlink" Target="https://www.google.com/search?q=site%3Aulisboa.pt%20Engenharia%20Biol&#243;gica%20mestrado%20integrado" TargetMode="External"/><Relationship Id="rId5709" Type="http://schemas.openxmlformats.org/officeDocument/2006/relationships/hyperlink" Target="https://www.google.com/search?q=site%3Auac.pt%20Tecnologia%20dos%20Espa&#231;os%20Verdes%20licenciatura" TargetMode="External"/><Relationship Id="rId388" Type="http://schemas.openxmlformats.org/officeDocument/2006/relationships/hyperlink" Target="https://www.google.com/search?q=site%3Aisave.pt%20Alimenta&#231;&#227;o%20Saud&#225;vel%20CTeSP" TargetMode="External"/><Relationship Id="rId2069" Type="http://schemas.openxmlformats.org/officeDocument/2006/relationships/hyperlink" Target="https://www.google.com/search?q=site%3Aipt.pt%20Arte%20e%20T&#233;cnica%20do%20Couro%20CTeSP" TargetMode="External"/><Relationship Id="rId3467" Type="http://schemas.openxmlformats.org/officeDocument/2006/relationships/hyperlink" Target="https://www.google.com/search?q=site%3Aeuropeia.pt%20Marketing%20Estrat&#233;gico%20%28regime%20de%20ensino%20a%20dist&#226;ncia%29%20mestrado" TargetMode="External"/><Relationship Id="rId3674" Type="http://schemas.openxmlformats.org/officeDocument/2006/relationships/hyperlink" Target="https://www.google.com/search?q=site%3Alusofona.pt%20Design%20de%20Comunica&#231;&#227;o%20licenciatura" TargetMode="External"/><Relationship Id="rId3881" Type="http://schemas.openxmlformats.org/officeDocument/2006/relationships/hyperlink" Target="https://www.google.com/search?q=site%3Aunl.pt%20Compet&#234;ncias%20Digitais%20na%20Sa&#250;de%20mestrado" TargetMode="External"/><Relationship Id="rId4518" Type="http://schemas.openxmlformats.org/officeDocument/2006/relationships/hyperlink" Target="https://www.google.com/search?q=site%3Aulisboa.pt%20Antropologia%20licenciatura" TargetMode="External"/><Relationship Id="rId4725" Type="http://schemas.openxmlformats.org/officeDocument/2006/relationships/hyperlink" Target="https://www.google.com/search?q=site%3Aulisboa.pt%20Ensino%20de%20Artes%20Visuais%20no%203.&#186;%20Ciclo%20do%20Ensino%20B&#225;sico%20e%20no%20Ensino%20Secund&#225;rio%20mestrado" TargetMode="External"/><Relationship Id="rId4932" Type="http://schemas.openxmlformats.org/officeDocument/2006/relationships/hyperlink" Target="https://www.google.com/search?q=site%3Aulisboa.pt%20Desenvolvimento%20Pedag&#243;gico%20&#8211;%20Apoio%20ao%20Ensino%20p&#243;s-gradua&#231;&#227;o" TargetMode="External"/><Relationship Id="rId595" Type="http://schemas.openxmlformats.org/officeDocument/2006/relationships/hyperlink" Target="https://www.google.com/search?q=site%3Aisla.pt%20Gest&#227;o%20de%20Empresas%20licenciatura" TargetMode="External"/><Relationship Id="rId2276" Type="http://schemas.openxmlformats.org/officeDocument/2006/relationships/hyperlink" Target="https://www.google.com/search?q=site%3Aipvc.pt%20Marketing%20Digital%20mestrado" TargetMode="External"/><Relationship Id="rId2483" Type="http://schemas.openxmlformats.org/officeDocument/2006/relationships/hyperlink" Target="https://www.google.com/search?q=site%3Aipca.pt%20Engenharia%20de%20Sistemas%20Inform&#225;ticos%20licenciatura" TargetMode="External"/><Relationship Id="rId2690" Type="http://schemas.openxmlformats.org/officeDocument/2006/relationships/hyperlink" Target="https://www.google.com/search?q=site%3Aipp.pt%20Terapia%20da%20Fala%20licenciatura" TargetMode="External"/><Relationship Id="rId3327" Type="http://schemas.openxmlformats.org/officeDocument/2006/relationships/hyperlink" Target="https://www.google.com/search?q=site%3Aucp.pt%20Portugu&#234;s%20L&#237;ngua%20Estrangeira/L&#237;ngua%20Segunda%20mestrado" TargetMode="External"/><Relationship Id="rId3534" Type="http://schemas.openxmlformats.org/officeDocument/2006/relationships/hyperlink" Target="https://www.google.com/search?q=site%3Aufp.pt%20Medicina%20Dent&#225;ria%20mestrado%20integrado" TargetMode="External"/><Relationship Id="rId3741" Type="http://schemas.openxmlformats.org/officeDocument/2006/relationships/hyperlink" Target="https://www.google.com/search?q=site%3Alusofona.pt%20Gest&#227;o%20de%20Recursos%20Humanos%20mestrado" TargetMode="External"/><Relationship Id="rId248" Type="http://schemas.openxmlformats.org/officeDocument/2006/relationships/hyperlink" Target="https://www.google.com/search?q=site%3Aegasmoniz.edu.pt%20Dor%20Orofacial%20e%20Disfun&#231;&#227;o%20Temporomandibular%20p&#243;s-gradua&#231;&#227;o" TargetMode="External"/><Relationship Id="rId455" Type="http://schemas.openxmlformats.org/officeDocument/2006/relationships/hyperlink" Target="https://www.google.com/search?q=site%3Aiscte-iul.pt%20Conserva&#231;&#227;o%20e%20Reabilita&#231;&#227;o%20Sustent&#225;vel%20p&#243;s-gradua&#231;&#227;o" TargetMode="External"/><Relationship Id="rId662" Type="http://schemas.openxmlformats.org/officeDocument/2006/relationships/hyperlink" Target="https://www.google.com/search?q=site%3Aistec.pt%20Virtualiza&#231;&#227;o%20e%20Cloud%20Computing%20p&#243;s-gradua&#231;&#227;o" TargetMode="External"/><Relationship Id="rId1085" Type="http://schemas.openxmlformats.org/officeDocument/2006/relationships/hyperlink" Target="https://www.google.com/search?q=site%3Aipb.pt%20Tecnologias%20Digitais%20na%20Educa&#231;&#227;o%20e%20Forma&#231;&#227;o%20mestrado" TargetMode="External"/><Relationship Id="rId1292" Type="http://schemas.openxmlformats.org/officeDocument/2006/relationships/hyperlink" Target="https://www.google.com/search?q=site%3Aipc.pt%20Audiologia%20mestrado" TargetMode="External"/><Relationship Id="rId2136" Type="http://schemas.openxmlformats.org/officeDocument/2006/relationships/hyperlink" Target="https://www.google.com/search?q=site%3Aipt.pt%20Engenharia%20Mec&#226;nica%20&#8211;%20Projeto%20e%20Produ&#231;&#227;o%20Mec&#226;nica%20mestrado" TargetMode="External"/><Relationship Id="rId2343" Type="http://schemas.openxmlformats.org/officeDocument/2006/relationships/hyperlink" Target="https://www.google.com/search?q=site%3Aipv.pt%20Desporto%20e%20Atividade%20F&#237;sica%20licenciatura" TargetMode="External"/><Relationship Id="rId2550" Type="http://schemas.openxmlformats.org/officeDocument/2006/relationships/hyperlink" Target="https://www.google.com/search?q=site%3Aipca.pt%20Ilustra&#231;&#227;o%20p&#243;s-gradua&#231;&#227;o" TargetMode="External"/><Relationship Id="rId3601" Type="http://schemas.openxmlformats.org/officeDocument/2006/relationships/hyperlink" Target="https://www.google.com/search?q=site%3Aulusiada.pt%20Engenharia%20e%20Gest&#227;o%20Industrial%20mestrado" TargetMode="External"/><Relationship Id="rId5499" Type="http://schemas.openxmlformats.org/officeDocument/2006/relationships/hyperlink" Target="https://www.google.com/search?q=site%3Aup.pt%20Ci&#234;ncia%20de%20Dados%20%28Data%20Science%29%20mestrado" TargetMode="External"/><Relationship Id="rId108" Type="http://schemas.openxmlformats.org/officeDocument/2006/relationships/hyperlink" Target="https://www.google.com/search?q=site%3Ajoaodedeus.pt%20Unir%20La&#231;os%2C%20Multiplicar%20Saberes%3A%20A%20Fam&#237;lia%20e%20a%20Escola%20em%20A&#231;&#227;o%21%20p&#243;s-gradua&#231;&#227;o" TargetMode="External"/><Relationship Id="rId315" Type="http://schemas.openxmlformats.org/officeDocument/2006/relationships/hyperlink" Target="https://www.google.com/search?q=site%3Aesscvp.eu%20Enfermagem%20em%20Di&#225;lise%20p&#243;s-gradua&#231;&#227;o" TargetMode="External"/><Relationship Id="rId522" Type="http://schemas.openxmlformats.org/officeDocument/2006/relationships/hyperlink" Target="https://www.google.com/search?q=site%3Aisec.pt%20Mobilidade%20El&#233;trica%20e%20Sistemas%20de%20Energia%20%28Erasmus%20Mundus%29%20mestrado" TargetMode="External"/><Relationship Id="rId1152" Type="http://schemas.openxmlformats.org/officeDocument/2006/relationships/hyperlink" Target="https://www.google.com/search?q=site%3Aipcb.pt%20Imagem%20M&#233;dica%20e%20Radioterapia%20licenciatura" TargetMode="External"/><Relationship Id="rId2203" Type="http://schemas.openxmlformats.org/officeDocument/2006/relationships/hyperlink" Target="https://www.google.com/search?q=site%3Aipvc.pt%20Turismo%20Rural%20e%20de%20Natureza%20CTeSP" TargetMode="External"/><Relationship Id="rId2410" Type="http://schemas.openxmlformats.org/officeDocument/2006/relationships/hyperlink" Target="https://www.google.com/search?q=site%3Aipv.pt%20Finan&#231;as%20Empresariais%20p&#243;s-gradua&#231;&#227;o" TargetMode="External"/><Relationship Id="rId5359" Type="http://schemas.openxmlformats.org/officeDocument/2006/relationships/hyperlink" Target="https://www.google.com/search?q=site%3Aualg.pt%20Gest&#227;o%20mestrado" TargetMode="External"/><Relationship Id="rId5566" Type="http://schemas.openxmlformats.org/officeDocument/2006/relationships/hyperlink" Target="https://www.google.com/search?q=site%3Aup.pt%20Ensino%20de%20Filosofia%20no%20Ensino%20Secund&#225;rio%20mestrado" TargetMode="External"/><Relationship Id="rId5773" Type="http://schemas.openxmlformats.org/officeDocument/2006/relationships/hyperlink" Target="https://www.google.com/search?q=site%3Auac.pt%20P&#243;s&#8209;Gradua&#231;&#227;o%20em%20Sustentabilidade%20dos%20Usos%20da%20&#193;gua%20p&#243;s-gradua&#231;&#227;o" TargetMode="External"/><Relationship Id="rId1012" Type="http://schemas.openxmlformats.org/officeDocument/2006/relationships/hyperlink" Target="https://www.google.com/search?q=site%3Aipb.pt%20Engenharia%20Zoot&#233;cnica%20licenciatura" TargetMode="External"/><Relationship Id="rId4168" Type="http://schemas.openxmlformats.org/officeDocument/2006/relationships/hyperlink" Target="https://www.google.com/search?q=site%3Aismai.pt%20Gest&#227;o%20do%20Desporto%20licenciatura" TargetMode="External"/><Relationship Id="rId4375" Type="http://schemas.openxmlformats.org/officeDocument/2006/relationships/hyperlink" Target="https://www.google.com/search?q=site%3Auc.pt%20Energia%20para%20a%20Sustentabilidade%20mestrado" TargetMode="External"/><Relationship Id="rId5219" Type="http://schemas.openxmlformats.org/officeDocument/2006/relationships/hyperlink" Target="https://www.google.com/search?q=site%3Auevora.pt%20Administra&#231;&#227;o%20de%20Unidades%20de%20Sa&#250;de%20p&#243;s-gradua&#231;&#227;o" TargetMode="External"/><Relationship Id="rId5426" Type="http://schemas.openxmlformats.org/officeDocument/2006/relationships/hyperlink" Target="https://www.google.com/search?q=site%3Aup.pt%20Ci&#234;ncias%20de%20Engenharia%20licenciatura" TargetMode="External"/><Relationship Id="rId1969" Type="http://schemas.openxmlformats.org/officeDocument/2006/relationships/hyperlink" Target="https://www.google.com/search?q=site%3Aips.pt%20Climatiza&#231;&#227;o%20e%20Energia%20CTeSP" TargetMode="External"/><Relationship Id="rId3184" Type="http://schemas.openxmlformats.org/officeDocument/2006/relationships/hyperlink" Target="https://www.google.com/search?q=site%3Auab.pt%20Supervis&#227;o%20Pedag&#243;gica%20mestrado" TargetMode="External"/><Relationship Id="rId4028" Type="http://schemas.openxmlformats.org/officeDocument/2006/relationships/hyperlink" Target="https://www.google.com/search?q=site%3Aunl.pt%20Engenharia%20do%20Ambiente%20mestrado%20integrado" TargetMode="External"/><Relationship Id="rId4235" Type="http://schemas.openxmlformats.org/officeDocument/2006/relationships/hyperlink" Target="https://www.google.com/search?q=site%3Aua.pt%20Finan&#231;as%20licenciatura" TargetMode="External"/><Relationship Id="rId4582" Type="http://schemas.openxmlformats.org/officeDocument/2006/relationships/hyperlink" Target="https://www.google.com/search?q=site%3Aulisboa.pt%20Estudos%20de%20Cultura%20e%20Comunica&#231;&#227;o%20Intercultural%20licenciatura" TargetMode="External"/><Relationship Id="rId5633" Type="http://schemas.openxmlformats.org/officeDocument/2006/relationships/hyperlink" Target="https://www.google.com/search?q=site%3Aup.pt%20Nutri&#231;&#227;o%20Pedi&#225;trica%20mestrado" TargetMode="External"/><Relationship Id="rId1829" Type="http://schemas.openxmlformats.org/officeDocument/2006/relationships/hyperlink" Target="https://www.google.com/search?q=site%3Aipsantarem.pt%20An&#225;lises%20Laboratoriais%20CTeSP" TargetMode="External"/><Relationship Id="rId3391" Type="http://schemas.openxmlformats.org/officeDocument/2006/relationships/hyperlink" Target="https://www.google.com/search?q=site%3Aeuropeia.pt%20Criminologia%20licenciatura" TargetMode="External"/><Relationship Id="rId4442" Type="http://schemas.openxmlformats.org/officeDocument/2006/relationships/hyperlink" Target="https://www.google.com/search?q=site%3Auc.pt%20L&#237;nguas%2C%20Culturas%20e%20Sociedades%20Europeias%20em%20Contacto%20mestrado" TargetMode="External"/><Relationship Id="rId5700" Type="http://schemas.openxmlformats.org/officeDocument/2006/relationships/hyperlink" Target="https://www.google.com/search?q=site%3Auac.pt%20Gest&#227;o%20licenciatura" TargetMode="External"/><Relationship Id="rId3044" Type="http://schemas.openxmlformats.org/officeDocument/2006/relationships/hyperlink" Target="https://www.google.com/search?q=site%3Aiscia.pt%20Especializa&#231;&#227;o%20em%20Prote&#231;&#227;o%20Civil%20para%20Autarcas%20p&#243;s-gradua&#231;&#227;o" TargetMode="External"/><Relationship Id="rId3251" Type="http://schemas.openxmlformats.org/officeDocument/2006/relationships/hyperlink" Target="https://www.google.com/search?q=site%3Aucp.pt%20Microbiologia%20licenciatura" TargetMode="External"/><Relationship Id="rId4302" Type="http://schemas.openxmlformats.org/officeDocument/2006/relationships/hyperlink" Target="https://www.google.com/search?q=site%3Auc.pt%20Estudos%20Cl&#225;ssicos%20licenciatura" TargetMode="External"/><Relationship Id="rId172" Type="http://schemas.openxmlformats.org/officeDocument/2006/relationships/hyperlink" Target="https://www.google.com/search?q=site%3Aesenf.pt%20Enfermagem%20de%20Sa&#250;de%20Infantil%20p&#243;s-gradua&#231;&#227;o" TargetMode="External"/><Relationship Id="rId2060" Type="http://schemas.openxmlformats.org/officeDocument/2006/relationships/hyperlink" Target="https://www.google.com/search?q=site%3Aips.pt%20Digital%20Supply%20Chain%20p&#243;s-gradua&#231;&#227;o" TargetMode="External"/><Relationship Id="rId3111" Type="http://schemas.openxmlformats.org/officeDocument/2006/relationships/hyperlink" Target="https://www.google.com/search?q=site%3Acespu.pt%20Arritmologia%20&#8211;%202.&#170;%20edi&#231;&#227;o%20p&#243;s-gradua&#231;&#227;o" TargetMode="External"/><Relationship Id="rId989" Type="http://schemas.openxmlformats.org/officeDocument/2006/relationships/hyperlink" Target="https://www.google.com/search?q=site%3Aipb.pt%20Vida%20Ativa%20e%20Bem&#8209;Estar%20CTeSP" TargetMode="External"/><Relationship Id="rId2877" Type="http://schemas.openxmlformats.org/officeDocument/2006/relationships/hyperlink" Target="https://www.google.com/search?q=site%3Aisdd.pt%20Gest&#227;o%20e%20Organiza&#231;&#227;o%20Industrial%20CTeSP" TargetMode="External"/><Relationship Id="rId5076" Type="http://schemas.openxmlformats.org/officeDocument/2006/relationships/hyperlink" Target="https://www.google.com/search?q=site%3Autad.pt%20Ci&#234;ncias%20da%20Cultura%20mestrado" TargetMode="External"/><Relationship Id="rId5283" Type="http://schemas.openxmlformats.org/officeDocument/2006/relationships/hyperlink" Target="https://www.google.com/search?q=site%3Aualg.pt%20Ci&#234;ncias%20da%20Comunica&#231;&#227;o%20licenciatura" TargetMode="External"/><Relationship Id="rId5490" Type="http://schemas.openxmlformats.org/officeDocument/2006/relationships/hyperlink" Target="https://www.google.com/search?q=site%3Aup.pt%20Biologia%20Celular%20e%20Molecular%20mestrado" TargetMode="External"/><Relationship Id="rId849" Type="http://schemas.openxmlformats.org/officeDocument/2006/relationships/hyperlink" Target="https://www.google.com/search?q=site%3Aipluso.pt%20Ilustra&#231;&#227;o%20Experimental%20e%20Narrativas%20Gr&#225;ficas%20mestrado" TargetMode="External"/><Relationship Id="rId1479" Type="http://schemas.openxmlformats.org/officeDocument/2006/relationships/hyperlink" Target="https://www.google.com/search?q=site%3Aipleiria.pt%20Reabilita&#231;&#227;o%20do%20Patrim&#243;nio%20licenciatura" TargetMode="External"/><Relationship Id="rId1686" Type="http://schemas.openxmlformats.org/officeDocument/2006/relationships/hyperlink" Target="https://www.google.com/search?q=site%3Aipl.pt%20Engenharia%20e%20Gest&#227;o%20Industrial%20mestrado" TargetMode="External"/><Relationship Id="rId3928" Type="http://schemas.openxmlformats.org/officeDocument/2006/relationships/hyperlink" Target="https://www.google.com/search?q=site%3Aunl.pt%20Ensino%20de%20Portugu&#234;s%20no%203.&#186;%20Ciclo%20do%20Ensino%20B&#225;sico%20e%20no%20Ensino%20Secund&#225;rio%20e%20de%20Latim%20no%20Ensino%20Secund&#225;rio%20mestrado" TargetMode="External"/><Relationship Id="rId4092" Type="http://schemas.openxmlformats.org/officeDocument/2006/relationships/hyperlink" Target="https://www.google.com/search?q=site%3Aupt.pt%20Gest&#227;o%20da%20hospitalidade%20licenciatura" TargetMode="External"/><Relationship Id="rId5143" Type="http://schemas.openxmlformats.org/officeDocument/2006/relationships/hyperlink" Target="https://www.google.com/search?q=site%3Auevora.pt%20Artes%20Pl&#225;sticas%20e%20Multim&#233;dia%20licenciatura" TargetMode="External"/><Relationship Id="rId5350" Type="http://schemas.openxmlformats.org/officeDocument/2006/relationships/hyperlink" Target="https://www.google.com/search?q=site%3Aualg.pt%20Ensino%20de%20Ingl&#234;s%20e%20de%20L&#237;ngua%20Estrangeira%20no%203.&#186;%20ciclo%20do%20Ensino%20B&#225;sico%20e%20no%20Ensino%20Secund&#225;rio%2C%20nas%20&#225;reas%20de%20especializa&#231;&#227;o%20de%20Espanhol%20ou%20de%20Franc&#234;s%20mestrado" TargetMode="External"/><Relationship Id="rId1339" Type="http://schemas.openxmlformats.org/officeDocument/2006/relationships/hyperlink" Target="https://www.google.com/search?q=site%3Aipc.pt%20Turismo%20Sustent&#225;vel%20em%20Territ&#243;rios%20do%20Interior%20mestrado" TargetMode="External"/><Relationship Id="rId1893" Type="http://schemas.openxmlformats.org/officeDocument/2006/relationships/hyperlink" Target="https://www.google.com/search?q=site%3Aipsantarem.pt%20Educa&#231;&#227;o%20Social%20e%20Interven&#231;&#227;o%20Comunit&#225;ria%20mestrado" TargetMode="External"/><Relationship Id="rId2737" Type="http://schemas.openxmlformats.org/officeDocument/2006/relationships/hyperlink" Target="https://www.google.com/search?q=site%3Aipp.pt%20Ensino%20de%20Ingl&#234;s%20no%201.&#186;%20Ciclo%20do%20Ensino%20B&#225;sico%20mestrado" TargetMode="External"/><Relationship Id="rId2944" Type="http://schemas.openxmlformats.org/officeDocument/2006/relationships/hyperlink" Target="https://www.google.com/search?q=site%3Aispgaya.pt%20Engenharia%20Inform&#225;tica%20licenciatura" TargetMode="External"/><Relationship Id="rId5003" Type="http://schemas.openxmlformats.org/officeDocument/2006/relationships/hyperlink" Target="https://www.google.com/search?q=site%3Aulisboa.pt%20Servi&#231;o%20Social%20em%20Sa&#250;de%2C%20Interven&#231;&#227;o%20e%20Inova&#231;&#227;o%20p&#243;s-gradua&#231;&#227;o" TargetMode="External"/><Relationship Id="rId5210" Type="http://schemas.openxmlformats.org/officeDocument/2006/relationships/hyperlink" Target="https://www.google.com/search?q=site%3Auevora.pt%20Qu&#237;mica%20em%20Contexto%20Escolar%20mestrado" TargetMode="External"/><Relationship Id="rId709" Type="http://schemas.openxmlformats.org/officeDocument/2006/relationships/hyperlink" Target="https://www.google.com/search?q=site%3Aipg.pt%20Automa&#231;&#227;o%20Industrial%20CTeSP" TargetMode="External"/><Relationship Id="rId916" Type="http://schemas.openxmlformats.org/officeDocument/2006/relationships/hyperlink" Target="https://www.google.com/search?q=site%3Aipbeja.pt%20Educa&#231;&#227;o%20Especial%20&#8211;%20&#225;rea%20de%20especializa&#231;&#227;o%20em%20Dom&#237;nio%20Cognitivo%20e%20Motor%20mestrado" TargetMode="External"/><Relationship Id="rId1546" Type="http://schemas.openxmlformats.org/officeDocument/2006/relationships/hyperlink" Target="https://www.google.com/search?q=site%3Aipleiria.pt%20Finan&#231;as%20Empresariais%20mestrado" TargetMode="External"/><Relationship Id="rId1753" Type="http://schemas.openxmlformats.org/officeDocument/2006/relationships/hyperlink" Target="https://www.google.com/search?q=site%3Aipportalegre.pt%20Constru&#231;&#227;o%20Civil%20e%20Fiscaliza&#231;&#227;o%20de%20Obras%20CTeSP" TargetMode="External"/><Relationship Id="rId1960" Type="http://schemas.openxmlformats.org/officeDocument/2006/relationships/hyperlink" Target="https://www.google.com/search?q=site%3Acespu.pt%20Psiquiatria%20Geri&#225;trica%20&#8211;%202.&#170;%20edi&#231;&#227;o%20p&#243;s-gradua&#231;&#227;o" TargetMode="External"/><Relationship Id="rId2804" Type="http://schemas.openxmlformats.org/officeDocument/2006/relationships/hyperlink" Target="https://www.google.com/search?q=site%3Aipp.pt%20Fiscalidade%20%28ISCAP%29%20p&#243;s-gradua&#231;&#227;o" TargetMode="External"/><Relationship Id="rId45" Type="http://schemas.openxmlformats.org/officeDocument/2006/relationships/hyperlink" Target="https://www.google.com/search?q=site%3Aesap.pt%20Artes%20Visuais%20&#8211;%20Fotografia%20licenciatura" TargetMode="External"/><Relationship Id="rId1406" Type="http://schemas.openxmlformats.org/officeDocument/2006/relationships/hyperlink" Target="https://www.google.com/search?q=site%3Aipleiria.pt%20Internacionaliza&#231;&#227;o%20e%20Inova&#231;&#227;o%20dos%20Neg&#243;cios%20CTeSP" TargetMode="External"/><Relationship Id="rId1613" Type="http://schemas.openxmlformats.org/officeDocument/2006/relationships/hyperlink" Target="https://www.google.com/search?q=site%3Aipleiria.pt%20Supervis&#227;o%20Cl&#237;nica%20&#8211;%203.&#170;%20Edi&#231;&#227;o%20p&#243;s-gradua&#231;&#227;o" TargetMode="External"/><Relationship Id="rId1820" Type="http://schemas.openxmlformats.org/officeDocument/2006/relationships/hyperlink" Target="https://www.google.com/search?q=site%3Aipportalegre.pt%20Turismo%20e%20Comunica&#231;&#227;o%20Digital%20mestrado" TargetMode="External"/><Relationship Id="rId4769" Type="http://schemas.openxmlformats.org/officeDocument/2006/relationships/hyperlink" Target="https://www.google.com/search?q=site%3Aulisboa.pt%20Gest&#227;o%20e%20Avalia&#231;&#227;o%20Imobili&#225;ria%20mestrado" TargetMode="External"/><Relationship Id="rId4976" Type="http://schemas.openxmlformats.org/officeDocument/2006/relationships/hyperlink" Target="https://www.google.com/search?q=site%3Aulisboa.pt%20Medicina%20Dent&#225;ria%20Forense%20p&#243;s-gradua&#231;&#227;o" TargetMode="External"/><Relationship Id="rId3578" Type="http://schemas.openxmlformats.org/officeDocument/2006/relationships/hyperlink" Target="https://www.google.com/search?q=site%3Aulusiada.pt%20Engenharia%20Mec&#226;nica%20licenciatura" TargetMode="External"/><Relationship Id="rId3785" Type="http://schemas.openxmlformats.org/officeDocument/2006/relationships/hyperlink" Target="https://www.google.com/search?q=site%3Alusofona.pt%20Log&#237;stica%20p&#243;s-gradua&#231;&#227;o" TargetMode="External"/><Relationship Id="rId3992" Type="http://schemas.openxmlformats.org/officeDocument/2006/relationships/hyperlink" Target="https://www.google.com/search?q=site%3Aunl.pt%20Pol&#237;ticas%20P&#250;blicas%20e%20Intelig&#234;ncia%20de%20Dados%20mestrado" TargetMode="External"/><Relationship Id="rId4629" Type="http://schemas.openxmlformats.org/officeDocument/2006/relationships/hyperlink" Target="https://www.google.com/search?q=site%3Aulisboa.pt%20Biologia%20dos%20Recursos%20Vegetais%20mestrado" TargetMode="External"/><Relationship Id="rId4836" Type="http://schemas.openxmlformats.org/officeDocument/2006/relationships/hyperlink" Target="https://www.google.com/search?q=site%3Aulisboa.pt%20Rela&#231;&#245;es%20Internacionais%20mestrado" TargetMode="External"/><Relationship Id="rId499" Type="http://schemas.openxmlformats.org/officeDocument/2006/relationships/hyperlink" Target="https://www.google.com/search?q=site%3Aisec.pt%20Engenharia%20Biom&#233;dica%20licenciatura" TargetMode="External"/><Relationship Id="rId2387" Type="http://schemas.openxmlformats.org/officeDocument/2006/relationships/hyperlink" Target="https://www.google.com/search?q=site%3Aipv.pt%20Engenharia%20Eletrot&#233;cnica%20&#8211;%20Energia%20e%20Automa&#231;&#227;o%20Industrial%20mestrado" TargetMode="External"/><Relationship Id="rId2594" Type="http://schemas.openxmlformats.org/officeDocument/2006/relationships/hyperlink" Target="https://www.google.com/search?q=site%3Aipp.pt%20Modela&#231;&#227;o%20e%20Prototipagem%20em%20Ourivesaria%20CTeSP" TargetMode="External"/><Relationship Id="rId3438" Type="http://schemas.openxmlformats.org/officeDocument/2006/relationships/hyperlink" Target="https://www.google.com/search?q=site%3Aeuropeia.pt%20Comunica&#231;&#227;o%20e%20Multim&#233;dia%20%28regime%20de%20ensino%20a%20dist&#226;ncia%29%20mestrado" TargetMode="External"/><Relationship Id="rId3645" Type="http://schemas.openxmlformats.org/officeDocument/2006/relationships/hyperlink" Target="https://www.google.com/search?q=site%3Aulusiada.pt%20Master%20em%20Opera&#231;&#245;es%20e%20Gest&#227;o%20Industrial%20%5B2026/2027%5D%20p&#243;s-gradua&#231;&#227;o%20executiva" TargetMode="External"/><Relationship Id="rId3852" Type="http://schemas.openxmlformats.org/officeDocument/2006/relationships/hyperlink" Target="https://www.google.com/search?q=site%3Aunl.pt%20Tecnologia%20Agro-Industrial%20licenciatura" TargetMode="External"/><Relationship Id="rId359" Type="http://schemas.openxmlformats.org/officeDocument/2006/relationships/hyperlink" Target="https://www.google.com/search?q=site%3Asantamaria.pt%20Gest&#227;o%20Integrada%20dos%20Servi&#231;os%20de%20Sa&#250;de%20mestrado" TargetMode="External"/><Relationship Id="rId566" Type="http://schemas.openxmlformats.org/officeDocument/2006/relationships/hyperlink" Target="https://www.google.com/search?q=site%3Aiseclisboa.pt%20Gest&#227;o%20Aut&#225;rquica%20mestrado" TargetMode="External"/><Relationship Id="rId773" Type="http://schemas.openxmlformats.org/officeDocument/2006/relationships/hyperlink" Target="https://www.google.com/search?q=site%3Aipg.pt%20Mec&#226;nica%20e%20Inform&#225;tica%20Industrial%20licenciatura" TargetMode="External"/><Relationship Id="rId1196" Type="http://schemas.openxmlformats.org/officeDocument/2006/relationships/hyperlink" Target="https://www.google.com/search?q=site%3Aipcb.pt%20Prote&#231;&#227;o%20Civil%20p&#243;s-gradua&#231;&#227;o" TargetMode="External"/><Relationship Id="rId2247" Type="http://schemas.openxmlformats.org/officeDocument/2006/relationships/hyperlink" Target="https://www.google.com/search?q=site%3Aipvc.pt%20Educa&#231;&#227;o%20Pr&#233;&#8209;Escolar%20e%20Ensino%20do%201.&#186;%20Ciclo%20do%20Ensino%20B&#225;sico%20mestrado" TargetMode="External"/><Relationship Id="rId2454" Type="http://schemas.openxmlformats.org/officeDocument/2006/relationships/hyperlink" Target="https://www.google.com/search?q=site%3Aipca.pt%20Organiza&#231;&#227;o%20e%20Gest&#227;o%20de%20Eventos%20CTeSP" TargetMode="External"/><Relationship Id="rId3505" Type="http://schemas.openxmlformats.org/officeDocument/2006/relationships/hyperlink" Target="https://www.google.com/search?q=site%3Aeuropeia.pt%20P&#243;s&#8209;Gradua&#231;&#227;o%20em%20Web%20UX/UI%20%28IADE%29%20p&#243;s-gradua&#231;&#227;o" TargetMode="External"/><Relationship Id="rId4903" Type="http://schemas.openxmlformats.org/officeDocument/2006/relationships/hyperlink" Target="https://www.google.com/search?q=site%3Aulisboa.pt%20Com&#233;rcio%20Internacional%20p&#243;s-gradua&#231;&#227;o" TargetMode="External"/><Relationship Id="rId219" Type="http://schemas.openxmlformats.org/officeDocument/2006/relationships/hyperlink" Target="https://www.google.com/search?q=site%3Aegasmoniz.edu.pt%20Enfermagem%20licenciatura" TargetMode="External"/><Relationship Id="rId426" Type="http://schemas.openxmlformats.org/officeDocument/2006/relationships/hyperlink" Target="https://www.google.com/search?q=site%3Aiscte-iul.pt%20Economia%20licenciatura" TargetMode="External"/><Relationship Id="rId633" Type="http://schemas.openxmlformats.org/officeDocument/2006/relationships/hyperlink" Target="https://www.google.com/search?q=site%3Aispa.pt%20Psicologia%20Forense%20mestrado" TargetMode="External"/><Relationship Id="rId980" Type="http://schemas.openxmlformats.org/officeDocument/2006/relationships/hyperlink" Target="https://www.google.com/search?q=site%3Aipb.pt%20Secretariado%20e%20L&#237;nguas%20CTeSP" TargetMode="External"/><Relationship Id="rId1056" Type="http://schemas.openxmlformats.org/officeDocument/2006/relationships/hyperlink" Target="https://www.google.com/search?q=site%3Aipb.pt%20Engenharia%20Biom&#233;dica%20mestrado" TargetMode="External"/><Relationship Id="rId1263" Type="http://schemas.openxmlformats.org/officeDocument/2006/relationships/hyperlink" Target="https://www.google.com/search?q=site%3Aipc.pt%20Farm&#225;cia%20licenciatura" TargetMode="External"/><Relationship Id="rId2107" Type="http://schemas.openxmlformats.org/officeDocument/2006/relationships/hyperlink" Target="https://www.google.com/search?q=site%3Aipt.pt%20Web%20e%20Dispositivos%20M&#243;veis%20CTeSP" TargetMode="External"/><Relationship Id="rId2314" Type="http://schemas.openxmlformats.org/officeDocument/2006/relationships/hyperlink" Target="https://www.google.com/search?q=site%3Aipv.pt%20Gest&#227;o%20Comercial%20e%20Vendas%20CTeSP" TargetMode="External"/><Relationship Id="rId2661" Type="http://schemas.openxmlformats.org/officeDocument/2006/relationships/hyperlink" Target="https://www.google.com/search?q=site%3Aipp.pt%20Gest&#227;o%20e%20Administra&#231;&#227;o%20Hoteleira%20licenciatura" TargetMode="External"/><Relationship Id="rId3712" Type="http://schemas.openxmlformats.org/officeDocument/2006/relationships/hyperlink" Target="https://www.google.com/search?q=site%3Alusofona.pt%20Artes%20da%20Anima&#231;&#227;o%20mestrado" TargetMode="External"/><Relationship Id="rId840" Type="http://schemas.openxmlformats.org/officeDocument/2006/relationships/hyperlink" Target="https://www.google.com/search?q=site%3Aipluso.pt%20Ilustra&#231;&#227;o%20e%20Desenho%20licenciatura" TargetMode="External"/><Relationship Id="rId1470" Type="http://schemas.openxmlformats.org/officeDocument/2006/relationships/hyperlink" Target="https://www.google.com/search?q=site%3Aipleiria.pt%20Gest&#227;o%20Sustent&#225;vel%20das%20Cidades%20e%20da%20Ind&#250;stria%20licenciatura" TargetMode="External"/><Relationship Id="rId2521" Type="http://schemas.openxmlformats.org/officeDocument/2006/relationships/hyperlink" Target="https://www.google.com/search?q=site%3Aipca.pt%20Modela&#231;&#227;o%203D%20e%20Fabrico%20Aditivo%20mestrado" TargetMode="External"/><Relationship Id="rId4279" Type="http://schemas.openxmlformats.org/officeDocument/2006/relationships/hyperlink" Target="https://www.google.com/search?q=site%3Auc.pt%20Ci&#234;ncias%20Bioveterin&#225;rias%20licenciatura" TargetMode="External"/><Relationship Id="rId5677" Type="http://schemas.openxmlformats.org/officeDocument/2006/relationships/hyperlink" Target="https://www.google.com/search?q=site%3Aup.pt%20Engenharia%20de%20Redes%20e%20Sistemas%20Inform&#225;ticos%20mestrado%20integrado" TargetMode="External"/><Relationship Id="rId700" Type="http://schemas.openxmlformats.org/officeDocument/2006/relationships/hyperlink" Target="https://www.google.com/search?q=site%3Aiees.pt%20Enoturismo%20p&#243;s-gradua&#231;&#227;o" TargetMode="External"/><Relationship Id="rId1123" Type="http://schemas.openxmlformats.org/officeDocument/2006/relationships/hyperlink" Target="https://www.google.com/search?q=site%3Aipcb.pt%20Recrea&#231;&#227;o%20Educativa%20para%20Crian&#231;as%20CTeSP" TargetMode="External"/><Relationship Id="rId1330" Type="http://schemas.openxmlformats.org/officeDocument/2006/relationships/hyperlink" Target="https://www.google.com/search?q=site%3Aipc.pt%20Jogo%20e%20Motricidade%20na%20Inf&#226;ncia%20mestrado" TargetMode="External"/><Relationship Id="rId3088" Type="http://schemas.openxmlformats.org/officeDocument/2006/relationships/hyperlink" Target="https://www.google.com/search?q=site%3Aisssp.pt%20Gerontologia%20Social%20mestrado" TargetMode="External"/><Relationship Id="rId4486" Type="http://schemas.openxmlformats.org/officeDocument/2006/relationships/hyperlink" Target="https://www.google.com/search?q=site%3Auc.pt%20Sociologia%20mestrado" TargetMode="External"/><Relationship Id="rId4693" Type="http://schemas.openxmlformats.org/officeDocument/2006/relationships/hyperlink" Target="https://www.google.com/search?q=site%3Aulisboa.pt%20Engenharia%20Biom&#233;dica%20mestrado" TargetMode="External"/><Relationship Id="rId5537" Type="http://schemas.openxmlformats.org/officeDocument/2006/relationships/hyperlink" Target="https://www.google.com/search?q=site%3Aup.pt%20Educa&#231;&#227;o%20Alimentar%20mestrado" TargetMode="External"/><Relationship Id="rId5744" Type="http://schemas.openxmlformats.org/officeDocument/2006/relationships/hyperlink" Target="https://www.google.com/search?q=site%3Auac.pt%20Psicologia%20Cl&#237;nica%20e%20da%20Sa&#250;de%20mestrado" TargetMode="External"/><Relationship Id="rId3295" Type="http://schemas.openxmlformats.org/officeDocument/2006/relationships/hyperlink" Target="https://www.google.com/search?q=site%3Aucp.pt%20Estudos%20de%20Cultura%20mestrado" TargetMode="External"/><Relationship Id="rId4139" Type="http://schemas.openxmlformats.org/officeDocument/2006/relationships/hyperlink" Target="https://www.google.com/search?q=site%3Aubi.pt%20Engenharia%20e%20Gest&#227;o%20Industrial%20licenciatura" TargetMode="External"/><Relationship Id="rId4346" Type="http://schemas.openxmlformats.org/officeDocument/2006/relationships/hyperlink" Target="https://www.google.com/search?q=site%3Auc.pt%20Biologia%20Celular%20e%20Molecular%20mestrado" TargetMode="External"/><Relationship Id="rId4553" Type="http://schemas.openxmlformats.org/officeDocument/2006/relationships/hyperlink" Target="https://www.google.com/search?q=site%3Aulisboa.pt%20Engenharia%20Florestal%20e%20dos%20Recursos%20Naturais%20licenciatura" TargetMode="External"/><Relationship Id="rId4760" Type="http://schemas.openxmlformats.org/officeDocument/2006/relationships/hyperlink" Target="https://www.google.com/search?q=site%3Aulisboa.pt%20Gest&#227;o%20mestrado" TargetMode="External"/><Relationship Id="rId5604" Type="http://schemas.openxmlformats.org/officeDocument/2006/relationships/hyperlink" Target="https://www.google.com/search?q=site%3Aup.pt%20Gest&#227;o%20e%20Economia%20de%20Servi&#231;os%20de%20Sa&#250;de%20mestrado" TargetMode="External"/><Relationship Id="rId3155" Type="http://schemas.openxmlformats.org/officeDocument/2006/relationships/hyperlink" Target="https://www.google.com/search?q=site%3Auab.pt%20Estudos%20Europeus%20licenciatura" TargetMode="External"/><Relationship Id="rId3362" Type="http://schemas.openxmlformats.org/officeDocument/2006/relationships/hyperlink" Target="https://www.google.com/search?q=site%3Aucp.pt%20Lisbon%20Series%20on%20Palliative%20Care%20p&#243;s-gradua&#231;&#227;o" TargetMode="External"/><Relationship Id="rId4206" Type="http://schemas.openxmlformats.org/officeDocument/2006/relationships/hyperlink" Target="https://www.google.com/search?q=site%3Aua.pt%20Com&#233;rcio%20Internacional%20CTeSP" TargetMode="External"/><Relationship Id="rId4413" Type="http://schemas.openxmlformats.org/officeDocument/2006/relationships/hyperlink" Target="https://www.google.com/search?q=site%3Auc.pt%20Exerc&#237;cio%20e%20Sa&#250;de%20mestrado" TargetMode="External"/><Relationship Id="rId4620" Type="http://schemas.openxmlformats.org/officeDocument/2006/relationships/hyperlink" Target="https://www.google.com/search?q=site%3Aulisboa.pt%20Arte%20e%20Ci&#234;ncia%20do%20Vidro%20e%20da%20Cer&#226;mica%20mestrado" TargetMode="External"/><Relationship Id="rId283" Type="http://schemas.openxmlformats.org/officeDocument/2006/relationships/hyperlink" Target="https://www.google.com/search?q=site%3Aesscvp.eu%20Enfermagem%20em%20Di&#225;lise%20p&#243;s-gradua&#231;&#227;o" TargetMode="External"/><Relationship Id="rId490" Type="http://schemas.openxmlformats.org/officeDocument/2006/relationships/hyperlink" Target="https://www.google.com/search?q=site%3Aisec.pt%20Processo%20Industrial%20CTeSP" TargetMode="External"/><Relationship Id="rId2171" Type="http://schemas.openxmlformats.org/officeDocument/2006/relationships/hyperlink" Target="https://www.google.com/search?q=site%3Aipvc.pt%20Gest&#227;o%20de%20Empresas%20Agr&#237;colas%20CTeSP" TargetMode="External"/><Relationship Id="rId3015" Type="http://schemas.openxmlformats.org/officeDocument/2006/relationships/hyperlink" Target="https://www.google.com/search?q=site%3Aiscet.pt%20Gest&#227;o%20e%20Finan&#231;as%20p&#243;s-gradua&#231;&#227;o" TargetMode="External"/><Relationship Id="rId3222" Type="http://schemas.openxmlformats.org/officeDocument/2006/relationships/hyperlink" Target="https://www.google.com/search?q=site%3Aucp.pt%20Administra&#231;&#227;o%20e%20Gest&#227;o%20de%20Empresas%20&#8211;%20Licenciatura%20Internacional%20licenciatura" TargetMode="External"/><Relationship Id="rId143" Type="http://schemas.openxmlformats.org/officeDocument/2006/relationships/hyperlink" Target="https://www.google.com/search?q=site%3Aesesfm.pt%20Sa&#250;de%20Mental%20Perinatal%20p&#243;s-gradua&#231;&#227;o" TargetMode="External"/><Relationship Id="rId350" Type="http://schemas.openxmlformats.org/officeDocument/2006/relationships/hyperlink" Target="https://www.google.com/search?q=site%3Asantamaria.pt%20Fisioterapia%20licenciatura" TargetMode="External"/><Relationship Id="rId2031" Type="http://schemas.openxmlformats.org/officeDocument/2006/relationships/hyperlink" Target="https://www.google.com/search?q=site%3Aips.pt%20Educa&#231;&#227;o%20Pr&#233;-Escolar%20mestrado" TargetMode="External"/><Relationship Id="rId5187" Type="http://schemas.openxmlformats.org/officeDocument/2006/relationships/hyperlink" Target="https://www.google.com/search?q=site%3Auevora.pt%20Engenharia%20Geol&#243;gica%20mestrado" TargetMode="External"/><Relationship Id="rId5394" Type="http://schemas.openxmlformats.org/officeDocument/2006/relationships/hyperlink" Target="https://www.google.com/search?q=site%3Aualg.pt%20Medicina%20mestrado%20integrado" TargetMode="External"/><Relationship Id="rId9" Type="http://schemas.openxmlformats.org/officeDocument/2006/relationships/hyperlink" Target="https://www.google.com/search?q=site%3Auatlantica.pt%20Gest&#227;o%20do%20Transporte%20A&#233;reo%20licenciatura" TargetMode="External"/><Relationship Id="rId210" Type="http://schemas.openxmlformats.org/officeDocument/2006/relationships/hyperlink" Target="https://www.google.com/search?q=site%3Aesscvp.eu%20P&#243;s&#8209;Gradua&#231;&#227;o%20em%20Preven&#231;&#227;o%20e%20Controlo%20da%20Infe&#231;&#227;o%20p&#243;s-gradua&#231;&#227;o" TargetMode="External"/><Relationship Id="rId2988" Type="http://schemas.openxmlformats.org/officeDocument/2006/relationships/hyperlink" Target="https://www.google.com/search?q=site%3Aisced.pt%20Desenho%2C%20Cor%20e%20Imagem%20p&#243;s-gradua&#231;&#227;o" TargetMode="External"/><Relationship Id="rId5047" Type="http://schemas.openxmlformats.org/officeDocument/2006/relationships/hyperlink" Target="https://www.google.com/search?q=site%3Autad.pt%20Engenharia%20e%20Gest&#227;o%20Industrial%20licenciatura" TargetMode="External"/><Relationship Id="rId5254" Type="http://schemas.openxmlformats.org/officeDocument/2006/relationships/hyperlink" Target="https://www.google.com/search?q=site%3Aualg.pt%20Energias%20Renov&#225;veis%20CTeSP" TargetMode="External"/><Relationship Id="rId1797" Type="http://schemas.openxmlformats.org/officeDocument/2006/relationships/hyperlink" Target="https://www.google.com/search?q=site%3Aipportalegre.pt%20Jornalismo%20e%20Comunica&#231;&#227;o%20licenciatura" TargetMode="External"/><Relationship Id="rId2848" Type="http://schemas.openxmlformats.org/officeDocument/2006/relationships/hyperlink" Target="https://www.google.com/search?q=site%3Aipam.pt%20Gest&#227;o%20de%20Marketing%20%28regime%20de%20ensino%20a%20dist&#226;ncia%29%20mestrado" TargetMode="External"/><Relationship Id="rId5461" Type="http://schemas.openxmlformats.org/officeDocument/2006/relationships/hyperlink" Target="https://www.google.com/search?q=site%3Aup.pt%20L&#237;nguas%20e%20Rela&#231;&#245;es%20Internacionais%20licenciatura" TargetMode="External"/><Relationship Id="rId89" Type="http://schemas.openxmlformats.org/officeDocument/2006/relationships/hyperlink" Target="https://www.google.com/search?q=site%3Ajoaodedeus.pt%20Ensino%20do%201.&#186;%20Ciclo%20do%20Ensino%20B&#225;sico%20e%20de%20Portugu&#234;s%20e%20Hist&#243;ria%20e%20Geografia%20de%20Portugal%20no%202.&#186;%20Ciclo%20do%20Ensino%20B&#225;sico%20mestrado" TargetMode="External"/><Relationship Id="rId1657" Type="http://schemas.openxmlformats.org/officeDocument/2006/relationships/hyperlink" Target="https://www.google.com/search?q=site%3Aipl.pt%20Tecnologias%20da%20M&#250;sica%20licenciatura" TargetMode="External"/><Relationship Id="rId1864" Type="http://schemas.openxmlformats.org/officeDocument/2006/relationships/hyperlink" Target="https://www.google.com/search?q=site%3Aipsantarem.pt%20Biologia%20e%20Biotecnologia%20Alimentar%20licenciatura" TargetMode="External"/><Relationship Id="rId2708" Type="http://schemas.openxmlformats.org/officeDocument/2006/relationships/hyperlink" Target="https://www.google.com/search?q=site%3Aipp.pt%20Computa&#231;&#227;o%20e%20Instrumenta&#231;&#227;o%20M&#233;dica%20mestrado" TargetMode="External"/><Relationship Id="rId2915" Type="http://schemas.openxmlformats.org/officeDocument/2006/relationships/hyperlink" Target="https://www.google.com/search?q=site%3Aismt.pt%20Felicidade%20no%20Trabalho%20e%20nas%20Organiza&#231;&#245;es%20&#8211;%202&#170;%20edi&#231;&#227;o%20p&#243;s-gradua&#231;&#227;o" TargetMode="External"/><Relationship Id="rId4063" Type="http://schemas.openxmlformats.org/officeDocument/2006/relationships/hyperlink" Target="https://www.google.com/search?q=site%3Aunl.pt%20Gest&#227;o%20de%20Informa&#231;&#245;es%20e%20Seguran&#231;a%20p&#243;s-gradua&#231;&#227;o" TargetMode="External"/><Relationship Id="rId4270" Type="http://schemas.openxmlformats.org/officeDocument/2006/relationships/hyperlink" Target="https://www.google.com/search?q=site%3Aua.pt%20Aprendizagem%20Autom&#225;tica%20e%20An&#225;lise%20de%20Dados%20p&#243;s-gradua&#231;&#227;o" TargetMode="External"/><Relationship Id="rId5114" Type="http://schemas.openxmlformats.org/officeDocument/2006/relationships/hyperlink" Target="https://www.google.com/search?q=site%3Autad.pt%20Gen&#233;tica%20Molecular%20Comparativa%20e%20Tecnol&#243;gica%20mestrado" TargetMode="External"/><Relationship Id="rId5321" Type="http://schemas.openxmlformats.org/officeDocument/2006/relationships/hyperlink" Target="https://www.google.com/search?q=site%3Aualg.pt%20Aquacultura%20e%20Pescas%20mestrado" TargetMode="External"/><Relationship Id="rId1517" Type="http://schemas.openxmlformats.org/officeDocument/2006/relationships/hyperlink" Target="https://www.google.com/search?q=site%3Aipleiria.pt%20Did&#225;tica%20do%20Portugu&#234;s%20L&#237;ngua%20Global%20mestrado" TargetMode="External"/><Relationship Id="rId1724" Type="http://schemas.openxmlformats.org/officeDocument/2006/relationships/hyperlink" Target="https://www.google.com/search?q=site%3Aipl.pt%20Did&#225;tica%20da%20Matem&#225;tica%20&#8211;%20Aprendizagens%20e%20Recursos%20p&#243;s-gradua&#231;&#227;o" TargetMode="External"/><Relationship Id="rId4130" Type="http://schemas.openxmlformats.org/officeDocument/2006/relationships/hyperlink" Target="https://www.google.com/search?q=site%3Aubi.pt%20Design%20Multim&#233;dia%20licenciatura" TargetMode="External"/><Relationship Id="rId16" Type="http://schemas.openxmlformats.org/officeDocument/2006/relationships/hyperlink" Target="https://www.google.com/search?q=site%3Auatlantica.pt%20Gest&#227;o%20de%20Sistemas%20e%20Tecnologias%20de%20Informa&#231;&#227;o%20mestrado" TargetMode="External"/><Relationship Id="rId1931" Type="http://schemas.openxmlformats.org/officeDocument/2006/relationships/hyperlink" Target="https://www.google.com/search?q=site%3Acespu.pt%20Imagem%20M&#233;dica%20e%20Radioterapia%20licenciatura" TargetMode="External"/><Relationship Id="rId3689" Type="http://schemas.openxmlformats.org/officeDocument/2006/relationships/hyperlink" Target="https://www.google.com/search?q=site%3Alusofona.pt%20Estudos%20Europeus%20e%20Rela&#231;&#245;es%20Internacionais%20licenciatura" TargetMode="External"/><Relationship Id="rId3896" Type="http://schemas.openxmlformats.org/officeDocument/2006/relationships/hyperlink" Target="https://www.google.com/search?q=site%3Aunl.pt%20Ecologia%20Humana%20e%20Problemas%20Sociais%20Contempor&#226;neos%20mestrado" TargetMode="External"/><Relationship Id="rId2498" Type="http://schemas.openxmlformats.org/officeDocument/2006/relationships/hyperlink" Target="https://www.google.com/search?q=site%3Aipca.pt%20Design%20Digital%20mestrado" TargetMode="External"/><Relationship Id="rId3549" Type="http://schemas.openxmlformats.org/officeDocument/2006/relationships/hyperlink" Target="https://www.google.com/search?q=site%3Aufp.pt%20Gest&#227;o%20da%20Qualidade%20em%20Sa&#250;de%20p&#243;s-gradua&#231;&#227;o" TargetMode="External"/><Relationship Id="rId4947" Type="http://schemas.openxmlformats.org/officeDocument/2006/relationships/hyperlink" Target="https://www.google.com/search?q=site%3Aulisboa.pt%20Estudos%20Demogr&#225;ficos%20p&#243;s-gradua&#231;&#227;o" TargetMode="External"/><Relationship Id="rId677" Type="http://schemas.openxmlformats.org/officeDocument/2006/relationships/hyperlink" Target="https://www.google.com/search?q=site%3Aiees.pt%20Restaura&#231;&#227;o%20e%20Inova&#231;&#227;o%20Alimentar%20CTeSP" TargetMode="External"/><Relationship Id="rId2358" Type="http://schemas.openxmlformats.org/officeDocument/2006/relationships/hyperlink" Target="https://www.google.com/search?q=site%3Aipv.pt%20Gest&#227;o%20Comercial%20licenciatura" TargetMode="External"/><Relationship Id="rId3756" Type="http://schemas.openxmlformats.org/officeDocument/2006/relationships/hyperlink" Target="https://www.google.com/search?q=site%3Alusofona.pt%20Medicina%20Veterin&#225;ria%20mestrado%20integrado" TargetMode="External"/><Relationship Id="rId3963" Type="http://schemas.openxmlformats.org/officeDocument/2006/relationships/hyperlink" Target="https://www.google.com/search?q=site%3Aunl.pt%20Inova&#231;&#227;o%20e%20Empreendedorismo%20-%20Executivo%20mestrado" TargetMode="External"/><Relationship Id="rId4807" Type="http://schemas.openxmlformats.org/officeDocument/2006/relationships/hyperlink" Target="https://www.google.com/search?q=site%3Aulisboa.pt%20MorphoPHEN%20-%20Fenotipagem%20Morfol&#243;gica%20de%20Modelos%20Animais%20de%20Doen&#231;as%20Humanas%20mestrado" TargetMode="External"/><Relationship Id="rId884" Type="http://schemas.openxmlformats.org/officeDocument/2006/relationships/hyperlink" Target="https://www.google.com/search?q=site%3Aipbeja.pt%20Olivicultura%2C%20Azeite%20e%20Azeitona%20de%20Mesa%20CTeSP" TargetMode="External"/><Relationship Id="rId2565" Type="http://schemas.openxmlformats.org/officeDocument/2006/relationships/hyperlink" Target="https://www.google.com/search?q=site%3Aipp.pt%20Artes%20Culin&#225;rias%20Internacionais%20CTeSP" TargetMode="External"/><Relationship Id="rId2772" Type="http://schemas.openxmlformats.org/officeDocument/2006/relationships/hyperlink" Target="https://www.google.com/search?q=site%3Aipp.pt%20RESONO%20-%20Cria&#231;&#227;o%20e%20Performance%20Musical%20Colaborativa%20%28Mestrado%20Conjunto%20Internacional%29%20mestrado" TargetMode="External"/><Relationship Id="rId3409" Type="http://schemas.openxmlformats.org/officeDocument/2006/relationships/hyperlink" Target="https://www.google.com/search?q=site%3Aeuropeia.pt%20Gest&#227;o%20de%20Empresas%20licenciatura" TargetMode="External"/><Relationship Id="rId3616" Type="http://schemas.openxmlformats.org/officeDocument/2006/relationships/hyperlink" Target="https://www.google.com/search?q=site%3Aulusiada.pt%20Auditoria%20%5B2025/2026%5D%20p&#243;s-gradua&#231;&#227;o" TargetMode="External"/><Relationship Id="rId3823" Type="http://schemas.openxmlformats.org/officeDocument/2006/relationships/hyperlink" Target="https://www.google.com/search?q=site%3Aunl.pt%20Engenharia%20Eletrot&#233;cnica%20e%20de%20Computadores%20licenciatura" TargetMode="External"/><Relationship Id="rId537" Type="http://schemas.openxmlformats.org/officeDocument/2006/relationships/hyperlink" Target="https://www.google.com/search?q=site%3Aiseclisboa.pt%20Manuten&#231;&#227;o%20Hoteleira%20CTeSP" TargetMode="External"/><Relationship Id="rId744" Type="http://schemas.openxmlformats.org/officeDocument/2006/relationships/hyperlink" Target="https://www.google.com/search?q=site%3Aipg.pt%20Riscos%20e%20Prote&#231;&#227;o%20Civil%20CTeSP" TargetMode="External"/><Relationship Id="rId951" Type="http://schemas.openxmlformats.org/officeDocument/2006/relationships/hyperlink" Target="https://www.google.com/search?q=site%3Aipb.pt%20Cuidados%20Veterin&#225;rios%20CTeSP" TargetMode="External"/><Relationship Id="rId1167" Type="http://schemas.openxmlformats.org/officeDocument/2006/relationships/hyperlink" Target="https://www.google.com/search?q=site%3Aipcb.pt%20Design%20de%20Interiores%20e%20Mobili&#225;rio%20mestrado" TargetMode="External"/><Relationship Id="rId1374" Type="http://schemas.openxmlformats.org/officeDocument/2006/relationships/hyperlink" Target="https://www.google.com/search?q=site%3Aipc.pt%20Terapia%20F&#225;gica%20e%20Resist&#234;ncia%20Microbiana%20p&#243;s-gradua&#231;&#227;o" TargetMode="External"/><Relationship Id="rId1581" Type="http://schemas.openxmlformats.org/officeDocument/2006/relationships/hyperlink" Target="https://www.google.com/search?q=site%3Aipleiria.pt%20Direito%20do%20Urbanismo%20e%20do%20Ambiente%20p&#243;s-gradua&#231;&#227;o" TargetMode="External"/><Relationship Id="rId2218" Type="http://schemas.openxmlformats.org/officeDocument/2006/relationships/hyperlink" Target="https://www.google.com/search?q=site%3Aipvc.pt%20Engenharia%20Civil%20e%20do%20Ambiente%20licenciatura" TargetMode="External"/><Relationship Id="rId2425" Type="http://schemas.openxmlformats.org/officeDocument/2006/relationships/hyperlink" Target="https://www.google.com/search?q=site%3Aipca.pt%20Design%20de%20Cal&#231;ado%20CTeSP" TargetMode="External"/><Relationship Id="rId2632" Type="http://schemas.openxmlformats.org/officeDocument/2006/relationships/hyperlink" Target="https://www.google.com/search?q=site%3Aipp.pt%20Design%20licenciatura" TargetMode="External"/><Relationship Id="rId5788" Type="http://schemas.openxmlformats.org/officeDocument/2006/relationships/hyperlink" Target="https://www.google.com/search?q=site%3Aium.pt%20Ci&#234;ncias%20Militares%2C%20especialidade%20de%20Cavalaria%20mestrado%20integrado" TargetMode="External"/><Relationship Id="rId80" Type="http://schemas.openxmlformats.org/officeDocument/2006/relationships/hyperlink" Target="https://www.google.com/search?q=site%3Aesad.pt%20Design%20de%20Mobili&#225;rio%20p&#243;s-gradua&#231;&#227;o" TargetMode="External"/><Relationship Id="rId604" Type="http://schemas.openxmlformats.org/officeDocument/2006/relationships/hyperlink" Target="https://www.google.com/search?q=site%3Aisla.pt%20Enfermagem%20do%20Trabalho%20p&#243;s-gradua&#231;&#227;o" TargetMode="External"/><Relationship Id="rId811" Type="http://schemas.openxmlformats.org/officeDocument/2006/relationships/hyperlink" Target="https://www.google.com/search?q=site%3Aipluso.pt%20Ciberseguran&#231;a%20CTeSP" TargetMode="External"/><Relationship Id="rId1027" Type="http://schemas.openxmlformats.org/officeDocument/2006/relationships/hyperlink" Target="https://www.google.com/search?q=site%3Aipb.pt%20Marketing%20licenciatura" TargetMode="External"/><Relationship Id="rId1234" Type="http://schemas.openxmlformats.org/officeDocument/2006/relationships/hyperlink" Target="https://www.google.com/search?q=site%3Aipc.pt%20Tecnologias%20e%20Programa&#231;&#227;o%20de%20Sistemas%20de%20Informa&#231;&#227;o%20CTeSP" TargetMode="External"/><Relationship Id="rId1441" Type="http://schemas.openxmlformats.org/officeDocument/2006/relationships/hyperlink" Target="https://www.google.com/search?q=site%3Aipleiria.pt%20Administra&#231;&#227;o%20P&#250;blica%20licenciatura" TargetMode="External"/><Relationship Id="rId4597" Type="http://schemas.openxmlformats.org/officeDocument/2006/relationships/hyperlink" Target="https://www.google.com/search?q=site%3Aulisboa.pt%20Matem&#225;tica%20Aplicada%20licenciatura" TargetMode="External"/><Relationship Id="rId5648" Type="http://schemas.openxmlformats.org/officeDocument/2006/relationships/hyperlink" Target="https://www.google.com/search?q=site%3Aup.pt%20Riscos%2C%20Cidades%20e%20Ordenamento%20do%20Territ&#243;rio%20mestrado" TargetMode="External"/><Relationship Id="rId1301" Type="http://schemas.openxmlformats.org/officeDocument/2006/relationships/hyperlink" Target="https://www.google.com/search?q=site%3Aipc.pt%20Controlo%20de%20Gest&#227;o%20mestrado" TargetMode="External"/><Relationship Id="rId3199" Type="http://schemas.openxmlformats.org/officeDocument/2006/relationships/hyperlink" Target="https://www.google.com/search?q=site%3Aautonoma.pt%20Gest&#227;o%20do%20Desporto%20licenciatura" TargetMode="External"/><Relationship Id="rId4457" Type="http://schemas.openxmlformats.org/officeDocument/2006/relationships/hyperlink" Target="https://www.google.com/search?q=site%3Auc.pt%20Patrim&#243;nio%20Cultural%20e%20Museologia%20mestrado" TargetMode="External"/><Relationship Id="rId4664" Type="http://schemas.openxmlformats.org/officeDocument/2006/relationships/hyperlink" Target="https://www.google.com/search?q=site%3Aulisboa.pt%20Design%20de%20Equipamento%20mestrado" TargetMode="External"/><Relationship Id="rId5508" Type="http://schemas.openxmlformats.org/officeDocument/2006/relationships/hyperlink" Target="https://www.google.com/search?q=site%3Aup.pt%20Ci&#234;ncias%20do%20Mar%20-%20Recursos%20Marinhos%20mestrado" TargetMode="External"/><Relationship Id="rId5715" Type="http://schemas.openxmlformats.org/officeDocument/2006/relationships/hyperlink" Target="https://www.google.com/search?q=site%3Auac.pt%20Ci&#234;ncias%20Empresariais%20mestrado" TargetMode="External"/><Relationship Id="rId3059" Type="http://schemas.openxmlformats.org/officeDocument/2006/relationships/hyperlink" Target="https://www.google.com/search?q=site%3Aisvouga.pt%20Auditoria%20e%20Fiscalidade%20p&#243;s-gradua&#231;&#227;o" TargetMode="External"/><Relationship Id="rId3266" Type="http://schemas.openxmlformats.org/officeDocument/2006/relationships/hyperlink" Target="https://www.google.com/search?q=site%3Aucp.pt%20Cinema%20mestrado" TargetMode="External"/><Relationship Id="rId3473" Type="http://schemas.openxmlformats.org/officeDocument/2006/relationships/hyperlink" Target="https://www.google.com/search?q=site%3Aeuropeia.pt%20Psicologia%20Social%20e%20das%20Organiza&#231;&#245;es%20%28regime%20de%20ensino%20a%20dist&#226;ncia%29%20mestrado" TargetMode="External"/><Relationship Id="rId4317" Type="http://schemas.openxmlformats.org/officeDocument/2006/relationships/hyperlink" Target="https://www.google.com/search?q=site%3Auc.pt%20Jornalismo%20e%20Comunica&#231;&#227;o%20licenciatura" TargetMode="External"/><Relationship Id="rId4524" Type="http://schemas.openxmlformats.org/officeDocument/2006/relationships/hyperlink" Target="https://www.google.com/search?q=site%3Aulisboa.pt%20Bioqu&#237;mica%20licenciatura" TargetMode="External"/><Relationship Id="rId4871" Type="http://schemas.openxmlformats.org/officeDocument/2006/relationships/hyperlink" Target="https://www.google.com/search?q=site%3Aulisboa.pt%20Engenharia%20F&#237;sica%20Tecnol&#243;gica%20mestrado%20integrado" TargetMode="External"/><Relationship Id="rId187" Type="http://schemas.openxmlformats.org/officeDocument/2006/relationships/hyperlink" Target="https://www.google.com/search?q=site%3Aesna.pt%20Gest&#227;o%20de%20Vendas%20e%20Marketing%20para%20PME%20CTeSP" TargetMode="External"/><Relationship Id="rId394" Type="http://schemas.openxmlformats.org/officeDocument/2006/relationships/hyperlink" Target="https://www.google.com/search?q=site%3Aisave.pt%20Servi&#231;o%20Familiar%20e%20Comunit&#225;rio%20CTeSP" TargetMode="External"/><Relationship Id="rId2075" Type="http://schemas.openxmlformats.org/officeDocument/2006/relationships/hyperlink" Target="https://www.google.com/search?q=site%3Aipt.pt%20Contabilidade%20e%20Fiscalidade%20CTeSP" TargetMode="External"/><Relationship Id="rId2282" Type="http://schemas.openxmlformats.org/officeDocument/2006/relationships/hyperlink" Target="https://www.google.com/search?q=site%3Aipvc.pt%20Zootecnia%20mestrado" TargetMode="External"/><Relationship Id="rId3126" Type="http://schemas.openxmlformats.org/officeDocument/2006/relationships/hyperlink" Target="https://www.google.com/search?q=site%3Acespu.pt%20Estomaterapia%20&#8211;%204.&#170;%20edi&#231;&#227;o%20p&#243;s-gradua&#231;&#227;o" TargetMode="External"/><Relationship Id="rId3680" Type="http://schemas.openxmlformats.org/officeDocument/2006/relationships/hyperlink" Target="https://www.google.com/search?q=site%3Alusofona.pt%20Engenharia%20Biotecnol&#243;gica%20licenciatura" TargetMode="External"/><Relationship Id="rId4731" Type="http://schemas.openxmlformats.org/officeDocument/2006/relationships/hyperlink" Target="https://www.google.com/search?q=site%3Aulisboa.pt%20Ensino%20de%20Geografia%20no%203.&#186;%20Ciclo%20do%20Ensino%20B&#225;sico%20e%20no%20Ensino%20Secund&#225;rio%20mestrado" TargetMode="External"/><Relationship Id="rId254" Type="http://schemas.openxmlformats.org/officeDocument/2006/relationships/hyperlink" Target="https://www.google.com/search?q=site%3Aegasmoniz.edu.pt%20Ozonoterapia%20&#8211;%20Vertente%20Medicina%20Dent&#225;ria%20p&#243;s-gradua&#231;&#227;o" TargetMode="External"/><Relationship Id="rId1091" Type="http://schemas.openxmlformats.org/officeDocument/2006/relationships/hyperlink" Target="https://www.google.com/search?q=site%3Aipb.pt%20Educa&#231;&#227;o%20Emocional%20p&#243;s-gradua&#231;&#227;o" TargetMode="External"/><Relationship Id="rId3333" Type="http://schemas.openxmlformats.org/officeDocument/2006/relationships/hyperlink" Target="https://www.google.com/search?q=site%3Aucp.pt%20Psicologia%20do%20Trabalho%20e%20das%20Organiza&#231;&#245;es%20mestrado" TargetMode="External"/><Relationship Id="rId3540" Type="http://schemas.openxmlformats.org/officeDocument/2006/relationships/hyperlink" Target="https://www.google.com/search?q=site%3Aufp.pt%20Cuidados%20Paliativos%20Pedi&#225;tricos%20p&#243;s-gradua&#231;&#227;o" TargetMode="External"/><Relationship Id="rId5298" Type="http://schemas.openxmlformats.org/officeDocument/2006/relationships/hyperlink" Target="https://www.google.com/search?q=site%3Aualg.pt%20Engenharia%20de%20Sistemas%20e%20Tecnologias%20Inform&#225;ticas%20licenciatura" TargetMode="External"/><Relationship Id="rId114" Type="http://schemas.openxmlformats.org/officeDocument/2006/relationships/hyperlink" Target="https://www.google.com/search?q=site%3Aesepf.pt%20Ci&#234;ncias%20da%20Educa&#231;&#227;o%20&#8211;%20&#225;rea%20de%20especializa&#231;&#227;o%20em%20Educa&#231;&#227;o%20Especial%20mestrado" TargetMode="External"/><Relationship Id="rId461" Type="http://schemas.openxmlformats.org/officeDocument/2006/relationships/hyperlink" Target="https://www.google.com/search?q=site%3Aiscte-iul.pt%20Economia%20e%20Regula&#231;&#227;o%20de%20Institui&#231;&#245;es%20Financeiras%20p&#243;s-gradua&#231;&#227;o" TargetMode="External"/><Relationship Id="rId2142" Type="http://schemas.openxmlformats.org/officeDocument/2006/relationships/hyperlink" Target="https://www.google.com/search?q=site%3Aipt.pt%20Reabilita&#231;&#227;o%20Urbana%20mestrado" TargetMode="External"/><Relationship Id="rId3400" Type="http://schemas.openxmlformats.org/officeDocument/2006/relationships/hyperlink" Target="https://www.google.com/search?q=site%3Aeuropeia.pt%20Design%20de%20Produto%20licenciatura" TargetMode="External"/><Relationship Id="rId321" Type="http://schemas.openxmlformats.org/officeDocument/2006/relationships/hyperlink" Target="https://www.google.com/search?q=site%3Aesscvp.eu%20Miss&#245;es%20Humanit&#225;rias%2C%20Cat&#225;strofes%20e%20Conflitos%20p&#243;s-gradua&#231;&#227;o" TargetMode="External"/><Relationship Id="rId2002" Type="http://schemas.openxmlformats.org/officeDocument/2006/relationships/hyperlink" Target="https://www.google.com/search?q=site%3Aips.pt%20Comunica&#231;&#227;o%20Social%20licenciatura" TargetMode="External"/><Relationship Id="rId2959" Type="http://schemas.openxmlformats.org/officeDocument/2006/relationships/hyperlink" Target="https://www.google.com/search?q=site%3Aisag.pt%20Lideran&#231;a%2C%20Inova&#231;&#227;o%20e%20Transforma&#231;&#227;o%20Digital%20p&#243;s-gradua&#231;&#227;o" TargetMode="External"/><Relationship Id="rId5158" Type="http://schemas.openxmlformats.org/officeDocument/2006/relationships/hyperlink" Target="https://www.google.com/search?q=site%3Auevora.pt%20Engenharia%20Mecatr&#243;nica%20licenciatura" TargetMode="External"/><Relationship Id="rId5365" Type="http://schemas.openxmlformats.org/officeDocument/2006/relationships/hyperlink" Target="https://www.google.com/search?q=site%3Aualg.pt%20Gest&#227;o%20de%20Marketing%20mestrado" TargetMode="External"/><Relationship Id="rId5572" Type="http://schemas.openxmlformats.org/officeDocument/2006/relationships/hyperlink" Target="https://www.google.com/search?q=site%3Aup.pt%20Ensino%20de%20Ingl&#234;s%20no%201.&#186;%20Ciclo%20do%20Ensino%20B&#225;sico%20mestrado" TargetMode="External"/><Relationship Id="rId1768" Type="http://schemas.openxmlformats.org/officeDocument/2006/relationships/hyperlink" Target="https://www.google.com/search?q=site%3Aipportalegre.pt%20Prote&#231;&#227;o%20Civil%20e%20Socorro%20CTeSP" TargetMode="External"/><Relationship Id="rId2819" Type="http://schemas.openxmlformats.org/officeDocument/2006/relationships/hyperlink" Target="https://www.google.com/search?q=site%3Aipp.pt%20Intelig&#234;ncia%20Artificial%20para%20o%20Neg&#243;cio%20p&#243;s-gradua&#231;&#227;o" TargetMode="External"/><Relationship Id="rId4174" Type="http://schemas.openxmlformats.org/officeDocument/2006/relationships/hyperlink" Target="https://www.google.com/search?q=site%3Aismai.pt%20Turismo%20licenciatura" TargetMode="External"/><Relationship Id="rId4381" Type="http://schemas.openxmlformats.org/officeDocument/2006/relationships/hyperlink" Target="https://www.google.com/search?q=site%3Auc.pt%20Engenharia%20Geol&#243;gica%20e%20de%20Minas%20mestrado" TargetMode="External"/><Relationship Id="rId5018" Type="http://schemas.openxmlformats.org/officeDocument/2006/relationships/hyperlink" Target="https://www.google.com/search?q=site%3Autad.pt%20Bioengenharia%20licenciatura" TargetMode="External"/><Relationship Id="rId5225" Type="http://schemas.openxmlformats.org/officeDocument/2006/relationships/hyperlink" Target="https://www.google.com/search?q=site%3Auevora.pt%20Cuidados%20de%20Sa&#250;de%20em%20Emerg&#234;ncia%20e%20Urg&#234;ncia%20p&#243;s-gradua&#231;&#227;o" TargetMode="External"/><Relationship Id="rId5432" Type="http://schemas.openxmlformats.org/officeDocument/2006/relationships/hyperlink" Target="https://www.google.com/search?q=site%3Aup.pt%20Desenho%20licenciatura" TargetMode="External"/><Relationship Id="rId1628" Type="http://schemas.openxmlformats.org/officeDocument/2006/relationships/hyperlink" Target="https://www.google.com/search?q=site%3Aipl.pt%20Engenharia%20Civil%20licenciatura" TargetMode="External"/><Relationship Id="rId1975" Type="http://schemas.openxmlformats.org/officeDocument/2006/relationships/hyperlink" Target="https://www.google.com/search?q=site%3Aips.pt%20Eletromedicina%20CTeSP" TargetMode="External"/><Relationship Id="rId3190" Type="http://schemas.openxmlformats.org/officeDocument/2006/relationships/hyperlink" Target="https://www.google.com/search?q=site%3Auab.pt%20Media&#231;&#227;o%20de%20Conflitos%20p&#243;s-gradua&#231;&#227;o" TargetMode="External"/><Relationship Id="rId4034" Type="http://schemas.openxmlformats.org/officeDocument/2006/relationships/hyperlink" Target="https://www.google.com/search?q=site%3Aunl.pt%20Artificial%20Intelligence%20for%20Business%20Transformation%20p&#243;s-gradua&#231;&#227;o" TargetMode="External"/><Relationship Id="rId4241" Type="http://schemas.openxmlformats.org/officeDocument/2006/relationships/hyperlink" Target="https://www.google.com/search?q=site%3Aua.pt%20Marketing%20licenciatura" TargetMode="External"/><Relationship Id="rId1835" Type="http://schemas.openxmlformats.org/officeDocument/2006/relationships/hyperlink" Target="https://www.google.com/search?q=site%3Aipsantarem.pt%20Design%20Digital%20CTeSP" TargetMode="External"/><Relationship Id="rId3050" Type="http://schemas.openxmlformats.org/officeDocument/2006/relationships/hyperlink" Target="https://www.google.com/search?q=site%3Aisvouga.pt%20Inform&#225;tica%20de%20Gest&#227;o%20CTeSP" TargetMode="External"/><Relationship Id="rId4101" Type="http://schemas.openxmlformats.org/officeDocument/2006/relationships/hyperlink" Target="https://www.google.com/search?q=site%3Aupt.pt%20Administra&#231;&#227;o%20e%20Gest&#227;o%20da%20Educa&#231;&#227;o%20mestrado" TargetMode="External"/><Relationship Id="rId1902" Type="http://schemas.openxmlformats.org/officeDocument/2006/relationships/hyperlink" Target="https://www.google.com/search?q=site%3Aipsantarem.pt%20Engenharia%20Zoot&#233;cnica%20mestrado" TargetMode="External"/><Relationship Id="rId3867" Type="http://schemas.openxmlformats.org/officeDocument/2006/relationships/hyperlink" Target="https://www.google.com/search?q=site%3Aunl.pt%20Biotecnologia%20mestrado" TargetMode="External"/><Relationship Id="rId4918" Type="http://schemas.openxmlformats.org/officeDocument/2006/relationships/hyperlink" Target="https://www.google.com/search?q=site%3Aulisboa.pt%20Curso%20de%20Especializa&#231;&#227;o%20em%20Pr&#225;ticas%20e%20Tecnologias%20de%20Tradu&#231;&#227;o%20p&#243;s-gradua&#231;&#227;o" TargetMode="External"/><Relationship Id="rId788" Type="http://schemas.openxmlformats.org/officeDocument/2006/relationships/hyperlink" Target="https://www.google.com/search?q=site%3Aipg.pt%20Gest&#227;o%20mestrado" TargetMode="External"/><Relationship Id="rId995" Type="http://schemas.openxmlformats.org/officeDocument/2006/relationships/hyperlink" Target="https://www.google.com/search?q=site%3Aipb.pt%20Contabilidade%20licenciatura" TargetMode="External"/><Relationship Id="rId2469" Type="http://schemas.openxmlformats.org/officeDocument/2006/relationships/hyperlink" Target="https://www.google.com/search?q=site%3Aipca.pt%20Tecnologias%20de%20Impress&#227;o%20em%20Labelling%20e%20Packaging%20CTeSP" TargetMode="External"/><Relationship Id="rId2676" Type="http://schemas.openxmlformats.org/officeDocument/2006/relationships/hyperlink" Target="https://www.google.com/search?q=site%3Aipp.pt%20Sa&#250;de%20Digital%20licenciatura" TargetMode="External"/><Relationship Id="rId2883" Type="http://schemas.openxmlformats.org/officeDocument/2006/relationships/hyperlink" Target="https://www.google.com/search?q=site%3Aisdd.pt%20Engenharia%20e%20Design%20Industrial%20licenciatura" TargetMode="External"/><Relationship Id="rId3727" Type="http://schemas.openxmlformats.org/officeDocument/2006/relationships/hyperlink" Target="https://www.google.com/search?q=site%3Alusofona.pt%20Cl&#237;nica%20de%20Equinos%20mestrado" TargetMode="External"/><Relationship Id="rId3934" Type="http://schemas.openxmlformats.org/officeDocument/2006/relationships/hyperlink" Target="https://www.google.com/search?q=site%3Aunl.pt%20Estudos%20Sobre%20as%20Mulheres.%20As%20Mulheres%20na%20Sociedade%20e%20na%20Cultura%20mestrado" TargetMode="External"/><Relationship Id="rId5082" Type="http://schemas.openxmlformats.org/officeDocument/2006/relationships/hyperlink" Target="https://www.google.com/search?q=site%3Autad.pt%20Desafios%20das%20Cidades%20mestrado" TargetMode="External"/><Relationship Id="rId648" Type="http://schemas.openxmlformats.org/officeDocument/2006/relationships/hyperlink" Target="https://www.google.com/search?q=site%3Aistec.pt%20Inform&#225;tica%20de%20Gest&#227;o%20CTeSP" TargetMode="External"/><Relationship Id="rId855" Type="http://schemas.openxmlformats.org/officeDocument/2006/relationships/hyperlink" Target="https://www.google.com/search?q=site%3Aipluso.pt%20P&#243;s&#8209;Gradua&#231;&#227;o%20em%20Gest&#227;o%20de%20Projetos%20p&#243;s-gradua&#231;&#227;o" TargetMode="External"/><Relationship Id="rId1278" Type="http://schemas.openxmlformats.org/officeDocument/2006/relationships/hyperlink" Target="https://www.google.com/search?q=site%3Aipc.pt%20Marketing%20e%20Neg&#243;cios%20Internacionais%20licenciatura" TargetMode="External"/><Relationship Id="rId1485" Type="http://schemas.openxmlformats.org/officeDocument/2006/relationships/hyperlink" Target="https://www.google.com/search?q=site%3Aipleiria.pt%20Som%20e%20Imagem%20licenciatura" TargetMode="External"/><Relationship Id="rId1692" Type="http://schemas.openxmlformats.org/officeDocument/2006/relationships/hyperlink" Target="https://www.google.com/search?q=site%3Aipl.pt%20Ensino%20do%201.&#186;%20Ciclo%20do%20Ensino%20B&#225;sico%20e%20de%20Portugu&#234;s%20e%20Hist&#243;ria%20e%20Geografia%20de%20Portugal%20no%202.&#186;%20Ciclo%20do%20Ensino%20B&#225;sico%20mestrado" TargetMode="External"/><Relationship Id="rId2329" Type="http://schemas.openxmlformats.org/officeDocument/2006/relationships/hyperlink" Target="https://www.google.com/search?q=site%3Aipv.pt%20Tecnologia%20Alimentar%20CTeSP" TargetMode="External"/><Relationship Id="rId2536" Type="http://schemas.openxmlformats.org/officeDocument/2006/relationships/hyperlink" Target="https://www.google.com/search?q=site%3Aipca.pt%20Data%20Analysis%20for%20Business%20p&#243;s-gradua&#231;&#227;o" TargetMode="External"/><Relationship Id="rId2743" Type="http://schemas.openxmlformats.org/officeDocument/2006/relationships/hyperlink" Target="https://www.google.com/search?q=site%3Aipp.pt%20Estudos%20Interculturais%20para%20Neg&#243;cios%20mestrado" TargetMode="External"/><Relationship Id="rId508" Type="http://schemas.openxmlformats.org/officeDocument/2006/relationships/hyperlink" Target="https://www.google.com/search?q=site%3Aisec.pt%20Gest&#227;o%20Sustent&#225;vel%20das%20Cidades%20licenciatura" TargetMode="External"/><Relationship Id="rId715" Type="http://schemas.openxmlformats.org/officeDocument/2006/relationships/hyperlink" Target="https://www.google.com/search?q=site%3Aipg.pt%20Contabilidade%20e%20Fiscalidade%20CTeSP" TargetMode="External"/><Relationship Id="rId922" Type="http://schemas.openxmlformats.org/officeDocument/2006/relationships/hyperlink" Target="https://www.google.com/search?q=site%3Aipbeja.pt%20Engenharia%20do%20Ambiente%20mestrado" TargetMode="External"/><Relationship Id="rId1138" Type="http://schemas.openxmlformats.org/officeDocument/2006/relationships/hyperlink" Target="https://www.google.com/search?q=site%3Aipcb.pt%20Desporto%20e%20Atividade%20F&#237;sica%20licenciatura" TargetMode="External"/><Relationship Id="rId1345" Type="http://schemas.openxmlformats.org/officeDocument/2006/relationships/hyperlink" Target="https://www.google.com/search?q=site%3Aipc.pt%20Comportamento%20e%20Comunica&#231;&#227;o%20em%20Organiza&#231;&#245;es%20do%20Setor%20Social%20p&#243;s-gradua&#231;&#227;o" TargetMode="External"/><Relationship Id="rId1552" Type="http://schemas.openxmlformats.org/officeDocument/2006/relationships/hyperlink" Target="https://www.google.com/search?q=site%3Aipleiria.pt%20Gest&#227;o%20da%20Qualidade%20e%20Seguran&#231;a%20Alimentar%20mestrado" TargetMode="External"/><Relationship Id="rId2603" Type="http://schemas.openxmlformats.org/officeDocument/2006/relationships/hyperlink" Target="https://www.google.com/search?q=site%3Aipp.pt%20Servi&#231;os%20Jur&#237;dicos%20CTeSP" TargetMode="External"/><Relationship Id="rId2950" Type="http://schemas.openxmlformats.org/officeDocument/2006/relationships/hyperlink" Target="https://www.google.com/search?q=site%3Aisag.pt%20Gest&#227;o%20licenciatura" TargetMode="External"/><Relationship Id="rId5759" Type="http://schemas.openxmlformats.org/officeDocument/2006/relationships/hyperlink" Target="https://www.google.com/search?q=site%3Auac.pt%20Gest&#227;o%20%5B2026/2027%5D%20p&#243;s-gradua&#231;&#227;o" TargetMode="External"/><Relationship Id="rId1205" Type="http://schemas.openxmlformats.org/officeDocument/2006/relationships/hyperlink" Target="https://www.google.com/search?q=site%3Aipc.pt%20Aplica&#231;&#245;es%20Inform&#225;ticas%20de%20Gest&#227;o%20CTeSP" TargetMode="External"/><Relationship Id="rId2810" Type="http://schemas.openxmlformats.org/officeDocument/2006/relationships/hyperlink" Target="https://www.google.com/search?q=site%3Aipp.pt%20Gest&#227;o%20de%20Eventos%20p&#243;s-gradua&#231;&#227;o" TargetMode="External"/><Relationship Id="rId4568" Type="http://schemas.openxmlformats.org/officeDocument/2006/relationships/hyperlink" Target="https://www.google.com/search?q=site%3Aulisboa.pt%20Engenharia%20do%20Ambiente%20licenciatura" TargetMode="External"/><Relationship Id="rId51" Type="http://schemas.openxmlformats.org/officeDocument/2006/relationships/hyperlink" Target="https://www.google.com/search?q=site%3Aesap.pt%20Realiza&#231;&#227;o%20&#8211;%20Cinema%20e%20Televis&#227;o%20mestrado" TargetMode="External"/><Relationship Id="rId1412" Type="http://schemas.openxmlformats.org/officeDocument/2006/relationships/hyperlink" Target="https://www.google.com/search?q=site%3Aipleiria.pt%20M&#250;sica%20Digital%20CTeSP" TargetMode="External"/><Relationship Id="rId3377" Type="http://schemas.openxmlformats.org/officeDocument/2006/relationships/hyperlink" Target="https://www.google.com/search?q=site%3Aucp.pt%20Sustentabilidade%20e%20Regenera&#231;&#227;o%20p&#243;s-gradua&#231;&#227;o" TargetMode="External"/><Relationship Id="rId4775" Type="http://schemas.openxmlformats.org/officeDocument/2006/relationships/hyperlink" Target="https://www.google.com/search?q=site%3Aulisboa.pt%20Hist&#243;ria%20Mar&#237;tima%20mestrado" TargetMode="External"/><Relationship Id="rId4982" Type="http://schemas.openxmlformats.org/officeDocument/2006/relationships/hyperlink" Target="https://www.google.com/search?q=site%3Aulisboa.pt%20Pedagogia%20do%20Ensino%20Superior%20p&#243;s-gradua&#231;&#227;o" TargetMode="External"/><Relationship Id="rId5619" Type="http://schemas.openxmlformats.org/officeDocument/2006/relationships/hyperlink" Target="https://www.google.com/search?q=site%3Aup.pt%20Mec&#226;nica%20dos%20Solos%20e%20Engenharia%20Geot&#233;cnica%20mestrado" TargetMode="External"/><Relationship Id="rId298" Type="http://schemas.openxmlformats.org/officeDocument/2006/relationships/hyperlink" Target="https://www.google.com/search?q=site%3Aesscvp.eu%20Osteopatia%20licenciatura" TargetMode="External"/><Relationship Id="rId3584" Type="http://schemas.openxmlformats.org/officeDocument/2006/relationships/hyperlink" Target="https://www.google.com/search?q=site%3Aulusiada.pt%20Gest&#227;o%20do%20Turismo%20licenciatura" TargetMode="External"/><Relationship Id="rId3791" Type="http://schemas.openxmlformats.org/officeDocument/2006/relationships/hyperlink" Target="https://www.google.com/search?q=site%3Alusofona.pt%20Psicologia%20Pol&#237;tica%20p&#243;s-gradua&#231;&#227;o" TargetMode="External"/><Relationship Id="rId4428" Type="http://schemas.openxmlformats.org/officeDocument/2006/relationships/hyperlink" Target="https://www.google.com/search?q=site%3Auc.pt%20Gest&#227;o%20da%20Mobilidade%20Urbana%20mestrado" TargetMode="External"/><Relationship Id="rId4635" Type="http://schemas.openxmlformats.org/officeDocument/2006/relationships/hyperlink" Target="https://www.google.com/search?q=site%3Aulisboa.pt%20Ci&#234;ncia%20de%20Dados%20em%20Agricultura%2C%20Alimenta&#231;&#227;o%2C%20Floresta%20e%20Ambiente%20mestrado" TargetMode="External"/><Relationship Id="rId4842" Type="http://schemas.openxmlformats.org/officeDocument/2006/relationships/hyperlink" Target="https://www.google.com/search?q=site%3Aulisboa.pt%20Seguran&#231;a%20de%20Informa&#231;&#227;o%20e%20Direito%20no%20Ciberespa&#231;o%20mestrado" TargetMode="External"/><Relationship Id="rId158" Type="http://schemas.openxmlformats.org/officeDocument/2006/relationships/hyperlink" Target="https://www.google.com/search?q=site%3Asjcluny.org%20Enfermagem%20de%20Reabilita&#231;&#227;o%20mestrado" TargetMode="External"/><Relationship Id="rId2186" Type="http://schemas.openxmlformats.org/officeDocument/2006/relationships/hyperlink" Target="https://www.google.com/search?q=site%3Aipvc.pt%20Mec&#226;nica%20Autom&#243;vel%20CTeSP" TargetMode="External"/><Relationship Id="rId2393" Type="http://schemas.openxmlformats.org/officeDocument/2006/relationships/hyperlink" Target="https://www.google.com/search?q=site%3Aipv.pt%20Ensino%20do%201.&#186;%20Ciclo%20do%20Ensino%20B&#225;sico%20e%20de%20Portugu&#234;s%20e%20Hist&#243;ria%20e%20Geografia%20de%20Portugal%20no%202.&#186;%20Ciclo%20do%20Ensino%20B&#225;sico%20mestrado" TargetMode="External"/><Relationship Id="rId3237" Type="http://schemas.openxmlformats.org/officeDocument/2006/relationships/hyperlink" Target="https://www.google.com/search?q=site%3Aucp.pt%20Economia%20licenciatura" TargetMode="External"/><Relationship Id="rId3444" Type="http://schemas.openxmlformats.org/officeDocument/2006/relationships/hyperlink" Target="https://www.google.com/search?q=site%3Aeuropeia.pt%20Design%20e%20Cultura%20Visual%20mestrado" TargetMode="External"/><Relationship Id="rId3651" Type="http://schemas.openxmlformats.org/officeDocument/2006/relationships/hyperlink" Target="https://www.google.com/search?q=site%3Alusofona.pt%20Biomedicina%20Computacional%20e%20Intelig&#234;ncia%20Artificial%20licenciatura" TargetMode="External"/><Relationship Id="rId4702" Type="http://schemas.openxmlformats.org/officeDocument/2006/relationships/hyperlink" Target="https://www.google.com/search?q=site%3Aulisboa.pt%20Engenharia%20F&#237;sica%20mestrado" TargetMode="External"/><Relationship Id="rId365" Type="http://schemas.openxmlformats.org/officeDocument/2006/relationships/hyperlink" Target="https://www.google.com/search?q=site%3Asantamaria.pt%20P&#243;s&#8209;Gradua&#231;&#227;o%20em%20Instrumenta&#231;&#227;o%20Cir&#250;rgica%20p&#243;s-gradua&#231;&#227;o" TargetMode="External"/><Relationship Id="rId572" Type="http://schemas.openxmlformats.org/officeDocument/2006/relationships/hyperlink" Target="https://www.google.com/search?q=site%3Aiseclisboa.pt%20Administra&#231;&#227;o%20e%20Gest&#227;o%20em%20Educa&#231;&#227;o%20p&#243;s-gradua&#231;&#227;o" TargetMode="External"/><Relationship Id="rId2046" Type="http://schemas.openxmlformats.org/officeDocument/2006/relationships/hyperlink" Target="https://www.google.com/search?q=site%3Aips.pt%20Estudos%20em%20Enfermagem%20mestrado" TargetMode="External"/><Relationship Id="rId2253" Type="http://schemas.openxmlformats.org/officeDocument/2006/relationships/hyperlink" Target="https://www.google.com/search?q=site%3Aipvc.pt%20Enfermagem%20Veterin&#225;ria%20M&#233;dico-Cir&#250;rgica%20mestrado" TargetMode="External"/><Relationship Id="rId2460" Type="http://schemas.openxmlformats.org/officeDocument/2006/relationships/hyperlink" Target="https://www.google.com/search?q=site%3Aipca.pt%20Refrigera&#231;&#227;o%20e%20Efici&#234;ncia%20Termoenerg&#233;tica%20CTeSP" TargetMode="External"/><Relationship Id="rId3304" Type="http://schemas.openxmlformats.org/officeDocument/2006/relationships/hyperlink" Target="https://www.google.com/search?q=site%3Aucp.pt%20Gest&#227;o%20Aplicada%20mestrado" TargetMode="External"/><Relationship Id="rId3511" Type="http://schemas.openxmlformats.org/officeDocument/2006/relationships/hyperlink" Target="https://www.google.com/search?q=site%3Aufp.pt%20Ci&#234;ncias%20da%20Nutri&#231;&#227;o%20licenciatura" TargetMode="External"/><Relationship Id="rId225" Type="http://schemas.openxmlformats.org/officeDocument/2006/relationships/hyperlink" Target="https://www.google.com/search?q=site%3Aegasmoniz.edu.pt%20An&#225;lises%20Cl&#237;nicas%20mestrado" TargetMode="External"/><Relationship Id="rId432" Type="http://schemas.openxmlformats.org/officeDocument/2006/relationships/hyperlink" Target="https://www.google.com/search?q=site%3Aiscte-iul.pt%20Gest&#227;o%20Industrial%20e%20Log&#237;stica%20licenciatura" TargetMode="External"/><Relationship Id="rId1062" Type="http://schemas.openxmlformats.org/officeDocument/2006/relationships/hyperlink" Target="https://www.google.com/search?q=site%3Aipb.pt%20Ensino%20da%20Educa&#231;&#227;o%20Musical%20no%20Ensino%20B&#225;sico%20mestrado" TargetMode="External"/><Relationship Id="rId2113" Type="http://schemas.openxmlformats.org/officeDocument/2006/relationships/hyperlink" Target="https://www.google.com/search?q=site%3Aipt.pt%20Contabilidade%20licenciatura" TargetMode="External"/><Relationship Id="rId2320" Type="http://schemas.openxmlformats.org/officeDocument/2006/relationships/hyperlink" Target="https://www.google.com/search?q=site%3Aipv.pt%20Manuten&#231;&#227;o%20Industrial%20CTeSP" TargetMode="External"/><Relationship Id="rId5269" Type="http://schemas.openxmlformats.org/officeDocument/2006/relationships/hyperlink" Target="https://www.google.com/search?q=site%3Aualg.pt%20Tecnologias%20Inform&#225;ticas%20CTeSP" TargetMode="External"/><Relationship Id="rId5476" Type="http://schemas.openxmlformats.org/officeDocument/2006/relationships/hyperlink" Target="https://www.google.com/search?q=site%3Aup.pt%20Arte%20e%20Design%20para%20o%20Espa&#231;o%20P&#250;blico%20mestrado" TargetMode="External"/><Relationship Id="rId5683" Type="http://schemas.openxmlformats.org/officeDocument/2006/relationships/hyperlink" Target="https://www.google.com/search?q=site%3Aup.pt%20Psicologia%20mestrado%20integrado" TargetMode="External"/><Relationship Id="rId4078" Type="http://schemas.openxmlformats.org/officeDocument/2006/relationships/hyperlink" Target="https://www.google.com/search?q=site%3Aunl.pt%20M&#250;sica%20na%20Inf&#226;ncia%3A%20Interven&#231;&#227;o%20e%20Investiga&#231;&#227;o%20p&#243;s-gradua&#231;&#227;o" TargetMode="External"/><Relationship Id="rId4285" Type="http://schemas.openxmlformats.org/officeDocument/2006/relationships/hyperlink" Target="https://www.google.com/search?q=site%3Auc.pt%20Design%20e%20Multim&#233;dia%20licenciatura" TargetMode="External"/><Relationship Id="rId4492" Type="http://schemas.openxmlformats.org/officeDocument/2006/relationships/hyperlink" Target="https://www.google.com/search?q=site%3Auc.pt%20Tribologia%20de%20Superf&#237;cies%20e%20Interfaces%20mestrado" TargetMode="External"/><Relationship Id="rId5129" Type="http://schemas.openxmlformats.org/officeDocument/2006/relationships/hyperlink" Target="https://www.google.com/search?q=site%3Autad.pt%20Seguran&#231;a%20Alimentar%2C%20Inova&#231;&#227;o%20e%20Sustentabilidade%20mestrado" TargetMode="External"/><Relationship Id="rId5336" Type="http://schemas.openxmlformats.org/officeDocument/2006/relationships/hyperlink" Target="https://www.google.com/search?q=site%3Aualg.pt%20Dire&#231;&#227;o%20e%20Gest&#227;o%20Hoteleira%20mestrado" TargetMode="External"/><Relationship Id="rId5543" Type="http://schemas.openxmlformats.org/officeDocument/2006/relationships/hyperlink" Target="https://www.google.com/search?q=site%3Aup.pt%20Engenharia%20Civil%20mestrado" TargetMode="External"/><Relationship Id="rId1879" Type="http://schemas.openxmlformats.org/officeDocument/2006/relationships/hyperlink" Target="https://www.google.com/search?q=site%3Aipsantarem.pt%20Neg&#243;cios%20Internacionais%20licenciatura" TargetMode="External"/><Relationship Id="rId3094" Type="http://schemas.openxmlformats.org/officeDocument/2006/relationships/hyperlink" Target="https://www.google.com/search?q=site%3Acespu.pt%20Ci&#234;ncias%20Biom&#233;dicas%20licenciatura" TargetMode="External"/><Relationship Id="rId4145" Type="http://schemas.openxmlformats.org/officeDocument/2006/relationships/hyperlink" Target="https://www.google.com/search?q=site%3Aubi.pt%20Intelig&#234;ncia%20Artificial%20e%20Ci&#234;ncia%20de%20Dados%20licenciatura" TargetMode="External"/><Relationship Id="rId5750" Type="http://schemas.openxmlformats.org/officeDocument/2006/relationships/hyperlink" Target="https://www.google.com/search?q=site%3Auac.pt%20Vulcanologia%20e%20Riscos%20Geol&#243;gicos%20mestrado" TargetMode="External"/><Relationship Id="rId1739" Type="http://schemas.openxmlformats.org/officeDocument/2006/relationships/hyperlink" Target="https://www.google.com/search?q=site%3Aipl.pt%20Processos%20Avan&#231;ados%20de%20Fabrico%20p&#243;s-gradua&#231;&#227;o" TargetMode="External"/><Relationship Id="rId1946" Type="http://schemas.openxmlformats.org/officeDocument/2006/relationships/hyperlink" Target="https://www.google.com/search?q=site%3Acespu.pt%20Emerg&#234;ncia%20M&#233;dica%20&#8211;%206.&#170;%20edi&#231;&#227;o%20p&#243;s-gradua&#231;&#227;o" TargetMode="External"/><Relationship Id="rId4005" Type="http://schemas.openxmlformats.org/officeDocument/2006/relationships/hyperlink" Target="https://www.google.com/search?q=site%3Aunl.pt%20Sistemas%20Agroalimentares%2C%20Inova&#231;&#227;o%20e%20Sustentabilidade%20mestrado" TargetMode="External"/><Relationship Id="rId4352" Type="http://schemas.openxmlformats.org/officeDocument/2006/relationships/hyperlink" Target="https://www.google.com/search?q=site%3Auc.pt%20Cirurgia%20de%20Animais%20de%20Companhia%20mestrado" TargetMode="External"/><Relationship Id="rId5403" Type="http://schemas.openxmlformats.org/officeDocument/2006/relationships/hyperlink" Target="https://www.google.com/search?q=site%3Aualg.pt%20Novas%20Tecnologias%20Aplicadas%20ao%20Ciclo%20Urbano%20da%20&#193;gua%20p&#243;s-gradua&#231;&#227;o" TargetMode="External"/><Relationship Id="rId5610" Type="http://schemas.openxmlformats.org/officeDocument/2006/relationships/hyperlink" Target="https://www.google.com/search?q=site%3Aup.pt%20Imunologia%20Integrativa%20e%20de%20Sistemas%20mestrado" TargetMode="External"/><Relationship Id="rId1806" Type="http://schemas.openxmlformats.org/officeDocument/2006/relationships/hyperlink" Target="https://www.google.com/search?q=site%3Aipportalegre.pt%20Educa&#231;&#227;o%20Especial%20mestrado" TargetMode="External"/><Relationship Id="rId3161" Type="http://schemas.openxmlformats.org/officeDocument/2006/relationships/hyperlink" Target="https://www.google.com/search?q=site%3Auab.pt%20Matem&#225;tica%20Aplicada%20&#224;%20Gest&#227;o%20licenciatura" TargetMode="External"/><Relationship Id="rId4212" Type="http://schemas.openxmlformats.org/officeDocument/2006/relationships/hyperlink" Target="https://www.google.com/search?q=site%3Aua.pt%20Gest&#227;o%20de%20Vendas%20e%20Marketing%20CTeSP" TargetMode="External"/><Relationship Id="rId3021" Type="http://schemas.openxmlformats.org/officeDocument/2006/relationships/hyperlink" Target="https://www.google.com/search?q=site%3Aiscia.pt%20Acompanhamento%20de%20Crian&#231;as%20e%20Jovens%20CTeSP" TargetMode="External"/><Relationship Id="rId3978" Type="http://schemas.openxmlformats.org/officeDocument/2006/relationships/hyperlink" Target="https://www.google.com/search?q=site%3Aunl.pt%20Materiais%20Avan&#231;ados%20e%20Reciclagem%20Inovadora%20mestrado" TargetMode="External"/><Relationship Id="rId899" Type="http://schemas.openxmlformats.org/officeDocument/2006/relationships/hyperlink" Target="https://www.google.com/search?q=site%3Aipbeja.pt%20Desporto%20licenciatura" TargetMode="External"/><Relationship Id="rId2787" Type="http://schemas.openxmlformats.org/officeDocument/2006/relationships/hyperlink" Target="https://www.google.com/search?q=site%3Aipp.pt%20Business%20Analytics%20p&#243;s-gradua&#231;&#227;o" TargetMode="External"/><Relationship Id="rId3838" Type="http://schemas.openxmlformats.org/officeDocument/2006/relationships/hyperlink" Target="https://www.google.com/search?q=site%3Aunl.pt%20Geografia%20e%20Planeamento%20Regional%20licenciatura" TargetMode="External"/><Relationship Id="rId5193" Type="http://schemas.openxmlformats.org/officeDocument/2006/relationships/hyperlink" Target="https://www.google.com/search?q=site%3Auevora.pt%20Ensino%20de%20M&#250;sica%20mestrado" TargetMode="External"/><Relationship Id="rId759" Type="http://schemas.openxmlformats.org/officeDocument/2006/relationships/hyperlink" Target="https://www.google.com/search?q=site%3Aipg.pt%20Educa&#231;&#227;o%20Social%20Gerontol&#243;gica%20licenciatura" TargetMode="External"/><Relationship Id="rId966" Type="http://schemas.openxmlformats.org/officeDocument/2006/relationships/hyperlink" Target="https://www.google.com/search?q=site%3Aipb.pt%20Gest&#227;o%20de%20Opera&#231;&#245;es%20e%20Log&#237;stica%20CTeSP" TargetMode="External"/><Relationship Id="rId1389" Type="http://schemas.openxmlformats.org/officeDocument/2006/relationships/hyperlink" Target="https://www.google.com/search?q=site%3Aipleiria.pt%20Cozinha%20e%20Produ&#231;&#227;o%20Alimentar%20CTeSP" TargetMode="External"/><Relationship Id="rId1596" Type="http://schemas.openxmlformats.org/officeDocument/2006/relationships/hyperlink" Target="https://www.google.com/search?q=site%3Aipleiria.pt%20Hidrog&#233;nio%20e%20Gases%20Renov&#225;veis%20p&#243;s-gradua&#231;&#227;o" TargetMode="External"/><Relationship Id="rId2647" Type="http://schemas.openxmlformats.org/officeDocument/2006/relationships/hyperlink" Target="https://www.google.com/search?q=site%3Aipp.pt%20Engenharia%20de%20Sistemas%20licenciatura" TargetMode="External"/><Relationship Id="rId2994" Type="http://schemas.openxmlformats.org/officeDocument/2006/relationships/hyperlink" Target="https://www.google.com/search?q=site%3Aisced.pt%20Marketing%20e%20Gest&#227;o%20Desportiva%20&#8211;%203.&#170;%20edi&#231;&#227;o%20p&#243;s-gradua&#231;&#227;o" TargetMode="External"/><Relationship Id="rId5053" Type="http://schemas.openxmlformats.org/officeDocument/2006/relationships/hyperlink" Target="https://www.google.com/search?q=site%3Autad.pt%20Matem&#225;tica%20Aplicada%20e%20Ci&#234;ncia%20de%20Dados%20licenciatura" TargetMode="External"/><Relationship Id="rId5260" Type="http://schemas.openxmlformats.org/officeDocument/2006/relationships/hyperlink" Target="https://www.google.com/search?q=site%3Aualg.pt%20Marketing%20Digital%20CTeSP" TargetMode="External"/><Relationship Id="rId619" Type="http://schemas.openxmlformats.org/officeDocument/2006/relationships/hyperlink" Target="https://www.google.com/search?q=site%3Aispa.pt%20Bioinform&#225;tica%20licenciatura" TargetMode="External"/><Relationship Id="rId1249" Type="http://schemas.openxmlformats.org/officeDocument/2006/relationships/hyperlink" Target="https://www.google.com/search?q=site%3Aipc.pt%20Comunica&#231;&#227;o%20Organizacional%20licenciatura" TargetMode="External"/><Relationship Id="rId2854" Type="http://schemas.openxmlformats.org/officeDocument/2006/relationships/hyperlink" Target="https://www.google.com/search?q=site%3Aipam.pt%20Marketing%20Digital%20%28regime%20de%20ensino%20a%20dist&#226;ncia%29%20mestrado" TargetMode="External"/><Relationship Id="rId3905" Type="http://schemas.openxmlformats.org/officeDocument/2006/relationships/hyperlink" Target="https://www.google.com/search?q=site%3Aunl.pt%20Engenharia%20Eletrot&#233;cnica%20e%20de%20Computadores%20mestrado" TargetMode="External"/><Relationship Id="rId5120" Type="http://schemas.openxmlformats.org/officeDocument/2006/relationships/hyperlink" Target="https://www.google.com/search?q=site%3Autad.pt%20L&#237;nguas%20e%20Comunica&#231;&#227;o%20Digital%20mestrado" TargetMode="External"/><Relationship Id="rId95" Type="http://schemas.openxmlformats.org/officeDocument/2006/relationships/hyperlink" Target="https://www.google.com/search?q=site%3Ajoaodedeus.pt%20Educa&#231;&#227;o%20Especial%20e%20Educa&#231;&#227;o%20Inclusiva%3A%20Dom&#237;nio%20Cognitivo%20e%20Motor%20p&#243;s-gradua&#231;&#227;o" TargetMode="External"/><Relationship Id="rId826" Type="http://schemas.openxmlformats.org/officeDocument/2006/relationships/hyperlink" Target="https://www.google.com/search?q=site%3Aipluso.pt%20Sistemas%20de%20Telecomunica&#231;&#245;es%2C%20Eletr&#243;nica%20e%20Comunica&#231;&#245;es%20CTeSP" TargetMode="External"/><Relationship Id="rId1109" Type="http://schemas.openxmlformats.org/officeDocument/2006/relationships/hyperlink" Target="https://www.google.com/search?q=site%3Aipcb.pt%20Comunica&#231;&#227;o%20Audiovisual%20CTeSP" TargetMode="External"/><Relationship Id="rId1456" Type="http://schemas.openxmlformats.org/officeDocument/2006/relationships/hyperlink" Target="https://www.google.com/search?q=site%3Aipleiria.pt%20Educa&#231;&#227;o%20B&#225;sica%20licenciatura" TargetMode="External"/><Relationship Id="rId1663" Type="http://schemas.openxmlformats.org/officeDocument/2006/relationships/hyperlink" Target="https://www.google.com/search?q=site%3Aipl.pt%20Auditoria%20mestrado" TargetMode="External"/><Relationship Id="rId1870" Type="http://schemas.openxmlformats.org/officeDocument/2006/relationships/hyperlink" Target="https://www.google.com/search?q=site%3Aipsantarem.pt%20Educa&#231;&#227;o%20B&#225;sica%20licenciatura" TargetMode="External"/><Relationship Id="rId2507" Type="http://schemas.openxmlformats.org/officeDocument/2006/relationships/hyperlink" Target="https://www.google.com/search?q=site%3Aipca.pt%20Gest&#227;o%20Aut&#225;rquica%20mestrado" TargetMode="External"/><Relationship Id="rId2714" Type="http://schemas.openxmlformats.org/officeDocument/2006/relationships/hyperlink" Target="https://www.google.com/search?q=site%3Aipp.pt%20Dire&#231;&#227;o%20Hoteleira%20mestrado" TargetMode="External"/><Relationship Id="rId2921" Type="http://schemas.openxmlformats.org/officeDocument/2006/relationships/hyperlink" Target="https://www.google.com/search?q=site%3Aismt.pt%20Investiga&#231;&#227;o%20e%20Seguran&#231;a%20Contra%20Cat&#225;strofes%2C%20Crises%20e%20Acidentes%20&#8211;%203&#170;%20edi&#231;&#227;o%20p&#243;s-gradua&#231;&#227;o" TargetMode="External"/><Relationship Id="rId1316" Type="http://schemas.openxmlformats.org/officeDocument/2006/relationships/hyperlink" Target="https://www.google.com/search?q=site%3Aipc.pt%20Farm&#225;cia%20&#8211;%20especializa&#231;&#227;o%20em%20Farmacoterapia%20Aplicada%20mestrado" TargetMode="External"/><Relationship Id="rId1523" Type="http://schemas.openxmlformats.org/officeDocument/2006/relationships/hyperlink" Target="https://www.google.com/search?q=site%3Aipleiria.pt%20Educa&#231;&#227;o%20Pr&#233;-Escolar%20e%20Ensino%20do%201.&#186;%20Ciclo%20do%20Ensino%20B&#225;sico%20mestrado" TargetMode="External"/><Relationship Id="rId1730" Type="http://schemas.openxmlformats.org/officeDocument/2006/relationships/hyperlink" Target="https://www.google.com/search?q=site%3Aipl.pt%20Engenharia%20e%20Gest&#227;o%20de%20Risco%20de%20Desastres%20p&#243;s-gradua&#231;&#227;o" TargetMode="External"/><Relationship Id="rId4679" Type="http://schemas.openxmlformats.org/officeDocument/2006/relationships/hyperlink" Target="https://www.google.com/search?q=site%3Aulisboa.pt%20Ecologia%20e%20Gest&#227;o%20Ambiental%20mestrado" TargetMode="External"/><Relationship Id="rId4886" Type="http://schemas.openxmlformats.org/officeDocument/2006/relationships/hyperlink" Target="https://www.google.com/search?q=site%3Aulisboa.pt%20Applied%20Artificial%20Intelligence%20%26%20Machine%20Learning%20p&#243;s-gradua&#231;&#227;o" TargetMode="External"/><Relationship Id="rId22" Type="http://schemas.openxmlformats.org/officeDocument/2006/relationships/hyperlink" Target="https://www.google.com/search?q=site%3Auatlantica.pt%20P&#243;s-Gradua&#231;&#227;o%20em%20Gest&#227;o%20da%20Qualidade%20e%20Seguran&#231;a%20em%20Sa&#250;de%20p&#243;s-gradua&#231;&#227;o" TargetMode="External"/><Relationship Id="rId3488" Type="http://schemas.openxmlformats.org/officeDocument/2006/relationships/hyperlink" Target="https://www.google.com/search?q=site%3Aeuropeia.pt%20P&#243;s&#8209;Gradua&#231;&#227;o%20em%20Gastronomia%20Criativa%20p&#243;s-gradua&#231;&#227;o" TargetMode="External"/><Relationship Id="rId3695" Type="http://schemas.openxmlformats.org/officeDocument/2006/relationships/hyperlink" Target="https://www.google.com/search?q=site%3Alusofona.pt%20Gest&#227;o%20licenciatura" TargetMode="External"/><Relationship Id="rId4539" Type="http://schemas.openxmlformats.org/officeDocument/2006/relationships/hyperlink" Target="https://www.fd.ulisboa.pt/cursos/licenciatura" TargetMode="External"/><Relationship Id="rId4746" Type="http://schemas.openxmlformats.org/officeDocument/2006/relationships/hyperlink" Target="https://www.google.com/search?q=site%3Aulisboa.pt%20Estudos%20Comparatistas%20mestrado" TargetMode="External"/><Relationship Id="rId4953" Type="http://schemas.openxmlformats.org/officeDocument/2006/relationships/hyperlink" Target="https://www.google.com/search?q=site%3Aulisboa.pt%20Gest&#227;o%20de%20Projetos%20p&#243;s-gradua&#231;&#227;o" TargetMode="External"/><Relationship Id="rId2297" Type="http://schemas.openxmlformats.org/officeDocument/2006/relationships/hyperlink" Target="https://www.google.com/search?q=site%3Aipv.pt%20Apoio%20&#224;%20Inf&#226;ncia%20CTeSP" TargetMode="External"/><Relationship Id="rId3348" Type="http://schemas.openxmlformats.org/officeDocument/2006/relationships/hyperlink" Target="https://www.google.com/search?q=site%3Aucp.pt%20Cuidados%20&#224;%20Pessoa%20com%20Dispositivos%20de%20Acesso%20Vascular%20p&#243;s-gradua&#231;&#227;o" TargetMode="External"/><Relationship Id="rId3555" Type="http://schemas.openxmlformats.org/officeDocument/2006/relationships/hyperlink" Target="https://www.google.com/search?q=site%3Aufp.pt%20Mente%2C%20C&#233;rebro%20e%20Educa&#231;&#227;o%20p&#243;s-gradua&#231;&#227;o" TargetMode="External"/><Relationship Id="rId3762" Type="http://schemas.openxmlformats.org/officeDocument/2006/relationships/hyperlink" Target="https://www.google.com/search?q=site%3Alusofona.pt%20Contabilidade%20e%20Fiscalidade%20p&#243;s-gradua&#231;&#227;o" TargetMode="External"/><Relationship Id="rId4606" Type="http://schemas.openxmlformats.org/officeDocument/2006/relationships/hyperlink" Target="https://www.google.com/search?q=site%3Aulisboa.pt%20Qu&#237;mica%20Tecnol&#243;gica%20licenciatura" TargetMode="External"/><Relationship Id="rId4813" Type="http://schemas.openxmlformats.org/officeDocument/2006/relationships/hyperlink" Target="https://www.google.com/search?q=site%3Aulisboa.pt%20Nutri&#231;&#227;o%20Cl&#237;nica%20mestrado" TargetMode="External"/><Relationship Id="rId269" Type="http://schemas.openxmlformats.org/officeDocument/2006/relationships/hyperlink" Target="https://www.google.com/search?q=site%3Aesscvp.eu%20Enfermagem%20M&#233;dico-Cir&#250;rgica%20mestrado" TargetMode="External"/><Relationship Id="rId476" Type="http://schemas.openxmlformats.org/officeDocument/2006/relationships/hyperlink" Target="https://www.google.com/search?q=site%3Aiscte-iul.pt%20Gest&#227;o%20de%20Servi&#231;os%20de%20Sa&#250;de%20p&#243;s-gradua&#231;&#227;o%20executiva" TargetMode="External"/><Relationship Id="rId683" Type="http://schemas.openxmlformats.org/officeDocument/2006/relationships/hyperlink" Target="https://www.google.com/search?q=site%3Aiees.pt%20Educa&#231;&#227;o%20Social%20licenciatura" TargetMode="External"/><Relationship Id="rId890" Type="http://schemas.openxmlformats.org/officeDocument/2006/relationships/hyperlink" Target="https://www.google.com/search?q=site%3Aipbeja.pt%20Tecnologia%20e%20Inova&#231;&#227;o%20Alimentar%20CTeSP" TargetMode="External"/><Relationship Id="rId2157" Type="http://schemas.openxmlformats.org/officeDocument/2006/relationships/hyperlink" Target="https://www.google.com/search?q=site%3Aipvc.pt%20Alimenta&#231;&#227;o%20e%20Restaura&#231;&#227;o%20Coletiva%20CTeSP" TargetMode="External"/><Relationship Id="rId2364" Type="http://schemas.openxmlformats.org/officeDocument/2006/relationships/hyperlink" Target="https://www.google.com/search?q=site%3Aipv.pt%20Publicidade%20e%20Rela&#231;&#245;es%20P&#250;blicas%20licenciatura" TargetMode="External"/><Relationship Id="rId2571" Type="http://schemas.openxmlformats.org/officeDocument/2006/relationships/hyperlink" Target="https://www.google.com/search?q=site%3Aipp.pt%20Culturas%20e%20Manuten&#231;&#227;o%20Laboratorial%20CTeSP" TargetMode="External"/><Relationship Id="rId3208" Type="http://schemas.openxmlformats.org/officeDocument/2006/relationships/hyperlink" Target="https://www.google.com/search?q=site%3Aautonoma.pt%20Engenharia%20Inform&#225;tica%20e%20de%20Telecomunica&#231;&#245;es%20mestrado" TargetMode="External"/><Relationship Id="rId3415" Type="http://schemas.openxmlformats.org/officeDocument/2006/relationships/hyperlink" Target="https://www.google.com/search?q=site%3Aeuropeia.pt%20Inform&#225;tica%20de%20Gest&#227;o%20licenciatura" TargetMode="External"/><Relationship Id="rId129" Type="http://schemas.openxmlformats.org/officeDocument/2006/relationships/hyperlink" Target="https://www.google.com/search?q=site%3Aesesfm.pt%20Cuidados%20Paliativos%20p&#243;s-gradua&#231;&#227;o" TargetMode="External"/><Relationship Id="rId336" Type="http://schemas.openxmlformats.org/officeDocument/2006/relationships/hyperlink" Target="https://www.google.com/search?q=site%3Aess.ufp.pt%20Inova&#231;&#227;o%20Tecnol&#243;gica%20em%20Sa&#250;de%3A%20Instrumenta&#231;&#227;o%20e%20Avalia&#231;&#227;o%20em%20Higiene%20Ocupacional%20e%20Ambiental%20p&#243;s-gradua&#231;&#227;o" TargetMode="External"/><Relationship Id="rId543" Type="http://schemas.openxmlformats.org/officeDocument/2006/relationships/hyperlink" Target="https://www.google.com/search?q=site%3Aiseclisboa.pt%20Sistemas%20de%20Gest&#227;o%20da%20Qualidade%20CTeSP" TargetMode="External"/><Relationship Id="rId1173" Type="http://schemas.openxmlformats.org/officeDocument/2006/relationships/hyperlink" Target="https://www.google.com/search?q=site%3Aipcb.pt%20Engenharia%20Civil%20mestrado" TargetMode="External"/><Relationship Id="rId1380" Type="http://schemas.openxmlformats.org/officeDocument/2006/relationships/hyperlink" Target="https://www.google.com/search?q=site%3Aipleiria.pt%20An&#225;lises%20Laboratoriais%20CTeSP" TargetMode="External"/><Relationship Id="rId2017" Type="http://schemas.openxmlformats.org/officeDocument/2006/relationships/hyperlink" Target="https://www.google.com/search?q=site%3Aips.pt%20Gest&#227;o%20de%20Sistemas%20de%20Informa&#231;&#227;o%20licenciatura" TargetMode="External"/><Relationship Id="rId2224" Type="http://schemas.openxmlformats.org/officeDocument/2006/relationships/hyperlink" Target="https://www.google.com/search?q=site%3Aipvc.pt%20Engenharia%20do%20Ambiente%20e%20Geoinform&#225;tica%20licenciatura" TargetMode="External"/><Relationship Id="rId3622" Type="http://schemas.openxmlformats.org/officeDocument/2006/relationships/hyperlink" Target="https://www.google.com/search?q=site%3Aulusiada.pt%20Enfermagem%20do%20Trabalho%20&#8211;%206.&#170;%20edi&#231;&#227;o%20p&#243;s-gradua&#231;&#227;o" TargetMode="External"/><Relationship Id="rId5587" Type="http://schemas.openxmlformats.org/officeDocument/2006/relationships/hyperlink" Target="https://www.google.com/search?q=site%3Aup.pt%20Filosofia%20mestrado" TargetMode="External"/><Relationship Id="rId403" Type="http://schemas.openxmlformats.org/officeDocument/2006/relationships/hyperlink" Target="https://www.google.com/search?q=site%3Aisave.pt%20Fisioterapia%20Oncol&#243;gica%20p&#243;s-gradua&#231;&#227;o" TargetMode="External"/><Relationship Id="rId750" Type="http://schemas.openxmlformats.org/officeDocument/2006/relationships/hyperlink" Target="https://www.google.com/search?q=site%3Aipg.pt%20Ci&#234;ncia%20de%20Dados%20e%20Intelig&#234;ncia%20Artificial%20licenciatura" TargetMode="External"/><Relationship Id="rId1033" Type="http://schemas.openxmlformats.org/officeDocument/2006/relationships/hyperlink" Target="https://www.google.com/search?q=site%3Aipb.pt%20Solicitadoria%20licenciatura" TargetMode="External"/><Relationship Id="rId2431" Type="http://schemas.openxmlformats.org/officeDocument/2006/relationships/hyperlink" Target="https://www.google.com/search?q=site%3Aipca.pt%20Energias%20Renov&#225;veis%20e%20Sistemas%20Sustent&#225;veis%20CTeSP" TargetMode="External"/><Relationship Id="rId4189" Type="http://schemas.openxmlformats.org/officeDocument/2006/relationships/hyperlink" Target="https://www.google.com/search?q=site%3Aismai.pt%20Tecnologias%20da%20Informa&#231;&#227;o%2C%20Comunica&#231;&#227;o%20e%20Multim&#233;dia%20mestrado" TargetMode="External"/><Relationship Id="rId5794" Type="http://schemas.openxmlformats.org/officeDocument/2006/relationships/hyperlink" Target="https://www.google.com/search?q=site%3Aium.pt%20Administra&#231;&#227;o%20da%20Guarda%20Nacional%20Republicana%20mestrado%20integrado" TargetMode="External"/><Relationship Id="rId610" Type="http://schemas.openxmlformats.org/officeDocument/2006/relationships/hyperlink" Target="https://www.google.com/search?q=site%3Aisla.pt%20Gest&#227;o%20de%20Projetos%20para%20Empreendedorismo%20e%20Inova&#231;&#227;o%20p&#243;s-gradua&#231;&#227;o" TargetMode="External"/><Relationship Id="rId1240" Type="http://schemas.openxmlformats.org/officeDocument/2006/relationships/hyperlink" Target="https://www.google.com/search?q=site%3Aipc.pt%20Arte%20e%20Design%20licenciatura" TargetMode="External"/><Relationship Id="rId4049" Type="http://schemas.openxmlformats.org/officeDocument/2006/relationships/hyperlink" Target="https://www.google.com/search?q=site%3Aunl.pt%20Direito%20Tutelar%20Educativo%20p&#243;s-gradua&#231;&#227;o" TargetMode="External"/><Relationship Id="rId4396" Type="http://schemas.openxmlformats.org/officeDocument/2006/relationships/hyperlink" Target="https://www.google.com/search?q=site%3Auc.pt%20Ensino%20de%20F&#237;sica%20e%20de%20Qu&#237;mica%20no%203.&#186;%20Ciclo%20do%20Ensino%20B&#225;sico%20e%20no%20Ensino%20Secund&#225;rio%20mestrado" TargetMode="External"/><Relationship Id="rId5447" Type="http://schemas.openxmlformats.org/officeDocument/2006/relationships/hyperlink" Target="https://www.google.com/search?q=site%3Aup.pt%20Engenharia%20do%20Ambiente%20licenciatura" TargetMode="External"/><Relationship Id="rId5654" Type="http://schemas.openxmlformats.org/officeDocument/2006/relationships/hyperlink" Target="https://www.google.com/search?q=site%3Aup.pt%20Sistemas%20de%20Informa&#231;&#227;o%20Geogr&#225;fica%20e%20Ordenamento%20do%20Territ&#243;rio%20mestrado" TargetMode="External"/><Relationship Id="rId1100" Type="http://schemas.openxmlformats.org/officeDocument/2006/relationships/hyperlink" Target="https://www.google.com/search?q=site%3Aipb.pt%20Marketing%20Digital%20p&#243;s-gradua&#231;&#227;o" TargetMode="External"/><Relationship Id="rId4256" Type="http://schemas.openxmlformats.org/officeDocument/2006/relationships/hyperlink" Target="https://www.google.com/search?q=site%3Aua.pt%20Finan&#231;as%20mestrado" TargetMode="External"/><Relationship Id="rId4463" Type="http://schemas.openxmlformats.org/officeDocument/2006/relationships/hyperlink" Target="https://www.google.com/search?q=site%3Auc.pt%20Psicologia%20Cl&#237;nica%20Forense%20mestrado" TargetMode="External"/><Relationship Id="rId4670" Type="http://schemas.openxmlformats.org/officeDocument/2006/relationships/hyperlink" Target="https://www.google.com/search?q=site%3Aulisboa.pt%20Design%2C%20Territ&#243;rio%2C%20Identidade%20e%20Bens%20Culturais%20%28Erasmus%20Mundus%29%20mestrado" TargetMode="External"/><Relationship Id="rId5307" Type="http://schemas.openxmlformats.org/officeDocument/2006/relationships/hyperlink" Target="https://www.google.com/search?q=site%3Aualg.pt%20Imagem%20Animada%20licenciatura" TargetMode="External"/><Relationship Id="rId5514" Type="http://schemas.openxmlformats.org/officeDocument/2006/relationships/hyperlink" Target="https://www.google.com/search?q=site%3Aup.pt%20Controlo%20da%20Qualidade%20mestrado" TargetMode="External"/><Relationship Id="rId5721" Type="http://schemas.openxmlformats.org/officeDocument/2006/relationships/hyperlink" Target="https://www.google.com/search?q=site%3Auac.pt%20Enfermagem%20Veterin&#225;ria%20Cl&#237;nica%20mestrado" TargetMode="External"/><Relationship Id="rId1917" Type="http://schemas.openxmlformats.org/officeDocument/2006/relationships/hyperlink" Target="https://www.google.com/search?q=site%3Acespu.pt%20Bioan&#225;lises%20e%20Controlo%20CTeSP" TargetMode="External"/><Relationship Id="rId3065" Type="http://schemas.openxmlformats.org/officeDocument/2006/relationships/hyperlink" Target="https://www.google.com/search?q=site%3Aisvouga.pt%20Transforma&#231;&#227;o%20Digital%20p&#243;s-gradua&#231;&#227;o" TargetMode="External"/><Relationship Id="rId3272" Type="http://schemas.openxmlformats.org/officeDocument/2006/relationships/hyperlink" Target="https://www.google.com/search?q=site%3Aucp.pt%20Ci&#234;ncias%20da%20Educa&#231;&#227;o%20-%20Administra&#231;&#227;o%20e%20Organiza&#231;&#227;o%20Escolar%20mestrado" TargetMode="External"/><Relationship Id="rId4116" Type="http://schemas.openxmlformats.org/officeDocument/2006/relationships/hyperlink" Target="https://www.google.com/search?q=site%3Aupt.pt%20Fundamentos%20Cl&#237;nicos%20para%20a%20Gest&#227;o%20Hospitalar%20p&#243;s-gradua&#231;&#227;o" TargetMode="External"/><Relationship Id="rId4323" Type="http://schemas.openxmlformats.org/officeDocument/2006/relationships/hyperlink" Target="https://www.google.com/search?q=site%3Auc.pt%20Qu&#237;mica%20licenciatura" TargetMode="External"/><Relationship Id="rId4530" Type="http://schemas.openxmlformats.org/officeDocument/2006/relationships/hyperlink" Target="https://www.google.com/search?q=site%3Aulisboa.pt%20Ci&#234;ncias%20da%20Nutri&#231;&#227;o%20licenciatura" TargetMode="External"/><Relationship Id="rId193" Type="http://schemas.openxmlformats.org/officeDocument/2006/relationships/hyperlink" Target="https://www.google.com/search?q=site%3Aesna.pt%20P&#243;s&#8209;Gradua&#231;&#227;o%20em%20Gest&#227;o%20e%20Neg&#243;cios%20&#8211;%20100%25%20online%20%28MBA%20Gest&#227;o%20e%20Neg&#243;cios%29%20p&#243;s-gradua&#231;&#227;o%20executiva" TargetMode="External"/><Relationship Id="rId2081" Type="http://schemas.openxmlformats.org/officeDocument/2006/relationships/hyperlink" Target="https://www.google.com/search?q=site%3Aipt.pt%20Design%20e%20Desenvolvimento%20do%20Produto%20CTeSP" TargetMode="External"/><Relationship Id="rId3132" Type="http://schemas.openxmlformats.org/officeDocument/2006/relationships/hyperlink" Target="https://www.google.com/search?q=site%3Acespu.pt%20Medicina%20e%20Patologia%20Oral%20&#8211;%208.&#170;%20edi&#231;&#227;o%20p&#243;s-gradua&#231;&#227;o" TargetMode="External"/><Relationship Id="rId260" Type="http://schemas.openxmlformats.org/officeDocument/2006/relationships/hyperlink" Target="https://www.google.com/search?q=site%3Aegasmoniz.edu.pt%20Sa&#250;de%20Orofacial%20na%20Primeira%20Inf&#226;ncia%20&#8211;%20&#8220;EarlySmile&#8221;%20p&#243;s-gradua&#231;&#227;o" TargetMode="External"/><Relationship Id="rId5097" Type="http://schemas.openxmlformats.org/officeDocument/2006/relationships/hyperlink" Target="https://www.google.com/search?q=site%3Autad.pt%20Engenharia%20Florestal%20mestrado" TargetMode="External"/><Relationship Id="rId120" Type="http://schemas.openxmlformats.org/officeDocument/2006/relationships/hyperlink" Target="https://www.google.com/search?q=site%3Aesepf.pt%20Ensino%20do%201.&#186;%20Ciclo%20do%20Ensino%20B&#225;sico%20e%20de%20Portugu&#234;s%20e%20Hist&#243;ria%20e%20Geografia%20de%20Portugal%20no%202.&#186;%20Ciclo%20do%20Ensino%20B&#225;sico%20mestrado" TargetMode="External"/><Relationship Id="rId2898" Type="http://schemas.openxmlformats.org/officeDocument/2006/relationships/hyperlink" Target="https://www.google.com/search?q=site%3Aismat.pt%20Engenharia%20Inform&#225;tica%20licenciatura" TargetMode="External"/><Relationship Id="rId3949" Type="http://schemas.openxmlformats.org/officeDocument/2006/relationships/hyperlink" Target="https://www.google.com/search?q=site%3Aunl.pt%20Gest&#227;o%20-%20Executivo%20Avan&#231;ado%20mestrado" TargetMode="External"/><Relationship Id="rId5164" Type="http://schemas.openxmlformats.org/officeDocument/2006/relationships/hyperlink" Target="https://www.google.com/search?q=site%3Auevora.pt%20Geografia%20licenciatura" TargetMode="External"/><Relationship Id="rId2758" Type="http://schemas.openxmlformats.org/officeDocument/2006/relationships/hyperlink" Target="https://www.google.com/search?q=site%3Aipp.pt%20Higiene%20e%20Seguran&#231;a%20das%20Organiza&#231;&#245;es%20mestrado" TargetMode="External"/><Relationship Id="rId2965" Type="http://schemas.openxmlformats.org/officeDocument/2006/relationships/hyperlink" Target="https://www.google.com/search?q=site%3Aisced.pt%20Design%20de%20Produto%20CTeSP" TargetMode="External"/><Relationship Id="rId3809" Type="http://schemas.openxmlformats.org/officeDocument/2006/relationships/hyperlink" Target="https://www.google.com/search?q=site%3Aunl.pt%20Ci&#234;ncia%20Pol&#237;tica%20e%20Rela&#231;&#245;es%20Internacionais%20licenciatura" TargetMode="External"/><Relationship Id="rId5024" Type="http://schemas.openxmlformats.org/officeDocument/2006/relationships/hyperlink" Target="https://www.google.com/search?q=site%3Autad.pt%20Ci&#234;ncias%20Biom&#233;dicas%20licenciatura" TargetMode="External"/><Relationship Id="rId5371" Type="http://schemas.openxmlformats.org/officeDocument/2006/relationships/hyperlink" Target="https://www.google.com/search?q=site%3Aualg.pt%20Gest&#227;o%2C%20Empreendedorismo%20e%20Inova&#231;&#227;o%20mestrado" TargetMode="External"/><Relationship Id="rId937" Type="http://schemas.openxmlformats.org/officeDocument/2006/relationships/hyperlink" Target="https://www.google.com/search?q=site%3Aipbeja.pt%20Turismo%20Sustent&#225;vel%20e%20Bem-Estar%20%2860%20ECTS%29%20p&#243;s-gradua&#231;&#227;o" TargetMode="External"/><Relationship Id="rId1567" Type="http://schemas.openxmlformats.org/officeDocument/2006/relationships/hyperlink" Target="https://www.google.com/search?q=site%3Aipleiria.pt%20Turismo%20e%20Ambiente%20mestrado" TargetMode="External"/><Relationship Id="rId1774" Type="http://schemas.openxmlformats.org/officeDocument/2006/relationships/hyperlink" Target="https://www.google.com/search?q=site%3Aipportalegre.pt%20Tecnologias%20de%20Produ&#231;&#227;o%20Agropecu&#225;ria%20CTeSP" TargetMode="External"/><Relationship Id="rId1981" Type="http://schemas.openxmlformats.org/officeDocument/2006/relationships/hyperlink" Target="https://www.google.com/search?q=site%3Aips.pt%20Manuten&#231;&#227;o%20Industrial%20CTeSP" TargetMode="External"/><Relationship Id="rId2618" Type="http://schemas.openxmlformats.org/officeDocument/2006/relationships/hyperlink" Target="https://www.google.com/search?q=site%3Aipp.pt%20Vendas%20para%20Mercados%20Internacionais%20CTeSP" TargetMode="External"/><Relationship Id="rId2825" Type="http://schemas.openxmlformats.org/officeDocument/2006/relationships/hyperlink" Target="https://www.google.com/search?q=site%3Aipp.pt%20Marketing%20B2B%3A%20Digital%2C%20Dados%20e%20Intelig&#234;ncia%20Artificial%20p&#243;s-gradua&#231;&#227;o" TargetMode="External"/><Relationship Id="rId4180" Type="http://schemas.openxmlformats.org/officeDocument/2006/relationships/hyperlink" Target="https://www.google.com/search?q=site%3Aismai.pt%20Exerc&#237;cio%20e%20Sa&#250;de%20mestrado" TargetMode="External"/><Relationship Id="rId5231" Type="http://schemas.openxmlformats.org/officeDocument/2006/relationships/hyperlink" Target="https://www.google.com/search?q=site%3Auevora.pt%20Geoarqueologia%20p&#243;s-gradua&#231;&#227;o" TargetMode="External"/><Relationship Id="rId66" Type="http://schemas.openxmlformats.org/officeDocument/2006/relationships/hyperlink" Target="https://www.google.com/search?q=site%3Aesai.pt%20Constru&#231;&#227;o%20Civil%20CTeSP" TargetMode="External"/><Relationship Id="rId1427" Type="http://schemas.openxmlformats.org/officeDocument/2006/relationships/hyperlink" Target="https://www.google.com/search?q=site%3Aipleiria.pt%20Redes%20e%20Sistemas%20Inform&#225;ticos%20CTeSP" TargetMode="External"/><Relationship Id="rId1634" Type="http://schemas.openxmlformats.org/officeDocument/2006/relationships/hyperlink" Target="https://www.google.com/search?q=site%3Aipl.pt%20Engenharia%20Inform&#225;tica%2C%20Redes%20e%20Telecomunica&#231;&#245;es%20licenciatura" TargetMode="External"/><Relationship Id="rId1841" Type="http://schemas.openxmlformats.org/officeDocument/2006/relationships/hyperlink" Target="https://www.google.com/search?q=site%3Aipsantarem.pt%20Jogos%20Eletr&#243;nicos%20e%20Competi&#231;&#245;es%20Desportivas%20Digitais%20CTeSP" TargetMode="External"/><Relationship Id="rId4040" Type="http://schemas.openxmlformats.org/officeDocument/2006/relationships/hyperlink" Target="https://www.google.com/search?q=site%3Aunl.pt%20Compliance%20para%20Preven&#231;&#227;o%20da%20Corrup&#231;&#227;o%20p&#243;s-gradua&#231;&#227;o" TargetMode="External"/><Relationship Id="rId4997" Type="http://schemas.openxmlformats.org/officeDocument/2006/relationships/hyperlink" Target="https://www.google.com/search?q=site%3Aulisboa.pt%20P&#243;s-Gradua&#231;&#227;o%20em%20Justi&#231;a%20e%20Arbitragem%20Internacionais%20p&#243;s-gradua&#231;&#227;o" TargetMode="External"/><Relationship Id="rId3599" Type="http://schemas.openxmlformats.org/officeDocument/2006/relationships/hyperlink" Target="https://www.google.com/search?q=site%3Aulusiada.pt%20Economia%20da%20Empresa%20mestrado" TargetMode="External"/><Relationship Id="rId4857" Type="http://schemas.openxmlformats.org/officeDocument/2006/relationships/hyperlink" Target="https://www.google.com/search?q=site%3Aulisboa.pt%20Treino%20Desportivo%20de%20Alto%20Rendimento%20mestrado" TargetMode="External"/><Relationship Id="rId1701" Type="http://schemas.openxmlformats.org/officeDocument/2006/relationships/hyperlink" Target="https://www.google.com/search?q=site%3Aipl.pt%20Jogo%2C%20Brinquedos%20e%20Linguagens%20na%20Educa&#231;&#227;o%20de%20Inf&#226;ncia%20%28Erasmus%20Mundus%29%20mestrado" TargetMode="External"/><Relationship Id="rId3459" Type="http://schemas.openxmlformats.org/officeDocument/2006/relationships/hyperlink" Target="https://www.google.com/search?q=site%3Aeuropeia.pt%20Gest&#227;o%20de%20Recursos%20Humanos%20mestrado" TargetMode="External"/><Relationship Id="rId3666" Type="http://schemas.openxmlformats.org/officeDocument/2006/relationships/hyperlink" Target="https://www.google.com/search?q=site%3Alusofona.pt%20Computa&#231;&#227;o%20e%20Matem&#225;tica%20Aplicada%20licenciatura" TargetMode="External"/><Relationship Id="rId587" Type="http://schemas.openxmlformats.org/officeDocument/2006/relationships/hyperlink" Target="https://www.google.com/search?q=site%3Aiseclisboa.pt%20Terapia%20Visual%20e%20Treino%20Visual%20Desportivo%20p&#243;s-gradua&#231;&#227;o" TargetMode="External"/><Relationship Id="rId2268" Type="http://schemas.openxmlformats.org/officeDocument/2006/relationships/hyperlink" Target="https://www.google.com/search?q=site%3Aipvc.pt%20Gerontologia%20Social%20mestrado" TargetMode="External"/><Relationship Id="rId3319" Type="http://schemas.openxmlformats.org/officeDocument/2006/relationships/hyperlink" Target="https://www.google.com/search?q=site%3Aucp.pt%20Lideran&#231;a%20&#8211;%20Executivo%20mestrado" TargetMode="External"/><Relationship Id="rId3873" Type="http://schemas.openxmlformats.org/officeDocument/2006/relationships/hyperlink" Target="https://www.google.com/search?q=site%3Aunl.pt%20Ci&#234;ncia%20de%20Dados%20e%20M&#233;todos%20Anal&#237;ticos%20Avan&#231;ados%20mestrado" TargetMode="External"/><Relationship Id="rId4717" Type="http://schemas.openxmlformats.org/officeDocument/2006/relationships/hyperlink" Target="https://www.google.com/search?q=site%3Aulisboa.pt%20Engenharia%20do%20Ambiente%20mestrado" TargetMode="External"/><Relationship Id="rId4924" Type="http://schemas.openxmlformats.org/officeDocument/2006/relationships/hyperlink" Target="https://www.google.com/search?q=site%3Aulisboa.pt%20Curso%20p&#243;s-graduado%20de%20especializa&#231;&#227;o%20em%20Endodontia%20p&#243;s-gradua&#231;&#227;o" TargetMode="External"/><Relationship Id="rId447" Type="http://schemas.openxmlformats.org/officeDocument/2006/relationships/hyperlink" Target="https://www.google.com/search?q=site%3Aiscte-iul.pt%20Tecnologias%20Digitais%20e%20Sa&#250;de%20licenciatura" TargetMode="External"/><Relationship Id="rId794" Type="http://schemas.openxmlformats.org/officeDocument/2006/relationships/hyperlink" Target="https://www.google.com/search?q=site%3Aipg.pt%20Sistemas%20de%20Informa&#231;&#227;o%20Geogr&#225;fica%20mestrado" TargetMode="External"/><Relationship Id="rId1077" Type="http://schemas.openxmlformats.org/officeDocument/2006/relationships/hyperlink" Target="https://www.google.com/search?q=site%3Aipb.pt%20Patrim&#243;nio%20Cultural%2C%20Sustentabilidade%20e%20Inova&#231;&#227;o%20mestrado" TargetMode="External"/><Relationship Id="rId2128" Type="http://schemas.openxmlformats.org/officeDocument/2006/relationships/hyperlink" Target="https://www.google.com/search?q=site%3Aipt.pt%20Arqueologia%20Pr&#233;&#8209;Hist&#243;rica%20e%20Arte%20Rupestre%20mestrado" TargetMode="External"/><Relationship Id="rId2475" Type="http://schemas.openxmlformats.org/officeDocument/2006/relationships/hyperlink" Target="https://www.google.com/search?q=site%3Aipca.pt%20Contabilidade%20licenciatura" TargetMode="External"/><Relationship Id="rId2682" Type="http://schemas.openxmlformats.org/officeDocument/2006/relationships/hyperlink" Target="https://www.google.com/search?q=site%3Aipp.pt%20Teatro%2C%20variante%20Cenografia%20licenciatura" TargetMode="External"/><Relationship Id="rId3526" Type="http://schemas.openxmlformats.org/officeDocument/2006/relationships/hyperlink" Target="https://www.google.com/search?q=site%3Aufp.pt%20Criminologia%20%28regime%20de%20ensino%20a%20dist&#226;ncia%29%20mestrado" TargetMode="External"/><Relationship Id="rId3733" Type="http://schemas.openxmlformats.org/officeDocument/2006/relationships/hyperlink" Target="https://www.google.com/search?q=site%3Alusofona.pt%20Direito%20mestrado" TargetMode="External"/><Relationship Id="rId3940" Type="http://schemas.openxmlformats.org/officeDocument/2006/relationships/hyperlink" Target="https://www.google.com/search?q=site%3Aunl.pt%20Finan&#231;as%20mestrado" TargetMode="External"/><Relationship Id="rId654" Type="http://schemas.openxmlformats.org/officeDocument/2006/relationships/hyperlink" Target="https://www.google.com/search?q=site%3Aistec.pt%20Inform&#225;tica%20mestrado" TargetMode="External"/><Relationship Id="rId861" Type="http://schemas.openxmlformats.org/officeDocument/2006/relationships/hyperlink" Target="https://www.google.com/search?q=site%3Aipmaia.pt%20Desporto%20e%20Turismo%20de%20Natureza%20CTeSP" TargetMode="External"/><Relationship Id="rId1284" Type="http://schemas.openxmlformats.org/officeDocument/2006/relationships/hyperlink" Target="https://www.google.com/search?q=site%3Aipc.pt%20Tecnologia%20e%20Gest&#227;o%20do%20Ambiente%20licenciatura" TargetMode="External"/><Relationship Id="rId1491" Type="http://schemas.openxmlformats.org/officeDocument/2006/relationships/hyperlink" Target="https://www.google.com/search?q=site%3Aipleiria.pt%20Tradu&#231;&#227;o%20e%20Interpreta&#231;&#227;o%3A%20Portugu&#234;s/Chin&#234;s%20-%20Chin&#234;s/Portugu&#234;s%20licenciatura" TargetMode="External"/><Relationship Id="rId2335" Type="http://schemas.openxmlformats.org/officeDocument/2006/relationships/hyperlink" Target="https://www.google.com/search?q=site%3Aipv.pt%20Viticultura%20e%20Enologia%20CTeSP" TargetMode="External"/><Relationship Id="rId2542" Type="http://schemas.openxmlformats.org/officeDocument/2006/relationships/hyperlink" Target="https://www.google.com/search?q=site%3Aipca.pt%20Direito%20dos%20Registos%20e%20Notariado%20p&#243;s-gradua&#231;&#227;o" TargetMode="External"/><Relationship Id="rId3800" Type="http://schemas.openxmlformats.org/officeDocument/2006/relationships/hyperlink" Target="https://www.google.com/search?q=site%3Alusofona.pt%20Seguran&#231;a%20e%20Higiene%20do%20Trabalho%20p&#243;s-gradua&#231;&#227;o" TargetMode="External"/><Relationship Id="rId5698" Type="http://schemas.openxmlformats.org/officeDocument/2006/relationships/hyperlink" Target="https://www.google.com/search?q=site%3Auac.pt%20Estudos%20Europeus%20licenciatura" TargetMode="External"/><Relationship Id="rId307" Type="http://schemas.openxmlformats.org/officeDocument/2006/relationships/hyperlink" Target="https://www.google.com/search?q=site%3Aesscvp.eu%20Enfermagem%20de%20Sa&#250;de%20Infantil%20e%20Pedi&#225;trica%20mestrado" TargetMode="External"/><Relationship Id="rId514" Type="http://schemas.openxmlformats.org/officeDocument/2006/relationships/hyperlink" Target="https://www.google.com/search?q=site%3Aisec.pt%20Engenharia%20Civil%20&#8211;%20especializa&#231;&#227;o%20em%20Constru&#231;&#227;o%20Urbana%20mestrado" TargetMode="External"/><Relationship Id="rId721" Type="http://schemas.openxmlformats.org/officeDocument/2006/relationships/hyperlink" Target="https://www.google.com/search?q=site%3Aipg.pt%20Educa&#231;&#227;o%20e%20Tecnologias%20da%20Informa&#231;&#227;o%20e%20Comunica&#231;&#227;o%20CTeSP" TargetMode="External"/><Relationship Id="rId1144" Type="http://schemas.openxmlformats.org/officeDocument/2006/relationships/hyperlink" Target="https://www.google.com/search?q=site%3Aipcb.pt%20Engenharia%20Inform&#225;tica%20licenciatura" TargetMode="External"/><Relationship Id="rId1351" Type="http://schemas.openxmlformats.org/officeDocument/2006/relationships/hyperlink" Target="https://www.google.com/search?q=site%3Aipc.pt%20Ecografia%20nos%20Cuidados%20de%20Sa&#250;de%20Prim&#225;rios%20p&#243;s-gradua&#231;&#227;o" TargetMode="External"/><Relationship Id="rId2402" Type="http://schemas.openxmlformats.org/officeDocument/2006/relationships/hyperlink" Target="https://www.google.com/search?q=site%3Aipv.pt%20Qualidade%20e%20Tecnologia%20Alimentar%20mestrado" TargetMode="External"/><Relationship Id="rId5558" Type="http://schemas.openxmlformats.org/officeDocument/2006/relationships/hyperlink" Target="https://www.google.com/search?q=site%3Aup.pt%20Engenharia%20de%20Viticultura%20e%20Enologia%20mestrado" TargetMode="External"/><Relationship Id="rId5765" Type="http://schemas.openxmlformats.org/officeDocument/2006/relationships/hyperlink" Target="https://www.google.com/search?q=site%3Auac.pt%20P&#243;s&#8209;Gradua&#231;&#227;o%20em%20Ci&#234;ncia%2C%20Tecnologia%20e%20Seguran&#231;a%20Alimentar%20p&#243;s-gradua&#231;&#227;o" TargetMode="External"/><Relationship Id="rId1004" Type="http://schemas.openxmlformats.org/officeDocument/2006/relationships/hyperlink" Target="https://www.google.com/search?q=site%3Aipb.pt%20Enfermagem%20Veterin&#225;ria%20licenciatura" TargetMode="External"/><Relationship Id="rId1211" Type="http://schemas.openxmlformats.org/officeDocument/2006/relationships/hyperlink" Target="https://www.google.com/search?q=site%3Aipc.pt%20Defesa%20da%20Floresta%20CTeSP" TargetMode="External"/><Relationship Id="rId4367" Type="http://schemas.openxmlformats.org/officeDocument/2006/relationships/hyperlink" Target="https://www.google.com/search?q=site%3Auc.pt%20ENGENHARIA%20E%20GEST&#195;O%20INDUSTRIAL%20mestrado" TargetMode="External"/><Relationship Id="rId4574" Type="http://schemas.openxmlformats.org/officeDocument/2006/relationships/hyperlink" Target="https://www.google.com/search?q=site%3Aulisboa.pt%20Estudos%20Africanos%20licenciatura" TargetMode="External"/><Relationship Id="rId4781" Type="http://schemas.openxmlformats.org/officeDocument/2006/relationships/hyperlink" Target="https://www.google.com/search?q=site%3Aulisboa.pt%20Informa&#231;&#227;o%20e%20Sistemas%20Empresariais%20mestrado" TargetMode="External"/><Relationship Id="rId5418" Type="http://schemas.openxmlformats.org/officeDocument/2006/relationships/hyperlink" Target="https://www.google.com/search?q=site%3Aup.pt%20Bioqu&#237;mica%20licenciatura" TargetMode="External"/><Relationship Id="rId5625" Type="http://schemas.openxmlformats.org/officeDocument/2006/relationships/hyperlink" Target="https://www.google.com/search?q=site%3Aup.pt%20Multim&#233;dia%20mestrado" TargetMode="External"/><Relationship Id="rId3176" Type="http://schemas.openxmlformats.org/officeDocument/2006/relationships/hyperlink" Target="https://www.google.com/search?q=site%3Auab.pt%20Estudos%20sobre%20a%20Europa%20mestrado" TargetMode="External"/><Relationship Id="rId3383" Type="http://schemas.openxmlformats.org/officeDocument/2006/relationships/hyperlink" Target="https://www.google.com/search?q=site%3Aeuropeia.pt%20Ci&#234;ncia%20Pol&#237;tica%20licenciatura" TargetMode="External"/><Relationship Id="rId3590" Type="http://schemas.openxmlformats.org/officeDocument/2006/relationships/hyperlink" Target="https://www.google.com/search?q=site%3Aulusiada.pt%20Servi&#231;o%20Social%20licenciatura" TargetMode="External"/><Relationship Id="rId4227" Type="http://schemas.openxmlformats.org/officeDocument/2006/relationships/hyperlink" Target="https://www.google.com/search?q=site%3Aua.pt%20Automa&#231;&#227;o%20e%20Sistemas%20de%20Produ&#231;&#227;o%20licenciatura" TargetMode="External"/><Relationship Id="rId4434" Type="http://schemas.openxmlformats.org/officeDocument/2006/relationships/hyperlink" Target="https://www.google.com/search?q=site%3Auc.pt%20Hist&#243;ria%20da%20Arte%20e%20Patrim&#243;nio%20mestrado" TargetMode="External"/><Relationship Id="rId2192" Type="http://schemas.openxmlformats.org/officeDocument/2006/relationships/hyperlink" Target="https://www.google.com/search?q=site%3Aipvc.pt%20Redes%20e%20Sistemas%20Inform&#225;ticos%20CTeSP" TargetMode="External"/><Relationship Id="rId3036" Type="http://schemas.openxmlformats.org/officeDocument/2006/relationships/hyperlink" Target="https://www.google.com/search?q=site%3Aiscia.pt%20Gest&#227;o%20de%20Emerg&#234;ncia%20e%20Socorro%20mestrado" TargetMode="External"/><Relationship Id="rId3243" Type="http://schemas.openxmlformats.org/officeDocument/2006/relationships/hyperlink" Target="https://www.google.com/search?q=site%3Aucp.pt%20Filosofia%20licenciatura" TargetMode="External"/><Relationship Id="rId4641" Type="http://schemas.openxmlformats.org/officeDocument/2006/relationships/hyperlink" Target="https://www.google.com/search?q=site%3Aulisboa.pt%20Ci&#234;ncias%20Gastron&#243;micas%20mestrado" TargetMode="External"/><Relationship Id="rId164" Type="http://schemas.openxmlformats.org/officeDocument/2006/relationships/hyperlink" Target="https://www.google.com/search?q=site%3Asjcluny.org%20Gest&#227;o%20de%20Servi&#231;os%20de%20Sa&#250;de%20p&#243;s-gradua&#231;&#227;o" TargetMode="External"/><Relationship Id="rId371" Type="http://schemas.openxmlformats.org/officeDocument/2006/relationships/hyperlink" Target="https://www.google.com/search?q=site%3Aessa.pt%20Terapia%20Ocupacional%20mestrado" TargetMode="External"/><Relationship Id="rId2052" Type="http://schemas.openxmlformats.org/officeDocument/2006/relationships/hyperlink" Target="https://www.google.com/search?q=site%3Aips.pt%20Gest&#227;o%20em%20Hotelaria%20de%20Sa&#250;de%20e%20Bem-Estar%20mestrado" TargetMode="External"/><Relationship Id="rId3450" Type="http://schemas.openxmlformats.org/officeDocument/2006/relationships/hyperlink" Target="https://www.google.com/search?q=site%3Aeuropeia.pt%20Direito%20e%20Seguran&#231;a%20da%20Informa&#231;&#227;o%20%28regime%20de%20ensino%20a%20dist&#226;ncia%29%20mestrado" TargetMode="External"/><Relationship Id="rId4501" Type="http://schemas.openxmlformats.org/officeDocument/2006/relationships/hyperlink" Target="https://www.google.com/search?q=site%3Auc.pt%20Engenharia%20Qu&#237;mica%20mestrado%20integrado" TargetMode="External"/><Relationship Id="rId3103" Type="http://schemas.openxmlformats.org/officeDocument/2006/relationships/hyperlink" Target="https://www.google.com/search?q=site%3Acespu.pt%20Fisioterapia%20mestrado" TargetMode="External"/><Relationship Id="rId3310" Type="http://schemas.openxmlformats.org/officeDocument/2006/relationships/hyperlink" Target="https://www.google.com/search?q=site%3Aucp.pt%20Gest&#227;o%20de%20Ind&#250;strias%20Criativas%20mestrado" TargetMode="External"/><Relationship Id="rId5068" Type="http://schemas.openxmlformats.org/officeDocument/2006/relationships/hyperlink" Target="https://www.google.com/search?q=site%3Autad.pt%20Bem&#8209;Estar%20em%20Animais%20de%20Produ&#231;&#227;o%20mestrado" TargetMode="External"/><Relationship Id="rId231" Type="http://schemas.openxmlformats.org/officeDocument/2006/relationships/hyperlink" Target="https://www.google.com/search?q=site%3Aegasmoniz.edu.pt%20Enfermagem%20de%20Reabilita&#231;&#227;o%20mestrado" TargetMode="External"/><Relationship Id="rId2869" Type="http://schemas.openxmlformats.org/officeDocument/2006/relationships/hyperlink" Target="https://www.google.com/search?q=site%3Aisdd.pt%20Com&#233;rcio%20Internacional%20CTeSP" TargetMode="External"/><Relationship Id="rId5275" Type="http://schemas.openxmlformats.org/officeDocument/2006/relationships/hyperlink" Target="https://www.google.com/search?q=site%3Aualg.pt%20Artes%20Visuais%20licenciatura" TargetMode="External"/><Relationship Id="rId5482" Type="http://schemas.openxmlformats.org/officeDocument/2006/relationships/hyperlink" Target="https://www.google.com/search?q=site%3Aup.pt%20Atividade%20F&#237;sica%20para%20a%20Terceira%20Idade%20mestrado" TargetMode="External"/><Relationship Id="rId1678" Type="http://schemas.openxmlformats.org/officeDocument/2006/relationships/hyperlink" Target="https://www.google.com/search?q=site%3Aipl.pt%20Engenharia%20Eletrot&#233;cnica%20mestrado" TargetMode="External"/><Relationship Id="rId1885" Type="http://schemas.openxmlformats.org/officeDocument/2006/relationships/hyperlink" Target="https://www.google.com/search?q=site%3Aipsantarem.pt%20Administra&#231;&#227;o%20Educacional%20mestrado" TargetMode="External"/><Relationship Id="rId2729" Type="http://schemas.openxmlformats.org/officeDocument/2006/relationships/hyperlink" Target="https://www.google.com/search?q=site%3Aipp.pt%20Engenharia%20Qu&#237;mica%20mestrado" TargetMode="External"/><Relationship Id="rId2936" Type="http://schemas.openxmlformats.org/officeDocument/2006/relationships/hyperlink" Target="https://www.google.com/search?q=site%3Aispgaya.pt%20Instala&#231;&#245;es%20El&#233;tricas%20e%20Transi&#231;&#227;o%20Energ&#233;tica%20CTeSP" TargetMode="External"/><Relationship Id="rId4084" Type="http://schemas.openxmlformats.org/officeDocument/2006/relationships/hyperlink" Target="https://www.google.com/search?q=site%3Aunl.pt%20Transforma&#231;&#227;o%20Digital%20p&#243;s-gradua&#231;&#227;o" TargetMode="External"/><Relationship Id="rId4291" Type="http://schemas.openxmlformats.org/officeDocument/2006/relationships/hyperlink" Target="https://www.google.com/search?q=site%3Auc.pt%20Engenharia%20Aeroespacial%20licenciatura" TargetMode="External"/><Relationship Id="rId5135" Type="http://schemas.openxmlformats.org/officeDocument/2006/relationships/hyperlink" Target="https://www.google.com/search?q=site%3Autad.pt%20Engenharia%20Eletrot&#233;cnica%20e%20de%20Computadores%20mestrado%20integrado" TargetMode="External"/><Relationship Id="rId5342" Type="http://schemas.openxmlformats.org/officeDocument/2006/relationships/hyperlink" Target="https://www.google.com/search?q=site%3Aualg.pt%20Educa&#231;&#227;o%20Pr&#233;-Escolar%20mestrado" TargetMode="External"/><Relationship Id="rId908" Type="http://schemas.openxmlformats.org/officeDocument/2006/relationships/hyperlink" Target="https://www.google.com/search?q=site%3Aipbeja.pt%20Solicitadoria%20%28regime%20de%20ensino%20a%20dist&#226;ncia%29%20licenciatura" TargetMode="External"/><Relationship Id="rId1538" Type="http://schemas.openxmlformats.org/officeDocument/2006/relationships/hyperlink" Target="https://www.google.com/search?q=site%3Aipleiria.pt%20Engenharia%20Mec&#226;nica%20-%20Produ&#231;&#227;o%20Industrial%20mestrado" TargetMode="External"/><Relationship Id="rId4151" Type="http://schemas.openxmlformats.org/officeDocument/2006/relationships/hyperlink" Target="https://www.google.com/search?q=site%3Aubi.pt%20Qu&#237;mica%20Medicinal%20licenciatura" TargetMode="External"/><Relationship Id="rId5202" Type="http://schemas.openxmlformats.org/officeDocument/2006/relationships/hyperlink" Target="https://www.google.com/search?q=site%3Auevora.pt%20Matem&#225;tica%20para%20o%20Ensino%20mestrado" TargetMode="External"/><Relationship Id="rId1745" Type="http://schemas.openxmlformats.org/officeDocument/2006/relationships/hyperlink" Target="https://www.google.com/search?q=site%3Aipportalegre.pt%20Acompanhamento%20de%20Crian&#231;as%20e%20Jovens%20CTeSP" TargetMode="External"/><Relationship Id="rId1952" Type="http://schemas.openxmlformats.org/officeDocument/2006/relationships/hyperlink" Target="https://www.google.com/search?q=site%3Acespu.pt%20Enfermagem%20em%20Emerg&#234;ncia%20e%20Trauma%20&#8211;%2018.&#170;%20edi&#231;&#227;o%20p&#243;s-gradua&#231;&#227;o" TargetMode="External"/><Relationship Id="rId4011" Type="http://schemas.openxmlformats.org/officeDocument/2006/relationships/hyperlink" Target="https://www.google.com/search?q=site%3Aunl.pt%20Tecnologias%20de%20Produ&#231;&#227;o%20e%20Transforma&#231;&#227;o%20Agro-Industrial%20mestrado" TargetMode="External"/><Relationship Id="rId37" Type="http://schemas.openxmlformats.org/officeDocument/2006/relationships/hyperlink" Target="https://www.google.com/search?q=site%3Aenautica.pt%20Engenharia%20Inform&#225;tica%20e%20de%20Computadores%20licenciatura" TargetMode="External"/><Relationship Id="rId1605" Type="http://schemas.openxmlformats.org/officeDocument/2006/relationships/hyperlink" Target="https://www.google.com/search?q=site%3Aipleiria.pt%20Reabilita&#231;&#227;o%20Psicossocial%20p&#243;s-gradua&#231;&#227;o" TargetMode="External"/><Relationship Id="rId1812" Type="http://schemas.openxmlformats.org/officeDocument/2006/relationships/hyperlink" Target="https://www.google.com/search?q=site%3Aipportalegre.pt%20Ensino%20do%201.&#186;%20Ciclo%20do%20Ensino%20B&#225;sico%20e%20de%20Matem&#225;tica%20e%20Ci&#234;ncias%20Naturais%20no%202.&#186;%20Ciclo%20do%20Ensino%20B&#225;sico%20mestrado" TargetMode="External"/><Relationship Id="rId4968" Type="http://schemas.openxmlformats.org/officeDocument/2006/relationships/hyperlink" Target="https://www.google.com/search?q=site%3Aulisboa.pt%20Intelligence%3A%20Teoria%20e%20Pr&#225;tica%20p&#243;s-gradua&#231;&#227;o" TargetMode="External"/><Relationship Id="rId3777" Type="http://schemas.openxmlformats.org/officeDocument/2006/relationships/hyperlink" Target="https://www.google.com/search?q=site%3Alusofona.pt%20Gest&#227;o%20de%20Projetos%20p&#243;s-gradua&#231;&#227;o" TargetMode="External"/><Relationship Id="rId3984" Type="http://schemas.openxmlformats.org/officeDocument/2006/relationships/hyperlink" Target="https://www.google.com/search?q=site%3Aunl.pt%20Novos%20Media%20e%20Pr&#225;ticas%20Web%20mestrado" TargetMode="External"/><Relationship Id="rId4828" Type="http://schemas.openxmlformats.org/officeDocument/2006/relationships/hyperlink" Target="https://www.google.com/search?q=site%3Aulisboa.pt%20Psicologia%20na%20Crise%20e%20na%20Emerg&#234;ncia%20mestrado" TargetMode="External"/><Relationship Id="rId698" Type="http://schemas.openxmlformats.org/officeDocument/2006/relationships/hyperlink" Target="https://www.google.com/search?q=site%3Aiees.pt%20Turismo%2C%20Inova&#231;&#227;o%20e%20Empreendedorismo%20mestrado" TargetMode="External"/><Relationship Id="rId2379" Type="http://schemas.openxmlformats.org/officeDocument/2006/relationships/hyperlink" Target="https://www.google.com/search?q=site%3Aipv.pt%20Enfermagem%20Comunit&#225;ria%20&#8211;%20&#225;rea%20de%20Enfermagem%20de%20Sa&#250;de%20Comunit&#225;ria%20e%20de%20Sa&#250;de%20P&#250;blica%20mestrado" TargetMode="External"/><Relationship Id="rId2586" Type="http://schemas.openxmlformats.org/officeDocument/2006/relationships/hyperlink" Target="https://www.google.com/search?q=site%3Aipp.pt%20Gest&#227;o%20e%20Internacionaliza&#231;&#227;o%20de%20PME%20CTeSP" TargetMode="External"/><Relationship Id="rId2793" Type="http://schemas.openxmlformats.org/officeDocument/2006/relationships/hyperlink" Target="https://www.google.com/search?q=site%3Aipp.pt%20Design%20de%20Interiores%20e%20Espa&#231;os%20p&#243;s-gradua&#231;&#227;o" TargetMode="External"/><Relationship Id="rId3637" Type="http://schemas.openxmlformats.org/officeDocument/2006/relationships/hyperlink" Target="https://www.google.com/search?q=site%3Aulusiada.pt%20Interven&#231;&#227;o%20Avan&#231;ada%20em%20Preven&#231;&#227;o%20e%20Tratamento%20de%20Feridas%20&#8211;%2010.&#170;%20edi&#231;&#227;o%20p&#243;s-gradua&#231;&#227;o" TargetMode="External"/><Relationship Id="rId3844" Type="http://schemas.openxmlformats.org/officeDocument/2006/relationships/hyperlink" Target="https://www.google.com/search?q=site%3Aunl.pt%20L&#237;nguas%2C%20Literaturas%20e%20Culturas%20licenciatura" TargetMode="External"/><Relationship Id="rId558" Type="http://schemas.openxmlformats.org/officeDocument/2006/relationships/hyperlink" Target="https://www.google.com/search?q=site%3Aiseclisboa.pt%20Gest&#227;o%20Hoteleira%20licenciatura" TargetMode="External"/><Relationship Id="rId765" Type="http://schemas.openxmlformats.org/officeDocument/2006/relationships/hyperlink" Target="https://www.google.com/search?q=site%3Aipg.pt%20Farm&#225;cia%20licenciatura" TargetMode="External"/><Relationship Id="rId972" Type="http://schemas.openxmlformats.org/officeDocument/2006/relationships/hyperlink" Target="https://www.google.com/search?q=site%3Aipb.pt%20Produ&#231;&#227;o%20Agroflorestal%20CTeSP" TargetMode="External"/><Relationship Id="rId1188" Type="http://schemas.openxmlformats.org/officeDocument/2006/relationships/hyperlink" Target="https://www.google.com/search?q=site%3Aipcb.pt%20Supervis&#227;o%20e%20Avalia&#231;&#227;o%20Escolar%20mestrado" TargetMode="External"/><Relationship Id="rId1395" Type="http://schemas.openxmlformats.org/officeDocument/2006/relationships/hyperlink" Target="https://www.google.com/search?q=site%3Aipleiria.pt%20Fabrica&#231;&#227;o%20Autom&#225;tica%20CTeSP" TargetMode="External"/><Relationship Id="rId2239" Type="http://schemas.openxmlformats.org/officeDocument/2006/relationships/hyperlink" Target="https://www.google.com/search?q=site%3Aipvc.pt%20Biotecnologia%20Agroambiental%20mestrado" TargetMode="External"/><Relationship Id="rId2446" Type="http://schemas.openxmlformats.org/officeDocument/2006/relationships/hyperlink" Target="https://www.google.com/search?q=site%3Aipca.pt%20Industrializa&#231;&#227;o%20e%20Serralharia%20Digital%20CTeSP" TargetMode="External"/><Relationship Id="rId2653" Type="http://schemas.openxmlformats.org/officeDocument/2006/relationships/hyperlink" Target="https://www.google.com/search?q=site%3Aipp.pt%20Fotografia%20licenciatura" TargetMode="External"/><Relationship Id="rId2860" Type="http://schemas.openxmlformats.org/officeDocument/2006/relationships/hyperlink" Target="https://www.google.com/search?q=site%3Aipam.pt%20P&#243;s&#8209;Gradua&#231;&#227;o%20em%20Gest&#227;o%20na%20Sa&#250;de%20p&#243;s-gradua&#231;&#227;o" TargetMode="External"/><Relationship Id="rId3704" Type="http://schemas.openxmlformats.org/officeDocument/2006/relationships/hyperlink" Target="https://www.google.com/search?q=site%3Alusofona.pt%20Servi&#231;o%20Social%20licenciatura" TargetMode="External"/><Relationship Id="rId418" Type="http://schemas.openxmlformats.org/officeDocument/2006/relationships/hyperlink" Target="https://www.google.com/search?q=site%3Aisce.pt%20Organiza&#231;&#227;o%20e%20Gest&#227;o%20de%20Eventos%20de%20Neg&#243;cios%2C%20Desportivos%20e%20de%20Anima&#231;&#227;o%20Tur&#237;stica%20%28100%25%20online%29%20p&#243;s-gradua&#231;&#227;o" TargetMode="External"/><Relationship Id="rId625" Type="http://schemas.openxmlformats.org/officeDocument/2006/relationships/hyperlink" Target="https://www.google.com/search?q=site%3Aispa.pt%20Educa&#231;&#227;o%20Pr&#233;&#8209;Escolar%20mestrado" TargetMode="External"/><Relationship Id="rId832" Type="http://schemas.openxmlformats.org/officeDocument/2006/relationships/hyperlink" Target="https://www.google.com/search?q=site%3Aipluso.pt%20Educa&#231;&#227;o%20B&#225;sica%20licenciatura" TargetMode="External"/><Relationship Id="rId1048" Type="http://schemas.openxmlformats.org/officeDocument/2006/relationships/hyperlink" Target="https://www.google.com/search?q=site%3Aipb.pt%20Energias%20Renov&#225;veis%20e%20Efici&#234;ncia%20Energ&#233;tica%20mestrado" TargetMode="External"/><Relationship Id="rId1255" Type="http://schemas.openxmlformats.org/officeDocument/2006/relationships/hyperlink" Target="https://www.google.com/search?q=site%3Aipc.pt%20Contabilidade%20e%20Gest&#227;o%20P&#250;blica%20licenciatura" TargetMode="External"/><Relationship Id="rId1462" Type="http://schemas.openxmlformats.org/officeDocument/2006/relationships/hyperlink" Target="https://www.google.com/search?q=site%3Aipleiria.pt%20Engenharia%20Eletrot&#233;cnica%20e%20de%20Computadores%20licenciatura" TargetMode="External"/><Relationship Id="rId2306" Type="http://schemas.openxmlformats.org/officeDocument/2006/relationships/hyperlink" Target="https://www.google.com/search?q=site%3Aipv.pt%20Desenvolvimento%20para%20a%20Web%20e%20Dispositivos%20M&#243;veis%20CTeSP" TargetMode="External"/><Relationship Id="rId2513" Type="http://schemas.openxmlformats.org/officeDocument/2006/relationships/hyperlink" Target="https://www.google.com/search?q=site%3Aipca.pt%20Gest&#227;o%20do%20Turismo%20mestrado" TargetMode="External"/><Relationship Id="rId3911" Type="http://schemas.openxmlformats.org/officeDocument/2006/relationships/hyperlink" Target="https://www.google.com/search?q=site%3Aunl.pt%20Engenharia%20de%20Energias%20Renov&#225;veis%20mestrado" TargetMode="External"/><Relationship Id="rId5669" Type="http://schemas.openxmlformats.org/officeDocument/2006/relationships/hyperlink" Target="https://www.google.com/search?q=site%3Aup.pt%20Ci&#234;ncias%20Farmac&#234;uticas%20mestrado%20integrado" TargetMode="External"/><Relationship Id="rId1115" Type="http://schemas.openxmlformats.org/officeDocument/2006/relationships/hyperlink" Target="https://www.google.com/search?q=site%3Aipcb.pt%20Desenvolvimento%20de%20Produtos%20Multim&#233;dia%20CTeSP" TargetMode="External"/><Relationship Id="rId1322" Type="http://schemas.openxmlformats.org/officeDocument/2006/relationships/hyperlink" Target="https://www.google.com/search?q=site%3Aipc.pt%20Gest&#227;o%20Empresarial%20mestrado" TargetMode="External"/><Relationship Id="rId2720" Type="http://schemas.openxmlformats.org/officeDocument/2006/relationships/hyperlink" Target="https://www.google.com/search?q=site%3Aipp.pt%20Energias%20Sustent&#225;veis%20mestrado" TargetMode="External"/><Relationship Id="rId4478" Type="http://schemas.openxmlformats.org/officeDocument/2006/relationships/hyperlink" Target="https://www.google.com/search?q=site%3Auc.pt%20Rela&#231;&#245;es%20Internacionais%3A%20Estudos%20de%20Paz%2C%20Seguran&#231;a%20e%20Desenvolvimento%20mestrado" TargetMode="External"/><Relationship Id="rId5529" Type="http://schemas.openxmlformats.org/officeDocument/2006/relationships/hyperlink" Target="https://www.google.com/search?q=site%3Aup.pt%20Economia%20da%20Empresa%20e%20da%20Estrat&#233;gia%20mestrado" TargetMode="External"/><Relationship Id="rId3287" Type="http://schemas.openxmlformats.org/officeDocument/2006/relationships/hyperlink" Target="https://www.google.com/search?q=site%3Aucp.pt%20Engenharia%20Alimentar%20mestrado" TargetMode="External"/><Relationship Id="rId4338" Type="http://schemas.openxmlformats.org/officeDocument/2006/relationships/hyperlink" Target="https://www.google.com/search?q=site%3Auc.pt%20Arqueologia%20e%20Territ&#243;rio%20mestrado" TargetMode="External"/><Relationship Id="rId4685" Type="http://schemas.openxmlformats.org/officeDocument/2006/relationships/hyperlink" Target="https://www.google.com/search?q=site%3Aulisboa.pt%20Educa&#231;&#227;o%20mestrado" TargetMode="External"/><Relationship Id="rId4892" Type="http://schemas.openxmlformats.org/officeDocument/2006/relationships/hyperlink" Target="https://www.google.com/search?q=site%3Aulisboa.pt%20Boas%20Pr&#225;ticas%20no%20Sector%20da%20Cannabis%20%28GcannabisP%29%3A%20Ci&#234;ncias%2C%20Regulamenta&#231;&#227;o%2C%20Tecnologias%20e%20Sociedade%20p&#243;s-gradua&#231;&#227;o" TargetMode="External"/><Relationship Id="rId5736" Type="http://schemas.openxmlformats.org/officeDocument/2006/relationships/hyperlink" Target="https://www.google.com/search?q=site%3Auac.pt%20Gest&#227;o%20de%20Destinos%20Tur&#237;sticos%20mestrado" TargetMode="External"/><Relationship Id="rId2096" Type="http://schemas.openxmlformats.org/officeDocument/2006/relationships/hyperlink" Target="https://www.google.com/search?q=site%3Aipt.pt%20Produ&#231;&#227;o%20de%20Conte&#250;dos%20Digitais%20CTeSP" TargetMode="External"/><Relationship Id="rId3494" Type="http://schemas.openxmlformats.org/officeDocument/2006/relationships/hyperlink" Target="https://www.google.com/search?q=site%3Aeuropeia.pt%20P&#243;s&#8209;Gradua&#231;&#227;o%20em%20Imagem%2C%20Protocolo%20e%20Organiza&#231;&#227;o%20de%20Eventos%20p&#243;s-gradua&#231;&#227;o" TargetMode="External"/><Relationship Id="rId4545" Type="http://schemas.openxmlformats.org/officeDocument/2006/relationships/hyperlink" Target="https://www.google.com/search?q=site%3Aulisboa.pt%20Engenharia%20Biol&#243;gica%20licenciatura" TargetMode="External"/><Relationship Id="rId4752" Type="http://schemas.openxmlformats.org/officeDocument/2006/relationships/hyperlink" Target="https://www.google.com/search?q=site%3Aulisboa.pt%20Finan&#231;as%20mestrado" TargetMode="External"/><Relationship Id="rId5803" Type="http://schemas.openxmlformats.org/officeDocument/2006/relationships/hyperlink" Target="https://www.google.com/search?q=site%3Aiscpsi.pt%20Ci&#234;ncias%20Policiais%20mestrado%20integrado" TargetMode="External"/><Relationship Id="rId3147" Type="http://schemas.openxmlformats.org/officeDocument/2006/relationships/hyperlink" Target="https://www.google.com/search?q=site%3Acespu.pt%20Gest&#227;o%20e%20Administra&#231;&#227;o%20em%20Sa&#250;de%20&#8211;%2039.&#170;%20edi&#231;&#227;o%20p&#243;s-gradua&#231;&#227;o%20executiva" TargetMode="External"/><Relationship Id="rId3354" Type="http://schemas.openxmlformats.org/officeDocument/2006/relationships/hyperlink" Target="https://www.google.com/search?q=site%3Aucp.pt%20Finan&#231;as%20e%20Controlo%20de%20Gest&#227;o%20p&#243;s-gradua&#231;&#227;o" TargetMode="External"/><Relationship Id="rId3561" Type="http://schemas.openxmlformats.org/officeDocument/2006/relationships/hyperlink" Target="https://www.google.com/search?q=site%3Aufp.pt%20Supervis&#227;o%20Cl&#237;nica%20em%20Enfermagem%20%28PG%20em%20Supervis&#227;o%20Cl&#237;nica%20em%20Sa&#250;de%29%20p&#243;s-gradua&#231;&#227;o" TargetMode="External"/><Relationship Id="rId4405" Type="http://schemas.openxmlformats.org/officeDocument/2006/relationships/hyperlink" Target="https://www.google.com/search?q=site%3Auc.pt%20Estruturas%20de%20Bet&#227;o%20-%20da%20Conce&#231;&#227;o%20&#224;%20Reabilita&#231;&#227;o%20mestrado" TargetMode="External"/><Relationship Id="rId4612" Type="http://schemas.openxmlformats.org/officeDocument/2006/relationships/hyperlink" Target="https://www.google.com/search?q=site%3Aulisboa.pt%20Tradu&#231;&#227;o%20licenciatura" TargetMode="External"/><Relationship Id="rId275" Type="http://schemas.openxmlformats.org/officeDocument/2006/relationships/hyperlink" Target="https://www.google.com/search?q=site%3Aesscvp.eu%20Cuidados%20Intensivos%20e%20Emerg&#234;ncia%20p&#243;s-gradua&#231;&#227;o" TargetMode="External"/><Relationship Id="rId482" Type="http://schemas.openxmlformats.org/officeDocument/2006/relationships/hyperlink" Target="https://www.google.com/search?q=site%3Aisec.pt%20Eletr&#243;nica%20e%20Redes%20de%20Telecomunica&#231;&#245;es%20CTeSP" TargetMode="External"/><Relationship Id="rId2163" Type="http://schemas.openxmlformats.org/officeDocument/2006/relationships/hyperlink" Target="https://www.google.com/search?q=site%3Aipvc.pt%20Cuidados%20Veterin&#225;rios%20CTeSP" TargetMode="External"/><Relationship Id="rId2370" Type="http://schemas.openxmlformats.org/officeDocument/2006/relationships/hyperlink" Target="https://www.google.com/search?q=site%3Aipv.pt%20Tecnologias%20e%20Design%20de%20Multim&#233;dia%20licenciatura" TargetMode="External"/><Relationship Id="rId3007" Type="http://schemas.openxmlformats.org/officeDocument/2006/relationships/hyperlink" Target="https://www.google.com/search?q=site%3Aiscet.pt%20Com&#233;rcio%20Internacional%20licenciatura" TargetMode="External"/><Relationship Id="rId3214" Type="http://schemas.openxmlformats.org/officeDocument/2006/relationships/hyperlink" Target="https://www.google.com/search?q=site%3Aautonoma.pt%20Arquitetura%20mestrado%20integrado" TargetMode="External"/><Relationship Id="rId3421" Type="http://schemas.openxmlformats.org/officeDocument/2006/relationships/hyperlink" Target="https://www.google.com/search?q=site%3Aeuropeia.pt%20Psicologia%20licenciatura" TargetMode="External"/><Relationship Id="rId135" Type="http://schemas.openxmlformats.org/officeDocument/2006/relationships/hyperlink" Target="https://www.google.com/search?q=site%3Aesesfm.pt%20Enfermagem%20em%20Situa&#231;&#227;o%20Cr&#237;tica%20%28Interven&#231;&#227;o%20&#224;%20Pessoa%20em%20Situa&#231;&#227;o%20Cr&#237;tica%29%20p&#243;s-gradua&#231;&#227;o" TargetMode="External"/><Relationship Id="rId342" Type="http://schemas.openxmlformats.org/officeDocument/2006/relationships/hyperlink" Target="https://www.google.com/search?q=site%3Aess.ufp.pt%20Inova&#231;&#227;o%20Tecnol&#243;gica%20em%20Sa&#250;de%3A%20Tecnologia%20Biomolecular%20Avan&#231;ada%20p&#243;s-gradua&#231;&#227;o" TargetMode="External"/><Relationship Id="rId2023" Type="http://schemas.openxmlformats.org/officeDocument/2006/relationships/hyperlink" Target="https://www.google.com/search?q=site%3Aips.pt%20Tecnologias%20do%20Petr&#243;leo%20licenciatura" TargetMode="External"/><Relationship Id="rId2230" Type="http://schemas.openxmlformats.org/officeDocument/2006/relationships/hyperlink" Target="https://www.google.com/search?q=site%3Aipvc.pt%20Gest&#227;o%20&#8211;%20Regime%20Noturno%20licenciatura" TargetMode="External"/><Relationship Id="rId5179" Type="http://schemas.openxmlformats.org/officeDocument/2006/relationships/hyperlink" Target="https://www.google.com/search?q=site%3Auevora.pt%20Ci&#234;ncias%20Biom&#233;dicas%20e%20da%20Sa&#250;de%20mestrado" TargetMode="External"/><Relationship Id="rId5386" Type="http://schemas.openxmlformats.org/officeDocument/2006/relationships/hyperlink" Target="https://www.google.com/search?q=site%3Aualg.pt%20Riscos%20Costeiros%2C%20Impactos%20das%20Altera&#231;&#245;es%20Clim&#225;ticas%20e%20Adapta&#231;&#227;o%20%28COASTHazar%29%20mestrado" TargetMode="External"/><Relationship Id="rId5593" Type="http://schemas.openxmlformats.org/officeDocument/2006/relationships/hyperlink" Target="https://www.google.com/search?q=site%3Aup.pt%20F&#237;sica%20M&#233;dica%20mestrado" TargetMode="External"/><Relationship Id="rId202" Type="http://schemas.openxmlformats.org/officeDocument/2006/relationships/hyperlink" Target="https://www.google.com/search?q=site%3Auatlantica.pt%20Enfermagem%20Comunit&#225;ria%20na%20&#225;rea%20de%20Enfermagem%20de%20Sa&#250;de%20Familiar%20mestrado" TargetMode="External"/><Relationship Id="rId4195" Type="http://schemas.openxmlformats.org/officeDocument/2006/relationships/hyperlink" Target="https://www.google.com/search?q=site%3Aismai.pt%20Curso%20Avan&#231;ado%20em%20M&#233;todos%20de%20Investiga&#231;&#227;o%20em%20Psicologia%20Cl&#237;nica%20p&#243;s-gradua&#231;&#227;o" TargetMode="External"/><Relationship Id="rId5039" Type="http://schemas.openxmlformats.org/officeDocument/2006/relationships/hyperlink" Target="https://www.google.com/search?q=site%3Autad.pt%20Engenharia%20Eletrot&#233;cnica%20e%20de%20Computadores%20licenciatura" TargetMode="External"/><Relationship Id="rId5246" Type="http://schemas.openxmlformats.org/officeDocument/2006/relationships/hyperlink" Target="https://www.google.com/search?q=site%3Aualg.pt%20Cadastro%20Predial%20CTeSP" TargetMode="External"/><Relationship Id="rId5453" Type="http://schemas.openxmlformats.org/officeDocument/2006/relationships/hyperlink" Target="https://www.google.com/search?q=site%3Aup.pt%20Geografia%20licenciatura" TargetMode="External"/><Relationship Id="rId1789" Type="http://schemas.openxmlformats.org/officeDocument/2006/relationships/hyperlink" Target="https://www.google.com/search?q=site%3Aipportalegre.pt%20Engenharia%20Inform&#225;tica%20licenciatura" TargetMode="External"/><Relationship Id="rId1996" Type="http://schemas.openxmlformats.org/officeDocument/2006/relationships/hyperlink" Target="https://www.google.com/search?q=site%3Aips.pt%20Tecnologias%20e%20Programa&#231;&#227;o%20de%20Sistemas%20de%20Informa&#231;&#227;o%20CTeSP" TargetMode="External"/><Relationship Id="rId4055" Type="http://schemas.openxmlformats.org/officeDocument/2006/relationships/hyperlink" Target="https://www.google.com/search?q=site%3Aunl.pt%20Enterprise%20Data%20Science%20%26%20Analytics%20p&#243;s-gradua&#231;&#227;o" TargetMode="External"/><Relationship Id="rId4262" Type="http://schemas.openxmlformats.org/officeDocument/2006/relationships/hyperlink" Target="https://www.google.com/search?q=site%3Aua.pt%20Gest&#227;o%20Comercial%20mestrado" TargetMode="External"/><Relationship Id="rId5106" Type="http://schemas.openxmlformats.org/officeDocument/2006/relationships/hyperlink" Target="https://www.google.com/search?q=site%3Autad.pt%20Ensino%20de%20Biologia%20e%20Geologia%20no%203.&#186;%20Ciclo%20do%20Ensino%20B&#225;sico%20e%20no%20Ensino%20Secund&#225;rio%20mestrado" TargetMode="External"/><Relationship Id="rId5660" Type="http://schemas.openxmlformats.org/officeDocument/2006/relationships/hyperlink" Target="https://www.google.com/search?q=site%3Aup.pt%20Toxicologia%20Anal&#237;tica%20Cl&#237;nica%20e%20Forense%20mestrado" TargetMode="External"/><Relationship Id="rId1649" Type="http://schemas.openxmlformats.org/officeDocument/2006/relationships/hyperlink" Target="https://www.google.com/search?q=site%3Aipl.pt%20M&#250;sica%20na%20Comunidade%20licenciatura" TargetMode="External"/><Relationship Id="rId1856" Type="http://schemas.openxmlformats.org/officeDocument/2006/relationships/hyperlink" Target="https://www.google.com/search?q=site%3Aipsantarem.pt%20Tecnologias%20de%20Produ&#231;&#227;o%20Integrada%20em%20Hortofrut&#237;colas%20CTeSP" TargetMode="External"/><Relationship Id="rId2907" Type="http://schemas.openxmlformats.org/officeDocument/2006/relationships/hyperlink" Target="https://www.google.com/search?q=site%3Aismat.pt%20Ensino%20de%20Artes%20Visuais%20no%203.&#186;%20CEB%20e%20no%20Ensino%20Secund&#225;rio%20mestrado" TargetMode="External"/><Relationship Id="rId3071" Type="http://schemas.openxmlformats.org/officeDocument/2006/relationships/hyperlink" Target="https://www.google.com/search?q=site%3Aisg.pt%20Estrat&#233;gia%20de%20Investimento%20e%20Internacionaliza&#231;&#227;o%20mestrado" TargetMode="External"/><Relationship Id="rId5313" Type="http://schemas.openxmlformats.org/officeDocument/2006/relationships/hyperlink" Target="https://www.google.com/search?q=site%3Aualg.pt%20Ortoprotesia%20licenciatura" TargetMode="External"/><Relationship Id="rId5520" Type="http://schemas.openxmlformats.org/officeDocument/2006/relationships/hyperlink" Target="https://www.google.com/search?q=site%3Aup.pt%20Desenvolvimento%20Sustent&#225;vel%20do%20Trabalho%20e%20das%20Pessoas%20mestrado" TargetMode="External"/><Relationship Id="rId1509" Type="http://schemas.openxmlformats.org/officeDocument/2006/relationships/hyperlink" Target="https://www.google.com/search?q=site%3Aipleiria.pt%20Contabilidade%20e%20Fiscalidade%20mestrado" TargetMode="External"/><Relationship Id="rId1716" Type="http://schemas.openxmlformats.org/officeDocument/2006/relationships/hyperlink" Target="https://www.google.com/search?q=site%3Aipl.pt%20Branding%20e%20Content%20Marketing%20p&#243;s-gradua&#231;&#227;o" TargetMode="External"/><Relationship Id="rId1923" Type="http://schemas.openxmlformats.org/officeDocument/2006/relationships/hyperlink" Target="https://www.google.com/search?q=site%3Acespu.pt%20Servi&#231;o%20Familiar%20e%20Comunit&#225;rio%20CTeSP" TargetMode="External"/><Relationship Id="rId4122" Type="http://schemas.openxmlformats.org/officeDocument/2006/relationships/hyperlink" Target="https://www.google.com/search?q=site%3Aubi.pt%20Cinema%20licenciatura" TargetMode="External"/><Relationship Id="rId3888" Type="http://schemas.openxmlformats.org/officeDocument/2006/relationships/hyperlink" Target="https://www.google.com/search?q=site%3Aunl.pt%20Direito%20mestrado" TargetMode="External"/><Relationship Id="rId4939" Type="http://schemas.openxmlformats.org/officeDocument/2006/relationships/hyperlink" Target="https://www.google.com/search?q=site%3Aulisboa.pt%20Discursos%20da%20Fotografia%20Contempor&#226;nea%20p&#243;s-gradua&#231;&#227;o" TargetMode="External"/><Relationship Id="rId2697" Type="http://schemas.openxmlformats.org/officeDocument/2006/relationships/hyperlink" Target="https://www.google.com/search?q=site%3Aipp.pt%20Artes%20C&#233;nicas%20mestrado" TargetMode="External"/><Relationship Id="rId3748" Type="http://schemas.openxmlformats.org/officeDocument/2006/relationships/hyperlink" Target="https://www.google.com/search?q=site%3Alusofona.pt%20Prote&#231;&#227;o%20Civil%20mestrado" TargetMode="External"/><Relationship Id="rId669" Type="http://schemas.openxmlformats.org/officeDocument/2006/relationships/hyperlink" Target="https://www.google.com/search?q=site%3Aiees.pt%20Desenvolvimento%20de%20Produtos%20Multim&#233;dia%20CTeSP" TargetMode="External"/><Relationship Id="rId876" Type="http://schemas.openxmlformats.org/officeDocument/2006/relationships/hyperlink" Target="https://www.google.com/search?q=site%3Aipbeja.pt%20Apoio%20&#224;%20Inf&#226;ncia%20CTeSP" TargetMode="External"/><Relationship Id="rId1299" Type="http://schemas.openxmlformats.org/officeDocument/2006/relationships/hyperlink" Target="https://www.google.com/search?q=site%3Aipc.pt%20Contabilidade%20e%20Fiscalidade%20Empresarial%20mestrado" TargetMode="External"/><Relationship Id="rId2557" Type="http://schemas.openxmlformats.org/officeDocument/2006/relationships/hyperlink" Target="https://www.google.com/search?q=site%3Aipca.pt%20Strength%20%26%20Conditioning%20p&#243;s-gradua&#231;&#227;o" TargetMode="External"/><Relationship Id="rId3608" Type="http://schemas.openxmlformats.org/officeDocument/2006/relationships/hyperlink" Target="https://www.google.com/search?q=site%3Aulusiada.pt%20Psicologia%20Cl&#237;nica%20mestrado" TargetMode="External"/><Relationship Id="rId3955" Type="http://schemas.openxmlformats.org/officeDocument/2006/relationships/hyperlink" Target="https://www.google.com/search?q=site%3Aunl.pt%20Gest&#227;o%20de%20Informa&#231;&#227;o%20mestrado" TargetMode="External"/><Relationship Id="rId5170" Type="http://schemas.openxmlformats.org/officeDocument/2006/relationships/hyperlink" Target="https://www.google.com/search?q=site%3Auevora.pt%20Qu&#237;mica%20licenciatura" TargetMode="External"/><Relationship Id="rId529" Type="http://schemas.openxmlformats.org/officeDocument/2006/relationships/hyperlink" Target="https://www.google.com/search?q=site%3Aiseclisboa.pt%20Desenvolvimento%20de%20Produtos%20Multim&#233;dia%20CTeSP" TargetMode="External"/><Relationship Id="rId736" Type="http://schemas.openxmlformats.org/officeDocument/2006/relationships/hyperlink" Target="https://www.google.com/search?q=site%3Aipg.pt%20Manuten&#231;&#227;o%20e%20Repara&#231;&#227;o%20Autom&#243;vel%20CTeSP" TargetMode="External"/><Relationship Id="rId1159" Type="http://schemas.openxmlformats.org/officeDocument/2006/relationships/hyperlink" Target="https://www.google.com/search?q=site%3Aipcb.pt%20Servi&#231;o%20Social%20licenciatura" TargetMode="External"/><Relationship Id="rId1366" Type="http://schemas.openxmlformats.org/officeDocument/2006/relationships/hyperlink" Target="https://www.google.com/search?q=site%3Aipc.pt%20Macroscopia%20p&#243;s-gradua&#231;&#227;o" TargetMode="External"/><Relationship Id="rId2417" Type="http://schemas.openxmlformats.org/officeDocument/2006/relationships/hyperlink" Target="https://www.google.com/search?q=site%3Aipca.pt%20Assessoria%20e%20Comunica&#231;&#227;o%20Empresarial%20CTeSP" TargetMode="External"/><Relationship Id="rId2764" Type="http://schemas.openxmlformats.org/officeDocument/2006/relationships/hyperlink" Target="https://www.google.com/search?q=site%3Aipp.pt%20Media%20Digitais%20Interativos%20mestrado" TargetMode="External"/><Relationship Id="rId2971" Type="http://schemas.openxmlformats.org/officeDocument/2006/relationships/hyperlink" Target="https://www.google.com/search?q=site%3Aisced.pt%20Atividade%20F&#237;sica%20e%20Estilos%20de%20Vida%20Saud&#225;veis%20licenciatura" TargetMode="External"/><Relationship Id="rId3815" Type="http://schemas.openxmlformats.org/officeDocument/2006/relationships/hyperlink" Target="https://www.google.com/search?q=site%3Aunl.pt%20Ci&#234;ncias%20da%20Linguagem%20licenciatura" TargetMode="External"/><Relationship Id="rId5030" Type="http://schemas.openxmlformats.org/officeDocument/2006/relationships/hyperlink" Target="https://www.google.com/search?q=site%3Autad.pt%20Comunica&#231;&#227;o%20e%20Multim&#233;dia%20licenciatura" TargetMode="External"/><Relationship Id="rId943" Type="http://schemas.openxmlformats.org/officeDocument/2006/relationships/hyperlink" Target="https://www.google.com/search?q=site%3Aipb.pt%20Automa&#231;&#227;o%2C%20Rob&#243;tica%20e%20Eletr&#243;nica%20Industrial%20CTeSP" TargetMode="External"/><Relationship Id="rId1019" Type="http://schemas.openxmlformats.org/officeDocument/2006/relationships/hyperlink" Target="https://www.google.com/search?q=site%3Aipb.pt%20Gerontologia%20licenciatura" TargetMode="External"/><Relationship Id="rId1573" Type="http://schemas.openxmlformats.org/officeDocument/2006/relationships/hyperlink" Target="https://www.google.com/search?q=site%3Aipleiria.pt%20Auditoria%20e%20Relato%20Financeiro%20p&#243;s-gradua&#231;&#227;o" TargetMode="External"/><Relationship Id="rId1780" Type="http://schemas.openxmlformats.org/officeDocument/2006/relationships/hyperlink" Target="https://www.google.com/search?q=site%3Aipportalegre.pt%20Agronomia%20licenciatura" TargetMode="External"/><Relationship Id="rId2624" Type="http://schemas.openxmlformats.org/officeDocument/2006/relationships/hyperlink" Target="https://www.google.com/search?q=site%3Aipp.pt%20Cinema%20e%20Audiovisual%20licenciatura" TargetMode="External"/><Relationship Id="rId2831" Type="http://schemas.openxmlformats.org/officeDocument/2006/relationships/hyperlink" Target="https://www.google.com/search?q=site%3Aipp.pt%20Servi&#231;os%20Lingu&#237;sticos%20p&#243;s-gradua&#231;&#227;o" TargetMode="External"/><Relationship Id="rId72" Type="http://schemas.openxmlformats.org/officeDocument/2006/relationships/hyperlink" Target="https://www.google.com/search?q=site%3Aesai.pt%20Gest&#227;o%20e%20Media&#231;&#227;o%20Imobili&#225;ria%20p&#243;s-gradua&#231;&#227;o%20executiva" TargetMode="External"/><Relationship Id="rId803" Type="http://schemas.openxmlformats.org/officeDocument/2006/relationships/hyperlink" Target="https://www.google.com/search?q=site%3Aipg.pt%20Cadastro%20Predial%20&#8211;%20Tipologia%20E%20p&#243;s-gradua&#231;&#227;o%20executiva" TargetMode="External"/><Relationship Id="rId1226" Type="http://schemas.openxmlformats.org/officeDocument/2006/relationships/hyperlink" Target="https://www.google.com/search?q=site%3Aipc.pt%20Opera&#231;&#245;es%20Florestais%20CTeSP" TargetMode="External"/><Relationship Id="rId1433" Type="http://schemas.openxmlformats.org/officeDocument/2006/relationships/hyperlink" Target="https://www.google.com/search?q=site%3Aipleiria.pt%20Tecnologias%20Digitais%20para%20a%20Agroind&#250;stria%20CTeSP" TargetMode="External"/><Relationship Id="rId1640" Type="http://schemas.openxmlformats.org/officeDocument/2006/relationships/hyperlink" Target="https://www.google.com/search?q=site%3Aipl.pt%20Fisiologia%20Cl&#237;nica%20licenciatura" TargetMode="External"/><Relationship Id="rId4589" Type="http://schemas.openxmlformats.org/officeDocument/2006/relationships/hyperlink" Target="https://www.google.com/search?q=site%3Aulisboa.pt%20Gest&#227;o%20licenciatura" TargetMode="External"/><Relationship Id="rId4796" Type="http://schemas.openxmlformats.org/officeDocument/2006/relationships/hyperlink" Target="https://www.google.com/search?q=site%3Aulisboa.pt%20Matem&#225;tica%20Aplicada%20e%20Computa&#231;&#227;o%20mestrado" TargetMode="External"/><Relationship Id="rId1500" Type="http://schemas.openxmlformats.org/officeDocument/2006/relationships/hyperlink" Target="https://www.google.com/search?q=site%3Aipleiria.pt%20Biotecnologia%20Aplicada%20mestrado" TargetMode="External"/><Relationship Id="rId3398" Type="http://schemas.openxmlformats.org/officeDocument/2006/relationships/hyperlink" Target="https://www.google.com/search?q=site%3Aeuropeia.pt%20Design%20Visual%20%28regime%20de%20ensino%20a%20dist&#226;ncia%29%20licenciatura" TargetMode="External"/><Relationship Id="rId4449" Type="http://schemas.openxmlformats.org/officeDocument/2006/relationships/hyperlink" Target="https://www.google.com/search?q=site%3Auc.pt%20Medicina%20do%20Desporto%20mestrado" TargetMode="External"/><Relationship Id="rId4656" Type="http://schemas.openxmlformats.org/officeDocument/2006/relationships/hyperlink" Target="https://www.google.com/search?q=site%3Aulisboa.pt%20Cuidados%20Paliativos%20mestrado" TargetMode="External"/><Relationship Id="rId4863" Type="http://schemas.openxmlformats.org/officeDocument/2006/relationships/hyperlink" Target="https://www.google.com/search?q=site%3Aulisboa.pt%20Ci&#234;ncias%20Farmac&#234;uticas%20mestrado%20integrado" TargetMode="External"/><Relationship Id="rId5707" Type="http://schemas.openxmlformats.org/officeDocument/2006/relationships/hyperlink" Target="https://www.google.com/search?q=site%3Auac.pt%20Servi&#231;o%20Social%20licenciatura" TargetMode="External"/><Relationship Id="rId3258" Type="http://schemas.openxmlformats.org/officeDocument/2006/relationships/hyperlink" Target="https://www.google.com/search?q=site%3Aucp.pt%20Turismo%20licenciatura" TargetMode="External"/><Relationship Id="rId3465" Type="http://schemas.openxmlformats.org/officeDocument/2006/relationships/hyperlink" Target="https://www.google.com/search?q=site%3Aeuropeia.pt%20Gest&#227;o%20e%20Estrat&#233;gia%20Empresarial%20mestrado" TargetMode="External"/><Relationship Id="rId3672" Type="http://schemas.openxmlformats.org/officeDocument/2006/relationships/hyperlink" Target="https://www.google.com/search?q=site%3Alusofona.pt%20Criminologia%20licenciatura" TargetMode="External"/><Relationship Id="rId4309" Type="http://schemas.openxmlformats.org/officeDocument/2006/relationships/hyperlink" Target="https://www.google.com/search?q=site%3Auc.pt%20Gest&#227;o%20licenciatura" TargetMode="External"/><Relationship Id="rId4516" Type="http://schemas.openxmlformats.org/officeDocument/2006/relationships/hyperlink" Target="https://www.google.com/search?q=site%3Aulisboa.pt%20Administra&#231;&#227;o%20P&#250;blica%20licenciatura" TargetMode="External"/><Relationship Id="rId4723" Type="http://schemas.openxmlformats.org/officeDocument/2006/relationships/hyperlink" Target="https://www.google.com/search?q=site%3Aulisboa.pt%20Engenharia%20em%20Recursos%20Energ&#233;ticos%20mestrado" TargetMode="External"/><Relationship Id="rId179" Type="http://schemas.openxmlformats.org/officeDocument/2006/relationships/hyperlink" Target="https://www.google.com/search?q=site%3Aesenf.pt%20Gest&#227;o%20dos%20Servi&#231;os%20de%20Enfermagem%20p&#243;s-gradua&#231;&#227;o" TargetMode="External"/><Relationship Id="rId386" Type="http://schemas.openxmlformats.org/officeDocument/2006/relationships/hyperlink" Target="https://www.google.com/search?q=site%3Aipluso.pt%20P&#243;s&#8209;Gradua&#231;&#227;o%20em%20Enfermagem%20Veterin&#225;ria%20Cl&#237;nica%20p&#243;s-gradua&#231;&#227;o" TargetMode="External"/><Relationship Id="rId593" Type="http://schemas.openxmlformats.org/officeDocument/2006/relationships/hyperlink" Target="https://www.google.com/search?q=site%3Aisla.pt%20Gest&#227;o%20de%20Vendas%20e%20Marketing%20CTeSP" TargetMode="External"/><Relationship Id="rId2067" Type="http://schemas.openxmlformats.org/officeDocument/2006/relationships/hyperlink" Target="https://www.google.com/search?q=site%3Aipt.pt%20Anima&#231;&#227;o%20e%20Modela&#231;&#227;o%203D%20e%20Jogos%20CTeSP" TargetMode="External"/><Relationship Id="rId2274" Type="http://schemas.openxmlformats.org/officeDocument/2006/relationships/hyperlink" Target="https://www.google.com/search?q=site%3Aipvc.pt%20Log&#237;stica%20mestrado" TargetMode="External"/><Relationship Id="rId2481" Type="http://schemas.openxmlformats.org/officeDocument/2006/relationships/hyperlink" Target="https://www.google.com/search?q=site%3Aipca.pt%20Engenharia%20Inform&#225;tica%20M&#233;dica%20licenciatura" TargetMode="External"/><Relationship Id="rId3118" Type="http://schemas.openxmlformats.org/officeDocument/2006/relationships/hyperlink" Target="https://www.google.com/search?q=site%3Acespu.pt%20Emerg&#234;ncia%20M&#233;dica%20&#8211;%206.&#170;%20edi&#231;&#227;o%20p&#243;s-gradua&#231;&#227;o" TargetMode="External"/><Relationship Id="rId3325" Type="http://schemas.openxmlformats.org/officeDocument/2006/relationships/hyperlink" Target="https://www.google.com/search?q=site%3Aucp.pt%20Neuropsicologia%20mestrado" TargetMode="External"/><Relationship Id="rId3532" Type="http://schemas.openxmlformats.org/officeDocument/2006/relationships/hyperlink" Target="https://www.google.com/search?q=site%3Aufp.pt%20Ci&#234;ncias%20Farmac&#234;uticas%20mestrado%20integrado" TargetMode="External"/><Relationship Id="rId4930" Type="http://schemas.openxmlformats.org/officeDocument/2006/relationships/hyperlink" Target="https://www.google.com/search?q=site%3Aulisboa.pt%20Data%20Science%20%26%20Business%20Analytics%20p&#243;s-gradua&#231;&#227;o" TargetMode="External"/><Relationship Id="rId246" Type="http://schemas.openxmlformats.org/officeDocument/2006/relationships/hyperlink" Target="https://www.google.com/search?q=site%3Aegasmoniz.edu.pt%20Cirurgia%20de%20Dentes%20Inclusos%20p&#243;s-gradua&#231;&#227;o" TargetMode="External"/><Relationship Id="rId453" Type="http://schemas.openxmlformats.org/officeDocument/2006/relationships/hyperlink" Target="https://www.google.com/search?q=site%3Aiscte-iul.pt%20Avalia&#231;&#227;o%20de%20Pol&#237;ticas%20P&#250;blicas%20p&#243;s-gradua&#231;&#227;o" TargetMode="External"/><Relationship Id="rId660" Type="http://schemas.openxmlformats.org/officeDocument/2006/relationships/hyperlink" Target="https://www.google.com/search?q=site%3Aistec.pt%20Tecnologias%20Imersivas%20e%20Intelig&#234;ncia%20Artificial%20p&#243;s-gradua&#231;&#227;o" TargetMode="External"/><Relationship Id="rId1083" Type="http://schemas.openxmlformats.org/officeDocument/2006/relationships/hyperlink" Target="https://www.google.com/search?q=site%3Aipb.pt%20Tecnologias%20Agroalimentares%20mestrado" TargetMode="External"/><Relationship Id="rId1290" Type="http://schemas.openxmlformats.org/officeDocument/2006/relationships/hyperlink" Target="https://www.google.com/search?q=site%3Aipc.pt%20An&#225;lise%20Financeira%20mestrado" TargetMode="External"/><Relationship Id="rId2134" Type="http://schemas.openxmlformats.org/officeDocument/2006/relationships/hyperlink" Target="https://www.google.com/search?q=site%3Aipt.pt%20Engenharia%20Eletrot&#233;cnica%20mestrado" TargetMode="External"/><Relationship Id="rId2341" Type="http://schemas.openxmlformats.org/officeDocument/2006/relationships/hyperlink" Target="https://www.google.com/search?q=site%3Aipv.pt%20Comunica&#231;&#227;o%20Social%20licenciatura" TargetMode="External"/><Relationship Id="rId5497" Type="http://schemas.openxmlformats.org/officeDocument/2006/relationships/hyperlink" Target="https://www.google.com/search?q=site%3Aup.pt%20Ci&#234;ncia%20da%20Informa&#231;&#227;o%20mestrado" TargetMode="External"/><Relationship Id="rId106" Type="http://schemas.openxmlformats.org/officeDocument/2006/relationships/hyperlink" Target="https://www.google.com/search?q=site%3Ajoaodedeus.pt%20Psicogerontologia%3A%20envelhecer%20com%20qualidade%20&#8211;%20uma%20perspetiva%20humanista%20p&#243;s-gradua&#231;&#227;o" TargetMode="External"/><Relationship Id="rId313" Type="http://schemas.openxmlformats.org/officeDocument/2006/relationships/hyperlink" Target="https://www.google.com/search?q=site%3Aesscvp.eu%20Enfermagem%20de%20Estomaterapia%20p&#243;s-gradua&#231;&#227;o" TargetMode="External"/><Relationship Id="rId1150" Type="http://schemas.openxmlformats.org/officeDocument/2006/relationships/hyperlink" Target="https://www.google.com/search?q=site%3Aipcb.pt%20Gest&#227;o%20licenciatura" TargetMode="External"/><Relationship Id="rId4099" Type="http://schemas.openxmlformats.org/officeDocument/2006/relationships/hyperlink" Target="https://www.google.com/search?q=site%3Aupt.pt%20Solicitadoria%20licenciatura" TargetMode="External"/><Relationship Id="rId5357" Type="http://schemas.openxmlformats.org/officeDocument/2006/relationships/hyperlink" Target="https://www.google.com/search?q=site%3Aualg.pt%20Fiscalidade%20mestrado" TargetMode="External"/><Relationship Id="rId520" Type="http://schemas.openxmlformats.org/officeDocument/2006/relationships/hyperlink" Target="https://www.google.com/search?q=site%3Aisec.pt%20Engenharia%20e%20Gest&#227;o%20Industrial%20mestrado" TargetMode="External"/><Relationship Id="rId2201" Type="http://schemas.openxmlformats.org/officeDocument/2006/relationships/hyperlink" Target="https://www.google.com/search?q=site%3Aipvc.pt%20Transportes%20e%20Log&#237;stica%20CTeSP" TargetMode="External"/><Relationship Id="rId5564" Type="http://schemas.openxmlformats.org/officeDocument/2006/relationships/hyperlink" Target="https://www.google.com/search?q=site%3Aup.pt%20Ensino%20de%20Biologia%20e%20Geologia%20no%203.&#186;%20Ciclo%20do%20Ensino%20B&#225;sico%20e%20no%20Ensino%20Secund&#225;rio%20mestrado" TargetMode="External"/><Relationship Id="rId5771" Type="http://schemas.openxmlformats.org/officeDocument/2006/relationships/hyperlink" Target="https://www.google.com/search?q=site%3Auac.pt%20P&#243;s&#8209;Gradua&#231;&#227;o%20em%20Pol&#237;ticas%20Sociais%2C%20Fam&#237;lia%20e%20Envelhecimento%20p&#243;s-gradua&#231;&#227;o" TargetMode="External"/><Relationship Id="rId1010" Type="http://schemas.openxmlformats.org/officeDocument/2006/relationships/hyperlink" Target="https://www.google.com/search?q=site%3Aipb.pt%20Engenharia%20Mec&#226;nica%20licenciatura" TargetMode="External"/><Relationship Id="rId1967" Type="http://schemas.openxmlformats.org/officeDocument/2006/relationships/hyperlink" Target="https://www.google.com/search?q=site%3Aips.pt%20Assessoria%20de%20Gest&#227;o%20CTeSP" TargetMode="External"/><Relationship Id="rId4166" Type="http://schemas.openxmlformats.org/officeDocument/2006/relationships/hyperlink" Target="https://www.google.com/search?q=site%3Aismai.pt%20Gest&#227;o%20de%20Marketing%20licenciatura" TargetMode="External"/><Relationship Id="rId4373" Type="http://schemas.openxmlformats.org/officeDocument/2006/relationships/hyperlink" Target="https://www.google.com/search?q=site%3Auc.pt%20Educa&#231;&#227;o%20e%20Forma&#231;&#227;o%20de%20Adultos%20e%20Interven&#231;&#227;o%20Comunit&#225;ria%20mestrado" TargetMode="External"/><Relationship Id="rId4580" Type="http://schemas.openxmlformats.org/officeDocument/2006/relationships/hyperlink" Target="https://www.google.com/search?q=site%3Aulisboa.pt%20Estudos%20Gerais%20licenciatura" TargetMode="External"/><Relationship Id="rId5217" Type="http://schemas.openxmlformats.org/officeDocument/2006/relationships/hyperlink" Target="https://www.google.com/search?q=site%3Auevora.pt%20Ci&#234;ncias%20Farmac&#234;uticas%20mestrado%20integrado" TargetMode="External"/><Relationship Id="rId5424" Type="http://schemas.openxmlformats.org/officeDocument/2006/relationships/hyperlink" Target="https://www.google.com/search?q=site%3Aup.pt%20Ci&#234;ncias%20da%20Nutri&#231;&#227;o%20licenciatura" TargetMode="External"/><Relationship Id="rId5631" Type="http://schemas.openxmlformats.org/officeDocument/2006/relationships/hyperlink" Target="https://www.google.com/search?q=site%3Aup.pt%20Nutri&#231;&#227;o%20Cl&#237;nica%20mestrado" TargetMode="External"/><Relationship Id="rId4026" Type="http://schemas.openxmlformats.org/officeDocument/2006/relationships/hyperlink" Target="https://www.google.com/search?q=site%3Aunl.pt%20Engenharia%20de%20Materiais%20mestrado%20integrado" TargetMode="External"/><Relationship Id="rId4440" Type="http://schemas.openxmlformats.org/officeDocument/2006/relationships/hyperlink" Target="https://www.google.com/search?q=site%3Auc.pt%20Jornalismo%20e%20Comunica&#231;&#227;o%20mestrado" TargetMode="External"/><Relationship Id="rId3042" Type="http://schemas.openxmlformats.org/officeDocument/2006/relationships/hyperlink" Target="https://www.google.com/search?q=site%3Aiscia.pt%20Coordenador%20Municipal%20de%20Prote&#231;&#227;o%20Civil%20p&#243;s-gradua&#231;&#227;o" TargetMode="External"/><Relationship Id="rId3859" Type="http://schemas.openxmlformats.org/officeDocument/2006/relationships/hyperlink" Target="https://www.google.com/search?q=site%3Aunl.pt%20Artes%20C&#233;nicas%20mestrado" TargetMode="External"/><Relationship Id="rId5281" Type="http://schemas.openxmlformats.org/officeDocument/2006/relationships/hyperlink" Target="https://www.google.com/search?q=site%3Aualg.pt%20Ci&#234;ncias%20Biom&#233;dicas%20licenciatura" TargetMode="External"/><Relationship Id="rId2875" Type="http://schemas.openxmlformats.org/officeDocument/2006/relationships/hyperlink" Target="https://www.google.com/search?q=site%3Aisdd.pt%20Gest&#227;o%20da%20Qualidade%2C%20Ambiente%20e%20Seguran&#231;a%20CTeSP" TargetMode="External"/><Relationship Id="rId3926" Type="http://schemas.openxmlformats.org/officeDocument/2006/relationships/hyperlink" Target="https://www.google.com/search?q=site%3Aunl.pt%20Ensino%20de%20Ingl&#234;s%20no%203.&#186;%20Ciclo%20do%20Ensino%20B&#225;sico%20e%20no%20Ensino%20Secund&#225;rio%20mestrado" TargetMode="External"/><Relationship Id="rId847" Type="http://schemas.openxmlformats.org/officeDocument/2006/relationships/hyperlink" Target="https://www.google.com/search?q=site%3Aipluso.pt%20Enfermagem%20de%20Sa&#250;de%20Mental%20e%20Psiqui&#225;trica%20mestrado" TargetMode="External"/><Relationship Id="rId1477" Type="http://schemas.openxmlformats.org/officeDocument/2006/relationships/hyperlink" Target="https://www.google.com/search?q=site%3Aipleiria.pt%20Marketing%20Tur&#237;stico%20licenciatura" TargetMode="External"/><Relationship Id="rId1891" Type="http://schemas.openxmlformats.org/officeDocument/2006/relationships/hyperlink" Target="https://www.google.com/search?q=site%3Aipsantarem.pt%20Educa&#231;&#227;o%20Pr&#233;&#8209;Escolar%20mestrado" TargetMode="External"/><Relationship Id="rId2528" Type="http://schemas.openxmlformats.org/officeDocument/2006/relationships/hyperlink" Target="https://www.google.com/search?q=site%3Aipca.pt%20Treino%20Desportivo%20mestrado" TargetMode="External"/><Relationship Id="rId2942" Type="http://schemas.openxmlformats.org/officeDocument/2006/relationships/hyperlink" Target="https://www.google.com/search?q=site%3Aispgaya.pt%20Contabilidade%20licenciatura" TargetMode="External"/><Relationship Id="rId914" Type="http://schemas.openxmlformats.org/officeDocument/2006/relationships/hyperlink" Target="https://www.google.com/search?q=site%3Aipbeja.pt%20Contabilidade%20e%20Finan&#231;as%20mestrado" TargetMode="External"/><Relationship Id="rId1544" Type="http://schemas.openxmlformats.org/officeDocument/2006/relationships/hyperlink" Target="https://www.google.com/search?q=site%3Aipleiria.pt%20Ensino%20do%201.&#186;%20Ciclo%20do%20Ensino%20B&#225;sico%20e%20de%20Portugu&#234;s%20e%20Hist&#243;ria%20e%20Geografia%20de%20Portugal%20no%202.&#186;%20Ciclo%20do%20Ensino%20B&#225;sico%20mestrado" TargetMode="External"/><Relationship Id="rId5001" Type="http://schemas.openxmlformats.org/officeDocument/2006/relationships/hyperlink" Target="https://www.google.com/search?q=site%3Aulisboa.pt%20Sales%20Management%20p&#243;s-gradua&#231;&#227;o" TargetMode="External"/><Relationship Id="rId1611" Type="http://schemas.openxmlformats.org/officeDocument/2006/relationships/hyperlink" Target="https://www.google.com/search?q=site%3Aipleiria.pt%20Sistemas%20Integrados%20de%20Gest&#227;o%20&#8211;%20Qualidade%2C%20Ambiente%2C%20Energia%20e%20Seguran&#231;a%20&#8211;%207.&#170;%20Edi&#231;&#227;o%20p&#243;s-gradua&#231;&#227;o" TargetMode="External"/><Relationship Id="rId4767" Type="http://schemas.openxmlformats.org/officeDocument/2006/relationships/hyperlink" Target="https://www.google.com/search?q=site%3Aulisboa.pt%20Gest&#227;o%20do%20Desporto%20mestrado" TargetMode="External"/><Relationship Id="rId3369" Type="http://schemas.openxmlformats.org/officeDocument/2006/relationships/hyperlink" Target="https://www.google.com/search?q=site%3Aucp.pt%20Perda%20e%20Luto%20p&#243;s-gradua&#231;&#227;o" TargetMode="External"/><Relationship Id="rId2385" Type="http://schemas.openxmlformats.org/officeDocument/2006/relationships/hyperlink" Target="https://www.google.com/search?q=site%3Aipv.pt%20Enfermagem%20de%20Sa&#250;de%20Mental%20e%20Psiqui&#225;trica%20mestrado" TargetMode="External"/><Relationship Id="rId3783" Type="http://schemas.openxmlformats.org/officeDocument/2006/relationships/hyperlink" Target="https://www.google.com/search?q=site%3Alusofona.pt%20Lean%20and%20Operations%20Management%20p&#243;s-gradua&#231;&#227;o" TargetMode="External"/><Relationship Id="rId4834" Type="http://schemas.openxmlformats.org/officeDocument/2006/relationships/hyperlink" Target="https://www.google.com/search?q=site%3Aulisboa.pt%20Reabilita&#231;&#227;o%20Psicomotora%20mestrado" TargetMode="External"/><Relationship Id="rId357" Type="http://schemas.openxmlformats.org/officeDocument/2006/relationships/hyperlink" Target="https://www.google.com/search?q=site%3Asantamaria.pt%20Fisioterapia%20em%20Condi&#231;&#245;es%20Neuro-m&#250;sculo-esqueleticas%20mestrado" TargetMode="External"/><Relationship Id="rId2038" Type="http://schemas.openxmlformats.org/officeDocument/2006/relationships/hyperlink" Target="https://www.google.com/search?q=site%3Aips.pt%20Engenharia%20Civil%20mestrado" TargetMode="External"/><Relationship Id="rId3436" Type="http://schemas.openxmlformats.org/officeDocument/2006/relationships/hyperlink" Target="https://www.google.com/search?q=site%3Aeuropeia.pt%20Comunica&#231;&#227;o%20Digital%20Integrada%20%28regime%20de%20ensino%20a%20dist&#226;ncia%29%20mestrado" TargetMode="External"/><Relationship Id="rId3850" Type="http://schemas.openxmlformats.org/officeDocument/2006/relationships/hyperlink" Target="https://www.google.com/search?q=site%3Aunl.pt%20Sistemas%20e%20Tecnologias%20de%20Informa&#231;&#227;o%20licenciatura" TargetMode="External"/><Relationship Id="rId4901" Type="http://schemas.openxmlformats.org/officeDocument/2006/relationships/hyperlink" Target="https://www.google.com/search?q=site%3Aulisboa.pt%20Comunica&#231;&#227;o%20e%20Marketing%20Pol&#237;tico%20p&#243;s-gradua&#231;&#227;o" TargetMode="External"/><Relationship Id="rId771" Type="http://schemas.openxmlformats.org/officeDocument/2006/relationships/hyperlink" Target="https://www.google.com/search?q=site%3Aipg.pt%20Marketing%20licenciatura" TargetMode="External"/><Relationship Id="rId2452" Type="http://schemas.openxmlformats.org/officeDocument/2006/relationships/hyperlink" Target="https://www.google.com/search?q=site%3Aipca.pt%20Mobilidade%20H&#237;brida%20CTeSP" TargetMode="External"/><Relationship Id="rId3503" Type="http://schemas.openxmlformats.org/officeDocument/2006/relationships/hyperlink" Target="https://www.google.com/search?q=site%3Aeuropeia.pt%20P&#243;s&#8209;Gradua&#231;&#227;o%20em%20Social%20Media%20e%20Marketing%20de%20Conte&#250;do%20%28IADE%29%20p&#243;s-gradua&#231;&#227;o" TargetMode="External"/><Relationship Id="rId424" Type="http://schemas.openxmlformats.org/officeDocument/2006/relationships/hyperlink" Target="https://www.google.com/search?q=site%3Aiscte-iul.pt%20Desenvolvimento%20de%20Software%20e%20Aplica&#231;&#245;es%20licenciatura" TargetMode="External"/><Relationship Id="rId1054" Type="http://schemas.openxmlformats.org/officeDocument/2006/relationships/hyperlink" Target="https://www.google.com/search?q=site%3Aipb.pt%20Enfermagem%20de%20Sa&#250;de%20Familiar%20mestrado" TargetMode="External"/><Relationship Id="rId2105" Type="http://schemas.openxmlformats.org/officeDocument/2006/relationships/hyperlink" Target="https://www.google.com/search?q=site%3Aipt.pt%20Tecnologias%20Integradas%20de%20Produ&#231;&#227;o%20Industrial%20CTeSP" TargetMode="External"/><Relationship Id="rId5675" Type="http://schemas.openxmlformats.org/officeDocument/2006/relationships/hyperlink" Target="https://www.google.com/search?q=site%3Aup.pt%20Engenharia%20Metal&#250;rgica%20e%20de%20Materiais%20mestrado%20integrado" TargetMode="External"/><Relationship Id="rId1121" Type="http://schemas.openxmlformats.org/officeDocument/2006/relationships/hyperlink" Target="https://www.google.com/search?q=site%3Aipcb.pt%20Produ&#231;&#227;o%20Agr&#237;cola%20CTeSP" TargetMode="External"/><Relationship Id="rId4277" Type="http://schemas.openxmlformats.org/officeDocument/2006/relationships/hyperlink" Target="https://www.google.com/search?q=site%3Auc.pt%20Ci&#234;ncia%20da%20Informa&#231;&#227;o%20licenciatura" TargetMode="External"/><Relationship Id="rId4691" Type="http://schemas.openxmlformats.org/officeDocument/2006/relationships/hyperlink" Target="https://www.google.com/search?q=site%3Aulisboa.pt%20Engenharia%20Alimentar%20mestrado" TargetMode="External"/><Relationship Id="rId5328" Type="http://schemas.openxmlformats.org/officeDocument/2006/relationships/hyperlink" Target="https://www.google.com/search?q=site%3Aualg.pt%20Ciclo%20Urbano%20da%20&#193;gua%20mestrado" TargetMode="External"/><Relationship Id="rId5742" Type="http://schemas.openxmlformats.org/officeDocument/2006/relationships/hyperlink" Target="https://www.google.com/search?q=site%3Auac.pt%20Patrim&#243;nio%2C%20Museologia%20e%20Desenvolvimento%20mestrado" TargetMode="External"/><Relationship Id="rId3293" Type="http://schemas.openxmlformats.org/officeDocument/2006/relationships/hyperlink" Target="https://www.google.com/search?q=site%3Aucp.pt%20Estudos%20da%20Fam&#237;lia%20mestrado" TargetMode="External"/><Relationship Id="rId4344" Type="http://schemas.openxmlformats.org/officeDocument/2006/relationships/hyperlink" Target="https://www.google.com/search?q=site%3Auc.pt%20Biodiversidade%20e%20Biotecnologia%20Vegetal%20mestrado" TargetMode="External"/><Relationship Id="rId1938" Type="http://schemas.openxmlformats.org/officeDocument/2006/relationships/hyperlink" Target="https://www.google.com/search?q=site%3Acespu.pt%20Podiatria%20Infantil%20mestrado" TargetMode="External"/><Relationship Id="rId3360" Type="http://schemas.openxmlformats.org/officeDocument/2006/relationships/hyperlink" Target="https://www.google.com/search?q=site%3Aucp.pt%20Gest&#227;o%20na%20Sa&#250;de%20%28Edi&#231;&#227;o%20Lisboa%29%20p&#243;s-gradua&#231;&#227;o" TargetMode="External"/><Relationship Id="rId281" Type="http://schemas.openxmlformats.org/officeDocument/2006/relationships/hyperlink" Target="https://www.google.com/search?q=site%3Aesscvp.eu%20Enfermagem%20de%20Reabilita&#231;&#227;o%20em%20Pediatria%20e%20Neonatologia%20p&#243;s-gradua&#231;&#227;o" TargetMode="External"/><Relationship Id="rId3013" Type="http://schemas.openxmlformats.org/officeDocument/2006/relationships/hyperlink" Target="https://www.google.com/search?q=site%3Aiscet.pt%20Turismo%20e%20Desenvolvimento%20de%20Produtos%20Tur&#237;sticos%20mestrado" TargetMode="External"/><Relationship Id="rId4411" Type="http://schemas.openxmlformats.org/officeDocument/2006/relationships/hyperlink" Target="https://www.google.com/search?q=site%3Auc.pt%20Estudos%20de%20Cultura%2C%20Literatura%20e%20L&#237;nguas%20Modernas%20mestrado" TargetMode="External"/><Relationship Id="rId2779" Type="http://schemas.openxmlformats.org/officeDocument/2006/relationships/hyperlink" Target="https://www.google.com/search?q=site%3Aipp.pt%20Terapia%20Ocupacional%20mestrado" TargetMode="External"/><Relationship Id="rId5185" Type="http://schemas.openxmlformats.org/officeDocument/2006/relationships/hyperlink" Target="https://www.google.com/search?q=site%3Auevora.pt%20Enfermagem%20de%20Sa&#250;de%20Materna%20e%20Obst&#233;trica%20mestrado" TargetMode="External"/><Relationship Id="rId1795" Type="http://schemas.openxmlformats.org/officeDocument/2006/relationships/hyperlink" Target="https://www.google.com/search?q=site%3Aipportalegre.pt%20Gest&#227;o%20de%20Recursos%20Humanos%20licenciatura" TargetMode="External"/><Relationship Id="rId2846" Type="http://schemas.openxmlformats.org/officeDocument/2006/relationships/hyperlink" Target="https://www.google.com/search?q=site%3Aipam.pt%20Neg&#243;cios%20Globais%20licenciatura" TargetMode="External"/><Relationship Id="rId5252" Type="http://schemas.openxmlformats.org/officeDocument/2006/relationships/hyperlink" Target="https://www.google.com/search?q=site%3Aualg.pt%20Design%20de%20Videojogos%20CTeSP" TargetMode="External"/><Relationship Id="rId87" Type="http://schemas.openxmlformats.org/officeDocument/2006/relationships/hyperlink" Target="https://www.google.com/search?q=site%3Ajoaodedeus.pt%20Educa&#231;&#227;o%20Pr&#233;-Escolar%20e%20Ensino%20do%201.&#186;%20Ciclo%20do%20Ensino%20B&#225;sico%20mestrado" TargetMode="External"/><Relationship Id="rId818" Type="http://schemas.openxmlformats.org/officeDocument/2006/relationships/hyperlink" Target="https://www.google.com/search?q=site%3Aipluso.pt%20Gest&#227;o%20de%20Hotelaria%20e%20Restaura&#231;&#227;o%20CTeSP" TargetMode="External"/><Relationship Id="rId1448" Type="http://schemas.openxmlformats.org/officeDocument/2006/relationships/hyperlink" Target="https://www.google.com/search?q=site%3Aipleiria.pt%20Comunica&#231;&#227;o%20e%20Media%20licenciatura" TargetMode="External"/><Relationship Id="rId1862" Type="http://schemas.openxmlformats.org/officeDocument/2006/relationships/hyperlink" Target="https://www.google.com/search?q=site%3Aipsantarem.pt%20Agronomia%20licenciatura" TargetMode="External"/><Relationship Id="rId2913" Type="http://schemas.openxmlformats.org/officeDocument/2006/relationships/hyperlink" Target="https://www.google.com/search?q=site%3Aismt.pt%20Anima&#231;&#227;o%20e%20Modela&#231;&#227;o%20Digital%203D%20&#8211;%20NOVA%20PG%20p&#243;s-gradua&#231;&#227;o" TargetMode="External"/><Relationship Id="rId1515" Type="http://schemas.openxmlformats.org/officeDocument/2006/relationships/hyperlink" Target="https://www.google.com/search?q=site%3Aipleiria.pt%20Design%20para%20a%20Sa&#250;de%20e%20Bem-Estar%20mestrado" TargetMode="External"/><Relationship Id="rId3687" Type="http://schemas.openxmlformats.org/officeDocument/2006/relationships/hyperlink" Target="https://www.google.com/search?q=site%3Alusofona.pt%20Engenharia%20do%20Ambiente%20licenciatura" TargetMode="External"/><Relationship Id="rId4738" Type="http://schemas.openxmlformats.org/officeDocument/2006/relationships/hyperlink" Target="https://www.google.com/search?q=site%3Aulisboa.pt%20Escultura%20mestrado" TargetMode="External"/><Relationship Id="rId2289" Type="http://schemas.openxmlformats.org/officeDocument/2006/relationships/hyperlink" Target="https://www.google.com/search?q=site%3Aipvc.pt%20Lideran&#231;a%20em%20Economia%20Azul%20Sustent&#225;vel%20p&#243;s-gradua&#231;&#227;o" TargetMode="External"/><Relationship Id="rId3754" Type="http://schemas.openxmlformats.org/officeDocument/2006/relationships/hyperlink" Target="https://www.google.com/search?q=site%3Alusofona.pt%20Arquitetura%20mestrado%20integrado" TargetMode="External"/><Relationship Id="rId4805" Type="http://schemas.openxmlformats.org/officeDocument/2006/relationships/hyperlink" Target="https://www.google.com/search?q=site%3Aulisboa.pt%20Microbiologia%20Aplicada%20mestrado" TargetMode="External"/><Relationship Id="rId675" Type="http://schemas.openxmlformats.org/officeDocument/2006/relationships/hyperlink" Target="https://www.google.com/search?q=site%3Aiees.pt%20Interven&#231;&#227;o%20Social%20e%20Comunit&#225;ria%20CTeSP" TargetMode="External"/><Relationship Id="rId2356" Type="http://schemas.openxmlformats.org/officeDocument/2006/relationships/hyperlink" Target="https://www.google.com/search?q=site%3Aipv.pt%20Engenharia%20do%20Ambiente%20licenciatura" TargetMode="External"/><Relationship Id="rId2770" Type="http://schemas.openxmlformats.org/officeDocument/2006/relationships/hyperlink" Target="https://www.google.com/search?q=site%3Aipp.pt%20Pr&#225;ticas%20Jur&#237;dico-Digitais%20mestrado" TargetMode="External"/><Relationship Id="rId3407" Type="http://schemas.openxmlformats.org/officeDocument/2006/relationships/hyperlink" Target="https://www.google.com/search?q=site%3Aeuropeia.pt%20Gest&#227;o%20%28regime%20de%20ensino%20a%20dist&#226;ncia%29%20licenciatura" TargetMode="External"/><Relationship Id="rId3821" Type="http://schemas.openxmlformats.org/officeDocument/2006/relationships/hyperlink" Target="https://www.google.com/search?q=site%3Aunl.pt%20Engenharia%20Biom&#233;dica%20licenciatura" TargetMode="External"/><Relationship Id="rId328" Type="http://schemas.openxmlformats.org/officeDocument/2006/relationships/hyperlink" Target="https://www.google.com/search?q=site%3Aesscvp.eu%20T&#233;cnico%20Superior%20de%20Seguran&#231;a%20no%20Trabalho%20p&#243;s-gradua&#231;&#227;o" TargetMode="External"/><Relationship Id="rId742" Type="http://schemas.openxmlformats.org/officeDocument/2006/relationships/hyperlink" Target="https://www.google.com/search?q=site%3Aipg.pt%20Rela&#231;&#245;es%20P&#250;blicas%20para%20o%20Turismo%20CTeSP" TargetMode="External"/><Relationship Id="rId1372" Type="http://schemas.openxmlformats.org/officeDocument/2006/relationships/hyperlink" Target="https://www.google.com/search?q=site%3Aipc.pt%20Supervis&#227;o%20Pedag&#243;gica%20em%20Educa&#231;&#227;o%20p&#243;s-gradua&#231;&#227;o" TargetMode="External"/><Relationship Id="rId2009" Type="http://schemas.openxmlformats.org/officeDocument/2006/relationships/hyperlink" Target="https://www.google.com/search?q=site%3Aips.pt%20Engenharia%20Civil%20%28regime%20noturno%29%20licenciatura" TargetMode="External"/><Relationship Id="rId2423" Type="http://schemas.openxmlformats.org/officeDocument/2006/relationships/hyperlink" Target="https://www.google.com/search?q=site%3Aipca.pt%20Desenho%20T&#233;cnico%20e%20Maquina&#231;&#227;o%20CTeSP" TargetMode="External"/><Relationship Id="rId5579" Type="http://schemas.openxmlformats.org/officeDocument/2006/relationships/hyperlink" Target="https://www.google.com/search?q=site%3Aup.pt%20Estudos%20Africanos%20mestrado" TargetMode="External"/><Relationship Id="rId1025" Type="http://schemas.openxmlformats.org/officeDocument/2006/relationships/hyperlink" Target="https://www.google.com/search?q=site%3Aipb.pt%20L&#237;nguas%20Estrangeiras%3A%20Ingl&#234;s%20e%20Espanhol%20licenciatura" TargetMode="External"/><Relationship Id="rId4595" Type="http://schemas.openxmlformats.org/officeDocument/2006/relationships/hyperlink" Target="https://www.google.com/search?q=site%3Aulisboa.pt%20L&#237;nguas%2C%20Literaturas%20e%20Culturas%20licenciatura" TargetMode="External"/><Relationship Id="rId5646" Type="http://schemas.openxmlformats.org/officeDocument/2006/relationships/hyperlink" Target="https://www.google.com/search?q=site%3Aup.pt%20Reabilita&#231;&#227;o%20Oral%20mestrado" TargetMode="External"/><Relationship Id="rId3197" Type="http://schemas.openxmlformats.org/officeDocument/2006/relationships/hyperlink" Target="https://www.google.com/search?q=site%3Aautonoma.pt%20Estudos%20de%20Seguran&#231;a%20licenciatura" TargetMode="External"/><Relationship Id="rId4248" Type="http://schemas.openxmlformats.org/officeDocument/2006/relationships/hyperlink" Target="https://www.google.com/search?q=site%3Aua.pt%20Contabilidade%20e%20Controlo%20de%20Gest&#227;o%20mestrado" TargetMode="External"/><Relationship Id="rId4662" Type="http://schemas.openxmlformats.org/officeDocument/2006/relationships/hyperlink" Target="https://www.google.com/search?q=site%3Aulisboa.pt%20Design%20Sustent&#225;vel%20no%20Mundo%20Mediterr&#226;nico%20mestrado" TargetMode="External"/><Relationship Id="rId5713" Type="http://schemas.openxmlformats.org/officeDocument/2006/relationships/hyperlink" Target="https://www.google.com/search?q=site%3Auac.pt%20Biodiversidade%20e%20Biotecnologia%20mestrado" TargetMode="External"/><Relationship Id="rId185" Type="http://schemas.openxmlformats.org/officeDocument/2006/relationships/hyperlink" Target="https://www.google.com/search?q=site%3Aesna.pt%20Economia%20Digital%20e%20Neg&#243;cios%20na%20Internet%20para%20PME%20CTeSP" TargetMode="External"/><Relationship Id="rId1909" Type="http://schemas.openxmlformats.org/officeDocument/2006/relationships/hyperlink" Target="https://www.google.com/search?q=site%3Aipsantarem.pt%20Gest&#227;o%20do%20Desporto%20mestrado" TargetMode="External"/><Relationship Id="rId3264" Type="http://schemas.openxmlformats.org/officeDocument/2006/relationships/hyperlink" Target="https://www.google.com/search?q=site%3Aucp.pt%20Biotecnologia%20para%20a%20Bioeconomia%20mestrado" TargetMode="External"/><Relationship Id="rId4315" Type="http://schemas.openxmlformats.org/officeDocument/2006/relationships/hyperlink" Target="https://www.google.com/search?q=site%3Auc.pt%20Intelig&#234;ncia%20Artificial%20e%20Ci&#234;ncia%20de%20Dados%20licenciatura" TargetMode="External"/><Relationship Id="rId2280" Type="http://schemas.openxmlformats.org/officeDocument/2006/relationships/hyperlink" Target="https://www.google.com/search?q=site%3Aipvc.pt%20Treino%20Desportivo%20mestrado" TargetMode="External"/><Relationship Id="rId3331" Type="http://schemas.openxmlformats.org/officeDocument/2006/relationships/hyperlink" Target="https://www.google.com/search?q=site%3Aucp.pt%20Psicologia%20do%20Bem-Estar%20e%20Promo&#231;&#227;o%20da%20Sa&#250;de%20mestrado" TargetMode="External"/><Relationship Id="rId252" Type="http://schemas.openxmlformats.org/officeDocument/2006/relationships/hyperlink" Target="https://www.google.com/search?q=site%3Aegasmoniz.edu.pt%20Medicina%20Oral%20e%20Patologia%20Oral%20p&#243;s-gradua&#231;&#227;o" TargetMode="External"/><Relationship Id="rId5089" Type="http://schemas.openxmlformats.org/officeDocument/2006/relationships/hyperlink" Target="https://www.google.com/search?q=site%3Autad.pt%20Enfermagem%20Veterin&#225;ria%20M&#233;dico&#8209;Cir&#250;rgica%20mestrado" TargetMode="External"/><Relationship Id="rId1699" Type="http://schemas.openxmlformats.org/officeDocument/2006/relationships/hyperlink" Target="https://www.google.com/search?q=site%3Aipl.pt%20Gest&#227;o%20e%20Empreendedorismo%20mestrado" TargetMode="External"/><Relationship Id="rId2000" Type="http://schemas.openxmlformats.org/officeDocument/2006/relationships/hyperlink" Target="https://www.google.com/search?q=site%3Aips.pt%20Bioinform&#225;tica%20licenciatura" TargetMode="External"/><Relationship Id="rId5156" Type="http://schemas.openxmlformats.org/officeDocument/2006/relationships/hyperlink" Target="https://www.google.com/search?q=site%3Auevora.pt%20Engenharia%20Civil%20licenciatura" TargetMode="External"/><Relationship Id="rId5570" Type="http://schemas.openxmlformats.org/officeDocument/2006/relationships/hyperlink" Target="https://www.google.com/search?q=site%3Aup.pt%20Ensino%20de%20Inform&#225;tica%20mestrado" TargetMode="External"/><Relationship Id="rId4172" Type="http://schemas.openxmlformats.org/officeDocument/2006/relationships/hyperlink" Target="https://www.google.com/search?q=site%3Aismai.pt%20Rela&#231;&#245;es%20P&#250;blicas%20e%20Gest&#227;o%20da%20Comunica&#231;&#227;o%20licenciatura" TargetMode="External"/><Relationship Id="rId5223" Type="http://schemas.openxmlformats.org/officeDocument/2006/relationships/hyperlink" Target="https://www.google.com/search?q=site%3Auevora.pt%20Ci&#234;ncias%20para%20conviv&#234;ncia%20da%20humanidade%20com%20o%20nosso%20planeta%20azul&#8209;verde%20fortemente%20amea&#231;ado%20p&#243;s-gradua&#231;&#227;o" TargetMode="External"/><Relationship Id="rId1766" Type="http://schemas.openxmlformats.org/officeDocument/2006/relationships/hyperlink" Target="https://www.google.com/search?q=site%3Aipportalegre.pt%20Manuten&#231;&#227;o%20de%20Equipamentos%20e%20Infraestruturas%20CTeSP" TargetMode="External"/><Relationship Id="rId2817" Type="http://schemas.openxmlformats.org/officeDocument/2006/relationships/hyperlink" Target="https://www.google.com/search?q=site%3Aipp.pt%20Inova&#231;&#227;o%20e%20Lideran&#231;a%20em%20Prote&#231;&#227;o%20Civil%20Aut&#225;rquica%20p&#243;s-gradua&#231;&#227;o" TargetMode="External"/><Relationship Id="rId58" Type="http://schemas.openxmlformats.org/officeDocument/2006/relationships/hyperlink" Target="https://www.google.com/search?q=site%3Aesap.pt%20Artes%20Visuais%20e%20Investiga&#231;&#227;o%20p&#243;s-gradua&#231;&#227;o" TargetMode="External"/><Relationship Id="rId1419" Type="http://schemas.openxmlformats.org/officeDocument/2006/relationships/hyperlink" Target="https://www.google.com/search?q=site%3Aipleiria.pt%20Produ&#231;&#227;o%20Prim&#225;ria%20Sustent&#225;vel%20CTeSP" TargetMode="External"/><Relationship Id="rId1833" Type="http://schemas.openxmlformats.org/officeDocument/2006/relationships/hyperlink" Target="https://www.google.com/search?q=site%3Aipsantarem.pt%20Cuidados%20Veterin&#225;rios%20CTeSP" TargetMode="External"/><Relationship Id="rId4989" Type="http://schemas.openxmlformats.org/officeDocument/2006/relationships/hyperlink" Target="https://www.google.com/search?q=site%3Aulisboa.pt%20Promo&#231;&#227;o%20de%20Escolas%20Saud&#225;veis%3A%20interven&#231;&#227;o%20com%20alunos%2C%20professores%20e%20pais%20p&#243;s-gradua&#231;&#227;o" TargetMode="External"/><Relationship Id="rId1900" Type="http://schemas.openxmlformats.org/officeDocument/2006/relationships/hyperlink" Target="https://www.google.com/search?q=site%3Aipsantarem.pt%20Enfermagem%20de%20Sa&#250;de%20Mental%20e%20Psiqui&#225;trica%20mestrado" TargetMode="External"/><Relationship Id="rId3658" Type="http://schemas.openxmlformats.org/officeDocument/2006/relationships/hyperlink" Target="https://www.google.com/search?q=site%3Alusofona.pt%20Ci&#234;ncia%20de%20Dados%20%282022%29%20licenciatura" TargetMode="External"/><Relationship Id="rId4709" Type="http://schemas.openxmlformats.org/officeDocument/2006/relationships/hyperlink" Target="https://www.google.com/search?q=site%3Aulisboa.pt%20Engenharia%20Naval%20e%20Oce&#226;nica%20mestrado" TargetMode="External"/><Relationship Id="rId579" Type="http://schemas.openxmlformats.org/officeDocument/2006/relationships/hyperlink" Target="https://www.google.com/search?q=site%3Aiseclisboa.pt%20Gest&#227;o%20e%20Comunica&#231;&#227;o%20de%20um%20Projeto%20de%20Design%20Aplicado%20p&#243;s-gradua&#231;&#227;o" TargetMode="External"/><Relationship Id="rId993" Type="http://schemas.openxmlformats.org/officeDocument/2006/relationships/hyperlink" Target="https://www.google.com/search?q=site%3Aipb.pt%20Biologia%20e%20Biotecnologia%20licenciatura" TargetMode="External"/><Relationship Id="rId2674" Type="http://schemas.openxmlformats.org/officeDocument/2006/relationships/hyperlink" Target="https://www.google.com/search?q=site%3Aipp.pt%20Recursos%20Humanos%20licenciatura" TargetMode="External"/><Relationship Id="rId5080" Type="http://schemas.openxmlformats.org/officeDocument/2006/relationships/hyperlink" Target="https://www.google.com/search?q=site%3Autad.pt%20Ci&#234;ncias%20do%20Desporto%2C%20com%20especializa&#231;&#227;o%20em%20Prescri&#231;&#227;o%20do%20Exerc&#237;cio%20F&#237;sico%20e%20Sa&#250;de%20mestrado" TargetMode="External"/><Relationship Id="rId646" Type="http://schemas.openxmlformats.org/officeDocument/2006/relationships/hyperlink" Target="https://www.google.com/search?q=site%3Aistec.pt%20Desenvolvimento%20para%20Dispositivos%20M&#243;veis%20CTeSP" TargetMode="External"/><Relationship Id="rId1276" Type="http://schemas.openxmlformats.org/officeDocument/2006/relationships/hyperlink" Target="https://www.google.com/search?q=site%3Aipc.pt%20L&#237;ngua%20Gestual%20Portuguesa%20licenciatura" TargetMode="External"/><Relationship Id="rId2327" Type="http://schemas.openxmlformats.org/officeDocument/2006/relationships/hyperlink" Target="https://www.google.com/search?q=site%3Aipv.pt%20Rela&#231;&#245;es%20e%20Neg&#243;cios%20Internacionais%20CTeSP" TargetMode="External"/><Relationship Id="rId3725" Type="http://schemas.openxmlformats.org/officeDocument/2006/relationships/hyperlink" Target="https://www.google.com/search?q=site%3Alusofona.pt%20Ci&#234;ncias%20da%20Educa&#231;&#227;o%20&#8211;%20Educa&#231;&#227;o%20Especial%20%28Dom&#237;nio%20Cognitivo%20e%20Motor%29%20mestrado" TargetMode="External"/><Relationship Id="rId1690" Type="http://schemas.openxmlformats.org/officeDocument/2006/relationships/hyperlink" Target="https://www.google.com/search?q=site%3Aipl.pt%20Ensino%20de%20M&#250;sica%20mestrado" TargetMode="External"/><Relationship Id="rId2741" Type="http://schemas.openxmlformats.org/officeDocument/2006/relationships/hyperlink" Target="https://www.google.com/search?q=site%3Aipp.pt%20Ensino%20do%201.&#186;%20Ciclo%20do%20Ensino%20B&#225;sico%20e%20de%20Portugu&#234;s%20e%20Hist&#243;ria%20e%20Geografia%20de%20Portugal%20no%202.&#186;%20Ciclo%20do%20Ensino%20B&#225;sico%20mestrado" TargetMode="External"/><Relationship Id="rId713" Type="http://schemas.openxmlformats.org/officeDocument/2006/relationships/hyperlink" Target="https://www.google.com/search?q=site%3Aipg.pt%20Comunica&#231;&#227;o%2C%20Protocolo%20e%20Organiza&#231;&#227;o%20de%20Eventos%20CTeSP" TargetMode="External"/><Relationship Id="rId1343" Type="http://schemas.openxmlformats.org/officeDocument/2006/relationships/hyperlink" Target="https://www.google.com/search?q=site%3Aipc.pt%20Bioqu&#237;mica%20e%20Hematologia%3A%20do%20laborat&#243;rio%20&#224;%20cl&#237;nica%20p&#243;s-gradua&#231;&#227;o" TargetMode="External"/><Relationship Id="rId4499" Type="http://schemas.openxmlformats.org/officeDocument/2006/relationships/hyperlink" Target="https://www.google.com/search?q=site%3Auc.pt%20Engenharia%20F&#237;sica%20mestrado%20integrado" TargetMode="External"/><Relationship Id="rId1410" Type="http://schemas.openxmlformats.org/officeDocument/2006/relationships/hyperlink" Target="https://www.google.com/search?q=site%3Aipleiria.pt%20Laborat&#243;rio%20Forense%20e%20Criminal%20CTeSP" TargetMode="External"/><Relationship Id="rId4566" Type="http://schemas.openxmlformats.org/officeDocument/2006/relationships/hyperlink" Target="https://www.google.com/search?q=site%3Aulisboa.pt%20Engenharia%20de%20Minas%20e%20Recursos%20Energ&#233;ticos%20licenciatura" TargetMode="External"/><Relationship Id="rId4980" Type="http://schemas.openxmlformats.org/officeDocument/2006/relationships/hyperlink" Target="https://www.google.com/search?q=site%3Aulisboa.pt%20Metodologias%20e%20T&#233;cnicas%20de%20Investiga&#231;&#227;o%20Cient&#237;fica%20p&#243;s-gradua&#231;&#227;o" TargetMode="External"/><Relationship Id="rId5617" Type="http://schemas.openxmlformats.org/officeDocument/2006/relationships/hyperlink" Target="https://www.google.com/search?q=site%3Aup.pt%20Matem&#225;tica%20mestrado" TargetMode="External"/><Relationship Id="rId3168" Type="http://schemas.openxmlformats.org/officeDocument/2006/relationships/hyperlink" Target="https://www.google.com/search?q=site%3Auab.pt%20Did&#225;tica%20do%20Ingl&#234;s%20mestrado" TargetMode="External"/><Relationship Id="rId3582" Type="http://schemas.openxmlformats.org/officeDocument/2006/relationships/hyperlink" Target="https://www.google.com/search?q=site%3Aulusiada.pt%20Gest&#227;o%20de%20Empresa%20licenciatura" TargetMode="External"/><Relationship Id="rId4219" Type="http://schemas.openxmlformats.org/officeDocument/2006/relationships/hyperlink" Target="https://www.google.com/search?q=site%3Aua.pt%20Redes%20e%20Sistemas%20Inform&#225;ticos%20CTeSP" TargetMode="External"/><Relationship Id="rId4633" Type="http://schemas.openxmlformats.org/officeDocument/2006/relationships/hyperlink" Target="https://www.google.com/search?q=site%3Aulisboa.pt%20Ci&#234;ncia%20Pol&#237;tica%20mestrado" TargetMode="External"/><Relationship Id="rId2184" Type="http://schemas.openxmlformats.org/officeDocument/2006/relationships/hyperlink" Target="https://www.google.com/search?q=site%3Aipvc.pt%20Mecaniza&#231;&#227;o%20e%20Automa&#231;&#227;o%20Agr&#237;cola%20CTeSP" TargetMode="External"/><Relationship Id="rId3235" Type="http://schemas.openxmlformats.org/officeDocument/2006/relationships/hyperlink" Target="https://www.google.com/search?q=site%3Aucp.pt%20Comunica&#231;&#227;o%20Social%20e%20Cultural%20licenciatura" TargetMode="External"/><Relationship Id="rId156" Type="http://schemas.openxmlformats.org/officeDocument/2006/relationships/hyperlink" Target="https://www.google.com/search?q=site%3Asjcluny.org%20Enfermagem%20licenciatura" TargetMode="External"/><Relationship Id="rId570" Type="http://schemas.openxmlformats.org/officeDocument/2006/relationships/hyperlink" Target="https://www.google.com/search?q=site%3Aiseclisboa.pt%20Opera&#231;&#245;es%20de%20Transporte%20A&#233;reo%20mestrado" TargetMode="External"/><Relationship Id="rId2251" Type="http://schemas.openxmlformats.org/officeDocument/2006/relationships/hyperlink" Target="https://www.google.com/search?q=site%3Aipvc.pt%20Enfermagem%20Comunit&#225;ria%20na%20&#225;rea%20de%20Enfermagem%20de%20Sa&#250;de%20Comunit&#225;ria%20e%20de%20Sa&#250;de%20P&#250;blica%20mestrado" TargetMode="External"/><Relationship Id="rId3302" Type="http://schemas.openxmlformats.org/officeDocument/2006/relationships/hyperlink" Target="https://www.google.com/search?q=site%3Aucp.pt%20Gerontologia%20e%20Cuidado%20Geri&#225;trico%20mestrado" TargetMode="External"/><Relationship Id="rId4700" Type="http://schemas.openxmlformats.org/officeDocument/2006/relationships/hyperlink" Target="https://www.google.com/search?q=site%3Aulisboa.pt%20Engenharia%20Farmac&#234;utica%20mestrado" TargetMode="External"/><Relationship Id="rId223" Type="http://schemas.openxmlformats.org/officeDocument/2006/relationships/hyperlink" Target="https://www.google.com/search?q=site%3Aegasmoniz.edu.pt%20Pr&#243;tese%20Dent&#225;ria%20licenciatura" TargetMode="External"/><Relationship Id="rId4076" Type="http://schemas.openxmlformats.org/officeDocument/2006/relationships/hyperlink" Target="https://www.google.com/search?q=site%3Aunl.pt%20Marketing%2C%20Estrat&#233;gia%20%26%20Inova&#231;&#227;o%20p&#243;s-gradua&#231;&#227;o" TargetMode="External"/><Relationship Id="rId5474" Type="http://schemas.openxmlformats.org/officeDocument/2006/relationships/hyperlink" Target="https://www.google.com/search?q=site%3Aup.pt%20Arqueologia%20mestrado" TargetMode="External"/><Relationship Id="rId4490" Type="http://schemas.openxmlformats.org/officeDocument/2006/relationships/hyperlink" Target="https://www.google.com/search?q=site%3Auc.pt%20Tradu&#231;&#227;o%20mestrado" TargetMode="External"/><Relationship Id="rId5127" Type="http://schemas.openxmlformats.org/officeDocument/2006/relationships/hyperlink" Target="https://www.google.com/search?q=site%3Autad.pt%20Psicologia%20do%20Desporto%20e%20Desenvolvimento%20Humano%20mestrado" TargetMode="External"/><Relationship Id="rId5541" Type="http://schemas.openxmlformats.org/officeDocument/2006/relationships/hyperlink" Target="https://www.google.com/search?q=site%3Aup.pt%20Engenharia%20Agron&#243;mica%20mestrado" TargetMode="External"/><Relationship Id="rId1737" Type="http://schemas.openxmlformats.org/officeDocument/2006/relationships/hyperlink" Target="https://www.google.com/search?q=site%3Aipl.pt%20Novas%20Abordagens%20em%20Ac&#250;stica%20Aplicada%20e%20&#193;udio%20p&#243;s-gradua&#231;&#227;o" TargetMode="External"/><Relationship Id="rId3092" Type="http://schemas.openxmlformats.org/officeDocument/2006/relationships/hyperlink" Target="https://www.google.com/search?q=site%3Aisssp.pt%20Servi&#231;o%20Social%20Forense%20p&#243;s-gradua&#231;&#227;o" TargetMode="External"/><Relationship Id="rId4143" Type="http://schemas.openxmlformats.org/officeDocument/2006/relationships/hyperlink" Target="https://www.google.com/search?q=site%3Aubi.pt%20Gest&#227;o%20licenciatura" TargetMode="External"/><Relationship Id="rId29" Type="http://schemas.openxmlformats.org/officeDocument/2006/relationships/hyperlink" Target="https://www.google.com/search?q=site%3Aenautica.pt%20Mecatr&#243;nica%20Naval%20CTeSP" TargetMode="External"/><Relationship Id="rId4210" Type="http://schemas.openxmlformats.org/officeDocument/2006/relationships/hyperlink" Target="https://www.google.com/search?q=site%3Aua.pt%20Gest&#227;o%20de%20PME%20CTeSP" TargetMode="External"/><Relationship Id="rId1804" Type="http://schemas.openxmlformats.org/officeDocument/2006/relationships/hyperlink" Target="https://www.google.com/search?q=site%3Aipportalegre.pt%20Design%20de%20Identidade%20Digital%20mestrado" TargetMode="External"/><Relationship Id="rId3976" Type="http://schemas.openxmlformats.org/officeDocument/2006/relationships/hyperlink" Target="https://www.google.com/search?q=site%3Aunl.pt%20Matem&#225;tica%20Atuarial%20mestrado" TargetMode="External"/><Relationship Id="rId897" Type="http://schemas.openxmlformats.org/officeDocument/2006/relationships/hyperlink" Target="https://www.google.com/search?q=site%3Aipbeja.pt%20Audiovisual%20e%20Multim&#233;dia%20licenciatura" TargetMode="External"/><Relationship Id="rId2578" Type="http://schemas.openxmlformats.org/officeDocument/2006/relationships/hyperlink" Target="https://www.google.com/search?q=site%3Aipp.pt%20Energia%2C%20Efici&#234;ncia%20e%20Sustentabilidade%20CTeSP" TargetMode="External"/><Relationship Id="rId2992" Type="http://schemas.openxmlformats.org/officeDocument/2006/relationships/hyperlink" Target="https://www.google.com/search?q=site%3Aisced.pt%20Futebol%20Feminino%20&#8211;%20Da%20Forma&#231;&#227;o%20ao%20Rendimento%20p&#243;s-gradua&#231;&#227;o" TargetMode="External"/><Relationship Id="rId3629" Type="http://schemas.openxmlformats.org/officeDocument/2006/relationships/hyperlink" Target="https://www.google.com/search?q=site%3Aulusiada.pt%20Fisioterapia%20em%20Pediatria%20e%20Desenvolvimento%20&#8211;%201.&#170;%20edi&#231;&#227;o%20p&#243;s-gradua&#231;&#227;o" TargetMode="External"/><Relationship Id="rId5051" Type="http://schemas.openxmlformats.org/officeDocument/2006/relationships/hyperlink" Target="https://www.google.com/search?q=site%3Autad.pt%20L&#237;nguas%20e%20Rela&#231;&#245;es%20Empresariais%20licenciatura" TargetMode="External"/><Relationship Id="rId964" Type="http://schemas.openxmlformats.org/officeDocument/2006/relationships/hyperlink" Target="https://www.google.com/search?q=site%3Aipb.pt%20Gest&#227;o%20Ambiental%20CTeSP" TargetMode="External"/><Relationship Id="rId1594" Type="http://schemas.openxmlformats.org/officeDocument/2006/relationships/hyperlink" Target="https://www.google.com/search?q=site%3Aipleiria.pt%20Gest&#227;o%20de%20Projetos%20&#8211;%207.&#170;%20Edi&#231;&#227;o%20p&#243;s-gradua&#231;&#227;o" TargetMode="External"/><Relationship Id="rId2645" Type="http://schemas.openxmlformats.org/officeDocument/2006/relationships/hyperlink" Target="https://www.google.com/search?q=site%3Aipp.pt%20Engenharia%20Mec&#226;nica%20Autom&#243;vel%20licenciatura" TargetMode="External"/><Relationship Id="rId617" Type="http://schemas.openxmlformats.org/officeDocument/2006/relationships/hyperlink" Target="https://www.google.com/search?q=site%3Aisla.pt%20MBA%20Executivo%20p&#243;s-gradua&#231;&#227;o%20executiva" TargetMode="External"/><Relationship Id="rId1247" Type="http://schemas.openxmlformats.org/officeDocument/2006/relationships/hyperlink" Target="https://www.google.com/search?q=site%3Aipc.pt%20Ci&#234;ncias%20Biom&#233;dicas%20Laboratoriais%20licenciatura" TargetMode="External"/><Relationship Id="rId1661" Type="http://schemas.openxmlformats.org/officeDocument/2006/relationships/hyperlink" Target="https://www.google.com/search?q=site%3Aipl.pt%20An&#225;lise%20e%20Controlo%20de%20Riscos%20Ambientais%20para%20a%20Sa&#250;de%20mestrado" TargetMode="External"/><Relationship Id="rId2712" Type="http://schemas.openxmlformats.org/officeDocument/2006/relationships/hyperlink" Target="https://www.google.com/search?q=site%3Aipp.pt%20Did&#225;tica%20das%20Ci&#234;ncias%20da%20Natureza%20e%20da%20Matem&#225;tica%20mestrado" TargetMode="External"/><Relationship Id="rId1314" Type="http://schemas.openxmlformats.org/officeDocument/2006/relationships/hyperlink" Target="https://www.google.com/search?q=site%3Aipc.pt%20Ensino%20do%201.&#186;%20CEB%20e%20de%20Matem&#225;tica%20e%20Ci&#234;ncias%20Naturais%20no%202.&#186;%20CEB%20mestrado" TargetMode="External"/><Relationship Id="rId4884" Type="http://schemas.openxmlformats.org/officeDocument/2006/relationships/hyperlink" Target="https://www.google.com/search?q=site%3Aulisboa.pt%20An&#225;lise%20Financeira%20p&#243;s-gradua&#231;&#227;o" TargetMode="External"/><Relationship Id="rId3486" Type="http://schemas.openxmlformats.org/officeDocument/2006/relationships/hyperlink" Target="https://www.google.com/search?q=site%3Aeuropeia.pt%20P&#243;s&#8209;Gradua&#231;&#227;o%20em%20Fotografia%20e%20New%20Media%20%28IADE%29%20p&#243;s-gradua&#231;&#227;o" TargetMode="External"/><Relationship Id="rId4537" Type="http://schemas.openxmlformats.org/officeDocument/2006/relationships/hyperlink" Target="https://www.google.com/search?q=site%3Aulisboa.pt%20Design%20de%20Equipamento%20licenciatura" TargetMode="External"/><Relationship Id="rId20" Type="http://schemas.openxmlformats.org/officeDocument/2006/relationships/hyperlink" Target="https://www.google.com/search?q=site%3Auatlantica.pt%20P&#243;s-Gradua&#231;&#227;o%20em%20Auditoria%20Hospitalar%20e%20Gest&#227;o%20em%20Sa&#250;de%20p&#243;s-gradua&#231;&#227;o" TargetMode="External"/><Relationship Id="rId2088" Type="http://schemas.openxmlformats.org/officeDocument/2006/relationships/hyperlink" Target="https://www.google.com/search?q=site%3Aipt.pt%20Inform&#225;tica%20CTeSP" TargetMode="External"/><Relationship Id="rId3139" Type="http://schemas.openxmlformats.org/officeDocument/2006/relationships/hyperlink" Target="https://www.google.com/search?q=site%3Acespu.pt%20Periodontologia%20e%20Peri&#8209;Implantologia%20Cl&#237;nica%20&#8211;%208.&#170;%20edi&#231;&#227;o%20p&#243;s-gradua&#231;&#227;o" TargetMode="External"/><Relationship Id="rId4951" Type="http://schemas.openxmlformats.org/officeDocument/2006/relationships/hyperlink" Target="https://www.google.com/search?q=site%3Aulisboa.pt%20Gest&#227;o%20da%20Sustentabilidade%20p&#243;s-gradua&#231;&#227;o" TargetMode="External"/><Relationship Id="rId474" Type="http://schemas.openxmlformats.org/officeDocument/2006/relationships/hyperlink" Target="https://www.google.com/search?q=site%3Aiscte-iul.pt%20Gest&#227;o%20Estrat&#233;gica%20de%20Pessoas%20e%20Lideran&#231;a%20p&#243;s-gradua&#231;&#227;o%20executiva" TargetMode="External"/><Relationship Id="rId2155" Type="http://schemas.openxmlformats.org/officeDocument/2006/relationships/hyperlink" Target="https://www.google.com/search?q=site%3Aipt.pt%20Territ&#243;rio%20e%20Prote&#231;&#227;o%20Civil%20p&#243;s-gradua&#231;&#227;o" TargetMode="External"/><Relationship Id="rId3553" Type="http://schemas.openxmlformats.org/officeDocument/2006/relationships/hyperlink" Target="https://www.google.com/search?q=site%3Aufp.pt%20Medicina%20Est&#233;tica%20p&#243;s-gradua&#231;&#227;o" TargetMode="External"/><Relationship Id="rId4604" Type="http://schemas.openxmlformats.org/officeDocument/2006/relationships/hyperlink" Target="https://www.google.com/search?q=site%3Aulisboa.pt%20Psicologia%20licenciatura" TargetMode="External"/><Relationship Id="rId127" Type="http://schemas.openxmlformats.org/officeDocument/2006/relationships/hyperlink" Target="https://www.google.com/search?q=site%3Aesesfm.pt%20Enfermagem%20de%20Sa&#250;de%20Mental%20e%20Psiqui&#225;trica%20mestrado" TargetMode="External"/><Relationship Id="rId3206" Type="http://schemas.openxmlformats.org/officeDocument/2006/relationships/hyperlink" Target="https://www.google.com/search?q=site%3Aautonoma.pt%20Direito%20mestrado" TargetMode="External"/><Relationship Id="rId3620" Type="http://schemas.openxmlformats.org/officeDocument/2006/relationships/hyperlink" Target="https://www.google.com/search?q=site%3Aulusiada.pt%20Design%20de%20Espa&#231;os%20Ef&#233;meros%3A%20design%20expositivo%2C%20vitrinismo%2C%20lojas%20pop&#8209;up%20e%20cenografia%20%5B2025/2026%5D%20p&#243;s-gradua&#231;&#227;o" TargetMode="External"/><Relationship Id="rId541" Type="http://schemas.openxmlformats.org/officeDocument/2006/relationships/hyperlink" Target="https://www.google.com/search?q=site%3Aiseclisboa.pt%20Prote&#231;&#227;o%20Civil%20e%20Socorro%20CTeSP" TargetMode="External"/><Relationship Id="rId1171" Type="http://schemas.openxmlformats.org/officeDocument/2006/relationships/hyperlink" Target="https://www.google.com/search?q=site%3Aipcb.pt%20Enfermagem%20Veterin&#225;ria%20em%20Animais%20de%20Companhia%20mestrado" TargetMode="External"/><Relationship Id="rId2222" Type="http://schemas.openxmlformats.org/officeDocument/2006/relationships/hyperlink" Target="https://www.google.com/search?q=site%3Aipvc.pt%20Engenharia%20da%20Computa&#231;&#227;o%20Gr&#225;fica%20e%20Multim&#233;dia%20licenciatura" TargetMode="External"/><Relationship Id="rId5378" Type="http://schemas.openxmlformats.org/officeDocument/2006/relationships/hyperlink" Target="https://www.google.com/search?q=site%3Aualg.pt%20Neuroci&#234;ncias%20Cognitivas%20e%20Neuropsicologia%20mestrado" TargetMode="External"/><Relationship Id="rId5792" Type="http://schemas.openxmlformats.org/officeDocument/2006/relationships/hyperlink" Target="https://www.google.com/search?q=site%3Aium.pt%20Medicina%20Veterin&#225;ria%20%28grau%20pela%20FMV-UL%29%20mestrado%20integrado" TargetMode="External"/><Relationship Id="rId1988" Type="http://schemas.openxmlformats.org/officeDocument/2006/relationships/hyperlink" Target="https://www.google.com/search?q=site%3Aips.pt%20Redes%20El&#233;tricas%20Inteligentes%20e%20Dom&#243;tica%20CTeSP" TargetMode="External"/><Relationship Id="rId4394" Type="http://schemas.openxmlformats.org/officeDocument/2006/relationships/hyperlink" Target="https://www.google.com/search?q=site%3Auc.pt%20Ensino%20de%20Educa&#231;&#227;o%20F&#237;sica%20nos%20Ensinos%20B&#225;sico%20e%20Secund&#225;rio%20mestrado" TargetMode="External"/><Relationship Id="rId5445" Type="http://schemas.openxmlformats.org/officeDocument/2006/relationships/hyperlink" Target="https://www.google.com/search?q=site%3Aup.pt%20Engenharia%20de%20Materiais%20licenciatura" TargetMode="External"/><Relationship Id="rId4047" Type="http://schemas.openxmlformats.org/officeDocument/2006/relationships/hyperlink" Target="https://www.google.com/search?q=site%3Aunl.pt%20Data%20Science%20for%20Marketing%20p&#243;s-gradua&#231;&#227;o" TargetMode="External"/><Relationship Id="rId4461" Type="http://schemas.openxmlformats.org/officeDocument/2006/relationships/hyperlink" Target="https://www.google.com/search?q=site%3Auc.pt%20Portugu&#234;s%20como%20L&#237;ngua%20Estrangeira%20e%20L&#237;ngua%20Segunda%20mestrado" TargetMode="External"/><Relationship Id="rId5512" Type="http://schemas.openxmlformats.org/officeDocument/2006/relationships/hyperlink" Target="https://www.google.com/search?q=site%3Aup.pt%20Comunica&#231;&#227;o%20e%20Gest&#227;o%20de%20Ind&#250;strias%20Criativas%20mestrado" TargetMode="External"/><Relationship Id="rId3063" Type="http://schemas.openxmlformats.org/officeDocument/2006/relationships/hyperlink" Target="https://www.google.com/search?q=site%3Aisvouga.pt%20Marketing%20Digital%20com%20IA%20Aplicada%20p&#243;s-gradua&#231;&#227;o" TargetMode="External"/><Relationship Id="rId4114" Type="http://schemas.openxmlformats.org/officeDocument/2006/relationships/hyperlink" Target="https://www.google.com/search?q=site%3Aupt.pt%20Arquitetura%20e%20Urbanismo%20mestrado%20integrado" TargetMode="External"/><Relationship Id="rId1708" Type="http://schemas.openxmlformats.org/officeDocument/2006/relationships/hyperlink" Target="https://www.google.com/search?q=site%3Aipl.pt%20Seguran&#231;a%20e%20Higiene%20do%20Trabalho%20mestrado" TargetMode="External"/><Relationship Id="rId3130" Type="http://schemas.openxmlformats.org/officeDocument/2006/relationships/hyperlink" Target="https://www.google.com/search?q=site%3Acespu.pt%20Medicina%20Dent&#225;ria%20Digital%20&#8211;%206.&#170;%20edi&#231;&#227;o%20p&#243;s-gradua&#231;&#227;o" TargetMode="External"/><Relationship Id="rId2896" Type="http://schemas.openxmlformats.org/officeDocument/2006/relationships/hyperlink" Target="https://www.google.com/search?q=site%3Aismat.pt%20Design%20e%20Produ&#231;&#227;o%20de%20Moda%20e%20T&#234;xtil%20licenciatura" TargetMode="External"/><Relationship Id="rId3947" Type="http://schemas.openxmlformats.org/officeDocument/2006/relationships/hyperlink" Target="https://www.google.com/search?q=site%3Aunl.pt%20Gest&#227;o%20mestrado" TargetMode="External"/><Relationship Id="rId868" Type="http://schemas.openxmlformats.org/officeDocument/2006/relationships/hyperlink" Target="https://www.google.com/search?q=site%3Aipmaia.pt%20Educa&#231;&#227;o%20Social%20licenciatura" TargetMode="External"/><Relationship Id="rId1498" Type="http://schemas.openxmlformats.org/officeDocument/2006/relationships/hyperlink" Target="https://www.google.com/search?q=site%3Aipleiria.pt%20Atividade%20F&#237;sica%20para%20Pessoas%20com%20Defici&#234;ncia%20mestrado" TargetMode="External"/><Relationship Id="rId2549" Type="http://schemas.openxmlformats.org/officeDocument/2006/relationships/hyperlink" Target="https://www.google.com/search?q=site%3Aipca.pt%20Gest&#227;o%20de%20Unidades%20de%20Turismo%20em%20Espa&#231;o%20Rural%20p&#243;s-gradua&#231;&#227;o" TargetMode="External"/><Relationship Id="rId2963" Type="http://schemas.openxmlformats.org/officeDocument/2006/relationships/hyperlink" Target="https://www.google.com/search?q=site%3Aisced.pt%20Desenvolvimento%20de%20Conte&#250;dos%20Multim&#233;dia%20CTeSP" TargetMode="External"/><Relationship Id="rId935" Type="http://schemas.openxmlformats.org/officeDocument/2006/relationships/hyperlink" Target="https://www.google.com/search?q=site%3Aipbeja.pt%20Terapia%20da%20M&#227;o%20&#8211;%20Reeduca&#231;&#227;o%20do%20Membro%20Superior%20p&#243;s-gradua&#231;&#227;o" TargetMode="External"/><Relationship Id="rId1565" Type="http://schemas.openxmlformats.org/officeDocument/2006/relationships/hyperlink" Target="https://www.google.com/search?q=site%3Aipleiria.pt%20Terapia%20da%20Fala%20-%20Neuroci&#234;ncia%20Cl&#237;nica%20Aplicada%20mestrado" TargetMode="External"/><Relationship Id="rId2616" Type="http://schemas.openxmlformats.org/officeDocument/2006/relationships/hyperlink" Target="https://www.google.com/search?q=site%3Aipp.pt%20T&#233;cnicas%20de%20Supervis&#227;o%20na%20Constru&#231;&#227;o%20CTeSP" TargetMode="External"/><Relationship Id="rId5022" Type="http://schemas.openxmlformats.org/officeDocument/2006/relationships/hyperlink" Target="https://www.google.com/search?q=site%3Autad.pt%20Cidades%20Sustent&#225;veis%20e%20Inteligentes%20licenciatura" TargetMode="External"/><Relationship Id="rId1218" Type="http://schemas.openxmlformats.org/officeDocument/2006/relationships/hyperlink" Target="https://www.google.com/search?q=site%3Aipc.pt%20Gest&#227;o%20Comercial%20e%20de%20Marketing%20CTeSP" TargetMode="External"/><Relationship Id="rId1632" Type="http://schemas.openxmlformats.org/officeDocument/2006/relationships/hyperlink" Target="https://www.google.com/search?q=site%3Aipl.pt%20Engenharia%20Inform&#225;tica%20e%20Multim&#233;dia%20licenciatura" TargetMode="External"/><Relationship Id="rId4788" Type="http://schemas.openxmlformats.org/officeDocument/2006/relationships/hyperlink" Target="https://www.google.com/search?q=site%3Aulisboa.pt%20Investiga&#231;&#227;o%20Cl&#237;nica%20mestrado" TargetMode="External"/><Relationship Id="rId4855" Type="http://schemas.openxmlformats.org/officeDocument/2006/relationships/hyperlink" Target="https://www.google.com/search?q=site%3Aulisboa.pt%20Transforma&#231;&#227;o%20na%20Gest&#227;o%20de%20Recursos%20Humanos%20-%20Executivo%20mestrado" TargetMode="External"/><Relationship Id="rId3457" Type="http://schemas.openxmlformats.org/officeDocument/2006/relationships/hyperlink" Target="https://www.google.com/search?q=site%3Aeuropeia.pt%20Gest&#227;o%20da%20Seguran&#231;a%20mestrado" TargetMode="External"/><Relationship Id="rId3871" Type="http://schemas.openxmlformats.org/officeDocument/2006/relationships/hyperlink" Target="https://www.google.com/search?q=site%3Aunl.pt%20Ci&#234;ncia%20Pol&#237;tica%20e%20Rela&#231;&#245;es%20Internacionais%20mestrado" TargetMode="External"/><Relationship Id="rId4508" Type="http://schemas.openxmlformats.org/officeDocument/2006/relationships/hyperlink" Target="https://www.google.com/search?q=site%3Auc.pt%20Avalia&#231;&#227;o%20e%20Interven&#231;&#227;o%20com%20Fam&#237;lias%20em%20Crise%2C%20Risco%20e%20Perigo%20&#8211;%204&#170;%20edi&#231;&#227;o%20p&#243;s-gradua&#231;&#227;o" TargetMode="External"/><Relationship Id="rId4922" Type="http://schemas.openxmlformats.org/officeDocument/2006/relationships/hyperlink" Target="https://www.google.com/search?q=site%3Aulisboa.pt%20Curso%20de%20P&#243;s-gradua&#231;&#227;o%20em%20Estudos%20Medievais%20p&#243;s-gradua&#231;&#227;o" TargetMode="External"/><Relationship Id="rId378" Type="http://schemas.openxmlformats.org/officeDocument/2006/relationships/hyperlink" Target="https://www.google.com/search?q=site%3Aipluso.pt%20Gest&#227;o%20Financeira%20e%20Fiscalidade%20p&#243;s-gradua&#231;&#227;o" TargetMode="External"/><Relationship Id="rId792" Type="http://schemas.openxmlformats.org/officeDocument/2006/relationships/hyperlink" Target="https://www.google.com/search?q=site%3Aipg.pt%20Marketing%20e%20Comunica&#231;&#227;o%20mestrado" TargetMode="External"/><Relationship Id="rId2059" Type="http://schemas.openxmlformats.org/officeDocument/2006/relationships/hyperlink" Target="https://www.google.com/search?q=site%3Aips.pt%20Controlling%20p&#243;s-gradua&#231;&#227;o" TargetMode="External"/><Relationship Id="rId2473" Type="http://schemas.openxmlformats.org/officeDocument/2006/relationships/hyperlink" Target="https://www.google.com/search?q=site%3Aipca.pt%20Turismo%2C%20Desporto%20e%20Atividades%20N&#225;uticas%20CTeSP" TargetMode="External"/><Relationship Id="rId3524" Type="http://schemas.openxmlformats.org/officeDocument/2006/relationships/hyperlink" Target="https://www.google.com/search?q=site%3Aufp.pt%20Ci&#234;ncias%20da%20Educa&#231;&#227;o%3A%20Educa&#231;&#227;o%20Inclusiva%20mestrado" TargetMode="External"/><Relationship Id="rId445" Type="http://schemas.openxmlformats.org/officeDocument/2006/relationships/hyperlink" Target="https://www.google.com/search?q=site%3Aiscte-iul.pt%20Tecnologias%20Digitais%20e%20Gest&#227;o%20licenciatura" TargetMode="External"/><Relationship Id="rId1075" Type="http://schemas.openxmlformats.org/officeDocument/2006/relationships/hyperlink" Target="https://www.google.com/search?q=site%3Aipb.pt%20Log&#237;stica%20mestrado" TargetMode="External"/><Relationship Id="rId2126" Type="http://schemas.openxmlformats.org/officeDocument/2006/relationships/hyperlink" Target="https://www.google.com/search?q=site%3Aipt.pt%20Turismo%20e%20Gest&#227;o%20do%20Patrim&#243;nio%20Cultural%20licenciatura" TargetMode="External"/><Relationship Id="rId2540" Type="http://schemas.openxmlformats.org/officeDocument/2006/relationships/hyperlink" Target="https://www.google.com/search?q=site%3Aipca.pt%20Direito%20da%20Insolv&#234;ncia%20e%20da%20Recupera&#231;&#227;o%20de%20Devedores%20p&#243;s-gradua&#231;&#227;o" TargetMode="External"/><Relationship Id="rId5696" Type="http://schemas.openxmlformats.org/officeDocument/2006/relationships/hyperlink" Target="https://www.google.com/search?q=site%3Auac.pt%20Educa&#231;&#227;o%20B&#225;sica%20licenciatura" TargetMode="External"/><Relationship Id="rId512" Type="http://schemas.openxmlformats.org/officeDocument/2006/relationships/hyperlink" Target="https://www.google.com/search?q=site%3Aisec.pt%20Engenharia%20Biom&#233;dica%20mestrado" TargetMode="External"/><Relationship Id="rId1142" Type="http://schemas.openxmlformats.org/officeDocument/2006/relationships/hyperlink" Target="https://www.google.com/search?q=site%3Aipcb.pt%20Engenharia%20Civil%20licenciatura" TargetMode="External"/><Relationship Id="rId4298" Type="http://schemas.openxmlformats.org/officeDocument/2006/relationships/hyperlink" Target="https://www.google.com/search?q=site%3Auc.pt%20Engenharia%20Naval%20e%20Oce&#226;nica%20licenciatura" TargetMode="External"/><Relationship Id="rId5349" Type="http://schemas.openxmlformats.org/officeDocument/2006/relationships/hyperlink" Target="https://www.google.com/search?q=site%3Aualg.pt%20Ensino%20da%20Matem&#225;tica%20no%203.&#186;%20Ciclo%20do%20Ensino%20B&#225;sico%20e%20no%20Ensino%20Secund&#225;rio%20mestrado" TargetMode="External"/><Relationship Id="rId4365" Type="http://schemas.openxmlformats.org/officeDocument/2006/relationships/hyperlink" Target="https://www.google.com/search?q=site%3Auc.pt%20Din&#226;micas%20Sociais%2C%20Riscos%20Naturais%20e%20Tecnol&#243;gicos%20mestrado" TargetMode="External"/><Relationship Id="rId5763" Type="http://schemas.openxmlformats.org/officeDocument/2006/relationships/hyperlink" Target="https://www.google.com/search?q=site%3Auac.pt%20P&#243;s&#8209;Gradua&#231;&#227;o%20em%20Agronomia%20p&#243;s-gradua&#231;&#227;o" TargetMode="External"/><Relationship Id="rId1959" Type="http://schemas.openxmlformats.org/officeDocument/2006/relationships/hyperlink" Target="https://www.google.com/search?q=site%3Acespu.pt%20Preven&#231;&#227;o%2C%20Controlo%20de%20Infe&#231;&#227;o%20e%20Resist&#234;ncia%20aos%20Antimicrobianos%20&#8211;%206.&#170;%20edi&#231;&#227;o%20p&#243;s-gradua&#231;&#227;o" TargetMode="External"/><Relationship Id="rId4018" Type="http://schemas.openxmlformats.org/officeDocument/2006/relationships/hyperlink" Target="https://www.google.com/search?q=site%3Aunl.pt%20Urbanismo%20Sustent&#225;vel%20e%20Ordenamento%20do%20Territ&#243;rio%20mestrado" TargetMode="External"/><Relationship Id="rId5416" Type="http://schemas.openxmlformats.org/officeDocument/2006/relationships/hyperlink" Target="https://www.google.com/search?q=site%3Aup.pt%20Bioinform&#225;tica%20licenciatura" TargetMode="External"/><Relationship Id="rId3381" Type="http://schemas.openxmlformats.org/officeDocument/2006/relationships/hyperlink" Target="https://www.google.com/search?q=site%3Aeuropeia.pt%20Anima&#231;&#227;o%20Global%20licenciatura" TargetMode="External"/><Relationship Id="rId4432" Type="http://schemas.openxmlformats.org/officeDocument/2006/relationships/hyperlink" Target="https://www.google.com/search?q=site%3Auc.pt%20Gest&#227;o%20e%20Economia%20da%20Sa&#250;de%20mestrado" TargetMode="External"/><Relationship Id="rId3034" Type="http://schemas.openxmlformats.org/officeDocument/2006/relationships/hyperlink" Target="https://www.google.com/search?q=site%3Aiscia.pt%20Psicopedagogia%20licenciatura" TargetMode="External"/><Relationship Id="rId2050" Type="http://schemas.openxmlformats.org/officeDocument/2006/relationships/hyperlink" Target="https://www.google.com/search?q=site%3Aips.pt%20Gest&#227;o%20de%20Marketing%20mestrado" TargetMode="External"/><Relationship Id="rId3101" Type="http://schemas.openxmlformats.org/officeDocument/2006/relationships/hyperlink" Target="https://www.google.com/search?q=site%3Acespu.pt%20Sa&#250;de%20P&#250;blica%20licenciatura" TargetMode="External"/><Relationship Id="rId5273" Type="http://schemas.openxmlformats.org/officeDocument/2006/relationships/hyperlink" Target="https://www.google.com/search?q=site%3Aualg.pt%20Agronomia%20licenciatura" TargetMode="External"/><Relationship Id="rId839" Type="http://schemas.openxmlformats.org/officeDocument/2006/relationships/hyperlink" Target="https://www.google.com/search?q=site%3Aipluso.pt%20Gest&#227;o%20de%20Empresas%20do%20Turismo%20licenciatura" TargetMode="External"/><Relationship Id="rId1469" Type="http://schemas.openxmlformats.org/officeDocument/2006/relationships/hyperlink" Target="https://www.google.com/search?q=site%3Aipleiria.pt%20Gest&#227;o%20licenciatura" TargetMode="External"/><Relationship Id="rId2867" Type="http://schemas.openxmlformats.org/officeDocument/2006/relationships/hyperlink" Target="https://www.google.com/search?q=site%3Aipam.pt%20P&#243;s&#8209;Gradua&#231;&#227;o%20em%20Web3%2C%20Blockchain%20e%20Intelig&#234;ncia%20Artificial%20p&#243;s-gradua&#231;&#227;o" TargetMode="External"/><Relationship Id="rId3918" Type="http://schemas.openxmlformats.org/officeDocument/2006/relationships/hyperlink" Target="https://www.google.com/search?q=site%3Aunl.pt%20Engenharia%20e%20Gest&#227;o%20Industrial%20mestrado" TargetMode="External"/><Relationship Id="rId5340" Type="http://schemas.openxmlformats.org/officeDocument/2006/relationships/hyperlink" Target="https://www.google.com/search?q=site%3Aualg.pt%20Economia%20do%20Turismo%20e%20Desenvolvimento%20Regional%20mestrado" TargetMode="External"/><Relationship Id="rId1883" Type="http://schemas.openxmlformats.org/officeDocument/2006/relationships/hyperlink" Target="https://www.google.com/search?q=site%3Aipsantarem.pt%20Treino%20Desportivo%20licenciatura" TargetMode="External"/><Relationship Id="rId2934" Type="http://schemas.openxmlformats.org/officeDocument/2006/relationships/hyperlink" Target="https://www.google.com/search?q=site%3Aispgaya.pt%20Gest&#227;o%20de%20Turismo%20CTeSP" TargetMode="External"/><Relationship Id="rId906" Type="http://schemas.openxmlformats.org/officeDocument/2006/relationships/hyperlink" Target="https://www.google.com/search?q=site%3Aipbeja.pt%20Servi&#231;o%20Social%20licenciatura" TargetMode="External"/><Relationship Id="rId1536" Type="http://schemas.openxmlformats.org/officeDocument/2006/relationships/hyperlink" Target="https://www.google.com/search?q=site%3Aipleiria.pt%20Engenharia%20Eletrot&#233;cnica%20e%20de%20Computadores%20mestrado" TargetMode="External"/><Relationship Id="rId1950" Type="http://schemas.openxmlformats.org/officeDocument/2006/relationships/hyperlink" Target="https://www.google.com/search?q=site%3Acespu.pt%20Enfermagem%20de%20Reabilita&#231;&#227;o%20&#8211;%201.&#170;%20edi&#231;&#227;o%20p&#243;s-gradua&#231;&#227;o" TargetMode="External"/><Relationship Id="rId1603" Type="http://schemas.openxmlformats.org/officeDocument/2006/relationships/hyperlink" Target="https://www.google.com/search?q=site%3Aipleiria.pt%20Perturba&#231;&#245;es%20do%20Espectro%20do%20Autismo%20p&#243;s-gradua&#231;&#227;o" TargetMode="External"/><Relationship Id="rId4759" Type="http://schemas.openxmlformats.org/officeDocument/2006/relationships/hyperlink" Target="https://www.google.com/search?q=site%3Aulisboa.pt%20Gerontologia%20Social%20mestrado" TargetMode="External"/><Relationship Id="rId3775" Type="http://schemas.openxmlformats.org/officeDocument/2006/relationships/hyperlink" Target="https://www.google.com/search?q=site%3Alusofona.pt%20Gest&#227;o%20Integrada%20das%20Organiza&#231;&#245;es%20e%20Auditoria%20p&#243;s-gradua&#231;&#227;o" TargetMode="External"/><Relationship Id="rId4826" Type="http://schemas.openxmlformats.org/officeDocument/2006/relationships/hyperlink" Target="https://www.google.com/search?q=site%3Aulisboa.pt%20Psicologia%20do%20Desporto%20e%20do%20Exerc&#237;cio%20mestrado" TargetMode="External"/><Relationship Id="rId696" Type="http://schemas.openxmlformats.org/officeDocument/2006/relationships/hyperlink" Target="https://www.google.com/search?q=site%3Aiees.pt%20Tecnologias%20e%20Gest&#227;o%20de%20Sistemas%20de%20Informa&#231;&#227;o%20%28regime%20de%20ensino%20a%20dist&#226;ncia%29%20mestrado" TargetMode="External"/><Relationship Id="rId2377" Type="http://schemas.openxmlformats.org/officeDocument/2006/relationships/hyperlink" Target="https://www.google.com/search?q=site%3Aipv.pt%20Educa&#231;&#227;o%20Especial%2C%20&#225;rea%20de%20especializa&#231;&#227;o%20em%20Dom&#237;nio%20Cognitivo%20e%20Motor%20mestrado" TargetMode="External"/><Relationship Id="rId2791" Type="http://schemas.openxmlformats.org/officeDocument/2006/relationships/hyperlink" Target="https://www.google.com/search?q=site%3Aipp.pt%20Contabilidade%20e%20Fiscalidade%20p&#243;s-gradua&#231;&#227;o" TargetMode="External"/><Relationship Id="rId3428" Type="http://schemas.openxmlformats.org/officeDocument/2006/relationships/hyperlink" Target="https://www.google.com/search?q=site%3Aeuropeia.pt%20Anima&#231;&#227;o%20e%20Cria&#231;&#227;o%20Digital%20mestrado" TargetMode="External"/><Relationship Id="rId349" Type="http://schemas.openxmlformats.org/officeDocument/2006/relationships/hyperlink" Target="https://www.google.com/search?q=site%3Asantamaria.pt%20Enfermagem%20licenciatura" TargetMode="External"/><Relationship Id="rId763" Type="http://schemas.openxmlformats.org/officeDocument/2006/relationships/hyperlink" Target="https://www.google.com/search?q=site%3Aipg.pt%20Engenharia%20Inform&#225;tica%20licenciatura" TargetMode="External"/><Relationship Id="rId1393" Type="http://schemas.openxmlformats.org/officeDocument/2006/relationships/hyperlink" Target="https://www.google.com/search?q=site%3Aipleiria.pt%20Energias%20Renov&#225;veis%20e%20Efici&#234;ncia%20Energ&#233;tica%20CTeSP" TargetMode="External"/><Relationship Id="rId2444" Type="http://schemas.openxmlformats.org/officeDocument/2006/relationships/hyperlink" Target="https://www.google.com/search?q=site%3Aipca.pt%20Industrializa&#231;&#227;o%20e%20Fabrico%20Inteligente%20CTeSP" TargetMode="External"/><Relationship Id="rId3842" Type="http://schemas.openxmlformats.org/officeDocument/2006/relationships/hyperlink" Target="https://www.google.com/search?q=site%3Aunl.pt%20Hist&#243;ria%20licenciatura" TargetMode="External"/><Relationship Id="rId416" Type="http://schemas.openxmlformats.org/officeDocument/2006/relationships/hyperlink" Target="https://www.google.com/search?q=site%3Aisce.pt%20Gest&#227;o%20de%20Organiza&#231;&#245;es%20Desportivas%20p&#243;s-gradua&#231;&#227;o" TargetMode="External"/><Relationship Id="rId1046" Type="http://schemas.openxmlformats.org/officeDocument/2006/relationships/hyperlink" Target="https://www.google.com/search?q=site%3Aipb.pt%20Educa&#231;&#227;o%20Social%20&#8211;%20Educa&#231;&#227;o%20e%20Interven&#231;&#227;o%20ao%20Longo%20da%20Vida%20mestrado" TargetMode="External"/><Relationship Id="rId830" Type="http://schemas.openxmlformats.org/officeDocument/2006/relationships/hyperlink" Target="https://www.google.com/search?q=site%3Aipluso.pt%20Ci&#234;ncias%20Biom&#233;dicas%20Laboratoriais%20licenciatura" TargetMode="External"/><Relationship Id="rId1460" Type="http://schemas.openxmlformats.org/officeDocument/2006/relationships/hyperlink" Target="https://www.google.com/search?q=site%3Aipleiria.pt%20Engenharia%20Autom&#243;vel%20licenciatura" TargetMode="External"/><Relationship Id="rId2511" Type="http://schemas.openxmlformats.org/officeDocument/2006/relationships/hyperlink" Target="https://www.google.com/search?q=site%3Aipca.pt%20Gest&#227;o%20das%20Organiza&#231;&#245;es%20mestrado" TargetMode="External"/><Relationship Id="rId5667" Type="http://schemas.openxmlformats.org/officeDocument/2006/relationships/hyperlink" Target="https://www.google.com/search?q=site%3Aup.pt%20&#201;tica%2C%20Inova&#231;&#227;o%20em%20Sa&#250;de%20e%20Integridade%20Cient&#237;fica%20mestrado" TargetMode="External"/><Relationship Id="rId1113" Type="http://schemas.openxmlformats.org/officeDocument/2006/relationships/hyperlink" Target="https://www.google.com/search?q=site%3Aipcb.pt%20Cuidados%20de%20Longa%20Dura&#231;&#227;o%20e%20Bem&#8209;Estar%20CTeSP" TargetMode="External"/><Relationship Id="rId4269" Type="http://schemas.openxmlformats.org/officeDocument/2006/relationships/hyperlink" Target="https://www.google.com/search?q=site%3Aua.pt%20Terapia%20da%20Fala%20mestrado" TargetMode="External"/><Relationship Id="rId4683" Type="http://schemas.openxmlformats.org/officeDocument/2006/relationships/hyperlink" Target="https://www.google.com/search?q=site%3Aulisboa.pt%20Economia%20Monet&#225;ria%20e%20Financeira%20mestrado" TargetMode="External"/><Relationship Id="rId5734" Type="http://schemas.openxmlformats.org/officeDocument/2006/relationships/hyperlink" Target="https://www.google.com/search?q=site%3Auac.pt%20Geologia%20do%20Ambiente%20e%20Sociedade%20mestrado" TargetMode="External"/><Relationship Id="rId3285" Type="http://schemas.openxmlformats.org/officeDocument/2006/relationships/hyperlink" Target="https://www.google.com/search?q=site%3Aucp.pt%20Educa&#231;&#227;o%20M&#233;dica%20mestrado" TargetMode="External"/><Relationship Id="rId4336" Type="http://schemas.openxmlformats.org/officeDocument/2006/relationships/hyperlink" Target="https://www.google.com/search?q=site%3Auc.pt%20An&#225;lise%20Inteligente%20de%20Dados%20de%20Redes%20de%20Sensores%20Ambientais%20&#8211;%20Erasmus%20Mundus%20mestrado" TargetMode="External"/><Relationship Id="rId4750" Type="http://schemas.openxmlformats.org/officeDocument/2006/relationships/hyperlink" Target="https://www.google.com/search?q=site%3Aulisboa.pt%20Fam&#237;lia%20e%20G&#233;nero%20mestrado" TargetMode="External"/><Relationship Id="rId5801" Type="http://schemas.openxmlformats.org/officeDocument/2006/relationships/hyperlink" Target="https://www.google.com/search?q=site%3Aium.pt%20Ci&#234;ncias%20Militares%20Aeron&#225;uticas%2C%20especialidade%20de%20Engenharia%20licenciatura" TargetMode="External"/><Relationship Id="rId3352" Type="http://schemas.openxmlformats.org/officeDocument/2006/relationships/hyperlink" Target="https://www.google.com/search?q=site%3Aucp.pt%20Enfermagem%20do%20Desporto%20p&#243;s-gradua&#231;&#227;o" TargetMode="External"/><Relationship Id="rId4403" Type="http://schemas.openxmlformats.org/officeDocument/2006/relationships/hyperlink" Target="https://www.google.com/search?q=site%3Auc.pt%20Ensino%20de%20Portugu&#234;s%20no%203&#186;%20ciclo%20do%20Ensino%20B&#225;sico%20e%20no%20Ensino%20Secund&#225;rio%20e%20de%20Latim%20no%20Ensino%20Secund&#225;rio%20mestrado" TargetMode="External"/><Relationship Id="rId273" Type="http://schemas.openxmlformats.org/officeDocument/2006/relationships/hyperlink" Target="https://www.google.com/search?q=site%3Aesscvp.eu%20Enfermagem%20de%20Sa&#250;de%20Mental%20e%20Psiqui&#225;trica%20mestrado" TargetMode="External"/><Relationship Id="rId3005" Type="http://schemas.openxmlformats.org/officeDocument/2006/relationships/hyperlink" Target="https://www.google.com/search?q=site%3Aiscet.pt%20Marketing%20Digital%20e%20Com&#233;rcio%20Eletr&#243;nico%20CTeSP" TargetMode="External"/><Relationship Id="rId340" Type="http://schemas.openxmlformats.org/officeDocument/2006/relationships/hyperlink" Target="https://www.google.com/search?q=site%3Aess.ufp.pt%20Inova&#231;&#227;o%20Tecnol&#243;gica%20em%20Sa&#250;de%3A%20Patologias%20Infecciosas%20Emergentes%20p&#243;s-gradua&#231;&#227;o" TargetMode="External"/><Relationship Id="rId2021" Type="http://schemas.openxmlformats.org/officeDocument/2006/relationships/hyperlink" Target="https://www.google.com/search?q=site%3Aips.pt%20Tecnologias%20de%20Energia%20licenciatura" TargetMode="External"/><Relationship Id="rId5177" Type="http://schemas.openxmlformats.org/officeDocument/2006/relationships/hyperlink" Target="https://www.google.com/search?q=site%3Auevora.pt%20Bioqu&#237;mica%20mestrado" TargetMode="External"/><Relationship Id="rId4193" Type="http://schemas.openxmlformats.org/officeDocument/2006/relationships/hyperlink" Target="https://www.google.com/search?q=site%3Aismai.pt%20An&#225;lise%20do%20Jogo%20em%20Futebol%20p&#243;s-gradua&#231;&#227;o" TargetMode="External"/><Relationship Id="rId5591" Type="http://schemas.openxmlformats.org/officeDocument/2006/relationships/hyperlink" Target="https://www.google.com/search?q=site%3Aup.pt%20Finan&#231;as%20e%20Fiscalidade%20mestrado" TargetMode="External"/><Relationship Id="rId1787" Type="http://schemas.openxmlformats.org/officeDocument/2006/relationships/hyperlink" Target="https://www.google.com/search?q=site%3Aipportalegre.pt%20Enfermagem%20Veterin&#225;ria%20licenciatura" TargetMode="External"/><Relationship Id="rId2838" Type="http://schemas.openxmlformats.org/officeDocument/2006/relationships/hyperlink" Target="https://www.google.com/search?q=site%3Aipp.pt%20Web%20Design%20p&#243;s-gradua&#231;&#227;o" TargetMode="External"/><Relationship Id="rId5244" Type="http://schemas.openxmlformats.org/officeDocument/2006/relationships/hyperlink" Target="https://www.google.com/search?q=site%3Auevora.pt%20Tecnologias%20Digitais%20e%20Ambientais%20nas%20Ci&#234;ncias%20Agr&#225;rias%20%5BCA%5D%20p&#243;s-gradua&#231;&#227;o" TargetMode="External"/><Relationship Id="rId79" Type="http://schemas.openxmlformats.org/officeDocument/2006/relationships/hyperlink" Target="https://www.google.com/search?q=site%3Aesad.pt%20Design%20de%20Mobilidade%20p&#243;s-gradua&#231;&#227;o" TargetMode="External"/><Relationship Id="rId1854" Type="http://schemas.openxmlformats.org/officeDocument/2006/relationships/hyperlink" Target="https://www.google.com/search?q=site%3Aipsantarem.pt%20Tecnologias%20Ambientais%20CTeSP" TargetMode="External"/><Relationship Id="rId2905" Type="http://schemas.openxmlformats.org/officeDocument/2006/relationships/hyperlink" Target="https://www.google.com/search?q=site%3Aismat.pt%20Design%20para%20a%20Economia%20Circular%20mestrado" TargetMode="External"/><Relationship Id="rId4260" Type="http://schemas.openxmlformats.org/officeDocument/2006/relationships/hyperlink" Target="https://www.google.com/search?q=site%3Aua.pt%20Fisioterapia%20no%20Desporto%20mestrado" TargetMode="External"/><Relationship Id="rId5311" Type="http://schemas.openxmlformats.org/officeDocument/2006/relationships/hyperlink" Target="https://www.google.com/search?q=site%3Aualg.pt%20Marketing%20licenciatura" TargetMode="External"/><Relationship Id="rId1507" Type="http://schemas.openxmlformats.org/officeDocument/2006/relationships/hyperlink" Target="https://www.google.com/search?q=site%3Aipleiria.pt%20Compet&#234;ncias%20Digitais%20na%20Sa&#250;de%20mestrado" TargetMode="External"/><Relationship Id="rId1921" Type="http://schemas.openxmlformats.org/officeDocument/2006/relationships/hyperlink" Target="https://www.google.com/search?q=site%3Acespu.pt%20Sa&#250;de%20e%20Exerc&#237;cio%20CTeSP" TargetMode="External"/><Relationship Id="rId3679" Type="http://schemas.openxmlformats.org/officeDocument/2006/relationships/hyperlink" Target="https://www.google.com/search?q=site%3Alusofona.pt%20Engenharia%20Biom&#233;dica%20licenciatura" TargetMode="External"/><Relationship Id="rId1297" Type="http://schemas.openxmlformats.org/officeDocument/2006/relationships/hyperlink" Target="https://www.google.com/search?q=site%3Aipc.pt%20Comunica&#231;&#227;o%20Social%20&#8211;%20Novos%20Media%20mestrado" TargetMode="External"/><Relationship Id="rId2695" Type="http://schemas.openxmlformats.org/officeDocument/2006/relationships/hyperlink" Target="https://www.google.com/search?q=site%3Aipp.pt%20Anima&#231;&#227;o%20mestrado" TargetMode="External"/><Relationship Id="rId3746" Type="http://schemas.openxmlformats.org/officeDocument/2006/relationships/hyperlink" Target="https://www.google.com/search?q=site%3Alusofona.pt%20Media&#231;&#227;o%2C%20Gest&#227;o%20de%20Conflitos%20e%20Cidadania%20%28regime%20de%20ensino%20a%20dist&#226;ncia%29%20mestrado" TargetMode="External"/><Relationship Id="rId667" Type="http://schemas.openxmlformats.org/officeDocument/2006/relationships/hyperlink" Target="https://www.google.com/search?q=site%3Aiees.pt%20Contabilidade%20e%20Gest&#227;o%20CTeSP" TargetMode="External"/><Relationship Id="rId2348" Type="http://schemas.openxmlformats.org/officeDocument/2006/relationships/hyperlink" Target="https://www.google.com/search?q=site%3Aipv.pt%20Engenharia%20Agron&#243;mica%20licenciatura" TargetMode="External"/><Relationship Id="rId2762" Type="http://schemas.openxmlformats.org/officeDocument/2006/relationships/hyperlink" Target="https://www.google.com/search?q=site%3Aipp.pt%20Marketing%20Digital%20mestrado" TargetMode="External"/><Relationship Id="rId3813" Type="http://schemas.openxmlformats.org/officeDocument/2006/relationships/hyperlink" Target="https://www.google.com/search?q=site%3Aunl.pt%20Ci&#234;ncias%20Sociais%20licenciatura" TargetMode="External"/><Relationship Id="rId734" Type="http://schemas.openxmlformats.org/officeDocument/2006/relationships/hyperlink" Target="https://www.google.com/search?q=site%3Aipg.pt%20Infraestruturas%20de%20Cloud%2C%20Redes%20e%20Data%20Center%20CTeSP" TargetMode="External"/><Relationship Id="rId1364" Type="http://schemas.openxmlformats.org/officeDocument/2006/relationships/hyperlink" Target="https://www.google.com/search?q=site%3Aipc.pt%20Interven&#231;&#227;o%20Gerontol&#243;gica%20p&#243;s-gradua&#231;&#227;o" TargetMode="External"/><Relationship Id="rId2415" Type="http://schemas.openxmlformats.org/officeDocument/2006/relationships/hyperlink" Target="https://www.google.com/search?q=site%3Aipca.pt%20Aplica&#231;&#245;es%20M&#243;veis%20CTeSP" TargetMode="External"/><Relationship Id="rId70" Type="http://schemas.openxmlformats.org/officeDocument/2006/relationships/hyperlink" Target="https://www.google.com/search?q=site%3Aesai.pt%20Gest&#227;o%20Imobili&#225;ria%20licenciatura" TargetMode="External"/><Relationship Id="rId801" Type="http://schemas.openxmlformats.org/officeDocument/2006/relationships/hyperlink" Target="https://www.google.com/search?q=site%3Aipg.pt%20Cadastro%20Predial%20&#8211;%20Tipologia%20C%20p&#243;s-gradua&#231;&#227;o%20executiva" TargetMode="External"/><Relationship Id="rId1017" Type="http://schemas.openxmlformats.org/officeDocument/2006/relationships/hyperlink" Target="https://www.google.com/search?q=site%3Aipb.pt%20Farm&#225;cia%20licenciatura" TargetMode="External"/><Relationship Id="rId1431" Type="http://schemas.openxmlformats.org/officeDocument/2006/relationships/hyperlink" Target="https://www.google.com/search?q=site%3Aipleiria.pt%20Sistemas%20Eletromec&#226;nicos%20CTeSP" TargetMode="External"/><Relationship Id="rId4587" Type="http://schemas.openxmlformats.org/officeDocument/2006/relationships/hyperlink" Target="https://www.google.com/search?q=site%3Aulisboa.pt%20Geoinform&#225;tica%20licenciatura" TargetMode="External"/><Relationship Id="rId5638" Type="http://schemas.openxmlformats.org/officeDocument/2006/relationships/hyperlink" Target="https://www.google.com/search?q=site%3Aup.pt%20Projeto%20Integrado%20na%20Constru&#231;&#227;o%20de%20Edif&#237;cios%20mestrado" TargetMode="External"/><Relationship Id="rId3189" Type="http://schemas.openxmlformats.org/officeDocument/2006/relationships/hyperlink" Target="https://www.google.com/search?q=site%3Auab.pt%20Gest&#227;o%20Aut&#225;rquica%20e%20Moderniza&#231;&#227;o%3A%20Os%20Novos%20Desafios%20do%20Poder%20Local%20p&#243;s-gradua&#231;&#227;o" TargetMode="External"/><Relationship Id="rId4654" Type="http://schemas.openxmlformats.org/officeDocument/2006/relationships/hyperlink" Target="https://www.google.com/search?q=site%3Aulisboa.pt%20Cr&#237;tica%20Textual%20mestrado" TargetMode="External"/><Relationship Id="rId3256" Type="http://schemas.openxmlformats.org/officeDocument/2006/relationships/hyperlink" Target="https://www.google.com/search?q=site%3Aucp.pt%20Som%20e%20Imagem%20licenciatura" TargetMode="External"/><Relationship Id="rId4307" Type="http://schemas.openxmlformats.org/officeDocument/2006/relationships/hyperlink" Target="https://www.google.com/search?q=site%3Auc.pt%20Geografia%20licenciatura" TargetMode="External"/><Relationship Id="rId5705" Type="http://schemas.openxmlformats.org/officeDocument/2006/relationships/hyperlink" Target="https://www.google.com/search?q=site%3Auac.pt%20Psicologia%20licenciatura" TargetMode="External"/><Relationship Id="rId177" Type="http://schemas.openxmlformats.org/officeDocument/2006/relationships/hyperlink" Target="https://www.google.com/search?q=site%3Aesenf.pt%20Enfermagem%20&#224;%20Pessoa%20em%20Situa&#231;&#227;o%20Cr&#237;tica%20p&#243;s-gradua&#231;&#227;o" TargetMode="External"/><Relationship Id="rId591" Type="http://schemas.openxmlformats.org/officeDocument/2006/relationships/hyperlink" Target="https://www.google.com/search?q=site%3Aisla.pt%20Gest&#227;o%20de%20Atividades%20Desportivas%20CTeSP" TargetMode="External"/><Relationship Id="rId2272" Type="http://schemas.openxmlformats.org/officeDocument/2006/relationships/hyperlink" Target="https://www.google.com/search?q=site%3Aipvc.pt%20Gest&#227;o%20das%20Organiza&#231;&#245;es%20mestrado" TargetMode="External"/><Relationship Id="rId3670" Type="http://schemas.openxmlformats.org/officeDocument/2006/relationships/hyperlink" Target="https://www.google.com/search?q=site%3Alusofona.pt%20Comunica&#231;&#227;o%20e%20Jornalismo%20licenciatura" TargetMode="External"/><Relationship Id="rId4721" Type="http://schemas.openxmlformats.org/officeDocument/2006/relationships/hyperlink" Target="https://www.google.com/search?q=site%3Aulisboa.pt%20Engenharia%20e%20Gest&#227;o%20da%20Energia%20mestrado" TargetMode="External"/><Relationship Id="rId244" Type="http://schemas.openxmlformats.org/officeDocument/2006/relationships/hyperlink" Target="https://www.google.com/search?q=site%3Aegasmoniz.edu.pt%20Medicina%20Veterin&#225;ria%20mestrado%20integrado" TargetMode="External"/><Relationship Id="rId3323" Type="http://schemas.openxmlformats.org/officeDocument/2006/relationships/hyperlink" Target="https://www.google.com/search?q=site%3Aucp.pt%20Microbiologia%20Aplicada%20mestrado" TargetMode="External"/><Relationship Id="rId5495" Type="http://schemas.openxmlformats.org/officeDocument/2006/relationships/hyperlink" Target="https://www.google.com/search?q=site%3Aup.pt%20Cirurgia%20Oral%20mestrado" TargetMode="External"/><Relationship Id="rId311" Type="http://schemas.openxmlformats.org/officeDocument/2006/relationships/hyperlink" Target="https://www.google.com/search?q=site%3Aesscvp.eu%20Imagem%20M&#233;dica%20Avan&#231;ada%20e%20Intelig&#234;ncia%20Artificial%20mestrado" TargetMode="External"/><Relationship Id="rId4097" Type="http://schemas.openxmlformats.org/officeDocument/2006/relationships/hyperlink" Target="https://www.google.com/search?q=site%3Aupt.pt%20Rela&#231;&#245;es%20Internacionais%20licenciatura" TargetMode="External"/><Relationship Id="rId5148" Type="http://schemas.openxmlformats.org/officeDocument/2006/relationships/hyperlink" Target="https://www.google.com/search?q=site%3Auevora.pt%20Biotecnologia%20licenciatura" TargetMode="External"/><Relationship Id="rId5562" Type="http://schemas.openxmlformats.org/officeDocument/2006/relationships/hyperlink" Target="https://www.google.com/search?q=site%3Aup.pt%20Ensino%20da%20Matem&#225;tica%20no%203.&#186;%20Ciclo%20do%20Ensino%20B&#225;sico%20e%20no%20Ensino%20Secund&#225;rio%20mestrado" TargetMode="External"/><Relationship Id="rId1758" Type="http://schemas.openxmlformats.org/officeDocument/2006/relationships/hyperlink" Target="https://www.google.com/search?q=site%3Aipportalegre.pt%20Design%20de%20Som%20e%20Produ&#231;&#227;o%20Musical%20CTeSP" TargetMode="External"/><Relationship Id="rId2809" Type="http://schemas.openxmlformats.org/officeDocument/2006/relationships/hyperlink" Target="https://www.google.com/search?q=site%3Aipp.pt%20Gest&#227;o%20de%20Emerg&#234;ncias%20com%20Mat&#233;rias%20Perigosas%20p&#243;s-gradua&#231;&#227;o" TargetMode="External"/><Relationship Id="rId4164" Type="http://schemas.openxmlformats.org/officeDocument/2006/relationships/hyperlink" Target="https://www.google.com/search?q=site%3Aismai.pt%20Energias%20Renov&#225;veis%20licenciatura" TargetMode="External"/><Relationship Id="rId5215" Type="http://schemas.openxmlformats.org/officeDocument/2006/relationships/hyperlink" Target="https://www.google.com/search?q=site%3Auevora.pt%20Viticultura%20e%20Enologia%20mestrado" TargetMode="External"/><Relationship Id="rId3180" Type="http://schemas.openxmlformats.org/officeDocument/2006/relationships/hyperlink" Target="https://www.google.com/search?q=site%3Auab.pt%20Informa&#231;&#227;o%20e%20Sistemas%20Empresariais%20mestrado" TargetMode="External"/><Relationship Id="rId4231" Type="http://schemas.openxmlformats.org/officeDocument/2006/relationships/hyperlink" Target="https://www.google.com/search?q=site%3Aua.pt%20Enfermagem%20licenciatura" TargetMode="External"/><Relationship Id="rId1825" Type="http://schemas.openxmlformats.org/officeDocument/2006/relationships/hyperlink" Target="https://www.google.com/search?q=site%3Aipsantarem.pt%20Agricultura%20Biol&#243;gica%20CTeSP" TargetMode="External"/><Relationship Id="rId3997" Type="http://schemas.openxmlformats.org/officeDocument/2006/relationships/hyperlink" Target="https://www.google.com/search?q=site%3Aunl.pt%20Reabilita&#231;&#227;o%20de%20Edif&#237;cios%20mestrado" TargetMode="External"/><Relationship Id="rId2599" Type="http://schemas.openxmlformats.org/officeDocument/2006/relationships/hyperlink" Target="https://www.google.com/search?q=site%3Aipp.pt%20Programa&#231;&#227;o%20de%20Sistemas%20de%20Ilumina&#231;&#227;o%20C&#233;nica%20CTeSP" TargetMode="External"/><Relationship Id="rId985" Type="http://schemas.openxmlformats.org/officeDocument/2006/relationships/hyperlink" Target="https://www.google.com/search?q=site%3Aipb.pt%20Tecnologias%20do%20Territ&#243;rio%20Agroflorestal%20CTeSP" TargetMode="External"/><Relationship Id="rId2666" Type="http://schemas.openxmlformats.org/officeDocument/2006/relationships/hyperlink" Target="https://www.google.com/search?q=site%3Aipp.pt%20M&#250;sica%20licenciatura" TargetMode="External"/><Relationship Id="rId3717" Type="http://schemas.openxmlformats.org/officeDocument/2006/relationships/hyperlink" Target="https://www.google.com/search?q=site%3Alusofona.pt%20Cirurgia%20em%20Animais%20de%20Companhia%20mestrado" TargetMode="External"/><Relationship Id="rId5072" Type="http://schemas.openxmlformats.org/officeDocument/2006/relationships/hyperlink" Target="https://www.google.com/search?q=site%3Autad.pt%20Bioqu&#237;mica%20mestrado" TargetMode="External"/><Relationship Id="rId638" Type="http://schemas.openxmlformats.org/officeDocument/2006/relationships/hyperlink" Target="https://www.google.com/search?q=site%3Aispa.pt%20Psicologia%20mestrado%20integrado" TargetMode="External"/><Relationship Id="rId1268" Type="http://schemas.openxmlformats.org/officeDocument/2006/relationships/hyperlink" Target="https://www.google.com/search?q=site%3Aipc.pt%20Gerontologia%20licenciatura" TargetMode="External"/><Relationship Id="rId1682" Type="http://schemas.openxmlformats.org/officeDocument/2006/relationships/hyperlink" Target="https://www.google.com/search?q=site%3Aipl.pt%20Engenharia%20Qu&#237;mica%20e%20Biol&#243;gica%20mestrado" TargetMode="External"/><Relationship Id="rId2319" Type="http://schemas.openxmlformats.org/officeDocument/2006/relationships/hyperlink" Target="https://www.google.com/search?q=site%3Aipv.pt%20Interven&#231;&#227;o%20Social%20e%20Comunit&#225;ria%20CTeSP" TargetMode="External"/><Relationship Id="rId2733" Type="http://schemas.openxmlformats.org/officeDocument/2006/relationships/hyperlink" Target="https://www.google.com/search?q=site%3Aipp.pt%20Engenharia%20e%20Gest&#227;o%20Industrial%20mestrado" TargetMode="External"/><Relationship Id="rId705" Type="http://schemas.openxmlformats.org/officeDocument/2006/relationships/hyperlink" Target="https://www.google.com/search?q=site%3Aipg.pt%20Alimenta&#231;&#227;o%20Saud&#225;vel%20CTeSP" TargetMode="External"/><Relationship Id="rId1335" Type="http://schemas.openxmlformats.org/officeDocument/2006/relationships/hyperlink" Target="https://www.google.com/search?q=site%3Aipc.pt%20Sa&#250;de%20Ambiental%20&#8211;%20esp.%20Sa&#250;de%20Ocupacional%20e%20Ambiente%20mestrado" TargetMode="External"/><Relationship Id="rId2800" Type="http://schemas.openxmlformats.org/officeDocument/2006/relationships/hyperlink" Target="https://www.google.com/search?q=site%3Aipp.pt%20Empreendedorismo%20%26%20Business%20Development%20p&#243;s-gradua&#231;&#227;o" TargetMode="External"/><Relationship Id="rId41" Type="http://schemas.openxmlformats.org/officeDocument/2006/relationships/hyperlink" Target="https://www.google.com/search?q=site%3Aenautica.pt%20Pilotagem%20licenciatura" TargetMode="External"/><Relationship Id="rId1402" Type="http://schemas.openxmlformats.org/officeDocument/2006/relationships/hyperlink" Target="https://www.google.com/search?q=site%3Aipleiria.pt%20Gest&#227;o%20dos%20Neg&#243;cios%20Internacionais%20CTeSP" TargetMode="External"/><Relationship Id="rId4558" Type="http://schemas.openxmlformats.org/officeDocument/2006/relationships/hyperlink" Target="https://www.google.com/search?q=site%3Aulisboa.pt%20Engenharia%20Inform&#225;tica%20licenciatura" TargetMode="External"/><Relationship Id="rId4972" Type="http://schemas.openxmlformats.org/officeDocument/2006/relationships/hyperlink" Target="https://www.google.com/search?q=site%3Aulisboa.pt%20Literacia%20F&#237;sica%2C%20Cidadania%20Ambiental%20e%20Sustentabilidade%20p&#243;s-gradua&#231;&#227;o" TargetMode="External"/><Relationship Id="rId5609" Type="http://schemas.openxmlformats.org/officeDocument/2006/relationships/hyperlink" Target="https://www.google.com/search?q=site%3Aup.pt%20Ilustra&#231;&#227;o%2C%20Edi&#231;&#227;o%20e%20Impress&#227;o%20mestrado" TargetMode="External"/><Relationship Id="rId3574" Type="http://schemas.openxmlformats.org/officeDocument/2006/relationships/hyperlink" Target="https://www.google.com/search?q=site%3Aulusiada.pt%20Economia%20licenciatura" TargetMode="External"/><Relationship Id="rId4625" Type="http://schemas.openxmlformats.org/officeDocument/2006/relationships/hyperlink" Target="https://www.google.com/search?q=site%3Aulisboa.pt%20Biologia%20Humana%20e%20Ambiente%20mestrado" TargetMode="External"/><Relationship Id="rId495" Type="http://schemas.openxmlformats.org/officeDocument/2006/relationships/hyperlink" Target="https://www.google.com/search?q=site%3Aisec.pt%20Tecnologia%20e%20Gest&#227;o%20Autom&#243;vel%20CTeSP" TargetMode="External"/><Relationship Id="rId2176" Type="http://schemas.openxmlformats.org/officeDocument/2006/relationships/hyperlink" Target="https://www.google.com/search?q=site%3Aipvc.pt%20Impress&#227;o%203D%20e%20Maquina&#231;&#227;o%20Autom&#225;tica%20CTeSP" TargetMode="External"/><Relationship Id="rId2590" Type="http://schemas.openxmlformats.org/officeDocument/2006/relationships/hyperlink" Target="https://www.google.com/search?q=site%3Aipp.pt%20Manuten&#231;&#227;o%20Industrial%20CTeSP" TargetMode="External"/><Relationship Id="rId3227" Type="http://schemas.openxmlformats.org/officeDocument/2006/relationships/hyperlink" Target="https://www.google.com/search?q=site%3Aucp.pt%20Ci&#234;ncia%20de%20Dados%20Aplicada%20licenciatura" TargetMode="External"/><Relationship Id="rId3641" Type="http://schemas.openxmlformats.org/officeDocument/2006/relationships/hyperlink" Target="https://www.google.com/search?q=site%3Aulusiada.pt%20Executive%20Master%20em%20Gest&#227;o%20e%20Administra&#231;&#227;o%20em%20Sa&#250;de%20&#8211;%2040.&#170;%20edi&#231;&#227;o%20p&#243;s-gradua&#231;&#227;o%20executiva" TargetMode="External"/><Relationship Id="rId148" Type="http://schemas.openxmlformats.org/officeDocument/2006/relationships/hyperlink" Target="https://www.google.com/search?q=site%3Aesel.pt%20Enfermagem%20de%20Sa&#250;de%20Comunit&#225;ria%20e%20de%20Sa&#250;de%20Familiar%20p&#243;s-gradua&#231;&#227;o" TargetMode="External"/><Relationship Id="rId562" Type="http://schemas.openxmlformats.org/officeDocument/2006/relationships/hyperlink" Target="https://www.google.com/search?q=site%3Aiseclisboa.pt%20Educa&#231;&#227;o%20Pr&#233;-Escolar%20mestrado" TargetMode="External"/><Relationship Id="rId1192" Type="http://schemas.openxmlformats.org/officeDocument/2006/relationships/hyperlink" Target="https://www.google.com/search?q=site%3Aipcb.pt%20Dosimetria%20Cl&#237;nica%20p&#243;s-gradua&#231;&#227;o" TargetMode="External"/><Relationship Id="rId2243" Type="http://schemas.openxmlformats.org/officeDocument/2006/relationships/hyperlink" Target="https://www.google.com/search?q=site%3Aipvc.pt%20Desporto%20Natureza%20mestrado" TargetMode="External"/><Relationship Id="rId5399" Type="http://schemas.openxmlformats.org/officeDocument/2006/relationships/hyperlink" Target="https://www.google.com/search?q=site%3Aualg.pt%20Forma&#231;&#227;o%20Complementar%20em%20Cadastro%20Predial%20&#8211;%20Tipologia%20B%20p&#243;s-gradua&#231;&#227;o" TargetMode="External"/><Relationship Id="rId215" Type="http://schemas.openxmlformats.org/officeDocument/2006/relationships/hyperlink" Target="https://www.google.com/search?q=site%3Aegasmoniz.edu.pt%20Ci&#234;ncias%20Biom&#233;dicas%20licenciatura" TargetMode="External"/><Relationship Id="rId2310" Type="http://schemas.openxmlformats.org/officeDocument/2006/relationships/hyperlink" Target="https://www.google.com/search?q=site%3Aipv.pt%20Energias%20Renov&#225;veis%20CTeSP" TargetMode="External"/><Relationship Id="rId5466" Type="http://schemas.openxmlformats.org/officeDocument/2006/relationships/hyperlink" Target="https://www.google.com/search?q=site%3Aup.pt%20Qu&#237;mica%20licenciatura" TargetMode="External"/><Relationship Id="rId4068" Type="http://schemas.openxmlformats.org/officeDocument/2006/relationships/hyperlink" Target="https://www.google.com/search?q=site%3Aunl.pt%20Gest&#227;o%20e%20Controlo%20Financeiro%20e%20Or&#231;amental%20p&#243;s-gradua&#231;&#227;o" TargetMode="External"/><Relationship Id="rId4482" Type="http://schemas.openxmlformats.org/officeDocument/2006/relationships/hyperlink" Target="https://www.google.com/search?q=site%3Auc.pt%20Seguran&#231;a%20Alimentar%20mestrado" TargetMode="External"/><Relationship Id="rId5119" Type="http://schemas.openxmlformats.org/officeDocument/2006/relationships/hyperlink" Target="https://www.google.com/search?q=site%3Autad.pt%20Gest&#227;o%20e%20Sustentabilidade%20em%20Turismo%20mestrado" TargetMode="External"/><Relationship Id="rId3084" Type="http://schemas.openxmlformats.org/officeDocument/2006/relationships/hyperlink" Target="https://www.google.com/search?q=site%3Aisg.pt%20P&#243;s&#8209;Gradua&#231;&#227;o%20em%20Sistemas%20Integrados%20de%20Gest&#227;o%3A%20Qualidade%2C%20Ambiente%20e%20Seguran&#231;a%20e%20Auditoria%20p&#243;s-gradua&#231;&#227;o" TargetMode="External"/><Relationship Id="rId4135" Type="http://schemas.openxmlformats.org/officeDocument/2006/relationships/hyperlink" Target="https://www.google.com/search?q=site%3Aubi.pt%20Engenharia%20Eletromec&#226;nica%20licenciatura" TargetMode="External"/><Relationship Id="rId5533" Type="http://schemas.openxmlformats.org/officeDocument/2006/relationships/hyperlink" Target="https://www.google.com/search?q=site%3Aup.pt%20Economia%20e%20Gest&#227;o%20de%20Recursos%20Humanos%20mestrado" TargetMode="External"/><Relationship Id="rId1729" Type="http://schemas.openxmlformats.org/officeDocument/2006/relationships/hyperlink" Target="https://www.google.com/search?q=site%3Aipl.pt%20Engenharia%20e%20Gest&#227;o%20de%20Energias%20Renov&#225;veis%20p&#243;s-gradua&#231;&#227;o" TargetMode="External"/><Relationship Id="rId5600" Type="http://schemas.openxmlformats.org/officeDocument/2006/relationships/hyperlink" Target="https://www.google.com/search?q=site%3Aup.pt%20Gest&#227;o%20da%20Mobilidade%20Urbana%20mestrado" TargetMode="External"/><Relationship Id="rId3151" Type="http://schemas.openxmlformats.org/officeDocument/2006/relationships/hyperlink" Target="https://www.google.com/search?q=site%3Auab.pt%20Ci&#234;ncias%20Sociais%20licenciatura" TargetMode="External"/><Relationship Id="rId4202" Type="http://schemas.openxmlformats.org/officeDocument/2006/relationships/hyperlink" Target="https://www.google.com/search?q=site%3Aua.pt%20Automa&#231;&#227;o%2C%20Rob&#243;tica%20e%20Inform&#225;tica%20Industrial%20CTeSP" TargetMode="External"/><Relationship Id="rId3968" Type="http://schemas.openxmlformats.org/officeDocument/2006/relationships/hyperlink" Target="https://www.google.com/search?q=site%3Aunl.pt%20Jornalismo%20mestrado" TargetMode="External"/><Relationship Id="rId5" Type="http://schemas.openxmlformats.org/officeDocument/2006/relationships/hyperlink" Target="https://www.google.com/search?q=site%3Auatlantica.pt%20Engenharia%20de%20Materiais%20licenciatura" TargetMode="External"/><Relationship Id="rId889" Type="http://schemas.openxmlformats.org/officeDocument/2006/relationships/hyperlink" Target="https://www.google.com/search?q=site%3Aipbeja.pt%20Som%20e%20Imagem%20CTeSP" TargetMode="External"/><Relationship Id="rId5390" Type="http://schemas.openxmlformats.org/officeDocument/2006/relationships/hyperlink" Target="https://www.google.com/search?q=site%3Aualg.pt%20Sociologia%20mestrado" TargetMode="External"/><Relationship Id="rId1586" Type="http://schemas.openxmlformats.org/officeDocument/2006/relationships/hyperlink" Target="https://www.google.com/search?q=site%3Aipleiria.pt%20Emerg&#234;ncia%20M&#233;dica%20e%20Cat&#225;strofe%20p&#243;s-gradua&#231;&#227;o" TargetMode="External"/><Relationship Id="rId2984" Type="http://schemas.openxmlformats.org/officeDocument/2006/relationships/hyperlink" Target="https://www.google.com/search?q=site%3Aisced.pt%20Enfermagem%20de%20Sa&#250;de%20Mental%20e%20Psiqui&#225;trica%20mestrado" TargetMode="External"/><Relationship Id="rId5043" Type="http://schemas.openxmlformats.org/officeDocument/2006/relationships/hyperlink" Target="https://www.google.com/search?q=site%3Autad.pt%20Engenharia%20Mec&#226;nica%20licenciatura" TargetMode="External"/><Relationship Id="rId609" Type="http://schemas.openxmlformats.org/officeDocument/2006/relationships/hyperlink" Target="https://www.google.com/search?q=site%3Aisla.pt%20Gest&#227;o%20de%20Bibliotecas%20Escolares%20p&#243;s-gradua&#231;&#227;o" TargetMode="External"/><Relationship Id="rId956" Type="http://schemas.openxmlformats.org/officeDocument/2006/relationships/hyperlink" Target="https://www.google.com/search?q=site%3Aipb.pt%20Design%20de%20Jogos%20Digitais%20e%20Gamifica&#231;&#227;o%20CTeSP" TargetMode="External"/><Relationship Id="rId1239" Type="http://schemas.openxmlformats.org/officeDocument/2006/relationships/hyperlink" Target="https://www.google.com/search?q=site%3Aipc.pt%20Anima&#231;&#227;o%20Socioeducativa%20licenciatura" TargetMode="External"/><Relationship Id="rId2637" Type="http://schemas.openxmlformats.org/officeDocument/2006/relationships/hyperlink" Target="https://www.google.com/search?q=site%3Aipp.pt%20Engenharia%20Biom&#233;dica%20licenciatura" TargetMode="External"/><Relationship Id="rId5110" Type="http://schemas.openxmlformats.org/officeDocument/2006/relationships/hyperlink" Target="https://www.google.com/search?q=site%3Autad.pt%20Ensino%20de%20Inform&#225;tica%20mestrado" TargetMode="External"/><Relationship Id="rId1653" Type="http://schemas.openxmlformats.org/officeDocument/2006/relationships/hyperlink" Target="https://www.google.com/search?q=site%3Aipl.pt%20Rela&#231;&#245;es%20P&#250;blicas%20e%20Comunica&#231;&#227;o%20Empresarial%20licenciatura" TargetMode="External"/><Relationship Id="rId2704" Type="http://schemas.openxmlformats.org/officeDocument/2006/relationships/hyperlink" Target="https://www.google.com/search?q=site%3Aipp.pt%20Bioqu&#237;mica%20em%20Sa&#250;de%20mestrado" TargetMode="External"/><Relationship Id="rId1306" Type="http://schemas.openxmlformats.org/officeDocument/2006/relationships/hyperlink" Target="https://www.google.com/search?q=site%3Aipc.pt%20Educa&#231;&#227;o%20Pr&#233;&#8209;escolar%20e%20Ensino%20do%201.&#186;%20Ciclo%20do%20Ensino%20B&#225;sico%20mestrado" TargetMode="External"/><Relationship Id="rId1720" Type="http://schemas.openxmlformats.org/officeDocument/2006/relationships/hyperlink" Target="https://www.google.com/search?q=site%3Aipl.pt%20Comunica&#231;&#227;o%20e%20Marketing%20na%20Ind&#250;stria%20Farmac&#234;utica%20%28ESSL%29%20p&#243;s-gradua&#231;&#227;o" TargetMode="External"/><Relationship Id="rId4876" Type="http://schemas.openxmlformats.org/officeDocument/2006/relationships/hyperlink" Target="https://www.google.com/search?q=site%3Aulisboa.pt%20Engenharia%20do%20Ambiente%20mestrado%20integrado" TargetMode="External"/><Relationship Id="rId12" Type="http://schemas.openxmlformats.org/officeDocument/2006/relationships/hyperlink" Target="https://www.google.com/search?q=site%3Auatlantica.pt%20Engenharia%20e%20Gest&#227;o%20de%20Manuten&#231;&#227;o%20Aeron&#225;utica%20mestrado" TargetMode="External"/><Relationship Id="rId3478" Type="http://schemas.openxmlformats.org/officeDocument/2006/relationships/hyperlink" Target="https://www.google.com/search?q=site%3Aeuropeia.pt%20P&#243;s&#8209;Gradua&#231;&#227;o%20em%20Branding%20%28IADE%29%20p&#243;s-gradua&#231;&#227;o" TargetMode="External"/><Relationship Id="rId3892" Type="http://schemas.openxmlformats.org/officeDocument/2006/relationships/hyperlink" Target="https://www.google.com/search?q=site%3Aunl.pt%20Direito%20e%20Gest&#227;o%20mestrado" TargetMode="External"/><Relationship Id="rId4529" Type="http://schemas.openxmlformats.org/officeDocument/2006/relationships/hyperlink" Target="https://www.google.com/search?q=site%3Aulisboa.pt%20Ci&#234;ncias%20da%20Linguagem%20licenciatura" TargetMode="External"/><Relationship Id="rId4943" Type="http://schemas.openxmlformats.org/officeDocument/2006/relationships/hyperlink" Target="https://www.google.com/search?q=site%3Aulisboa.pt%20Enfermagem%20Veterin&#225;ria%20Cl&#237;nica%20p&#243;s-gradua&#231;&#227;o" TargetMode="External"/><Relationship Id="rId399" Type="http://schemas.openxmlformats.org/officeDocument/2006/relationships/hyperlink" Target="https://www.google.com/search?q=site%3Aisave.pt%20Enfermagem%20de%20Sa&#250;de%20Materna%20e%20Obst&#233;trica%20mestrado" TargetMode="External"/><Relationship Id="rId2494" Type="http://schemas.openxmlformats.org/officeDocument/2006/relationships/hyperlink" Target="https://www.google.com/search?q=site%3Aipca.pt%20Solicitadoria%20licenciatura" TargetMode="External"/><Relationship Id="rId3545" Type="http://schemas.openxmlformats.org/officeDocument/2006/relationships/hyperlink" Target="https://www.google.com/search?q=site%3Aufp.pt%20Enfermagem%20de%20Sa&#250;de%20Familiar%20p&#243;s-gradua&#231;&#227;o" TargetMode="External"/><Relationship Id="rId466" Type="http://schemas.openxmlformats.org/officeDocument/2006/relationships/hyperlink" Target="https://www.google.com/search?q=site%3Aiscte-iul.pt%20Inform&#225;tica%20Aplicada%20&#224;s%20Organiza&#231;&#245;es%20p&#243;s-gradua&#231;&#227;o" TargetMode="External"/><Relationship Id="rId880" Type="http://schemas.openxmlformats.org/officeDocument/2006/relationships/hyperlink" Target="https://www.google.com/search?q=site%3Aipbeja.pt%20Eletr&#243;nica%20e%20Computadores%20CTeSP" TargetMode="External"/><Relationship Id="rId1096" Type="http://schemas.openxmlformats.org/officeDocument/2006/relationships/hyperlink" Target="https://www.google.com/search?q=site%3Aipb.pt%20Gest&#227;o%20de%20Unidades%20de%20Sa&#250;de%20p&#243;s-gradua&#231;&#227;o" TargetMode="External"/><Relationship Id="rId2147" Type="http://schemas.openxmlformats.org/officeDocument/2006/relationships/hyperlink" Target="https://www.google.com/search?q=site%3Aipt.pt%20Arqueologia%20Subaqu&#225;tica%20p&#243;s-gradua&#231;&#227;o" TargetMode="External"/><Relationship Id="rId2561" Type="http://schemas.openxmlformats.org/officeDocument/2006/relationships/hyperlink" Target="https://www.google.com/search?q=site%3Aipp.pt%20Acompanhamento%20de%20Crian&#231;as%20e%20Jovens%20CTeSP" TargetMode="External"/><Relationship Id="rId119" Type="http://schemas.openxmlformats.org/officeDocument/2006/relationships/hyperlink" Target="https://www.google.com/search?q=site%3Aesepf.pt%20Ensino%20do%201.&#186;%20Ciclo%20do%20Ensino%20B&#225;sico%20e%20de%20Matem&#225;tica%20e%20Ci&#234;ncias%20Naturais%20no%202.&#186;%20Ciclo%20do%20Ensino%20B&#225;sico%20mestrado" TargetMode="External"/><Relationship Id="rId533" Type="http://schemas.openxmlformats.org/officeDocument/2006/relationships/hyperlink" Target="https://www.google.com/search?q=site%3Aiseclisboa.pt%20Gest&#227;o%20Hoteleira%20CTeSP" TargetMode="External"/><Relationship Id="rId1163" Type="http://schemas.openxmlformats.org/officeDocument/2006/relationships/hyperlink" Target="https://www.google.com/search?q=site%3Aipcb.pt%20Atividade%20F&#237;sica%20mestrado" TargetMode="External"/><Relationship Id="rId2214" Type="http://schemas.openxmlformats.org/officeDocument/2006/relationships/hyperlink" Target="https://www.google.com/search?q=site%3Aipvc.pt%20Educa&#231;&#227;o%20B&#225;sica%20licenciatura" TargetMode="External"/><Relationship Id="rId3612" Type="http://schemas.openxmlformats.org/officeDocument/2006/relationships/hyperlink" Target="https://www.google.com/search?q=site%3Aulusiada.pt%20Servi&#231;o%20Social%20mestrado" TargetMode="External"/><Relationship Id="rId5784" Type="http://schemas.openxmlformats.org/officeDocument/2006/relationships/hyperlink" Target="https://www.google.com/search?q=site%3Aium.pt%20Engenharia%20Mec&#226;nica%20Militar%20licenciatura" TargetMode="External"/><Relationship Id="rId600" Type="http://schemas.openxmlformats.org/officeDocument/2006/relationships/hyperlink" Target="https://www.google.com/search?q=site%3Aisla.pt%20Gest&#227;o%20de%20Projetos%20mestrado" TargetMode="External"/><Relationship Id="rId1230" Type="http://schemas.openxmlformats.org/officeDocument/2006/relationships/hyperlink" Target="https://www.google.com/search?q=site%3Aipc.pt%20Qualidade%20do%20Ambiente%20CTeSP" TargetMode="External"/><Relationship Id="rId4386" Type="http://schemas.openxmlformats.org/officeDocument/2006/relationships/hyperlink" Target="https://www.google.com/search?q=site%3Auc.pt%20Engenharia%20de%20Ciberseguran&#231;a%20mestrado" TargetMode="External"/><Relationship Id="rId5437" Type="http://schemas.openxmlformats.org/officeDocument/2006/relationships/hyperlink" Target="https://www.google.com/search?q=site%3Aup.pt%20Engenharia%20Agron&#243;mica%20licenciatura" TargetMode="External"/><Relationship Id="rId4039" Type="http://schemas.openxmlformats.org/officeDocument/2006/relationships/hyperlink" Target="https://www.google.com/search?q=site%3Aunl.pt%20Ci&#234;ncia%20e%20Sistemas%20de%20Informa&#231;&#227;o%20Geogr&#225;fica%20%28e&#8209;learning%20e%20semi&#8209;presencial%29%20p&#243;s-gradua&#231;&#227;o" TargetMode="External"/><Relationship Id="rId4453" Type="http://schemas.openxmlformats.org/officeDocument/2006/relationships/hyperlink" Target="https://www.google.com/search?q=site%3Auc.pt%20Neuropsicologia%20Cl&#237;nica%20e%20Experimental%20mestrado" TargetMode="External"/><Relationship Id="rId5504" Type="http://schemas.openxmlformats.org/officeDocument/2006/relationships/hyperlink" Target="https://www.google.com/search?q=site%3Aup.pt%20Ci&#234;ncias%20Gastron&#243;micas%20mestrado" TargetMode="External"/><Relationship Id="rId3055" Type="http://schemas.openxmlformats.org/officeDocument/2006/relationships/hyperlink" Target="https://www.google.com/search?q=site%3Aisvouga.pt%20Gest&#227;o%20de%20Empresas%20licenciatura" TargetMode="External"/><Relationship Id="rId4106" Type="http://schemas.openxmlformats.org/officeDocument/2006/relationships/hyperlink" Target="https://www.google.com/search?q=site%3Aupt.pt%20Direito%20Europeu%20e%20Comparado%20mestrado" TargetMode="External"/><Relationship Id="rId4520" Type="http://schemas.openxmlformats.org/officeDocument/2006/relationships/hyperlink" Target="https://www.google.com/search?q=site%3Aulisboa.pt%20Arquitetura%20Paisagista%20licenciatura" TargetMode="External"/><Relationship Id="rId390" Type="http://schemas.openxmlformats.org/officeDocument/2006/relationships/hyperlink" Target="https://www.google.com/search?q=site%3Aisave.pt%20Bioan&#225;lises%20e%20Controlo%20CTeSP" TargetMode="External"/><Relationship Id="rId2071" Type="http://schemas.openxmlformats.org/officeDocument/2006/relationships/hyperlink" Target="https://www.google.com/search?q=site%3Aipt.pt%20Automa&#231;&#227;o%20Industrial%20CTeSP" TargetMode="External"/><Relationship Id="rId3122" Type="http://schemas.openxmlformats.org/officeDocument/2006/relationships/hyperlink" Target="https://www.google.com/search?q=site%3Acespu.pt%20Enfermagem%20Perioperat&#243;ria%20&#8211;%205.&#170;%20edi&#231;&#227;o%20p&#243;s-gradua&#231;&#227;o" TargetMode="External"/><Relationship Id="rId5294" Type="http://schemas.openxmlformats.org/officeDocument/2006/relationships/hyperlink" Target="https://www.google.com/search?q=site%3Aualg.pt%20Engenharia%20Civil%20licenciatura" TargetMode="External"/><Relationship Id="rId110" Type="http://schemas.openxmlformats.org/officeDocument/2006/relationships/hyperlink" Target="https://www.google.com/search?q=site%3Aesepf.pt%20Design%20Educacional%20e%20Tecnologias%20Digitais%20CTeSP" TargetMode="External"/><Relationship Id="rId2888" Type="http://schemas.openxmlformats.org/officeDocument/2006/relationships/hyperlink" Target="https://www.google.com/search?q=site%3Aisdd.pt%20Gest&#227;o%20Industrial%20e%20Inova&#231;&#227;o%20Tecnol&#243;gica%20licenciatura" TargetMode="External"/><Relationship Id="rId3939" Type="http://schemas.openxmlformats.org/officeDocument/2006/relationships/hyperlink" Target="https://www.google.com/search?q=site%3Aunl.pt%20Filosofia%20mestrado" TargetMode="External"/><Relationship Id="rId2955" Type="http://schemas.openxmlformats.org/officeDocument/2006/relationships/hyperlink" Target="https://www.google.com/search?q=site%3Aisag.pt%20Dire&#231;&#227;o%20Comercial%20e%20Marketing%20mestrado" TargetMode="External"/><Relationship Id="rId5361" Type="http://schemas.openxmlformats.org/officeDocument/2006/relationships/hyperlink" Target="https://www.google.com/search?q=site%3Aualg.pt%20Gest&#227;o%20Sustent&#225;vel%20de%20Espa&#231;os%20Rurais%20mestrado" TargetMode="External"/><Relationship Id="rId927" Type="http://schemas.openxmlformats.org/officeDocument/2006/relationships/hyperlink" Target="https://www.google.com/search?q=site%3Aipbeja.pt%20Cuidados%20Paliativos%20p&#243;s-gradua&#231;&#227;o" TargetMode="External"/><Relationship Id="rId1557" Type="http://schemas.openxmlformats.org/officeDocument/2006/relationships/hyperlink" Target="https://www.google.com/search?q=site%3Aipleiria.pt%20Interven&#231;&#227;o%20e%20Anima&#231;&#227;o%20Art&#237;sticas%20mestrado" TargetMode="External"/><Relationship Id="rId1971" Type="http://schemas.openxmlformats.org/officeDocument/2006/relationships/hyperlink" Target="https://www.google.com/search?q=site%3Aips.pt%20Condu&#231;&#227;o%20e%20Acompanhamento%20de%20Obras%20CTeSP" TargetMode="External"/><Relationship Id="rId2608" Type="http://schemas.openxmlformats.org/officeDocument/2006/relationships/hyperlink" Target="https://www.google.com/search?q=site%3Aipp.pt%20Tanatopraxia%2C%20Tanatoest&#233;tica%20e%20Disse&#231;&#227;o%20CTeSP" TargetMode="External"/><Relationship Id="rId5014" Type="http://schemas.openxmlformats.org/officeDocument/2006/relationships/hyperlink" Target="https://www.google.com/search?q=site%3Autad.pt%20Agronomia%20licenciatura" TargetMode="External"/><Relationship Id="rId1624" Type="http://schemas.openxmlformats.org/officeDocument/2006/relationships/hyperlink" Target="https://www.google.com/search?q=site%3Aipl.pt%20Dan&#231;a%20licenciatura" TargetMode="External"/><Relationship Id="rId4030" Type="http://schemas.openxmlformats.org/officeDocument/2006/relationships/hyperlink" Target="https://www.google.com/search?q=site%3Aunl.pt%20Medicina%20mestrado%20integrado" TargetMode="External"/><Relationship Id="rId3796" Type="http://schemas.openxmlformats.org/officeDocument/2006/relationships/hyperlink" Target="https://www.google.com/search?q=site%3Alusofona.pt%20Rela&#231;&#245;es%20Internacionais%20e%20Diplomacia%20Pol&#237;tica%20e%20Econ&#243;mica%20p&#243;s-gradua&#231;&#227;o" TargetMode="External"/><Relationship Id="rId2398" Type="http://schemas.openxmlformats.org/officeDocument/2006/relationships/hyperlink" Target="https://www.google.com/search?q=site%3Aipv.pt%20Gest&#227;o%20do%20Patrim&#243;nio%20Cultural%20e%20Desenvolvimento%20Local%20mestrado" TargetMode="External"/><Relationship Id="rId3449" Type="http://schemas.openxmlformats.org/officeDocument/2006/relationships/hyperlink" Target="https://www.google.com/search?q=site%3Aeuropeia.pt%20Direito%20e%20Gest&#227;o%20%28regime%20de%20ensino%20a%20dist&#226;ncia%29%20mestrado" TargetMode="External"/><Relationship Id="rId4847" Type="http://schemas.openxmlformats.org/officeDocument/2006/relationships/hyperlink" Target="https://www.google.com/search?q=site%3Aulisboa.pt%20Sistemas%20de%20Informa&#231;&#227;o%20Geogr&#225;fica%20e%20Modela&#231;&#227;o%20Territorial%20Aplicados%20ao%20Ordenamento%20mestrado" TargetMode="External"/><Relationship Id="rId3863" Type="http://schemas.openxmlformats.org/officeDocument/2006/relationships/hyperlink" Target="https://www.google.com/search?q=site%3Aunl.pt%20Biologia%20de%20Plantas%20para%20Agricultura%20Sustent&#225;vel%20mestrado" TargetMode="External"/><Relationship Id="rId4914" Type="http://schemas.openxmlformats.org/officeDocument/2006/relationships/hyperlink" Target="https://www.google.com/search?q=site%3Aulisboa.pt%20Curso%20B-Learning%20de%20Tecnologias%20Digitais%20em%20Medicina%20Dent&#225;ria%20p&#243;s-gradua&#231;&#227;o" TargetMode="External"/><Relationship Id="rId784" Type="http://schemas.openxmlformats.org/officeDocument/2006/relationships/hyperlink" Target="https://www.google.com/search?q=site%3Aipg.pt%20Enfermagem%20de%20Sa&#250;de%20Infantil%20e%20Pedi&#225;trica%20mestrado" TargetMode="External"/><Relationship Id="rId1067" Type="http://schemas.openxmlformats.org/officeDocument/2006/relationships/hyperlink" Target="https://www.google.com/search?q=site%3Aipb.pt%20Gest&#227;o%20das%20Organiza&#231;&#245;es%20mestrado" TargetMode="External"/><Relationship Id="rId2465" Type="http://schemas.openxmlformats.org/officeDocument/2006/relationships/hyperlink" Target="https://www.google.com/search?q=site%3Aipca.pt%20Sistemas%20Eletr&#243;nicos%20e%20Computadores%20CTeSP" TargetMode="External"/><Relationship Id="rId3516" Type="http://schemas.openxmlformats.org/officeDocument/2006/relationships/hyperlink" Target="https://www.google.com/search?q=site%3Aufp.pt%20Fisioterapia%20licenciatura" TargetMode="External"/><Relationship Id="rId3930" Type="http://schemas.openxmlformats.org/officeDocument/2006/relationships/hyperlink" Target="https://www.google.com/search?q=site%3Aunl.pt%20Epidemiologia%2C%20Bioestat&#237;stica%20e%20Investiga&#231;&#227;o%20em%20Sa&#250;de%20mestrado" TargetMode="External"/><Relationship Id="rId437" Type="http://schemas.openxmlformats.org/officeDocument/2006/relationships/hyperlink" Target="https://www.google.com/search?q=site%3Aiscte-iul.pt%20Matem&#225;tica%20Aplicada%20e%20Tecnologias%20Digitais%20licenciatura" TargetMode="External"/><Relationship Id="rId851" Type="http://schemas.openxmlformats.org/officeDocument/2006/relationships/hyperlink" Target="https://www.google.com/search?q=site%3Aipluso.pt%20Interven&#231;&#227;o%20Avan&#231;ada%20em%20Preven&#231;&#227;o%20e%20Tratamento%20de%20Feridas%20&#8211;%2010.&#170;%20edi&#231;&#227;o%20p&#243;s-gradua&#231;&#227;o" TargetMode="External"/><Relationship Id="rId1481" Type="http://schemas.openxmlformats.org/officeDocument/2006/relationships/hyperlink" Target="https://www.google.com/search?q=site%3Aipleiria.pt%20Rela&#231;&#245;es%20Humanas%20e%20Comunica&#231;&#227;o%20Organizacional%20%28regime%20de%20ensino%20a%20dist&#226;ncia%29%20licenciatura" TargetMode="External"/><Relationship Id="rId2118" Type="http://schemas.openxmlformats.org/officeDocument/2006/relationships/hyperlink" Target="https://www.google.com/search?q=site%3Aipt.pt%20Engenharia%20Mec&#226;nica%20licenciatura" TargetMode="External"/><Relationship Id="rId2532" Type="http://schemas.openxmlformats.org/officeDocument/2006/relationships/hyperlink" Target="https://www.google.com/search?q=site%3Aipca.pt%20Contabilidade%20de%20Gest&#227;o%20e%20Estrat&#233;gia%20Empresarial%20p&#243;s-gradua&#231;&#227;o" TargetMode="External"/><Relationship Id="rId5688" Type="http://schemas.openxmlformats.org/officeDocument/2006/relationships/hyperlink" Target="https://www.google.com/search?q=site%3Auac.pt%20Hortofruticultura%20CTeSP" TargetMode="External"/><Relationship Id="rId504" Type="http://schemas.openxmlformats.org/officeDocument/2006/relationships/hyperlink" Target="https://www.google.com/search?q=site%3Aisec.pt%20Engenharia%20Inform&#225;tica%20%28Curso%20Europeu%29%20licenciatura" TargetMode="External"/><Relationship Id="rId1134" Type="http://schemas.openxmlformats.org/officeDocument/2006/relationships/hyperlink" Target="https://www.google.com/search?q=site%3Aipcb.pt%20Ci&#234;ncias%20Biom&#233;dicas%20Laboratoriais%20licenciatura" TargetMode="External"/><Relationship Id="rId5755" Type="http://schemas.openxmlformats.org/officeDocument/2006/relationships/hyperlink" Target="https://www.google.com/search?q=site%3Auac.pt%20Bases%20de%20dados%20espaciais%20p&#243;s-gradua&#231;&#227;o" TargetMode="External"/><Relationship Id="rId1201" Type="http://schemas.openxmlformats.org/officeDocument/2006/relationships/hyperlink" Target="https://www.google.com/search?q=site%3Aipcb.pt%20Servi&#231;o%20Social%20em%20Sa&#250;de%20p&#243;s-gradua&#231;&#227;o" TargetMode="External"/><Relationship Id="rId4357" Type="http://schemas.openxmlformats.org/officeDocument/2006/relationships/hyperlink" Target="https://www.google.com/search?q=site%3Auc.pt%20Computa&#231;&#227;o%20Musical%20e%20Design%20de%20Som%20mestrado" TargetMode="External"/><Relationship Id="rId4771" Type="http://schemas.openxmlformats.org/officeDocument/2006/relationships/hyperlink" Target="https://www.google.com/search?q=site%3Aulisboa.pt%20Gest&#227;o%20e%20Pol&#237;ticas%20P&#250;blicas%20mestrado" TargetMode="External"/><Relationship Id="rId5408" Type="http://schemas.openxmlformats.org/officeDocument/2006/relationships/hyperlink" Target="https://www.google.com/search?q=site%3Auminho.pt%20Enfermagem%20de%20Reabilita&#231;&#227;o%20mestrado" TargetMode="External"/><Relationship Id="rId3373" Type="http://schemas.openxmlformats.org/officeDocument/2006/relationships/hyperlink" Target="https://www.google.com/search?q=site%3Aucp.pt%20Sa&#250;de%20da%20Crian&#231;a%20e%20Cuidado%20Pedi&#225;trico%20p&#243;s-gradua&#231;&#227;o" TargetMode="External"/><Relationship Id="rId4424" Type="http://schemas.openxmlformats.org/officeDocument/2006/relationships/hyperlink" Target="https://www.google.com/search?q=site%3Auc.pt%20Geografia%20Humana%2C%20Planeamento%20e%20Territ&#243;rios%20Saud&#225;veis%20mestrado" TargetMode="External"/><Relationship Id="rId294" Type="http://schemas.openxmlformats.org/officeDocument/2006/relationships/hyperlink" Target="https://www.google.com/search?q=site%3Aesscvp.eu%20Ci&#234;ncias%20Biom&#233;dicas%20Laboratoriais%20licenciatura" TargetMode="External"/><Relationship Id="rId3026" Type="http://schemas.openxmlformats.org/officeDocument/2006/relationships/hyperlink" Target="https://www.google.com/search?q=site%3Aiscia.pt%20Gest&#227;o%20de%20Unidades%20Desportivas%20e%20de%20Lazer%20CTeSP" TargetMode="External"/><Relationship Id="rId361" Type="http://schemas.openxmlformats.org/officeDocument/2006/relationships/hyperlink" Target="https://www.google.com/search?q=site%3Asantamaria.pt%20Gest&#227;o%20dos%20Servi&#231;os%20de%20Sa&#250;de%20p&#243;s-gradua&#231;&#227;o" TargetMode="External"/><Relationship Id="rId2042" Type="http://schemas.openxmlformats.org/officeDocument/2006/relationships/hyperlink" Target="https://www.google.com/search?q=site%3Aips.pt%20Engenharia%20e%20Gest&#227;o%20de%20Aquacultura%20mestrado" TargetMode="External"/><Relationship Id="rId3440" Type="http://schemas.openxmlformats.org/officeDocument/2006/relationships/hyperlink" Target="https://www.google.com/search?q=site%3Aeuropeia.pt%20Design%20%26%20Publicidade%20mestrado" TargetMode="External"/><Relationship Id="rId5198" Type="http://schemas.openxmlformats.org/officeDocument/2006/relationships/hyperlink" Target="https://www.google.com/search?q=site%3Auevora.pt%20Gest&#227;o%20e%20Valoriza&#231;&#227;o%20do%20Patrim&#243;nio%20Hist&#243;rico%20e%20Cultural%20mestrado" TargetMode="External"/><Relationship Id="rId2859" Type="http://schemas.openxmlformats.org/officeDocument/2006/relationships/hyperlink" Target="https://www.google.com/search?q=site%3Aipam.pt%20P&#243;s&#8209;Gradua&#231;&#227;o%20em%20Gest&#227;o%20de%20Marketing%20p&#243;s-gradua&#231;&#227;o" TargetMode="External"/><Relationship Id="rId5265" Type="http://schemas.openxmlformats.org/officeDocument/2006/relationships/hyperlink" Target="https://www.google.com/search?q=site%3Aualg.pt%20Seguran&#231;a%20e%20Higiene%20Alimentar%20CTeSP" TargetMode="External"/><Relationship Id="rId1875" Type="http://schemas.openxmlformats.org/officeDocument/2006/relationships/hyperlink" Target="https://www.google.com/search?q=site%3Aipsantarem.pt%20Fisioterapia%20licenciatura" TargetMode="External"/><Relationship Id="rId4281" Type="http://schemas.openxmlformats.org/officeDocument/2006/relationships/hyperlink" Target="https://www.google.com/search?q=site%3Auc.pt%20Ci&#234;ncias%20do%20Desporto%20licenciatura" TargetMode="External"/><Relationship Id="rId5332" Type="http://schemas.openxmlformats.org/officeDocument/2006/relationships/hyperlink" Target="https://www.google.com/search?q=site%3Aualg.pt%20Comunica&#231;&#227;o%20e%20Media%20Digitais%20mestrado" TargetMode="External"/><Relationship Id="rId1528" Type="http://schemas.openxmlformats.org/officeDocument/2006/relationships/hyperlink" Target="https://www.google.com/search?q=site%3Aipleiria.pt%20Enfermagem%20M&#233;dico-Cir&#250;rgica%20na%20&#225;rea%20de%20Enfermagem%20&#224;%20Pessoa%20em%20Situa&#231;&#227;o%20Cr&#237;tica%20mestrado" TargetMode="External"/><Relationship Id="rId2926" Type="http://schemas.openxmlformats.org/officeDocument/2006/relationships/hyperlink" Target="https://www.google.com/search?q=site%3Aispgaya.pt%20Electromedicina%20CTeSP" TargetMode="External"/><Relationship Id="rId1942" Type="http://schemas.openxmlformats.org/officeDocument/2006/relationships/hyperlink" Target="https://www.google.com/search?q=site%3Acespu.pt%20Arritmologia%20&#8211;%202.&#170;%20edi&#231;&#227;o%20p&#243;s-gradua&#231;&#227;o" TargetMode="External"/><Relationship Id="rId4001" Type="http://schemas.openxmlformats.org/officeDocument/2006/relationships/hyperlink" Target="https://www.google.com/search?q=site%3Aunl.pt%20Sa&#250;de%20Ocupacional%20mestrado" TargetMode="External"/><Relationship Id="rId3767" Type="http://schemas.openxmlformats.org/officeDocument/2006/relationships/hyperlink" Target="https://www.google.com/search?q=site%3Alusofona.pt%20Direitos%20das%20Crian&#231;as%20p&#243;s-gradua&#231;&#227;o" TargetMode="External"/><Relationship Id="rId4818" Type="http://schemas.openxmlformats.org/officeDocument/2006/relationships/hyperlink" Target="https://www.google.com/search?q=site%3Aulisboa.pt%20Pol&#237;ticas%20de%20Desenvolvimento%20de%20Recursos%20Humanos%20mestrado" TargetMode="External"/><Relationship Id="rId688" Type="http://schemas.openxmlformats.org/officeDocument/2006/relationships/hyperlink" Target="https://www.google.com/search?q=site%3Aiees.pt%20Educa&#231;&#227;o%20mestrado" TargetMode="External"/><Relationship Id="rId2369" Type="http://schemas.openxmlformats.org/officeDocument/2006/relationships/hyperlink" Target="https://www.google.com/search?q=site%3Aipv.pt%20Tecnologias%20da%20Madeira%20licenciatura" TargetMode="External"/><Relationship Id="rId2783" Type="http://schemas.openxmlformats.org/officeDocument/2006/relationships/hyperlink" Target="https://www.google.com/search?q=site%3Aipp.pt%20Transforma&#231;&#227;o%20Digital%20de%20Servi&#231;os%20de%20Sa&#250;de%20e%20Reabilita&#231;&#227;o%20mestrado" TargetMode="External"/><Relationship Id="rId3834" Type="http://schemas.openxmlformats.org/officeDocument/2006/relationships/hyperlink" Target="https://www.google.com/search?q=site%3Aunl.pt%20Estudo%20do%20Mar%20licenciatura" TargetMode="External"/><Relationship Id="rId755" Type="http://schemas.openxmlformats.org/officeDocument/2006/relationships/hyperlink" Target="https://www.google.com/search?q=site%3Aipg.pt%20Design%20de%20Equipamento%20e%20Ambientes%20licenciatura" TargetMode="External"/><Relationship Id="rId1385" Type="http://schemas.openxmlformats.org/officeDocument/2006/relationships/hyperlink" Target="https://www.google.com/search?q=site%3Aipleiria.pt%20BIM%20-%20Modela&#231;&#227;o%20Digital%20da%20Constru&#231;&#227;o%20CTeSP" TargetMode="External"/><Relationship Id="rId2436" Type="http://schemas.openxmlformats.org/officeDocument/2006/relationships/hyperlink" Target="https://www.google.com/search?q=site%3Aipca.pt%20Gest&#227;o%20Financeira%20e%20Contabil&#237;stica%20CTeSP" TargetMode="External"/><Relationship Id="rId2850" Type="http://schemas.openxmlformats.org/officeDocument/2006/relationships/hyperlink" Target="https://www.google.com/search?q=site%3Aipam.pt%20Gest&#227;o%20de%20Neg&#243;cios%20%28regime%20de%20ensino%20a%20dist&#226;ncia%29%20mestrado" TargetMode="External"/><Relationship Id="rId91" Type="http://schemas.openxmlformats.org/officeDocument/2006/relationships/hyperlink" Target="https://www.google.com/search?q=site%3Ajoaodedeus.pt%20A%20Cartilha%20Maternal%20e%20o%20M&#233;todo%20de%20Leitura%20Jo&#227;o%20de%20Deus%20&#8211;%20Um%20M&#233;todo%20Intemporal%20p&#243;s-gradua&#231;&#227;o" TargetMode="External"/><Relationship Id="rId408" Type="http://schemas.openxmlformats.org/officeDocument/2006/relationships/hyperlink" Target="https://www.google.com/search?q=site%3Aisave.pt%20Terapias%20Complementares%20e%20SPA%20p&#243;s-gradua&#231;&#227;o" TargetMode="External"/><Relationship Id="rId822" Type="http://schemas.openxmlformats.org/officeDocument/2006/relationships/hyperlink" Target="https://www.google.com/search?q=site%3Aipluso.pt%20Instala&#231;&#245;es%20El&#233;tricas%20e%20Automa&#231;&#227;o%20CTeSP" TargetMode="External"/><Relationship Id="rId1038" Type="http://schemas.openxmlformats.org/officeDocument/2006/relationships/hyperlink" Target="https://www.google.com/search?q=site%3Aipb.pt%20Agroecologia%20mestrado" TargetMode="External"/><Relationship Id="rId1452" Type="http://schemas.openxmlformats.org/officeDocument/2006/relationships/hyperlink" Target="https://www.google.com/search?q=site%3Aipleiria.pt%20Design%20de%20Espa&#231;os%20licenciatura" TargetMode="External"/><Relationship Id="rId2503" Type="http://schemas.openxmlformats.org/officeDocument/2006/relationships/hyperlink" Target="https://www.google.com/search?q=site%3Aipca.pt%20Engenharia%20e%20Gest&#227;o%20Industrial%20mestrado" TargetMode="External"/><Relationship Id="rId3901" Type="http://schemas.openxmlformats.org/officeDocument/2006/relationships/hyperlink" Target="https://www.google.com/search?q=site%3Aunl.pt%20Engenharia%20Aeroespacial%20mestrado" TargetMode="External"/><Relationship Id="rId5659" Type="http://schemas.openxmlformats.org/officeDocument/2006/relationships/hyperlink" Target="https://www.google.com/search?q=site%3Aup.pt%20Temas%20de%20Psicologia%20mestrado" TargetMode="External"/><Relationship Id="rId1105" Type="http://schemas.openxmlformats.org/officeDocument/2006/relationships/hyperlink" Target="https://www.google.com/search?q=site%3Aipb.pt%20Transforma&#231;&#227;o%20Digital%20p&#243;s-gradua&#231;&#227;o" TargetMode="External"/><Relationship Id="rId3277" Type="http://schemas.openxmlformats.org/officeDocument/2006/relationships/hyperlink" Target="https://www.google.com/search?q=site%3Aucp.pt%20Direito%20mestrado" TargetMode="External"/><Relationship Id="rId4675" Type="http://schemas.openxmlformats.org/officeDocument/2006/relationships/hyperlink" Target="https://www.google.com/search?q=site%3Aulisboa.pt%20Direito%20e%20Pr&#225;tica%20Jur&#237;dica%20Europeia%20mestrado" TargetMode="External"/><Relationship Id="rId5726" Type="http://schemas.openxmlformats.org/officeDocument/2006/relationships/hyperlink" Target="https://www.google.com/search?q=site%3Auac.pt%20Ensino%20de%20Hist&#243;ria%20no%203.&#186;%20Ciclo%20do%20Ensino%20B&#225;sico%20e%20no%20Ensino%20Secund&#225;rio%20mestrado" TargetMode="External"/><Relationship Id="rId198" Type="http://schemas.openxmlformats.org/officeDocument/2006/relationships/hyperlink" Target="https://www.google.com/search?q=site%3Auatlantica.pt%20Farm&#225;cia%20licenciatura" TargetMode="External"/><Relationship Id="rId3691" Type="http://schemas.openxmlformats.org/officeDocument/2006/relationships/hyperlink" Target="https://www.google.com/search?q=site%3Alusofona.pt%20Estudos%20Portugueses%20licenciatura" TargetMode="External"/><Relationship Id="rId4328" Type="http://schemas.openxmlformats.org/officeDocument/2006/relationships/hyperlink" Target="https://www.google.com/search?q=site%3Auc.pt%20Turismo%2C%20Territ&#243;rio%20e%20Patrim&#243;nios%20licenciatura" TargetMode="External"/><Relationship Id="rId4742" Type="http://schemas.openxmlformats.org/officeDocument/2006/relationships/hyperlink" Target="https://www.google.com/search?q=site%3Aulisboa.pt%20Estudos%20Alem&#227;es%20mestrado" TargetMode="External"/><Relationship Id="rId2293" Type="http://schemas.openxmlformats.org/officeDocument/2006/relationships/hyperlink" Target="https://www.google.com/search?q=site%3Aipvc.pt%20Tecnologia%20e%20Inova&#231;&#227;o%20em%20Vidro%20p&#243;s-gradua&#231;&#227;o" TargetMode="External"/><Relationship Id="rId3344" Type="http://schemas.openxmlformats.org/officeDocument/2006/relationships/hyperlink" Target="https://www.google.com/search?q=site%3Aucp.pt%20Turismo%20mestrado" TargetMode="External"/><Relationship Id="rId265" Type="http://schemas.openxmlformats.org/officeDocument/2006/relationships/hyperlink" Target="https://www.google.com/search?q=site%3Aesscvp.eu%20Enfermagem%20licenciatura" TargetMode="External"/><Relationship Id="rId2360" Type="http://schemas.openxmlformats.org/officeDocument/2006/relationships/hyperlink" Target="https://www.google.com/search?q=site%3Aipv.pt%20Gest&#227;o%20Tur&#237;stica%2C%20Cultural%20e%20Patrimonial%20licenciatura" TargetMode="External"/><Relationship Id="rId3411" Type="http://schemas.openxmlformats.org/officeDocument/2006/relationships/hyperlink" Target="https://www.google.com/search?q=site%3Aeuropeia.pt%20Gest&#227;o%20de%20Recursos%20Humanos%20licenciatura" TargetMode="External"/><Relationship Id="rId332" Type="http://schemas.openxmlformats.org/officeDocument/2006/relationships/hyperlink" Target="https://www.google.com/search?q=site%3Aess.ufp.pt%20Inova&#231;&#227;o%20Tecnol&#243;gica%20em%20Sa&#250;de%3A%20Citotecnologia%20p&#243;s-gradua&#231;&#227;o" TargetMode="External"/><Relationship Id="rId2013" Type="http://schemas.openxmlformats.org/officeDocument/2006/relationships/hyperlink" Target="https://www.google.com/search?q=site%3Aips.pt%20Engenharia%20de%20Automa&#231;&#227;o%2C%20Controlo%20e%20Instrumenta&#231;&#227;o%20licenciatura" TargetMode="External"/><Relationship Id="rId5169" Type="http://schemas.openxmlformats.org/officeDocument/2006/relationships/hyperlink" Target="https://www.google.com/search?q=site%3Auevora.pt%20M&#250;sica%20licenciatura" TargetMode="External"/><Relationship Id="rId5583" Type="http://schemas.openxmlformats.org/officeDocument/2006/relationships/hyperlink" Target="https://www.google.com/search?q=site%3Aup.pt%20Estudos%20Liter&#225;rios%2C%20Culturais%20e%20Interartes%20mestrado" TargetMode="External"/><Relationship Id="rId4185" Type="http://schemas.openxmlformats.org/officeDocument/2006/relationships/hyperlink" Target="https://www.google.com/search?q=site%3Aismai.pt%20Psicologia%20Cl&#237;nica%20Forense%20-%20Interven&#231;&#227;o%20com%20Agressores%20e%20V&#237;timas%20mestrado" TargetMode="External"/><Relationship Id="rId5236" Type="http://schemas.openxmlformats.org/officeDocument/2006/relationships/hyperlink" Target="https://www.google.com/search?q=site%3Auevora.pt%20Interven&#231;&#227;o%20Social%20e%20Gest&#227;o%20de%20Projetos%20Socioeducativos%20%28S&#227;o%20Tom&#233;%20e%20Pr&#237;ncipe%29%20p&#243;s-gradua&#231;&#227;o" TargetMode="External"/><Relationship Id="rId1779" Type="http://schemas.openxmlformats.org/officeDocument/2006/relationships/hyperlink" Target="https://www.google.com/search?q=site%3Aipportalegre.pt%20Administra&#231;&#227;o%20de%20Publicidade%20e%20Marketing%20licenciatura" TargetMode="External"/><Relationship Id="rId4252" Type="http://schemas.openxmlformats.org/officeDocument/2006/relationships/hyperlink" Target="https://www.google.com/search?q=site%3Aua.pt%20Enfermagem%20de%20Sa&#250;de%20Familiar%20mestrado" TargetMode="External"/><Relationship Id="rId5650" Type="http://schemas.openxmlformats.org/officeDocument/2006/relationships/hyperlink" Target="https://www.google.com/search?q=site%3Aup.pt%20Sa&#250;de%20P&#250;blica%20mestrado" TargetMode="External"/><Relationship Id="rId1846" Type="http://schemas.openxmlformats.org/officeDocument/2006/relationships/hyperlink" Target="https://www.google.com/search?q=site%3Aipsantarem.pt%20Produ&#231;&#227;o%20de%20Insetos%20CTeSP" TargetMode="External"/><Relationship Id="rId5303" Type="http://schemas.openxmlformats.org/officeDocument/2006/relationships/hyperlink" Target="https://www.google.com/search?q=site%3Aualg.pt%20Gest&#227;o%20%28regime%20noturno%29%20licenciatura" TargetMode="External"/><Relationship Id="rId1913" Type="http://schemas.openxmlformats.org/officeDocument/2006/relationships/hyperlink" Target="https://www.google.com/search?q=site%3Aipsantarem.pt%20Treino%20Desportivo%20mestrado" TargetMode="External"/><Relationship Id="rId2687" Type="http://schemas.openxmlformats.org/officeDocument/2006/relationships/hyperlink" Target="https://www.google.com/search?q=site%3Aipp.pt%20Tecnologias%20e%20Desenvolvimento%20Web%20licenciatura" TargetMode="External"/><Relationship Id="rId3738" Type="http://schemas.openxmlformats.org/officeDocument/2006/relationships/hyperlink" Target="https://www.google.com/search?q=site%3Alusofona.pt%20Gest&#227;o%20Cultural%20mestrado" TargetMode="External"/><Relationship Id="rId5093" Type="http://schemas.openxmlformats.org/officeDocument/2006/relationships/hyperlink" Target="https://www.google.com/search?q=site%3Autad.pt%20Engenharia%20Alimentar%20mestrado" TargetMode="External"/><Relationship Id="rId659" Type="http://schemas.openxmlformats.org/officeDocument/2006/relationships/hyperlink" Target="https://www.google.com/search?q=site%3Aistec.pt%20Marketing%20e%20IA%20Gen%20%28Marketing%20e%20IA%20Generativa%29%20p&#243;s-gradua&#231;&#227;o" TargetMode="External"/><Relationship Id="rId1289" Type="http://schemas.openxmlformats.org/officeDocument/2006/relationships/hyperlink" Target="https://www.google.com/search?q=site%3Aipc.pt%20Agricultura%20Biol&#243;gica%20mestrado" TargetMode="External"/><Relationship Id="rId5160" Type="http://schemas.openxmlformats.org/officeDocument/2006/relationships/hyperlink" Target="https://www.google.com/search?q=site%3Auevora.pt%20Engenharia%20e%20Gest&#227;o%20Industrial%20licenciatura" TargetMode="External"/><Relationship Id="rId1356" Type="http://schemas.openxmlformats.org/officeDocument/2006/relationships/hyperlink" Target="https://www.google.com/search?q=site%3Aipc.pt%20Ensino%20a%20Dist&#226;ncia%20no%20Ensino%20Superior%20p&#243;s-gradua&#231;&#227;o" TargetMode="External"/><Relationship Id="rId2754" Type="http://schemas.openxmlformats.org/officeDocument/2006/relationships/hyperlink" Target="https://www.google.com/search?q=site%3Aipp.pt%20Gest&#227;o%20e%20Desenvolvimento%20de%20Recursos%20Humanos%20mestrado" TargetMode="External"/><Relationship Id="rId3805" Type="http://schemas.openxmlformats.org/officeDocument/2006/relationships/hyperlink" Target="https://www.google.com/search?q=site%3Aunl.pt%20An&#225;lise%20e%20Engenharia%20de%20Dados%20licenciatura" TargetMode="External"/><Relationship Id="rId726" Type="http://schemas.openxmlformats.org/officeDocument/2006/relationships/hyperlink" Target="https://www.google.com/search?q=site%3Aipg.pt%20Gest&#227;o%20de%20Alojamentos%20Tur&#237;sticos%20CTeSP" TargetMode="External"/><Relationship Id="rId1009" Type="http://schemas.openxmlformats.org/officeDocument/2006/relationships/hyperlink" Target="https://www.google.com/search?q=site%3Aipb.pt%20Engenharia%20Inform&#225;tica%20licenciatura" TargetMode="External"/><Relationship Id="rId1770" Type="http://schemas.openxmlformats.org/officeDocument/2006/relationships/hyperlink" Target="https://www.google.com/search?q=site%3Aipportalegre.pt%20Reabilita&#231;&#227;o%20de%20Constru&#231;&#245;es%20Tradicionais%20CTeSP" TargetMode="External"/><Relationship Id="rId2407" Type="http://schemas.openxmlformats.org/officeDocument/2006/relationships/hyperlink" Target="https://www.google.com/search?q=site%3Aipv.pt%20Engenharia%20Inform&#225;tica%20&#8211;%20Sistemas%20de%20Informa&#231;&#227;o%20p&#243;s-gradua&#231;&#227;o" TargetMode="External"/><Relationship Id="rId2821" Type="http://schemas.openxmlformats.org/officeDocument/2006/relationships/hyperlink" Target="https://www.google.com/search?q=site%3Aipp.pt%20MBA%20Executivo%20%28Novo%20Plano%202025/2026%29%20p&#243;s-gradua&#231;&#227;o" TargetMode="External"/><Relationship Id="rId62" Type="http://schemas.openxmlformats.org/officeDocument/2006/relationships/hyperlink" Target="https://www.google.com/search?q=site%3Aesap.pt%20Dire&#231;&#227;o%20de%20Arte%20p&#243;s-gradua&#231;&#227;o" TargetMode="External"/><Relationship Id="rId1423" Type="http://schemas.openxmlformats.org/officeDocument/2006/relationships/hyperlink" Target="https://www.google.com/search?q=site%3Aipleiria.pt%20Programa&#231;&#227;o%20&#193;gil%20e%20Seguran&#231;a%20de%20Sistemas%20de%20Informa&#231;&#227;o%20CTeSP" TargetMode="External"/><Relationship Id="rId4579" Type="http://schemas.openxmlformats.org/officeDocument/2006/relationships/hyperlink" Target="https://www.google.com/search?q=site%3Aulisboa.pt%20Estudos%20Europeus%20licenciatura" TargetMode="External"/><Relationship Id="rId4993" Type="http://schemas.openxmlformats.org/officeDocument/2006/relationships/hyperlink" Target="https://www.google.com/search?q=site%3Aulisboa.pt%20P&#243;s-Gradua&#231;&#227;o%20AI%20and%20Law%20p&#243;s-gradua&#231;&#227;o" TargetMode="External"/><Relationship Id="rId3595" Type="http://schemas.openxmlformats.org/officeDocument/2006/relationships/hyperlink" Target="https://www.google.com/search?q=site%3Aulusiada.pt%20Design%20mestrado" TargetMode="External"/><Relationship Id="rId4646" Type="http://schemas.openxmlformats.org/officeDocument/2006/relationships/hyperlink" Target="https://www.google.com/search?q=site%3Aulisboa.pt%20Ci&#234;ncias%20da%20Documenta&#231;&#227;o%20e%20Informa&#231;&#227;o%20mestrado" TargetMode="External"/><Relationship Id="rId2197" Type="http://schemas.openxmlformats.org/officeDocument/2006/relationships/hyperlink" Target="https://www.google.com/search?q=site%3Aipvc.pt%20Sistemas%20El&#233;tricos%20de%20Energia%20CTeSP" TargetMode="External"/><Relationship Id="rId3248" Type="http://schemas.openxmlformats.org/officeDocument/2006/relationships/hyperlink" Target="https://www.google.com/search?q=site%3Aucp.pt%20Gest&#227;o%20Comercial%20e%20de%20Retalho%20&#8211;%20Executiva%20%28regime%20de%20ensino%20a%20dist&#226;ncia%29%20licenciatura" TargetMode="External"/><Relationship Id="rId3662" Type="http://schemas.openxmlformats.org/officeDocument/2006/relationships/hyperlink" Target="https://www.google.com/search?q=site%3Alusofona.pt%20Ci&#234;ncias%20da%20Educa&#231;&#227;o%20licenciatura" TargetMode="External"/><Relationship Id="rId4713" Type="http://schemas.openxmlformats.org/officeDocument/2006/relationships/hyperlink" Target="https://www.google.com/search?q=site%3Aulisboa.pt%20Engenharia%20de%20Materiais%20mestrado" TargetMode="External"/><Relationship Id="rId169" Type="http://schemas.openxmlformats.org/officeDocument/2006/relationships/hyperlink" Target="https://www.google.com/search?q=site%3Aesenf.pt%20Enfermagem%20de%20Cuidados%20Paliativos%20p&#243;s-gradua&#231;&#227;o" TargetMode="External"/><Relationship Id="rId583" Type="http://schemas.openxmlformats.org/officeDocument/2006/relationships/hyperlink" Target="https://www.google.com/search?q=site%3Aiseclisboa.pt%20Marketing%20Digital%20p&#243;s-gradua&#231;&#227;o" TargetMode="External"/><Relationship Id="rId2264" Type="http://schemas.openxmlformats.org/officeDocument/2006/relationships/hyperlink" Target="https://www.google.com/search?q=site%3Aipvc.pt%20Engenharia%20do%20Territ&#243;rio%20e%20do%20Ambiente%20mestrado" TargetMode="External"/><Relationship Id="rId3315" Type="http://schemas.openxmlformats.org/officeDocument/2006/relationships/hyperlink" Target="https://www.google.com/search?q=site%3Aucp.pt%20Gest&#227;o%3A%20Programa%20Internacional%20mestrado" TargetMode="External"/><Relationship Id="rId236" Type="http://schemas.openxmlformats.org/officeDocument/2006/relationships/hyperlink" Target="https://www.google.com/search?q=site%3Aegasmoniz.edu.pt%20Nutri&#231;&#227;o%20Humana%20&#8211;%20Cl&#237;nica%20e%20Investiga&#231;&#227;o%20mestrado" TargetMode="External"/><Relationship Id="rId650" Type="http://schemas.openxmlformats.org/officeDocument/2006/relationships/hyperlink" Target="https://www.google.com/search?q=site%3Aistec.pt%20Rob&#243;tica%20e%20Intelig&#234;ncia%20Artificial%20CTeSP" TargetMode="External"/><Relationship Id="rId1280" Type="http://schemas.openxmlformats.org/officeDocument/2006/relationships/hyperlink" Target="https://www.google.com/search?q=site%3Aipc.pt%20Sistemas%20e%20Tecnologias%20da%20Informa&#231;&#227;o%20licenciatura" TargetMode="External"/><Relationship Id="rId2331" Type="http://schemas.openxmlformats.org/officeDocument/2006/relationships/hyperlink" Target="https://www.google.com/search?q=site%3Aipv.pt%20Tecnologias%20Ambientais%20CTeSP" TargetMode="External"/><Relationship Id="rId5487" Type="http://schemas.openxmlformats.org/officeDocument/2006/relationships/hyperlink" Target="https://www.google.com/search?q=site%3Aup.pt%20Biodiversidade%2C%20Gen&#233;tica%20e%20Evolu&#231;&#227;o%20mestrado" TargetMode="External"/><Relationship Id="rId303" Type="http://schemas.openxmlformats.org/officeDocument/2006/relationships/hyperlink" Target="https://www.google.com/search?q=site%3Aesscvp.eu%20Enfermagem%20Comunit&#225;ria%2C%20na%20&#193;rea%20de%20Enfermagem%20de%20Sa&#250;de%20Familiar%20mestrado" TargetMode="External"/><Relationship Id="rId4089" Type="http://schemas.openxmlformats.org/officeDocument/2006/relationships/hyperlink" Target="https://www.google.com/search?q=site%3Aupt.pt%20Engenharia%20Inform&#225;tica%20licenciatura" TargetMode="External"/><Relationship Id="rId5554" Type="http://schemas.openxmlformats.org/officeDocument/2006/relationships/hyperlink" Target="https://www.google.com/search?q=site%3Aup.pt%20Engenharia%20de%20Seguran&#231;a%20e%20Higiene%20Ocupacionais%20mestrado" TargetMode="External"/><Relationship Id="rId1000" Type="http://schemas.openxmlformats.org/officeDocument/2006/relationships/hyperlink" Target="https://www.google.com/search?q=site%3Aipb.pt%20Educa&#231;&#227;o%20Ambiental%20licenciatura" TargetMode="External"/><Relationship Id="rId4156" Type="http://schemas.openxmlformats.org/officeDocument/2006/relationships/hyperlink" Target="https://www.google.com/search?q=site%3Auma.pt%20Comunica&#231;&#227;o%20Digital%20p&#243;s-gradua&#231;&#227;o" TargetMode="External"/><Relationship Id="rId4570" Type="http://schemas.openxmlformats.org/officeDocument/2006/relationships/hyperlink" Target="https://www.google.com/search?q=site%3Aulisboa.pt%20Engenharia%20e%20Gest&#227;o%20Industrial%20licenciatura" TargetMode="External"/><Relationship Id="rId5207" Type="http://schemas.openxmlformats.org/officeDocument/2006/relationships/hyperlink" Target="https://www.google.com/search?q=site%3Auevora.pt%20Pr&#225;ticas%20Art&#237;sticas%20em%20Artes%20Visuais%20mestrado" TargetMode="External"/><Relationship Id="rId5621" Type="http://schemas.openxmlformats.org/officeDocument/2006/relationships/hyperlink" Target="https://www.google.com/search?q=site%3Aup.pt%20Medicina%20e%20Oncologia%20Moleculares%20mestrado" TargetMode="External"/><Relationship Id="rId1817" Type="http://schemas.openxmlformats.org/officeDocument/2006/relationships/hyperlink" Target="https://www.google.com/search?q=site%3Aipportalegre.pt%20Inova&#231;&#227;o%20Pedag&#243;gica%20em%20Ambientes%20Digitais%20mestrado" TargetMode="External"/><Relationship Id="rId3172" Type="http://schemas.openxmlformats.org/officeDocument/2006/relationships/hyperlink" Target="https://www.google.com/search?q=site%3Auab.pt%20Estudos%20Comparados%20-%20Literatura%20e%20Outras%20Artes%20mestrado" TargetMode="External"/><Relationship Id="rId4223" Type="http://schemas.openxmlformats.org/officeDocument/2006/relationships/hyperlink" Target="https://www.google.com/search?q=site%3Aua.pt%20Tecnologia%20Mec&#226;nica%20CTeSP" TargetMode="External"/><Relationship Id="rId160" Type="http://schemas.openxmlformats.org/officeDocument/2006/relationships/hyperlink" Target="https://www.google.com/search?q=site%3Asjcluny.org%20Enfermagem%20de%20Sa&#250;de%20Mental%20e%20Psiqui&#225;trica%20mestrado" TargetMode="External"/><Relationship Id="rId3989" Type="http://schemas.openxmlformats.org/officeDocument/2006/relationships/hyperlink" Target="https://www.google.com/search?q=site%3Aunl.pt%20Parasitologia%20M&#233;dica%20mestrado" TargetMode="External"/><Relationship Id="rId5064" Type="http://schemas.openxmlformats.org/officeDocument/2006/relationships/hyperlink" Target="https://www.google.com/search?q=site%3Autad.pt%20An&#225;lise%20da%20Performance%20Desportiva%20mestrado" TargetMode="External"/><Relationship Id="rId977" Type="http://schemas.openxmlformats.org/officeDocument/2006/relationships/hyperlink" Target="https://www.google.com/search?q=site%3Aipb.pt%20Qualidade%20e%20Tratamento%20de%20&#193;gua%20e%20Efluentes%20CTeSP" TargetMode="External"/><Relationship Id="rId2658" Type="http://schemas.openxmlformats.org/officeDocument/2006/relationships/hyperlink" Target="https://www.google.com/search?q=site%3Aipp.pt%20Gest&#227;o%20da%20Restaura&#231;&#227;o%20e%20Catering%20licenciatura" TargetMode="External"/><Relationship Id="rId3709" Type="http://schemas.openxmlformats.org/officeDocument/2006/relationships/hyperlink" Target="https://www.google.com/search?q=site%3Alusofona.pt%20Videojogos%20licenciatura" TargetMode="External"/><Relationship Id="rId4080" Type="http://schemas.openxmlformats.org/officeDocument/2006/relationships/hyperlink" Target="https://www.google.com/search?q=site%3Aunl.pt%20Sales%20Management%20&#8211;%20P&#243;s&#8209;Gradua&#231;&#227;o%20Online%20p&#243;s-gradua&#231;&#227;o" TargetMode="External"/><Relationship Id="rId1674" Type="http://schemas.openxmlformats.org/officeDocument/2006/relationships/hyperlink" Target="https://www.google.com/search?q=site%3Aipl.pt%20Educa&#231;&#227;o%20Pr&#233;-Escolar%20mestrado" TargetMode="External"/><Relationship Id="rId2725" Type="http://schemas.openxmlformats.org/officeDocument/2006/relationships/hyperlink" Target="https://www.google.com/search?q=site%3Aipp.pt%20Engenharia%20Eletrot&#233;cnica%20e%20de%20Computadores%20mestrado" TargetMode="External"/><Relationship Id="rId5131" Type="http://schemas.openxmlformats.org/officeDocument/2006/relationships/hyperlink" Target="https://www.google.com/search?q=site%3Autad.pt%20Sistemas%20de%20Informa&#231;&#227;o%20Geogr&#225;fica%20em%20Ci&#234;ncias%20Agron&#243;micas%20e%20Florestais%20mestrado" TargetMode="External"/><Relationship Id="rId1327" Type="http://schemas.openxmlformats.org/officeDocument/2006/relationships/hyperlink" Target="https://www.google.com/search?q=site%3Aipc.pt%20Inform&#225;tica%20Aplicada%20mestrado" TargetMode="External"/><Relationship Id="rId1741" Type="http://schemas.openxmlformats.org/officeDocument/2006/relationships/hyperlink" Target="https://www.google.com/search?q=site%3Aipl.pt%20Projeto%20e%20Manuten&#231;&#227;o%20de%20Instala&#231;&#245;es%20El&#233;tricas%20p&#243;s-gradua&#231;&#227;o" TargetMode="External"/><Relationship Id="rId4897" Type="http://schemas.openxmlformats.org/officeDocument/2006/relationships/hyperlink" Target="https://www.google.com/search?q=site%3Aulisboa.pt%20Cl&#237;nica%20de%20Equinos%20p&#243;s-gradua&#231;&#227;o" TargetMode="External"/><Relationship Id="rId33" Type="http://schemas.openxmlformats.org/officeDocument/2006/relationships/hyperlink" Target="https://www.google.com/search?q=site%3Aenautica.pt%20Redes%20e%20Sistemas%20Inform&#225;ticos%20CTeSP" TargetMode="External"/><Relationship Id="rId3499" Type="http://schemas.openxmlformats.org/officeDocument/2006/relationships/hyperlink" Target="https://www.google.com/search?q=site%3Aeuropeia.pt%20P&#243;s&#8209;Gradua&#231;&#227;o%20em%20Marketing%20e%20Estrat&#233;gias%20Criativas%20%28IADE%29%20p&#243;s-gradua&#231;&#227;o" TargetMode="External"/><Relationship Id="rId3566" Type="http://schemas.openxmlformats.org/officeDocument/2006/relationships/hyperlink" Target="https://www.google.com/search?q=site%3Aufp.pt%20MBA%20em%20Gest&#227;o%20de%20Recursos%20Humanos%20p&#243;s-gradua&#231;&#227;o%20executiva" TargetMode="External"/><Relationship Id="rId4964" Type="http://schemas.openxmlformats.org/officeDocument/2006/relationships/hyperlink" Target="https://www.google.com/search?q=site%3Aulisboa.pt%20Imagiologia%20Cl&#237;nica%20em%20Animais%20de%20Companhia%20p&#243;s-gradua&#231;&#227;o" TargetMode="External"/><Relationship Id="rId487" Type="http://schemas.openxmlformats.org/officeDocument/2006/relationships/hyperlink" Target="https://www.google.com/search?q=site%3Aisec.pt%20Instrumenta&#231;&#227;o%20Biom&#233;dica%20CTeSP" TargetMode="External"/><Relationship Id="rId2168" Type="http://schemas.openxmlformats.org/officeDocument/2006/relationships/hyperlink" Target="https://www.google.com/search?q=site%3Aipvc.pt%20Geoinform&#225;tica%20e%20Gest&#227;o%20de%20Recursos%20Naturais%20CTeSP" TargetMode="External"/><Relationship Id="rId3219" Type="http://schemas.openxmlformats.org/officeDocument/2006/relationships/hyperlink" Target="https://www.google.com/search?q=site%3Aautonoma.pt%20MBA%20Executivo%20Corporate%20p&#243;s-gradua&#231;&#227;o%20executiva" TargetMode="External"/><Relationship Id="rId3980" Type="http://schemas.openxmlformats.org/officeDocument/2006/relationships/hyperlink" Target="https://www.google.com/search?q=site%3Aunl.pt%20Migra&#231;&#245;es%2C%20Inter-Etnicidades%20e%20Transnacionalismo%20mestrado" TargetMode="External"/><Relationship Id="rId4617" Type="http://schemas.openxmlformats.org/officeDocument/2006/relationships/hyperlink" Target="https://www.google.com/search?q=site%3Aulisboa.pt%20Arqueologia%20mestrado" TargetMode="External"/><Relationship Id="rId1184" Type="http://schemas.openxmlformats.org/officeDocument/2006/relationships/hyperlink" Target="https://www.google.com/search?q=site%3Aipcb.pt%20Interven&#231;&#227;o%20Social%20Escolar%20mestrado" TargetMode="External"/><Relationship Id="rId2582" Type="http://schemas.openxmlformats.org/officeDocument/2006/relationships/hyperlink" Target="https://www.google.com/search?q=site%3Aipp.pt%20Gest&#227;o%20Integrada%20de%20Sistemas%20CTeSP" TargetMode="External"/><Relationship Id="rId3633" Type="http://schemas.openxmlformats.org/officeDocument/2006/relationships/hyperlink" Target="https://www.google.com/search?q=site%3Aulusiada.pt%20Gest&#227;o%20do%20Desporto%20%5B2025/2026%5D%20p&#243;s-gradua&#231;&#227;o" TargetMode="External"/><Relationship Id="rId554" Type="http://schemas.openxmlformats.org/officeDocument/2006/relationships/hyperlink" Target="https://www.google.com/search?q=site%3Aiseclisboa.pt%20Engenharia%20de%20Prote&#231;&#227;o%20Civil%20licenciatura" TargetMode="External"/><Relationship Id="rId2235" Type="http://schemas.openxmlformats.org/officeDocument/2006/relationships/hyperlink" Target="https://www.google.com/search?q=site%3Aipvc.pt%20Turismo%20licenciatura" TargetMode="External"/><Relationship Id="rId3700" Type="http://schemas.openxmlformats.org/officeDocument/2006/relationships/hyperlink" Target="https://www.google.com/search?q=site%3Alusofona.pt%20Gest&#227;o%20e%20Desenvolvimento%20de%20Recursos%20Humanos%20licenciatura" TargetMode="External"/><Relationship Id="rId207" Type="http://schemas.openxmlformats.org/officeDocument/2006/relationships/hyperlink" Target="https://www.google.com/search?q=site%3Auatlantica.pt%20Osteopatia%20mestrado" TargetMode="External"/><Relationship Id="rId621" Type="http://schemas.openxmlformats.org/officeDocument/2006/relationships/hyperlink" Target="https://www.google.com/search?q=site%3Aispa.pt%20Desenvolvimento%20Comunit&#225;rio%20licenciatura" TargetMode="External"/><Relationship Id="rId1251" Type="http://schemas.openxmlformats.org/officeDocument/2006/relationships/hyperlink" Target="https://www.google.com/search?q=site%3Aipc.pt%20Comunica&#231;&#227;o%20e%20Design%20Multim&#233;dia%20licenciatura" TargetMode="External"/><Relationship Id="rId2302" Type="http://schemas.openxmlformats.org/officeDocument/2006/relationships/hyperlink" Target="https://www.google.com/search?q=site%3Aipv.pt%20Computa&#231;&#227;o%20Cloud%20CTeSP" TargetMode="External"/><Relationship Id="rId5458" Type="http://schemas.openxmlformats.org/officeDocument/2006/relationships/hyperlink" Target="https://www.google.com/search?q=site%3Aup.pt%20Intelig&#234;ncia%20Artificial%20e%20Ci&#234;ncia%20de%20Dados%20licenciatura" TargetMode="External"/><Relationship Id="rId4474" Type="http://schemas.openxmlformats.org/officeDocument/2006/relationships/hyperlink" Target="https://www.google.com/search?q=site%3Auc.pt%20Reabilita&#231;&#227;o%20de%20Edif&#237;cios%20mestrado" TargetMode="External"/><Relationship Id="rId5525" Type="http://schemas.openxmlformats.org/officeDocument/2006/relationships/hyperlink" Target="https://www.google.com/search?q=site%3Aup.pt%20Dete&#231;&#227;o%20Remota%20mestrado" TargetMode="External"/><Relationship Id="rId3076" Type="http://schemas.openxmlformats.org/officeDocument/2006/relationships/hyperlink" Target="https://www.google.com/search?q=site%3Aisg.pt%20P&#243;s&#8209;Gradua&#231;&#227;o%20em%20Fiscalidade%20Avan&#231;ada%20p&#243;s-gradua&#231;&#227;o" TargetMode="External"/><Relationship Id="rId3490" Type="http://schemas.openxmlformats.org/officeDocument/2006/relationships/hyperlink" Target="https://www.google.com/search?q=site%3Aeuropeia.pt%20P&#243;s&#8209;Gradua&#231;&#227;o%20em%20Gest&#227;o%20Hoteleira%20p&#243;s-gradua&#231;&#227;o" TargetMode="External"/><Relationship Id="rId4127" Type="http://schemas.openxmlformats.org/officeDocument/2006/relationships/hyperlink" Target="https://www.google.com/search?q=site%3Aubi.pt%20Ci&#234;ncias%20do%20Desporto%20licenciatura" TargetMode="External"/><Relationship Id="rId4541" Type="http://schemas.openxmlformats.org/officeDocument/2006/relationships/hyperlink" Target="https://www.google.com/search?q=site%3Aulisboa.pt%20Educa&#231;&#227;o%20e%20Forma&#231;&#227;o%20licenciatura" TargetMode="External"/><Relationship Id="rId2092" Type="http://schemas.openxmlformats.org/officeDocument/2006/relationships/hyperlink" Target="https://www.google.com/search?q=site%3Aipt.pt%20Manuten&#231;&#227;o%20e%20Reabilita&#231;&#227;o%20de%20Sistemas%20Ferrovi&#225;rios%20CTeSP" TargetMode="External"/><Relationship Id="rId3143" Type="http://schemas.openxmlformats.org/officeDocument/2006/relationships/hyperlink" Target="https://www.google.com/search?q=site%3Acespu.pt%20Reabilita&#231;&#227;o%20Oral%20Biomim&#233;tica%20Avan&#231;ada%20&#8211;%2014.&#170;%20edi&#231;&#227;o%20p&#243;s-gradua&#231;&#227;o" TargetMode="External"/><Relationship Id="rId131" Type="http://schemas.openxmlformats.org/officeDocument/2006/relationships/hyperlink" Target="https://www.google.com/search?q=site%3Aesesfm.pt%20Enfermagem%20de%20Endoscopia%20Digestiva%20p&#243;s-gradua&#231;&#227;o" TargetMode="External"/><Relationship Id="rId3210" Type="http://schemas.openxmlformats.org/officeDocument/2006/relationships/hyperlink" Target="https://www.google.com/search?q=site%3Aautonoma.pt%20Hist&#243;ria%20e%20Patrim&#243;nios%20mestrado" TargetMode="External"/><Relationship Id="rId2976" Type="http://schemas.openxmlformats.org/officeDocument/2006/relationships/hyperlink" Target="https://www.google.com/search?q=site%3Aisced.pt%20Enfermagem%20licenciatura" TargetMode="External"/><Relationship Id="rId5382" Type="http://schemas.openxmlformats.org/officeDocument/2006/relationships/hyperlink" Target="https://www.google.com/search?q=site%3Aualg.pt%20Psicologia%20Social%2C%20do%20Trabalho%20e%20das%20Organiza&#231;&#245;es%20mestrado" TargetMode="External"/><Relationship Id="rId948" Type="http://schemas.openxmlformats.org/officeDocument/2006/relationships/hyperlink" Target="https://www.google.com/search?q=site%3Aipb.pt%20Constru&#231;&#227;o%20Civil%20CTeSP" TargetMode="External"/><Relationship Id="rId1578" Type="http://schemas.openxmlformats.org/officeDocument/2006/relationships/hyperlink" Target="https://www.google.com/search?q=site%3Aipleiria.pt%20Desenvolvimento%20Regional%20e%20Local%20p&#243;s-gradua&#231;&#227;o" TargetMode="External"/><Relationship Id="rId1992" Type="http://schemas.openxmlformats.org/officeDocument/2006/relationships/hyperlink" Target="https://www.google.com/search?q=site%3Aips.pt%20Tecnologia%20e%20Gest&#227;o%20Autom&#243;vel%20CTeSP" TargetMode="External"/><Relationship Id="rId2629" Type="http://schemas.openxmlformats.org/officeDocument/2006/relationships/hyperlink" Target="https://www.google.com/search?q=site%3Aipp.pt%20Com&#233;rcio%20Internacional%20licenciatura" TargetMode="External"/><Relationship Id="rId5035" Type="http://schemas.openxmlformats.org/officeDocument/2006/relationships/hyperlink" Target="https://www.google.com/search?q=site%3Autad.pt%20Enfermagem%20licenciatura" TargetMode="External"/><Relationship Id="rId1645" Type="http://schemas.openxmlformats.org/officeDocument/2006/relationships/hyperlink" Target="https://www.google.com/search?q=site%3Aipl.pt%20Jornalismo%20licenciatura" TargetMode="External"/><Relationship Id="rId4051" Type="http://schemas.openxmlformats.org/officeDocument/2006/relationships/hyperlink" Target="https://www.google.com/search?q=site%3Aunl.pt%20Direito%20do%20Consumo%20p&#243;s-gradua&#231;&#227;o" TargetMode="External"/><Relationship Id="rId5102" Type="http://schemas.openxmlformats.org/officeDocument/2006/relationships/hyperlink" Target="https://www.google.com/search?q=site%3Autad.pt%20Engenharia%20do%20Ambiente%20mestrado" TargetMode="External"/><Relationship Id="rId1712" Type="http://schemas.openxmlformats.org/officeDocument/2006/relationships/hyperlink" Target="https://www.google.com/search?q=site%3Aipl.pt%20Tecnologias%20Moleculares%20em%20Sa&#250;de%20mestrado" TargetMode="External"/><Relationship Id="rId4868" Type="http://schemas.openxmlformats.org/officeDocument/2006/relationships/hyperlink" Target="https://www.google.com/search?q=site%3Aulisboa.pt%20Engenharia%20Civil%20mestrado%20integrado" TargetMode="External"/><Relationship Id="rId3884" Type="http://schemas.openxmlformats.org/officeDocument/2006/relationships/hyperlink" Target="https://www.google.com/search?q=site%3Aunl.pt%20Curadoria%20e%20Humanidades%20Digitais%20mestrado" TargetMode="External"/><Relationship Id="rId4935" Type="http://schemas.openxmlformats.org/officeDocument/2006/relationships/hyperlink" Target="https://www.google.com/search?q=site%3Aulisboa.pt%20Dete&#231;&#227;o%20remota%20e%20SIG%20aplicados%20ao%20ordenamento%20do%20territ&#243;rio%20p&#243;s-gradua&#231;&#227;o" TargetMode="External"/><Relationship Id="rId2486" Type="http://schemas.openxmlformats.org/officeDocument/2006/relationships/hyperlink" Target="https://www.google.com/search?q=site%3Aipca.pt%20Finan&#231;as%20licenciatura" TargetMode="External"/><Relationship Id="rId3537" Type="http://schemas.openxmlformats.org/officeDocument/2006/relationships/hyperlink" Target="https://www.google.com/search?q=site%3Aufp.pt%20Assuntos%20Regulamentares%20do%20Medicamento%20e%20Produtos%20de%20Sa&#250;de%20p&#243;s-gradua&#231;&#227;o" TargetMode="External"/><Relationship Id="rId3951" Type="http://schemas.openxmlformats.org/officeDocument/2006/relationships/hyperlink" Target="https://www.google.com/search?q=site%3Aunl.pt%20Gest&#227;o%20da%20Sa&#250;de%20mestrado" TargetMode="External"/><Relationship Id="rId458" Type="http://schemas.openxmlformats.org/officeDocument/2006/relationships/hyperlink" Target="https://www.google.com/search?q=site%3Aiscte-iul.pt%20Dire&#231;&#227;o%20Comercial%20p&#243;s-gradua&#231;&#227;o" TargetMode="External"/><Relationship Id="rId872" Type="http://schemas.openxmlformats.org/officeDocument/2006/relationships/hyperlink" Target="https://www.google.com/search?q=site%3Aipmaia.pt%20Solicitadoria%20mestrado" TargetMode="External"/><Relationship Id="rId1088" Type="http://schemas.openxmlformats.org/officeDocument/2006/relationships/hyperlink" Target="https://www.google.com/search?q=site%3Aipb.pt%20AgroBusiness%20p&#243;s-gradua&#231;&#227;o" TargetMode="External"/><Relationship Id="rId2139" Type="http://schemas.openxmlformats.org/officeDocument/2006/relationships/hyperlink" Target="https://www.google.com/search?q=site%3Aipt.pt%20Gest&#227;o%20de%20Recursos%20Humanos%20mestrado" TargetMode="External"/><Relationship Id="rId2553" Type="http://schemas.openxmlformats.org/officeDocument/2006/relationships/hyperlink" Target="https://www.google.com/search?q=site%3Aipca.pt%20Marketing%20Digital%20e%20E-Commerce%20p&#243;s-gradua&#231;&#227;o" TargetMode="External"/><Relationship Id="rId3604" Type="http://schemas.openxmlformats.org/officeDocument/2006/relationships/hyperlink" Target="https://www.google.com/search?q=site%3Aulusiada.pt%20Gest&#227;o%20de%20Energia%20mestrado" TargetMode="External"/><Relationship Id="rId525" Type="http://schemas.openxmlformats.org/officeDocument/2006/relationships/hyperlink" Target="https://www.google.com/search?q=site%3Aiseclisboa.pt%20Anima&#231;&#227;o%20Cient&#237;fica%20CTeSP" TargetMode="External"/><Relationship Id="rId1155" Type="http://schemas.openxmlformats.org/officeDocument/2006/relationships/hyperlink" Target="https://www.google.com/search?q=site%3Aipcb.pt%20M&#250;sica%2C%20variante%20de%20Forma&#231;&#227;o%20Musical%2C%20Dire&#231;&#227;o%20Coral%20e%20Instrumental%20licenciatura" TargetMode="External"/><Relationship Id="rId2206" Type="http://schemas.openxmlformats.org/officeDocument/2006/relationships/hyperlink" Target="https://www.google.com/search?q=site%3Aipvc.pt%20Anima&#231;&#227;o%20Desportiva%20e%20Turismo%20Ativo%20licenciatura" TargetMode="External"/><Relationship Id="rId2620" Type="http://schemas.openxmlformats.org/officeDocument/2006/relationships/hyperlink" Target="https://www.google.com/search?q=site%3Aipp.pt%20Assessoria%20e%20Tradu&#231;&#227;o%20licenciatura" TargetMode="External"/><Relationship Id="rId5776" Type="http://schemas.openxmlformats.org/officeDocument/2006/relationships/hyperlink" Target="https://www.google.com/search?q=site%3Auac.pt%20P&#243;s&#8209;Gradua&#231;&#227;o%20em%20Zootecnia%20p&#243;s-gradua&#231;&#227;o" TargetMode="External"/><Relationship Id="rId1222" Type="http://schemas.openxmlformats.org/officeDocument/2006/relationships/hyperlink" Target="https://www.google.com/search?q=site%3Aipc.pt%20Jur&#237;dico%20Processual%20Aplicado%20CTeSP" TargetMode="External"/><Relationship Id="rId4378" Type="http://schemas.openxmlformats.org/officeDocument/2006/relationships/hyperlink" Target="https://www.google.com/search?q=site%3Auc.pt%20Engenharia%20Civil%20mestrado" TargetMode="External"/><Relationship Id="rId5429" Type="http://schemas.openxmlformats.org/officeDocument/2006/relationships/hyperlink" Target="https://www.google.com/search?q=site%3Aup.pt%20Ci&#234;ncias%20e%20Tecnologia%20do%20Ambiente%20licenciatura" TargetMode="External"/><Relationship Id="rId3394" Type="http://schemas.openxmlformats.org/officeDocument/2006/relationships/hyperlink" Target="https://www.google.com/search?q=site%3Aeuropeia.pt%20Design%20licenciatura" TargetMode="External"/><Relationship Id="rId4792" Type="http://schemas.openxmlformats.org/officeDocument/2006/relationships/hyperlink" Target="https://www.google.com/search?q=site%3Aulisboa.pt%20Literatura%20Portuguesa%20mestrado" TargetMode="External"/><Relationship Id="rId3047" Type="http://schemas.openxmlformats.org/officeDocument/2006/relationships/hyperlink" Target="https://www.google.com/search?q=site%3Aisvouga.pt%20Cria&#231;&#227;o%20e%20Gest&#227;o%20de%20Neg&#243;cios%20CTeSP" TargetMode="External"/><Relationship Id="rId4445" Type="http://schemas.openxmlformats.org/officeDocument/2006/relationships/hyperlink" Target="https://www.google.com/search?q=site%3Auc.pt%20Mec&#226;nica%20dos%20Solos%20e%20Engenharia%20Geot&#233;cnica%20mestrado" TargetMode="External"/><Relationship Id="rId3461" Type="http://schemas.openxmlformats.org/officeDocument/2006/relationships/hyperlink" Target="https://www.google.com/search?q=site%3Aeuropeia.pt%20Gest&#227;o%20de%20Sa&#250;de%20%28regime%20de%20ensino%20a%20dist&#226;ncia%29%20mestrado" TargetMode="External"/><Relationship Id="rId4512" Type="http://schemas.openxmlformats.org/officeDocument/2006/relationships/hyperlink" Target="https://www.google.com/search?q=site%3Auc.pt%20Medicina%20de%20Conserva&#231;&#227;o%20da%20Vida%20Selvagem%20p&#243;s-gradua&#231;&#227;o" TargetMode="External"/><Relationship Id="rId382" Type="http://schemas.openxmlformats.org/officeDocument/2006/relationships/hyperlink" Target="https://www.google.com/search?q=site%3Aipluso.pt%20Osteopatia%20Estrutural%20no%20Desporto%20p&#243;s-gradua&#231;&#227;o" TargetMode="External"/><Relationship Id="rId2063" Type="http://schemas.openxmlformats.org/officeDocument/2006/relationships/hyperlink" Target="https://www.google.com/search?q=site%3Aips.pt%20Neg&#243;cios%20e%20Finan&#231;as%20Empresariais%20p&#243;s-gradua&#231;&#227;o" TargetMode="External"/><Relationship Id="rId3114" Type="http://schemas.openxmlformats.org/officeDocument/2006/relationships/hyperlink" Target="https://www.google.com/search?q=site%3Acespu.pt%20Cuidados%20Continuados%20e%20Paliativos%20&#8211;%2030.&#170;%20edi&#231;&#227;o%20p&#243;s-gradua&#231;&#227;o" TargetMode="External"/><Relationship Id="rId2130" Type="http://schemas.openxmlformats.org/officeDocument/2006/relationships/hyperlink" Target="https://www.google.com/search?q=site%3Aipt.pt%20Avalia&#231;&#227;o%20e%20Gest&#227;o%20de%20Ativos%20Imobili&#225;rios%20mestrado" TargetMode="External"/><Relationship Id="rId5286" Type="http://schemas.openxmlformats.org/officeDocument/2006/relationships/hyperlink" Target="https://www.google.com/search?q=site%3Aualg.pt%20Desporto%20licenciatura" TargetMode="External"/><Relationship Id="rId102" Type="http://schemas.openxmlformats.org/officeDocument/2006/relationships/hyperlink" Target="https://www.google.com/search?q=site%3Ajoaodedeus.pt%20Mentoria%20na%20Forma&#231;&#227;o%20de%20Professores%20p&#243;s-gradua&#231;&#227;o" TargetMode="External"/><Relationship Id="rId5353" Type="http://schemas.openxmlformats.org/officeDocument/2006/relationships/hyperlink" Target="https://www.google.com/search?q=site%3Aualg.pt%20Ensino%20de%20Portugu&#234;s%20e%20de%20L&#237;ngua%20Estrangeira%20no%203.&#186;%20ciclo%20do%20Ensino%20B&#225;sico%20e%20no%20Ensino%20Secund&#225;rio%2C%20nas%20&#225;reas%20de%20especializa&#231;&#227;o%20de%20Espanhol%20ou%20de%20Franc&#234;s%20ou%20de%20Ingl&#234;s%20mestrado" TargetMode="External"/><Relationship Id="rId1896" Type="http://schemas.openxmlformats.org/officeDocument/2006/relationships/hyperlink" Target="https://www.google.com/search?q=site%3Aipsantarem.pt%20Enfermagem%20Comunit&#225;ria%20&#8211;%20&#225;rea%20de%20Enfermagem%20de%20Sa&#250;de%20Familiar%20mestrado" TargetMode="External"/><Relationship Id="rId2947" Type="http://schemas.openxmlformats.org/officeDocument/2006/relationships/hyperlink" Target="https://www.google.com/search?q=site%3Aispgaya.pt%20Turismo%20e%20Neg&#243;cios%20Sustent&#225;veis%20licenciatura" TargetMode="External"/><Relationship Id="rId5006" Type="http://schemas.openxmlformats.org/officeDocument/2006/relationships/hyperlink" Target="https://www.google.com/search?q=site%3Aulisboa.pt%20Strength%20%26%20Conditioning%20p&#243;s-gradua&#231;&#227;o" TargetMode="External"/><Relationship Id="rId919" Type="http://schemas.openxmlformats.org/officeDocument/2006/relationships/hyperlink" Target="https://www.google.com/search?q=site%3Aipbeja.pt%20Engenharia%20Alimentar%20mestrado" TargetMode="External"/><Relationship Id="rId1549" Type="http://schemas.openxmlformats.org/officeDocument/2006/relationships/hyperlink" Target="https://www.google.com/search?q=site%3Aipleiria.pt%20Gest&#227;o%20mestrado" TargetMode="External"/><Relationship Id="rId1963" Type="http://schemas.openxmlformats.org/officeDocument/2006/relationships/hyperlink" Target="https://www.google.com/search?q=site%3Acespu.pt%20Ultrassonografia%20Cardiovascular%20&#8211;%206.&#170;%20edi&#231;&#227;o%20p&#243;s-gradua&#231;&#227;o" TargetMode="External"/><Relationship Id="rId4022" Type="http://schemas.openxmlformats.org/officeDocument/2006/relationships/hyperlink" Target="https://www.google.com/search?q=site%3Aunl.pt%20Engenharia%20F&#237;sica%20mestrado%20integrado" TargetMode="External"/><Relationship Id="rId5420" Type="http://schemas.openxmlformats.org/officeDocument/2006/relationships/hyperlink" Target="https://www.google.com/search?q=site%3Aup.pt%20Ci&#234;ncia%20de%20Computadores%20licenciatura" TargetMode="External"/><Relationship Id="rId1616" Type="http://schemas.openxmlformats.org/officeDocument/2006/relationships/hyperlink" Target="https://www.google.com/search?q=site%3Aipl.pt%20Anima&#231;&#227;o%20Sociocultural%20licenciatura" TargetMode="External"/><Relationship Id="rId3788" Type="http://schemas.openxmlformats.org/officeDocument/2006/relationships/hyperlink" Target="https://www.google.com/search?q=site%3Alusofona.pt%20Media&#231;&#227;o%20de%20Conflitos%20em%20Contexto%20Escolar%20p&#243;s-gradua&#231;&#227;o" TargetMode="External"/><Relationship Id="rId4839" Type="http://schemas.openxmlformats.org/officeDocument/2006/relationships/hyperlink" Target="https://www.google.com/search?q=site%3Aulisboa.pt%20Reuso%20de%20Edif&#237;cios%20Modernos%20mestrado" TargetMode="External"/><Relationship Id="rId3855" Type="http://schemas.openxmlformats.org/officeDocument/2006/relationships/hyperlink" Target="https://www.google.com/search?q=site%3Aunl.pt%20An&#225;lise%20de%20Neg&#243;cio%20mestrado" TargetMode="External"/><Relationship Id="rId776" Type="http://schemas.openxmlformats.org/officeDocument/2006/relationships/hyperlink" Target="https://www.google.com/search?q=site%3Aipg.pt%20Ciberseguran&#231;a%20mestrado" TargetMode="External"/><Relationship Id="rId2457" Type="http://schemas.openxmlformats.org/officeDocument/2006/relationships/hyperlink" Target="https://www.google.com/search?q=site%3Aipca.pt%20Prepara&#231;&#227;o%20e%20Gest&#227;o%20de%20Obra%20CTeSP" TargetMode="External"/><Relationship Id="rId3508" Type="http://schemas.openxmlformats.org/officeDocument/2006/relationships/hyperlink" Target="https://www.google.com/search?q=site%3Aufp.pt%20Ci&#234;ncia%20Pol&#237;tica%20e%20Rela&#231;&#245;es%20Internacionais%20licenciatura" TargetMode="External"/><Relationship Id="rId4906" Type="http://schemas.openxmlformats.org/officeDocument/2006/relationships/hyperlink" Target="https://www.google.com/search?q=site%3Aulisboa.pt%20Contrata&#231;&#227;o%20P&#250;blica%20p&#243;s-gradua&#231;&#227;o" TargetMode="External"/><Relationship Id="rId429" Type="http://schemas.openxmlformats.org/officeDocument/2006/relationships/hyperlink" Target="https://www.google.com/search?q=site%3Aiscte-iul.pt%20Estudos%20Internacionais%20licenciatura" TargetMode="External"/><Relationship Id="rId1059" Type="http://schemas.openxmlformats.org/officeDocument/2006/relationships/hyperlink" Target="https://www.google.com/search?q=site%3Aipb.pt%20Engenharia%20Eletrot&#233;cnica%20e%20de%20Computadores%20mestrado" TargetMode="External"/><Relationship Id="rId1473" Type="http://schemas.openxmlformats.org/officeDocument/2006/relationships/hyperlink" Target="https://www.google.com/search?q=site%3Aipleiria.pt%20Gest&#227;o%20de%20Eventos%20licenciatura" TargetMode="External"/><Relationship Id="rId2871" Type="http://schemas.openxmlformats.org/officeDocument/2006/relationships/hyperlink" Target="https://www.google.com/search?q=site%3Aisdd.pt%20Design%20de%20Produto%20CTeSP" TargetMode="External"/><Relationship Id="rId3922" Type="http://schemas.openxmlformats.org/officeDocument/2006/relationships/hyperlink" Target="https://www.google.com/search?q=site%3Aunl.pt%20Ensino%20de%20Geografia%20no%203.&#186;%20Ciclo%20do%20Ensino%20B&#225;sico%20e%20no%20Ensino%20Secund&#225;rio%20mestrado" TargetMode="External"/><Relationship Id="rId843" Type="http://schemas.openxmlformats.org/officeDocument/2006/relationships/hyperlink" Target="https://www.google.com/search?q=site%3Aipluso.pt%20Artes%20Visuais%20e%20Media%20Digitais%20mestrado" TargetMode="External"/><Relationship Id="rId1126" Type="http://schemas.openxmlformats.org/officeDocument/2006/relationships/hyperlink" Target="https://www.google.com/search?q=site%3Aipcb.pt%20Redes%20e%20Sistemas%20Inform&#225;ticos%20CTeSP" TargetMode="External"/><Relationship Id="rId2524" Type="http://schemas.openxmlformats.org/officeDocument/2006/relationships/hyperlink" Target="https://www.google.com/search?q=site%3Aipca.pt%20Solicitadoria%20mestrado" TargetMode="External"/><Relationship Id="rId910" Type="http://schemas.openxmlformats.org/officeDocument/2006/relationships/hyperlink" Target="https://www.google.com/search?q=site%3Aipbeja.pt%20Terapia%20Ocupacional%20licenciatura" TargetMode="External"/><Relationship Id="rId1540" Type="http://schemas.openxmlformats.org/officeDocument/2006/relationships/hyperlink" Target="https://www.google.com/search?q=site%3Aipleiria.pt%20Engenharia%20da%20Energia%20e%20do%20Ambiente%20mestrado" TargetMode="External"/><Relationship Id="rId4696" Type="http://schemas.openxmlformats.org/officeDocument/2006/relationships/hyperlink" Target="https://www.google.com/search?q=site%3Aulisboa.pt%20Engenharia%20Civil%20%28ULisboa%20e%20SHU%29%20mestrado" TargetMode="External"/><Relationship Id="rId5747" Type="http://schemas.openxmlformats.org/officeDocument/2006/relationships/hyperlink" Target="https://www.google.com/search?q=site%3Auac.pt%20Tecnologia%20e%20Seguran&#231;a%20Alimentar%20mestrado" TargetMode="External"/><Relationship Id="rId3298" Type="http://schemas.openxmlformats.org/officeDocument/2006/relationships/hyperlink" Target="https://www.google.com/search?q=site%3Aucp.pt%20Finan&#231;as%20%28mestrado%20internacional%29%20mestrado" TargetMode="External"/><Relationship Id="rId4349" Type="http://schemas.openxmlformats.org/officeDocument/2006/relationships/hyperlink" Target="https://www.google.com/search?q=site%3Auc.pt%20Bioqu&#237;mica%20mestrado" TargetMode="External"/><Relationship Id="rId4763" Type="http://schemas.openxmlformats.org/officeDocument/2006/relationships/hyperlink" Target="https://www.google.com/search?q=site%3Aulisboa.pt%20Gest&#227;o%20da%20Floresta%20e%20dos%20Recursos%20Naturais%20no%20Mediterr&#226;neo%20mestrado" TargetMode="External"/><Relationship Id="rId3365" Type="http://schemas.openxmlformats.org/officeDocument/2006/relationships/hyperlink" Target="https://www.google.com/search?q=site%3Aucp.pt%20Medical%20Science%20Liaison%20p&#243;s-gradua&#231;&#227;o" TargetMode="External"/><Relationship Id="rId4416" Type="http://schemas.openxmlformats.org/officeDocument/2006/relationships/hyperlink" Target="https://www.google.com/search?q=site%3Auc.pt%20Filosofia%20mestrado" TargetMode="External"/><Relationship Id="rId4830" Type="http://schemas.openxmlformats.org/officeDocument/2006/relationships/hyperlink" Target="https://www.google.com/search?q=site%3Aulisboa.pt%20Qualidade%20Alimentar%20e%20Sa&#250;de%20mestrado" TargetMode="External"/><Relationship Id="rId286" Type="http://schemas.openxmlformats.org/officeDocument/2006/relationships/hyperlink" Target="https://www.google.com/search?q=site%3Aesscvp.eu%20Preven&#231;&#227;o%20e%20Controlo%20da%20Infe&#231;&#227;o%20Associada%20aos%20Cuidados%20de%20Sa&#250;de%20p&#243;s-gradua&#231;&#227;o" TargetMode="External"/><Relationship Id="rId2381" Type="http://schemas.openxmlformats.org/officeDocument/2006/relationships/hyperlink" Target="https://www.google.com/search?q=site%3Aipv.pt%20Enfermagem%20Veterin&#225;ria%20em%20Animais%20de%20Companhia%20mestrado" TargetMode="External"/><Relationship Id="rId3018" Type="http://schemas.openxmlformats.org/officeDocument/2006/relationships/hyperlink" Target="https://www.google.com/search?q=site%3Aiscet.pt%20Transportes%20Internacionais%20e%20Procedimentos%20Aduaneiros%20p&#243;s-gradua&#231;&#227;o" TargetMode="External"/><Relationship Id="rId3432" Type="http://schemas.openxmlformats.org/officeDocument/2006/relationships/hyperlink" Target="https://www.google.com/search?q=site%3Aeuropeia.pt%20Ci&#234;ncia%20de%20Dados%20e%20An&#225;lise%20de%20Neg&#243;cios%20%28regime%20de%20ensino%20a%20dist&#226;ncia%29%20mestrado" TargetMode="External"/><Relationship Id="rId353" Type="http://schemas.openxmlformats.org/officeDocument/2006/relationships/hyperlink" Target="https://www.google.com/search?q=site%3Asantamaria.pt%20Enfermagem%20Comunit&#225;ria%20mestrado" TargetMode="External"/><Relationship Id="rId2034" Type="http://schemas.openxmlformats.org/officeDocument/2006/relationships/hyperlink" Target="https://www.google.com/search?q=site%3Aips.pt%20Energia%20mestrado" TargetMode="External"/><Relationship Id="rId420" Type="http://schemas.openxmlformats.org/officeDocument/2006/relationships/hyperlink" Target="https://www.google.com/search?q=site%3Aisce.pt%20Executive%20Master%20em%20Gest&#227;o%20de%20Recursos%20Humanos%20p&#243;s-gradua&#231;&#227;o%20executiva" TargetMode="External"/><Relationship Id="rId1050" Type="http://schemas.openxmlformats.org/officeDocument/2006/relationships/hyperlink" Target="https://www.google.com/search?q=site%3Aipb.pt%20Enfermagem%20M&#233;dico&#8209;Cir&#250;rgica%20na%20&#225;rea%20de%20Enfermagem%20&#224;%20Pessoa%20em%20Situa&#231;&#227;o%20Cr&#237;tica%20mestrado" TargetMode="External"/><Relationship Id="rId2101" Type="http://schemas.openxmlformats.org/officeDocument/2006/relationships/hyperlink" Target="https://www.google.com/search?q=site%3Aipt.pt%20Som%20e%20Imagem%20CTeSP" TargetMode="External"/><Relationship Id="rId5257" Type="http://schemas.openxmlformats.org/officeDocument/2006/relationships/hyperlink" Target="https://www.google.com/search?q=site%3Aualg.pt%20Gest&#227;o%20de%20Anima&#231;&#227;o%20Tur&#237;stica%20CTeSP" TargetMode="External"/><Relationship Id="rId5671" Type="http://schemas.openxmlformats.org/officeDocument/2006/relationships/hyperlink" Target="https://www.google.com/search?q=site%3Aup.pt%20Engenharia%20Eletrot&#233;cnica%20e%20de%20Computadores%20mestrado%20integrado" TargetMode="External"/><Relationship Id="rId1867" Type="http://schemas.openxmlformats.org/officeDocument/2006/relationships/hyperlink" Target="https://www.google.com/search?q=site%3Aipsantarem.pt%20Desporto%2C%20Condi&#231;&#227;o%20F&#237;sica%20e%20Sa&#250;de%20licenciatura" TargetMode="External"/><Relationship Id="rId2918" Type="http://schemas.openxmlformats.org/officeDocument/2006/relationships/hyperlink" Target="https://www.google.com/search?q=site%3Aismt.pt%20Ilustra&#231;&#227;o%20&#8211;%20NOVA%20PG%20p&#243;s-gradua&#231;&#227;o" TargetMode="External"/><Relationship Id="rId4273" Type="http://schemas.openxmlformats.org/officeDocument/2006/relationships/hyperlink" Target="https://www.google.com/search?q=site%3Auc.pt%20Arqueologia%20licenciatura" TargetMode="External"/><Relationship Id="rId5324" Type="http://schemas.openxmlformats.org/officeDocument/2006/relationships/hyperlink" Target="https://www.google.com/search?q=site%3Aualg.pt%20Biodiversidade%2C%20Pescas%20e%20Conserva&#231;&#227;o%20Marinhas%20mestrado" TargetMode="External"/><Relationship Id="rId1934" Type="http://schemas.openxmlformats.org/officeDocument/2006/relationships/hyperlink" Target="https://www.google.com/search?q=site%3Acespu.pt%20Enfermagem%20M&#233;dico-Cir&#250;rgica%20-%20&#225;rea%20de%20Enfermagem%20&#224;%20Pessoa%20em%20Situa&#231;&#227;o%20Cr&#237;tica%20mestrado" TargetMode="External"/><Relationship Id="rId4340" Type="http://schemas.openxmlformats.org/officeDocument/2006/relationships/hyperlink" Target="https://www.google.com/search?q=site%3Auc.pt%20Astrof&#237;sica%20e%20Instrumenta&#231;&#227;o%20para%20o%20Espa&#231;o%20mestrado" TargetMode="External"/><Relationship Id="rId3759" Type="http://schemas.openxmlformats.org/officeDocument/2006/relationships/hyperlink" Target="https://www.google.com/search?q=site%3Alusofona.pt%20Ciberseguran&#231;a%20Aplicada%20p&#243;s-gradua&#231;&#227;o" TargetMode="External"/><Relationship Id="rId5181" Type="http://schemas.openxmlformats.org/officeDocument/2006/relationships/hyperlink" Target="https://www.google.com/search?q=site%3Auevora.pt%20Design%20mestrado" TargetMode="External"/><Relationship Id="rId2775" Type="http://schemas.openxmlformats.org/officeDocument/2006/relationships/hyperlink" Target="https://www.google.com/search?q=site%3Aipp.pt%20Supervis&#227;o%20em%20Educa&#231;&#227;o%20mestrado" TargetMode="External"/><Relationship Id="rId3826" Type="http://schemas.openxmlformats.org/officeDocument/2006/relationships/hyperlink" Target="https://www.google.com/search?q=site%3Aunl.pt%20Engenharia%20Inform&#225;tica%20licenciatura" TargetMode="External"/><Relationship Id="rId747" Type="http://schemas.openxmlformats.org/officeDocument/2006/relationships/hyperlink" Target="https://www.google.com/search?q=site%3Aipg.pt%20Turismo%20de%20Sa&#250;de%20e%20Bem&#8209;Estar%20CTeSP" TargetMode="External"/><Relationship Id="rId1377" Type="http://schemas.openxmlformats.org/officeDocument/2006/relationships/hyperlink" Target="https://www.google.com/search?q=site%3Aipleiria.pt%20Anima&#231;&#227;o%20em%20Turismo%20de%20Natureza%20e%20Aventura%20CTeSP" TargetMode="External"/><Relationship Id="rId1791" Type="http://schemas.openxmlformats.org/officeDocument/2006/relationships/hyperlink" Target="https://www.google.com/search?q=site%3Aipportalegre.pt%20Engenharia%20de%20Produ&#231;&#227;o%20de%20Biocombust&#237;veis%20licenciatura" TargetMode="External"/><Relationship Id="rId2428" Type="http://schemas.openxmlformats.org/officeDocument/2006/relationships/hyperlink" Target="https://www.google.com/search?q=site%3Aipca.pt%20Design%20para%20Media%20Digitais%20CTeSP" TargetMode="External"/><Relationship Id="rId2842" Type="http://schemas.openxmlformats.org/officeDocument/2006/relationships/hyperlink" Target="https://www.google.com/search?q=site%3Aipam.pt%20Gest&#227;o%20de%20Marketing%20licenciatura" TargetMode="External"/><Relationship Id="rId83" Type="http://schemas.openxmlformats.org/officeDocument/2006/relationships/hyperlink" Target="https://www.google.com/search?q=site%3Ajoaodedeus.pt%20Promo&#231;&#227;o%20de%20Atividades%20Educativas%2C%20Sociais%20e%20Culturais%20CTeSP" TargetMode="External"/><Relationship Id="rId814" Type="http://schemas.openxmlformats.org/officeDocument/2006/relationships/hyperlink" Target="https://www.google.com/search?q=site%3Aipluso.pt%20Desenvolvimento%20de%20Sistemas%20para%20Internet%20das%20Coisas%20CTeSP" TargetMode="External"/><Relationship Id="rId1444" Type="http://schemas.openxmlformats.org/officeDocument/2006/relationships/hyperlink" Target="https://www.google.com/search?q=site%3Aipleiria.pt%20Biologia%20Marinha%20licenciatura" TargetMode="External"/><Relationship Id="rId1511" Type="http://schemas.openxmlformats.org/officeDocument/2006/relationships/hyperlink" Target="https://www.google.com/search?q=site%3Aipleiria.pt%20Cuidados%20Paliativos%20mestrado" TargetMode="External"/><Relationship Id="rId4667" Type="http://schemas.openxmlformats.org/officeDocument/2006/relationships/hyperlink" Target="https://www.google.com/search?q=site%3Aulisboa.pt%20Design%20de%20Produto%20mestrado" TargetMode="External"/><Relationship Id="rId5718" Type="http://schemas.openxmlformats.org/officeDocument/2006/relationships/hyperlink" Target="https://www.google.com/search?q=site%3Auac.pt%20Educa&#231;&#227;o%20e%20Forma&#231;&#227;o%20mestrado" TargetMode="External"/><Relationship Id="rId3269" Type="http://schemas.openxmlformats.org/officeDocument/2006/relationships/hyperlink" Target="https://www.google.com/search?q=site%3Aucp.pt%20Ci&#234;ncias%20Religiosas%20%28regime%20de%20ensino%20a%20dist&#226;ncia%29%20mestrado" TargetMode="External"/><Relationship Id="rId3683" Type="http://schemas.openxmlformats.org/officeDocument/2006/relationships/hyperlink" Target="https://www.google.com/search?q=site%3Alusofona.pt%20Engenharia%20Eletrot&#233;cnica%20e%20de%20Computadores%20licenciatura" TargetMode="External"/><Relationship Id="rId2285" Type="http://schemas.openxmlformats.org/officeDocument/2006/relationships/hyperlink" Target="https://www.google.com/search?q=site%3Aipvc.pt%20Educa&#231;&#227;o%20Especial%20e%20Inclus&#227;o%20p&#243;s-gradua&#231;&#227;o" TargetMode="External"/><Relationship Id="rId3336" Type="http://schemas.openxmlformats.org/officeDocument/2006/relationships/hyperlink" Target="https://www.google.com/search?q=site%3Aucp.pt%20Psicologia%20na%20Gest&#227;o%20e%20Economia%20mestrado" TargetMode="External"/><Relationship Id="rId4734" Type="http://schemas.openxmlformats.org/officeDocument/2006/relationships/hyperlink" Target="https://www.google.com/search?q=site%3Aulisboa.pt%20Ensino%20de%20Ingl&#234;s%20no%203.&#186;%20Ciclo%20do%20Ensino%20B&#225;sico%20e%20no%20Ensino%20Secund&#225;rio%20mestrado" TargetMode="External"/><Relationship Id="rId257" Type="http://schemas.openxmlformats.org/officeDocument/2006/relationships/hyperlink" Target="https://www.google.com/search?q=site%3Aegasmoniz.edu.pt%20P&#243;s&#8209;Gradua&#231;&#227;o%20de%20Especializa&#231;&#227;o%20em%20Ortodontia%20p&#243;s-gradua&#231;&#227;o" TargetMode="External"/><Relationship Id="rId3750" Type="http://schemas.openxmlformats.org/officeDocument/2006/relationships/hyperlink" Target="https://www.google.com/search?q=site%3Alusofona.pt%20Psicologia%20da%20Justi&#231;a%3A%20V&#237;timas%20de%20Crime%20mestrado" TargetMode="External"/><Relationship Id="rId4801" Type="http://schemas.openxmlformats.org/officeDocument/2006/relationships/hyperlink" Target="https://www.google.com/search?q=site%3Aulisboa.pt%20Medicina%20do%20Sono%20e%20Circadiana%20mestrado" TargetMode="External"/><Relationship Id="rId671" Type="http://schemas.openxmlformats.org/officeDocument/2006/relationships/hyperlink" Target="https://www.google.com/search?q=site%3Aiees.pt%20Gastronomia%2C%20Turismo%20e%20Bem-Estar%20CTeSP" TargetMode="External"/><Relationship Id="rId2352" Type="http://schemas.openxmlformats.org/officeDocument/2006/relationships/hyperlink" Target="https://www.google.com/search?q=site%3Aipv.pt%20Engenharia%20Inform&#225;tica%20licenciatura" TargetMode="External"/><Relationship Id="rId3403" Type="http://schemas.openxmlformats.org/officeDocument/2006/relationships/hyperlink" Target="https://www.google.com/search?q=site%3Aeuropeia.pt%20Engenharia%20Inform&#225;tica%20licenciatura" TargetMode="External"/><Relationship Id="rId324" Type="http://schemas.openxmlformats.org/officeDocument/2006/relationships/hyperlink" Target="https://www.google.com/search?q=site%3Aesscvp.eu%20Preven&#231;&#227;o%20e%20Controlo%20de%20Infe&#231;&#227;o%20p&#243;s-gradua&#231;&#227;o" TargetMode="External"/><Relationship Id="rId2005" Type="http://schemas.openxmlformats.org/officeDocument/2006/relationships/hyperlink" Target="https://www.google.com/search?q=site%3Aips.pt%20Desporto%20licenciatura" TargetMode="External"/><Relationship Id="rId5575" Type="http://schemas.openxmlformats.org/officeDocument/2006/relationships/hyperlink" Target="https://www.google.com/search?q=site%3Aup.pt%20Ensino%20de%20Portugu&#234;s%20no%203.&#186;%20Ciclo%20do%20Ensino%20B&#225;sico%20e%20no%20Ensino%20Secund&#225;rio%20mestrado" TargetMode="External"/><Relationship Id="rId1021" Type="http://schemas.openxmlformats.org/officeDocument/2006/relationships/hyperlink" Target="https://www.google.com/search?q=site%3Aipb.pt%20Gest&#227;o%20de%20Neg&#243;cios%20Internacionais%20licenciatura" TargetMode="External"/><Relationship Id="rId4177" Type="http://schemas.openxmlformats.org/officeDocument/2006/relationships/hyperlink" Target="https://www.google.com/search?q=site%3Aismai.pt%20Criminologia%20mestrado" TargetMode="External"/><Relationship Id="rId4591" Type="http://schemas.openxmlformats.org/officeDocument/2006/relationships/hyperlink" Target="https://www.google.com/search?q=site%3Aulisboa.pt%20Gest&#227;o%20do%20Desporto%20licenciatura" TargetMode="External"/><Relationship Id="rId5228" Type="http://schemas.openxmlformats.org/officeDocument/2006/relationships/hyperlink" Target="https://www.google.com/search?q=site%3Auevora.pt%20Educa&#231;&#227;o%20Especial%20%28S&#227;o%20Tom&#233;%20e%20Pr&#237;ncipe%29%20p&#243;s-gradua&#231;&#227;o" TargetMode="External"/><Relationship Id="rId5642" Type="http://schemas.openxmlformats.org/officeDocument/2006/relationships/hyperlink" Target="https://www.google.com/search?q=site%3Aup.pt%20Psiquiatria%20e%20Psicoterapia%20Psicodin&#226;mica%20mestrado" TargetMode="External"/><Relationship Id="rId3193" Type="http://schemas.openxmlformats.org/officeDocument/2006/relationships/hyperlink" Target="https://www.google.com/search?q=site%3Aautonoma.pt%20Direito%20licenciatura" TargetMode="External"/><Relationship Id="rId4244" Type="http://schemas.openxmlformats.org/officeDocument/2006/relationships/hyperlink" Target="https://www.google.com/search?q=site%3Aua.pt%20Terapia%20da%20Fala%20licenciatura" TargetMode="External"/><Relationship Id="rId1838" Type="http://schemas.openxmlformats.org/officeDocument/2006/relationships/hyperlink" Target="https://www.google.com/search?q=site%3Aipsantarem.pt%20Gest&#227;o%20de%20Neg&#243;cios%20CTeSP" TargetMode="External"/><Relationship Id="rId3260" Type="http://schemas.openxmlformats.org/officeDocument/2006/relationships/hyperlink" Target="https://www.google.com/search?q=site%3Aucp.pt%20An&#225;lise%20de%20Dados%20para%20Gest&#227;o%20mestrado" TargetMode="External"/><Relationship Id="rId4311" Type="http://schemas.openxmlformats.org/officeDocument/2006/relationships/hyperlink" Target="https://www.google.com/search?q=site%3Auc.pt%20Gest&#227;o%20de%20Recursos%20Humanos%20licenciatura" TargetMode="External"/><Relationship Id="rId181" Type="http://schemas.openxmlformats.org/officeDocument/2006/relationships/hyperlink" Target="https://www.google.com/search?q=site%3Aesenf.pt%20Supervis&#227;o%20Cl&#237;nica%20em%20Enfermagem%20p&#243;s-gradua&#231;&#227;o" TargetMode="External"/><Relationship Id="rId1905" Type="http://schemas.openxmlformats.org/officeDocument/2006/relationships/hyperlink" Target="https://www.google.com/search?q=site%3Aipsantarem.pt%20Gest&#227;o%20mestrado" TargetMode="External"/><Relationship Id="rId5085" Type="http://schemas.openxmlformats.org/officeDocument/2006/relationships/hyperlink" Target="https://www.google.com/search?q=site%3Autad.pt%20Educa&#231;&#227;o%20Pr&#233;&#8209;Escolar%20e%20Ensino%20do%201.&#186;%20Ciclo%20do%20Ensino%20B&#225;sico%20mestrado" TargetMode="External"/><Relationship Id="rId998" Type="http://schemas.openxmlformats.org/officeDocument/2006/relationships/hyperlink" Target="https://www.google.com/search?q=site%3Aipb.pt%20Diet&#233;tica%20e%20Nutri&#231;&#227;o%20licenciatura" TargetMode="External"/><Relationship Id="rId2679" Type="http://schemas.openxmlformats.org/officeDocument/2006/relationships/hyperlink" Target="https://www.google.com/search?q=site%3Aipp.pt%20Sistemas%20de%20Informa&#231;&#227;o%20para%20a%20Gest&#227;o%20licenciatura" TargetMode="External"/><Relationship Id="rId1695" Type="http://schemas.openxmlformats.org/officeDocument/2006/relationships/hyperlink" Target="https://www.google.com/search?q=site%3Aipl.pt%20Fisioterapia%20mestrado" TargetMode="External"/><Relationship Id="rId2746" Type="http://schemas.openxmlformats.org/officeDocument/2006/relationships/hyperlink" Target="https://www.google.com/search?q=site%3Aipp.pt%20Fisioterapia%20mestrado" TargetMode="External"/><Relationship Id="rId5152" Type="http://schemas.openxmlformats.org/officeDocument/2006/relationships/hyperlink" Target="https://www.google.com/search?q=site%3Auevora.pt%20Design%20licenciatura" TargetMode="External"/><Relationship Id="rId718" Type="http://schemas.openxmlformats.org/officeDocument/2006/relationships/hyperlink" Target="https://www.google.com/search?q=site%3Aipg.pt%20Design%20e%20Fabrico%20Digital%20CTeSP" TargetMode="External"/><Relationship Id="rId1348" Type="http://schemas.openxmlformats.org/officeDocument/2006/relationships/hyperlink" Target="https://www.google.com/search?q=site%3Aipc.pt%20Design%20e%20Usabilidade%20para%20Web%20p&#243;s-gradua&#231;&#227;o" TargetMode="External"/><Relationship Id="rId1762" Type="http://schemas.openxmlformats.org/officeDocument/2006/relationships/hyperlink" Target="https://www.google.com/search?q=site%3Aipportalegre.pt%20Gest&#227;o%20de%20Vendas%20e%20Marketing%20CTeSP" TargetMode="External"/><Relationship Id="rId1415" Type="http://schemas.openxmlformats.org/officeDocument/2006/relationships/hyperlink" Target="https://www.google.com/search?q=site%3Aipleiria.pt%20Processo%20Industrial%20CTeSP" TargetMode="External"/><Relationship Id="rId2813" Type="http://schemas.openxmlformats.org/officeDocument/2006/relationships/hyperlink" Target="https://www.google.com/search?q=site%3Aipp.pt%20Gest&#227;o%20de%20Smart%20Cities%20p&#243;s-gradua&#231;&#227;o" TargetMode="External"/><Relationship Id="rId54" Type="http://schemas.openxmlformats.org/officeDocument/2006/relationships/hyperlink" Target="https://www.google.com/search?q=site%3Aesap.pt%20Arquitetura%20Sustent&#225;vel%20p&#243;s-gradua&#231;&#227;o" TargetMode="External"/><Relationship Id="rId4985" Type="http://schemas.openxmlformats.org/officeDocument/2006/relationships/hyperlink" Target="https://www.google.com/search?q=site%3Aulisboa.pt%20Preven&#231;&#227;o%20do%20%28Cyber%29Bullying%20e%20Promo&#231;&#227;o%20de%20Compet&#234;ncias%20Socioemocionais%20p&#243;s-gradua&#231;&#227;o" TargetMode="External"/><Relationship Id="rId2189" Type="http://schemas.openxmlformats.org/officeDocument/2006/relationships/hyperlink" Target="https://www.google.com/search?q=site%3Aipvc.pt%20Organiza&#231;&#227;o%20e%20Controlo%20Industrial%20CTeSP" TargetMode="External"/><Relationship Id="rId3587" Type="http://schemas.openxmlformats.org/officeDocument/2006/relationships/hyperlink" Target="https://www.google.com/search?q=site%3Aulusiada.pt%20Psicologia%20licenciatura" TargetMode="External"/><Relationship Id="rId4638" Type="http://schemas.openxmlformats.org/officeDocument/2006/relationships/hyperlink" Target="https://www.google.com/search?q=site%3Aulisboa.pt%20Ci&#234;ncias%20Biofarmac&#234;uticas%20mestrado" TargetMode="External"/><Relationship Id="rId3654" Type="http://schemas.openxmlformats.org/officeDocument/2006/relationships/hyperlink" Target="https://www.google.com/search?q=site%3Alusofona.pt%20Cinema%20e%20Artes%20dos%20Media%20licenciatura" TargetMode="External"/><Relationship Id="rId4705" Type="http://schemas.openxmlformats.org/officeDocument/2006/relationships/hyperlink" Target="https://www.google.com/search?q=site%3Aulisboa.pt%20Engenharia%20Geol&#243;gica%20e%20de%20Minas%20mestrado" TargetMode="External"/><Relationship Id="rId575" Type="http://schemas.openxmlformats.org/officeDocument/2006/relationships/hyperlink" Target="https://www.google.com/search?q=site%3Aiseclisboa.pt%20Diretor%20de%20Seguran&#231;a%20p&#243;s-gradua&#231;&#227;o" TargetMode="External"/><Relationship Id="rId2256" Type="http://schemas.openxmlformats.org/officeDocument/2006/relationships/hyperlink" Target="https://www.google.com/search?q=site%3Aipvc.pt%20Enfermagem%20de%20Sa&#250;de%20Materna%20e%20Obst&#233;trica%20mestrado" TargetMode="External"/><Relationship Id="rId2670" Type="http://schemas.openxmlformats.org/officeDocument/2006/relationships/hyperlink" Target="https://www.google.com/search?q=site%3Aipp.pt%20M&#250;sica%2C%20variante%20de%20M&#250;sica%20Antiga%20licenciatura" TargetMode="External"/><Relationship Id="rId3307" Type="http://schemas.openxmlformats.org/officeDocument/2006/relationships/hyperlink" Target="https://www.google.com/search?q=site%3Aucp.pt%20Gest&#227;o%20de%20Empresas%20&#8211;%20Executivo%20mestrado" TargetMode="External"/><Relationship Id="rId3721" Type="http://schemas.openxmlformats.org/officeDocument/2006/relationships/hyperlink" Target="https://www.google.com/search?q=site%3Alusofona.pt%20Ci&#234;ncia%20de%20Dados%20mestrado" TargetMode="External"/><Relationship Id="rId228" Type="http://schemas.openxmlformats.org/officeDocument/2006/relationships/hyperlink" Target="https://www.google.com/search?q=site%3Aegasmoniz.edu.pt%20Enfermagem%20Comunit&#225;ria%2C%20na%20&#225;rea%20de%20Enfermagem%20de%20Sa&#250;de%20Comunit&#225;ria%20e%20de%20Sa&#250;de%20P&#250;blica%20mestrado" TargetMode="External"/><Relationship Id="rId642" Type="http://schemas.openxmlformats.org/officeDocument/2006/relationships/hyperlink" Target="https://www.google.com/search?q=site%3Aispa.pt%20Sa&#250;de%20Mental%20em%20Contexto%20Escolar%3A%20Da%20promo&#231;&#227;o%20&#224;%20preven&#231;&#227;o%20p&#243;s-gradua&#231;&#227;o" TargetMode="External"/><Relationship Id="rId1272" Type="http://schemas.openxmlformats.org/officeDocument/2006/relationships/hyperlink" Target="https://www.google.com/search?q=site%3Aipc.pt%20Gest&#227;o%20do%20Territ&#243;rio%20licenciatura" TargetMode="External"/><Relationship Id="rId2323" Type="http://schemas.openxmlformats.org/officeDocument/2006/relationships/hyperlink" Target="https://www.google.com/search?q=site%3Aipv.pt%20Produ&#231;&#227;o%20nas%20Artes%20do%20Espet&#225;culo%20CTeSP" TargetMode="External"/><Relationship Id="rId5479" Type="http://schemas.openxmlformats.org/officeDocument/2006/relationships/hyperlink" Target="https://www.google.com/search?q=site%3Aup.pt%20Astronomia%20e%20Astrof&#237;sica%20mestrado" TargetMode="External"/><Relationship Id="rId4495" Type="http://schemas.openxmlformats.org/officeDocument/2006/relationships/hyperlink" Target="https://www.google.com/search?q=site%3Auc.pt%20Ci&#234;ncias%20Farmac&#234;uticas%20mestrado%20integrado" TargetMode="External"/><Relationship Id="rId5546" Type="http://schemas.openxmlformats.org/officeDocument/2006/relationships/hyperlink" Target="https://www.google.com/search?q=site%3Aup.pt%20Engenharia%20Geoespacial%20mestrado" TargetMode="External"/><Relationship Id="rId3097" Type="http://schemas.openxmlformats.org/officeDocument/2006/relationships/hyperlink" Target="https://www.google.com/search?q=site%3Acespu.pt%20Enfermagem%20Veterin&#225;ria%20licenciatura" TargetMode="External"/><Relationship Id="rId4148" Type="http://schemas.openxmlformats.org/officeDocument/2006/relationships/hyperlink" Target="https://www.google.com/search?q=site%3Aubi.pt%20Optometria%20e%20Ci&#234;ncias%20da%20Vis&#227;o%20licenciatura" TargetMode="External"/><Relationship Id="rId3164" Type="http://schemas.openxmlformats.org/officeDocument/2006/relationships/hyperlink" Target="https://www.google.com/search?q=site%3Auab.pt%20Bioestat&#237;stica%20e%20Biometria%20mestrado" TargetMode="External"/><Relationship Id="rId4562" Type="http://schemas.openxmlformats.org/officeDocument/2006/relationships/hyperlink" Target="https://www.google.com/search?q=site%3Aulisboa.pt%20Engenharia%20Qu&#237;mica%20licenciatura" TargetMode="External"/><Relationship Id="rId5613" Type="http://schemas.openxmlformats.org/officeDocument/2006/relationships/hyperlink" Target="https://www.google.com/search?q=site%3Aup.pt%20Inova&#231;&#227;o%20e%20Empreendedorismo%20Tecnol&#243;gico%20mestrado" TargetMode="External"/><Relationship Id="rId1809" Type="http://schemas.openxmlformats.org/officeDocument/2006/relationships/hyperlink" Target="https://www.google.com/search?q=site%3Aipportalegre.pt%20Educa&#231;&#227;o%20e%20Prote&#231;&#227;o%20de%20Crian&#231;as%20e%20Jovens%20em%20Risco%20mestrado" TargetMode="External"/><Relationship Id="rId4215" Type="http://schemas.openxmlformats.org/officeDocument/2006/relationships/hyperlink" Target="https://www.google.com/search?q=site%3Aua.pt%20Manuten&#231;&#227;o%20Industrial%20CTeSP" TargetMode="External"/><Relationship Id="rId2180" Type="http://schemas.openxmlformats.org/officeDocument/2006/relationships/hyperlink" Target="https://www.google.com/search?q=site%3Aipvc.pt%20Interven&#231;&#227;o%20Sociocomunit&#225;ria%20e%20Envelhecimento%20CTeSP" TargetMode="External"/><Relationship Id="rId3231" Type="http://schemas.openxmlformats.org/officeDocument/2006/relationships/hyperlink" Target="https://www.google.com/search?q=site%3Aucp.pt%20Ci&#234;ncias%20Religiosas%20%28regime%20de%20ensino%20a%20dist&#226;ncia%29%20licenciatura" TargetMode="External"/><Relationship Id="rId152" Type="http://schemas.openxmlformats.org/officeDocument/2006/relationships/hyperlink" Target="https://www.google.com/search?q=site%3Aesel.pt%20Enfermagem%20&#224;%20Pessoa%20em%20Situa&#231;&#227;o%20Cr&#237;tica%20p&#243;s-gradua&#231;&#227;o" TargetMode="External"/><Relationship Id="rId2997" Type="http://schemas.openxmlformats.org/officeDocument/2006/relationships/hyperlink" Target="https://www.google.com/search?q=site%3Aisced.pt%20Turismo%20Desportivo%20e%20de%20Aventura%20p&#243;s-gradua&#231;&#227;o" TargetMode="External"/><Relationship Id="rId969" Type="http://schemas.openxmlformats.org/officeDocument/2006/relationships/hyperlink" Target="https://www.google.com/search?q=site%3Aipb.pt%20Inform&#225;tica%20CTeSP" TargetMode="External"/><Relationship Id="rId1599" Type="http://schemas.openxmlformats.org/officeDocument/2006/relationships/hyperlink" Target="https://www.google.com/search?q=site%3Aipleiria.pt%20Lideran&#231;a%20e%20Gest&#227;o%20para%20PME%20p&#243;s-gradua&#231;&#227;o" TargetMode="External"/><Relationship Id="rId5056" Type="http://schemas.openxmlformats.org/officeDocument/2006/relationships/hyperlink" Target="https://www.google.com/search?q=site%3Autad.pt%20Reabilita&#231;&#227;o%20Psicomotora%20licenciatura" TargetMode="External"/><Relationship Id="rId5470" Type="http://schemas.openxmlformats.org/officeDocument/2006/relationships/hyperlink" Target="https://www.google.com/search?q=site%3Aup.pt%20Administra&#231;&#227;o%20Hospitalar%20-%20Executivo%20mestrado" TargetMode="External"/><Relationship Id="rId4072" Type="http://schemas.openxmlformats.org/officeDocument/2006/relationships/hyperlink" Target="https://www.google.com/search?q=site%3Aunl.pt%20Health%20Data%20Science%20and%20Analytics%20p&#243;s-gradua&#231;&#227;o" TargetMode="External"/><Relationship Id="rId5123" Type="http://schemas.openxmlformats.org/officeDocument/2006/relationships/hyperlink" Target="https://www.google.com/search?q=site%3Autad.pt%20Multim&#233;dia%20mestrado" TargetMode="External"/><Relationship Id="rId1666" Type="http://schemas.openxmlformats.org/officeDocument/2006/relationships/hyperlink" Target="https://www.google.com/search?q=site%3Aipl.pt%20Controlo%20de%20Gest&#227;o%20e%20Avalia&#231;&#227;o%20do%20Desempenho%20mestrado" TargetMode="External"/><Relationship Id="rId2717" Type="http://schemas.openxmlformats.org/officeDocument/2006/relationships/hyperlink" Target="https://www.google.com/search?q=site%3Aipp.pt%20Educa&#231;&#227;o%20Pr&#233;-Escolar%20e%20Ensino%20do%201.&#186;%20Ciclo%20do%20Ensino%20B&#225;sico%20mestrado" TargetMode="External"/><Relationship Id="rId1319" Type="http://schemas.openxmlformats.org/officeDocument/2006/relationships/hyperlink" Target="https://www.google.com/search?q=site%3Aipc.pt%20Gerontologia%20Social%20mestrado" TargetMode="External"/><Relationship Id="rId1733" Type="http://schemas.openxmlformats.org/officeDocument/2006/relationships/hyperlink" Target="https://www.google.com/search?q=site%3Aipl.pt%20Jornalismo%20Desportivo%20p&#243;s-gradua&#231;&#227;o" TargetMode="External"/><Relationship Id="rId4889" Type="http://schemas.openxmlformats.org/officeDocument/2006/relationships/hyperlink" Target="https://www.google.com/search?q=site%3Aulisboa.pt%20Artificial%20Intelligence%20for%20Executives%20p&#243;s-gradua&#231;&#227;o" TargetMode="External"/><Relationship Id="rId25" Type="http://schemas.openxmlformats.org/officeDocument/2006/relationships/hyperlink" Target="https://www.google.com/search?q=site%3Auatlantica.pt%20P&#243;s-Gradua&#231;&#227;o%20em%20Materiais%20Comp&#243;sitos%20p&#243;s-gradua&#231;&#227;o" TargetMode="External"/><Relationship Id="rId1800" Type="http://schemas.openxmlformats.org/officeDocument/2006/relationships/hyperlink" Target="https://www.google.com/search?q=site%3Aipportalegre.pt%20Som%20e%20Imagem%20licenciatura" TargetMode="External"/><Relationship Id="rId4956" Type="http://schemas.openxmlformats.org/officeDocument/2006/relationships/hyperlink" Target="https://www.google.com/search?q=site%3Aulisboa.pt%20Gest&#227;o%20de%20Turismo%20p&#243;s-gradua&#231;&#227;o" TargetMode="External"/><Relationship Id="rId3558" Type="http://schemas.openxmlformats.org/officeDocument/2006/relationships/hyperlink" Target="https://www.google.com/search?q=site%3Aufp.pt%20Pharma%20Key%20Account%20Management%20p&#243;s-gradua&#231;&#227;o" TargetMode="External"/><Relationship Id="rId3972" Type="http://schemas.openxmlformats.org/officeDocument/2006/relationships/hyperlink" Target="https://www.google.com/search?q=site%3Aunl.pt%20L&#243;gica%20Computacional%20mestrado" TargetMode="External"/><Relationship Id="rId4609" Type="http://schemas.openxmlformats.org/officeDocument/2006/relationships/hyperlink" Target="https://www.google.com/search?q=site%3Aulisboa.pt%20Servi&#231;o%20Social%20licenciatura" TargetMode="External"/><Relationship Id="rId479" Type="http://schemas.openxmlformats.org/officeDocument/2006/relationships/hyperlink" Target="https://www.google.com/search?q=site%3Aisec.pt%20Automa&#231;&#227;o%2C%20Rob&#243;tica%20e%20Manuten&#231;&#227;o%20Industrial%20CTeSP" TargetMode="External"/><Relationship Id="rId893" Type="http://schemas.openxmlformats.org/officeDocument/2006/relationships/hyperlink" Target="https://www.google.com/search?q=site%3Aipbeja.pt%20Tecnologias%20para%20a%20Gest&#227;o%20da%20Qualidade%20e%20Seguran&#231;a%20CTeSP" TargetMode="External"/><Relationship Id="rId2574" Type="http://schemas.openxmlformats.org/officeDocument/2006/relationships/hyperlink" Target="https://www.google.com/search?q=site%3Aipp.pt%20Design%20de%20Jogos%20e%20Anima&#231;&#227;o%20Digital%20CTeSP" TargetMode="External"/><Relationship Id="rId3625" Type="http://schemas.openxmlformats.org/officeDocument/2006/relationships/hyperlink" Target="https://www.google.com/search?q=site%3Aulusiada.pt%20Enfermagem%20em%20Emerg&#234;ncia%20e%20Trauma%20&#8211;%2019.&#170;%20edi&#231;&#227;o%20p&#243;s-gradua&#231;&#227;o" TargetMode="External"/><Relationship Id="rId546" Type="http://schemas.openxmlformats.org/officeDocument/2006/relationships/hyperlink" Target="https://www.google.com/search?q=site%3Aiseclisboa.pt%20Ci&#234;ncia%20e%20Visualiza&#231;&#227;o%20de%20Dados%20licenciatura" TargetMode="External"/><Relationship Id="rId1176" Type="http://schemas.openxmlformats.org/officeDocument/2006/relationships/hyperlink" Target="https://www.google.com/search?q=site%3Aipcb.pt%20Ensino%20de%20Ingl&#234;s%20no%201.&#186;%20Ciclo%20do%20Ensino%20B&#225;sico%20mestrado" TargetMode="External"/><Relationship Id="rId2227" Type="http://schemas.openxmlformats.org/officeDocument/2006/relationships/hyperlink" Target="https://www.google.com/search?q=site%3Aipvc.pt%20Gerontologia%20licenciatura" TargetMode="External"/><Relationship Id="rId960" Type="http://schemas.openxmlformats.org/officeDocument/2006/relationships/hyperlink" Target="https://www.google.com/search?q=site%3Aipb.pt%20Est&#233;tica%2C%20Cosm&#233;tica%20e%20Bem&#8209;estar%20CTeSP" TargetMode="External"/><Relationship Id="rId1243" Type="http://schemas.openxmlformats.org/officeDocument/2006/relationships/hyperlink" Target="https://www.google.com/search?q=site%3Aipc.pt%20Biodiversidade%20e%20Conserva&#231;&#227;o%20da%20Natureza%20licenciatura" TargetMode="External"/><Relationship Id="rId1590" Type="http://schemas.openxmlformats.org/officeDocument/2006/relationships/hyperlink" Target="https://www.google.com/search?q=site%3Aipleiria.pt%20Estudos%20Europeus%20p&#243;s-gradua&#231;&#227;o" TargetMode="External"/><Relationship Id="rId2641" Type="http://schemas.openxmlformats.org/officeDocument/2006/relationships/hyperlink" Target="https://www.google.com/search?q=site%3Aipp.pt%20Engenharia%20F&#237;sica%20Aplicada%20licenciatura" TargetMode="External"/><Relationship Id="rId4399" Type="http://schemas.openxmlformats.org/officeDocument/2006/relationships/hyperlink" Target="https://www.google.com/search?q=site%3Auc.pt%20Ensino%20de%20Ingl&#234;s%20e%20de%20L&#237;ngua%20Estrangeira%20no%203.&#186;%20ciclo%20do%20Ensino%20B&#225;sico%20e%20no%20Ensino%20Secund&#225;rio%2C%20nas%20&#225;reas%20de%20especializa&#231;&#227;o%20de%20Alem&#227;o%20ou%20de%20Espanhol%20ou%20de%20Franc&#234;s%20mestrado" TargetMode="External"/><Relationship Id="rId5797" Type="http://schemas.openxmlformats.org/officeDocument/2006/relationships/hyperlink" Target="https://www.google.com/search?q=site%3Aium.pt%20Ci&#234;ncias%20Militares%20Navais%2C%20ramo%20de%20Administra&#231;&#227;o%20Naval%20licenciatura" TargetMode="External"/><Relationship Id="rId613" Type="http://schemas.openxmlformats.org/officeDocument/2006/relationships/hyperlink" Target="https://www.google.com/search?q=site%3Aisla.pt%20Psicologia%20Social%20e%20Organizacional%20p&#243;s-gradua&#231;&#227;o" TargetMode="External"/><Relationship Id="rId1310" Type="http://schemas.openxmlformats.org/officeDocument/2006/relationships/hyperlink" Target="https://www.google.com/search?q=site%3Aipc.pt%20Engenharia%20Agro-Pecu&#225;ria%20mestrado" TargetMode="External"/><Relationship Id="rId4466" Type="http://schemas.openxmlformats.org/officeDocument/2006/relationships/hyperlink" Target="https://www.google.com/search?q=site%3Auc.pt%20Psicologia%20da%20Educa&#231;&#227;o%2C%20Desenvolvimento%20e%20Aconselhamento%20mestrado" TargetMode="External"/><Relationship Id="rId4880" Type="http://schemas.openxmlformats.org/officeDocument/2006/relationships/hyperlink" Target="https://www.google.com/search?q=site%3Aulisboa.pt%20Psicologia%20mestrado%20integrado" TargetMode="External"/><Relationship Id="rId5517" Type="http://schemas.openxmlformats.org/officeDocument/2006/relationships/hyperlink" Target="https://www.google.com/search?q=site%3Aup.pt%20Cuidados%20de%20Sa&#250;de%20Prim&#225;rios%20mestrado" TargetMode="External"/><Relationship Id="rId3068" Type="http://schemas.openxmlformats.org/officeDocument/2006/relationships/hyperlink" Target="https://www.google.com/search?q=site%3Aisg.pt%20Gest&#227;o%20de%20Recursos%20Humanos%20licenciatura" TargetMode="External"/><Relationship Id="rId3482" Type="http://schemas.openxmlformats.org/officeDocument/2006/relationships/hyperlink" Target="https://www.google.com/search?q=site%3Aeuropeia.pt%20P&#243;s&#8209;Gradua&#231;&#227;o%20em%20Design%20Systems%20%28IADE%29%20p&#243;s-gradua&#231;&#227;o" TargetMode="External"/><Relationship Id="rId4119" Type="http://schemas.openxmlformats.org/officeDocument/2006/relationships/hyperlink" Target="https://www.google.com/search?q=site%3Aubi.pt%20Bioqu&#237;mica%20licenciatura" TargetMode="External"/><Relationship Id="rId4533" Type="http://schemas.openxmlformats.org/officeDocument/2006/relationships/hyperlink" Target="https://www.google.com/search?q=site%3Aulisboa.pt%20Dan&#231;a%20licenciatura" TargetMode="External"/><Relationship Id="rId2084" Type="http://schemas.openxmlformats.org/officeDocument/2006/relationships/hyperlink" Target="https://www.google.com/search?q=site%3Aipt.pt%20Gest&#227;o%20Comercial%20e%20Vendas%20CTeSP" TargetMode="External"/><Relationship Id="rId3135" Type="http://schemas.openxmlformats.org/officeDocument/2006/relationships/hyperlink" Target="https://www.google.com/search?q=site%3Acespu.pt%20Nutri&#231;&#227;o%20no%20Desporto%20&#8211;%207.&#170;%20edi&#231;&#227;o%20p&#243;s-gradua&#231;&#227;o" TargetMode="External"/><Relationship Id="rId4600" Type="http://schemas.openxmlformats.org/officeDocument/2006/relationships/hyperlink" Target="https://www.google.com/search?q=site%3Aulisboa.pt%20Meteorologia%2C%20Oceanografia%20e%20Geof&#237;sica%20licenciatura" TargetMode="External"/><Relationship Id="rId470" Type="http://schemas.openxmlformats.org/officeDocument/2006/relationships/hyperlink" Target="https://www.google.com/search?q=site%3Aiscte-iul.pt%20Solu&#231;&#245;es%20Anal&#237;ticas%20para%20a%20Gest&#227;o%20p&#243;s-gradua&#231;&#227;o" TargetMode="External"/><Relationship Id="rId2151" Type="http://schemas.openxmlformats.org/officeDocument/2006/relationships/hyperlink" Target="https://www.google.com/search?q=site%3Aipt.pt%20Jornalismo%20Digital%20de%20Proximidade%20p&#243;s-gradua&#231;&#227;o" TargetMode="External"/><Relationship Id="rId3202" Type="http://schemas.openxmlformats.org/officeDocument/2006/relationships/hyperlink" Target="https://www.google.com/search?q=site%3Aautonoma.pt%20Intelig&#234;ncia%20Artificial%20licenciatura" TargetMode="External"/><Relationship Id="rId123" Type="http://schemas.openxmlformats.org/officeDocument/2006/relationships/hyperlink" Target="https://www.google.com/search?q=site%3Aesepf.pt%20P&#243;s&#8209;Gradua&#231;&#227;o%20em%20Interven&#231;&#227;o%20Psicossocial%20em%20Contexto%20Escolar%20p&#243;s-gradua&#231;&#227;o" TargetMode="External"/><Relationship Id="rId5374" Type="http://schemas.openxmlformats.org/officeDocument/2006/relationships/hyperlink" Target="https://www.google.com/search?q=site%3Aualg.pt%20Hortofruticultura%20mestrado" TargetMode="External"/><Relationship Id="rId2968" Type="http://schemas.openxmlformats.org/officeDocument/2006/relationships/hyperlink" Target="https://www.google.com/search?q=site%3Aisced.pt%20Gerontologia%20CTeSP" TargetMode="External"/><Relationship Id="rId5027" Type="http://schemas.openxmlformats.org/officeDocument/2006/relationships/hyperlink" Target="https://www.google.com/search?q=site%3Autad.pt%20Ci&#234;ncias%20do%20Ambiente%20licenciatura" TargetMode="External"/><Relationship Id="rId1984" Type="http://schemas.openxmlformats.org/officeDocument/2006/relationships/hyperlink" Target="https://www.google.com/search?q=site%3Aips.pt%20Produ&#231;&#227;o%20Aeron&#225;utica%20CTeSP" TargetMode="External"/><Relationship Id="rId4390" Type="http://schemas.openxmlformats.org/officeDocument/2006/relationships/hyperlink" Target="https://www.google.com/search?q=site%3Auc.pt%20Engenharia%20de%20Software%20mestrado" TargetMode="External"/><Relationship Id="rId5441" Type="http://schemas.openxmlformats.org/officeDocument/2006/relationships/hyperlink" Target="https://www.google.com/search?q=site%3Aup.pt%20Engenharia%20Geoespacial%20licenciatura" TargetMode="External"/><Relationship Id="rId1637" Type="http://schemas.openxmlformats.org/officeDocument/2006/relationships/hyperlink" Target="https://www.google.com/search?q=site%3Aipl.pt%20Engenharia%20de%20Sistemas%20de%20Computadores%20licenciatura" TargetMode="External"/><Relationship Id="rId4043" Type="http://schemas.openxmlformats.org/officeDocument/2006/relationships/hyperlink" Target="https://www.google.com/search?q=site%3Aunl.pt%20Curso%20Geral%20de%20Gest&#227;o%20p&#243;s-gradua&#231;&#227;o" TargetMode="External"/><Relationship Id="rId1704" Type="http://schemas.openxmlformats.org/officeDocument/2006/relationships/hyperlink" Target="https://www.google.com/search?q=site%3Aipl.pt%20M&#250;sica%20mestrado" TargetMode="External"/><Relationship Id="rId4110" Type="http://schemas.openxmlformats.org/officeDocument/2006/relationships/hyperlink" Target="https://www.google.com/search?q=site%3Aupt.pt%20Marketing%20e%20Neg&#243;cios%20Digitais%20mestrado" TargetMode="External"/><Relationship Id="rId797" Type="http://schemas.openxmlformats.org/officeDocument/2006/relationships/hyperlink" Target="https://www.google.com/search?q=site%3Aipg.pt%20Turismo%20e%20Tecnologias%20de%20Informa&#231;&#227;o%20e%20Comunica&#231;&#227;o%20mestrado" TargetMode="External"/><Relationship Id="rId2478" Type="http://schemas.openxmlformats.org/officeDocument/2006/relationships/hyperlink" Target="https://www.google.com/search?q=site%3Aipca.pt%20Design%20Industrial%20licenciatura" TargetMode="External"/><Relationship Id="rId3876" Type="http://schemas.openxmlformats.org/officeDocument/2006/relationships/hyperlink" Target="https://www.google.com/search?q=site%3Aunl.pt%20Ci&#234;ncias%20Gastron&#243;micas%20mestrado" TargetMode="External"/><Relationship Id="rId4927" Type="http://schemas.openxmlformats.org/officeDocument/2006/relationships/hyperlink" Target="https://www.google.com/search?q=site%3Aulisboa.pt%20Curso%20p&#243;s-graduado%20de%20especializa&#231;&#227;o%20em%20Ortodontia%20p&#243;s-gradua&#231;&#227;o" TargetMode="External"/><Relationship Id="rId2892" Type="http://schemas.openxmlformats.org/officeDocument/2006/relationships/hyperlink" Target="https://www.google.com/search?q=site%3Aismat.pt%20Ci&#234;ncia%20de%20Dados%20licenciatura" TargetMode="External"/><Relationship Id="rId3529" Type="http://schemas.openxmlformats.org/officeDocument/2006/relationships/hyperlink" Target="https://www.google.com/search?q=site%3Aufp.pt%20Psicologia%20Cl&#237;nica%20e%20da%20Sa&#250;de%20mestrado" TargetMode="External"/><Relationship Id="rId3943" Type="http://schemas.openxmlformats.org/officeDocument/2006/relationships/hyperlink" Target="https://www.google.com/search?q=site%3Aunl.pt%20Fintech%2C%20Finan&#231;as%20Digitais%20e%20Descentralizadas%20mestrado" TargetMode="External"/><Relationship Id="rId864" Type="http://schemas.openxmlformats.org/officeDocument/2006/relationships/hyperlink" Target="https://www.google.com/search?q=site%3Aipmaia.pt%20Servi&#231;o%20Familiar%20e%20Comunit&#225;rio%20CTeSP" TargetMode="External"/><Relationship Id="rId1494" Type="http://schemas.openxmlformats.org/officeDocument/2006/relationships/hyperlink" Target="https://www.google.com/search?q=site%3Aipleiria.pt%20Administra&#231;&#227;o%20P&#250;blica%20mestrado" TargetMode="External"/><Relationship Id="rId2545" Type="http://schemas.openxmlformats.org/officeDocument/2006/relationships/hyperlink" Target="https://www.google.com/search?q=site%3Aipca.pt%20Fisiologia%20do%20Exerc&#237;cio%20Cl&#237;nico%20p&#243;s-gradua&#231;&#227;o" TargetMode="External"/><Relationship Id="rId517" Type="http://schemas.openxmlformats.org/officeDocument/2006/relationships/hyperlink" Target="https://www.google.com/search?q=site%3Aisec.pt%20Engenharia%20Inform&#225;tica%20mestrado" TargetMode="External"/><Relationship Id="rId931" Type="http://schemas.openxmlformats.org/officeDocument/2006/relationships/hyperlink" Target="https://www.google.com/search?q=site%3Aipbeja.pt%20P&#243;s&#8209;Gradua&#231;&#227;o%20em%20Gest&#227;o%20de%20Sa&#250;de%20p&#243;s-gradua&#231;&#227;o" TargetMode="External"/><Relationship Id="rId1147" Type="http://schemas.openxmlformats.org/officeDocument/2006/relationships/hyperlink" Target="https://www.google.com/search?q=site%3Aipcb.pt%20Engenharia%20e%20Gest&#227;o%20Industrial%20licenciatura" TargetMode="External"/><Relationship Id="rId1561" Type="http://schemas.openxmlformats.org/officeDocument/2006/relationships/hyperlink" Target="https://www.google.com/search?q=site%3Aipleiria.pt%20Neg&#243;cios%20Internacionais%20mestrado" TargetMode="External"/><Relationship Id="rId2612" Type="http://schemas.openxmlformats.org/officeDocument/2006/relationships/hyperlink" Target="https://www.google.com/search?q=site%3Aipp.pt%20Tecnologias%20Aplicadas%20&#224;%20Contabilidade%20CTeSP" TargetMode="External"/><Relationship Id="rId5768" Type="http://schemas.openxmlformats.org/officeDocument/2006/relationships/hyperlink" Target="https://www.google.com/search?q=site%3Auac.pt%20P&#243;s&#8209;Gradua&#231;&#227;o%20em%20Estudos%20de%20Hist&#243;ria%20Insular%20e%20Atl&#226;ntica%20p&#243;s-gradua&#231;&#227;o" TargetMode="External"/><Relationship Id="rId1214" Type="http://schemas.openxmlformats.org/officeDocument/2006/relationships/hyperlink" Target="https://www.google.com/search?q=site%3Aipc.pt%20Design%20de%20Produto%20CTeSP" TargetMode="External"/><Relationship Id="rId4784" Type="http://schemas.openxmlformats.org/officeDocument/2006/relationships/hyperlink" Target="https://www.google.com/search?q=site%3Aulisboa.pt%20Inova&#231;&#227;o%20Tecnol&#243;gica%20e%20Empreendedorismo%20em%20Qu&#237;mica%20e%20Bioqu&#237;mica%20mestrado" TargetMode="External"/><Relationship Id="rId3386" Type="http://schemas.openxmlformats.org/officeDocument/2006/relationships/hyperlink" Target="https://www.google.com/search?q=site%3Aeuropeia.pt%20Ci&#234;ncias%20da%20Comunica&#231;&#227;o%20licenciatura" TargetMode="External"/><Relationship Id="rId4437" Type="http://schemas.openxmlformats.org/officeDocument/2006/relationships/hyperlink" Target="https://www.google.com/search?q=site%3Auc.pt%20Interven&#231;&#227;o%20Social%2C%20Inova&#231;&#227;o%20e%20Empreendedorismo%20mestrado" TargetMode="External"/><Relationship Id="rId3039" Type="http://schemas.openxmlformats.org/officeDocument/2006/relationships/hyperlink" Target="https://www.google.com/search?q=site%3Aiscia.pt%20AI%2C%20Comunica&#231;&#227;o%20e%20Marketing%20p&#243;s-gradua&#231;&#227;o" TargetMode="External"/><Relationship Id="rId3453" Type="http://schemas.openxmlformats.org/officeDocument/2006/relationships/hyperlink" Target="https://www.google.com/search?q=site%3Aeuropeia.pt%20Fisiologia%20do%20Exerc&#237;cio%20mestrado" TargetMode="External"/><Relationship Id="rId4851" Type="http://schemas.openxmlformats.org/officeDocument/2006/relationships/hyperlink" Target="https://www.google.com/search?q=site%3Aulisboa.pt%20Sociologia%20das%20Organiza&#231;&#245;es%20e%20do%20Trabalho%20mestrado" TargetMode="External"/><Relationship Id="rId374" Type="http://schemas.openxmlformats.org/officeDocument/2006/relationships/hyperlink" Target="https://www.google.com/search?q=site%3Aeuvg.pt%20Medicina%20Felina%20p&#243;s-gradua&#231;&#227;o" TargetMode="External"/><Relationship Id="rId2055" Type="http://schemas.openxmlformats.org/officeDocument/2006/relationships/hyperlink" Target="https://www.google.com/search?q=site%3Aips.pt%20Pr&#225;tica%20Avan&#231;ada%20de%20Fisioterapia%20em%20Neurologia%20mestrado" TargetMode="External"/><Relationship Id="rId3106" Type="http://schemas.openxmlformats.org/officeDocument/2006/relationships/hyperlink" Target="https://www.google.com/search?q=site%3Acespu.pt%20Ci&#234;ncias%20Farmac&#234;uticas%20mestrado%20integrado" TargetMode="External"/><Relationship Id="rId4504" Type="http://schemas.openxmlformats.org/officeDocument/2006/relationships/hyperlink" Target="https://www.google.com/search?q=site%3Auc.pt%20Medicina%20Dent&#225;ria%20mestrado%20integrado" TargetMode="External"/><Relationship Id="rId3520" Type="http://schemas.openxmlformats.org/officeDocument/2006/relationships/hyperlink" Target="https://www.google.com/search?q=site%3Aufp.pt%20A&#231;&#227;o%20Humanit&#225;ria%2C%20Coopera&#231;&#227;o%20e%20Desenvolvimento%20%28regime%20de%20ensino%20a%20dist&#226;ncia%29%20mestrado" TargetMode="External"/><Relationship Id="rId441" Type="http://schemas.openxmlformats.org/officeDocument/2006/relationships/hyperlink" Target="https://www.google.com/search?q=site%3Aiscte-iul.pt%20Servi&#231;o%20Social%20licenciatura" TargetMode="External"/><Relationship Id="rId1071" Type="http://schemas.openxmlformats.org/officeDocument/2006/relationships/hyperlink" Target="https://www.google.com/search?q=site%3Aipb.pt%20Inform&#225;tica%20mestrado" TargetMode="External"/><Relationship Id="rId2122" Type="http://schemas.openxmlformats.org/officeDocument/2006/relationships/hyperlink" Target="https://www.google.com/search?q=site%3Aipt.pt%20Gest&#227;o%20de%20Recursos%20Humanos%20e%20Comportamento%20Organizacional%20licenciatura" TargetMode="External"/><Relationship Id="rId5278" Type="http://schemas.openxmlformats.org/officeDocument/2006/relationships/hyperlink" Target="https://www.google.com/search?q=site%3Aualg.pt%20Biologia%20Marinha%20licenciatura" TargetMode="External"/><Relationship Id="rId5692" Type="http://schemas.openxmlformats.org/officeDocument/2006/relationships/hyperlink" Target="https://www.google.com/search?q=site%3Auac.pt%20Ci&#234;ncias%20Agr&#225;rias%20licenciatura" TargetMode="External"/><Relationship Id="rId1888" Type="http://schemas.openxmlformats.org/officeDocument/2006/relationships/hyperlink" Target="https://www.google.com/search?q=site%3Aipsantarem.pt%20Contabilidade%20e%20Finan&#231;as%20mestrado" TargetMode="External"/><Relationship Id="rId2939" Type="http://schemas.openxmlformats.org/officeDocument/2006/relationships/hyperlink" Target="https://www.google.com/search?q=site%3Aispgaya.pt%20Redes%20e%20Sistemas%20Inform&#225;ticos%20CTeSP" TargetMode="External"/><Relationship Id="rId4294" Type="http://schemas.openxmlformats.org/officeDocument/2006/relationships/hyperlink" Target="https://www.google.com/search?q=site%3Auc.pt%20Engenharia%20Eletrot&#233;cnica%20e%20de%20Computadores%20licenciatura" TargetMode="External"/><Relationship Id="rId5345" Type="http://schemas.openxmlformats.org/officeDocument/2006/relationships/hyperlink" Target="https://www.google.com/search?q=site%3Aualg.pt%20Engenharia%20Civil%20mestrado" TargetMode="External"/><Relationship Id="rId4361" Type="http://schemas.openxmlformats.org/officeDocument/2006/relationships/hyperlink" Target="https://www.google.com/search?q=site%3Auc.pt%20Cuidados%20Continuados%20e%20Paliativos%20mestrado" TargetMode="External"/><Relationship Id="rId5412" Type="http://schemas.openxmlformats.org/officeDocument/2006/relationships/hyperlink" Target="https://www.google.com/search?q=site%3Aup.pt%20Arquitetura%20Paisagista%20licenciatura" TargetMode="External"/><Relationship Id="rId1955" Type="http://schemas.openxmlformats.org/officeDocument/2006/relationships/hyperlink" Target="https://www.google.com/search?q=site%3Acespu.pt%20Nutri&#231;&#227;o%20Funcional%20e%20Suplementa&#231;&#227;o%20Individualizada%20na%20Pr&#225;tica%20Cl&#237;nica%20&#8211;%204.&#170;%20edi&#231;&#227;o%20p&#243;s-gradua&#231;&#227;o" TargetMode="External"/><Relationship Id="rId4014" Type="http://schemas.openxmlformats.org/officeDocument/2006/relationships/hyperlink" Target="https://www.google.com/search?q=site%3Aunl.pt%20Toxicologia%20Aplicada%20em%20Sa&#250;de%20Ambiental%20mestrado" TargetMode="External"/><Relationship Id="rId1608" Type="http://schemas.openxmlformats.org/officeDocument/2006/relationships/hyperlink" Target="https://www.google.com/search?q=site%3Aipleiria.pt%20Renewable%20Energies%20and%20Environment%20p&#243;s-gradua&#231;&#227;o" TargetMode="External"/><Relationship Id="rId3030" Type="http://schemas.openxmlformats.org/officeDocument/2006/relationships/hyperlink" Target="https://www.google.com/search?q=site%3Aiscia.pt%20Transportes%20e%20Log&#237;stica%20CTeSP" TargetMode="External"/><Relationship Id="rId2796" Type="http://schemas.openxmlformats.org/officeDocument/2006/relationships/hyperlink" Target="https://www.google.com/search?q=site%3Aipp.pt%20Dire&#231;&#227;o%20Financeira%20p&#243;s-gradua&#231;&#227;o" TargetMode="External"/><Relationship Id="rId3847" Type="http://schemas.openxmlformats.org/officeDocument/2006/relationships/hyperlink" Target="https://www.google.com/search?q=site%3Aunl.pt%20Portugu&#234;s%20e%20Gest&#227;o%20licenciatura" TargetMode="External"/><Relationship Id="rId768" Type="http://schemas.openxmlformats.org/officeDocument/2006/relationships/hyperlink" Target="https://www.google.com/search?q=site%3Aipg.pt%20Gest&#227;o%20Hoteleira%20licenciatura" TargetMode="External"/><Relationship Id="rId1398" Type="http://schemas.openxmlformats.org/officeDocument/2006/relationships/hyperlink" Target="https://www.google.com/search?q=site%3Aipleiria.pt%20Gerontologia%20CTeSP" TargetMode="External"/><Relationship Id="rId2449" Type="http://schemas.openxmlformats.org/officeDocument/2006/relationships/hyperlink" Target="https://www.google.com/search?q=site%3Aipca.pt%20Manuten&#231;&#227;o%20Industrial%20CTeSP" TargetMode="External"/><Relationship Id="rId2863" Type="http://schemas.openxmlformats.org/officeDocument/2006/relationships/hyperlink" Target="https://www.google.com/search?q=site%3Aipam.pt%20P&#243;s&#8209;Gradua&#231;&#227;o%20em%20Marketing%20Digital%20p&#243;s-gradua&#231;&#227;o" TargetMode="External"/><Relationship Id="rId3914" Type="http://schemas.openxmlformats.org/officeDocument/2006/relationships/hyperlink" Target="https://www.google.com/search?q=site%3Aunl.pt%20Engenharia%20de%20Micro%20e%20Nanotecnologias%20mestrado" TargetMode="External"/><Relationship Id="rId835" Type="http://schemas.openxmlformats.org/officeDocument/2006/relationships/hyperlink" Target="https://www.google.com/search?q=site%3Aipluso.pt%20Engenharia%20Inform&#225;tica%20e%20Aplica&#231;&#245;es%20licenciatura" TargetMode="External"/><Relationship Id="rId1465" Type="http://schemas.openxmlformats.org/officeDocument/2006/relationships/hyperlink" Target="https://www.google.com/search?q=site%3Aipleiria.pt%20Engenharia%20Mec&#226;nica%20licenciatura" TargetMode="External"/><Relationship Id="rId2516" Type="http://schemas.openxmlformats.org/officeDocument/2006/relationships/hyperlink" Target="https://www.google.com/search?q=site%3Aipca.pt%20Intelig&#234;ncia%20Artificial%20Aplicada%20mestrado" TargetMode="External"/><Relationship Id="rId1118" Type="http://schemas.openxmlformats.org/officeDocument/2006/relationships/hyperlink" Target="https://www.google.com/search?q=site%3Aipcb.pt%20Digitaliza&#231;&#227;o%20e%20Ind&#250;stria%204.0%20CTeSP" TargetMode="External"/><Relationship Id="rId1532" Type="http://schemas.openxmlformats.org/officeDocument/2006/relationships/hyperlink" Target="https://www.google.com/search?q=site%3Aipleiria.pt%20Enfermagem%20de%20Sa&#250;de%20Familiar%20mestrado" TargetMode="External"/><Relationship Id="rId2930" Type="http://schemas.openxmlformats.org/officeDocument/2006/relationships/hyperlink" Target="https://www.google.com/search?q=site%3Aispgaya.pt%20Gest&#227;o%20da%20Qualidade%2C%20Ambiente%20e%20Seguran&#231;a%20CTeSP" TargetMode="External"/><Relationship Id="rId4688" Type="http://schemas.openxmlformats.org/officeDocument/2006/relationships/hyperlink" Target="https://www.google.com/search?q=site%3Aulisboa.pt%20Educa&#231;&#227;o%20e%20Tecnologias%20Digitais%20mestrado" TargetMode="External"/><Relationship Id="rId902" Type="http://schemas.openxmlformats.org/officeDocument/2006/relationships/hyperlink" Target="https://www.google.com/search?q=site%3Aipbeja.pt%20Engenharia%20Civil%20licenciatura" TargetMode="External"/><Relationship Id="rId5739" Type="http://schemas.openxmlformats.org/officeDocument/2006/relationships/hyperlink" Target="https://www.google.com/search?q=site%3Auac.pt%20Hist&#243;ria%20Insular%20e%20Atl&#226;ntica%20%28Secs.%20XV%20a%20XX%29%20mestrado" TargetMode="External"/><Relationship Id="rId4755" Type="http://schemas.openxmlformats.org/officeDocument/2006/relationships/hyperlink" Target="https://www.google.com/search?q=site%3Aulisboa.pt%20F&#237;sica%20e%20Astrof&#237;sica%20mestrado" TargetMode="External"/><Relationship Id="rId278" Type="http://schemas.openxmlformats.org/officeDocument/2006/relationships/hyperlink" Target="https://www.google.com/search?q=site%3Aesscvp.eu%20Enfermagem%20Avan&#231;ada%20p&#243;s-gradua&#231;&#227;o" TargetMode="External"/><Relationship Id="rId3357" Type="http://schemas.openxmlformats.org/officeDocument/2006/relationships/hyperlink" Target="https://www.google.com/search?q=site%3Aucp.pt%20Gest&#227;o%20e%20Inova&#231;&#227;o%20no%20Setor%20Agroalimentar%20p&#243;s-gradua&#231;&#227;o" TargetMode="External"/><Relationship Id="rId3771" Type="http://schemas.openxmlformats.org/officeDocument/2006/relationships/hyperlink" Target="https://www.google.com/search?q=site%3Alusofona.pt%20Escrita%20de%20Fic&#231;&#227;o%20p&#243;s-gradua&#231;&#227;o" TargetMode="External"/><Relationship Id="rId4408" Type="http://schemas.openxmlformats.org/officeDocument/2006/relationships/hyperlink" Target="https://www.google.com/search?q=site%3Auc.pt%20Estudos%20Cl&#225;ssicos%20mestrado" TargetMode="External"/><Relationship Id="rId4822" Type="http://schemas.openxmlformats.org/officeDocument/2006/relationships/hyperlink" Target="https://www.google.com/search?q=site%3Aulisboa.pt%20Pr&#225;ticas%20Tipogr&#225;ficas%20e%20Editoriais%20Contempor&#226;neas%20mestrado" TargetMode="External"/><Relationship Id="rId692" Type="http://schemas.openxmlformats.org/officeDocument/2006/relationships/hyperlink" Target="https://www.google.com/search?q=site%3Aiees.pt%20Ensino%20do%201.&#186;%20Ciclo%20do%20Ensino%20B&#225;sico%20e%20de%20Matem&#225;tica%20e%20Ci&#234;ncias%20Naturais%20no%202.&#186;%20Ciclo%20do%20Ensino%20B&#225;sico%20mestrado" TargetMode="External"/><Relationship Id="rId2373" Type="http://schemas.openxmlformats.org/officeDocument/2006/relationships/hyperlink" Target="https://www.google.com/search?q=site%3Aipv.pt%20Assessoria%20nas%20Organiza&#231;&#245;es%20mestrado" TargetMode="External"/><Relationship Id="rId3424" Type="http://schemas.openxmlformats.org/officeDocument/2006/relationships/hyperlink" Target="https://www.google.com/search?q=site%3Aeuropeia.pt%20Sistemas%20de%20Informa&#231;&#227;o%2C%20Web%20e%20Multim&#233;dia%20licenciatura" TargetMode="External"/><Relationship Id="rId345" Type="http://schemas.openxmlformats.org/officeDocument/2006/relationships/hyperlink" Target="https://www.google.com/search?q=site%3Aess.ufp.pt%20Terapia%20da%20M&#227;o%20p&#243;s-gradua&#231;&#227;o" TargetMode="External"/><Relationship Id="rId2026" Type="http://schemas.openxmlformats.org/officeDocument/2006/relationships/hyperlink" Target="https://www.google.com/search?q=site%3Aips.pt%20Administra&#231;&#227;o%20Escolar%20e%20Pol&#237;ticas%20Educativas%20mestrado" TargetMode="External"/><Relationship Id="rId2440" Type="http://schemas.openxmlformats.org/officeDocument/2006/relationships/hyperlink" Target="https://www.google.com/search?q=site%3Aipca.pt%20Gest&#227;o%20de%20Seguros%20CTeSP" TargetMode="External"/><Relationship Id="rId5596" Type="http://schemas.openxmlformats.org/officeDocument/2006/relationships/hyperlink" Target="https://www.google.com/search?q=site%3Aup.pt%20Geomateriais%20e%20Recursos%20Geol&#243;gicos%20mestrado" TargetMode="External"/><Relationship Id="rId412" Type="http://schemas.openxmlformats.org/officeDocument/2006/relationships/hyperlink" Target="https://www.google.com/search?q=site%3Aisce.pt%20Educa&#231;&#227;o%20Social%20licenciatura" TargetMode="External"/><Relationship Id="rId1042" Type="http://schemas.openxmlformats.org/officeDocument/2006/relationships/hyperlink" Target="https://www.google.com/search?q=site%3Aipb.pt%20Digitaliza&#231;&#227;o%20Aplicada%20mestrado" TargetMode="External"/><Relationship Id="rId4198" Type="http://schemas.openxmlformats.org/officeDocument/2006/relationships/hyperlink" Target="https://www.google.com/search?q=site%3Aismai.pt%20P&#243;s-Gradua&#231;&#227;o%20em%20An&#225;lise%20do%20Jogo%20em%20Futebol%20p&#243;s-gradua&#231;&#227;o" TargetMode="External"/><Relationship Id="rId5249" Type="http://schemas.openxmlformats.org/officeDocument/2006/relationships/hyperlink" Target="https://www.google.com/search?q=site%3Aualg.pt%20Contabilidade%20CTeSP" TargetMode="External"/><Relationship Id="rId5663" Type="http://schemas.openxmlformats.org/officeDocument/2006/relationships/hyperlink" Target="https://www.google.com/search?q=site%3Aup.pt%20Transi&#231;&#245;es%20e%20Inova&#231;&#245;es%20no%20Enoturismo%20%28Erasmus%20Mundus%29%20mestrado" TargetMode="External"/><Relationship Id="rId4265" Type="http://schemas.openxmlformats.org/officeDocument/2006/relationships/hyperlink" Target="https://www.google.com/search?q=site%3Aua.pt%20Inform&#225;tica%20Aplicada%20mestrado" TargetMode="External"/><Relationship Id="rId5316" Type="http://schemas.openxmlformats.org/officeDocument/2006/relationships/hyperlink" Target="https://www.google.com/search?q=site%3Aualg.pt%20Sociologia%20licenciatura" TargetMode="External"/><Relationship Id="rId1859" Type="http://schemas.openxmlformats.org/officeDocument/2006/relationships/hyperlink" Target="https://www.google.com/search?q=site%3Aipsantarem.pt%20Vendas%20de%20Produtos%20e%20Servi&#231;os%20do%20Desporto%20CTeSP" TargetMode="External"/><Relationship Id="rId5730" Type="http://schemas.openxmlformats.org/officeDocument/2006/relationships/hyperlink" Target="https://www.google.com/search?q=site%3Auac.pt%20Ensino%20de%20Portugu&#234;s%20e%20de%20Ingl&#234;s%20no%203.&#186;%20Ciclo%20do%20Ensino%20B&#225;sico%20e%20no%20Ensino%20Secund&#225;rio%20mestrado" TargetMode="External"/><Relationship Id="rId1926" Type="http://schemas.openxmlformats.org/officeDocument/2006/relationships/hyperlink" Target="https://www.google.com/search?q=site%3Acespu.pt%20Enfermagem%20licenciatura" TargetMode="External"/><Relationship Id="rId3281" Type="http://schemas.openxmlformats.org/officeDocument/2006/relationships/hyperlink" Target="https://www.google.com/search?q=site%3Aucp.pt%20Economia%20mestrado" TargetMode="External"/><Relationship Id="rId4332" Type="http://schemas.openxmlformats.org/officeDocument/2006/relationships/hyperlink" Target="https://www.google.com/search?q=site%3Auc.pt%20Antropologia%20Forense%20mestrado" TargetMode="External"/><Relationship Id="rId3001" Type="http://schemas.openxmlformats.org/officeDocument/2006/relationships/hyperlink" Target="https://www.google.com/search?q=site%3Aiscet.pt%20Gest&#227;o%20Hoteleira%20e%20Alojamento%20CTeSP" TargetMode="External"/><Relationship Id="rId2767" Type="http://schemas.openxmlformats.org/officeDocument/2006/relationships/hyperlink" Target="https://www.google.com/search?q=site%3Aipp.pt%20Patrim&#243;nio%2C%20Artes%20e%20Turismo%20Cultural%20mestrado" TargetMode="External"/><Relationship Id="rId5173" Type="http://schemas.openxmlformats.org/officeDocument/2006/relationships/hyperlink" Target="https://www.google.com/search?q=site%3Auevora.pt%20An&#225;lises%20Qu&#237;micas%20Ambientais%20mestrado" TargetMode="External"/><Relationship Id="rId739" Type="http://schemas.openxmlformats.org/officeDocument/2006/relationships/hyperlink" Target="https://www.google.com/search?q=site%3Aipg.pt%20Produ&#231;&#227;o%20Audiovisual%20CTeSP" TargetMode="External"/><Relationship Id="rId1369" Type="http://schemas.openxmlformats.org/officeDocument/2006/relationships/hyperlink" Target="https://www.google.com/search?q=site%3Aipc.pt%20Patologia%20Digital%20p&#243;s-gradua&#231;&#227;o" TargetMode="External"/><Relationship Id="rId3818" Type="http://schemas.openxmlformats.org/officeDocument/2006/relationships/hyperlink" Target="https://www.google.com/search?q=site%3Aunl.pt%20Direito%20licenciatura" TargetMode="External"/><Relationship Id="rId5240" Type="http://schemas.openxmlformats.org/officeDocument/2006/relationships/hyperlink" Target="https://www.google.com/search?q=site%3Auevora.pt%20Reabilita&#231;&#227;o%20e%20Conserva&#231;&#227;o%20do%20Edificado%20%5BCA%5D%20p&#243;s-gradua&#231;&#227;o" TargetMode="External"/><Relationship Id="rId1783" Type="http://schemas.openxmlformats.org/officeDocument/2006/relationships/hyperlink" Target="https://www.google.com/search?q=site%3Aipportalegre.pt%20Desporto%20licenciatura" TargetMode="External"/><Relationship Id="rId2834" Type="http://schemas.openxmlformats.org/officeDocument/2006/relationships/hyperlink" Target="https://www.google.com/search?q=site%3Aipp.pt%20Sommelier%20de%20Cervejas%20p&#243;s-gradua&#231;&#227;o" TargetMode="External"/><Relationship Id="rId75" Type="http://schemas.openxmlformats.org/officeDocument/2006/relationships/hyperlink" Target="https://www.google.com/search?q=site%3Aesad.pt%20Joalharia%20CTeSP" TargetMode="External"/><Relationship Id="rId806" Type="http://schemas.openxmlformats.org/officeDocument/2006/relationships/hyperlink" Target="https://www.google.com/search?q=site%3Aipluso.pt%20Acompanhamento%20de%20Crian&#231;as%20e%20Jovens%20CTeSP" TargetMode="External"/><Relationship Id="rId1436" Type="http://schemas.openxmlformats.org/officeDocument/2006/relationships/hyperlink" Target="https://www.google.com/search?q=site%3Aipleiria.pt%20Termalismo%20e%20Bem-Estar%20CTeSP" TargetMode="External"/><Relationship Id="rId1850" Type="http://schemas.openxmlformats.org/officeDocument/2006/relationships/hyperlink" Target="https://www.google.com/search?q=site%3Aipsantarem.pt%20Restaura&#231;&#227;o%20e%20Seguran&#231;a%20Alimentar%20CTeSP" TargetMode="External"/><Relationship Id="rId2901" Type="http://schemas.openxmlformats.org/officeDocument/2006/relationships/hyperlink" Target="https://www.google.com/search?q=site%3Aismat.pt%20Gest&#227;o%20do%20Turismo%20licenciatura" TargetMode="External"/><Relationship Id="rId1503" Type="http://schemas.openxmlformats.org/officeDocument/2006/relationships/hyperlink" Target="https://www.google.com/search?q=site%3Aipleiria.pt%20Ci&#234;ncia%20de%20Dados%20mestrado" TargetMode="External"/><Relationship Id="rId4659" Type="http://schemas.openxmlformats.org/officeDocument/2006/relationships/hyperlink" Target="https://www.google.com/search?q=site%3Aulisboa.pt%20Desenho%20mestrado" TargetMode="External"/><Relationship Id="rId3675" Type="http://schemas.openxmlformats.org/officeDocument/2006/relationships/hyperlink" Target="https://www.google.com/search?q=site%3Alusofona.pt%20Design%20e%20Produ&#231;&#227;o%20de%20Moda%20licenciatura" TargetMode="External"/><Relationship Id="rId4726" Type="http://schemas.openxmlformats.org/officeDocument/2006/relationships/hyperlink" Target="https://www.google.com/search?q=site%3Aulisboa.pt%20Ensino%20de%20Biologia%20e%20Geologia%20no%203.&#186;%20Ciclo%20do%20Ensino%20B&#225;sico%20e%20no%20Ensino%20Secund&#225;rio%20mestrado" TargetMode="External"/><Relationship Id="rId596" Type="http://schemas.openxmlformats.org/officeDocument/2006/relationships/hyperlink" Target="https://www.google.com/search?q=site%3Aisla.pt%20Gest&#227;o%20de%20Recursos%20Humanos%20licenciatura" TargetMode="External"/><Relationship Id="rId2277" Type="http://schemas.openxmlformats.org/officeDocument/2006/relationships/hyperlink" Target="https://www.google.com/search?q=site%3Aipvc.pt%20Tecnologia%20e%20Gest&#227;o%20de%20Sistemas%20de%20Informa&#231;&#227;o%20mestrado" TargetMode="External"/><Relationship Id="rId2691" Type="http://schemas.openxmlformats.org/officeDocument/2006/relationships/hyperlink" Target="https://www.google.com/search?q=site%3Aipp.pt%20Tradu&#231;&#227;o%20e%20Interpreta&#231;&#227;o%20em%20L&#237;ngua%20Gestual%20Portuguesa%20licenciatura" TargetMode="External"/><Relationship Id="rId3328" Type="http://schemas.openxmlformats.org/officeDocument/2006/relationships/hyperlink" Target="https://www.google.com/search?q=site%3Aucp.pt%20Psicologia%20mestrado" TargetMode="External"/><Relationship Id="rId3742" Type="http://schemas.openxmlformats.org/officeDocument/2006/relationships/hyperlink" Target="https://www.google.com/search?q=site%3Alusofona.pt%20Gest&#227;o%20e%20Inova&#231;&#227;o%20em%20Turismo%20e%20Hospitalidade%20%28regime%20de%20ensino%20a%20dist&#226;ncia%29%20mestrado" TargetMode="External"/><Relationship Id="rId249" Type="http://schemas.openxmlformats.org/officeDocument/2006/relationships/hyperlink" Target="https://www.google.com/search?q=site%3Aegasmoniz.edu.pt%20Endodontia%20Cl&#237;nica%20Internacional%20p&#243;s-gradua&#231;&#227;o" TargetMode="External"/><Relationship Id="rId663" Type="http://schemas.openxmlformats.org/officeDocument/2006/relationships/hyperlink" Target="https://www.google.com/search?q=site%3Aistec.pt%20MBA%20Executivo%20p&#243;s-gradua&#231;&#227;o%20executiva" TargetMode="External"/><Relationship Id="rId1293" Type="http://schemas.openxmlformats.org/officeDocument/2006/relationships/hyperlink" Target="https://www.google.com/search?q=site%3Aipc.pt%20Auditoria%20Empresarial%20e%20P&#250;blica%20mestrado" TargetMode="External"/><Relationship Id="rId2344" Type="http://schemas.openxmlformats.org/officeDocument/2006/relationships/hyperlink" Target="https://www.google.com/search?q=site%3Aipv.pt%20Educa&#231;&#227;o%20B&#225;sica%20licenciatura" TargetMode="External"/><Relationship Id="rId316" Type="http://schemas.openxmlformats.org/officeDocument/2006/relationships/hyperlink" Target="https://www.google.com/search?q=site%3Aesscvp.eu%20Enfermagem%20em%20Viabilidade%20Tecidular%20e%20Feridas%20p&#243;s-gradua&#231;&#227;o" TargetMode="External"/><Relationship Id="rId730" Type="http://schemas.openxmlformats.org/officeDocument/2006/relationships/hyperlink" Target="https://www.google.com/search?q=site%3Aipg.pt%20Gest&#227;o%20e%20Inova&#231;&#227;o%20de%20Produtos%20End&#243;genos%20CTeSP" TargetMode="External"/><Relationship Id="rId1013" Type="http://schemas.openxmlformats.org/officeDocument/2006/relationships/hyperlink" Target="https://www.google.com/search?q=site%3Aipb.pt%20Engenharia%20de%20Energias%20Renov&#225;veis%20licenciatura" TargetMode="External"/><Relationship Id="rId1360" Type="http://schemas.openxmlformats.org/officeDocument/2006/relationships/hyperlink" Target="https://www.google.com/search?q=site%3Aipc.pt%20Gest&#227;o%20de%20Servi&#231;os%20de%20Desporto%20Aut&#225;rquico%20p&#243;s-gradua&#231;&#227;o" TargetMode="External"/><Relationship Id="rId2411" Type="http://schemas.openxmlformats.org/officeDocument/2006/relationships/hyperlink" Target="https://www.google.com/search?q=site%3Aipv.pt%20Gest&#227;o%20Tur&#237;stica%20p&#243;s-gradua&#231;&#227;o" TargetMode="External"/><Relationship Id="rId4169" Type="http://schemas.openxmlformats.org/officeDocument/2006/relationships/hyperlink" Target="https://www.google.com/search?q=site%3Aismai.pt%20Inform&#225;tica%20licenciatura" TargetMode="External"/><Relationship Id="rId5567" Type="http://schemas.openxmlformats.org/officeDocument/2006/relationships/hyperlink" Target="https://www.google.com/search?q=site%3Aup.pt%20Ensino%20de%20F&#237;sica%20e%20de%20Qu&#237;mica%20no%203.&#186;%20Ciclo%20do%20Ensino%20B&#225;sico%20e%20no%20Ensino%20Secund&#225;rio%20mestrado" TargetMode="External"/><Relationship Id="rId4583" Type="http://schemas.openxmlformats.org/officeDocument/2006/relationships/hyperlink" Target="https://www.google.com/search?q=site%3Aulisboa.pt%20Filosofia%20licenciatura" TargetMode="External"/><Relationship Id="rId5634" Type="http://schemas.openxmlformats.org/officeDocument/2006/relationships/hyperlink" Target="https://www.google.com/search?q=site%3Aup.pt%20Oncologia%20mestrado" TargetMode="External"/><Relationship Id="rId3185" Type="http://schemas.openxmlformats.org/officeDocument/2006/relationships/hyperlink" Target="https://www.google.com/search?q=site%3Auab.pt%20Tecnologias%20e%20Sistemas%20Inform&#225;ticos%20Web%20mestrado" TargetMode="External"/><Relationship Id="rId4236" Type="http://schemas.openxmlformats.org/officeDocument/2006/relationships/hyperlink" Target="https://www.google.com/search?q=site%3Aua.pt%20Fisioterapia%20licenciatura" TargetMode="External"/><Relationship Id="rId4650" Type="http://schemas.openxmlformats.org/officeDocument/2006/relationships/hyperlink" Target="https://www.google.com/search?q=site%3Aulisboa.pt%20Conserva&#231;&#227;o%20da%20Arte%20Moderna%20e%20Comtempor&#226;nea%20mestrado" TargetMode="External"/><Relationship Id="rId5701" Type="http://schemas.openxmlformats.org/officeDocument/2006/relationships/hyperlink" Target="https://www.google.com/search?q=site%3Auac.pt%20Guias%20de%20Natureza%20e%20Patrim&#243;nio%20licenciatura" TargetMode="External"/><Relationship Id="rId3252" Type="http://schemas.openxmlformats.org/officeDocument/2006/relationships/hyperlink" Target="https://www.google.com/search?q=site%3Aucp.pt%20Neuroci&#234;ncia%20de%20Sistemas%20e%20Cognitiva%20%28Systems%20and%20Cognitive%20Neuroscience%29%20licenciatura" TargetMode="External"/><Relationship Id="rId4303" Type="http://schemas.openxmlformats.org/officeDocument/2006/relationships/hyperlink" Target="https://www.google.com/search?q=site%3Auc.pt%20Estudos%20Europeus%20licenciatura" TargetMode="External"/><Relationship Id="rId173" Type="http://schemas.openxmlformats.org/officeDocument/2006/relationships/hyperlink" Target="https://www.google.com/search?q=site%3Aesenf.pt%20Enfermagem%20de%20Sa&#250;de%20Materna%20e%20Obst&#233;trica%20p&#243;s-gradua&#231;&#227;o" TargetMode="External"/><Relationship Id="rId240" Type="http://schemas.openxmlformats.org/officeDocument/2006/relationships/hyperlink" Target="https://www.google.com/search?q=site%3Aegasmoniz.edu.pt%20Tecnologias%20Laboratoriais%20em%20Ci&#234;ncias%20Forenses%20%28Erasmus%20Mundus%29%20mestrado" TargetMode="External"/><Relationship Id="rId5077" Type="http://schemas.openxmlformats.org/officeDocument/2006/relationships/hyperlink" Target="https://www.google.com/search?q=site%3Autad.pt%20Ci&#234;ncias%20da%20Educa&#231;&#227;o%20mestrado" TargetMode="External"/><Relationship Id="rId4093" Type="http://schemas.openxmlformats.org/officeDocument/2006/relationships/hyperlink" Target="https://www.google.com/search?q=site%3Aupt.pt%20Gest&#227;o%20e%20Administra&#231;&#227;o%20em%20Sa&#250;de%20licenciatura" TargetMode="External"/><Relationship Id="rId5144" Type="http://schemas.openxmlformats.org/officeDocument/2006/relationships/hyperlink" Target="https://www.google.com/search?q=site%3Auevora.pt%20Biologia%20licenciatura" TargetMode="External"/><Relationship Id="rId5491" Type="http://schemas.openxmlformats.org/officeDocument/2006/relationships/hyperlink" Target="https://www.google.com/search?q=site%3Aup.pt%20Biologia%20Funcional%20e%20Biotecnologia%20de%20Plantas%20mestrado" TargetMode="External"/><Relationship Id="rId1687" Type="http://schemas.openxmlformats.org/officeDocument/2006/relationships/hyperlink" Target="https://www.google.com/search?q=site%3Aipl.pt%20Ensino%20de%20Dan&#231;a%20mestrado" TargetMode="External"/><Relationship Id="rId2738" Type="http://schemas.openxmlformats.org/officeDocument/2006/relationships/hyperlink" Target="https://www.google.com/search?q=site%3Aipp.pt%20Ensino%20de%20M&#250;sica%20mestrado" TargetMode="External"/><Relationship Id="rId1754" Type="http://schemas.openxmlformats.org/officeDocument/2006/relationships/hyperlink" Target="https://www.google.com/search?q=site%3Aipportalegre.pt%20Contabilidade%20CTeSP" TargetMode="External"/><Relationship Id="rId2805" Type="http://schemas.openxmlformats.org/officeDocument/2006/relationships/hyperlink" Target="https://www.google.com/search?q=site%3Aipp.pt%20Gest&#227;o%20Integrada%20de%20Emerg&#234;ncias%3A%20Safety%20%26%20Security%20p&#243;s-gradua&#231;&#227;o" TargetMode="External"/><Relationship Id="rId4160" Type="http://schemas.openxmlformats.org/officeDocument/2006/relationships/hyperlink" Target="https://www.google.com/search?q=site%3Aismai.pt%20Arte%20Multim&#233;dia%20licenciatura" TargetMode="External"/><Relationship Id="rId5211" Type="http://schemas.openxmlformats.org/officeDocument/2006/relationships/hyperlink" Target="https://www.google.com/search?q=site%3Auevora.pt%20Teatro%20mestrado" TargetMode="External"/><Relationship Id="rId46" Type="http://schemas.openxmlformats.org/officeDocument/2006/relationships/hyperlink" Target="https://www.google.com/search?q=site%3Aesap.pt%20Banda%20Desenhada%20e%20Narrativas%20Gr&#225;ficas%20licenciatura" TargetMode="External"/><Relationship Id="rId1407" Type="http://schemas.openxmlformats.org/officeDocument/2006/relationships/hyperlink" Target="https://www.google.com/search?q=site%3Aipleiria.pt%20Interven&#231;&#227;o%20Social%20e%20Comunit&#225;ria%20CTeSP" TargetMode="External"/><Relationship Id="rId1821" Type="http://schemas.openxmlformats.org/officeDocument/2006/relationships/hyperlink" Target="https://www.google.com/search?q=site%3Aipportalegre.pt%20Gest&#227;o%20em%20Sa&#250;de%20p&#243;s-gradua&#231;&#227;o" TargetMode="External"/><Relationship Id="rId4977" Type="http://schemas.openxmlformats.org/officeDocument/2006/relationships/hyperlink" Target="https://www.google.com/search?q=site%3Aulisboa.pt%20Medicina%20Humanit&#225;ria%2C%20de%20Conflito%20e%20de%20Cat&#225;strofe%20p&#243;s-gradua&#231;&#227;o" TargetMode="External"/><Relationship Id="rId3579" Type="http://schemas.openxmlformats.org/officeDocument/2006/relationships/hyperlink" Target="https://www.google.com/search?q=site%3Aulusiada.pt%20Engenharia%20e%20Gest&#227;o%20Industrial%20licenciatura" TargetMode="External"/><Relationship Id="rId2595" Type="http://schemas.openxmlformats.org/officeDocument/2006/relationships/hyperlink" Target="https://www.google.com/search?q=site%3Aipp.pt%20Motion%20Design%20e%20Efeitos%20Visuais%20CTeSP" TargetMode="External"/><Relationship Id="rId3993" Type="http://schemas.openxmlformats.org/officeDocument/2006/relationships/hyperlink" Target="https://www.google.com/search?q=site%3Aunl.pt%20Portugu&#234;s%20como%20L&#237;ngua%20Segunda%20e%20Estrangeira%20mestrado" TargetMode="External"/><Relationship Id="rId567" Type="http://schemas.openxmlformats.org/officeDocument/2006/relationships/hyperlink" Target="https://www.google.com/search?q=site%3Aiseclisboa.pt%20Gest&#227;o%20Integrada%20dos%20Servi&#231;os%20de%20Sa&#250;de%20mestrado" TargetMode="External"/><Relationship Id="rId1197" Type="http://schemas.openxmlformats.org/officeDocument/2006/relationships/hyperlink" Target="https://www.google.com/search?q=site%3Aipcb.pt%20Prote&#231;&#227;o%20Civil%20%28UAb/IPCB%29%20p&#243;s-gradua&#231;&#227;o" TargetMode="External"/><Relationship Id="rId2248" Type="http://schemas.openxmlformats.org/officeDocument/2006/relationships/hyperlink" Target="https://www.google.com/search?q=site%3Aipvc.pt%20Eletr&#243;nica%20e%20Eletrifica&#231;&#227;o%20Autom&#243;vel%20mestrado" TargetMode="External"/><Relationship Id="rId3646" Type="http://schemas.openxmlformats.org/officeDocument/2006/relationships/hyperlink" Target="https://www.google.com/search?q=site%3Alusofona.pt%20Anima&#231;&#227;o%20Digital%20licenciatura" TargetMode="External"/><Relationship Id="rId981" Type="http://schemas.openxmlformats.org/officeDocument/2006/relationships/hyperlink" Target="https://www.google.com/search?q=site%3Aipb.pt%20Servi&#231;o%20Social%20e%20Desenvolvimento%20Comunit&#225;rio%20CTeSP" TargetMode="External"/><Relationship Id="rId2662" Type="http://schemas.openxmlformats.org/officeDocument/2006/relationships/hyperlink" Target="https://www.google.com/search?q=site%3Aipp.pt%20Imagem%20M&#233;dica%20e%20Radioterapia%20licenciatura" TargetMode="External"/><Relationship Id="rId3713" Type="http://schemas.openxmlformats.org/officeDocument/2006/relationships/hyperlink" Target="https://www.google.com/search?q=site%3Alusofona.pt%20Bioqu&#237;mica%20Aplicada%20mestrado" TargetMode="External"/><Relationship Id="rId634" Type="http://schemas.openxmlformats.org/officeDocument/2006/relationships/hyperlink" Target="https://www.google.com/search?q=site%3Aispa.pt%20Psicologia%20Social%20e%20das%20Organiza&#231;&#245;es%20mestrado" TargetMode="External"/><Relationship Id="rId1264" Type="http://schemas.openxmlformats.org/officeDocument/2006/relationships/hyperlink" Target="https://www.google.com/search?q=site%3Aipc.pt%20Finan&#231;as%20e%20Contabilidade%20licenciatura" TargetMode="External"/><Relationship Id="rId2315" Type="http://schemas.openxmlformats.org/officeDocument/2006/relationships/hyperlink" Target="https://www.google.com/search?q=site%3Aipv.pt%20Gest&#227;o%20da%20Seguran&#231;a%20no%20Trabalho%20e%20do%20Ambiente%20CTeSP" TargetMode="External"/><Relationship Id="rId701" Type="http://schemas.openxmlformats.org/officeDocument/2006/relationships/hyperlink" Target="https://www.google.com/search?q=site%3Aiees.pt%20Python%20e%20Ci&#234;ncia%20de%20Dados%20p&#243;s-gradua&#231;&#227;o" TargetMode="External"/><Relationship Id="rId1331" Type="http://schemas.openxmlformats.org/officeDocument/2006/relationships/hyperlink" Target="https://www.google.com/search?q=site%3Aipc.pt%20Marketing%20e%20Comunica&#231;&#227;o%20mestrado" TargetMode="External"/><Relationship Id="rId4487" Type="http://schemas.openxmlformats.org/officeDocument/2006/relationships/hyperlink" Target="https://www.google.com/search?q=site%3Auc.pt%20Tecnologias%20de%20Informa&#231;&#227;o%20Geogr&#225;fica%20-%20TIG%20mestrado" TargetMode="External"/><Relationship Id="rId5538" Type="http://schemas.openxmlformats.org/officeDocument/2006/relationships/hyperlink" Target="https://www.google.com/search?q=site%3Aup.pt%20Educa&#231;&#227;o%20e%20Forma&#231;&#227;o%20de%20Adultos%20mestrado" TargetMode="External"/><Relationship Id="rId3089" Type="http://schemas.openxmlformats.org/officeDocument/2006/relationships/hyperlink" Target="https://www.google.com/search?q=site%3Aisssp.pt%20Interven&#231;&#227;o%20Social%20na%20Inf&#226;ncia%20e%20Juventude%20em%20Risco%20de%20Exclus&#227;o%20Social%20mestrado" TargetMode="External"/><Relationship Id="rId4554" Type="http://schemas.openxmlformats.org/officeDocument/2006/relationships/hyperlink" Target="https://www.google.com/search?q=site%3Aulisboa.pt%20Engenharia%20F&#237;sica%20licenciatura" TargetMode="External"/><Relationship Id="rId5605" Type="http://schemas.openxmlformats.org/officeDocument/2006/relationships/hyperlink" Target="https://www.google.com/search?q=site%3Aup.pt%20Hist&#243;ria%20Contempor&#226;nea%20mestrado" TargetMode="External"/><Relationship Id="rId3156" Type="http://schemas.openxmlformats.org/officeDocument/2006/relationships/hyperlink" Target="https://www.google.com/search?q=site%3Auab.pt%20Gest&#227;o%20licenciatura" TargetMode="External"/><Relationship Id="rId4207" Type="http://schemas.openxmlformats.org/officeDocument/2006/relationships/hyperlink" Target="https://www.google.com/search?q=site%3Aua.pt%20Desenvolvimento%20de%20Software%20CTeSP" TargetMode="External"/><Relationship Id="rId491" Type="http://schemas.openxmlformats.org/officeDocument/2006/relationships/hyperlink" Target="https://www.google.com/search?q=site%3Aisec.pt%20Prote&#231;&#227;o%20Civil%20CTeSP" TargetMode="External"/><Relationship Id="rId2172" Type="http://schemas.openxmlformats.org/officeDocument/2006/relationships/hyperlink" Target="https://www.google.com/search?q=site%3Aipvc.pt%20Gest&#227;o%20de%20PME%20CTeSP" TargetMode="External"/><Relationship Id="rId3223" Type="http://schemas.openxmlformats.org/officeDocument/2006/relationships/hyperlink" Target="https://www.google.com/search?q=site%3Aucp.pt%20Arte%20&#8211;%20Conserva&#231;&#227;o%20e%20Restauro%20licenciatura" TargetMode="External"/><Relationship Id="rId3570" Type="http://schemas.openxmlformats.org/officeDocument/2006/relationships/hyperlink" Target="https://www.google.com/search?q=site%3Aulusiada.pt%20Contabilidade%20licenciatura" TargetMode="External"/><Relationship Id="rId4621" Type="http://schemas.openxmlformats.org/officeDocument/2006/relationships/hyperlink" Target="https://www.google.com/search?q=site%3Aulisboa.pt%20Bioengenharia%20e%20Nanossistemas%20mestrado" TargetMode="External"/><Relationship Id="rId144" Type="http://schemas.openxmlformats.org/officeDocument/2006/relationships/hyperlink" Target="https://www.google.com/search?q=site%3Aesenfc.pt%20Enfermagem%20em%20Emerg&#234;ncia%20e%20Trauma%20&#8211;%2018.&#170;%20edi&#231;&#227;o%20p&#243;s-gradua&#231;&#227;o" TargetMode="External"/><Relationship Id="rId2989" Type="http://schemas.openxmlformats.org/officeDocument/2006/relationships/hyperlink" Target="https://www.google.com/search?q=site%3Aisced.pt%20Desenvolvimento%20Web%20e%20Aplica&#231;&#245;es%20Multim&#233;dia%20p&#243;s-gradua&#231;&#227;o" TargetMode="External"/><Relationship Id="rId5395" Type="http://schemas.openxmlformats.org/officeDocument/2006/relationships/hyperlink" Target="https://www.google.com/search?q=site%3Aualg.pt%20Avan&#231;os%20Cient&#237;ficos%20em%20Ciclo%20Urbano%20da%20&#193;gua%20p&#243;s-gradua&#231;&#227;o" TargetMode="External"/><Relationship Id="rId211" Type="http://schemas.openxmlformats.org/officeDocument/2006/relationships/hyperlink" Target="https://www.google.com/search?q=site%3Aegasmoniz.edu.pt%20An&#225;lises%20Qu&#237;micas%20e%20Bioqu&#237;micas%20CTeSP" TargetMode="External"/><Relationship Id="rId5048" Type="http://schemas.openxmlformats.org/officeDocument/2006/relationships/hyperlink" Target="https://www.google.com/search?q=site%3Autad.pt%20Enologia%20licenciatura" TargetMode="External"/><Relationship Id="rId5462" Type="http://schemas.openxmlformats.org/officeDocument/2006/relationships/hyperlink" Target="https://www.google.com/search?q=site%3Aup.pt%20L&#237;nguas%2C%20Literaturas%20e%20Culturas%20licenciatura" TargetMode="External"/><Relationship Id="rId1658" Type="http://schemas.openxmlformats.org/officeDocument/2006/relationships/hyperlink" Target="https://www.google.com/search?q=site%3Aipl.pt%20Tecnologias%20e%20Gest&#227;o%20Municipal%20licenciatura" TargetMode="External"/><Relationship Id="rId2709" Type="http://schemas.openxmlformats.org/officeDocument/2006/relationships/hyperlink" Target="https://www.google.com/search?q=site%3Aipp.pt%20Contabilidade%20e%20Finan&#231;as%20mestrado" TargetMode="External"/><Relationship Id="rId4064" Type="http://schemas.openxmlformats.org/officeDocument/2006/relationships/hyperlink" Target="https://www.google.com/search?q=site%3Aunl.pt%20Gest&#227;o%20de%20Organiza&#231;&#245;es%20de%20Sa&#250;de%20&#8211;%20P&#243;s&#8209;Gradua&#231;&#227;o%20Online%20p&#243;s-gradua&#231;&#227;o" TargetMode="External"/><Relationship Id="rId5115" Type="http://schemas.openxmlformats.org/officeDocument/2006/relationships/hyperlink" Target="https://www.google.com/search?q=site%3Autad.pt%20Geoci&#234;ncias%20Aplicadas%20mestrado" TargetMode="External"/><Relationship Id="rId3080" Type="http://schemas.openxmlformats.org/officeDocument/2006/relationships/hyperlink" Target="https://www.google.com/search?q=site%3Aisg.pt%20P&#243;s&#8209;Gradua&#231;&#227;o%20em%20Gest&#227;o%20Financeira%20p&#243;s-gradua&#231;&#227;o" TargetMode="External"/><Relationship Id="rId4131" Type="http://schemas.openxmlformats.org/officeDocument/2006/relationships/hyperlink" Target="https://www.google.com/search?q=site%3Aubi.pt%20Design%20de%20Moda%20licenciatura" TargetMode="External"/><Relationship Id="rId1725" Type="http://schemas.openxmlformats.org/officeDocument/2006/relationships/hyperlink" Target="https://www.google.com/search?q=site%3Aipl.pt%20Educa&#231;&#227;o%20Digital%20p&#243;s-gradua&#231;&#227;o" TargetMode="External"/><Relationship Id="rId17" Type="http://schemas.openxmlformats.org/officeDocument/2006/relationships/hyperlink" Target="https://www.google.com/search?q=site%3Auatlantica.pt%20Seguran&#231;a%20e%20Prote&#231;&#227;o%20Civil%20mestrado" TargetMode="External"/><Relationship Id="rId3897" Type="http://schemas.openxmlformats.org/officeDocument/2006/relationships/hyperlink" Target="https://www.google.com/search?q=site%3Aunl.pt%20Economia%20mestrado" TargetMode="External"/><Relationship Id="rId4948" Type="http://schemas.openxmlformats.org/officeDocument/2006/relationships/hyperlink" Target="https://www.google.com/search?q=site%3Aulisboa.pt%20Geoeconomia%20p&#243;s-gradua&#231;&#227;o" TargetMode="External"/><Relationship Id="rId2499" Type="http://schemas.openxmlformats.org/officeDocument/2006/relationships/hyperlink" Target="https://www.google.com/search?q=site%3Aipca.pt%20Design%20e%20Desenvolvimento%20do%20Produto%20mestrado" TargetMode="External"/><Relationship Id="rId3964" Type="http://schemas.openxmlformats.org/officeDocument/2006/relationships/hyperlink" Target="https://www.google.com/search?q=site%3Aunl.pt%20Inova&#231;&#227;o%20e%20Empreendedorismo%20baseados%20em%20Dados%20mestrado" TargetMode="External"/><Relationship Id="rId1" Type="http://schemas.openxmlformats.org/officeDocument/2006/relationships/hyperlink" Target="https://www.google.com/search?q=site%3Auatlantica.pt%20Ci&#234;ncias%20da%20Nutri&#231;&#227;o%20licenciatura" TargetMode="External"/><Relationship Id="rId885" Type="http://schemas.openxmlformats.org/officeDocument/2006/relationships/hyperlink" Target="https://www.google.com/search?q=site%3Aipbeja.pt%20Psicogerontologia%20CTeSP" TargetMode="External"/><Relationship Id="rId2566" Type="http://schemas.openxmlformats.org/officeDocument/2006/relationships/hyperlink" Target="https://www.google.com/search?q=site%3Aipp.pt%20Artes%20e%20Design%20em%20Cer&#226;mica%20e%20Vidro%20CTeSP" TargetMode="External"/><Relationship Id="rId2980" Type="http://schemas.openxmlformats.org/officeDocument/2006/relationships/hyperlink" Target="https://www.google.com/search?q=site%3Aisced.pt%20Enfermagem%20mestrado" TargetMode="External"/><Relationship Id="rId3617" Type="http://schemas.openxmlformats.org/officeDocument/2006/relationships/hyperlink" Target="https://www.google.com/search?q=site%3Aulusiada.pt%20Cl&#237;nica%20Integrada%20Odontopedi&#225;trica%20&#8211;%2021.&#170;%20edi&#231;&#227;o%20p&#243;s-gradua&#231;&#227;o" TargetMode="External"/><Relationship Id="rId538" Type="http://schemas.openxmlformats.org/officeDocument/2006/relationships/hyperlink" Target="https://www.google.com/search?q=site%3Aiseclisboa.pt%20Marketing%20Digital%20CTeSP" TargetMode="External"/><Relationship Id="rId952" Type="http://schemas.openxmlformats.org/officeDocument/2006/relationships/hyperlink" Target="https://www.google.com/search?q=site%3Aipb.pt%20Defesa%20da%20Floresta%20Contra%20Inc&#234;ndios%20CTeSP" TargetMode="External"/><Relationship Id="rId1168" Type="http://schemas.openxmlformats.org/officeDocument/2006/relationships/hyperlink" Target="https://www.google.com/search?q=site%3Aipcb.pt%20Design%20do%20Vestu&#225;rio%20e%20T&#234;xtil%20mestrado" TargetMode="External"/><Relationship Id="rId1582" Type="http://schemas.openxmlformats.org/officeDocument/2006/relationships/hyperlink" Target="https://www.google.com/search?q=site%3Aipleiria.pt%20Dire&#231;&#227;o%20de%20Bandas%20e%20Ensembles%20de%20Sopros%20p&#243;s-gradua&#231;&#227;o" TargetMode="External"/><Relationship Id="rId2219" Type="http://schemas.openxmlformats.org/officeDocument/2006/relationships/hyperlink" Target="https://www.google.com/search?q=site%3Aipvc.pt%20Engenharia%20Inform&#225;tica%20licenciatura" TargetMode="External"/><Relationship Id="rId2633" Type="http://schemas.openxmlformats.org/officeDocument/2006/relationships/hyperlink" Target="https://www.google.com/search?q=site%3Aipp.pt%20Desporto%20licenciatura" TargetMode="External"/><Relationship Id="rId5789" Type="http://schemas.openxmlformats.org/officeDocument/2006/relationships/hyperlink" Target="https://www.google.com/search?q=site%3Aium.pt%20Medicina%20%28grau%20pela%20FCM-UNL%29%20mestrado%20integrado" TargetMode="External"/><Relationship Id="rId605" Type="http://schemas.openxmlformats.org/officeDocument/2006/relationships/hyperlink" Target="https://www.google.com/search?q=site%3Aisla.pt%20Entrepreneurship%3A%20Tech%20Startups%20p&#243;s-gradua&#231;&#227;o" TargetMode="External"/><Relationship Id="rId1235" Type="http://schemas.openxmlformats.org/officeDocument/2006/relationships/hyperlink" Target="https://www.google.com/search?q=site%3Aipc.pt%20Vitivinicultura%20Sustent&#225;vel%20CTeSP" TargetMode="External"/><Relationship Id="rId1302" Type="http://schemas.openxmlformats.org/officeDocument/2006/relationships/hyperlink" Target="https://www.google.com/search?q=site%3Aipc.pt%20Desenvolvimento%20Sustent&#225;vel%20mestrado" TargetMode="External"/><Relationship Id="rId2700" Type="http://schemas.openxmlformats.org/officeDocument/2006/relationships/hyperlink" Target="https://www.google.com/search?q=site%3Aipp.pt%20Assessoria%20em%20Comunica&#231;&#227;o%20Digital%20mestrado" TargetMode="External"/><Relationship Id="rId4458" Type="http://schemas.openxmlformats.org/officeDocument/2006/relationships/hyperlink" Target="https://www.google.com/search?q=site%3Auc.pt%20Patrim&#243;nio%20Europeu%2C%20Multim&#233;dia%20e%20Sociedade%20de%20Informa&#231;&#227;o%20mestrado" TargetMode="External"/><Relationship Id="rId4872" Type="http://schemas.openxmlformats.org/officeDocument/2006/relationships/hyperlink" Target="https://www.google.com/search?q=site%3Aulisboa.pt%20Engenharia%20Mec&#226;nica%20mestrado%20integrado" TargetMode="External"/><Relationship Id="rId5509" Type="http://schemas.openxmlformats.org/officeDocument/2006/relationships/hyperlink" Target="https://www.google.com/search?q=site%3Aup.pt%20Ci&#234;ncias%20e%20Tecnologia%20do%20Ambiente%20mestrado" TargetMode="External"/><Relationship Id="rId395" Type="http://schemas.openxmlformats.org/officeDocument/2006/relationships/hyperlink" Target="https://www.google.com/search?q=site%3Aisave.pt%20Termalismo%20e%20Bem-Estar%20CTeSP" TargetMode="External"/><Relationship Id="rId2076" Type="http://schemas.openxmlformats.org/officeDocument/2006/relationships/hyperlink" Target="https://www.google.com/search?q=site%3Aipt.pt%20Contabilidade%20e%20Gest&#227;o%20CTeSP" TargetMode="External"/><Relationship Id="rId3474" Type="http://schemas.openxmlformats.org/officeDocument/2006/relationships/hyperlink" Target="https://www.google.com/search?q=site%3Aeuropeia.pt%20Sistemas%20de%20Informa&#231;&#227;o%20para%20a%20Gest&#227;o%20mestrado" TargetMode="External"/><Relationship Id="rId4525" Type="http://schemas.openxmlformats.org/officeDocument/2006/relationships/hyperlink" Target="https://www.google.com/search?q=site%3Aulisboa.pt%20Ci&#234;ncia%20Pol&#237;tica%20licenciatura" TargetMode="External"/><Relationship Id="rId2490" Type="http://schemas.openxmlformats.org/officeDocument/2006/relationships/hyperlink" Target="https://www.google.com/search?q=site%3Aipca.pt%20Gest&#227;o%20P&#250;blica%20licenciatura" TargetMode="External"/><Relationship Id="rId3127" Type="http://schemas.openxmlformats.org/officeDocument/2006/relationships/hyperlink" Target="https://www.google.com/search?q=site%3Acespu.pt%20Fisiologia%20e%20Exerc&#237;cio%20Cl&#237;nico%20&#8211;%2012.&#170;%20edi&#231;&#227;o%20p&#243;s-gradua&#231;&#227;o" TargetMode="External"/><Relationship Id="rId3541" Type="http://schemas.openxmlformats.org/officeDocument/2006/relationships/hyperlink" Target="https://www.google.com/search?q=site%3Aufp.pt%20Direito%20da%20Sa&#250;de%20p&#243;s-gradua&#231;&#227;o" TargetMode="External"/><Relationship Id="rId462" Type="http://schemas.openxmlformats.org/officeDocument/2006/relationships/hyperlink" Target="https://www.google.com/search?q=site%3Aiscte-iul.pt%20Gest&#227;o%20Empresarial%20para%20Licenciados%20noutras%20&#193;reas%20p&#243;s-gradua&#231;&#227;o" TargetMode="External"/><Relationship Id="rId1092" Type="http://schemas.openxmlformats.org/officeDocument/2006/relationships/hyperlink" Target="https://www.google.com/search?q=site%3Aipb.pt%20Epidemiologia%20e%20An&#225;lise%20de%20Dados%20em%20Investiga&#231;&#227;o%20Cl&#237;nica%20p&#243;s-gradua&#231;&#227;o" TargetMode="External"/><Relationship Id="rId2143" Type="http://schemas.openxmlformats.org/officeDocument/2006/relationships/hyperlink" Target="https://www.google.com/search?q=site%3Aipt.pt%20Tecnologia%20Qu&#237;mica%20mestrado" TargetMode="External"/><Relationship Id="rId5299" Type="http://schemas.openxmlformats.org/officeDocument/2006/relationships/hyperlink" Target="https://www.google.com/search?q=site%3Aualg.pt%20Estudos%20do%20Mar%20licenciatura" TargetMode="External"/><Relationship Id="rId115" Type="http://schemas.openxmlformats.org/officeDocument/2006/relationships/hyperlink" Target="https://www.google.com/search?q=site%3Aesepf.pt%20Ci&#234;ncias%20da%20Educa&#231;&#227;o%20&#8211;%20&#225;rea%20de%20especializa&#231;&#227;o%20em%20Supervis&#227;o%20Pedag&#243;gica%20mestrado" TargetMode="External"/><Relationship Id="rId2210" Type="http://schemas.openxmlformats.org/officeDocument/2006/relationships/hyperlink" Target="https://www.google.com/search?q=site%3Aipvc.pt%20Contabilidade%20e%20Fiscalidade%20licenciatura" TargetMode="External"/><Relationship Id="rId5366" Type="http://schemas.openxmlformats.org/officeDocument/2006/relationships/hyperlink" Target="https://www.google.com/search?q=site%3Aualg.pt%20Gest&#227;o%20de%20PME%20mestrado" TargetMode="External"/><Relationship Id="rId4382" Type="http://schemas.openxmlformats.org/officeDocument/2006/relationships/hyperlink" Target="https://www.google.com/search?q=site%3Auc.pt%20Engenharia%20Inform&#225;tica%20mestrado" TargetMode="External"/><Relationship Id="rId5019" Type="http://schemas.openxmlformats.org/officeDocument/2006/relationships/hyperlink" Target="https://www.google.com/search?q=site%3Autad.pt%20Biologia%20licenciatura" TargetMode="External"/><Relationship Id="rId5433" Type="http://schemas.openxmlformats.org/officeDocument/2006/relationships/hyperlink" Target="https://www.google.com/search?q=site%3Aup.pt%20Design%20de%20Comunica&#231;&#227;o%20licenciatura" TargetMode="External"/><Relationship Id="rId5780" Type="http://schemas.openxmlformats.org/officeDocument/2006/relationships/hyperlink" Target="https://www.google.com/search?q=site%3Aium.pt%20Ci&#234;ncias%20Militares%2C%20no%20Ramo%20de%20Administra&#231;&#227;o%20licenciatura" TargetMode="External"/><Relationship Id="rId1976" Type="http://schemas.openxmlformats.org/officeDocument/2006/relationships/hyperlink" Target="https://www.google.com/search?q=site%3Aips.pt%20Gest&#227;o%20Retalhista%20CTeSP" TargetMode="External"/><Relationship Id="rId4035" Type="http://schemas.openxmlformats.org/officeDocument/2006/relationships/hyperlink" Target="https://www.google.com/search?q=site%3Aunl.pt%20Bioenergia%20e%20Biorrefinarias%20p&#243;s-gradua&#231;&#227;o" TargetMode="External"/><Relationship Id="rId1629" Type="http://schemas.openxmlformats.org/officeDocument/2006/relationships/hyperlink" Target="https://www.google.com/search?q=site%3Aipl.pt%20Engenharia%20Eletrot&#233;cnica%20licenciatura" TargetMode="External"/><Relationship Id="rId5500" Type="http://schemas.openxmlformats.org/officeDocument/2006/relationships/hyperlink" Target="https://www.google.com/search?q=site%3Aup.pt%20Ci&#234;ncia%20dos%20Alimentos%20e%20Nutri&#231;&#227;o%20mestrado" TargetMode="External"/><Relationship Id="rId3051" Type="http://schemas.openxmlformats.org/officeDocument/2006/relationships/hyperlink" Target="https://www.google.com/search?q=site%3Aisvouga.pt%20Produ&#231;&#227;o%20Industrial%20CTeSP" TargetMode="External"/><Relationship Id="rId4102" Type="http://schemas.openxmlformats.org/officeDocument/2006/relationships/hyperlink" Target="https://www.google.com/search?q=site%3Aupt.pt%20Ci&#234;ncia%20Jur&#237;dica%20Forense%20mestrado" TargetMode="External"/><Relationship Id="rId3868" Type="http://schemas.openxmlformats.org/officeDocument/2006/relationships/hyperlink" Target="https://www.google.com/search?q=site%3Aunl.pt%20Biotecnologia%20para%20a%20Sustentabilidade%20mestrado" TargetMode="External"/><Relationship Id="rId4919" Type="http://schemas.openxmlformats.org/officeDocument/2006/relationships/hyperlink" Target="https://www.google.com/search?q=site%3Aulisboa.pt%20Curso%20de%20Forma&#231;&#227;o%20em%20Ci&#234;ncias%20para%20o%20Ensino%20p&#243;s-gradua&#231;&#227;o" TargetMode="External"/><Relationship Id="rId789" Type="http://schemas.openxmlformats.org/officeDocument/2006/relationships/hyperlink" Target="https://www.google.com/search?q=site%3Aipg.pt%20Gest&#227;o%20Industrial%20mestrado" TargetMode="External"/><Relationship Id="rId2884" Type="http://schemas.openxmlformats.org/officeDocument/2006/relationships/hyperlink" Target="https://www.google.com/search?q=site%3Aisdd.pt%20Engenharia%20e%20Gest&#227;o%20da%20Produ&#231;&#227;o%20Aeron&#225;utica%20licenciatura" TargetMode="External"/><Relationship Id="rId5290" Type="http://schemas.openxmlformats.org/officeDocument/2006/relationships/hyperlink" Target="https://www.google.com/search?q=site%3Aualg.pt%20Educa&#231;&#227;o%20B&#225;sica%20licenciatura" TargetMode="External"/><Relationship Id="rId856" Type="http://schemas.openxmlformats.org/officeDocument/2006/relationships/hyperlink" Target="https://www.google.com/search?q=site%3Aipluso.pt%20P&#243;s&#8209;Gradua&#231;&#227;o%20em%20Gest&#227;o%20de%20Recursos%20Humanos%20na%20&#225;rea%20Socioeducativa%20p&#243;s-gradua&#231;&#227;o" TargetMode="External"/><Relationship Id="rId1486" Type="http://schemas.openxmlformats.org/officeDocument/2006/relationships/hyperlink" Target="https://www.google.com/search?q=site%3Aipleiria.pt%20Teatro%20licenciatura" TargetMode="External"/><Relationship Id="rId2537" Type="http://schemas.openxmlformats.org/officeDocument/2006/relationships/hyperlink" Target="https://www.google.com/search?q=site%3Aipca.pt%20Design%20de%20Cer&#226;mica%20e%20Olaria%20p&#243;s-gradua&#231;&#227;o" TargetMode="External"/><Relationship Id="rId3935" Type="http://schemas.openxmlformats.org/officeDocument/2006/relationships/hyperlink" Target="https://www.google.com/search?q=site%3Aunl.pt%20Estudos%20Transculturais%20sobre%20Mundos%20Vividos%20%28Erasmus%20Mundus%29%20mestrado" TargetMode="External"/><Relationship Id="rId509" Type="http://schemas.openxmlformats.org/officeDocument/2006/relationships/hyperlink" Target="https://www.google.com/search?q=site%3Aisec.pt%20Inform&#225;tica%20Industrial%20licenciatura" TargetMode="External"/><Relationship Id="rId1139" Type="http://schemas.openxmlformats.org/officeDocument/2006/relationships/hyperlink" Target="https://www.google.com/search?q=site%3Aipcb.pt%20Educa&#231;&#227;o%20B&#225;sica%20licenciatura" TargetMode="External"/><Relationship Id="rId2951" Type="http://schemas.openxmlformats.org/officeDocument/2006/relationships/hyperlink" Target="https://www.google.com/search?q=site%3Aisag.pt%20Gest&#227;o%20Hoteleira%20licenciatura" TargetMode="External"/><Relationship Id="rId5010" Type="http://schemas.openxmlformats.org/officeDocument/2006/relationships/hyperlink" Target="https://www.google.com/search?q=site%3Autad.pt%20Gerontologia%20CTeSP" TargetMode="External"/><Relationship Id="rId923" Type="http://schemas.openxmlformats.org/officeDocument/2006/relationships/hyperlink" Target="https://www.google.com/search?q=site%3Aipbeja.pt%20Estudos%20em%20Enfermagem%20mestrado" TargetMode="External"/><Relationship Id="rId1553" Type="http://schemas.openxmlformats.org/officeDocument/2006/relationships/hyperlink" Target="https://www.google.com/search?q=site%3Aipleiria.pt%20Gest&#227;o%20de%20Sistemas%20de%20Informa&#231;&#227;o%20M&#233;dica%20mestrado" TargetMode="External"/><Relationship Id="rId2604" Type="http://schemas.openxmlformats.org/officeDocument/2006/relationships/hyperlink" Target="https://www.google.com/search?q=site%3Aipp.pt%20Servi&#231;os%20de%20Restaura&#231;&#227;o%20e%20Catering%20CTeSP" TargetMode="External"/><Relationship Id="rId1206" Type="http://schemas.openxmlformats.org/officeDocument/2006/relationships/hyperlink" Target="https://www.google.com/search?q=site%3Aipc.pt%20Avicultura%20CTeSP" TargetMode="External"/><Relationship Id="rId1620" Type="http://schemas.openxmlformats.org/officeDocument/2006/relationships/hyperlink" Target="https://www.google.com/search?q=site%3Aipl.pt%20Ci&#234;ncias%20Biom&#233;dicas%20Laboratoriais%20licenciatura" TargetMode="External"/><Relationship Id="rId4776" Type="http://schemas.openxmlformats.org/officeDocument/2006/relationships/hyperlink" Target="https://www.google.com/search?q=site%3Aulisboa.pt%20Hist&#243;ria%20da%20Arte%20e%20Patrim&#243;nio%20mestrado" TargetMode="External"/><Relationship Id="rId3378" Type="http://schemas.openxmlformats.org/officeDocument/2006/relationships/hyperlink" Target="https://www.google.com/search?q=site%3Aucp.pt%20Tecnologias%20de%20Sa&#250;de%20e%20Dispositivos%20M&#233;dicos%20p&#243;s-gradua&#231;&#227;o" TargetMode="External"/><Relationship Id="rId3792" Type="http://schemas.openxmlformats.org/officeDocument/2006/relationships/hyperlink" Target="https://www.google.com/search?q=site%3Alusofona.pt%20Publicidade%20e%20Estrat&#233;gias%20de%20Comunica&#231;&#227;o%20Digital%20p&#243;s-gradua&#231;&#227;o" TargetMode="External"/><Relationship Id="rId4429" Type="http://schemas.openxmlformats.org/officeDocument/2006/relationships/hyperlink" Target="https://www.google.com/search?q=site%3Auc.pt%20Gest&#227;o%20das%20Artes%20e%20Pol&#237;ticas%20Culturais%20em%20Transi&#231;&#227;o%20mestrado" TargetMode="External"/><Relationship Id="rId4843" Type="http://schemas.openxmlformats.org/officeDocument/2006/relationships/hyperlink" Target="https://www.google.com/search?q=site%3Aulisboa.pt%20Servi&#231;o%20Social%20%28Erasmus%20Mundus%29%20mestrado" TargetMode="External"/><Relationship Id="rId299" Type="http://schemas.openxmlformats.org/officeDocument/2006/relationships/hyperlink" Target="https://www.google.com/search?q=site%3Aesscvp.eu%20Podologia%20licenciatura" TargetMode="External"/><Relationship Id="rId2394" Type="http://schemas.openxmlformats.org/officeDocument/2006/relationships/hyperlink" Target="https://www.google.com/search?q=site%3Aipv.pt%20Finan&#231;as%20Empresariais%20mestrado" TargetMode="External"/><Relationship Id="rId3445" Type="http://schemas.openxmlformats.org/officeDocument/2006/relationships/hyperlink" Target="https://www.google.com/search?q=site%3Aeuropeia.pt%20Design%20e%20Produ&#231;&#227;o%20de%20Jogos%20mestrado" TargetMode="External"/><Relationship Id="rId366" Type="http://schemas.openxmlformats.org/officeDocument/2006/relationships/hyperlink" Target="https://www.google.com/search?q=site%3Aessa.pt%20Fisioterapia%20licenciatura" TargetMode="External"/><Relationship Id="rId780" Type="http://schemas.openxmlformats.org/officeDocument/2006/relationships/hyperlink" Target="https://www.google.com/search?q=site%3Aipg.pt%20Constru&#231;&#245;es%20Civis%20mestrado" TargetMode="External"/><Relationship Id="rId2047" Type="http://schemas.openxmlformats.org/officeDocument/2006/relationships/hyperlink" Target="https://www.google.com/search?q=site%3Aips.pt%20Fisioterapia%20em%20Condi&#231;&#245;es%20M&#250;sculo-Esquel&#233;ticas%20mestrado" TargetMode="External"/><Relationship Id="rId2461" Type="http://schemas.openxmlformats.org/officeDocument/2006/relationships/hyperlink" Target="https://www.google.com/search?q=site%3Aipca.pt%20Repara&#231;&#227;o%20e%20Detalhe%20de%20Carro&#231;arias%20CTeSP" TargetMode="External"/><Relationship Id="rId3512" Type="http://schemas.openxmlformats.org/officeDocument/2006/relationships/hyperlink" Target="https://www.google.com/search?q=site%3Aufp.pt%20Criminologia%20licenciatura" TargetMode="External"/><Relationship Id="rId4910" Type="http://schemas.openxmlformats.org/officeDocument/2006/relationships/hyperlink" Target="https://www.google.com/search?q=site%3Aulisboa.pt%20Cosm&#233;ticos%3A%20Regulamenta&#231;&#227;o%20e%20Acesso%20ao%20Mercado%20p&#243;s-gradua&#231;&#227;o" TargetMode="External"/><Relationship Id="rId433" Type="http://schemas.openxmlformats.org/officeDocument/2006/relationships/hyperlink" Target="https://www.google.com/search?q=site%3Aiscte-iul.pt%20Gest&#227;o%20de%20Marketing%20licenciatura" TargetMode="External"/><Relationship Id="rId1063" Type="http://schemas.openxmlformats.org/officeDocument/2006/relationships/hyperlink" Target="https://www.google.com/search?q=site%3Aipb.pt%20Ensino%20do%201.&#186;%20Ciclo%20do%20Ensino%20B&#225;sico%20e%20de%20Matem&#225;tica%20e%20Ci&#234;ncias%20Naturais%20no%202.&#186;%20Ciclo%20do%20Ensino%20B&#225;sico%20mestrado" TargetMode="External"/><Relationship Id="rId2114" Type="http://schemas.openxmlformats.org/officeDocument/2006/relationships/hyperlink" Target="https://www.google.com/search?q=site%3Aipt.pt%20Design%20e%20Tecnologia%20das%20Artes%20Gr&#225;ficas%20licenciatura" TargetMode="External"/><Relationship Id="rId4286" Type="http://schemas.openxmlformats.org/officeDocument/2006/relationships/hyperlink" Target="https://www.google.com/search?q=site%3Auc.pt%20Direito%20licenciatura" TargetMode="External"/><Relationship Id="rId5684" Type="http://schemas.openxmlformats.org/officeDocument/2006/relationships/hyperlink" Target="https://www.google.com/search?q=site%3Auac.pt%20Agroind&#250;strias%20CTeSP" TargetMode="External"/><Relationship Id="rId500" Type="http://schemas.openxmlformats.org/officeDocument/2006/relationships/hyperlink" Target="https://www.google.com/search?q=site%3Aisec.pt%20Engenharia%20Civil%20licenciatura" TargetMode="External"/><Relationship Id="rId1130" Type="http://schemas.openxmlformats.org/officeDocument/2006/relationships/hyperlink" Target="https://www.google.com/search?q=site%3Aipcb.pt%20Tecnologias%20e%20Programa&#231;&#227;o%20de%20Sistemas%20de%20Informa&#231;&#227;o%20CTeSP" TargetMode="External"/><Relationship Id="rId5337" Type="http://schemas.openxmlformats.org/officeDocument/2006/relationships/hyperlink" Target="https://www.google.com/search?q=site%3Aualg.pt%20Ecohidrologia%20Aplicada%20mestrado" TargetMode="External"/><Relationship Id="rId5751" Type="http://schemas.openxmlformats.org/officeDocument/2006/relationships/hyperlink" Target="https://www.google.com/search?q=site%3Auac.pt%20Medicina%20Veterin&#225;ria%20%28Preparat&#243;rios%20de%20Mestrado%20Integrado%29%20mestrado%20integrado" TargetMode="External"/><Relationship Id="rId1947" Type="http://schemas.openxmlformats.org/officeDocument/2006/relationships/hyperlink" Target="https://www.google.com/search?q=site%3Acespu.pt%20Enfermagem%20Forense%20&#8211;%204.&#170;%20edi&#231;&#227;o%20p&#243;s-gradua&#231;&#227;o" TargetMode="External"/><Relationship Id="rId4353" Type="http://schemas.openxmlformats.org/officeDocument/2006/relationships/hyperlink" Target="https://www.google.com/search?q=site%3Auc.pt%20Ci&#234;ncia%20Psicol&#243;gica%20mestrado" TargetMode="External"/><Relationship Id="rId5404" Type="http://schemas.openxmlformats.org/officeDocument/2006/relationships/hyperlink" Target="https://www.google.com/search?q=site%3Aualg.pt%20Tecnologias%20Digitais%20e%20Ambientais%20nas%20&#8230;%20%28curso%201975%29%20p&#243;s-gradua&#231;&#227;o" TargetMode="External"/><Relationship Id="rId4006" Type="http://schemas.openxmlformats.org/officeDocument/2006/relationships/hyperlink" Target="https://www.google.com/search?q=site%3Aunl.pt%20Sociedade%20Digital%20mestrado" TargetMode="External"/><Relationship Id="rId4420" Type="http://schemas.openxmlformats.org/officeDocument/2006/relationships/hyperlink" Target="https://www.google.com/search?q=site%3Auc.pt%20Gen&#233;tica%20Cl&#237;nica%20Laboratorial%20mestrado" TargetMode="External"/><Relationship Id="rId290" Type="http://schemas.openxmlformats.org/officeDocument/2006/relationships/hyperlink" Target="https://www.google.com/search?q=site%3Aesscvp.eu%20An&#225;lises%20Laboratoriais%20CTeSP" TargetMode="External"/><Relationship Id="rId3022" Type="http://schemas.openxmlformats.org/officeDocument/2006/relationships/hyperlink" Target="https://www.google.com/search?q=site%3Aiscia.pt%20Anima&#231;&#227;o%20Tur&#237;stica%20e%20do%20Patrim&#243;nio%20Cultural%20e%20Natural%20CTeSP" TargetMode="External"/><Relationship Id="rId5194" Type="http://schemas.openxmlformats.org/officeDocument/2006/relationships/hyperlink" Target="https://www.google.com/search?q=site%3Auevora.pt%20Estudos%20em%20Enfermagem%20mestrado" TargetMode="External"/><Relationship Id="rId2788" Type="http://schemas.openxmlformats.org/officeDocument/2006/relationships/hyperlink" Target="https://www.google.com/search?q=site%3Aipp.pt%20Business%20Analytics%20and%20AI%20%28Novo%20Plano%202026/2027%29%20p&#243;s-gradua&#231;&#227;o" TargetMode="External"/><Relationship Id="rId3839" Type="http://schemas.openxmlformats.org/officeDocument/2006/relationships/hyperlink" Target="https://www.google.com/search?q=site%3Aunl.pt%20Geologia%20para%20a%20Sustentabilidade%20licenciatura" TargetMode="External"/><Relationship Id="rId2855" Type="http://schemas.openxmlformats.org/officeDocument/2006/relationships/hyperlink" Target="https://www.google.com/search?q=site%3Aipam.pt%20Marketing%20e%20Tecnologia%20mestrado" TargetMode="External"/><Relationship Id="rId3906" Type="http://schemas.openxmlformats.org/officeDocument/2006/relationships/hyperlink" Target="https://www.google.com/search?q=site%3Aunl.pt%20Engenharia%20F&#237;sica%20mestrado" TargetMode="External"/><Relationship Id="rId5261" Type="http://schemas.openxmlformats.org/officeDocument/2006/relationships/hyperlink" Target="https://www.google.com/search?q=site%3Aualg.pt%20Media&#231;&#227;o%20Intercultural%20CTeSP" TargetMode="External"/><Relationship Id="rId96" Type="http://schemas.openxmlformats.org/officeDocument/2006/relationships/hyperlink" Target="https://www.google.com/search?q=site%3Ajoaodedeus.pt%20Educa&#231;&#227;o%20Para%20a%20Sustentabilidade%20p&#243;s-gradua&#231;&#227;o" TargetMode="External"/><Relationship Id="rId827" Type="http://schemas.openxmlformats.org/officeDocument/2006/relationships/hyperlink" Target="https://www.google.com/search?q=site%3Aipluso.pt%20Acupuntura%20licenciatura" TargetMode="External"/><Relationship Id="rId1457" Type="http://schemas.openxmlformats.org/officeDocument/2006/relationships/hyperlink" Target="https://www.google.com/search?q=site%3Aipleiria.pt%20Educa&#231;&#227;o%20Social%20licenciatura" TargetMode="External"/><Relationship Id="rId1871" Type="http://schemas.openxmlformats.org/officeDocument/2006/relationships/hyperlink" Target="https://www.google.com/search?q=site%3Aipsantarem.pt%20Educa&#231;&#227;o%20Social%20licenciatura" TargetMode="External"/><Relationship Id="rId2508" Type="http://schemas.openxmlformats.org/officeDocument/2006/relationships/hyperlink" Target="https://www.google.com/search?q=site%3Aipca.pt%20Gest&#227;o%20Digital%20para%20Servi&#231;os%20P&#250;blicos%20mestrado" TargetMode="External"/><Relationship Id="rId2922" Type="http://schemas.openxmlformats.org/officeDocument/2006/relationships/hyperlink" Target="https://www.google.com/search?q=site%3Aismt.pt%20Psicoterapia%20Psicanal&#237;tica%20&#8211;%208&#170;%20edi&#231;&#227;o%20p&#243;s-gradua&#231;&#227;o" TargetMode="External"/><Relationship Id="rId1524" Type="http://schemas.openxmlformats.org/officeDocument/2006/relationships/hyperlink" Target="https://www.google.com/search?q=site%3Aipleiria.pt%20Educa&#231;&#227;o%20e%20Inova&#231;&#227;o%20Pedag&#243;gica%20mestrado" TargetMode="External"/><Relationship Id="rId3696" Type="http://schemas.openxmlformats.org/officeDocument/2006/relationships/hyperlink" Target="https://www.google.com/search?q=site%3Alusofona.pt%20Gest&#227;o%20Aeron&#225;utica%20licenciatura" TargetMode="External"/><Relationship Id="rId4747" Type="http://schemas.openxmlformats.org/officeDocument/2006/relationships/hyperlink" Target="https://www.google.com/search?q=site%3Aulisboa.pt%20Estudos%20Portugueses%20e%20Rom&#226;nicos%20mestrado" TargetMode="External"/><Relationship Id="rId2298" Type="http://schemas.openxmlformats.org/officeDocument/2006/relationships/hyperlink" Target="https://www.google.com/search?q=site%3Aipv.pt%20Assessoria%20e%20Comunica&#231;&#227;o%20Organizacional%20CTeSP" TargetMode="External"/><Relationship Id="rId3349" Type="http://schemas.openxmlformats.org/officeDocument/2006/relationships/hyperlink" Target="https://www.google.com/search?q=site%3Aucp.pt%20Curso%20Geral%20de%20Gest&#227;o%20p&#243;s-gradua&#231;&#227;o" TargetMode="External"/><Relationship Id="rId684" Type="http://schemas.openxmlformats.org/officeDocument/2006/relationships/hyperlink" Target="https://www.google.com/search?q=site%3Aiees.pt%20Gest&#227;o%20licenciatura" TargetMode="External"/><Relationship Id="rId2365" Type="http://schemas.openxmlformats.org/officeDocument/2006/relationships/hyperlink" Target="https://www.google.com/search?q=site%3Aipv.pt%20Qualidade%20Alimentar%20e%20Nutri&#231;&#227;o%20licenciatura" TargetMode="External"/><Relationship Id="rId3763" Type="http://schemas.openxmlformats.org/officeDocument/2006/relationships/hyperlink" Target="https://www.google.com/search?q=site%3Alusofona.pt%20Coordenador%20Municipal%20de%20Prote&#231;&#227;o%20Civil%20p&#243;s-gradua&#231;&#227;o" TargetMode="External"/><Relationship Id="rId4814" Type="http://schemas.openxmlformats.org/officeDocument/2006/relationships/hyperlink" Target="https://www.google.com/search?q=site%3Aulisboa.pt%20Oncobiologia%20mestrado" TargetMode="External"/><Relationship Id="rId337" Type="http://schemas.openxmlformats.org/officeDocument/2006/relationships/hyperlink" Target="https://www.google.com/search?q=site%3Aess.ufp.pt%20Inova&#231;&#227;o%20Tecnol&#243;gica%20em%20Sa&#250;de%3A%20Medicina%20Transfusional%20e%20Transplanta&#231;&#227;o%20p&#243;s-gradua&#231;&#227;o" TargetMode="External"/><Relationship Id="rId2018" Type="http://schemas.openxmlformats.org/officeDocument/2006/relationships/hyperlink" Target="https://www.google.com/search?q=site%3Aips.pt%20Marketing%20licenciatura" TargetMode="External"/><Relationship Id="rId3416" Type="http://schemas.openxmlformats.org/officeDocument/2006/relationships/hyperlink" Target="https://www.google.com/search?q=site%3Aeuropeia.pt%20Marketing%20licenciatura" TargetMode="External"/><Relationship Id="rId3830" Type="http://schemas.openxmlformats.org/officeDocument/2006/relationships/hyperlink" Target="https://www.google.com/search?q=site%3Aunl.pt%20Engenharia%20de%20Materiais%20licenciatura" TargetMode="External"/><Relationship Id="rId751" Type="http://schemas.openxmlformats.org/officeDocument/2006/relationships/hyperlink" Target="https://www.google.com/search?q=site%3Aipg.pt%20Ci&#234;ncias%20Biom&#233;dicas%20Laboratoriais%20licenciatura" TargetMode="External"/><Relationship Id="rId1381" Type="http://schemas.openxmlformats.org/officeDocument/2006/relationships/hyperlink" Target="https://www.google.com/search?q=site%3Aipleiria.pt%20Apoio%20&#224;%20Gest&#227;o%20CTeSP" TargetMode="External"/><Relationship Id="rId2432" Type="http://schemas.openxmlformats.org/officeDocument/2006/relationships/hyperlink" Target="https://www.google.com/search?q=site%3Aipca.pt%20Exerc&#237;cio%20F&#237;sico%2C%20Sa&#250;de%20e%20Bem-Estar%20CTeSP" TargetMode="External"/><Relationship Id="rId5588" Type="http://schemas.openxmlformats.org/officeDocument/2006/relationships/hyperlink" Target="https://www.google.com/search?q=site%3Aup.pt%20Filosofia%2C%20Pol&#237;tica%20e%20Economia%20mestrado" TargetMode="External"/><Relationship Id="rId404" Type="http://schemas.openxmlformats.org/officeDocument/2006/relationships/hyperlink" Target="https://www.google.com/search?q=site%3Aisave.pt%20Gest&#227;o%20de%20Unidades%20de%20Sa&#250;de%20%282.&#170;%20edi&#231;&#227;o%29%20p&#243;s-gradua&#231;&#227;o" TargetMode="External"/><Relationship Id="rId1034" Type="http://schemas.openxmlformats.org/officeDocument/2006/relationships/hyperlink" Target="https://www.google.com/search?q=site%3Aipb.pt%20Tecnologia%20Biom&#233;dica%20licenciatura" TargetMode="External"/><Relationship Id="rId5655" Type="http://schemas.openxmlformats.org/officeDocument/2006/relationships/hyperlink" Target="https://www.google.com/search?q=site%3Aup.pt%20Sociologia%20mestrado" TargetMode="External"/><Relationship Id="rId1101" Type="http://schemas.openxmlformats.org/officeDocument/2006/relationships/hyperlink" Target="https://www.google.com/search?q=site%3Aipb.pt%20Marketing%20Territorial%20p&#243;s-gradua&#231;&#227;o" TargetMode="External"/><Relationship Id="rId4257" Type="http://schemas.openxmlformats.org/officeDocument/2006/relationships/hyperlink" Target="https://www.google.com/search?q=site%3Aua.pt%20Fisioterapia%20mestrado" TargetMode="External"/><Relationship Id="rId4671" Type="http://schemas.openxmlformats.org/officeDocument/2006/relationships/hyperlink" Target="https://www.google.com/search?q=site%3Aulisboa.pt%20Direito%20mestrado" TargetMode="External"/><Relationship Id="rId5308" Type="http://schemas.openxmlformats.org/officeDocument/2006/relationships/hyperlink" Target="https://www.google.com/search?q=site%3Aualg.pt%20Imagem%20M&#233;dica%20e%20Radioterapia%20licenciatura" TargetMode="External"/><Relationship Id="rId5722" Type="http://schemas.openxmlformats.org/officeDocument/2006/relationships/hyperlink" Target="https://www.google.com/search?q=site%3Auac.pt%20Enfermagem%20de%20Sa&#250;de%20Materna%20e%20Obst&#233;trica%20mestrado" TargetMode="External"/><Relationship Id="rId3273" Type="http://schemas.openxmlformats.org/officeDocument/2006/relationships/hyperlink" Target="https://www.google.com/search?q=site%3Aucp.pt%20Ci&#234;ncias%20da%20Educa&#231;&#227;o%20-%20Educa&#231;&#227;o%20Especial%20mestrado" TargetMode="External"/><Relationship Id="rId4324" Type="http://schemas.openxmlformats.org/officeDocument/2006/relationships/hyperlink" Target="https://www.google.com/search?q=site%3Auc.pt%20Qu&#237;mica%20Medicinal%20licenciatura" TargetMode="External"/><Relationship Id="rId194" Type="http://schemas.openxmlformats.org/officeDocument/2006/relationships/hyperlink" Target="https://www.google.com/search?q=site%3Auatlantica.pt%20Gerontologia%20CTeSP" TargetMode="External"/><Relationship Id="rId1918" Type="http://schemas.openxmlformats.org/officeDocument/2006/relationships/hyperlink" Target="https://www.google.com/search?q=site%3Acespu.pt%20Est&#233;tica%2C%20Cosm&#233;tica%20e%20Bem&#8209;estar%20CTeSP" TargetMode="External"/><Relationship Id="rId261" Type="http://schemas.openxmlformats.org/officeDocument/2006/relationships/hyperlink" Target="https://www.google.com/search?q=site%3Aesscvp.eu%20Gerontologia%20e%20Interven&#231;&#227;o%20Comunit&#225;ria%20CTeSP" TargetMode="External"/><Relationship Id="rId3340" Type="http://schemas.openxmlformats.org/officeDocument/2006/relationships/hyperlink" Target="https://www.google.com/search?q=site%3Aucp.pt%20Sistemas%20Alimentares%20Sustent&#225;veis%20&#8211;%20Tecnologia%2C%20Engenharia%20e%20Empreendedorismo%20%28Erasmus%20Mundus%29%20mestrado" TargetMode="External"/><Relationship Id="rId5098" Type="http://schemas.openxmlformats.org/officeDocument/2006/relationships/hyperlink" Target="https://www.google.com/search?q=site%3Autad.pt%20Engenharia%20Inform&#225;tica%20mestrado" TargetMode="External"/><Relationship Id="rId2759" Type="http://schemas.openxmlformats.org/officeDocument/2006/relationships/hyperlink" Target="https://www.google.com/search?q=site%3Aipp.pt%20Informa&#231;&#227;o%20Empresarial%20mestrado" TargetMode="External"/><Relationship Id="rId5165" Type="http://schemas.openxmlformats.org/officeDocument/2006/relationships/hyperlink" Target="https://www.google.com/search?q=site%3Auevora.pt%20Geologia%20licenciatura" TargetMode="External"/><Relationship Id="rId1775" Type="http://schemas.openxmlformats.org/officeDocument/2006/relationships/hyperlink" Target="https://www.google.com/search?q=site%3Aipportalegre.pt%20Tecnologias%20de%20Produ&#231;&#227;o%20e%20Processamento%20de%20Cannabis%20sativa%20CTeSP" TargetMode="External"/><Relationship Id="rId2826" Type="http://schemas.openxmlformats.org/officeDocument/2006/relationships/hyperlink" Target="https://www.google.com/search?q=site%3Aipp.pt%20Marketing%20Digital%20para%20a%20Hotelaria%20e%20Turismo%20p&#243;s-gradua&#231;&#227;o" TargetMode="External"/><Relationship Id="rId4181" Type="http://schemas.openxmlformats.org/officeDocument/2006/relationships/hyperlink" Target="https://www.google.com/search?q=site%3Aismai.pt%20Gest&#227;o%20Estrat&#233;gica%20de%20Recursos%20Humanos%20mestrado" TargetMode="External"/><Relationship Id="rId5232" Type="http://schemas.openxmlformats.org/officeDocument/2006/relationships/hyperlink" Target="https://www.google.com/search?q=site%3Auevora.pt%20Gerontologia%20e%20Sa&#250;de%20p&#243;s-gradua&#231;&#227;o" TargetMode="External"/><Relationship Id="rId67" Type="http://schemas.openxmlformats.org/officeDocument/2006/relationships/hyperlink" Target="https://www.google.com/search?q=site%3Aesai.pt%20Gest&#227;o%20de%20Condom&#237;nios%20e%20Edif&#237;cios%20CTeSP" TargetMode="External"/><Relationship Id="rId1428" Type="http://schemas.openxmlformats.org/officeDocument/2006/relationships/hyperlink" Target="https://www.google.com/search?q=site%3Aipleiria.pt%20Secretariado%20Cl&#237;nico%20CTeSP" TargetMode="External"/><Relationship Id="rId1842" Type="http://schemas.openxmlformats.org/officeDocument/2006/relationships/hyperlink" Target="https://www.google.com/search?q=site%3Aipsantarem.pt%20Manuten&#231;&#227;o%20de%20Piscinas%20CTeSP" TargetMode="External"/><Relationship Id="rId4998" Type="http://schemas.openxmlformats.org/officeDocument/2006/relationships/hyperlink" Target="https://www.google.com/search?q=site%3Aulisboa.pt%20Reabilita&#231;&#227;o%20habitacional%20p&#243;s-gradua&#231;&#227;o" TargetMode="External"/><Relationship Id="rId3667" Type="http://schemas.openxmlformats.org/officeDocument/2006/relationships/hyperlink" Target="https://www.google.com/search?q=site%3Alusofona.pt%20Comunica&#231;&#227;o%20Aplicada%20licenciatura" TargetMode="External"/><Relationship Id="rId4718" Type="http://schemas.openxmlformats.org/officeDocument/2006/relationships/hyperlink" Target="https://www.google.com/search?q=site%3Aulisboa.pt%20Engenharia%20do%20Ambiente%20%28ULisboa%20e%20SHU%29%20mestrado" TargetMode="External"/><Relationship Id="rId588" Type="http://schemas.openxmlformats.org/officeDocument/2006/relationships/hyperlink" Target="https://www.google.com/search?q=site%3Aisla.pt%20Contabilidade%20e%20Gest&#227;o%20CTeSP" TargetMode="External"/><Relationship Id="rId2269" Type="http://schemas.openxmlformats.org/officeDocument/2006/relationships/hyperlink" Target="https://www.google.com/search?q=site%3Aipvc.pt%20Gest&#227;o%20Ambiental%20e%20Ordenamento%20do%20Territ&#243;rio%20mestrado" TargetMode="External"/><Relationship Id="rId2683" Type="http://schemas.openxmlformats.org/officeDocument/2006/relationships/hyperlink" Target="https://www.google.com/search?q=site%3Aipp.pt%20Teatro%2C%20variante%20Dire&#231;&#227;o%20de%20Cena%20e%20Produ&#231;&#227;o%20licenciatura" TargetMode="External"/><Relationship Id="rId3734" Type="http://schemas.openxmlformats.org/officeDocument/2006/relationships/hyperlink" Target="https://www.google.com/search?q=site%3Alusofona.pt%20Ensino%20de%20Educa&#231;&#227;o%20F&#237;sica%20nos%20Ensinos%20B&#225;sico%20e%20Secund&#225;rio%20mestrado" TargetMode="External"/><Relationship Id="rId655" Type="http://schemas.openxmlformats.org/officeDocument/2006/relationships/hyperlink" Target="https://www.google.com/search?q=site%3Aistec.pt%20Agile%20Software%20Development%20p&#243;s-gradua&#231;&#227;o" TargetMode="External"/><Relationship Id="rId1285" Type="http://schemas.openxmlformats.org/officeDocument/2006/relationships/hyperlink" Target="https://www.google.com/search?q=site%3Aipc.pt%20Terapia%20Ocupacional%20licenciatura" TargetMode="External"/><Relationship Id="rId2336" Type="http://schemas.openxmlformats.org/officeDocument/2006/relationships/hyperlink" Target="https://www.google.com/search?q=site%3Aipv.pt%20Artes%20Performativas%20licenciatura" TargetMode="External"/><Relationship Id="rId2750" Type="http://schemas.openxmlformats.org/officeDocument/2006/relationships/hyperlink" Target="https://www.google.com/search?q=site%3Aipp.pt%20Gest&#227;o%20das%20Organiza&#231;&#245;es%20do%203.&#186;%20Setor%20mestrado" TargetMode="External"/><Relationship Id="rId3801" Type="http://schemas.openxmlformats.org/officeDocument/2006/relationships/hyperlink" Target="https://www.google.com/search?q=site%3Alusofona.pt%20Strategic%20Empowerment%3A%20Making%20Fashion%20Work%20p&#243;s-gradua&#231;&#227;o" TargetMode="External"/><Relationship Id="rId308" Type="http://schemas.openxmlformats.org/officeDocument/2006/relationships/hyperlink" Target="https://www.google.com/search?q=site%3Aesscvp.eu%20Enfermagem%20de%20Sa&#250;de%20Materna%20e%20Obst&#233;trica%20mestrado" TargetMode="External"/><Relationship Id="rId722" Type="http://schemas.openxmlformats.org/officeDocument/2006/relationships/hyperlink" Target="https://www.google.com/search?q=site%3Aipg.pt%20Energias%20Renov&#225;veis%20e%20Efici&#234;ncia%20Energ&#233;tica%20CTeSP" TargetMode="External"/><Relationship Id="rId1352" Type="http://schemas.openxmlformats.org/officeDocument/2006/relationships/hyperlink" Target="https://www.google.com/search?q=site%3Aipc.pt%20Educa&#231;&#227;o%20Especial%20&#8211;%20Dom&#237;nio%20Cognitivo%20e%20Motor%20p&#243;s-gradua&#231;&#227;o" TargetMode="External"/><Relationship Id="rId2403" Type="http://schemas.openxmlformats.org/officeDocument/2006/relationships/hyperlink" Target="https://www.google.com/search?q=site%3Aipv.pt%20Tecnologias%20Ambientais%20mestrado" TargetMode="External"/><Relationship Id="rId5559" Type="http://schemas.openxmlformats.org/officeDocument/2006/relationships/hyperlink" Target="https://www.google.com/search?q=site%3Aup.pt%20Engenharia%20do%20Ambiente%20mestrado" TargetMode="External"/><Relationship Id="rId1005" Type="http://schemas.openxmlformats.org/officeDocument/2006/relationships/hyperlink" Target="https://www.google.com/search?q=site%3Aipb.pt%20Engenharia%20Agron&#243;mica%20licenciatura" TargetMode="External"/><Relationship Id="rId4575" Type="http://schemas.openxmlformats.org/officeDocument/2006/relationships/hyperlink" Target="https://www.google.com/search?q=site%3Aulisboa.pt%20Estudos%20Art&#237;sticos%20licenciatura" TargetMode="External"/><Relationship Id="rId3177" Type="http://schemas.openxmlformats.org/officeDocument/2006/relationships/hyperlink" Target="https://www.google.com/search?q=site%3Auab.pt%20Estudos%20sobre%20as%20Mulheres%3A%20G&#233;nero%2C%20Cidadania%20e%20Desenvolvimento%20mestrado" TargetMode="External"/><Relationship Id="rId4228" Type="http://schemas.openxmlformats.org/officeDocument/2006/relationships/hyperlink" Target="https://www.google.com/search?q=site%3Aua.pt%20Contabilidade%20licenciatura" TargetMode="External"/><Relationship Id="rId5626" Type="http://schemas.openxmlformats.org/officeDocument/2006/relationships/hyperlink" Target="https://www.google.com/search?q=site%3Aup.pt%20Museologia%20mestrado" TargetMode="External"/><Relationship Id="rId3591" Type="http://schemas.openxmlformats.org/officeDocument/2006/relationships/hyperlink" Target="https://www.google.com/search?q=site%3Aulusiada.pt%20Comunica&#231;&#227;o%20Multim&#233;dia%20mestrado" TargetMode="External"/><Relationship Id="rId4642" Type="http://schemas.openxmlformats.org/officeDocument/2006/relationships/hyperlink" Target="https://www.google.com/search?q=site%3Aulisboa.pt%20Ci&#234;ncias%20Geof&#237;sicas%20mestrado" TargetMode="External"/><Relationship Id="rId2193" Type="http://schemas.openxmlformats.org/officeDocument/2006/relationships/hyperlink" Target="https://www.google.com/search?q=site%3Aipvc.pt%20Regenera&#231;&#227;o%20Urbana%20CTeSP" TargetMode="External"/><Relationship Id="rId3244" Type="http://schemas.openxmlformats.org/officeDocument/2006/relationships/hyperlink" Target="https://www.google.com/search?q=site%3Aucp.pt%20Filosofia%20%28regime%20de%20ensino%20a%20dist&#226;ncia%29%20licenciatura" TargetMode="External"/><Relationship Id="rId165" Type="http://schemas.openxmlformats.org/officeDocument/2006/relationships/hyperlink" Target="https://www.google.com/search?q=site%3Asjcluny.org%20Supervis&#227;o%20Cl&#237;nica%20p&#243;s-gradua&#231;&#227;o" TargetMode="External"/><Relationship Id="rId2260" Type="http://schemas.openxmlformats.org/officeDocument/2006/relationships/hyperlink" Target="https://www.google.com/search?q=site%3Aipvc.pt%20Engenharia%20Alimentar%20mestrado" TargetMode="External"/><Relationship Id="rId3311" Type="http://schemas.openxmlformats.org/officeDocument/2006/relationships/hyperlink" Target="https://www.google.com/search?q=site%3Aucp.pt%20Gest&#227;o%20de%20Recursos%20Humanos%20mestrado" TargetMode="External"/><Relationship Id="rId232" Type="http://schemas.openxmlformats.org/officeDocument/2006/relationships/hyperlink" Target="https://www.google.com/search?q=site%3Aegasmoniz.edu.pt%20Enfermagem%20de%20Sa&#250;de%20Mental%20e%20Psiqui&#225;trica%20mestrado" TargetMode="External"/><Relationship Id="rId5069" Type="http://schemas.openxmlformats.org/officeDocument/2006/relationships/hyperlink" Target="https://www.google.com/search?q=site%3Autad.pt%20Bioinform&#225;tica%20e%20Aplica&#231;&#245;es%20&#224;s%20Ci&#234;ncias%20da%20Vida%20mestrado" TargetMode="External"/><Relationship Id="rId5483" Type="http://schemas.openxmlformats.org/officeDocument/2006/relationships/hyperlink" Target="https://www.google.com/search?q=site%3Aup.pt%20Atividade%20F&#237;sica%2C%20Exerc&#237;cio%20e%20Sa&#250;de%20mestrado" TargetMode="External"/><Relationship Id="rId1679" Type="http://schemas.openxmlformats.org/officeDocument/2006/relationships/hyperlink" Target="https://www.google.com/search?q=site%3Aipl.pt%20Engenharia%20Inform&#225;tica%20e%20Multim&#233;dia%20mestrado" TargetMode="External"/><Relationship Id="rId4085" Type="http://schemas.openxmlformats.org/officeDocument/2006/relationships/hyperlink" Target="https://www.google.com/search?q=site%3Aupt.pt%20Direito%20licenciatura" TargetMode="External"/><Relationship Id="rId5136" Type="http://schemas.openxmlformats.org/officeDocument/2006/relationships/hyperlink" Target="https://www.google.com/search?q=site%3Autad.pt%20Medicina%20mestrado%20integrado" TargetMode="External"/><Relationship Id="rId4152" Type="http://schemas.openxmlformats.org/officeDocument/2006/relationships/hyperlink" Target="https://www.google.com/search?q=site%3Aubi.pt%20Sociologia%20licenciatura" TargetMode="External"/><Relationship Id="rId5203" Type="http://schemas.openxmlformats.org/officeDocument/2006/relationships/hyperlink" Target="https://www.google.com/search?q=site%3Auevora.pt%20Modela&#231;&#227;o%20Estat&#237;stica%20e%20An&#225;lise%20de%20Dados%20mestrado" TargetMode="External"/><Relationship Id="rId5550" Type="http://schemas.openxmlformats.org/officeDocument/2006/relationships/hyperlink" Target="https://www.google.com/search?q=site%3Aup.pt%20Engenharia%20Qu&#237;mica%20mestrado" TargetMode="External"/><Relationship Id="rId1746" Type="http://schemas.openxmlformats.org/officeDocument/2006/relationships/hyperlink" Target="https://www.google.com/search?q=site%3Aipportalegre.pt%20Anima&#231;&#227;o%20e%20Produ&#231;&#227;o%203D%20CTeSP" TargetMode="External"/><Relationship Id="rId38" Type="http://schemas.openxmlformats.org/officeDocument/2006/relationships/hyperlink" Target="https://www.google.com/search?q=site%3Aenautica.pt%20Engenharia%20de%20M&#225;quinas%20Mar&#237;timas%20licenciatura" TargetMode="External"/><Relationship Id="rId1813" Type="http://schemas.openxmlformats.org/officeDocument/2006/relationships/hyperlink" Target="https://www.google.com/search?q=site%3Aipportalegre.pt%20Estudos%20em%20Enfermagem%20mestrado" TargetMode="External"/><Relationship Id="rId4969" Type="http://schemas.openxmlformats.org/officeDocument/2006/relationships/hyperlink" Target="https://www.google.com/search?q=site%3Aulisboa.pt%20Introdu&#231;&#227;o%20&#224;%20Investiga&#231;&#227;o%20em%20Arquitetura%2C%20Urbanismo%20e%20Design%20p&#243;s-gradu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05"/>
  <sheetViews>
    <sheetView showGridLines="0" topLeftCell="B1" zoomScaleNormal="100" workbookViewId="0">
      <pane ySplit="1" topLeftCell="A2" activePane="bottomLeft" state="frozen"/>
      <selection pane="bottomLeft" activeCell="C6" sqref="C6"/>
    </sheetView>
  </sheetViews>
  <sheetFormatPr defaultColWidth="8.6640625" defaultRowHeight="14.4" x14ac:dyDescent="0.3"/>
  <cols>
    <col min="1" max="1" width="56.33203125" style="18" bestFit="1" customWidth="1"/>
    <col min="2" max="2" width="9.109375" style="18" bestFit="1" customWidth="1"/>
    <col min="3" max="3" width="51.21875" style="18" bestFit="1" customWidth="1"/>
    <col min="4" max="4" width="37.33203125" style="18" bestFit="1" customWidth="1"/>
    <col min="5" max="5" width="36.77734375" style="18" bestFit="1" customWidth="1"/>
    <col min="6" max="6" width="150.33203125" style="18" bestFit="1" customWidth="1"/>
    <col min="7" max="7" width="88.5546875" style="18" bestFit="1" customWidth="1"/>
    <col min="8" max="8" width="206.33203125" style="18" bestFit="1" customWidth="1"/>
    <col min="9" max="9" width="255.77734375" style="18" bestFit="1" customWidth="1"/>
    <col min="10" max="10" width="128.21875" style="18" bestFit="1" customWidth="1"/>
    <col min="11" max="11" width="15.21875" style="18" bestFit="1" customWidth="1"/>
    <col min="12" max="12" width="11.109375" style="18" bestFit="1" customWidth="1"/>
    <col min="13" max="13" width="103.6640625" style="18" bestFit="1" customWidth="1"/>
    <col min="14" max="14" width="19.44140625" style="18" bestFit="1" customWidth="1"/>
    <col min="15" max="16384" width="8.6640625" style="18"/>
  </cols>
  <sheetData>
    <row r="1" spans="1:14" ht="33.75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 ht="15" customHeight="1" x14ac:dyDescent="0.3">
      <c r="A2" s="18" t="s">
        <v>14</v>
      </c>
      <c r="B2" s="19" t="s">
        <v>15</v>
      </c>
      <c r="C2" s="18" t="s">
        <v>16</v>
      </c>
      <c r="D2" s="18" t="s">
        <v>17</v>
      </c>
      <c r="E2" s="18" t="s">
        <v>18</v>
      </c>
      <c r="F2" s="18" t="s">
        <v>19</v>
      </c>
      <c r="G2" s="18" t="s">
        <v>20</v>
      </c>
      <c r="H2" s="18" t="s">
        <v>21</v>
      </c>
      <c r="I2" s="20" t="s">
        <v>22</v>
      </c>
      <c r="J2" s="18" t="s">
        <v>23</v>
      </c>
      <c r="K2" s="18" t="s">
        <v>24</v>
      </c>
      <c r="L2" s="18" t="s">
        <v>25</v>
      </c>
      <c r="N2" s="18" t="s">
        <v>26</v>
      </c>
    </row>
    <row r="3" spans="1:14" ht="15" customHeight="1" x14ac:dyDescent="0.3">
      <c r="A3" s="18" t="s">
        <v>14</v>
      </c>
      <c r="B3" s="19" t="s">
        <v>15</v>
      </c>
      <c r="C3" s="18" t="s">
        <v>16</v>
      </c>
      <c r="D3" s="18" t="s">
        <v>17</v>
      </c>
      <c r="E3" s="18" t="s">
        <v>18</v>
      </c>
      <c r="F3" s="18" t="s">
        <v>27</v>
      </c>
      <c r="G3" s="18" t="s">
        <v>28</v>
      </c>
      <c r="H3" s="18" t="s">
        <v>21</v>
      </c>
      <c r="I3" s="20" t="s">
        <v>29</v>
      </c>
      <c r="J3" s="18" t="s">
        <v>30</v>
      </c>
      <c r="K3" s="18" t="s">
        <v>24</v>
      </c>
      <c r="L3" s="18" t="s">
        <v>25</v>
      </c>
      <c r="N3" s="18" t="s">
        <v>26</v>
      </c>
    </row>
    <row r="4" spans="1:14" ht="15" customHeight="1" x14ac:dyDescent="0.3">
      <c r="A4" s="18" t="s">
        <v>14</v>
      </c>
      <c r="B4" s="19" t="s">
        <v>15</v>
      </c>
      <c r="C4" s="18" t="s">
        <v>16</v>
      </c>
      <c r="D4" s="18" t="s">
        <v>17</v>
      </c>
      <c r="E4" s="18" t="s">
        <v>18</v>
      </c>
      <c r="F4" s="18" t="s">
        <v>31</v>
      </c>
      <c r="G4" s="18" t="s">
        <v>32</v>
      </c>
      <c r="H4" s="18" t="s">
        <v>21</v>
      </c>
      <c r="I4" s="20" t="s">
        <v>33</v>
      </c>
      <c r="J4" s="18" t="s">
        <v>30</v>
      </c>
      <c r="K4" s="18" t="s">
        <v>24</v>
      </c>
      <c r="L4" s="18" t="s">
        <v>25</v>
      </c>
      <c r="N4" s="18" t="s">
        <v>26</v>
      </c>
    </row>
    <row r="5" spans="1:14" ht="15" customHeight="1" x14ac:dyDescent="0.3">
      <c r="A5" s="18" t="s">
        <v>14</v>
      </c>
      <c r="B5" s="19" t="s">
        <v>15</v>
      </c>
      <c r="C5" s="18" t="s">
        <v>16</v>
      </c>
      <c r="D5" s="18" t="s">
        <v>17</v>
      </c>
      <c r="E5" s="18" t="s">
        <v>18</v>
      </c>
      <c r="F5" s="18" t="s">
        <v>34</v>
      </c>
      <c r="G5" s="18" t="s">
        <v>35</v>
      </c>
      <c r="H5" s="18" t="s">
        <v>21</v>
      </c>
      <c r="I5" s="20" t="s">
        <v>36</v>
      </c>
      <c r="J5" s="18" t="s">
        <v>30</v>
      </c>
      <c r="K5" s="18" t="s">
        <v>24</v>
      </c>
      <c r="L5" s="18" t="s">
        <v>25</v>
      </c>
      <c r="N5" s="18" t="s">
        <v>26</v>
      </c>
    </row>
    <row r="6" spans="1:14" ht="15" customHeight="1" x14ac:dyDescent="0.3">
      <c r="A6" s="18" t="s">
        <v>14</v>
      </c>
      <c r="B6" s="19" t="s">
        <v>15</v>
      </c>
      <c r="C6" s="18" t="s">
        <v>16</v>
      </c>
      <c r="D6" s="18" t="s">
        <v>17</v>
      </c>
      <c r="E6" s="18" t="s">
        <v>18</v>
      </c>
      <c r="F6" s="18" t="s">
        <v>37</v>
      </c>
      <c r="G6" s="18" t="s">
        <v>35</v>
      </c>
      <c r="H6" s="18" t="s">
        <v>21</v>
      </c>
      <c r="I6" s="20" t="s">
        <v>38</v>
      </c>
      <c r="J6" s="18" t="s">
        <v>30</v>
      </c>
      <c r="K6" s="18" t="s">
        <v>24</v>
      </c>
      <c r="L6" s="18" t="s">
        <v>25</v>
      </c>
      <c r="M6" s="18" t="s">
        <v>39</v>
      </c>
      <c r="N6" s="18" t="s">
        <v>26</v>
      </c>
    </row>
    <row r="7" spans="1:14" ht="15" customHeight="1" x14ac:dyDescent="0.3">
      <c r="A7" s="18" t="s">
        <v>14</v>
      </c>
      <c r="B7" s="19" t="s">
        <v>15</v>
      </c>
      <c r="C7" s="18" t="s">
        <v>16</v>
      </c>
      <c r="D7" s="18" t="s">
        <v>17</v>
      </c>
      <c r="E7" s="18" t="s">
        <v>18</v>
      </c>
      <c r="F7" s="18" t="s">
        <v>40</v>
      </c>
      <c r="G7" s="18" t="s">
        <v>41</v>
      </c>
      <c r="H7" s="18" t="s">
        <v>21</v>
      </c>
      <c r="I7" s="20" t="s">
        <v>42</v>
      </c>
      <c r="J7" s="18" t="s">
        <v>30</v>
      </c>
      <c r="K7" s="18" t="s">
        <v>24</v>
      </c>
      <c r="L7" s="18" t="s">
        <v>25</v>
      </c>
      <c r="N7" s="18" t="s">
        <v>26</v>
      </c>
    </row>
    <row r="8" spans="1:14" ht="15" customHeight="1" x14ac:dyDescent="0.3">
      <c r="A8" s="18" t="s">
        <v>14</v>
      </c>
      <c r="B8" s="19" t="s">
        <v>15</v>
      </c>
      <c r="C8" s="18" t="s">
        <v>16</v>
      </c>
      <c r="D8" s="18" t="s">
        <v>17</v>
      </c>
      <c r="E8" s="18" t="s">
        <v>18</v>
      </c>
      <c r="F8" s="18" t="s">
        <v>43</v>
      </c>
      <c r="G8" s="18" t="s">
        <v>44</v>
      </c>
      <c r="H8" s="18" t="s">
        <v>21</v>
      </c>
      <c r="I8" s="20" t="s">
        <v>45</v>
      </c>
      <c r="J8" s="18" t="s">
        <v>30</v>
      </c>
      <c r="K8" s="18" t="s">
        <v>24</v>
      </c>
      <c r="L8" s="18" t="s">
        <v>25</v>
      </c>
      <c r="N8" s="18" t="s">
        <v>26</v>
      </c>
    </row>
    <row r="9" spans="1:14" ht="15" customHeight="1" x14ac:dyDescent="0.3">
      <c r="A9" s="18" t="s">
        <v>14</v>
      </c>
      <c r="B9" s="19" t="s">
        <v>15</v>
      </c>
      <c r="C9" s="18" t="s">
        <v>16</v>
      </c>
      <c r="D9" s="18" t="s">
        <v>17</v>
      </c>
      <c r="E9" s="18" t="s">
        <v>18</v>
      </c>
      <c r="F9" s="18" t="s">
        <v>46</v>
      </c>
      <c r="G9" s="18" t="s">
        <v>47</v>
      </c>
      <c r="H9" s="18" t="s">
        <v>48</v>
      </c>
      <c r="I9" s="20" t="s">
        <v>49</v>
      </c>
      <c r="J9" s="18" t="s">
        <v>30</v>
      </c>
      <c r="K9" s="18" t="s">
        <v>24</v>
      </c>
      <c r="L9" s="18" t="s">
        <v>25</v>
      </c>
      <c r="N9" s="18" t="s">
        <v>26</v>
      </c>
    </row>
    <row r="10" spans="1:14" ht="15" customHeight="1" x14ac:dyDescent="0.3">
      <c r="A10" s="18" t="s">
        <v>14</v>
      </c>
      <c r="B10" s="19" t="s">
        <v>15</v>
      </c>
      <c r="C10" s="18" t="s">
        <v>16</v>
      </c>
      <c r="D10" s="18" t="s">
        <v>17</v>
      </c>
      <c r="E10" s="18" t="s">
        <v>18</v>
      </c>
      <c r="F10" s="18" t="s">
        <v>50</v>
      </c>
      <c r="G10" s="18" t="s">
        <v>51</v>
      </c>
      <c r="H10" s="18" t="s">
        <v>21</v>
      </c>
      <c r="I10" s="20" t="s">
        <v>52</v>
      </c>
      <c r="J10" s="18" t="s">
        <v>30</v>
      </c>
      <c r="K10" s="18" t="s">
        <v>24</v>
      </c>
      <c r="L10" s="18" t="s">
        <v>25</v>
      </c>
      <c r="N10" s="18" t="s">
        <v>26</v>
      </c>
    </row>
    <row r="11" spans="1:14" ht="15" customHeight="1" x14ac:dyDescent="0.3">
      <c r="A11" s="18" t="s">
        <v>14</v>
      </c>
      <c r="B11" s="19" t="s">
        <v>15</v>
      </c>
      <c r="C11" s="18" t="s">
        <v>16</v>
      </c>
      <c r="D11" s="18" t="s">
        <v>17</v>
      </c>
      <c r="E11" s="18" t="s">
        <v>18</v>
      </c>
      <c r="F11" s="18" t="s">
        <v>53</v>
      </c>
      <c r="G11" s="18" t="s">
        <v>41</v>
      </c>
      <c r="H11" s="18" t="s">
        <v>21</v>
      </c>
      <c r="I11" s="20" t="s">
        <v>54</v>
      </c>
      <c r="J11" s="18" t="s">
        <v>30</v>
      </c>
      <c r="K11" s="18" t="s">
        <v>24</v>
      </c>
      <c r="L11" s="18" t="s">
        <v>25</v>
      </c>
      <c r="N11" s="18" t="s">
        <v>26</v>
      </c>
    </row>
    <row r="12" spans="1:14" ht="15" customHeight="1" x14ac:dyDescent="0.3">
      <c r="A12" s="18" t="s">
        <v>14</v>
      </c>
      <c r="B12" s="19" t="s">
        <v>15</v>
      </c>
      <c r="C12" s="18" t="s">
        <v>16</v>
      </c>
      <c r="D12" s="18" t="s">
        <v>17</v>
      </c>
      <c r="E12" s="18" t="s">
        <v>55</v>
      </c>
      <c r="F12" s="18" t="s">
        <v>37</v>
      </c>
      <c r="G12" s="18" t="s">
        <v>35</v>
      </c>
      <c r="H12" s="18" t="s">
        <v>56</v>
      </c>
      <c r="I12" s="20" t="s">
        <v>57</v>
      </c>
      <c r="J12" s="18" t="s">
        <v>58</v>
      </c>
      <c r="K12" s="18" t="s">
        <v>24</v>
      </c>
      <c r="L12" s="18" t="s">
        <v>25</v>
      </c>
      <c r="N12" s="18" t="s">
        <v>26</v>
      </c>
    </row>
    <row r="13" spans="1:14" ht="15" customHeight="1" x14ac:dyDescent="0.3">
      <c r="A13" s="18" t="s">
        <v>14</v>
      </c>
      <c r="B13" s="19" t="s">
        <v>15</v>
      </c>
      <c r="C13" s="18" t="s">
        <v>16</v>
      </c>
      <c r="D13" s="18" t="s">
        <v>17</v>
      </c>
      <c r="E13" s="18" t="s">
        <v>55</v>
      </c>
      <c r="F13" s="18" t="s">
        <v>59</v>
      </c>
      <c r="G13" s="18" t="s">
        <v>60</v>
      </c>
      <c r="H13" s="18" t="s">
        <v>56</v>
      </c>
      <c r="I13" s="20" t="s">
        <v>61</v>
      </c>
      <c r="J13" s="18" t="s">
        <v>58</v>
      </c>
      <c r="K13" s="18" t="s">
        <v>24</v>
      </c>
      <c r="L13" s="18" t="s">
        <v>25</v>
      </c>
      <c r="N13" s="18" t="s">
        <v>26</v>
      </c>
    </row>
    <row r="14" spans="1:14" ht="15" customHeight="1" x14ac:dyDescent="0.3">
      <c r="A14" s="18" t="s">
        <v>14</v>
      </c>
      <c r="B14" s="19" t="s">
        <v>15</v>
      </c>
      <c r="C14" s="18" t="s">
        <v>16</v>
      </c>
      <c r="D14" s="18" t="s">
        <v>17</v>
      </c>
      <c r="E14" s="18" t="s">
        <v>55</v>
      </c>
      <c r="F14" s="18" t="s">
        <v>62</v>
      </c>
      <c r="G14" s="18" t="s">
        <v>63</v>
      </c>
      <c r="H14" s="18" t="s">
        <v>56</v>
      </c>
      <c r="I14" s="20" t="s">
        <v>64</v>
      </c>
      <c r="J14" s="18" t="s">
        <v>58</v>
      </c>
      <c r="K14" s="18" t="s">
        <v>24</v>
      </c>
      <c r="L14" s="18" t="s">
        <v>25</v>
      </c>
      <c r="M14" s="18" t="s">
        <v>39</v>
      </c>
      <c r="N14" s="18" t="s">
        <v>26</v>
      </c>
    </row>
    <row r="15" spans="1:14" ht="15" customHeight="1" x14ac:dyDescent="0.3">
      <c r="A15" s="18" t="s">
        <v>14</v>
      </c>
      <c r="B15" s="19" t="s">
        <v>15</v>
      </c>
      <c r="C15" s="18" t="s">
        <v>16</v>
      </c>
      <c r="D15" s="18" t="s">
        <v>17</v>
      </c>
      <c r="E15" s="18" t="s">
        <v>55</v>
      </c>
      <c r="F15" s="18" t="s">
        <v>40</v>
      </c>
      <c r="G15" s="18" t="s">
        <v>41</v>
      </c>
      <c r="H15" s="18" t="s">
        <v>56</v>
      </c>
      <c r="I15" s="20" t="s">
        <v>65</v>
      </c>
      <c r="J15" s="18" t="s">
        <v>58</v>
      </c>
      <c r="K15" s="18" t="s">
        <v>24</v>
      </c>
      <c r="L15" s="18" t="s">
        <v>25</v>
      </c>
      <c r="N15" s="18" t="s">
        <v>26</v>
      </c>
    </row>
    <row r="16" spans="1:14" ht="15" customHeight="1" x14ac:dyDescent="0.3">
      <c r="A16" s="18" t="s">
        <v>14</v>
      </c>
      <c r="B16" s="19" t="s">
        <v>15</v>
      </c>
      <c r="C16" s="18" t="s">
        <v>16</v>
      </c>
      <c r="D16" s="18" t="s">
        <v>17</v>
      </c>
      <c r="E16" s="18" t="s">
        <v>55</v>
      </c>
      <c r="F16" s="18" t="s">
        <v>66</v>
      </c>
      <c r="G16" s="18" t="s">
        <v>41</v>
      </c>
      <c r="H16" s="18" t="s">
        <v>56</v>
      </c>
      <c r="I16" s="20" t="s">
        <v>67</v>
      </c>
      <c r="J16" s="18" t="s">
        <v>58</v>
      </c>
      <c r="K16" s="18" t="s">
        <v>24</v>
      </c>
      <c r="L16" s="18" t="s">
        <v>25</v>
      </c>
      <c r="M16" s="18" t="s">
        <v>39</v>
      </c>
      <c r="N16" s="18" t="s">
        <v>26</v>
      </c>
    </row>
    <row r="17" spans="1:14" ht="15" customHeight="1" x14ac:dyDescent="0.3">
      <c r="A17" s="18" t="s">
        <v>14</v>
      </c>
      <c r="B17" s="19" t="s">
        <v>15</v>
      </c>
      <c r="C17" s="18" t="s">
        <v>16</v>
      </c>
      <c r="D17" s="18" t="s">
        <v>17</v>
      </c>
      <c r="E17" s="18" t="s">
        <v>55</v>
      </c>
      <c r="F17" s="18" t="s">
        <v>68</v>
      </c>
      <c r="G17" s="18" t="s">
        <v>47</v>
      </c>
      <c r="H17" s="18" t="s">
        <v>69</v>
      </c>
      <c r="I17" s="20" t="s">
        <v>70</v>
      </c>
      <c r="J17" s="18" t="s">
        <v>58</v>
      </c>
      <c r="K17" s="18" t="s">
        <v>24</v>
      </c>
      <c r="L17" s="18" t="s">
        <v>25</v>
      </c>
      <c r="N17" s="18" t="s">
        <v>26</v>
      </c>
    </row>
    <row r="18" spans="1:14" ht="15" customHeight="1" x14ac:dyDescent="0.3">
      <c r="A18" s="18" t="s">
        <v>14</v>
      </c>
      <c r="B18" s="19" t="s">
        <v>15</v>
      </c>
      <c r="C18" s="18" t="s">
        <v>16</v>
      </c>
      <c r="D18" s="18" t="s">
        <v>17</v>
      </c>
      <c r="E18" s="18" t="s">
        <v>55</v>
      </c>
      <c r="F18" s="18" t="s">
        <v>71</v>
      </c>
      <c r="G18" s="18" t="s">
        <v>44</v>
      </c>
      <c r="H18" s="18" t="s">
        <v>56</v>
      </c>
      <c r="I18" s="20" t="s">
        <v>72</v>
      </c>
      <c r="J18" s="18" t="s">
        <v>73</v>
      </c>
      <c r="K18" s="18" t="s">
        <v>24</v>
      </c>
      <c r="L18" s="18" t="s">
        <v>25</v>
      </c>
      <c r="N18" s="18" t="s">
        <v>26</v>
      </c>
    </row>
    <row r="19" spans="1:14" ht="15" customHeight="1" x14ac:dyDescent="0.3">
      <c r="A19" s="18" t="s">
        <v>14</v>
      </c>
      <c r="B19" s="19" t="s">
        <v>15</v>
      </c>
      <c r="C19" s="18" t="s">
        <v>16</v>
      </c>
      <c r="D19" s="18" t="s">
        <v>17</v>
      </c>
      <c r="E19" s="18" t="s">
        <v>74</v>
      </c>
      <c r="F19" s="18" t="s">
        <v>75</v>
      </c>
      <c r="G19" s="18" t="s">
        <v>76</v>
      </c>
      <c r="H19" s="18" t="s">
        <v>14</v>
      </c>
      <c r="I19" s="20" t="s">
        <v>77</v>
      </c>
      <c r="J19" s="18" t="s">
        <v>78</v>
      </c>
      <c r="K19" s="18" t="s">
        <v>24</v>
      </c>
      <c r="L19" s="18" t="s">
        <v>25</v>
      </c>
      <c r="N19" s="18" t="s">
        <v>26</v>
      </c>
    </row>
    <row r="20" spans="1:14" ht="15" customHeight="1" x14ac:dyDescent="0.3">
      <c r="A20" s="18" t="s">
        <v>14</v>
      </c>
      <c r="B20" s="19" t="s">
        <v>15</v>
      </c>
      <c r="C20" s="18" t="s">
        <v>16</v>
      </c>
      <c r="D20" s="18" t="s">
        <v>17</v>
      </c>
      <c r="E20" s="18" t="s">
        <v>74</v>
      </c>
      <c r="F20" s="18" t="s">
        <v>79</v>
      </c>
      <c r="G20" s="18" t="s">
        <v>80</v>
      </c>
      <c r="H20" s="18" t="s">
        <v>81</v>
      </c>
      <c r="I20" s="20" t="s">
        <v>82</v>
      </c>
      <c r="J20" s="18" t="s">
        <v>83</v>
      </c>
      <c r="K20" s="18" t="s">
        <v>24</v>
      </c>
      <c r="L20" s="18" t="s">
        <v>25</v>
      </c>
      <c r="N20" s="18" t="s">
        <v>26</v>
      </c>
    </row>
    <row r="21" spans="1:14" ht="15" customHeight="1" x14ac:dyDescent="0.3">
      <c r="A21" s="18" t="s">
        <v>14</v>
      </c>
      <c r="B21" s="19" t="s">
        <v>15</v>
      </c>
      <c r="C21" s="18" t="s">
        <v>16</v>
      </c>
      <c r="D21" s="18" t="s">
        <v>17</v>
      </c>
      <c r="E21" s="18" t="s">
        <v>74</v>
      </c>
      <c r="F21" s="18" t="s">
        <v>84</v>
      </c>
      <c r="G21" s="18" t="s">
        <v>85</v>
      </c>
      <c r="H21" s="18" t="s">
        <v>81</v>
      </c>
      <c r="I21" s="20" t="s">
        <v>86</v>
      </c>
      <c r="J21" s="18" t="s">
        <v>83</v>
      </c>
      <c r="K21" s="18" t="s">
        <v>24</v>
      </c>
      <c r="L21" s="18" t="s">
        <v>25</v>
      </c>
      <c r="N21" s="18" t="s">
        <v>26</v>
      </c>
    </row>
    <row r="22" spans="1:14" ht="15" customHeight="1" x14ac:dyDescent="0.3">
      <c r="A22" s="18" t="s">
        <v>14</v>
      </c>
      <c r="B22" s="19" t="s">
        <v>15</v>
      </c>
      <c r="C22" s="18" t="s">
        <v>16</v>
      </c>
      <c r="D22" s="18" t="s">
        <v>17</v>
      </c>
      <c r="E22" s="18" t="s">
        <v>74</v>
      </c>
      <c r="F22" s="18" t="s">
        <v>87</v>
      </c>
      <c r="G22" s="18" t="s">
        <v>88</v>
      </c>
      <c r="H22" s="18" t="s">
        <v>14</v>
      </c>
      <c r="I22" s="20" t="s">
        <v>89</v>
      </c>
      <c r="J22" s="18" t="s">
        <v>90</v>
      </c>
      <c r="K22" s="18" t="s">
        <v>91</v>
      </c>
      <c r="L22" s="18" t="s">
        <v>25</v>
      </c>
      <c r="N22" s="18" t="s">
        <v>26</v>
      </c>
    </row>
    <row r="23" spans="1:14" ht="15" customHeight="1" x14ac:dyDescent="0.3">
      <c r="A23" s="18" t="s">
        <v>14</v>
      </c>
      <c r="B23" s="19" t="s">
        <v>15</v>
      </c>
      <c r="C23" s="18" t="s">
        <v>16</v>
      </c>
      <c r="D23" s="18" t="s">
        <v>17</v>
      </c>
      <c r="E23" s="18" t="s">
        <v>74</v>
      </c>
      <c r="F23" s="18" t="s">
        <v>92</v>
      </c>
      <c r="G23" s="18" t="s">
        <v>93</v>
      </c>
      <c r="H23" s="18" t="s">
        <v>81</v>
      </c>
      <c r="I23" s="20" t="s">
        <v>94</v>
      </c>
      <c r="J23" s="18" t="s">
        <v>83</v>
      </c>
      <c r="K23" s="18" t="s">
        <v>24</v>
      </c>
      <c r="L23" s="18" t="s">
        <v>25</v>
      </c>
      <c r="N23" s="18" t="s">
        <v>26</v>
      </c>
    </row>
    <row r="24" spans="1:14" ht="15" customHeight="1" x14ac:dyDescent="0.3">
      <c r="A24" s="18" t="s">
        <v>14</v>
      </c>
      <c r="B24" s="19" t="s">
        <v>15</v>
      </c>
      <c r="C24" s="18" t="s">
        <v>16</v>
      </c>
      <c r="D24" s="18" t="s">
        <v>17</v>
      </c>
      <c r="E24" s="18" t="s">
        <v>74</v>
      </c>
      <c r="F24" s="18" t="s">
        <v>95</v>
      </c>
      <c r="G24" s="18" t="s">
        <v>51</v>
      </c>
      <c r="H24" s="18" t="s">
        <v>96</v>
      </c>
      <c r="I24" s="20" t="s">
        <v>97</v>
      </c>
      <c r="J24" s="18" t="s">
        <v>98</v>
      </c>
      <c r="K24" s="18" t="s">
        <v>91</v>
      </c>
      <c r="L24" s="18" t="s">
        <v>25</v>
      </c>
      <c r="N24" s="18" t="s">
        <v>26</v>
      </c>
    </row>
    <row r="25" spans="1:14" ht="15" customHeight="1" x14ac:dyDescent="0.3">
      <c r="A25" s="18" t="s">
        <v>14</v>
      </c>
      <c r="B25" s="19" t="s">
        <v>15</v>
      </c>
      <c r="C25" s="18" t="s">
        <v>16</v>
      </c>
      <c r="D25" s="18" t="s">
        <v>17</v>
      </c>
      <c r="E25" s="18" t="s">
        <v>74</v>
      </c>
      <c r="F25" s="18" t="s">
        <v>99</v>
      </c>
      <c r="G25" s="18" t="s">
        <v>41</v>
      </c>
      <c r="H25" s="18" t="s">
        <v>100</v>
      </c>
      <c r="I25" s="20" t="s">
        <v>101</v>
      </c>
      <c r="J25" s="18" t="s">
        <v>83</v>
      </c>
      <c r="K25" s="18" t="s">
        <v>24</v>
      </c>
      <c r="L25" s="18" t="s">
        <v>25</v>
      </c>
      <c r="N25" s="18" t="s">
        <v>26</v>
      </c>
    </row>
    <row r="26" spans="1:14" ht="15" customHeight="1" x14ac:dyDescent="0.3">
      <c r="A26" s="18" t="s">
        <v>14</v>
      </c>
      <c r="B26" s="19" t="s">
        <v>15</v>
      </c>
      <c r="C26" s="18" t="s">
        <v>16</v>
      </c>
      <c r="D26" s="18" t="s">
        <v>17</v>
      </c>
      <c r="E26" s="18" t="s">
        <v>74</v>
      </c>
      <c r="F26" s="18" t="s">
        <v>102</v>
      </c>
      <c r="G26" s="18" t="s">
        <v>35</v>
      </c>
      <c r="H26" s="18" t="s">
        <v>14</v>
      </c>
      <c r="I26" s="20" t="s">
        <v>103</v>
      </c>
      <c r="J26" s="18" t="s">
        <v>83</v>
      </c>
      <c r="K26" s="18" t="s">
        <v>24</v>
      </c>
      <c r="L26" s="18" t="s">
        <v>25</v>
      </c>
      <c r="N26" s="18" t="s">
        <v>26</v>
      </c>
    </row>
    <row r="27" spans="1:14" ht="15" customHeight="1" x14ac:dyDescent="0.3">
      <c r="A27" s="18" t="s">
        <v>14</v>
      </c>
      <c r="B27" s="19" t="s">
        <v>15</v>
      </c>
      <c r="C27" s="18" t="s">
        <v>16</v>
      </c>
      <c r="D27" s="18" t="s">
        <v>17</v>
      </c>
      <c r="E27" s="18" t="s">
        <v>74</v>
      </c>
      <c r="F27" s="18" t="s">
        <v>104</v>
      </c>
      <c r="G27" s="18" t="s">
        <v>80</v>
      </c>
      <c r="H27" s="18" t="s">
        <v>105</v>
      </c>
      <c r="I27" s="20" t="s">
        <v>106</v>
      </c>
      <c r="J27" s="18" t="s">
        <v>83</v>
      </c>
      <c r="K27" s="18" t="s">
        <v>24</v>
      </c>
      <c r="L27" s="18" t="s">
        <v>25</v>
      </c>
      <c r="N27" s="18" t="s">
        <v>26</v>
      </c>
    </row>
    <row r="28" spans="1:14" ht="15" customHeight="1" x14ac:dyDescent="0.3">
      <c r="A28" s="18" t="s">
        <v>14</v>
      </c>
      <c r="B28" s="19" t="s">
        <v>15</v>
      </c>
      <c r="C28" s="18" t="s">
        <v>16</v>
      </c>
      <c r="D28" s="18" t="s">
        <v>17</v>
      </c>
      <c r="E28" s="18" t="s">
        <v>74</v>
      </c>
      <c r="F28" s="18" t="s">
        <v>107</v>
      </c>
      <c r="G28" s="18" t="s">
        <v>47</v>
      </c>
      <c r="H28" s="18" t="s">
        <v>108</v>
      </c>
      <c r="I28" s="20" t="s">
        <v>109</v>
      </c>
      <c r="J28" s="18" t="s">
        <v>110</v>
      </c>
      <c r="K28" s="18" t="s">
        <v>91</v>
      </c>
      <c r="L28" s="18" t="s">
        <v>25</v>
      </c>
      <c r="N28" s="18" t="s">
        <v>26</v>
      </c>
    </row>
    <row r="29" spans="1:14" ht="15" customHeight="1" x14ac:dyDescent="0.3">
      <c r="A29" s="18" t="s">
        <v>14</v>
      </c>
      <c r="B29" s="19" t="s">
        <v>15</v>
      </c>
      <c r="C29" s="18" t="s">
        <v>16</v>
      </c>
      <c r="D29" s="18" t="s">
        <v>17</v>
      </c>
      <c r="E29" s="18" t="s">
        <v>74</v>
      </c>
      <c r="F29" s="18" t="s">
        <v>111</v>
      </c>
      <c r="G29" s="18" t="s">
        <v>28</v>
      </c>
      <c r="H29" s="18" t="s">
        <v>14</v>
      </c>
      <c r="I29" s="20" t="s">
        <v>112</v>
      </c>
      <c r="J29" s="18" t="s">
        <v>113</v>
      </c>
      <c r="K29" s="18" t="s">
        <v>24</v>
      </c>
      <c r="L29" s="18" t="s">
        <v>25</v>
      </c>
      <c r="N29" s="18" t="s">
        <v>26</v>
      </c>
    </row>
    <row r="30" spans="1:14" ht="15" customHeight="1" x14ac:dyDescent="0.3">
      <c r="A30" s="18" t="s">
        <v>114</v>
      </c>
      <c r="B30" s="19" t="s">
        <v>15</v>
      </c>
      <c r="C30" s="18" t="s">
        <v>115</v>
      </c>
      <c r="D30" s="18" t="s">
        <v>116</v>
      </c>
      <c r="E30" s="18" t="s">
        <v>117</v>
      </c>
      <c r="F30" s="18" t="s">
        <v>118</v>
      </c>
      <c r="G30" s="18" t="s">
        <v>119</v>
      </c>
      <c r="H30" s="18" t="s">
        <v>120</v>
      </c>
      <c r="I30" s="20" t="s">
        <v>121</v>
      </c>
      <c r="J30" s="18" t="s">
        <v>58</v>
      </c>
      <c r="K30" s="18" t="s">
        <v>24</v>
      </c>
      <c r="L30" s="18" t="s">
        <v>25</v>
      </c>
      <c r="N30" s="18" t="s">
        <v>26</v>
      </c>
    </row>
    <row r="31" spans="1:14" ht="15" customHeight="1" x14ac:dyDescent="0.3">
      <c r="A31" s="18" t="s">
        <v>114</v>
      </c>
      <c r="B31" s="19" t="s">
        <v>15</v>
      </c>
      <c r="C31" s="18" t="s">
        <v>115</v>
      </c>
      <c r="D31" s="18" t="s">
        <v>116</v>
      </c>
      <c r="E31" s="18" t="s">
        <v>117</v>
      </c>
      <c r="F31" s="18" t="s">
        <v>122</v>
      </c>
      <c r="G31" s="18" t="s">
        <v>119</v>
      </c>
      <c r="H31" s="18" t="s">
        <v>120</v>
      </c>
      <c r="I31" s="20" t="s">
        <v>123</v>
      </c>
      <c r="J31" s="18" t="s">
        <v>58</v>
      </c>
      <c r="K31" s="18" t="s">
        <v>24</v>
      </c>
      <c r="L31" s="18" t="s">
        <v>25</v>
      </c>
      <c r="N31" s="18" t="s">
        <v>26</v>
      </c>
    </row>
    <row r="32" spans="1:14" ht="15" customHeight="1" x14ac:dyDescent="0.3">
      <c r="A32" s="18" t="s">
        <v>114</v>
      </c>
      <c r="B32" s="19" t="s">
        <v>15</v>
      </c>
      <c r="C32" s="18" t="s">
        <v>115</v>
      </c>
      <c r="D32" s="18" t="s">
        <v>116</v>
      </c>
      <c r="E32" s="18" t="s">
        <v>117</v>
      </c>
      <c r="F32" s="18" t="s">
        <v>124</v>
      </c>
      <c r="G32" s="18" t="s">
        <v>119</v>
      </c>
      <c r="H32" s="18" t="s">
        <v>120</v>
      </c>
      <c r="I32" s="20" t="s">
        <v>125</v>
      </c>
      <c r="J32" s="18" t="s">
        <v>58</v>
      </c>
      <c r="K32" s="18" t="s">
        <v>24</v>
      </c>
      <c r="L32" s="18" t="s">
        <v>25</v>
      </c>
      <c r="N32" s="18" t="s">
        <v>26</v>
      </c>
    </row>
    <row r="33" spans="1:14" ht="15" customHeight="1" x14ac:dyDescent="0.3">
      <c r="A33" s="18" t="s">
        <v>114</v>
      </c>
      <c r="B33" s="19" t="s">
        <v>15</v>
      </c>
      <c r="C33" s="18" t="s">
        <v>115</v>
      </c>
      <c r="D33" s="18" t="s">
        <v>116</v>
      </c>
      <c r="E33" s="18" t="s">
        <v>117</v>
      </c>
      <c r="F33" s="18" t="s">
        <v>126</v>
      </c>
      <c r="G33" s="18" t="s">
        <v>119</v>
      </c>
      <c r="H33" s="18" t="s">
        <v>120</v>
      </c>
      <c r="I33" s="20" t="s">
        <v>127</v>
      </c>
      <c r="J33" s="18" t="s">
        <v>58</v>
      </c>
      <c r="K33" s="18" t="s">
        <v>24</v>
      </c>
      <c r="L33" s="18" t="s">
        <v>25</v>
      </c>
      <c r="N33" s="18" t="s">
        <v>26</v>
      </c>
    </row>
    <row r="34" spans="1:14" ht="15" customHeight="1" x14ac:dyDescent="0.3">
      <c r="A34" s="18" t="s">
        <v>114</v>
      </c>
      <c r="B34" s="19" t="s">
        <v>15</v>
      </c>
      <c r="C34" s="18" t="s">
        <v>115</v>
      </c>
      <c r="D34" s="18" t="s">
        <v>116</v>
      </c>
      <c r="E34" s="18" t="s">
        <v>117</v>
      </c>
      <c r="F34" s="18" t="s">
        <v>128</v>
      </c>
      <c r="G34" s="18" t="s">
        <v>119</v>
      </c>
      <c r="H34" s="18" t="s">
        <v>120</v>
      </c>
      <c r="I34" s="20" t="s">
        <v>129</v>
      </c>
      <c r="J34" s="18" t="s">
        <v>58</v>
      </c>
      <c r="K34" s="18" t="s">
        <v>24</v>
      </c>
      <c r="L34" s="18" t="s">
        <v>25</v>
      </c>
      <c r="N34" s="18" t="s">
        <v>26</v>
      </c>
    </row>
    <row r="35" spans="1:14" ht="15" customHeight="1" x14ac:dyDescent="0.3">
      <c r="A35" s="18" t="s">
        <v>114</v>
      </c>
      <c r="B35" s="19" t="s">
        <v>15</v>
      </c>
      <c r="C35" s="18" t="s">
        <v>115</v>
      </c>
      <c r="D35" s="18" t="s">
        <v>116</v>
      </c>
      <c r="E35" s="18" t="s">
        <v>117</v>
      </c>
      <c r="F35" s="18" t="s">
        <v>130</v>
      </c>
      <c r="G35" s="18" t="s">
        <v>119</v>
      </c>
      <c r="H35" s="18" t="s">
        <v>120</v>
      </c>
      <c r="I35" s="20" t="s">
        <v>131</v>
      </c>
      <c r="J35" s="18" t="s">
        <v>58</v>
      </c>
      <c r="K35" s="18" t="s">
        <v>24</v>
      </c>
      <c r="L35" s="18" t="s">
        <v>25</v>
      </c>
      <c r="N35" s="18" t="s">
        <v>26</v>
      </c>
    </row>
    <row r="36" spans="1:14" ht="15" customHeight="1" x14ac:dyDescent="0.3">
      <c r="A36" s="18" t="s">
        <v>114</v>
      </c>
      <c r="B36" s="19" t="s">
        <v>15</v>
      </c>
      <c r="C36" s="18" t="s">
        <v>115</v>
      </c>
      <c r="D36" s="18" t="s">
        <v>116</v>
      </c>
      <c r="E36" s="18" t="s">
        <v>117</v>
      </c>
      <c r="F36" s="18" t="s">
        <v>132</v>
      </c>
      <c r="G36" s="18" t="s">
        <v>119</v>
      </c>
      <c r="H36" s="18" t="s">
        <v>120</v>
      </c>
      <c r="I36" s="20" t="s">
        <v>133</v>
      </c>
      <c r="J36" s="18" t="s">
        <v>58</v>
      </c>
      <c r="K36" s="18" t="s">
        <v>24</v>
      </c>
      <c r="L36" s="18" t="s">
        <v>25</v>
      </c>
      <c r="N36" s="18" t="s">
        <v>26</v>
      </c>
    </row>
    <row r="37" spans="1:14" ht="15" customHeight="1" x14ac:dyDescent="0.3">
      <c r="A37" s="18" t="s">
        <v>114</v>
      </c>
      <c r="B37" s="19" t="s">
        <v>15</v>
      </c>
      <c r="C37" s="18" t="s">
        <v>115</v>
      </c>
      <c r="D37" s="18" t="s">
        <v>116</v>
      </c>
      <c r="E37" s="18" t="s">
        <v>18</v>
      </c>
      <c r="F37" s="18" t="s">
        <v>134</v>
      </c>
      <c r="G37" s="18" t="s">
        <v>119</v>
      </c>
      <c r="H37" s="18" t="s">
        <v>120</v>
      </c>
      <c r="I37" s="20" t="s">
        <v>135</v>
      </c>
      <c r="J37" s="18" t="s">
        <v>30</v>
      </c>
      <c r="K37" s="18" t="s">
        <v>24</v>
      </c>
      <c r="L37" s="18" t="s">
        <v>25</v>
      </c>
      <c r="N37" s="18" t="s">
        <v>26</v>
      </c>
    </row>
    <row r="38" spans="1:14" ht="15" customHeight="1" x14ac:dyDescent="0.3">
      <c r="A38" s="18" t="s">
        <v>114</v>
      </c>
      <c r="B38" s="19" t="s">
        <v>15</v>
      </c>
      <c r="C38" s="18" t="s">
        <v>115</v>
      </c>
      <c r="D38" s="18" t="s">
        <v>116</v>
      </c>
      <c r="E38" s="18" t="s">
        <v>18</v>
      </c>
      <c r="F38" s="18" t="s">
        <v>136</v>
      </c>
      <c r="G38" s="18" t="s">
        <v>119</v>
      </c>
      <c r="H38" s="18" t="s">
        <v>120</v>
      </c>
      <c r="I38" s="20" t="s">
        <v>137</v>
      </c>
      <c r="J38" s="18" t="s">
        <v>30</v>
      </c>
      <c r="K38" s="18" t="s">
        <v>24</v>
      </c>
      <c r="L38" s="18" t="s">
        <v>25</v>
      </c>
      <c r="N38" s="18" t="s">
        <v>26</v>
      </c>
    </row>
    <row r="39" spans="1:14" ht="15" customHeight="1" x14ac:dyDescent="0.3">
      <c r="A39" s="18" t="s">
        <v>114</v>
      </c>
      <c r="B39" s="19" t="s">
        <v>15</v>
      </c>
      <c r="C39" s="18" t="s">
        <v>115</v>
      </c>
      <c r="D39" s="18" t="s">
        <v>116</v>
      </c>
      <c r="E39" s="18" t="s">
        <v>18</v>
      </c>
      <c r="F39" s="18" t="s">
        <v>138</v>
      </c>
      <c r="G39" s="18" t="s">
        <v>119</v>
      </c>
      <c r="H39" s="18" t="s">
        <v>120</v>
      </c>
      <c r="I39" s="20" t="s">
        <v>139</v>
      </c>
      <c r="J39" s="18" t="s">
        <v>30</v>
      </c>
      <c r="K39" s="18" t="s">
        <v>24</v>
      </c>
      <c r="L39" s="18" t="s">
        <v>25</v>
      </c>
      <c r="N39" s="18" t="s">
        <v>26</v>
      </c>
    </row>
    <row r="40" spans="1:14" ht="15" customHeight="1" x14ac:dyDescent="0.3">
      <c r="A40" s="18" t="s">
        <v>114</v>
      </c>
      <c r="B40" s="19" t="s">
        <v>15</v>
      </c>
      <c r="C40" s="18" t="s">
        <v>115</v>
      </c>
      <c r="D40" s="18" t="s">
        <v>116</v>
      </c>
      <c r="E40" s="18" t="s">
        <v>18</v>
      </c>
      <c r="F40" s="18" t="s">
        <v>140</v>
      </c>
      <c r="G40" s="18" t="s">
        <v>119</v>
      </c>
      <c r="H40" s="18" t="s">
        <v>120</v>
      </c>
      <c r="I40" s="20" t="s">
        <v>141</v>
      </c>
      <c r="J40" s="18" t="s">
        <v>30</v>
      </c>
      <c r="K40" s="18" t="s">
        <v>24</v>
      </c>
      <c r="L40" s="18" t="s">
        <v>25</v>
      </c>
      <c r="N40" s="18" t="s">
        <v>26</v>
      </c>
    </row>
    <row r="41" spans="1:14" ht="15" customHeight="1" x14ac:dyDescent="0.3">
      <c r="A41" s="18" t="s">
        <v>114</v>
      </c>
      <c r="B41" s="19" t="s">
        <v>15</v>
      </c>
      <c r="C41" s="18" t="s">
        <v>115</v>
      </c>
      <c r="D41" s="18" t="s">
        <v>116</v>
      </c>
      <c r="E41" s="18" t="s">
        <v>18</v>
      </c>
      <c r="F41" s="18" t="s">
        <v>142</v>
      </c>
      <c r="G41" s="18" t="s">
        <v>119</v>
      </c>
      <c r="H41" s="18" t="s">
        <v>120</v>
      </c>
      <c r="I41" s="20" t="s">
        <v>143</v>
      </c>
      <c r="J41" s="18" t="s">
        <v>30</v>
      </c>
      <c r="K41" s="18" t="s">
        <v>24</v>
      </c>
      <c r="L41" s="18" t="s">
        <v>25</v>
      </c>
      <c r="N41" s="18" t="s">
        <v>26</v>
      </c>
    </row>
    <row r="42" spans="1:14" ht="15" customHeight="1" x14ac:dyDescent="0.3">
      <c r="A42" s="18" t="s">
        <v>114</v>
      </c>
      <c r="B42" s="19" t="s">
        <v>15</v>
      </c>
      <c r="C42" s="18" t="s">
        <v>115</v>
      </c>
      <c r="D42" s="18" t="s">
        <v>116</v>
      </c>
      <c r="E42" s="18" t="s">
        <v>18</v>
      </c>
      <c r="F42" s="18" t="s">
        <v>144</v>
      </c>
      <c r="G42" s="18" t="s">
        <v>119</v>
      </c>
      <c r="H42" s="18" t="s">
        <v>120</v>
      </c>
      <c r="I42" s="20" t="s">
        <v>145</v>
      </c>
      <c r="J42" s="18" t="s">
        <v>30</v>
      </c>
      <c r="K42" s="18" t="s">
        <v>24</v>
      </c>
      <c r="L42" s="18" t="s">
        <v>25</v>
      </c>
      <c r="N42" s="18" t="s">
        <v>26</v>
      </c>
    </row>
    <row r="43" spans="1:14" ht="15" customHeight="1" x14ac:dyDescent="0.3">
      <c r="A43" s="18" t="s">
        <v>114</v>
      </c>
      <c r="B43" s="19" t="s">
        <v>15</v>
      </c>
      <c r="C43" s="18" t="s">
        <v>115</v>
      </c>
      <c r="D43" s="18" t="s">
        <v>116</v>
      </c>
      <c r="E43" s="18" t="s">
        <v>55</v>
      </c>
      <c r="F43" s="18" t="s">
        <v>138</v>
      </c>
      <c r="G43" s="18" t="s">
        <v>119</v>
      </c>
      <c r="H43" s="18" t="s">
        <v>120</v>
      </c>
      <c r="I43" s="20" t="s">
        <v>146</v>
      </c>
      <c r="J43" s="18" t="s">
        <v>58</v>
      </c>
      <c r="K43" s="18" t="s">
        <v>24</v>
      </c>
      <c r="L43" s="18" t="s">
        <v>25</v>
      </c>
      <c r="N43" s="18" t="s">
        <v>26</v>
      </c>
    </row>
    <row r="44" spans="1:14" ht="15" customHeight="1" x14ac:dyDescent="0.3">
      <c r="A44" s="18" t="s">
        <v>114</v>
      </c>
      <c r="B44" s="19" t="s">
        <v>15</v>
      </c>
      <c r="C44" s="18" t="s">
        <v>115</v>
      </c>
      <c r="D44" s="18" t="s">
        <v>116</v>
      </c>
      <c r="E44" s="18" t="s">
        <v>55</v>
      </c>
      <c r="F44" s="18" t="s">
        <v>144</v>
      </c>
      <c r="G44" s="18" t="s">
        <v>119</v>
      </c>
      <c r="H44" s="18" t="s">
        <v>120</v>
      </c>
      <c r="I44" s="20" t="s">
        <v>147</v>
      </c>
      <c r="J44" s="18" t="s">
        <v>58</v>
      </c>
      <c r="K44" s="18" t="s">
        <v>24</v>
      </c>
      <c r="L44" s="18" t="s">
        <v>25</v>
      </c>
      <c r="N44" s="18" t="s">
        <v>26</v>
      </c>
    </row>
    <row r="45" spans="1:14" ht="15" customHeight="1" x14ac:dyDescent="0.3">
      <c r="A45" s="18" t="s">
        <v>148</v>
      </c>
      <c r="B45" s="19" t="s">
        <v>15</v>
      </c>
      <c r="C45" s="18" t="s">
        <v>149</v>
      </c>
      <c r="D45" s="18" t="s">
        <v>17</v>
      </c>
      <c r="E45" s="18" t="s">
        <v>18</v>
      </c>
      <c r="F45" s="18" t="s">
        <v>150</v>
      </c>
      <c r="G45" s="18" t="s">
        <v>151</v>
      </c>
      <c r="H45" s="18" t="s">
        <v>152</v>
      </c>
      <c r="I45" s="20" t="s">
        <v>153</v>
      </c>
      <c r="J45" s="18" t="s">
        <v>30</v>
      </c>
      <c r="K45" s="18" t="s">
        <v>24</v>
      </c>
      <c r="L45" s="18" t="s">
        <v>25</v>
      </c>
      <c r="N45" s="18" t="s">
        <v>154</v>
      </c>
    </row>
    <row r="46" spans="1:14" ht="15" customHeight="1" x14ac:dyDescent="0.3">
      <c r="A46" s="18" t="s">
        <v>148</v>
      </c>
      <c r="B46" s="19" t="s">
        <v>15</v>
      </c>
      <c r="C46" s="18" t="s">
        <v>149</v>
      </c>
      <c r="D46" s="18" t="s">
        <v>17</v>
      </c>
      <c r="E46" s="18" t="s">
        <v>18</v>
      </c>
      <c r="F46" s="18" t="s">
        <v>155</v>
      </c>
      <c r="G46" s="18" t="s">
        <v>151</v>
      </c>
      <c r="H46" s="18" t="s">
        <v>152</v>
      </c>
      <c r="I46" s="20" t="s">
        <v>156</v>
      </c>
      <c r="J46" s="18" t="s">
        <v>30</v>
      </c>
      <c r="K46" s="18" t="s">
        <v>24</v>
      </c>
      <c r="L46" s="18" t="s">
        <v>25</v>
      </c>
      <c r="N46" s="18" t="s">
        <v>154</v>
      </c>
    </row>
    <row r="47" spans="1:14" ht="15" customHeight="1" x14ac:dyDescent="0.3">
      <c r="A47" s="18" t="s">
        <v>148</v>
      </c>
      <c r="B47" s="19" t="s">
        <v>15</v>
      </c>
      <c r="C47" s="18" t="s">
        <v>149</v>
      </c>
      <c r="D47" s="18" t="s">
        <v>17</v>
      </c>
      <c r="E47" s="18" t="s">
        <v>18</v>
      </c>
      <c r="F47" s="18" t="s">
        <v>157</v>
      </c>
      <c r="G47" s="18" t="s">
        <v>28</v>
      </c>
      <c r="H47" s="18" t="s">
        <v>152</v>
      </c>
      <c r="I47" s="20" t="s">
        <v>158</v>
      </c>
      <c r="J47" s="18" t="s">
        <v>30</v>
      </c>
      <c r="K47" s="18" t="s">
        <v>24</v>
      </c>
      <c r="L47" s="18" t="s">
        <v>25</v>
      </c>
      <c r="N47" s="18" t="s">
        <v>154</v>
      </c>
    </row>
    <row r="48" spans="1:14" ht="15" customHeight="1" x14ac:dyDescent="0.3">
      <c r="A48" s="18" t="s">
        <v>148</v>
      </c>
      <c r="B48" s="19" t="s">
        <v>15</v>
      </c>
      <c r="C48" s="18" t="s">
        <v>149</v>
      </c>
      <c r="D48" s="18" t="s">
        <v>17</v>
      </c>
      <c r="E48" s="18" t="s">
        <v>18</v>
      </c>
      <c r="F48" s="18" t="s">
        <v>159</v>
      </c>
      <c r="G48" s="18" t="s">
        <v>160</v>
      </c>
      <c r="H48" s="18" t="s">
        <v>152</v>
      </c>
      <c r="I48" s="20" t="s">
        <v>161</v>
      </c>
      <c r="J48" s="18" t="s">
        <v>30</v>
      </c>
      <c r="K48" s="18" t="s">
        <v>24</v>
      </c>
      <c r="L48" s="18" t="s">
        <v>25</v>
      </c>
      <c r="N48" s="18" t="s">
        <v>154</v>
      </c>
    </row>
    <row r="49" spans="1:14" ht="15" customHeight="1" x14ac:dyDescent="0.3">
      <c r="A49" s="18" t="s">
        <v>148</v>
      </c>
      <c r="B49" s="19" t="s">
        <v>15</v>
      </c>
      <c r="C49" s="18" t="s">
        <v>149</v>
      </c>
      <c r="D49" s="18" t="s">
        <v>17</v>
      </c>
      <c r="E49" s="18" t="s">
        <v>18</v>
      </c>
      <c r="F49" s="18" t="s">
        <v>162</v>
      </c>
      <c r="G49" s="18" t="s">
        <v>28</v>
      </c>
      <c r="H49" s="18" t="s">
        <v>152</v>
      </c>
      <c r="I49" s="20" t="s">
        <v>163</v>
      </c>
      <c r="J49" s="18" t="s">
        <v>30</v>
      </c>
      <c r="K49" s="18" t="s">
        <v>24</v>
      </c>
      <c r="L49" s="18" t="s">
        <v>25</v>
      </c>
      <c r="N49" s="18" t="s">
        <v>154</v>
      </c>
    </row>
    <row r="50" spans="1:14" ht="15" customHeight="1" x14ac:dyDescent="0.3">
      <c r="A50" s="18" t="s">
        <v>148</v>
      </c>
      <c r="B50" s="19" t="s">
        <v>15</v>
      </c>
      <c r="C50" s="18" t="s">
        <v>149</v>
      </c>
      <c r="D50" s="18" t="s">
        <v>17</v>
      </c>
      <c r="E50" s="18" t="s">
        <v>18</v>
      </c>
      <c r="F50" s="18" t="s">
        <v>164</v>
      </c>
      <c r="G50" s="18" t="s">
        <v>165</v>
      </c>
      <c r="H50" s="18" t="s">
        <v>152</v>
      </c>
      <c r="I50" s="20" t="s">
        <v>166</v>
      </c>
      <c r="J50" s="18" t="s">
        <v>30</v>
      </c>
      <c r="K50" s="18" t="s">
        <v>24</v>
      </c>
      <c r="L50" s="18" t="s">
        <v>25</v>
      </c>
      <c r="N50" s="18" t="s">
        <v>154</v>
      </c>
    </row>
    <row r="51" spans="1:14" ht="15" customHeight="1" x14ac:dyDescent="0.3">
      <c r="A51" s="18" t="s">
        <v>148</v>
      </c>
      <c r="B51" s="19" t="s">
        <v>15</v>
      </c>
      <c r="C51" s="18" t="s">
        <v>149</v>
      </c>
      <c r="D51" s="18" t="s">
        <v>17</v>
      </c>
      <c r="E51" s="18" t="s">
        <v>55</v>
      </c>
      <c r="F51" s="18" t="s">
        <v>167</v>
      </c>
      <c r="G51" s="18" t="s">
        <v>151</v>
      </c>
      <c r="H51" s="18" t="s">
        <v>152</v>
      </c>
      <c r="I51" s="20" t="s">
        <v>168</v>
      </c>
      <c r="J51" s="18" t="s">
        <v>58</v>
      </c>
      <c r="K51" s="18" t="s">
        <v>24</v>
      </c>
      <c r="L51" s="18" t="s">
        <v>25</v>
      </c>
      <c r="M51" s="18" t="s">
        <v>39</v>
      </c>
      <c r="N51" s="18" t="s">
        <v>154</v>
      </c>
    </row>
    <row r="52" spans="1:14" ht="15" customHeight="1" x14ac:dyDescent="0.3">
      <c r="A52" s="18" t="s">
        <v>148</v>
      </c>
      <c r="B52" s="19" t="s">
        <v>15</v>
      </c>
      <c r="C52" s="18" t="s">
        <v>149</v>
      </c>
      <c r="D52" s="18" t="s">
        <v>17</v>
      </c>
      <c r="E52" s="18" t="s">
        <v>55</v>
      </c>
      <c r="F52" s="18" t="s">
        <v>169</v>
      </c>
      <c r="G52" s="18" t="s">
        <v>160</v>
      </c>
      <c r="H52" s="18" t="s">
        <v>152</v>
      </c>
      <c r="I52" s="20" t="s">
        <v>170</v>
      </c>
      <c r="J52" s="18" t="s">
        <v>58</v>
      </c>
      <c r="K52" s="18" t="s">
        <v>24</v>
      </c>
      <c r="L52" s="18" t="s">
        <v>25</v>
      </c>
      <c r="N52" s="18" t="s">
        <v>154</v>
      </c>
    </row>
    <row r="53" spans="1:14" ht="15" customHeight="1" x14ac:dyDescent="0.3">
      <c r="A53" s="18" t="s">
        <v>148</v>
      </c>
      <c r="B53" s="19" t="s">
        <v>15</v>
      </c>
      <c r="C53" s="18" t="s">
        <v>149</v>
      </c>
      <c r="D53" s="18" t="s">
        <v>17</v>
      </c>
      <c r="E53" s="18" t="s">
        <v>171</v>
      </c>
      <c r="F53" s="18" t="s">
        <v>172</v>
      </c>
      <c r="G53" s="18" t="s">
        <v>173</v>
      </c>
      <c r="H53" s="18" t="s">
        <v>152</v>
      </c>
      <c r="I53" s="20" t="s">
        <v>174</v>
      </c>
      <c r="J53" s="18" t="s">
        <v>175</v>
      </c>
      <c r="K53" s="18" t="s">
        <v>24</v>
      </c>
      <c r="L53" s="18" t="s">
        <v>25</v>
      </c>
      <c r="N53" s="18" t="s">
        <v>154</v>
      </c>
    </row>
    <row r="54" spans="1:14" ht="15" customHeight="1" x14ac:dyDescent="0.3">
      <c r="A54" s="18" t="s">
        <v>148</v>
      </c>
      <c r="B54" s="19" t="s">
        <v>15</v>
      </c>
      <c r="C54" s="18" t="s">
        <v>149</v>
      </c>
      <c r="D54" s="18" t="s">
        <v>17</v>
      </c>
      <c r="E54" s="18" t="s">
        <v>74</v>
      </c>
      <c r="F54" s="18" t="s">
        <v>176</v>
      </c>
      <c r="G54" s="18" t="s">
        <v>160</v>
      </c>
      <c r="H54" s="18" t="s">
        <v>177</v>
      </c>
      <c r="I54" s="20" t="s">
        <v>178</v>
      </c>
      <c r="J54" s="18" t="s">
        <v>179</v>
      </c>
      <c r="K54" s="18" t="s">
        <v>24</v>
      </c>
      <c r="L54" s="18" t="s">
        <v>25</v>
      </c>
      <c r="N54" s="18" t="s">
        <v>154</v>
      </c>
    </row>
    <row r="55" spans="1:14" ht="15" customHeight="1" x14ac:dyDescent="0.3">
      <c r="A55" s="18" t="s">
        <v>148</v>
      </c>
      <c r="B55" s="19" t="s">
        <v>15</v>
      </c>
      <c r="C55" s="18" t="s">
        <v>149</v>
      </c>
      <c r="D55" s="18" t="s">
        <v>17</v>
      </c>
      <c r="E55" s="18" t="s">
        <v>74</v>
      </c>
      <c r="F55" s="18" t="s">
        <v>180</v>
      </c>
      <c r="G55" s="18" t="s">
        <v>173</v>
      </c>
      <c r="H55" s="18" t="s">
        <v>177</v>
      </c>
      <c r="I55" s="20" t="s">
        <v>181</v>
      </c>
      <c r="J55" s="18" t="s">
        <v>179</v>
      </c>
      <c r="K55" s="18" t="s">
        <v>24</v>
      </c>
      <c r="L55" s="18" t="s">
        <v>25</v>
      </c>
      <c r="N55" s="18" t="s">
        <v>154</v>
      </c>
    </row>
    <row r="56" spans="1:14" ht="15" customHeight="1" x14ac:dyDescent="0.3">
      <c r="A56" s="18" t="s">
        <v>148</v>
      </c>
      <c r="B56" s="19" t="s">
        <v>15</v>
      </c>
      <c r="C56" s="18" t="s">
        <v>149</v>
      </c>
      <c r="D56" s="18" t="s">
        <v>17</v>
      </c>
      <c r="E56" s="18" t="s">
        <v>74</v>
      </c>
      <c r="F56" s="18" t="s">
        <v>182</v>
      </c>
      <c r="G56" s="18" t="s">
        <v>151</v>
      </c>
      <c r="H56" s="18" t="s">
        <v>177</v>
      </c>
      <c r="I56" s="20" t="s">
        <v>183</v>
      </c>
      <c r="J56" s="18" t="s">
        <v>179</v>
      </c>
      <c r="K56" s="18" t="s">
        <v>24</v>
      </c>
      <c r="L56" s="18" t="s">
        <v>25</v>
      </c>
      <c r="N56" s="18" t="s">
        <v>154</v>
      </c>
    </row>
    <row r="57" spans="1:14" ht="15" customHeight="1" x14ac:dyDescent="0.3">
      <c r="A57" s="18" t="s">
        <v>148</v>
      </c>
      <c r="B57" s="19" t="s">
        <v>15</v>
      </c>
      <c r="C57" s="18" t="s">
        <v>149</v>
      </c>
      <c r="D57" s="18" t="s">
        <v>17</v>
      </c>
      <c r="E57" s="18" t="s">
        <v>74</v>
      </c>
      <c r="F57" s="18" t="s">
        <v>184</v>
      </c>
      <c r="G57" s="18" t="s">
        <v>165</v>
      </c>
      <c r="H57" s="18" t="s">
        <v>177</v>
      </c>
      <c r="I57" s="20" t="s">
        <v>185</v>
      </c>
      <c r="J57" s="18" t="s">
        <v>179</v>
      </c>
      <c r="K57" s="18" t="s">
        <v>24</v>
      </c>
      <c r="L57" s="18" t="s">
        <v>25</v>
      </c>
      <c r="N57" s="18" t="s">
        <v>154</v>
      </c>
    </row>
    <row r="58" spans="1:14" ht="15" customHeight="1" x14ac:dyDescent="0.3">
      <c r="A58" s="18" t="s">
        <v>148</v>
      </c>
      <c r="B58" s="19" t="s">
        <v>15</v>
      </c>
      <c r="C58" s="18" t="s">
        <v>149</v>
      </c>
      <c r="D58" s="18" t="s">
        <v>17</v>
      </c>
      <c r="E58" s="18" t="s">
        <v>74</v>
      </c>
      <c r="F58" s="18" t="s">
        <v>186</v>
      </c>
      <c r="G58" s="18" t="s">
        <v>160</v>
      </c>
      <c r="H58" s="18" t="s">
        <v>177</v>
      </c>
      <c r="I58" s="20" t="s">
        <v>187</v>
      </c>
      <c r="J58" s="18" t="s">
        <v>188</v>
      </c>
      <c r="K58" s="18" t="s">
        <v>24</v>
      </c>
      <c r="L58" s="18" t="s">
        <v>25</v>
      </c>
      <c r="N58" s="18" t="s">
        <v>154</v>
      </c>
    </row>
    <row r="59" spans="1:14" ht="15" customHeight="1" x14ac:dyDescent="0.3">
      <c r="A59" s="18" t="s">
        <v>148</v>
      </c>
      <c r="B59" s="19" t="s">
        <v>15</v>
      </c>
      <c r="C59" s="18" t="s">
        <v>149</v>
      </c>
      <c r="D59" s="18" t="s">
        <v>17</v>
      </c>
      <c r="E59" s="18" t="s">
        <v>74</v>
      </c>
      <c r="F59" s="18" t="s">
        <v>189</v>
      </c>
      <c r="G59" s="18" t="s">
        <v>151</v>
      </c>
      <c r="H59" s="18" t="s">
        <v>177</v>
      </c>
      <c r="I59" s="20" t="s">
        <v>190</v>
      </c>
      <c r="J59" s="18" t="s">
        <v>179</v>
      </c>
      <c r="K59" s="18" t="s">
        <v>24</v>
      </c>
      <c r="L59" s="18" t="s">
        <v>25</v>
      </c>
      <c r="N59" s="18" t="s">
        <v>154</v>
      </c>
    </row>
    <row r="60" spans="1:14" ht="15" customHeight="1" x14ac:dyDescent="0.3">
      <c r="A60" s="18" t="s">
        <v>148</v>
      </c>
      <c r="B60" s="19" t="s">
        <v>15</v>
      </c>
      <c r="C60" s="18" t="s">
        <v>149</v>
      </c>
      <c r="D60" s="18" t="s">
        <v>17</v>
      </c>
      <c r="E60" s="18" t="s">
        <v>74</v>
      </c>
      <c r="F60" s="18" t="s">
        <v>191</v>
      </c>
      <c r="G60" s="18" t="s">
        <v>192</v>
      </c>
      <c r="H60" s="18" t="s">
        <v>177</v>
      </c>
      <c r="I60" s="20" t="s">
        <v>193</v>
      </c>
      <c r="J60" s="18" t="s">
        <v>179</v>
      </c>
      <c r="K60" s="18" t="s">
        <v>24</v>
      </c>
      <c r="L60" s="18" t="s">
        <v>25</v>
      </c>
      <c r="N60" s="18" t="s">
        <v>154</v>
      </c>
    </row>
    <row r="61" spans="1:14" ht="15" customHeight="1" x14ac:dyDescent="0.3">
      <c r="A61" s="18" t="s">
        <v>148</v>
      </c>
      <c r="B61" s="19" t="s">
        <v>15</v>
      </c>
      <c r="C61" s="18" t="s">
        <v>149</v>
      </c>
      <c r="D61" s="18" t="s">
        <v>17</v>
      </c>
      <c r="E61" s="18" t="s">
        <v>74</v>
      </c>
      <c r="F61" s="18" t="s">
        <v>194</v>
      </c>
      <c r="G61" s="18" t="s">
        <v>28</v>
      </c>
      <c r="H61" s="18" t="s">
        <v>177</v>
      </c>
      <c r="I61" s="20" t="s">
        <v>195</v>
      </c>
      <c r="J61" s="18" t="s">
        <v>179</v>
      </c>
      <c r="K61" s="18" t="s">
        <v>24</v>
      </c>
      <c r="L61" s="18" t="s">
        <v>25</v>
      </c>
      <c r="N61" s="18" t="s">
        <v>154</v>
      </c>
    </row>
    <row r="62" spans="1:14" ht="15" customHeight="1" x14ac:dyDescent="0.3">
      <c r="A62" s="18" t="s">
        <v>148</v>
      </c>
      <c r="B62" s="19" t="s">
        <v>15</v>
      </c>
      <c r="C62" s="18" t="s">
        <v>149</v>
      </c>
      <c r="D62" s="18" t="s">
        <v>17</v>
      </c>
      <c r="E62" s="18" t="s">
        <v>74</v>
      </c>
      <c r="F62" s="18" t="s">
        <v>196</v>
      </c>
      <c r="G62" s="18" t="s">
        <v>197</v>
      </c>
      <c r="H62" s="18" t="s">
        <v>177</v>
      </c>
      <c r="I62" s="20" t="s">
        <v>198</v>
      </c>
      <c r="J62" s="18" t="s">
        <v>199</v>
      </c>
      <c r="K62" s="18" t="s">
        <v>24</v>
      </c>
      <c r="L62" s="18" t="s">
        <v>25</v>
      </c>
      <c r="N62" s="18" t="s">
        <v>154</v>
      </c>
    </row>
    <row r="63" spans="1:14" ht="15" customHeight="1" x14ac:dyDescent="0.3">
      <c r="A63" s="18" t="s">
        <v>148</v>
      </c>
      <c r="B63" s="19" t="s">
        <v>15</v>
      </c>
      <c r="C63" s="18" t="s">
        <v>149</v>
      </c>
      <c r="D63" s="18" t="s">
        <v>17</v>
      </c>
      <c r="E63" s="18" t="s">
        <v>74</v>
      </c>
      <c r="F63" s="18" t="s">
        <v>200</v>
      </c>
      <c r="G63" s="18" t="s">
        <v>28</v>
      </c>
      <c r="H63" s="18" t="s">
        <v>177</v>
      </c>
      <c r="I63" s="20" t="s">
        <v>201</v>
      </c>
      <c r="J63" s="18" t="s">
        <v>179</v>
      </c>
      <c r="K63" s="18" t="s">
        <v>24</v>
      </c>
      <c r="L63" s="18" t="s">
        <v>25</v>
      </c>
      <c r="N63" s="18" t="s">
        <v>154</v>
      </c>
    </row>
    <row r="64" spans="1:14" ht="15" customHeight="1" x14ac:dyDescent="0.3">
      <c r="A64" s="18" t="s">
        <v>148</v>
      </c>
      <c r="B64" s="19" t="s">
        <v>15</v>
      </c>
      <c r="C64" s="18" t="s">
        <v>149</v>
      </c>
      <c r="D64" s="18" t="s">
        <v>17</v>
      </c>
      <c r="E64" s="18" t="s">
        <v>74</v>
      </c>
      <c r="F64" s="18" t="s">
        <v>202</v>
      </c>
      <c r="G64" s="18" t="s">
        <v>165</v>
      </c>
      <c r="H64" s="18" t="s">
        <v>177</v>
      </c>
      <c r="I64" s="20" t="s">
        <v>203</v>
      </c>
      <c r="J64" s="18" t="s">
        <v>179</v>
      </c>
      <c r="K64" s="18" t="s">
        <v>24</v>
      </c>
      <c r="L64" s="18" t="s">
        <v>25</v>
      </c>
      <c r="N64" s="18" t="s">
        <v>154</v>
      </c>
    </row>
    <row r="65" spans="1:14" ht="15" customHeight="1" x14ac:dyDescent="0.3">
      <c r="A65" s="18" t="s">
        <v>148</v>
      </c>
      <c r="B65" s="19" t="s">
        <v>15</v>
      </c>
      <c r="C65" s="18" t="s">
        <v>149</v>
      </c>
      <c r="D65" s="18" t="s">
        <v>17</v>
      </c>
      <c r="E65" s="18" t="s">
        <v>74</v>
      </c>
      <c r="F65" s="18" t="s">
        <v>204</v>
      </c>
      <c r="G65" s="18" t="s">
        <v>160</v>
      </c>
      <c r="H65" s="18" t="s">
        <v>177</v>
      </c>
      <c r="I65" s="20" t="s">
        <v>205</v>
      </c>
      <c r="J65" s="18" t="s">
        <v>179</v>
      </c>
      <c r="K65" s="18" t="s">
        <v>24</v>
      </c>
      <c r="L65" s="18" t="s">
        <v>25</v>
      </c>
      <c r="N65" s="18" t="s">
        <v>154</v>
      </c>
    </row>
    <row r="66" spans="1:14" ht="15" customHeight="1" x14ac:dyDescent="0.3">
      <c r="A66" s="18" t="s">
        <v>148</v>
      </c>
      <c r="B66" s="19" t="s">
        <v>15</v>
      </c>
      <c r="C66" s="18" t="s">
        <v>149</v>
      </c>
      <c r="D66" s="18" t="s">
        <v>17</v>
      </c>
      <c r="E66" s="18" t="s">
        <v>74</v>
      </c>
      <c r="F66" s="18" t="s">
        <v>206</v>
      </c>
      <c r="G66" s="18" t="s">
        <v>207</v>
      </c>
      <c r="H66" s="18" t="s">
        <v>177</v>
      </c>
      <c r="I66" s="20" t="s">
        <v>208</v>
      </c>
      <c r="J66" s="18" t="s">
        <v>179</v>
      </c>
      <c r="K66" s="18" t="s">
        <v>24</v>
      </c>
      <c r="L66" s="18" t="s">
        <v>25</v>
      </c>
      <c r="N66" s="18" t="s">
        <v>154</v>
      </c>
    </row>
    <row r="67" spans="1:14" ht="15" customHeight="1" x14ac:dyDescent="0.3">
      <c r="A67" s="18" t="s">
        <v>209</v>
      </c>
      <c r="B67" s="19" t="s">
        <v>15</v>
      </c>
      <c r="C67" s="18" t="s">
        <v>210</v>
      </c>
      <c r="D67" s="18" t="s">
        <v>17</v>
      </c>
      <c r="E67" s="18" t="s">
        <v>117</v>
      </c>
      <c r="F67" s="18" t="s">
        <v>211</v>
      </c>
      <c r="G67" s="18" t="s">
        <v>212</v>
      </c>
      <c r="H67" s="18" t="s">
        <v>213</v>
      </c>
      <c r="I67" s="20" t="s">
        <v>214</v>
      </c>
      <c r="J67" s="18" t="s">
        <v>58</v>
      </c>
      <c r="K67" s="18" t="s">
        <v>24</v>
      </c>
      <c r="L67" s="18" t="s">
        <v>25</v>
      </c>
      <c r="N67" s="18" t="s">
        <v>26</v>
      </c>
    </row>
    <row r="68" spans="1:14" ht="15" customHeight="1" x14ac:dyDescent="0.3">
      <c r="A68" s="18" t="s">
        <v>209</v>
      </c>
      <c r="B68" s="19" t="s">
        <v>15</v>
      </c>
      <c r="C68" s="18" t="s">
        <v>210</v>
      </c>
      <c r="D68" s="18" t="s">
        <v>17</v>
      </c>
      <c r="E68" s="18" t="s">
        <v>117</v>
      </c>
      <c r="F68" s="18" t="s">
        <v>215</v>
      </c>
      <c r="G68" s="18" t="s">
        <v>41</v>
      </c>
      <c r="H68" s="18" t="s">
        <v>216</v>
      </c>
      <c r="I68" s="20" t="s">
        <v>217</v>
      </c>
      <c r="J68" s="18" t="s">
        <v>58</v>
      </c>
      <c r="K68" s="18" t="s">
        <v>24</v>
      </c>
      <c r="L68" s="18" t="s">
        <v>25</v>
      </c>
      <c r="N68" s="18" t="s">
        <v>26</v>
      </c>
    </row>
    <row r="69" spans="1:14" ht="15" customHeight="1" x14ac:dyDescent="0.3">
      <c r="A69" s="18" t="s">
        <v>209</v>
      </c>
      <c r="B69" s="19" t="s">
        <v>15</v>
      </c>
      <c r="C69" s="18" t="s">
        <v>210</v>
      </c>
      <c r="D69" s="18" t="s">
        <v>17</v>
      </c>
      <c r="E69" s="18" t="s">
        <v>117</v>
      </c>
      <c r="F69" s="18" t="s">
        <v>218</v>
      </c>
      <c r="G69" s="18" t="s">
        <v>219</v>
      </c>
      <c r="H69" s="18" t="s">
        <v>213</v>
      </c>
      <c r="I69" s="20" t="s">
        <v>220</v>
      </c>
      <c r="J69" s="18" t="s">
        <v>58</v>
      </c>
      <c r="K69" s="18" t="s">
        <v>24</v>
      </c>
      <c r="L69" s="18" t="s">
        <v>25</v>
      </c>
      <c r="N69" s="18" t="s">
        <v>26</v>
      </c>
    </row>
    <row r="70" spans="1:14" ht="15" customHeight="1" x14ac:dyDescent="0.3">
      <c r="A70" s="18" t="s">
        <v>209</v>
      </c>
      <c r="B70" s="19" t="s">
        <v>15</v>
      </c>
      <c r="C70" s="18" t="s">
        <v>210</v>
      </c>
      <c r="D70" s="18" t="s">
        <v>17</v>
      </c>
      <c r="E70" s="18" t="s">
        <v>18</v>
      </c>
      <c r="F70" s="18" t="s">
        <v>221</v>
      </c>
      <c r="G70" s="18" t="s">
        <v>212</v>
      </c>
      <c r="H70" s="18" t="s">
        <v>222</v>
      </c>
      <c r="I70" s="20" t="s">
        <v>223</v>
      </c>
      <c r="J70" s="18" t="s">
        <v>30</v>
      </c>
      <c r="K70" s="18" t="s">
        <v>24</v>
      </c>
      <c r="L70" s="18" t="s">
        <v>25</v>
      </c>
      <c r="N70" s="18" t="s">
        <v>26</v>
      </c>
    </row>
    <row r="71" spans="1:14" ht="15" customHeight="1" x14ac:dyDescent="0.3">
      <c r="A71" s="18" t="s">
        <v>209</v>
      </c>
      <c r="B71" s="19" t="s">
        <v>15</v>
      </c>
      <c r="C71" s="18" t="s">
        <v>210</v>
      </c>
      <c r="D71" s="18" t="s">
        <v>17</v>
      </c>
      <c r="E71" s="18" t="s">
        <v>18</v>
      </c>
      <c r="F71" s="18" t="s">
        <v>224</v>
      </c>
      <c r="G71" s="18" t="s">
        <v>41</v>
      </c>
      <c r="H71" s="18" t="s">
        <v>216</v>
      </c>
      <c r="I71" s="20" t="s">
        <v>225</v>
      </c>
      <c r="J71" s="18" t="s">
        <v>30</v>
      </c>
      <c r="K71" s="18" t="s">
        <v>24</v>
      </c>
      <c r="L71" s="18" t="s">
        <v>25</v>
      </c>
      <c r="N71" s="18" t="s">
        <v>26</v>
      </c>
    </row>
    <row r="72" spans="1:14" ht="15" customHeight="1" x14ac:dyDescent="0.3">
      <c r="A72" s="18" t="s">
        <v>209</v>
      </c>
      <c r="B72" s="19" t="s">
        <v>15</v>
      </c>
      <c r="C72" s="18" t="s">
        <v>210</v>
      </c>
      <c r="D72" s="18" t="s">
        <v>17</v>
      </c>
      <c r="E72" s="18" t="s">
        <v>226</v>
      </c>
      <c r="F72" s="18" t="s">
        <v>227</v>
      </c>
      <c r="G72" s="18" t="s">
        <v>41</v>
      </c>
      <c r="H72" s="18" t="s">
        <v>228</v>
      </c>
      <c r="I72" s="20" t="s">
        <v>229</v>
      </c>
      <c r="J72" s="18" t="s">
        <v>230</v>
      </c>
      <c r="K72" s="18" t="s">
        <v>24</v>
      </c>
      <c r="L72" s="18" t="s">
        <v>25</v>
      </c>
      <c r="N72" s="18" t="s">
        <v>26</v>
      </c>
    </row>
    <row r="73" spans="1:14" ht="15" customHeight="1" x14ac:dyDescent="0.3">
      <c r="A73" s="18" t="s">
        <v>209</v>
      </c>
      <c r="B73" s="19" t="s">
        <v>15</v>
      </c>
      <c r="C73" s="18" t="s">
        <v>210</v>
      </c>
      <c r="D73" s="18" t="s">
        <v>17</v>
      </c>
      <c r="E73" s="18" t="s">
        <v>226</v>
      </c>
      <c r="F73" s="18" t="s">
        <v>231</v>
      </c>
      <c r="G73" s="18" t="s">
        <v>41</v>
      </c>
      <c r="H73" s="18" t="s">
        <v>228</v>
      </c>
      <c r="I73" s="20" t="s">
        <v>232</v>
      </c>
      <c r="J73" s="18" t="s">
        <v>233</v>
      </c>
      <c r="K73" s="18" t="s">
        <v>24</v>
      </c>
      <c r="L73" s="18" t="s">
        <v>25</v>
      </c>
      <c r="N73" s="18" t="s">
        <v>26</v>
      </c>
    </row>
    <row r="74" spans="1:14" ht="15" customHeight="1" x14ac:dyDescent="0.3">
      <c r="A74" s="18" t="s">
        <v>234</v>
      </c>
      <c r="B74" s="19" t="s">
        <v>15</v>
      </c>
      <c r="C74" s="18" t="s">
        <v>235</v>
      </c>
      <c r="D74" s="18" t="s">
        <v>17</v>
      </c>
      <c r="E74" s="18" t="s">
        <v>117</v>
      </c>
      <c r="F74" s="18" t="s">
        <v>236</v>
      </c>
      <c r="G74" s="18" t="s">
        <v>28</v>
      </c>
      <c r="H74" s="18" t="s">
        <v>237</v>
      </c>
      <c r="I74" s="20" t="s">
        <v>238</v>
      </c>
      <c r="J74" s="18" t="s">
        <v>58</v>
      </c>
      <c r="K74" s="18" t="s">
        <v>24</v>
      </c>
      <c r="L74" s="18" t="s">
        <v>25</v>
      </c>
      <c r="N74" s="18" t="s">
        <v>154</v>
      </c>
    </row>
    <row r="75" spans="1:14" ht="15" customHeight="1" x14ac:dyDescent="0.3">
      <c r="A75" s="18" t="s">
        <v>234</v>
      </c>
      <c r="B75" s="19" t="s">
        <v>15</v>
      </c>
      <c r="C75" s="18" t="s">
        <v>235</v>
      </c>
      <c r="D75" s="18" t="s">
        <v>17</v>
      </c>
      <c r="E75" s="18" t="s">
        <v>117</v>
      </c>
      <c r="F75" s="18" t="s">
        <v>239</v>
      </c>
      <c r="G75" s="18" t="s">
        <v>28</v>
      </c>
      <c r="H75" s="18" t="s">
        <v>240</v>
      </c>
      <c r="I75" s="20" t="s">
        <v>241</v>
      </c>
      <c r="J75" s="18" t="s">
        <v>58</v>
      </c>
      <c r="K75" s="18" t="s">
        <v>24</v>
      </c>
      <c r="L75" s="18" t="s">
        <v>25</v>
      </c>
      <c r="N75" s="18" t="s">
        <v>154</v>
      </c>
    </row>
    <row r="76" spans="1:14" ht="15" customHeight="1" x14ac:dyDescent="0.3">
      <c r="A76" s="18" t="s">
        <v>234</v>
      </c>
      <c r="B76" s="19" t="s">
        <v>15</v>
      </c>
      <c r="C76" s="18" t="s">
        <v>235</v>
      </c>
      <c r="D76" s="18" t="s">
        <v>17</v>
      </c>
      <c r="E76" s="18" t="s">
        <v>117</v>
      </c>
      <c r="F76" s="18" t="s">
        <v>242</v>
      </c>
      <c r="G76" s="18" t="s">
        <v>243</v>
      </c>
      <c r="H76" s="18" t="s">
        <v>244</v>
      </c>
      <c r="I76" s="20" t="s">
        <v>245</v>
      </c>
      <c r="J76" s="18" t="s">
        <v>58</v>
      </c>
      <c r="K76" s="18" t="s">
        <v>24</v>
      </c>
      <c r="L76" s="18" t="s">
        <v>25</v>
      </c>
      <c r="N76" s="18" t="s">
        <v>154</v>
      </c>
    </row>
    <row r="77" spans="1:14" ht="15" customHeight="1" x14ac:dyDescent="0.3">
      <c r="A77" s="18" t="s">
        <v>234</v>
      </c>
      <c r="B77" s="19" t="s">
        <v>15</v>
      </c>
      <c r="C77" s="18" t="s">
        <v>235</v>
      </c>
      <c r="D77" s="18" t="s">
        <v>17</v>
      </c>
      <c r="E77" s="18" t="s">
        <v>18</v>
      </c>
      <c r="F77" s="18" t="s">
        <v>246</v>
      </c>
      <c r="G77" s="18" t="s">
        <v>160</v>
      </c>
      <c r="H77" s="18" t="s">
        <v>247</v>
      </c>
      <c r="I77" s="20" t="s">
        <v>248</v>
      </c>
      <c r="J77" s="18" t="s">
        <v>30</v>
      </c>
      <c r="K77" s="18" t="s">
        <v>24</v>
      </c>
      <c r="L77" s="18" t="s">
        <v>25</v>
      </c>
      <c r="N77" s="18" t="s">
        <v>154</v>
      </c>
    </row>
    <row r="78" spans="1:14" ht="15" customHeight="1" x14ac:dyDescent="0.3">
      <c r="A78" s="18" t="s">
        <v>234</v>
      </c>
      <c r="B78" s="19" t="s">
        <v>15</v>
      </c>
      <c r="C78" s="18" t="s">
        <v>235</v>
      </c>
      <c r="D78" s="18" t="s">
        <v>17</v>
      </c>
      <c r="E78" s="18" t="s">
        <v>18</v>
      </c>
      <c r="F78" s="18" t="s">
        <v>249</v>
      </c>
      <c r="G78" s="18" t="s">
        <v>250</v>
      </c>
      <c r="H78" s="18" t="s">
        <v>251</v>
      </c>
      <c r="I78" s="20" t="s">
        <v>252</v>
      </c>
      <c r="J78" s="18" t="s">
        <v>30</v>
      </c>
      <c r="K78" s="18" t="s">
        <v>24</v>
      </c>
      <c r="L78" s="18" t="s">
        <v>25</v>
      </c>
      <c r="N78" s="18" t="s">
        <v>154</v>
      </c>
    </row>
    <row r="79" spans="1:14" ht="15" customHeight="1" x14ac:dyDescent="0.3">
      <c r="A79" s="18" t="s">
        <v>234</v>
      </c>
      <c r="B79" s="19" t="s">
        <v>15</v>
      </c>
      <c r="C79" s="18" t="s">
        <v>235</v>
      </c>
      <c r="D79" s="18" t="s">
        <v>17</v>
      </c>
      <c r="E79" s="18" t="s">
        <v>55</v>
      </c>
      <c r="F79" s="18" t="s">
        <v>253</v>
      </c>
      <c r="G79" s="18" t="s">
        <v>28</v>
      </c>
      <c r="H79" s="18" t="s">
        <v>254</v>
      </c>
      <c r="I79" s="20" t="s">
        <v>255</v>
      </c>
      <c r="J79" s="18" t="s">
        <v>58</v>
      </c>
      <c r="K79" s="18" t="s">
        <v>24</v>
      </c>
      <c r="L79" s="18" t="s">
        <v>25</v>
      </c>
      <c r="N79" s="18" t="s">
        <v>154</v>
      </c>
    </row>
    <row r="80" spans="1:14" ht="15" customHeight="1" x14ac:dyDescent="0.3">
      <c r="A80" s="18" t="s">
        <v>234</v>
      </c>
      <c r="B80" s="19" t="s">
        <v>15</v>
      </c>
      <c r="C80" s="18" t="s">
        <v>235</v>
      </c>
      <c r="D80" s="18" t="s">
        <v>17</v>
      </c>
      <c r="E80" s="18" t="s">
        <v>74</v>
      </c>
      <c r="F80" s="18" t="s">
        <v>256</v>
      </c>
      <c r="G80" s="18" t="s">
        <v>28</v>
      </c>
      <c r="H80" s="18" t="s">
        <v>257</v>
      </c>
      <c r="I80" s="20" t="s">
        <v>258</v>
      </c>
      <c r="J80" s="18" t="s">
        <v>199</v>
      </c>
      <c r="K80" s="18" t="s">
        <v>24</v>
      </c>
      <c r="L80" s="18" t="s">
        <v>25</v>
      </c>
      <c r="N80" s="18" t="s">
        <v>154</v>
      </c>
    </row>
    <row r="81" spans="1:14" ht="15" customHeight="1" x14ac:dyDescent="0.3">
      <c r="A81" s="18" t="s">
        <v>234</v>
      </c>
      <c r="B81" s="19" t="s">
        <v>15</v>
      </c>
      <c r="C81" s="18" t="s">
        <v>235</v>
      </c>
      <c r="D81" s="18" t="s">
        <v>17</v>
      </c>
      <c r="E81" s="18" t="s">
        <v>74</v>
      </c>
      <c r="F81" s="18" t="s">
        <v>259</v>
      </c>
      <c r="G81" s="18" t="s">
        <v>28</v>
      </c>
      <c r="H81" s="18" t="s">
        <v>257</v>
      </c>
      <c r="I81" s="20" t="s">
        <v>260</v>
      </c>
      <c r="J81" s="18" t="s">
        <v>199</v>
      </c>
      <c r="K81" s="18" t="s">
        <v>24</v>
      </c>
      <c r="L81" s="18" t="s">
        <v>25</v>
      </c>
      <c r="N81" s="18" t="s">
        <v>154</v>
      </c>
    </row>
    <row r="82" spans="1:14" ht="15" customHeight="1" x14ac:dyDescent="0.3">
      <c r="A82" s="18" t="s">
        <v>261</v>
      </c>
      <c r="B82" s="19" t="s">
        <v>15</v>
      </c>
      <c r="C82" s="18" t="s">
        <v>210</v>
      </c>
      <c r="D82" s="18" t="s">
        <v>17</v>
      </c>
      <c r="E82" s="18" t="s">
        <v>117</v>
      </c>
      <c r="F82" s="18" t="s">
        <v>262</v>
      </c>
      <c r="G82" s="18" t="s">
        <v>263</v>
      </c>
      <c r="H82" s="18" t="s">
        <v>261</v>
      </c>
      <c r="I82" s="20" t="s">
        <v>264</v>
      </c>
      <c r="J82" s="18" t="s">
        <v>58</v>
      </c>
      <c r="K82" s="18" t="s">
        <v>24</v>
      </c>
      <c r="L82" s="18" t="s">
        <v>25</v>
      </c>
      <c r="N82" s="18" t="s">
        <v>26</v>
      </c>
    </row>
    <row r="83" spans="1:14" ht="15" customHeight="1" x14ac:dyDescent="0.3">
      <c r="A83" s="18" t="s">
        <v>261</v>
      </c>
      <c r="B83" s="19" t="s">
        <v>15</v>
      </c>
      <c r="C83" s="18" t="s">
        <v>210</v>
      </c>
      <c r="D83" s="18" t="s">
        <v>17</v>
      </c>
      <c r="E83" s="18" t="s">
        <v>117</v>
      </c>
      <c r="F83" s="18" t="s">
        <v>265</v>
      </c>
      <c r="G83" s="18" t="s">
        <v>160</v>
      </c>
      <c r="H83" s="18" t="s">
        <v>261</v>
      </c>
      <c r="I83" s="20" t="s">
        <v>266</v>
      </c>
      <c r="J83" s="18" t="s">
        <v>58</v>
      </c>
      <c r="K83" s="18" t="s">
        <v>24</v>
      </c>
      <c r="L83" s="18" t="s">
        <v>25</v>
      </c>
      <c r="N83" s="18" t="s">
        <v>26</v>
      </c>
    </row>
    <row r="84" spans="1:14" ht="15" customHeight="1" x14ac:dyDescent="0.3">
      <c r="A84" s="18" t="s">
        <v>261</v>
      </c>
      <c r="B84" s="19" t="s">
        <v>15</v>
      </c>
      <c r="C84" s="18" t="s">
        <v>210</v>
      </c>
      <c r="D84" s="18" t="s">
        <v>17</v>
      </c>
      <c r="E84" s="18" t="s">
        <v>117</v>
      </c>
      <c r="F84" s="18" t="s">
        <v>267</v>
      </c>
      <c r="G84" s="18" t="s">
        <v>263</v>
      </c>
      <c r="H84" s="18" t="s">
        <v>261</v>
      </c>
      <c r="I84" s="20" t="s">
        <v>268</v>
      </c>
      <c r="J84" s="18" t="s">
        <v>58</v>
      </c>
      <c r="K84" s="18" t="s">
        <v>24</v>
      </c>
      <c r="L84" s="18" t="s">
        <v>25</v>
      </c>
      <c r="N84" s="18" t="s">
        <v>26</v>
      </c>
    </row>
    <row r="85" spans="1:14" ht="15" customHeight="1" x14ac:dyDescent="0.3">
      <c r="A85" s="18" t="s">
        <v>261</v>
      </c>
      <c r="B85" s="19" t="s">
        <v>15</v>
      </c>
      <c r="C85" s="18" t="s">
        <v>210</v>
      </c>
      <c r="D85" s="18" t="s">
        <v>17</v>
      </c>
      <c r="E85" s="18" t="s">
        <v>117</v>
      </c>
      <c r="F85" s="18" t="s">
        <v>269</v>
      </c>
      <c r="G85" s="18" t="s">
        <v>270</v>
      </c>
      <c r="H85" s="18" t="s">
        <v>261</v>
      </c>
      <c r="I85" s="20" t="s">
        <v>271</v>
      </c>
      <c r="J85" s="18" t="s">
        <v>58</v>
      </c>
      <c r="K85" s="18" t="s">
        <v>24</v>
      </c>
      <c r="L85" s="18" t="s">
        <v>25</v>
      </c>
      <c r="N85" s="18" t="s">
        <v>26</v>
      </c>
    </row>
    <row r="86" spans="1:14" ht="15" customHeight="1" x14ac:dyDescent="0.3">
      <c r="A86" s="18" t="s">
        <v>261</v>
      </c>
      <c r="B86" s="19" t="s">
        <v>15</v>
      </c>
      <c r="C86" s="18" t="s">
        <v>210</v>
      </c>
      <c r="D86" s="18" t="s">
        <v>17</v>
      </c>
      <c r="E86" s="18" t="s">
        <v>18</v>
      </c>
      <c r="F86" s="18" t="s">
        <v>272</v>
      </c>
      <c r="G86" s="18" t="s">
        <v>273</v>
      </c>
      <c r="H86" s="18" t="s">
        <v>261</v>
      </c>
      <c r="I86" s="20" t="s">
        <v>274</v>
      </c>
      <c r="J86" s="18" t="s">
        <v>30</v>
      </c>
      <c r="K86" s="18" t="s">
        <v>24</v>
      </c>
      <c r="L86" s="18" t="s">
        <v>25</v>
      </c>
      <c r="N86" s="18" t="s">
        <v>26</v>
      </c>
    </row>
    <row r="87" spans="1:14" ht="15" customHeight="1" x14ac:dyDescent="0.3">
      <c r="A87" s="18" t="s">
        <v>261</v>
      </c>
      <c r="B87" s="19" t="s">
        <v>15</v>
      </c>
      <c r="C87" s="18" t="s">
        <v>210</v>
      </c>
      <c r="D87" s="18" t="s">
        <v>17</v>
      </c>
      <c r="E87" s="18" t="s">
        <v>55</v>
      </c>
      <c r="F87" s="18" t="s">
        <v>275</v>
      </c>
      <c r="G87" s="18" t="s">
        <v>276</v>
      </c>
      <c r="H87" s="18" t="s">
        <v>261</v>
      </c>
      <c r="I87" s="20" t="s">
        <v>277</v>
      </c>
      <c r="J87" s="18" t="s">
        <v>73</v>
      </c>
      <c r="K87" s="18" t="s">
        <v>24</v>
      </c>
      <c r="L87" s="18" t="s">
        <v>25</v>
      </c>
      <c r="N87" s="18" t="s">
        <v>26</v>
      </c>
    </row>
    <row r="88" spans="1:14" ht="15" customHeight="1" x14ac:dyDescent="0.3">
      <c r="A88" s="18" t="s">
        <v>261</v>
      </c>
      <c r="B88" s="19" t="s">
        <v>15</v>
      </c>
      <c r="C88" s="18" t="s">
        <v>210</v>
      </c>
      <c r="D88" s="18" t="s">
        <v>17</v>
      </c>
      <c r="E88" s="18" t="s">
        <v>55</v>
      </c>
      <c r="F88" s="18" t="s">
        <v>278</v>
      </c>
      <c r="G88" s="18" t="s">
        <v>279</v>
      </c>
      <c r="H88" s="18" t="s">
        <v>261</v>
      </c>
      <c r="I88" s="20" t="s">
        <v>280</v>
      </c>
      <c r="J88" s="18" t="s">
        <v>58</v>
      </c>
      <c r="K88" s="18" t="s">
        <v>24</v>
      </c>
      <c r="L88" s="18" t="s">
        <v>25</v>
      </c>
      <c r="N88" s="18" t="s">
        <v>26</v>
      </c>
    </row>
    <row r="89" spans="1:14" ht="15" customHeight="1" x14ac:dyDescent="0.3">
      <c r="A89" s="18" t="s">
        <v>261</v>
      </c>
      <c r="B89" s="19" t="s">
        <v>15</v>
      </c>
      <c r="C89" s="18" t="s">
        <v>210</v>
      </c>
      <c r="D89" s="18" t="s">
        <v>17</v>
      </c>
      <c r="E89" s="18" t="s">
        <v>55</v>
      </c>
      <c r="F89" s="18" t="s">
        <v>281</v>
      </c>
      <c r="G89" s="18" t="s">
        <v>282</v>
      </c>
      <c r="H89" s="18" t="s">
        <v>261</v>
      </c>
      <c r="I89" s="20" t="s">
        <v>283</v>
      </c>
      <c r="J89" s="18" t="s">
        <v>58</v>
      </c>
      <c r="K89" s="18" t="s">
        <v>24</v>
      </c>
      <c r="L89" s="18" t="s">
        <v>25</v>
      </c>
      <c r="N89" s="18" t="s">
        <v>26</v>
      </c>
    </row>
    <row r="90" spans="1:14" ht="15" customHeight="1" x14ac:dyDescent="0.3">
      <c r="A90" s="18" t="s">
        <v>261</v>
      </c>
      <c r="B90" s="19" t="s">
        <v>15</v>
      </c>
      <c r="C90" s="18" t="s">
        <v>210</v>
      </c>
      <c r="D90" s="18" t="s">
        <v>17</v>
      </c>
      <c r="E90" s="18" t="s">
        <v>55</v>
      </c>
      <c r="F90" s="18" t="s">
        <v>284</v>
      </c>
      <c r="G90" s="18" t="s">
        <v>282</v>
      </c>
      <c r="H90" s="18" t="s">
        <v>261</v>
      </c>
      <c r="I90" s="20" t="s">
        <v>285</v>
      </c>
      <c r="J90" s="18" t="s">
        <v>58</v>
      </c>
      <c r="K90" s="18" t="s">
        <v>24</v>
      </c>
      <c r="L90" s="18" t="s">
        <v>25</v>
      </c>
      <c r="N90" s="18" t="s">
        <v>26</v>
      </c>
    </row>
    <row r="91" spans="1:14" ht="15" customHeight="1" x14ac:dyDescent="0.3">
      <c r="A91" s="18" t="s">
        <v>261</v>
      </c>
      <c r="B91" s="19" t="s">
        <v>15</v>
      </c>
      <c r="C91" s="18" t="s">
        <v>210</v>
      </c>
      <c r="D91" s="18" t="s">
        <v>17</v>
      </c>
      <c r="E91" s="18" t="s">
        <v>55</v>
      </c>
      <c r="F91" s="18" t="s">
        <v>286</v>
      </c>
      <c r="G91" s="18" t="s">
        <v>273</v>
      </c>
      <c r="H91" s="18" t="s">
        <v>261</v>
      </c>
      <c r="I91" s="20" t="s">
        <v>287</v>
      </c>
      <c r="J91" s="18" t="s">
        <v>58</v>
      </c>
      <c r="K91" s="18" t="s">
        <v>24</v>
      </c>
      <c r="L91" s="18" t="s">
        <v>25</v>
      </c>
      <c r="N91" s="18" t="s">
        <v>26</v>
      </c>
    </row>
    <row r="92" spans="1:14" ht="15" customHeight="1" x14ac:dyDescent="0.3">
      <c r="A92" s="18" t="s">
        <v>261</v>
      </c>
      <c r="B92" s="19" t="s">
        <v>15</v>
      </c>
      <c r="C92" s="18" t="s">
        <v>288</v>
      </c>
      <c r="D92" s="18" t="s">
        <v>17</v>
      </c>
      <c r="E92" s="18" t="s">
        <v>74</v>
      </c>
      <c r="F92" s="18" t="s">
        <v>289</v>
      </c>
      <c r="G92" s="18" t="s">
        <v>273</v>
      </c>
      <c r="H92" s="18" t="s">
        <v>290</v>
      </c>
      <c r="I92" s="20" t="s">
        <v>291</v>
      </c>
      <c r="J92" s="18" t="s">
        <v>292</v>
      </c>
      <c r="K92" s="18" t="s">
        <v>293</v>
      </c>
      <c r="L92" s="18" t="s">
        <v>25</v>
      </c>
      <c r="N92" s="18" t="s">
        <v>26</v>
      </c>
    </row>
    <row r="93" spans="1:14" ht="15" customHeight="1" x14ac:dyDescent="0.3">
      <c r="A93" s="18" t="s">
        <v>261</v>
      </c>
      <c r="B93" s="19" t="s">
        <v>15</v>
      </c>
      <c r="C93" s="18" t="s">
        <v>210</v>
      </c>
      <c r="D93" s="18" t="s">
        <v>17</v>
      </c>
      <c r="E93" s="18" t="s">
        <v>74</v>
      </c>
      <c r="F93" s="18" t="s">
        <v>294</v>
      </c>
      <c r="G93" s="18" t="s">
        <v>273</v>
      </c>
      <c r="H93" s="18" t="s">
        <v>290</v>
      </c>
      <c r="I93" s="20" t="s">
        <v>295</v>
      </c>
      <c r="J93" s="18" t="s">
        <v>296</v>
      </c>
      <c r="K93" s="18" t="s">
        <v>293</v>
      </c>
      <c r="L93" s="18" t="s">
        <v>25</v>
      </c>
      <c r="N93" s="18" t="s">
        <v>26</v>
      </c>
    </row>
    <row r="94" spans="1:14" ht="15" customHeight="1" x14ac:dyDescent="0.3">
      <c r="A94" s="18" t="s">
        <v>261</v>
      </c>
      <c r="B94" s="19" t="s">
        <v>15</v>
      </c>
      <c r="C94" s="18" t="s">
        <v>210</v>
      </c>
      <c r="D94" s="18" t="s">
        <v>17</v>
      </c>
      <c r="E94" s="18" t="s">
        <v>74</v>
      </c>
      <c r="F94" s="18" t="s">
        <v>297</v>
      </c>
      <c r="G94" s="18" t="s">
        <v>298</v>
      </c>
      <c r="H94" s="18" t="s">
        <v>290</v>
      </c>
      <c r="I94" s="20" t="s">
        <v>299</v>
      </c>
      <c r="J94" s="18" t="s">
        <v>300</v>
      </c>
      <c r="K94" s="18" t="s">
        <v>293</v>
      </c>
      <c r="L94" s="18" t="s">
        <v>25</v>
      </c>
      <c r="N94" s="18" t="s">
        <v>26</v>
      </c>
    </row>
    <row r="95" spans="1:14" ht="15" customHeight="1" x14ac:dyDescent="0.3">
      <c r="A95" s="18" t="s">
        <v>261</v>
      </c>
      <c r="B95" s="19" t="s">
        <v>15</v>
      </c>
      <c r="C95" s="18" t="s">
        <v>210</v>
      </c>
      <c r="D95" s="18" t="s">
        <v>17</v>
      </c>
      <c r="E95" s="18" t="s">
        <v>74</v>
      </c>
      <c r="F95" s="18" t="s">
        <v>301</v>
      </c>
      <c r="G95" s="18" t="s">
        <v>273</v>
      </c>
      <c r="H95" s="18" t="s">
        <v>290</v>
      </c>
      <c r="I95" s="20" t="s">
        <v>302</v>
      </c>
      <c r="J95" s="18" t="s">
        <v>303</v>
      </c>
      <c r="K95" s="18" t="s">
        <v>293</v>
      </c>
      <c r="L95" s="18" t="s">
        <v>25</v>
      </c>
      <c r="N95" s="18" t="s">
        <v>26</v>
      </c>
    </row>
    <row r="96" spans="1:14" ht="15" customHeight="1" x14ac:dyDescent="0.3">
      <c r="A96" s="18" t="s">
        <v>261</v>
      </c>
      <c r="B96" s="19" t="s">
        <v>15</v>
      </c>
      <c r="C96" s="18" t="s">
        <v>210</v>
      </c>
      <c r="D96" s="18" t="s">
        <v>17</v>
      </c>
      <c r="E96" s="18" t="s">
        <v>74</v>
      </c>
      <c r="F96" s="18" t="s">
        <v>304</v>
      </c>
      <c r="G96" s="18" t="s">
        <v>273</v>
      </c>
      <c r="H96" s="18" t="s">
        <v>305</v>
      </c>
      <c r="I96" s="20" t="s">
        <v>306</v>
      </c>
      <c r="J96" s="18" t="s">
        <v>307</v>
      </c>
      <c r="K96" s="18" t="s">
        <v>24</v>
      </c>
      <c r="L96" s="18" t="s">
        <v>25</v>
      </c>
      <c r="N96" s="18" t="s">
        <v>26</v>
      </c>
    </row>
    <row r="97" spans="1:14" ht="15" customHeight="1" x14ac:dyDescent="0.3">
      <c r="A97" s="18" t="s">
        <v>261</v>
      </c>
      <c r="B97" s="19" t="s">
        <v>15</v>
      </c>
      <c r="C97" s="18" t="s">
        <v>210</v>
      </c>
      <c r="D97" s="18" t="s">
        <v>17</v>
      </c>
      <c r="E97" s="18" t="s">
        <v>74</v>
      </c>
      <c r="F97" s="18" t="s">
        <v>308</v>
      </c>
      <c r="G97" s="18" t="s">
        <v>273</v>
      </c>
      <c r="H97" s="18" t="s">
        <v>290</v>
      </c>
      <c r="I97" s="20" t="s">
        <v>309</v>
      </c>
      <c r="J97" s="18" t="s">
        <v>310</v>
      </c>
      <c r="K97" s="18" t="s">
        <v>293</v>
      </c>
      <c r="L97" s="18" t="s">
        <v>25</v>
      </c>
      <c r="N97" s="18" t="s">
        <v>26</v>
      </c>
    </row>
    <row r="98" spans="1:14" ht="15" customHeight="1" x14ac:dyDescent="0.3">
      <c r="A98" s="18" t="s">
        <v>261</v>
      </c>
      <c r="B98" s="19" t="s">
        <v>15</v>
      </c>
      <c r="C98" s="18" t="s">
        <v>210</v>
      </c>
      <c r="D98" s="18" t="s">
        <v>17</v>
      </c>
      <c r="E98" s="18" t="s">
        <v>74</v>
      </c>
      <c r="F98" s="18" t="s">
        <v>311</v>
      </c>
      <c r="G98" s="18" t="s">
        <v>312</v>
      </c>
      <c r="H98" s="18" t="s">
        <v>290</v>
      </c>
      <c r="I98" s="20" t="s">
        <v>313</v>
      </c>
      <c r="J98" s="18" t="s">
        <v>314</v>
      </c>
      <c r="K98" s="18" t="s">
        <v>293</v>
      </c>
      <c r="L98" s="18" t="s">
        <v>25</v>
      </c>
      <c r="N98" s="18" t="s">
        <v>26</v>
      </c>
    </row>
    <row r="99" spans="1:14" ht="15" customHeight="1" x14ac:dyDescent="0.3">
      <c r="A99" s="18" t="s">
        <v>261</v>
      </c>
      <c r="B99" s="19" t="s">
        <v>15</v>
      </c>
      <c r="C99" s="18" t="s">
        <v>210</v>
      </c>
      <c r="D99" s="18" t="s">
        <v>17</v>
      </c>
      <c r="E99" s="18" t="s">
        <v>74</v>
      </c>
      <c r="F99" s="18" t="s">
        <v>315</v>
      </c>
      <c r="G99" s="18" t="s">
        <v>273</v>
      </c>
      <c r="H99" s="18" t="s">
        <v>290</v>
      </c>
      <c r="I99" s="20" t="s">
        <v>316</v>
      </c>
      <c r="J99" s="18" t="s">
        <v>317</v>
      </c>
      <c r="K99" s="18" t="s">
        <v>293</v>
      </c>
      <c r="L99" s="18" t="s">
        <v>25</v>
      </c>
      <c r="N99" s="18" t="s">
        <v>26</v>
      </c>
    </row>
    <row r="100" spans="1:14" ht="15" customHeight="1" x14ac:dyDescent="0.3">
      <c r="A100" s="18" t="s">
        <v>261</v>
      </c>
      <c r="B100" s="19" t="s">
        <v>15</v>
      </c>
      <c r="C100" s="18" t="s">
        <v>210</v>
      </c>
      <c r="D100" s="18" t="s">
        <v>17</v>
      </c>
      <c r="E100" s="18" t="s">
        <v>74</v>
      </c>
      <c r="F100" s="18" t="s">
        <v>318</v>
      </c>
      <c r="G100" s="18" t="s">
        <v>273</v>
      </c>
      <c r="H100" s="18" t="s">
        <v>290</v>
      </c>
      <c r="I100" s="20" t="s">
        <v>319</v>
      </c>
      <c r="J100" s="18" t="s">
        <v>320</v>
      </c>
      <c r="K100" s="18" t="s">
        <v>293</v>
      </c>
      <c r="L100" s="18" t="s">
        <v>25</v>
      </c>
      <c r="N100" s="18" t="s">
        <v>26</v>
      </c>
    </row>
    <row r="101" spans="1:14" ht="15" customHeight="1" x14ac:dyDescent="0.3">
      <c r="A101" s="18" t="s">
        <v>261</v>
      </c>
      <c r="B101" s="19" t="s">
        <v>15</v>
      </c>
      <c r="C101" s="18" t="s">
        <v>210</v>
      </c>
      <c r="D101" s="18" t="s">
        <v>17</v>
      </c>
      <c r="E101" s="18" t="s">
        <v>74</v>
      </c>
      <c r="F101" s="18" t="s">
        <v>321</v>
      </c>
      <c r="G101" s="18" t="s">
        <v>273</v>
      </c>
      <c r="H101" s="18" t="s">
        <v>290</v>
      </c>
      <c r="I101" s="20" t="s">
        <v>322</v>
      </c>
      <c r="J101" s="18" t="s">
        <v>323</v>
      </c>
      <c r="K101" s="18" t="s">
        <v>293</v>
      </c>
      <c r="L101" s="18" t="s">
        <v>25</v>
      </c>
      <c r="N101" s="18" t="s">
        <v>26</v>
      </c>
    </row>
    <row r="102" spans="1:14" ht="15" customHeight="1" x14ac:dyDescent="0.3">
      <c r="A102" s="18" t="s">
        <v>261</v>
      </c>
      <c r="B102" s="19" t="s">
        <v>15</v>
      </c>
      <c r="C102" s="18" t="s">
        <v>210</v>
      </c>
      <c r="D102" s="18" t="s">
        <v>17</v>
      </c>
      <c r="E102" s="18" t="s">
        <v>74</v>
      </c>
      <c r="F102" s="18" t="s">
        <v>324</v>
      </c>
      <c r="G102" s="18" t="s">
        <v>273</v>
      </c>
      <c r="H102" s="18" t="s">
        <v>290</v>
      </c>
      <c r="I102" s="20" t="s">
        <v>325</v>
      </c>
      <c r="J102" s="18" t="s">
        <v>326</v>
      </c>
      <c r="K102" s="18" t="s">
        <v>293</v>
      </c>
      <c r="L102" s="18" t="s">
        <v>25</v>
      </c>
      <c r="N102" s="18" t="s">
        <v>26</v>
      </c>
    </row>
    <row r="103" spans="1:14" ht="15" customHeight="1" x14ac:dyDescent="0.3">
      <c r="A103" s="18" t="s">
        <v>261</v>
      </c>
      <c r="B103" s="19" t="s">
        <v>15</v>
      </c>
      <c r="C103" s="18" t="s">
        <v>210</v>
      </c>
      <c r="D103" s="18" t="s">
        <v>17</v>
      </c>
      <c r="E103" s="18" t="s">
        <v>74</v>
      </c>
      <c r="F103" s="18" t="s">
        <v>327</v>
      </c>
      <c r="G103" s="18" t="s">
        <v>273</v>
      </c>
      <c r="H103" s="18" t="s">
        <v>290</v>
      </c>
      <c r="I103" s="20" t="s">
        <v>328</v>
      </c>
      <c r="J103" s="18" t="s">
        <v>329</v>
      </c>
      <c r="K103" s="18" t="s">
        <v>293</v>
      </c>
      <c r="L103" s="18" t="s">
        <v>25</v>
      </c>
      <c r="N103" s="18" t="s">
        <v>26</v>
      </c>
    </row>
    <row r="104" spans="1:14" ht="15" customHeight="1" x14ac:dyDescent="0.3">
      <c r="A104" s="18" t="s">
        <v>261</v>
      </c>
      <c r="B104" s="19" t="s">
        <v>15</v>
      </c>
      <c r="C104" s="18" t="s">
        <v>210</v>
      </c>
      <c r="D104" s="18" t="s">
        <v>17</v>
      </c>
      <c r="E104" s="18" t="s">
        <v>74</v>
      </c>
      <c r="F104" s="18" t="s">
        <v>330</v>
      </c>
      <c r="G104" s="18" t="s">
        <v>273</v>
      </c>
      <c r="H104" s="18" t="s">
        <v>290</v>
      </c>
      <c r="I104" s="20" t="s">
        <v>331</v>
      </c>
      <c r="J104" s="18" t="s">
        <v>332</v>
      </c>
      <c r="K104" s="18" t="s">
        <v>293</v>
      </c>
      <c r="L104" s="18" t="s">
        <v>25</v>
      </c>
      <c r="N104" s="18" t="s">
        <v>26</v>
      </c>
    </row>
    <row r="105" spans="1:14" ht="15" customHeight="1" x14ac:dyDescent="0.3">
      <c r="A105" s="18" t="s">
        <v>261</v>
      </c>
      <c r="B105" s="19" t="s">
        <v>15</v>
      </c>
      <c r="C105" s="18" t="s">
        <v>210</v>
      </c>
      <c r="D105" s="18" t="s">
        <v>17</v>
      </c>
      <c r="E105" s="18" t="s">
        <v>74</v>
      </c>
      <c r="F105" s="18" t="s">
        <v>333</v>
      </c>
      <c r="G105" s="18" t="s">
        <v>273</v>
      </c>
      <c r="H105" s="18" t="s">
        <v>290</v>
      </c>
      <c r="I105" s="20" t="s">
        <v>334</v>
      </c>
      <c r="J105" s="18" t="s">
        <v>335</v>
      </c>
      <c r="K105" s="18" t="s">
        <v>293</v>
      </c>
      <c r="L105" s="18" t="s">
        <v>25</v>
      </c>
      <c r="N105" s="18" t="s">
        <v>26</v>
      </c>
    </row>
    <row r="106" spans="1:14" ht="15" customHeight="1" x14ac:dyDescent="0.3">
      <c r="A106" s="18" t="s">
        <v>261</v>
      </c>
      <c r="B106" s="19" t="s">
        <v>15</v>
      </c>
      <c r="C106" s="18" t="s">
        <v>210</v>
      </c>
      <c r="D106" s="18" t="s">
        <v>17</v>
      </c>
      <c r="E106" s="18" t="s">
        <v>74</v>
      </c>
      <c r="F106" s="18" t="s">
        <v>336</v>
      </c>
      <c r="G106" s="18" t="s">
        <v>273</v>
      </c>
      <c r="H106" s="18" t="s">
        <v>290</v>
      </c>
      <c r="I106" s="20" t="s">
        <v>337</v>
      </c>
      <c r="J106" s="18" t="s">
        <v>338</v>
      </c>
      <c r="K106" s="18" t="s">
        <v>293</v>
      </c>
      <c r="L106" s="18" t="s">
        <v>25</v>
      </c>
      <c r="N106" s="18" t="s">
        <v>26</v>
      </c>
    </row>
    <row r="107" spans="1:14" ht="15" customHeight="1" x14ac:dyDescent="0.3">
      <c r="A107" s="18" t="s">
        <v>261</v>
      </c>
      <c r="B107" s="19" t="s">
        <v>15</v>
      </c>
      <c r="C107" s="18" t="s">
        <v>210</v>
      </c>
      <c r="D107" s="18" t="s">
        <v>17</v>
      </c>
      <c r="E107" s="18" t="s">
        <v>74</v>
      </c>
      <c r="F107" s="18" t="s">
        <v>339</v>
      </c>
      <c r="G107" s="18" t="s">
        <v>340</v>
      </c>
      <c r="H107" s="18" t="s">
        <v>290</v>
      </c>
      <c r="I107" s="20" t="s">
        <v>341</v>
      </c>
      <c r="J107" s="18" t="s">
        <v>342</v>
      </c>
      <c r="K107" s="18" t="s">
        <v>293</v>
      </c>
      <c r="L107" s="18" t="s">
        <v>25</v>
      </c>
      <c r="N107" s="18" t="s">
        <v>26</v>
      </c>
    </row>
    <row r="108" spans="1:14" ht="15" customHeight="1" x14ac:dyDescent="0.3">
      <c r="A108" s="18" t="s">
        <v>261</v>
      </c>
      <c r="B108" s="19" t="s">
        <v>15</v>
      </c>
      <c r="C108" s="18" t="s">
        <v>210</v>
      </c>
      <c r="D108" s="18" t="s">
        <v>17</v>
      </c>
      <c r="E108" s="18" t="s">
        <v>74</v>
      </c>
      <c r="F108" s="18" t="s">
        <v>286</v>
      </c>
      <c r="G108" s="18" t="s">
        <v>273</v>
      </c>
      <c r="H108" s="18" t="s">
        <v>290</v>
      </c>
      <c r="I108" s="20" t="s">
        <v>343</v>
      </c>
      <c r="J108" s="18" t="s">
        <v>344</v>
      </c>
      <c r="K108" s="18" t="s">
        <v>293</v>
      </c>
      <c r="L108" s="18" t="s">
        <v>25</v>
      </c>
      <c r="N108" s="18" t="s">
        <v>26</v>
      </c>
    </row>
    <row r="109" spans="1:14" ht="15" customHeight="1" x14ac:dyDescent="0.3">
      <c r="A109" s="18" t="s">
        <v>261</v>
      </c>
      <c r="B109" s="19" t="s">
        <v>15</v>
      </c>
      <c r="C109" s="18" t="s">
        <v>210</v>
      </c>
      <c r="D109" s="18" t="s">
        <v>17</v>
      </c>
      <c r="E109" s="18" t="s">
        <v>74</v>
      </c>
      <c r="F109" s="18" t="s">
        <v>345</v>
      </c>
      <c r="G109" s="18" t="s">
        <v>273</v>
      </c>
      <c r="H109" s="18" t="s">
        <v>290</v>
      </c>
      <c r="I109" s="20" t="s">
        <v>346</v>
      </c>
      <c r="J109" s="18" t="s">
        <v>347</v>
      </c>
      <c r="K109" s="18" t="s">
        <v>293</v>
      </c>
      <c r="L109" s="18" t="s">
        <v>25</v>
      </c>
      <c r="N109" s="18" t="s">
        <v>26</v>
      </c>
    </row>
    <row r="110" spans="1:14" ht="15" customHeight="1" x14ac:dyDescent="0.3">
      <c r="A110" s="18" t="s">
        <v>348</v>
      </c>
      <c r="B110" s="19" t="s">
        <v>15</v>
      </c>
      <c r="C110" s="18" t="s">
        <v>149</v>
      </c>
      <c r="D110" s="18" t="s">
        <v>17</v>
      </c>
      <c r="E110" s="18" t="s">
        <v>117</v>
      </c>
      <c r="F110" s="18" t="s">
        <v>349</v>
      </c>
      <c r="G110" s="18" t="s">
        <v>160</v>
      </c>
      <c r="H110" s="18" t="s">
        <v>348</v>
      </c>
      <c r="I110" s="20" t="s">
        <v>350</v>
      </c>
      <c r="J110" s="18" t="s">
        <v>58</v>
      </c>
      <c r="K110" s="18" t="s">
        <v>24</v>
      </c>
      <c r="L110" s="18" t="s">
        <v>25</v>
      </c>
      <c r="N110" s="18" t="s">
        <v>154</v>
      </c>
    </row>
    <row r="111" spans="1:14" ht="15" customHeight="1" x14ac:dyDescent="0.3">
      <c r="A111" s="18" t="s">
        <v>348</v>
      </c>
      <c r="B111" s="19" t="s">
        <v>15</v>
      </c>
      <c r="C111" s="18" t="s">
        <v>149</v>
      </c>
      <c r="D111" s="18" t="s">
        <v>17</v>
      </c>
      <c r="E111" s="18" t="s">
        <v>117</v>
      </c>
      <c r="F111" s="18" t="s">
        <v>351</v>
      </c>
      <c r="G111" s="18" t="s">
        <v>273</v>
      </c>
      <c r="H111" s="18" t="s">
        <v>348</v>
      </c>
      <c r="I111" s="20" t="s">
        <v>352</v>
      </c>
      <c r="J111" s="18" t="s">
        <v>58</v>
      </c>
      <c r="K111" s="18" t="s">
        <v>24</v>
      </c>
      <c r="L111" s="18" t="s">
        <v>25</v>
      </c>
      <c r="N111" s="18" t="s">
        <v>154</v>
      </c>
    </row>
    <row r="112" spans="1:14" ht="15" customHeight="1" x14ac:dyDescent="0.3">
      <c r="A112" s="18" t="s">
        <v>348</v>
      </c>
      <c r="B112" s="19" t="s">
        <v>15</v>
      </c>
      <c r="C112" s="18" t="s">
        <v>149</v>
      </c>
      <c r="D112" s="18" t="s">
        <v>17</v>
      </c>
      <c r="E112" s="18" t="s">
        <v>117</v>
      </c>
      <c r="F112" s="18" t="s">
        <v>353</v>
      </c>
      <c r="G112" s="18" t="s">
        <v>263</v>
      </c>
      <c r="H112" s="18" t="s">
        <v>348</v>
      </c>
      <c r="I112" s="20" t="s">
        <v>354</v>
      </c>
      <c r="J112" s="18" t="s">
        <v>58</v>
      </c>
      <c r="K112" s="18" t="s">
        <v>24</v>
      </c>
      <c r="L112" s="18" t="s">
        <v>25</v>
      </c>
      <c r="N112" s="18" t="s">
        <v>154</v>
      </c>
    </row>
    <row r="113" spans="1:14" ht="15" customHeight="1" x14ac:dyDescent="0.3">
      <c r="A113" s="18" t="s">
        <v>348</v>
      </c>
      <c r="B113" s="19" t="s">
        <v>15</v>
      </c>
      <c r="C113" s="18" t="s">
        <v>149</v>
      </c>
      <c r="D113" s="18" t="s">
        <v>17</v>
      </c>
      <c r="E113" s="18" t="s">
        <v>18</v>
      </c>
      <c r="F113" s="18" t="s">
        <v>272</v>
      </c>
      <c r="G113" s="18" t="s">
        <v>273</v>
      </c>
      <c r="H113" s="18" t="s">
        <v>348</v>
      </c>
      <c r="I113" s="20" t="s">
        <v>355</v>
      </c>
      <c r="J113" s="18" t="s">
        <v>30</v>
      </c>
      <c r="K113" s="18" t="s">
        <v>24</v>
      </c>
      <c r="L113" s="18" t="s">
        <v>25</v>
      </c>
      <c r="N113" s="18" t="s">
        <v>154</v>
      </c>
    </row>
    <row r="114" spans="1:14" ht="15" customHeight="1" x14ac:dyDescent="0.3">
      <c r="A114" s="18" t="s">
        <v>348</v>
      </c>
      <c r="B114" s="19" t="s">
        <v>15</v>
      </c>
      <c r="C114" s="18" t="s">
        <v>149</v>
      </c>
      <c r="D114" s="18" t="s">
        <v>17</v>
      </c>
      <c r="E114" s="18" t="s">
        <v>18</v>
      </c>
      <c r="F114" s="18" t="s">
        <v>356</v>
      </c>
      <c r="G114" s="18" t="s">
        <v>273</v>
      </c>
      <c r="H114" s="18" t="s">
        <v>348</v>
      </c>
      <c r="I114" s="20" t="s">
        <v>357</v>
      </c>
      <c r="J114" s="18" t="s">
        <v>30</v>
      </c>
      <c r="K114" s="18" t="s">
        <v>24</v>
      </c>
      <c r="L114" s="18" t="s">
        <v>25</v>
      </c>
      <c r="N114" s="18" t="s">
        <v>154</v>
      </c>
    </row>
    <row r="115" spans="1:14" ht="15" customHeight="1" x14ac:dyDescent="0.3">
      <c r="A115" s="18" t="s">
        <v>348</v>
      </c>
      <c r="B115" s="19" t="s">
        <v>15</v>
      </c>
      <c r="C115" s="18" t="s">
        <v>149</v>
      </c>
      <c r="D115" s="18" t="s">
        <v>17</v>
      </c>
      <c r="E115" s="18" t="s">
        <v>55</v>
      </c>
      <c r="F115" s="18" t="s">
        <v>358</v>
      </c>
      <c r="G115" s="18" t="s">
        <v>273</v>
      </c>
      <c r="H115" s="18" t="s">
        <v>348</v>
      </c>
      <c r="I115" s="20" t="s">
        <v>359</v>
      </c>
      <c r="J115" s="18" t="s">
        <v>58</v>
      </c>
      <c r="K115" s="18" t="s">
        <v>24</v>
      </c>
      <c r="L115" s="18" t="s">
        <v>25</v>
      </c>
      <c r="M115" s="18" t="s">
        <v>39</v>
      </c>
      <c r="N115" s="18" t="s">
        <v>154</v>
      </c>
    </row>
    <row r="116" spans="1:14" ht="15" customHeight="1" x14ac:dyDescent="0.3">
      <c r="A116" s="18" t="s">
        <v>348</v>
      </c>
      <c r="B116" s="19" t="s">
        <v>15</v>
      </c>
      <c r="C116" s="18" t="s">
        <v>149</v>
      </c>
      <c r="D116" s="18" t="s">
        <v>17</v>
      </c>
      <c r="E116" s="18" t="s">
        <v>55</v>
      </c>
      <c r="F116" s="18" t="s">
        <v>360</v>
      </c>
      <c r="G116" s="18" t="s">
        <v>273</v>
      </c>
      <c r="H116" s="18" t="s">
        <v>348</v>
      </c>
      <c r="I116" s="20" t="s">
        <v>361</v>
      </c>
      <c r="J116" s="18" t="s">
        <v>58</v>
      </c>
      <c r="K116" s="18" t="s">
        <v>24</v>
      </c>
      <c r="L116" s="18" t="s">
        <v>25</v>
      </c>
      <c r="M116" s="18" t="s">
        <v>39</v>
      </c>
      <c r="N116" s="18" t="s">
        <v>154</v>
      </c>
    </row>
    <row r="117" spans="1:14" ht="15" customHeight="1" x14ac:dyDescent="0.3">
      <c r="A117" s="18" t="s">
        <v>348</v>
      </c>
      <c r="B117" s="19" t="s">
        <v>15</v>
      </c>
      <c r="C117" s="18" t="s">
        <v>149</v>
      </c>
      <c r="D117" s="18" t="s">
        <v>17</v>
      </c>
      <c r="E117" s="18" t="s">
        <v>55</v>
      </c>
      <c r="F117" s="18" t="s">
        <v>305</v>
      </c>
      <c r="G117" s="18" t="s">
        <v>273</v>
      </c>
      <c r="H117" s="18" t="s">
        <v>348</v>
      </c>
      <c r="I117" s="20" t="s">
        <v>362</v>
      </c>
      <c r="J117" s="18" t="s">
        <v>58</v>
      </c>
      <c r="K117" s="18" t="s">
        <v>24</v>
      </c>
      <c r="L117" s="18" t="s">
        <v>25</v>
      </c>
      <c r="N117" s="18" t="s">
        <v>154</v>
      </c>
    </row>
    <row r="118" spans="1:14" ht="15" customHeight="1" x14ac:dyDescent="0.3">
      <c r="A118" s="18" t="s">
        <v>348</v>
      </c>
      <c r="B118" s="19" t="s">
        <v>15</v>
      </c>
      <c r="C118" s="18" t="s">
        <v>149</v>
      </c>
      <c r="D118" s="18" t="s">
        <v>17</v>
      </c>
      <c r="E118" s="18" t="s">
        <v>55</v>
      </c>
      <c r="F118" s="18" t="s">
        <v>275</v>
      </c>
      <c r="G118" s="18" t="s">
        <v>276</v>
      </c>
      <c r="H118" s="18" t="s">
        <v>348</v>
      </c>
      <c r="I118" s="20" t="s">
        <v>363</v>
      </c>
      <c r="J118" s="18" t="s">
        <v>73</v>
      </c>
      <c r="K118" s="18" t="s">
        <v>24</v>
      </c>
      <c r="L118" s="18" t="s">
        <v>25</v>
      </c>
      <c r="N118" s="18" t="s">
        <v>154</v>
      </c>
    </row>
    <row r="119" spans="1:14" ht="15" customHeight="1" x14ac:dyDescent="0.3">
      <c r="A119" s="18" t="s">
        <v>348</v>
      </c>
      <c r="B119" s="19" t="s">
        <v>15</v>
      </c>
      <c r="C119" s="18" t="s">
        <v>149</v>
      </c>
      <c r="D119" s="18" t="s">
        <v>17</v>
      </c>
      <c r="E119" s="18" t="s">
        <v>55</v>
      </c>
      <c r="F119" s="18" t="s">
        <v>278</v>
      </c>
      <c r="G119" s="18" t="s">
        <v>276</v>
      </c>
      <c r="H119" s="18" t="s">
        <v>348</v>
      </c>
      <c r="I119" s="20" t="s">
        <v>364</v>
      </c>
      <c r="J119" s="18" t="s">
        <v>58</v>
      </c>
      <c r="K119" s="18" t="s">
        <v>24</v>
      </c>
      <c r="L119" s="18" t="s">
        <v>25</v>
      </c>
      <c r="N119" s="18" t="s">
        <v>154</v>
      </c>
    </row>
    <row r="120" spans="1:14" ht="15" customHeight="1" x14ac:dyDescent="0.3">
      <c r="A120" s="18" t="s">
        <v>348</v>
      </c>
      <c r="B120" s="19" t="s">
        <v>15</v>
      </c>
      <c r="C120" s="18" t="s">
        <v>149</v>
      </c>
      <c r="D120" s="18" t="s">
        <v>17</v>
      </c>
      <c r="E120" s="18" t="s">
        <v>55</v>
      </c>
      <c r="F120" s="18" t="s">
        <v>281</v>
      </c>
      <c r="G120" s="18" t="s">
        <v>282</v>
      </c>
      <c r="H120" s="18" t="s">
        <v>348</v>
      </c>
      <c r="I120" s="20" t="s">
        <v>365</v>
      </c>
      <c r="J120" s="18" t="s">
        <v>58</v>
      </c>
      <c r="K120" s="18" t="s">
        <v>24</v>
      </c>
      <c r="L120" s="18" t="s">
        <v>25</v>
      </c>
      <c r="N120" s="18" t="s">
        <v>154</v>
      </c>
    </row>
    <row r="121" spans="1:14" ht="15" customHeight="1" x14ac:dyDescent="0.3">
      <c r="A121" s="18" t="s">
        <v>348</v>
      </c>
      <c r="B121" s="19" t="s">
        <v>15</v>
      </c>
      <c r="C121" s="18" t="s">
        <v>149</v>
      </c>
      <c r="D121" s="18" t="s">
        <v>17</v>
      </c>
      <c r="E121" s="18" t="s">
        <v>55</v>
      </c>
      <c r="F121" s="18" t="s">
        <v>284</v>
      </c>
      <c r="G121" s="18" t="s">
        <v>282</v>
      </c>
      <c r="H121" s="18" t="s">
        <v>348</v>
      </c>
      <c r="I121" s="20" t="s">
        <v>366</v>
      </c>
      <c r="J121" s="18" t="s">
        <v>58</v>
      </c>
      <c r="K121" s="18" t="s">
        <v>24</v>
      </c>
      <c r="L121" s="18" t="s">
        <v>25</v>
      </c>
      <c r="N121" s="18" t="s">
        <v>154</v>
      </c>
    </row>
    <row r="122" spans="1:14" ht="15" customHeight="1" x14ac:dyDescent="0.3">
      <c r="A122" s="18" t="s">
        <v>348</v>
      </c>
      <c r="B122" s="19" t="s">
        <v>15</v>
      </c>
      <c r="C122" s="18" t="s">
        <v>149</v>
      </c>
      <c r="D122" s="18" t="s">
        <v>17</v>
      </c>
      <c r="E122" s="18" t="s">
        <v>55</v>
      </c>
      <c r="F122" s="18" t="s">
        <v>367</v>
      </c>
      <c r="G122" s="18" t="s">
        <v>263</v>
      </c>
      <c r="H122" s="18" t="s">
        <v>348</v>
      </c>
      <c r="I122" s="20" t="s">
        <v>368</v>
      </c>
      <c r="J122" s="18" t="s">
        <v>58</v>
      </c>
      <c r="K122" s="18" t="s">
        <v>24</v>
      </c>
      <c r="L122" s="18" t="s">
        <v>25</v>
      </c>
      <c r="N122" s="18" t="s">
        <v>154</v>
      </c>
    </row>
    <row r="123" spans="1:14" ht="15" customHeight="1" x14ac:dyDescent="0.3">
      <c r="A123" s="18" t="s">
        <v>348</v>
      </c>
      <c r="B123" s="19" t="s">
        <v>15</v>
      </c>
      <c r="C123" s="18" t="s">
        <v>149</v>
      </c>
      <c r="D123" s="18" t="s">
        <v>17</v>
      </c>
      <c r="E123" s="18" t="s">
        <v>74</v>
      </c>
      <c r="F123" s="18" t="s">
        <v>369</v>
      </c>
      <c r="G123" s="18" t="s">
        <v>273</v>
      </c>
      <c r="H123" s="18" t="s">
        <v>370</v>
      </c>
      <c r="I123" s="20" t="s">
        <v>371</v>
      </c>
      <c r="J123" s="18" t="s">
        <v>199</v>
      </c>
      <c r="K123" s="18" t="s">
        <v>293</v>
      </c>
      <c r="L123" s="18" t="s">
        <v>25</v>
      </c>
      <c r="N123" s="18" t="s">
        <v>154</v>
      </c>
    </row>
    <row r="124" spans="1:14" ht="15" customHeight="1" x14ac:dyDescent="0.3">
      <c r="A124" s="18" t="s">
        <v>348</v>
      </c>
      <c r="B124" s="19" t="s">
        <v>15</v>
      </c>
      <c r="C124" s="18" t="s">
        <v>149</v>
      </c>
      <c r="D124" s="18" t="s">
        <v>17</v>
      </c>
      <c r="E124" s="18" t="s">
        <v>74</v>
      </c>
      <c r="F124" s="18" t="s">
        <v>372</v>
      </c>
      <c r="G124" s="18" t="s">
        <v>340</v>
      </c>
      <c r="H124" s="18" t="s">
        <v>373</v>
      </c>
      <c r="I124" s="20" t="s">
        <v>374</v>
      </c>
      <c r="J124" s="18" t="s">
        <v>375</v>
      </c>
      <c r="K124" s="18" t="s">
        <v>293</v>
      </c>
      <c r="L124" s="18" t="s">
        <v>25</v>
      </c>
      <c r="N124" s="18" t="s">
        <v>154</v>
      </c>
    </row>
    <row r="125" spans="1:14" ht="15" customHeight="1" x14ac:dyDescent="0.3">
      <c r="A125" s="18" t="s">
        <v>348</v>
      </c>
      <c r="B125" s="19" t="s">
        <v>15</v>
      </c>
      <c r="C125" s="18" t="s">
        <v>149</v>
      </c>
      <c r="D125" s="18" t="s">
        <v>17</v>
      </c>
      <c r="E125" s="18" t="s">
        <v>74</v>
      </c>
      <c r="F125" s="18" t="s">
        <v>376</v>
      </c>
      <c r="G125" s="18" t="s">
        <v>273</v>
      </c>
      <c r="H125" s="18" t="s">
        <v>377</v>
      </c>
      <c r="I125" s="20" t="s">
        <v>378</v>
      </c>
      <c r="J125" s="18" t="s">
        <v>379</v>
      </c>
      <c r="K125" s="18" t="s">
        <v>293</v>
      </c>
      <c r="L125" s="18" t="s">
        <v>25</v>
      </c>
      <c r="N125" s="18" t="s">
        <v>154</v>
      </c>
    </row>
    <row r="126" spans="1:14" ht="15" customHeight="1" x14ac:dyDescent="0.3">
      <c r="A126" s="18" t="s">
        <v>380</v>
      </c>
      <c r="B126" s="19" t="s">
        <v>15</v>
      </c>
      <c r="C126" s="18" t="s">
        <v>210</v>
      </c>
      <c r="D126" s="18" t="s">
        <v>17</v>
      </c>
      <c r="E126" s="18" t="s">
        <v>18</v>
      </c>
      <c r="F126" s="18" t="s">
        <v>381</v>
      </c>
      <c r="G126" s="18" t="s">
        <v>381</v>
      </c>
      <c r="H126" s="18" t="s">
        <v>380</v>
      </c>
      <c r="I126" s="20" t="s">
        <v>382</v>
      </c>
      <c r="J126" s="18" t="s">
        <v>23</v>
      </c>
      <c r="K126" s="18" t="s">
        <v>24</v>
      </c>
      <c r="L126" s="18" t="s">
        <v>25</v>
      </c>
      <c r="N126" s="18" t="s">
        <v>26</v>
      </c>
    </row>
    <row r="127" spans="1:14" ht="15" customHeight="1" x14ac:dyDescent="0.3">
      <c r="A127" s="18" t="s">
        <v>380</v>
      </c>
      <c r="B127" s="19" t="s">
        <v>15</v>
      </c>
      <c r="C127" s="18" t="s">
        <v>210</v>
      </c>
      <c r="D127" s="18" t="s">
        <v>17</v>
      </c>
      <c r="E127" s="18" t="s">
        <v>55</v>
      </c>
      <c r="F127" s="18" t="s">
        <v>383</v>
      </c>
      <c r="G127" s="18" t="s">
        <v>381</v>
      </c>
      <c r="H127" s="18" t="s">
        <v>380</v>
      </c>
      <c r="I127" s="20" t="s">
        <v>384</v>
      </c>
      <c r="J127" s="18" t="s">
        <v>73</v>
      </c>
      <c r="K127" s="18" t="s">
        <v>24</v>
      </c>
      <c r="L127" s="18" t="s">
        <v>25</v>
      </c>
      <c r="N127" s="18" t="s">
        <v>26</v>
      </c>
    </row>
    <row r="128" spans="1:14" ht="15" customHeight="1" x14ac:dyDescent="0.3">
      <c r="A128" s="18" t="s">
        <v>380</v>
      </c>
      <c r="B128" s="19" t="s">
        <v>15</v>
      </c>
      <c r="C128" s="18" t="s">
        <v>210</v>
      </c>
      <c r="D128" s="18" t="s">
        <v>17</v>
      </c>
      <c r="E128" s="18" t="s">
        <v>55</v>
      </c>
      <c r="F128" s="18" t="s">
        <v>385</v>
      </c>
      <c r="G128" s="18" t="s">
        <v>381</v>
      </c>
      <c r="H128" s="18" t="s">
        <v>380</v>
      </c>
      <c r="I128" s="20" t="s">
        <v>386</v>
      </c>
      <c r="J128" s="18" t="s">
        <v>73</v>
      </c>
      <c r="K128" s="18" t="s">
        <v>24</v>
      </c>
      <c r="L128" s="18" t="s">
        <v>25</v>
      </c>
      <c r="N128" s="18" t="s">
        <v>26</v>
      </c>
    </row>
    <row r="129" spans="1:14" ht="15" customHeight="1" x14ac:dyDescent="0.3">
      <c r="A129" s="18" t="s">
        <v>380</v>
      </c>
      <c r="B129" s="19" t="s">
        <v>15</v>
      </c>
      <c r="C129" s="18" t="s">
        <v>210</v>
      </c>
      <c r="D129" s="18" t="s">
        <v>17</v>
      </c>
      <c r="E129" s="18" t="s">
        <v>74</v>
      </c>
      <c r="F129" s="18" t="s">
        <v>387</v>
      </c>
      <c r="G129" s="18" t="s">
        <v>381</v>
      </c>
      <c r="H129" s="18" t="s">
        <v>388</v>
      </c>
      <c r="I129" s="20" t="s">
        <v>389</v>
      </c>
      <c r="J129" s="18" t="s">
        <v>390</v>
      </c>
      <c r="K129" s="18" t="s">
        <v>24</v>
      </c>
      <c r="L129" s="18" t="s">
        <v>25</v>
      </c>
      <c r="N129" s="18" t="s">
        <v>26</v>
      </c>
    </row>
    <row r="130" spans="1:14" ht="15" customHeight="1" x14ac:dyDescent="0.3">
      <c r="A130" s="18" t="s">
        <v>380</v>
      </c>
      <c r="B130" s="19" t="s">
        <v>15</v>
      </c>
      <c r="C130" s="18" t="s">
        <v>210</v>
      </c>
      <c r="D130" s="18" t="s">
        <v>17</v>
      </c>
      <c r="E130" s="18" t="s">
        <v>74</v>
      </c>
      <c r="F130" s="18" t="s">
        <v>391</v>
      </c>
      <c r="G130" s="18" t="s">
        <v>381</v>
      </c>
      <c r="H130" s="18" t="s">
        <v>392</v>
      </c>
      <c r="I130" s="20" t="s">
        <v>393</v>
      </c>
      <c r="J130" s="18" t="s">
        <v>394</v>
      </c>
      <c r="K130" s="18" t="s">
        <v>24</v>
      </c>
      <c r="L130" s="18" t="s">
        <v>25</v>
      </c>
      <c r="N130" s="18" t="s">
        <v>26</v>
      </c>
    </row>
    <row r="131" spans="1:14" ht="15" customHeight="1" x14ac:dyDescent="0.3">
      <c r="A131" s="18" t="s">
        <v>380</v>
      </c>
      <c r="B131" s="19" t="s">
        <v>15</v>
      </c>
      <c r="C131" s="18" t="s">
        <v>210</v>
      </c>
      <c r="D131" s="18" t="s">
        <v>17</v>
      </c>
      <c r="E131" s="18" t="s">
        <v>74</v>
      </c>
      <c r="F131" s="18" t="s">
        <v>395</v>
      </c>
      <c r="G131" s="18" t="s">
        <v>381</v>
      </c>
      <c r="H131" s="18" t="s">
        <v>392</v>
      </c>
      <c r="I131" s="20" t="s">
        <v>396</v>
      </c>
      <c r="J131" s="18" t="s">
        <v>397</v>
      </c>
      <c r="K131" s="18" t="s">
        <v>293</v>
      </c>
      <c r="L131" s="18" t="s">
        <v>25</v>
      </c>
      <c r="N131" s="18" t="s">
        <v>26</v>
      </c>
    </row>
    <row r="132" spans="1:14" ht="15" customHeight="1" x14ac:dyDescent="0.3">
      <c r="A132" s="18" t="s">
        <v>380</v>
      </c>
      <c r="B132" s="19" t="s">
        <v>15</v>
      </c>
      <c r="C132" s="18" t="s">
        <v>210</v>
      </c>
      <c r="D132" s="18" t="s">
        <v>17</v>
      </c>
      <c r="E132" s="18" t="s">
        <v>74</v>
      </c>
      <c r="F132" s="18" t="s">
        <v>398</v>
      </c>
      <c r="G132" s="18" t="s">
        <v>381</v>
      </c>
      <c r="H132" s="18" t="s">
        <v>392</v>
      </c>
      <c r="I132" s="20" t="s">
        <v>399</v>
      </c>
      <c r="J132" s="18" t="s">
        <v>400</v>
      </c>
      <c r="K132" s="18" t="s">
        <v>293</v>
      </c>
      <c r="L132" s="18" t="s">
        <v>25</v>
      </c>
      <c r="N132" s="18" t="s">
        <v>26</v>
      </c>
    </row>
    <row r="133" spans="1:14" ht="15" customHeight="1" x14ac:dyDescent="0.3">
      <c r="A133" s="18" t="s">
        <v>380</v>
      </c>
      <c r="B133" s="19" t="s">
        <v>15</v>
      </c>
      <c r="C133" s="18" t="s">
        <v>210</v>
      </c>
      <c r="D133" s="18" t="s">
        <v>17</v>
      </c>
      <c r="E133" s="18" t="s">
        <v>74</v>
      </c>
      <c r="F133" s="18" t="s">
        <v>401</v>
      </c>
      <c r="G133" s="18" t="s">
        <v>381</v>
      </c>
      <c r="H133" s="18" t="s">
        <v>392</v>
      </c>
      <c r="I133" s="20" t="s">
        <v>402</v>
      </c>
      <c r="J133" s="18" t="s">
        <v>403</v>
      </c>
      <c r="K133" s="18" t="s">
        <v>293</v>
      </c>
      <c r="L133" s="18" t="s">
        <v>25</v>
      </c>
      <c r="N133" s="18" t="s">
        <v>26</v>
      </c>
    </row>
    <row r="134" spans="1:14" ht="15" customHeight="1" x14ac:dyDescent="0.3">
      <c r="A134" s="18" t="s">
        <v>380</v>
      </c>
      <c r="B134" s="19" t="s">
        <v>15</v>
      </c>
      <c r="C134" s="18" t="s">
        <v>210</v>
      </c>
      <c r="D134" s="18" t="s">
        <v>17</v>
      </c>
      <c r="E134" s="18" t="s">
        <v>74</v>
      </c>
      <c r="F134" s="18" t="s">
        <v>404</v>
      </c>
      <c r="G134" s="18" t="s">
        <v>381</v>
      </c>
      <c r="H134" s="18" t="s">
        <v>392</v>
      </c>
      <c r="I134" s="20" t="s">
        <v>405</v>
      </c>
      <c r="J134" s="18" t="s">
        <v>394</v>
      </c>
      <c r="K134" s="18" t="s">
        <v>91</v>
      </c>
      <c r="L134" s="18" t="s">
        <v>25</v>
      </c>
      <c r="N134" s="18" t="s">
        <v>26</v>
      </c>
    </row>
    <row r="135" spans="1:14" ht="15" customHeight="1" x14ac:dyDescent="0.3">
      <c r="A135" s="18" t="s">
        <v>380</v>
      </c>
      <c r="B135" s="19" t="s">
        <v>15</v>
      </c>
      <c r="C135" s="18" t="s">
        <v>210</v>
      </c>
      <c r="D135" s="18" t="s">
        <v>17</v>
      </c>
      <c r="E135" s="18" t="s">
        <v>74</v>
      </c>
      <c r="F135" s="18" t="s">
        <v>406</v>
      </c>
      <c r="G135" s="18" t="s">
        <v>381</v>
      </c>
      <c r="H135" s="18" t="s">
        <v>392</v>
      </c>
      <c r="I135" s="20" t="s">
        <v>407</v>
      </c>
      <c r="J135" s="18" t="s">
        <v>400</v>
      </c>
      <c r="K135" s="18" t="s">
        <v>24</v>
      </c>
      <c r="L135" s="18" t="s">
        <v>25</v>
      </c>
      <c r="N135" s="18" t="s">
        <v>26</v>
      </c>
    </row>
    <row r="136" spans="1:14" ht="15" customHeight="1" x14ac:dyDescent="0.3">
      <c r="A136" s="18" t="s">
        <v>380</v>
      </c>
      <c r="B136" s="19" t="s">
        <v>15</v>
      </c>
      <c r="C136" s="18" t="s">
        <v>210</v>
      </c>
      <c r="D136" s="18" t="s">
        <v>17</v>
      </c>
      <c r="E136" s="18" t="s">
        <v>74</v>
      </c>
      <c r="F136" s="18" t="s">
        <v>408</v>
      </c>
      <c r="G136" s="18" t="s">
        <v>381</v>
      </c>
      <c r="H136" s="18" t="s">
        <v>392</v>
      </c>
      <c r="I136" s="20" t="s">
        <v>409</v>
      </c>
      <c r="J136" s="18" t="s">
        <v>410</v>
      </c>
      <c r="K136" s="18" t="s">
        <v>24</v>
      </c>
      <c r="L136" s="18" t="s">
        <v>25</v>
      </c>
      <c r="N136" s="18" t="s">
        <v>26</v>
      </c>
    </row>
    <row r="137" spans="1:14" ht="15" customHeight="1" x14ac:dyDescent="0.3">
      <c r="A137" s="18" t="s">
        <v>380</v>
      </c>
      <c r="B137" s="19" t="s">
        <v>15</v>
      </c>
      <c r="C137" s="18" t="s">
        <v>210</v>
      </c>
      <c r="D137" s="18" t="s">
        <v>17</v>
      </c>
      <c r="E137" s="18" t="s">
        <v>74</v>
      </c>
      <c r="F137" s="18" t="s">
        <v>411</v>
      </c>
      <c r="G137" s="18" t="s">
        <v>381</v>
      </c>
      <c r="H137" s="18" t="s">
        <v>392</v>
      </c>
      <c r="I137" s="20" t="s">
        <v>412</v>
      </c>
      <c r="J137" s="18" t="s">
        <v>413</v>
      </c>
      <c r="K137" s="18" t="s">
        <v>293</v>
      </c>
      <c r="L137" s="18" t="s">
        <v>25</v>
      </c>
      <c r="N137" s="18" t="s">
        <v>26</v>
      </c>
    </row>
    <row r="138" spans="1:14" ht="15" customHeight="1" x14ac:dyDescent="0.3">
      <c r="A138" s="18" t="s">
        <v>380</v>
      </c>
      <c r="B138" s="19" t="s">
        <v>15</v>
      </c>
      <c r="C138" s="18" t="s">
        <v>210</v>
      </c>
      <c r="D138" s="18" t="s">
        <v>17</v>
      </c>
      <c r="E138" s="18" t="s">
        <v>74</v>
      </c>
      <c r="F138" s="18" t="s">
        <v>414</v>
      </c>
      <c r="G138" s="18" t="s">
        <v>381</v>
      </c>
      <c r="H138" s="18" t="s">
        <v>392</v>
      </c>
      <c r="I138" s="20" t="s">
        <v>415</v>
      </c>
      <c r="J138" s="18" t="s">
        <v>416</v>
      </c>
      <c r="K138" s="18" t="s">
        <v>24</v>
      </c>
      <c r="L138" s="18" t="s">
        <v>25</v>
      </c>
      <c r="N138" s="18" t="s">
        <v>26</v>
      </c>
    </row>
    <row r="139" spans="1:14" ht="15" customHeight="1" x14ac:dyDescent="0.3">
      <c r="A139" s="18" t="s">
        <v>380</v>
      </c>
      <c r="B139" s="19" t="s">
        <v>15</v>
      </c>
      <c r="C139" s="18" t="s">
        <v>210</v>
      </c>
      <c r="D139" s="18" t="s">
        <v>17</v>
      </c>
      <c r="E139" s="18" t="s">
        <v>74</v>
      </c>
      <c r="F139" s="18" t="s">
        <v>417</v>
      </c>
      <c r="G139" s="18" t="s">
        <v>41</v>
      </c>
      <c r="H139" s="18" t="s">
        <v>392</v>
      </c>
      <c r="I139" s="20" t="s">
        <v>418</v>
      </c>
      <c r="J139" s="18" t="s">
        <v>394</v>
      </c>
      <c r="K139" s="18" t="s">
        <v>293</v>
      </c>
      <c r="L139" s="18" t="s">
        <v>25</v>
      </c>
      <c r="N139" s="18" t="s">
        <v>26</v>
      </c>
    </row>
    <row r="140" spans="1:14" ht="15" customHeight="1" x14ac:dyDescent="0.3">
      <c r="A140" s="18" t="s">
        <v>380</v>
      </c>
      <c r="B140" s="19" t="s">
        <v>15</v>
      </c>
      <c r="C140" s="18" t="s">
        <v>210</v>
      </c>
      <c r="D140" s="18" t="s">
        <v>17</v>
      </c>
      <c r="E140" s="18" t="s">
        <v>74</v>
      </c>
      <c r="F140" s="18" t="s">
        <v>419</v>
      </c>
      <c r="G140" s="18" t="s">
        <v>381</v>
      </c>
      <c r="H140" s="18" t="s">
        <v>392</v>
      </c>
      <c r="I140" s="20" t="s">
        <v>420</v>
      </c>
      <c r="J140" s="18" t="s">
        <v>421</v>
      </c>
      <c r="K140" s="18" t="s">
        <v>293</v>
      </c>
      <c r="L140" s="18" t="s">
        <v>25</v>
      </c>
      <c r="N140" s="18" t="s">
        <v>26</v>
      </c>
    </row>
    <row r="141" spans="1:14" ht="15" customHeight="1" x14ac:dyDescent="0.3">
      <c r="A141" s="18" t="s">
        <v>380</v>
      </c>
      <c r="B141" s="19" t="s">
        <v>15</v>
      </c>
      <c r="C141" s="18" t="s">
        <v>210</v>
      </c>
      <c r="D141" s="18" t="s">
        <v>17</v>
      </c>
      <c r="E141" s="18" t="s">
        <v>74</v>
      </c>
      <c r="F141" s="18" t="s">
        <v>422</v>
      </c>
      <c r="G141" s="18" t="s">
        <v>423</v>
      </c>
      <c r="H141" s="18" t="s">
        <v>388</v>
      </c>
      <c r="I141" s="20" t="s">
        <v>424</v>
      </c>
      <c r="J141" s="18" t="s">
        <v>425</v>
      </c>
      <c r="K141" s="18" t="s">
        <v>24</v>
      </c>
      <c r="L141" s="18" t="s">
        <v>25</v>
      </c>
      <c r="N141" s="18" t="s">
        <v>26</v>
      </c>
    </row>
    <row r="142" spans="1:14" ht="15" customHeight="1" x14ac:dyDescent="0.3">
      <c r="A142" s="18" t="s">
        <v>380</v>
      </c>
      <c r="B142" s="19" t="s">
        <v>15</v>
      </c>
      <c r="C142" s="18" t="s">
        <v>210</v>
      </c>
      <c r="D142" s="18" t="s">
        <v>17</v>
      </c>
      <c r="E142" s="18" t="s">
        <v>74</v>
      </c>
      <c r="F142" s="18" t="s">
        <v>426</v>
      </c>
      <c r="G142" s="18" t="s">
        <v>381</v>
      </c>
      <c r="H142" s="18" t="s">
        <v>392</v>
      </c>
      <c r="I142" s="20" t="s">
        <v>427</v>
      </c>
      <c r="J142" s="18" t="s">
        <v>400</v>
      </c>
      <c r="K142" s="18" t="s">
        <v>293</v>
      </c>
      <c r="L142" s="18" t="s">
        <v>25</v>
      </c>
      <c r="N142" s="18" t="s">
        <v>26</v>
      </c>
    </row>
    <row r="143" spans="1:14" ht="15" customHeight="1" x14ac:dyDescent="0.3">
      <c r="A143" s="18" t="s">
        <v>380</v>
      </c>
      <c r="B143" s="19" t="s">
        <v>15</v>
      </c>
      <c r="C143" s="18" t="s">
        <v>210</v>
      </c>
      <c r="D143" s="18" t="s">
        <v>17</v>
      </c>
      <c r="E143" s="18" t="s">
        <v>74</v>
      </c>
      <c r="F143" s="18" t="s">
        <v>428</v>
      </c>
      <c r="G143" s="18" t="s">
        <v>429</v>
      </c>
      <c r="H143" s="18" t="s">
        <v>430</v>
      </c>
      <c r="I143" s="20" t="s">
        <v>431</v>
      </c>
      <c r="J143" s="18" t="s">
        <v>179</v>
      </c>
      <c r="K143" s="18" t="s">
        <v>24</v>
      </c>
      <c r="L143" s="18" t="s">
        <v>25</v>
      </c>
      <c r="N143" s="18" t="s">
        <v>26</v>
      </c>
    </row>
    <row r="144" spans="1:14" ht="15" customHeight="1" x14ac:dyDescent="0.3">
      <c r="A144" s="18" t="s">
        <v>380</v>
      </c>
      <c r="B144" s="19" t="s">
        <v>15</v>
      </c>
      <c r="C144" s="18" t="s">
        <v>210</v>
      </c>
      <c r="D144" s="18" t="s">
        <v>17</v>
      </c>
      <c r="E144" s="18" t="s">
        <v>74</v>
      </c>
      <c r="F144" s="18" t="s">
        <v>432</v>
      </c>
      <c r="G144" s="18" t="s">
        <v>433</v>
      </c>
      <c r="H144" s="18" t="s">
        <v>392</v>
      </c>
      <c r="I144" s="20" t="s">
        <v>434</v>
      </c>
      <c r="J144" s="18" t="s">
        <v>435</v>
      </c>
      <c r="K144" s="18" t="s">
        <v>293</v>
      </c>
      <c r="L144" s="18" t="s">
        <v>25</v>
      </c>
      <c r="N144" s="18" t="s">
        <v>26</v>
      </c>
    </row>
    <row r="145" spans="1:14" ht="15" customHeight="1" x14ac:dyDescent="0.3">
      <c r="A145" s="18" t="s">
        <v>436</v>
      </c>
      <c r="B145" s="19" t="s">
        <v>15</v>
      </c>
      <c r="C145" s="18" t="s">
        <v>437</v>
      </c>
      <c r="D145" s="18" t="s">
        <v>116</v>
      </c>
      <c r="E145" s="18" t="s">
        <v>74</v>
      </c>
      <c r="F145" s="18" t="s">
        <v>438</v>
      </c>
      <c r="G145" s="18" t="s">
        <v>381</v>
      </c>
      <c r="H145" s="18" t="s">
        <v>381</v>
      </c>
      <c r="I145" s="20" t="s">
        <v>439</v>
      </c>
      <c r="J145" s="18" t="s">
        <v>440</v>
      </c>
      <c r="K145" s="18" t="s">
        <v>24</v>
      </c>
      <c r="L145" s="18" t="s">
        <v>25</v>
      </c>
      <c r="N145" s="18" t="s">
        <v>441</v>
      </c>
    </row>
    <row r="146" spans="1:14" ht="15" customHeight="1" x14ac:dyDescent="0.3">
      <c r="A146" s="18" t="s">
        <v>436</v>
      </c>
      <c r="B146" s="19" t="s">
        <v>15</v>
      </c>
      <c r="C146" s="18" t="s">
        <v>442</v>
      </c>
      <c r="D146" s="18" t="s">
        <v>116</v>
      </c>
      <c r="E146" s="18" t="s">
        <v>74</v>
      </c>
      <c r="F146" s="18" t="s">
        <v>443</v>
      </c>
      <c r="G146" s="18" t="s">
        <v>381</v>
      </c>
      <c r="H146" s="18" t="s">
        <v>381</v>
      </c>
      <c r="I146" s="20" t="s">
        <v>444</v>
      </c>
      <c r="J146" s="18" t="s">
        <v>440</v>
      </c>
      <c r="K146" s="18" t="s">
        <v>24</v>
      </c>
      <c r="L146" s="18" t="s">
        <v>25</v>
      </c>
      <c r="N146" s="18" t="s">
        <v>154</v>
      </c>
    </row>
    <row r="147" spans="1:14" ht="15" customHeight="1" x14ac:dyDescent="0.3">
      <c r="A147" s="18" t="s">
        <v>445</v>
      </c>
      <c r="B147" s="19" t="s">
        <v>15</v>
      </c>
      <c r="C147" s="18" t="s">
        <v>149</v>
      </c>
      <c r="D147" s="18" t="s">
        <v>116</v>
      </c>
      <c r="E147" s="18" t="s">
        <v>74</v>
      </c>
      <c r="F147" s="18" t="s">
        <v>446</v>
      </c>
      <c r="G147" s="18" t="s">
        <v>381</v>
      </c>
      <c r="H147" s="18" t="s">
        <v>447</v>
      </c>
      <c r="I147" s="20" t="s">
        <v>448</v>
      </c>
      <c r="J147" s="18" t="s">
        <v>449</v>
      </c>
      <c r="K147" s="18" t="s">
        <v>24</v>
      </c>
      <c r="L147" s="18" t="s">
        <v>25</v>
      </c>
      <c r="N147" s="18" t="s">
        <v>154</v>
      </c>
    </row>
    <row r="148" spans="1:14" ht="15" customHeight="1" x14ac:dyDescent="0.3">
      <c r="A148" s="18" t="s">
        <v>445</v>
      </c>
      <c r="B148" s="19" t="s">
        <v>15</v>
      </c>
      <c r="C148" s="18" t="s">
        <v>210</v>
      </c>
      <c r="D148" s="18" t="s">
        <v>116</v>
      </c>
      <c r="E148" s="18" t="s">
        <v>74</v>
      </c>
      <c r="F148" s="18" t="s">
        <v>450</v>
      </c>
      <c r="G148" s="18" t="s">
        <v>381</v>
      </c>
      <c r="H148" s="18" t="s">
        <v>451</v>
      </c>
      <c r="I148" s="20" t="s">
        <v>452</v>
      </c>
      <c r="J148" s="18" t="s">
        <v>453</v>
      </c>
      <c r="K148" s="18" t="s">
        <v>293</v>
      </c>
      <c r="L148" s="18" t="s">
        <v>25</v>
      </c>
      <c r="N148" s="18" t="s">
        <v>26</v>
      </c>
    </row>
    <row r="149" spans="1:14" ht="15" customHeight="1" x14ac:dyDescent="0.3">
      <c r="A149" s="18" t="s">
        <v>445</v>
      </c>
      <c r="B149" s="19" t="s">
        <v>15</v>
      </c>
      <c r="C149" s="18" t="s">
        <v>210</v>
      </c>
      <c r="D149" s="18" t="s">
        <v>116</v>
      </c>
      <c r="E149" s="18" t="s">
        <v>74</v>
      </c>
      <c r="F149" s="18" t="s">
        <v>454</v>
      </c>
      <c r="G149" s="18" t="s">
        <v>381</v>
      </c>
      <c r="H149" s="18" t="s">
        <v>451</v>
      </c>
      <c r="I149" s="20" t="s">
        <v>455</v>
      </c>
      <c r="J149" s="18" t="s">
        <v>456</v>
      </c>
      <c r="K149" s="18" t="s">
        <v>293</v>
      </c>
      <c r="L149" s="18" t="s">
        <v>25</v>
      </c>
      <c r="N149" s="18" t="s">
        <v>26</v>
      </c>
    </row>
    <row r="150" spans="1:14" ht="15" customHeight="1" x14ac:dyDescent="0.3">
      <c r="A150" s="18" t="s">
        <v>445</v>
      </c>
      <c r="B150" s="19" t="s">
        <v>15</v>
      </c>
      <c r="C150" s="18" t="s">
        <v>210</v>
      </c>
      <c r="D150" s="18" t="s">
        <v>116</v>
      </c>
      <c r="E150" s="18" t="s">
        <v>74</v>
      </c>
      <c r="F150" s="18" t="s">
        <v>457</v>
      </c>
      <c r="G150" s="18" t="s">
        <v>381</v>
      </c>
      <c r="H150" s="18" t="s">
        <v>458</v>
      </c>
      <c r="I150" s="20" t="s">
        <v>459</v>
      </c>
      <c r="J150" s="18" t="s">
        <v>460</v>
      </c>
      <c r="K150" s="18" t="s">
        <v>293</v>
      </c>
      <c r="L150" s="18" t="s">
        <v>25</v>
      </c>
      <c r="N150" s="18" t="s">
        <v>26</v>
      </c>
    </row>
    <row r="151" spans="1:14" ht="15" customHeight="1" x14ac:dyDescent="0.3">
      <c r="A151" s="18" t="s">
        <v>445</v>
      </c>
      <c r="B151" s="19" t="s">
        <v>15</v>
      </c>
      <c r="C151" s="18" t="s">
        <v>210</v>
      </c>
      <c r="D151" s="18" t="s">
        <v>116</v>
      </c>
      <c r="E151" s="18" t="s">
        <v>74</v>
      </c>
      <c r="F151" s="18" t="s">
        <v>461</v>
      </c>
      <c r="G151" s="18" t="s">
        <v>381</v>
      </c>
      <c r="H151" s="18" t="s">
        <v>458</v>
      </c>
      <c r="I151" s="20" t="s">
        <v>462</v>
      </c>
      <c r="J151" s="18" t="s">
        <v>463</v>
      </c>
      <c r="K151" s="18" t="s">
        <v>293</v>
      </c>
      <c r="L151" s="18" t="s">
        <v>25</v>
      </c>
      <c r="N151" s="18" t="s">
        <v>26</v>
      </c>
    </row>
    <row r="152" spans="1:14" ht="15" customHeight="1" x14ac:dyDescent="0.3">
      <c r="A152" s="18" t="s">
        <v>445</v>
      </c>
      <c r="B152" s="19" t="s">
        <v>15</v>
      </c>
      <c r="C152" s="18" t="s">
        <v>149</v>
      </c>
      <c r="D152" s="18" t="s">
        <v>116</v>
      </c>
      <c r="E152" s="18" t="s">
        <v>74</v>
      </c>
      <c r="F152" s="18" t="s">
        <v>406</v>
      </c>
      <c r="G152" s="18" t="s">
        <v>381</v>
      </c>
      <c r="H152" s="18" t="s">
        <v>447</v>
      </c>
      <c r="I152" s="20" t="s">
        <v>464</v>
      </c>
      <c r="J152" s="18" t="s">
        <v>465</v>
      </c>
      <c r="K152" s="18" t="s">
        <v>24</v>
      </c>
      <c r="L152" s="18" t="s">
        <v>25</v>
      </c>
      <c r="N152" s="18" t="s">
        <v>154</v>
      </c>
    </row>
    <row r="153" spans="1:14" ht="15" customHeight="1" x14ac:dyDescent="0.3">
      <c r="A153" s="18" t="s">
        <v>445</v>
      </c>
      <c r="B153" s="19" t="s">
        <v>15</v>
      </c>
      <c r="C153" s="18" t="s">
        <v>210</v>
      </c>
      <c r="D153" s="18" t="s">
        <v>116</v>
      </c>
      <c r="E153" s="18" t="s">
        <v>74</v>
      </c>
      <c r="F153" s="18" t="s">
        <v>466</v>
      </c>
      <c r="G153" s="18" t="s">
        <v>381</v>
      </c>
      <c r="H153" s="18" t="s">
        <v>458</v>
      </c>
      <c r="I153" s="20" t="s">
        <v>467</v>
      </c>
      <c r="J153" s="18" t="s">
        <v>468</v>
      </c>
      <c r="K153" s="18" t="s">
        <v>293</v>
      </c>
      <c r="L153" s="18" t="s">
        <v>25</v>
      </c>
      <c r="N153" s="18" t="s">
        <v>26</v>
      </c>
    </row>
    <row r="154" spans="1:14" ht="15" customHeight="1" x14ac:dyDescent="0.3">
      <c r="A154" s="18" t="s">
        <v>445</v>
      </c>
      <c r="B154" s="19" t="s">
        <v>15</v>
      </c>
      <c r="C154" s="18" t="s">
        <v>210</v>
      </c>
      <c r="D154" s="18" t="s">
        <v>116</v>
      </c>
      <c r="E154" s="18" t="s">
        <v>74</v>
      </c>
      <c r="F154" s="18" t="s">
        <v>469</v>
      </c>
      <c r="G154" s="18" t="s">
        <v>381</v>
      </c>
      <c r="H154" s="18" t="s">
        <v>458</v>
      </c>
      <c r="I154" s="20" t="s">
        <v>470</v>
      </c>
      <c r="J154" s="18" t="s">
        <v>471</v>
      </c>
      <c r="K154" s="18" t="s">
        <v>293</v>
      </c>
      <c r="L154" s="18" t="s">
        <v>25</v>
      </c>
      <c r="N154" s="18" t="s">
        <v>26</v>
      </c>
    </row>
    <row r="155" spans="1:14" ht="15" customHeight="1" x14ac:dyDescent="0.3">
      <c r="A155" s="18" t="s">
        <v>445</v>
      </c>
      <c r="B155" s="19" t="s">
        <v>15</v>
      </c>
      <c r="C155" s="18" t="s">
        <v>210</v>
      </c>
      <c r="D155" s="18" t="s">
        <v>116</v>
      </c>
      <c r="E155" s="18" t="s">
        <v>74</v>
      </c>
      <c r="F155" s="18" t="s">
        <v>472</v>
      </c>
      <c r="G155" s="18" t="s">
        <v>381</v>
      </c>
      <c r="H155" s="18" t="s">
        <v>458</v>
      </c>
      <c r="I155" s="20" t="s">
        <v>473</v>
      </c>
      <c r="J155" s="18" t="s">
        <v>474</v>
      </c>
      <c r="K155" s="18" t="s">
        <v>293</v>
      </c>
      <c r="L155" s="18" t="s">
        <v>25</v>
      </c>
      <c r="N155" s="18" t="s">
        <v>26</v>
      </c>
    </row>
    <row r="156" spans="1:14" ht="15" customHeight="1" x14ac:dyDescent="0.3">
      <c r="A156" s="18" t="s">
        <v>475</v>
      </c>
      <c r="B156" s="19" t="s">
        <v>15</v>
      </c>
      <c r="C156" s="18" t="s">
        <v>476</v>
      </c>
      <c r="D156" s="18" t="s">
        <v>17</v>
      </c>
      <c r="E156" s="18" t="s">
        <v>117</v>
      </c>
      <c r="F156" s="18" t="s">
        <v>477</v>
      </c>
      <c r="G156" s="18" t="s">
        <v>263</v>
      </c>
      <c r="H156" s="18" t="s">
        <v>478</v>
      </c>
      <c r="I156" s="20" t="s">
        <v>479</v>
      </c>
      <c r="J156" s="18" t="s">
        <v>58</v>
      </c>
      <c r="K156" s="18" t="s">
        <v>24</v>
      </c>
      <c r="L156" s="18" t="s">
        <v>25</v>
      </c>
      <c r="N156" s="18" t="s">
        <v>480</v>
      </c>
    </row>
    <row r="157" spans="1:14" ht="15" customHeight="1" x14ac:dyDescent="0.3">
      <c r="A157" s="18" t="s">
        <v>475</v>
      </c>
      <c r="B157" s="19" t="s">
        <v>15</v>
      </c>
      <c r="C157" s="18" t="s">
        <v>476</v>
      </c>
      <c r="D157" s="18" t="s">
        <v>17</v>
      </c>
      <c r="E157" s="18" t="s">
        <v>18</v>
      </c>
      <c r="F157" s="18" t="s">
        <v>381</v>
      </c>
      <c r="G157" s="18" t="s">
        <v>381</v>
      </c>
      <c r="H157" s="18" t="s">
        <v>481</v>
      </c>
      <c r="I157" s="20" t="s">
        <v>482</v>
      </c>
      <c r="J157" s="18" t="s">
        <v>23</v>
      </c>
      <c r="K157" s="18" t="s">
        <v>24</v>
      </c>
      <c r="L157" s="18" t="s">
        <v>25</v>
      </c>
      <c r="N157" s="18" t="s">
        <v>480</v>
      </c>
    </row>
    <row r="158" spans="1:14" ht="15" customHeight="1" x14ac:dyDescent="0.3">
      <c r="A158" s="18" t="s">
        <v>475</v>
      </c>
      <c r="B158" s="19" t="s">
        <v>15</v>
      </c>
      <c r="C158" s="18" t="s">
        <v>476</v>
      </c>
      <c r="D158" s="18" t="s">
        <v>17</v>
      </c>
      <c r="E158" s="18" t="s">
        <v>55</v>
      </c>
      <c r="F158" s="18" t="s">
        <v>483</v>
      </c>
      <c r="G158" s="18" t="s">
        <v>381</v>
      </c>
      <c r="H158" s="18" t="s">
        <v>484</v>
      </c>
      <c r="I158" s="20" t="s">
        <v>485</v>
      </c>
      <c r="J158" s="18" t="s">
        <v>73</v>
      </c>
      <c r="K158" s="18" t="s">
        <v>24</v>
      </c>
      <c r="L158" s="18" t="s">
        <v>25</v>
      </c>
      <c r="N158" s="18" t="s">
        <v>480</v>
      </c>
    </row>
    <row r="159" spans="1:14" ht="15" customHeight="1" x14ac:dyDescent="0.3">
      <c r="A159" s="18" t="s">
        <v>475</v>
      </c>
      <c r="B159" s="19" t="s">
        <v>15</v>
      </c>
      <c r="C159" s="18" t="s">
        <v>476</v>
      </c>
      <c r="D159" s="18" t="s">
        <v>17</v>
      </c>
      <c r="E159" s="18" t="s">
        <v>55</v>
      </c>
      <c r="F159" s="18" t="s">
        <v>383</v>
      </c>
      <c r="G159" s="18" t="s">
        <v>381</v>
      </c>
      <c r="H159" s="18" t="s">
        <v>486</v>
      </c>
      <c r="I159" s="20" t="s">
        <v>487</v>
      </c>
      <c r="J159" s="18" t="s">
        <v>73</v>
      </c>
      <c r="K159" s="18" t="s">
        <v>24</v>
      </c>
      <c r="L159" s="18" t="s">
        <v>25</v>
      </c>
      <c r="N159" s="18" t="s">
        <v>480</v>
      </c>
    </row>
    <row r="160" spans="1:14" ht="15" customHeight="1" x14ac:dyDescent="0.3">
      <c r="A160" s="18" t="s">
        <v>475</v>
      </c>
      <c r="B160" s="19" t="s">
        <v>15</v>
      </c>
      <c r="C160" s="18" t="s">
        <v>476</v>
      </c>
      <c r="D160" s="18" t="s">
        <v>17</v>
      </c>
      <c r="E160" s="18" t="s">
        <v>55</v>
      </c>
      <c r="F160" s="18" t="s">
        <v>488</v>
      </c>
      <c r="G160" s="18" t="s">
        <v>381</v>
      </c>
      <c r="H160" s="18" t="s">
        <v>489</v>
      </c>
      <c r="I160" s="20" t="s">
        <v>490</v>
      </c>
      <c r="J160" s="18" t="s">
        <v>73</v>
      </c>
      <c r="K160" s="18" t="s">
        <v>24</v>
      </c>
      <c r="L160" s="18" t="s">
        <v>25</v>
      </c>
      <c r="N160" s="18" t="s">
        <v>480</v>
      </c>
    </row>
    <row r="161" spans="1:14" ht="15" customHeight="1" x14ac:dyDescent="0.3">
      <c r="A161" s="18" t="s">
        <v>475</v>
      </c>
      <c r="B161" s="19" t="s">
        <v>15</v>
      </c>
      <c r="C161" s="18" t="s">
        <v>476</v>
      </c>
      <c r="D161" s="18" t="s">
        <v>17</v>
      </c>
      <c r="E161" s="18" t="s">
        <v>55</v>
      </c>
      <c r="F161" s="18" t="s">
        <v>385</v>
      </c>
      <c r="G161" s="18" t="s">
        <v>381</v>
      </c>
      <c r="H161" s="18" t="s">
        <v>491</v>
      </c>
      <c r="I161" s="20" t="s">
        <v>492</v>
      </c>
      <c r="J161" s="18" t="s">
        <v>73</v>
      </c>
      <c r="K161" s="18" t="s">
        <v>24</v>
      </c>
      <c r="L161" s="18" t="s">
        <v>25</v>
      </c>
      <c r="N161" s="18" t="s">
        <v>480</v>
      </c>
    </row>
    <row r="162" spans="1:14" ht="15" customHeight="1" x14ac:dyDescent="0.3">
      <c r="A162" s="18" t="s">
        <v>475</v>
      </c>
      <c r="B162" s="19" t="s">
        <v>15</v>
      </c>
      <c r="C162" s="18" t="s">
        <v>476</v>
      </c>
      <c r="D162" s="18" t="s">
        <v>17</v>
      </c>
      <c r="E162" s="18" t="s">
        <v>74</v>
      </c>
      <c r="F162" s="18" t="s">
        <v>493</v>
      </c>
      <c r="G162" s="18" t="s">
        <v>433</v>
      </c>
      <c r="H162" s="18" t="s">
        <v>494</v>
      </c>
      <c r="I162" s="20" t="s">
        <v>495</v>
      </c>
      <c r="J162" s="18" t="s">
        <v>199</v>
      </c>
      <c r="K162" s="18" t="s">
        <v>24</v>
      </c>
      <c r="L162" s="18" t="s">
        <v>25</v>
      </c>
      <c r="N162" s="18" t="s">
        <v>480</v>
      </c>
    </row>
    <row r="163" spans="1:14" ht="15" customHeight="1" x14ac:dyDescent="0.3">
      <c r="A163" s="18" t="s">
        <v>475</v>
      </c>
      <c r="B163" s="19" t="s">
        <v>15</v>
      </c>
      <c r="C163" s="18" t="s">
        <v>476</v>
      </c>
      <c r="D163" s="18" t="s">
        <v>17</v>
      </c>
      <c r="E163" s="18" t="s">
        <v>74</v>
      </c>
      <c r="F163" s="18" t="s">
        <v>496</v>
      </c>
      <c r="G163" s="18" t="s">
        <v>381</v>
      </c>
      <c r="H163" s="18" t="s">
        <v>494</v>
      </c>
      <c r="I163" s="20" t="s">
        <v>497</v>
      </c>
      <c r="J163" s="18" t="s">
        <v>394</v>
      </c>
      <c r="K163" s="18" t="s">
        <v>24</v>
      </c>
      <c r="L163" s="18" t="s">
        <v>25</v>
      </c>
      <c r="N163" s="18" t="s">
        <v>480</v>
      </c>
    </row>
    <row r="164" spans="1:14" ht="15" customHeight="1" x14ac:dyDescent="0.3">
      <c r="A164" s="18" t="s">
        <v>475</v>
      </c>
      <c r="B164" s="19" t="s">
        <v>15</v>
      </c>
      <c r="C164" s="18" t="s">
        <v>476</v>
      </c>
      <c r="D164" s="18" t="s">
        <v>17</v>
      </c>
      <c r="E164" s="18" t="s">
        <v>74</v>
      </c>
      <c r="F164" s="18" t="s">
        <v>498</v>
      </c>
      <c r="G164" s="18" t="s">
        <v>381</v>
      </c>
      <c r="H164" s="18" t="s">
        <v>494</v>
      </c>
      <c r="I164" s="20" t="s">
        <v>499</v>
      </c>
      <c r="J164" s="18" t="s">
        <v>500</v>
      </c>
      <c r="K164" s="18" t="s">
        <v>24</v>
      </c>
      <c r="L164" s="18" t="s">
        <v>25</v>
      </c>
      <c r="N164" s="18" t="s">
        <v>480</v>
      </c>
    </row>
    <row r="165" spans="1:14" ht="15" customHeight="1" x14ac:dyDescent="0.3">
      <c r="A165" s="18" t="s">
        <v>475</v>
      </c>
      <c r="B165" s="19" t="s">
        <v>15</v>
      </c>
      <c r="C165" s="18" t="s">
        <v>476</v>
      </c>
      <c r="D165" s="18" t="s">
        <v>17</v>
      </c>
      <c r="E165" s="18" t="s">
        <v>74</v>
      </c>
      <c r="F165" s="18" t="s">
        <v>501</v>
      </c>
      <c r="G165" s="18" t="s">
        <v>41</v>
      </c>
      <c r="H165" s="18" t="s">
        <v>494</v>
      </c>
      <c r="I165" s="20" t="s">
        <v>502</v>
      </c>
      <c r="J165" s="18" t="s">
        <v>394</v>
      </c>
      <c r="K165" s="18" t="s">
        <v>24</v>
      </c>
      <c r="L165" s="18" t="s">
        <v>25</v>
      </c>
      <c r="N165" s="18" t="s">
        <v>480</v>
      </c>
    </row>
    <row r="166" spans="1:14" ht="15" customHeight="1" x14ac:dyDescent="0.3">
      <c r="A166" s="18" t="s">
        <v>475</v>
      </c>
      <c r="B166" s="19" t="s">
        <v>15</v>
      </c>
      <c r="C166" s="18" t="s">
        <v>476</v>
      </c>
      <c r="D166" s="18" t="s">
        <v>17</v>
      </c>
      <c r="E166" s="18" t="s">
        <v>74</v>
      </c>
      <c r="F166" s="18" t="s">
        <v>503</v>
      </c>
      <c r="G166" s="18" t="s">
        <v>381</v>
      </c>
      <c r="H166" s="18" t="s">
        <v>494</v>
      </c>
      <c r="I166" s="20" t="s">
        <v>504</v>
      </c>
      <c r="J166" s="18" t="s">
        <v>505</v>
      </c>
      <c r="K166" s="18" t="s">
        <v>24</v>
      </c>
      <c r="L166" s="18" t="s">
        <v>25</v>
      </c>
      <c r="N166" s="18" t="s">
        <v>480</v>
      </c>
    </row>
    <row r="167" spans="1:14" ht="15" customHeight="1" x14ac:dyDescent="0.3">
      <c r="A167" s="18" t="s">
        <v>506</v>
      </c>
      <c r="B167" s="19" t="s">
        <v>15</v>
      </c>
      <c r="C167" s="18" t="s">
        <v>149</v>
      </c>
      <c r="D167" s="18" t="s">
        <v>116</v>
      </c>
      <c r="E167" s="18" t="s">
        <v>18</v>
      </c>
      <c r="F167" s="18" t="s">
        <v>381</v>
      </c>
      <c r="G167" s="18" t="s">
        <v>381</v>
      </c>
      <c r="H167" s="18" t="s">
        <v>507</v>
      </c>
      <c r="I167" s="20" t="s">
        <v>508</v>
      </c>
      <c r="J167" s="18" t="s">
        <v>23</v>
      </c>
      <c r="K167" s="18" t="s">
        <v>24</v>
      </c>
      <c r="L167" s="18" t="s">
        <v>25</v>
      </c>
      <c r="N167" s="18" t="s">
        <v>154</v>
      </c>
    </row>
    <row r="168" spans="1:14" ht="15" customHeight="1" x14ac:dyDescent="0.3">
      <c r="A168" s="18" t="s">
        <v>506</v>
      </c>
      <c r="B168" s="19" t="s">
        <v>15</v>
      </c>
      <c r="C168" s="18" t="s">
        <v>149</v>
      </c>
      <c r="D168" s="18" t="s">
        <v>116</v>
      </c>
      <c r="E168" s="18" t="s">
        <v>74</v>
      </c>
      <c r="F168" s="18" t="s">
        <v>509</v>
      </c>
      <c r="G168" s="18" t="s">
        <v>381</v>
      </c>
      <c r="H168" s="18" t="s">
        <v>507</v>
      </c>
      <c r="I168" s="20" t="s">
        <v>510</v>
      </c>
      <c r="J168" s="18" t="s">
        <v>440</v>
      </c>
      <c r="K168" s="18" t="s">
        <v>24</v>
      </c>
      <c r="L168" s="18" t="s">
        <v>25</v>
      </c>
      <c r="N168" s="18" t="s">
        <v>154</v>
      </c>
    </row>
    <row r="169" spans="1:14" ht="15" customHeight="1" x14ac:dyDescent="0.3">
      <c r="A169" s="18" t="s">
        <v>506</v>
      </c>
      <c r="B169" s="19" t="s">
        <v>15</v>
      </c>
      <c r="C169" s="18" t="s">
        <v>149</v>
      </c>
      <c r="D169" s="18" t="s">
        <v>116</v>
      </c>
      <c r="E169" s="18" t="s">
        <v>74</v>
      </c>
      <c r="F169" s="18" t="s">
        <v>511</v>
      </c>
      <c r="G169" s="18" t="s">
        <v>381</v>
      </c>
      <c r="H169" s="18" t="s">
        <v>507</v>
      </c>
      <c r="I169" s="20" t="s">
        <v>512</v>
      </c>
      <c r="J169" s="18" t="s">
        <v>440</v>
      </c>
      <c r="K169" s="18" t="s">
        <v>24</v>
      </c>
      <c r="L169" s="18" t="s">
        <v>25</v>
      </c>
      <c r="N169" s="18" t="s">
        <v>154</v>
      </c>
    </row>
    <row r="170" spans="1:14" ht="15" customHeight="1" x14ac:dyDescent="0.3">
      <c r="A170" s="18" t="s">
        <v>506</v>
      </c>
      <c r="B170" s="19" t="s">
        <v>15</v>
      </c>
      <c r="C170" s="18" t="s">
        <v>149</v>
      </c>
      <c r="D170" s="18" t="s">
        <v>116</v>
      </c>
      <c r="E170" s="18" t="s">
        <v>74</v>
      </c>
      <c r="F170" s="18" t="s">
        <v>513</v>
      </c>
      <c r="G170" s="18" t="s">
        <v>381</v>
      </c>
      <c r="H170" s="18" t="s">
        <v>507</v>
      </c>
      <c r="I170" s="20" t="s">
        <v>514</v>
      </c>
      <c r="J170" s="18" t="s">
        <v>440</v>
      </c>
      <c r="K170" s="18" t="s">
        <v>24</v>
      </c>
      <c r="L170" s="18" t="s">
        <v>25</v>
      </c>
      <c r="N170" s="18" t="s">
        <v>154</v>
      </c>
    </row>
    <row r="171" spans="1:14" ht="15" customHeight="1" x14ac:dyDescent="0.3">
      <c r="A171" s="18" t="s">
        <v>506</v>
      </c>
      <c r="B171" s="19" t="s">
        <v>15</v>
      </c>
      <c r="C171" s="18" t="s">
        <v>149</v>
      </c>
      <c r="D171" s="18" t="s">
        <v>116</v>
      </c>
      <c r="E171" s="18" t="s">
        <v>74</v>
      </c>
      <c r="F171" s="18" t="s">
        <v>383</v>
      </c>
      <c r="G171" s="18" t="s">
        <v>381</v>
      </c>
      <c r="H171" s="18" t="s">
        <v>507</v>
      </c>
      <c r="I171" s="20" t="s">
        <v>515</v>
      </c>
      <c r="J171" s="18" t="s">
        <v>440</v>
      </c>
      <c r="K171" s="18" t="s">
        <v>24</v>
      </c>
      <c r="L171" s="18" t="s">
        <v>25</v>
      </c>
      <c r="N171" s="18" t="s">
        <v>154</v>
      </c>
    </row>
    <row r="172" spans="1:14" ht="15" customHeight="1" x14ac:dyDescent="0.3">
      <c r="A172" s="18" t="s">
        <v>506</v>
      </c>
      <c r="B172" s="19" t="s">
        <v>15</v>
      </c>
      <c r="C172" s="18" t="s">
        <v>149</v>
      </c>
      <c r="D172" s="18" t="s">
        <v>116</v>
      </c>
      <c r="E172" s="18" t="s">
        <v>74</v>
      </c>
      <c r="F172" s="18" t="s">
        <v>404</v>
      </c>
      <c r="G172" s="18" t="s">
        <v>381</v>
      </c>
      <c r="H172" s="18" t="s">
        <v>507</v>
      </c>
      <c r="I172" s="20" t="s">
        <v>516</v>
      </c>
      <c r="J172" s="18" t="s">
        <v>440</v>
      </c>
      <c r="K172" s="18" t="s">
        <v>24</v>
      </c>
      <c r="L172" s="18" t="s">
        <v>25</v>
      </c>
      <c r="N172" s="18" t="s">
        <v>154</v>
      </c>
    </row>
    <row r="173" spans="1:14" ht="15" customHeight="1" x14ac:dyDescent="0.3">
      <c r="A173" s="18" t="s">
        <v>506</v>
      </c>
      <c r="B173" s="19" t="s">
        <v>15</v>
      </c>
      <c r="C173" s="18" t="s">
        <v>149</v>
      </c>
      <c r="D173" s="18" t="s">
        <v>116</v>
      </c>
      <c r="E173" s="18" t="s">
        <v>74</v>
      </c>
      <c r="F173" s="18" t="s">
        <v>517</v>
      </c>
      <c r="G173" s="18" t="s">
        <v>381</v>
      </c>
      <c r="H173" s="18" t="s">
        <v>507</v>
      </c>
      <c r="I173" s="20" t="s">
        <v>518</v>
      </c>
      <c r="J173" s="18" t="s">
        <v>440</v>
      </c>
      <c r="K173" s="18" t="s">
        <v>24</v>
      </c>
      <c r="L173" s="18" t="s">
        <v>25</v>
      </c>
      <c r="N173" s="18" t="s">
        <v>154</v>
      </c>
    </row>
    <row r="174" spans="1:14" ht="15" customHeight="1" x14ac:dyDescent="0.3">
      <c r="A174" s="18" t="s">
        <v>506</v>
      </c>
      <c r="B174" s="19" t="s">
        <v>15</v>
      </c>
      <c r="C174" s="18" t="s">
        <v>149</v>
      </c>
      <c r="D174" s="18" t="s">
        <v>116</v>
      </c>
      <c r="E174" s="18" t="s">
        <v>74</v>
      </c>
      <c r="F174" s="18" t="s">
        <v>519</v>
      </c>
      <c r="G174" s="18" t="s">
        <v>381</v>
      </c>
      <c r="H174" s="18" t="s">
        <v>507</v>
      </c>
      <c r="I174" s="20" t="s">
        <v>520</v>
      </c>
      <c r="J174" s="18" t="s">
        <v>440</v>
      </c>
      <c r="K174" s="18" t="s">
        <v>24</v>
      </c>
      <c r="L174" s="18" t="s">
        <v>25</v>
      </c>
      <c r="N174" s="18" t="s">
        <v>154</v>
      </c>
    </row>
    <row r="175" spans="1:14" ht="15" customHeight="1" x14ac:dyDescent="0.3">
      <c r="A175" s="18" t="s">
        <v>506</v>
      </c>
      <c r="B175" s="19" t="s">
        <v>15</v>
      </c>
      <c r="C175" s="18" t="s">
        <v>149</v>
      </c>
      <c r="D175" s="18" t="s">
        <v>116</v>
      </c>
      <c r="E175" s="18" t="s">
        <v>74</v>
      </c>
      <c r="F175" s="18" t="s">
        <v>521</v>
      </c>
      <c r="G175" s="18" t="s">
        <v>381</v>
      </c>
      <c r="H175" s="18" t="s">
        <v>507</v>
      </c>
      <c r="I175" s="20" t="s">
        <v>522</v>
      </c>
      <c r="J175" s="18" t="s">
        <v>440</v>
      </c>
      <c r="K175" s="18" t="s">
        <v>24</v>
      </c>
      <c r="L175" s="18" t="s">
        <v>25</v>
      </c>
      <c r="N175" s="18" t="s">
        <v>154</v>
      </c>
    </row>
    <row r="176" spans="1:14" ht="15" customHeight="1" x14ac:dyDescent="0.3">
      <c r="A176" s="18" t="s">
        <v>506</v>
      </c>
      <c r="B176" s="19" t="s">
        <v>15</v>
      </c>
      <c r="C176" s="18" t="s">
        <v>149</v>
      </c>
      <c r="D176" s="18" t="s">
        <v>116</v>
      </c>
      <c r="E176" s="18" t="s">
        <v>74</v>
      </c>
      <c r="F176" s="18" t="s">
        <v>523</v>
      </c>
      <c r="G176" s="18" t="s">
        <v>381</v>
      </c>
      <c r="H176" s="18" t="s">
        <v>507</v>
      </c>
      <c r="I176" s="20" t="s">
        <v>524</v>
      </c>
      <c r="J176" s="18" t="s">
        <v>440</v>
      </c>
      <c r="K176" s="18" t="s">
        <v>24</v>
      </c>
      <c r="L176" s="18" t="s">
        <v>25</v>
      </c>
      <c r="N176" s="18" t="s">
        <v>154</v>
      </c>
    </row>
    <row r="177" spans="1:14" ht="15" customHeight="1" x14ac:dyDescent="0.3">
      <c r="A177" s="18" t="s">
        <v>506</v>
      </c>
      <c r="B177" s="19" t="s">
        <v>15</v>
      </c>
      <c r="C177" s="18" t="s">
        <v>149</v>
      </c>
      <c r="D177" s="18" t="s">
        <v>116</v>
      </c>
      <c r="E177" s="18" t="s">
        <v>74</v>
      </c>
      <c r="F177" s="18" t="s">
        <v>406</v>
      </c>
      <c r="G177" s="18" t="s">
        <v>381</v>
      </c>
      <c r="H177" s="18" t="s">
        <v>507</v>
      </c>
      <c r="I177" s="20" t="s">
        <v>525</v>
      </c>
      <c r="J177" s="18" t="s">
        <v>440</v>
      </c>
      <c r="K177" s="18" t="s">
        <v>24</v>
      </c>
      <c r="L177" s="18" t="s">
        <v>25</v>
      </c>
      <c r="N177" s="18" t="s">
        <v>154</v>
      </c>
    </row>
    <row r="178" spans="1:14" ht="15" customHeight="1" x14ac:dyDescent="0.3">
      <c r="A178" s="18" t="s">
        <v>506</v>
      </c>
      <c r="B178" s="19" t="s">
        <v>15</v>
      </c>
      <c r="C178" s="18" t="s">
        <v>149</v>
      </c>
      <c r="D178" s="18" t="s">
        <v>116</v>
      </c>
      <c r="E178" s="18" t="s">
        <v>74</v>
      </c>
      <c r="F178" s="18" t="s">
        <v>466</v>
      </c>
      <c r="G178" s="18" t="s">
        <v>381</v>
      </c>
      <c r="H178" s="18" t="s">
        <v>507</v>
      </c>
      <c r="I178" s="20" t="s">
        <v>526</v>
      </c>
      <c r="J178" s="18" t="s">
        <v>440</v>
      </c>
      <c r="K178" s="18" t="s">
        <v>24</v>
      </c>
      <c r="L178" s="18" t="s">
        <v>25</v>
      </c>
      <c r="N178" s="18" t="s">
        <v>154</v>
      </c>
    </row>
    <row r="179" spans="1:14" ht="15" customHeight="1" x14ac:dyDescent="0.3">
      <c r="A179" s="18" t="s">
        <v>506</v>
      </c>
      <c r="B179" s="19" t="s">
        <v>15</v>
      </c>
      <c r="C179" s="18" t="s">
        <v>149</v>
      </c>
      <c r="D179" s="18" t="s">
        <v>116</v>
      </c>
      <c r="E179" s="18" t="s">
        <v>74</v>
      </c>
      <c r="F179" s="18" t="s">
        <v>527</v>
      </c>
      <c r="G179" s="18" t="s">
        <v>381</v>
      </c>
      <c r="H179" s="18" t="s">
        <v>507</v>
      </c>
      <c r="I179" s="20" t="s">
        <v>528</v>
      </c>
      <c r="J179" s="18" t="s">
        <v>440</v>
      </c>
      <c r="K179" s="18" t="s">
        <v>24</v>
      </c>
      <c r="L179" s="18" t="s">
        <v>25</v>
      </c>
      <c r="N179" s="18" t="s">
        <v>154</v>
      </c>
    </row>
    <row r="180" spans="1:14" ht="15" customHeight="1" x14ac:dyDescent="0.3">
      <c r="A180" s="18" t="s">
        <v>506</v>
      </c>
      <c r="B180" s="19" t="s">
        <v>15</v>
      </c>
      <c r="C180" s="18" t="s">
        <v>149</v>
      </c>
      <c r="D180" s="18" t="s">
        <v>116</v>
      </c>
      <c r="E180" s="18" t="s">
        <v>74</v>
      </c>
      <c r="F180" s="18" t="s">
        <v>529</v>
      </c>
      <c r="G180" s="18" t="s">
        <v>381</v>
      </c>
      <c r="H180" s="18" t="s">
        <v>507</v>
      </c>
      <c r="I180" s="20" t="s">
        <v>530</v>
      </c>
      <c r="J180" s="18" t="s">
        <v>440</v>
      </c>
      <c r="K180" s="18" t="s">
        <v>24</v>
      </c>
      <c r="L180" s="18" t="s">
        <v>25</v>
      </c>
      <c r="N180" s="18" t="s">
        <v>154</v>
      </c>
    </row>
    <row r="181" spans="1:14" ht="15" customHeight="1" x14ac:dyDescent="0.3">
      <c r="A181" s="18" t="s">
        <v>506</v>
      </c>
      <c r="B181" s="19" t="s">
        <v>15</v>
      </c>
      <c r="C181" s="18" t="s">
        <v>149</v>
      </c>
      <c r="D181" s="18" t="s">
        <v>116</v>
      </c>
      <c r="E181" s="18" t="s">
        <v>74</v>
      </c>
      <c r="F181" s="18" t="s">
        <v>531</v>
      </c>
      <c r="G181" s="18" t="s">
        <v>381</v>
      </c>
      <c r="H181" s="18" t="s">
        <v>507</v>
      </c>
      <c r="I181" s="20" t="s">
        <v>532</v>
      </c>
      <c r="J181" s="18" t="s">
        <v>440</v>
      </c>
      <c r="K181" s="18" t="s">
        <v>24</v>
      </c>
      <c r="L181" s="18" t="s">
        <v>25</v>
      </c>
      <c r="N181" s="18" t="s">
        <v>154</v>
      </c>
    </row>
    <row r="182" spans="1:14" ht="15" customHeight="1" x14ac:dyDescent="0.3">
      <c r="A182" s="18" t="s">
        <v>506</v>
      </c>
      <c r="B182" s="19" t="s">
        <v>15</v>
      </c>
      <c r="C182" s="18" t="s">
        <v>149</v>
      </c>
      <c r="D182" s="18" t="s">
        <v>116</v>
      </c>
      <c r="E182" s="18" t="s">
        <v>74</v>
      </c>
      <c r="F182" s="18" t="s">
        <v>472</v>
      </c>
      <c r="G182" s="18" t="s">
        <v>381</v>
      </c>
      <c r="H182" s="18" t="s">
        <v>507</v>
      </c>
      <c r="I182" s="20" t="s">
        <v>533</v>
      </c>
      <c r="J182" s="18" t="s">
        <v>440</v>
      </c>
      <c r="K182" s="18" t="s">
        <v>24</v>
      </c>
      <c r="L182" s="18" t="s">
        <v>25</v>
      </c>
      <c r="N182" s="18" t="s">
        <v>154</v>
      </c>
    </row>
    <row r="183" spans="1:14" ht="15" customHeight="1" x14ac:dyDescent="0.3">
      <c r="A183" s="18" t="s">
        <v>534</v>
      </c>
      <c r="B183" s="19" t="s">
        <v>15</v>
      </c>
      <c r="C183" s="18" t="s">
        <v>210</v>
      </c>
      <c r="D183" s="18" t="s">
        <v>116</v>
      </c>
      <c r="E183" s="18" t="s">
        <v>74</v>
      </c>
      <c r="F183" s="18" t="s">
        <v>535</v>
      </c>
      <c r="G183" s="18" t="s">
        <v>536</v>
      </c>
      <c r="H183" s="18" t="s">
        <v>537</v>
      </c>
      <c r="I183" s="20" t="s">
        <v>538</v>
      </c>
      <c r="J183" s="18" t="s">
        <v>307</v>
      </c>
      <c r="K183" s="18" t="s">
        <v>24</v>
      </c>
      <c r="L183" s="18" t="s">
        <v>25</v>
      </c>
      <c r="N183" s="18" t="s">
        <v>26</v>
      </c>
    </row>
    <row r="184" spans="1:14" ht="15" customHeight="1" x14ac:dyDescent="0.3">
      <c r="A184" s="18" t="s">
        <v>534</v>
      </c>
      <c r="B184" s="19" t="s">
        <v>15</v>
      </c>
      <c r="C184" s="18" t="s">
        <v>539</v>
      </c>
      <c r="D184" s="18" t="s">
        <v>116</v>
      </c>
      <c r="E184" s="18" t="s">
        <v>74</v>
      </c>
      <c r="F184" s="18" t="s">
        <v>540</v>
      </c>
      <c r="G184" s="18" t="s">
        <v>536</v>
      </c>
      <c r="H184" s="18" t="s">
        <v>541</v>
      </c>
      <c r="I184" s="20" t="s">
        <v>542</v>
      </c>
      <c r="J184" s="18" t="s">
        <v>543</v>
      </c>
      <c r="K184" s="18" t="s">
        <v>91</v>
      </c>
      <c r="L184" s="18" t="s">
        <v>25</v>
      </c>
      <c r="N184" s="18" t="s">
        <v>26</v>
      </c>
    </row>
    <row r="185" spans="1:14" ht="15" customHeight="1" x14ac:dyDescent="0.3">
      <c r="A185" s="18" t="s">
        <v>544</v>
      </c>
      <c r="B185" s="19" t="s">
        <v>15</v>
      </c>
      <c r="C185" s="18" t="s">
        <v>545</v>
      </c>
      <c r="D185" s="18" t="s">
        <v>17</v>
      </c>
      <c r="E185" s="18" t="s">
        <v>117</v>
      </c>
      <c r="F185" s="18" t="s">
        <v>546</v>
      </c>
      <c r="G185" s="18" t="s">
        <v>85</v>
      </c>
      <c r="H185" s="18" t="s">
        <v>544</v>
      </c>
      <c r="I185" s="20" t="s">
        <v>547</v>
      </c>
      <c r="J185" s="18" t="s">
        <v>58</v>
      </c>
      <c r="K185" s="18" t="s">
        <v>24</v>
      </c>
      <c r="L185" s="18" t="s">
        <v>25</v>
      </c>
      <c r="N185" s="18" t="s">
        <v>154</v>
      </c>
    </row>
    <row r="186" spans="1:14" ht="15" customHeight="1" x14ac:dyDescent="0.3">
      <c r="A186" s="18" t="s">
        <v>544</v>
      </c>
      <c r="B186" s="19" t="s">
        <v>15</v>
      </c>
      <c r="C186" s="18" t="s">
        <v>545</v>
      </c>
      <c r="D186" s="18" t="s">
        <v>17</v>
      </c>
      <c r="E186" s="18" t="s">
        <v>117</v>
      </c>
      <c r="F186" s="18" t="s">
        <v>548</v>
      </c>
      <c r="G186" s="18" t="s">
        <v>85</v>
      </c>
      <c r="H186" s="18" t="s">
        <v>544</v>
      </c>
      <c r="I186" s="20" t="s">
        <v>549</v>
      </c>
      <c r="J186" s="18" t="s">
        <v>58</v>
      </c>
      <c r="K186" s="18" t="s">
        <v>24</v>
      </c>
      <c r="L186" s="18" t="s">
        <v>25</v>
      </c>
      <c r="N186" s="18" t="s">
        <v>154</v>
      </c>
    </row>
    <row r="187" spans="1:14" ht="15" customHeight="1" x14ac:dyDescent="0.3">
      <c r="A187" s="18" t="s">
        <v>544</v>
      </c>
      <c r="B187" s="19" t="s">
        <v>15</v>
      </c>
      <c r="C187" s="18" t="s">
        <v>545</v>
      </c>
      <c r="D187" s="18" t="s">
        <v>17</v>
      </c>
      <c r="E187" s="18" t="s">
        <v>117</v>
      </c>
      <c r="F187" s="18" t="s">
        <v>550</v>
      </c>
      <c r="G187" s="18" t="s">
        <v>219</v>
      </c>
      <c r="H187" s="18" t="s">
        <v>544</v>
      </c>
      <c r="I187" s="20" t="s">
        <v>551</v>
      </c>
      <c r="J187" s="18" t="s">
        <v>58</v>
      </c>
      <c r="K187" s="18" t="s">
        <v>24</v>
      </c>
      <c r="L187" s="18" t="s">
        <v>25</v>
      </c>
      <c r="N187" s="18" t="s">
        <v>154</v>
      </c>
    </row>
    <row r="188" spans="1:14" ht="15" customHeight="1" x14ac:dyDescent="0.3">
      <c r="A188" s="18" t="s">
        <v>544</v>
      </c>
      <c r="B188" s="19" t="s">
        <v>15</v>
      </c>
      <c r="C188" s="18" t="s">
        <v>545</v>
      </c>
      <c r="D188" s="18" t="s">
        <v>17</v>
      </c>
      <c r="E188" s="18" t="s">
        <v>117</v>
      </c>
      <c r="F188" s="18" t="s">
        <v>552</v>
      </c>
      <c r="G188" s="18" t="s">
        <v>219</v>
      </c>
      <c r="H188" s="18" t="s">
        <v>544</v>
      </c>
      <c r="I188" s="20" t="s">
        <v>553</v>
      </c>
      <c r="J188" s="18" t="s">
        <v>58</v>
      </c>
      <c r="K188" s="18" t="s">
        <v>24</v>
      </c>
      <c r="L188" s="18" t="s">
        <v>25</v>
      </c>
      <c r="N188" s="18" t="s">
        <v>154</v>
      </c>
    </row>
    <row r="189" spans="1:14" ht="15" customHeight="1" x14ac:dyDescent="0.3">
      <c r="A189" s="18" t="s">
        <v>544</v>
      </c>
      <c r="B189" s="19" t="s">
        <v>15</v>
      </c>
      <c r="C189" s="18" t="s">
        <v>545</v>
      </c>
      <c r="D189" s="18" t="s">
        <v>17</v>
      </c>
      <c r="E189" s="18" t="s">
        <v>117</v>
      </c>
      <c r="F189" s="18" t="s">
        <v>554</v>
      </c>
      <c r="G189" s="18" t="s">
        <v>41</v>
      </c>
      <c r="H189" s="18" t="s">
        <v>544</v>
      </c>
      <c r="I189" s="20" t="s">
        <v>555</v>
      </c>
      <c r="J189" s="18" t="s">
        <v>58</v>
      </c>
      <c r="K189" s="18" t="s">
        <v>24</v>
      </c>
      <c r="L189" s="18" t="s">
        <v>25</v>
      </c>
      <c r="N189" s="18" t="s">
        <v>154</v>
      </c>
    </row>
    <row r="190" spans="1:14" ht="15" customHeight="1" x14ac:dyDescent="0.3">
      <c r="A190" s="18" t="s">
        <v>544</v>
      </c>
      <c r="B190" s="19" t="s">
        <v>15</v>
      </c>
      <c r="C190" s="18" t="s">
        <v>545</v>
      </c>
      <c r="D190" s="18" t="s">
        <v>17</v>
      </c>
      <c r="E190" s="18" t="s">
        <v>18</v>
      </c>
      <c r="F190" s="18" t="s">
        <v>556</v>
      </c>
      <c r="G190" s="18" t="s">
        <v>85</v>
      </c>
      <c r="H190" s="18" t="s">
        <v>544</v>
      </c>
      <c r="I190" s="20" t="s">
        <v>557</v>
      </c>
      <c r="J190" s="18" t="s">
        <v>30</v>
      </c>
      <c r="K190" s="18" t="s">
        <v>24</v>
      </c>
      <c r="L190" s="18" t="s">
        <v>25</v>
      </c>
      <c r="M190" s="18" t="s">
        <v>39</v>
      </c>
      <c r="N190" s="18" t="s">
        <v>154</v>
      </c>
    </row>
    <row r="191" spans="1:14" ht="15" customHeight="1" x14ac:dyDescent="0.3">
      <c r="A191" s="18" t="s">
        <v>544</v>
      </c>
      <c r="B191" s="19" t="s">
        <v>15</v>
      </c>
      <c r="C191" s="18" t="s">
        <v>545</v>
      </c>
      <c r="D191" s="18" t="s">
        <v>17</v>
      </c>
      <c r="E191" s="18" t="s">
        <v>18</v>
      </c>
      <c r="F191" s="18" t="s">
        <v>558</v>
      </c>
      <c r="G191" s="18" t="s">
        <v>41</v>
      </c>
      <c r="H191" s="18" t="s">
        <v>544</v>
      </c>
      <c r="I191" s="20" t="s">
        <v>559</v>
      </c>
      <c r="J191" s="18" t="s">
        <v>30</v>
      </c>
      <c r="K191" s="18" t="s">
        <v>24</v>
      </c>
      <c r="L191" s="18" t="s">
        <v>25</v>
      </c>
      <c r="N191" s="18" t="s">
        <v>154</v>
      </c>
    </row>
    <row r="192" spans="1:14" ht="15" customHeight="1" x14ac:dyDescent="0.3">
      <c r="A192" s="18" t="s">
        <v>544</v>
      </c>
      <c r="B192" s="19" t="s">
        <v>15</v>
      </c>
      <c r="C192" s="18" t="s">
        <v>545</v>
      </c>
      <c r="D192" s="18" t="s">
        <v>17</v>
      </c>
      <c r="E192" s="18" t="s">
        <v>18</v>
      </c>
      <c r="F192" s="18" t="s">
        <v>560</v>
      </c>
      <c r="G192" s="18" t="s">
        <v>41</v>
      </c>
      <c r="H192" s="18" t="s">
        <v>544</v>
      </c>
      <c r="I192" s="20" t="s">
        <v>561</v>
      </c>
      <c r="J192" s="18" t="s">
        <v>30</v>
      </c>
      <c r="K192" s="18" t="s">
        <v>91</v>
      </c>
      <c r="L192" s="18" t="s">
        <v>25</v>
      </c>
      <c r="N192" s="18" t="s">
        <v>154</v>
      </c>
    </row>
    <row r="193" spans="1:14" ht="15" customHeight="1" x14ac:dyDescent="0.3">
      <c r="A193" s="18" t="s">
        <v>544</v>
      </c>
      <c r="B193" s="19" t="s">
        <v>15</v>
      </c>
      <c r="C193" s="18" t="s">
        <v>562</v>
      </c>
      <c r="D193" s="18" t="s">
        <v>17</v>
      </c>
      <c r="E193" s="18" t="s">
        <v>74</v>
      </c>
      <c r="F193" s="18" t="s">
        <v>563</v>
      </c>
      <c r="G193" s="18" t="s">
        <v>564</v>
      </c>
      <c r="H193" s="18" t="s">
        <v>565</v>
      </c>
      <c r="I193" s="20" t="s">
        <v>566</v>
      </c>
      <c r="J193" s="18" t="s">
        <v>567</v>
      </c>
      <c r="K193" s="18" t="s">
        <v>91</v>
      </c>
      <c r="L193" s="18" t="s">
        <v>25</v>
      </c>
      <c r="N193" s="18" t="s">
        <v>154</v>
      </c>
    </row>
    <row r="194" spans="1:14" ht="15" customHeight="1" x14ac:dyDescent="0.3">
      <c r="A194" s="18" t="s">
        <v>544</v>
      </c>
      <c r="B194" s="19" t="s">
        <v>15</v>
      </c>
      <c r="C194" s="18" t="s">
        <v>149</v>
      </c>
      <c r="D194" s="18" t="s">
        <v>17</v>
      </c>
      <c r="E194" s="18" t="s">
        <v>226</v>
      </c>
      <c r="F194" s="18" t="s">
        <v>568</v>
      </c>
      <c r="G194" s="18" t="s">
        <v>41</v>
      </c>
      <c r="H194" s="18" t="s">
        <v>569</v>
      </c>
      <c r="I194" s="20" t="s">
        <v>570</v>
      </c>
      <c r="J194" s="18" t="s">
        <v>58</v>
      </c>
      <c r="K194" s="18" t="s">
        <v>91</v>
      </c>
      <c r="L194" s="18" t="s">
        <v>25</v>
      </c>
      <c r="N194" s="18" t="s">
        <v>154</v>
      </c>
    </row>
    <row r="195" spans="1:14" ht="15" customHeight="1" x14ac:dyDescent="0.3">
      <c r="A195" s="18" t="s">
        <v>571</v>
      </c>
      <c r="B195" s="19" t="s">
        <v>15</v>
      </c>
      <c r="C195" s="18" t="s">
        <v>16</v>
      </c>
      <c r="D195" s="18" t="s">
        <v>17</v>
      </c>
      <c r="E195" s="18" t="s">
        <v>117</v>
      </c>
      <c r="F195" s="18" t="s">
        <v>572</v>
      </c>
      <c r="G195" s="18" t="s">
        <v>263</v>
      </c>
      <c r="H195" s="18" t="s">
        <v>571</v>
      </c>
      <c r="I195" s="20" t="s">
        <v>573</v>
      </c>
      <c r="J195" s="18" t="s">
        <v>58</v>
      </c>
      <c r="K195" s="18" t="s">
        <v>24</v>
      </c>
      <c r="L195" s="18" t="s">
        <v>25</v>
      </c>
      <c r="N195" s="18" t="s">
        <v>26</v>
      </c>
    </row>
    <row r="196" spans="1:14" ht="15" customHeight="1" x14ac:dyDescent="0.3">
      <c r="A196" s="18" t="s">
        <v>571</v>
      </c>
      <c r="B196" s="19" t="s">
        <v>15</v>
      </c>
      <c r="C196" s="18" t="s">
        <v>16</v>
      </c>
      <c r="D196" s="18" t="s">
        <v>17</v>
      </c>
      <c r="E196" s="18" t="s">
        <v>117</v>
      </c>
      <c r="F196" s="18" t="s">
        <v>501</v>
      </c>
      <c r="G196" s="18" t="s">
        <v>41</v>
      </c>
      <c r="H196" s="18" t="s">
        <v>571</v>
      </c>
      <c r="I196" s="20" t="s">
        <v>574</v>
      </c>
      <c r="J196" s="18" t="s">
        <v>58</v>
      </c>
      <c r="K196" s="18" t="s">
        <v>24</v>
      </c>
      <c r="L196" s="18" t="s">
        <v>25</v>
      </c>
      <c r="N196" s="18" t="s">
        <v>26</v>
      </c>
    </row>
    <row r="197" spans="1:14" ht="15" customHeight="1" x14ac:dyDescent="0.3">
      <c r="A197" s="18" t="s">
        <v>571</v>
      </c>
      <c r="B197" s="19" t="s">
        <v>15</v>
      </c>
      <c r="C197" s="18" t="s">
        <v>16</v>
      </c>
      <c r="D197" s="18" t="s">
        <v>17</v>
      </c>
      <c r="E197" s="18" t="s">
        <v>117</v>
      </c>
      <c r="F197" s="18" t="s">
        <v>575</v>
      </c>
      <c r="G197" s="18" t="s">
        <v>263</v>
      </c>
      <c r="H197" s="18" t="s">
        <v>571</v>
      </c>
      <c r="I197" s="20" t="s">
        <v>576</v>
      </c>
      <c r="J197" s="18" t="s">
        <v>58</v>
      </c>
      <c r="K197" s="18" t="s">
        <v>24</v>
      </c>
      <c r="L197" s="18" t="s">
        <v>25</v>
      </c>
      <c r="N197" s="18" t="s">
        <v>26</v>
      </c>
    </row>
    <row r="198" spans="1:14" ht="15" customHeight="1" x14ac:dyDescent="0.3">
      <c r="A198" s="18" t="s">
        <v>571</v>
      </c>
      <c r="B198" s="19" t="s">
        <v>15</v>
      </c>
      <c r="C198" s="18" t="s">
        <v>16</v>
      </c>
      <c r="D198" s="18" t="s">
        <v>17</v>
      </c>
      <c r="E198" s="18" t="s">
        <v>18</v>
      </c>
      <c r="F198" s="18" t="s">
        <v>381</v>
      </c>
      <c r="G198" s="18" t="s">
        <v>381</v>
      </c>
      <c r="H198" s="18" t="s">
        <v>571</v>
      </c>
      <c r="I198" s="20" t="s">
        <v>577</v>
      </c>
      <c r="J198" s="18" t="s">
        <v>23</v>
      </c>
      <c r="K198" s="18" t="s">
        <v>24</v>
      </c>
      <c r="L198" s="18" t="s">
        <v>25</v>
      </c>
      <c r="N198" s="18" t="s">
        <v>26</v>
      </c>
    </row>
    <row r="199" spans="1:14" ht="15" customHeight="1" x14ac:dyDescent="0.3">
      <c r="A199" s="18" t="s">
        <v>571</v>
      </c>
      <c r="B199" s="19" t="s">
        <v>15</v>
      </c>
      <c r="C199" s="18" t="s">
        <v>16</v>
      </c>
      <c r="D199" s="18" t="s">
        <v>17</v>
      </c>
      <c r="E199" s="18" t="s">
        <v>18</v>
      </c>
      <c r="F199" s="18" t="s">
        <v>578</v>
      </c>
      <c r="G199" s="18" t="s">
        <v>80</v>
      </c>
      <c r="H199" s="18" t="s">
        <v>571</v>
      </c>
      <c r="I199" s="20" t="s">
        <v>579</v>
      </c>
      <c r="J199" s="18" t="s">
        <v>23</v>
      </c>
      <c r="K199" s="18" t="s">
        <v>24</v>
      </c>
      <c r="L199" s="18" t="s">
        <v>25</v>
      </c>
      <c r="N199" s="18" t="s">
        <v>26</v>
      </c>
    </row>
    <row r="200" spans="1:14" ht="15" customHeight="1" x14ac:dyDescent="0.3">
      <c r="A200" s="18" t="s">
        <v>571</v>
      </c>
      <c r="B200" s="19" t="s">
        <v>15</v>
      </c>
      <c r="C200" s="18" t="s">
        <v>16</v>
      </c>
      <c r="D200" s="18" t="s">
        <v>17</v>
      </c>
      <c r="E200" s="18" t="s">
        <v>18</v>
      </c>
      <c r="F200" s="18" t="s">
        <v>580</v>
      </c>
      <c r="G200" s="18" t="s">
        <v>20</v>
      </c>
      <c r="H200" s="18" t="s">
        <v>571</v>
      </c>
      <c r="I200" s="20" t="s">
        <v>581</v>
      </c>
      <c r="J200" s="18" t="s">
        <v>23</v>
      </c>
      <c r="K200" s="18" t="s">
        <v>24</v>
      </c>
      <c r="L200" s="18" t="s">
        <v>25</v>
      </c>
      <c r="N200" s="18" t="s">
        <v>26</v>
      </c>
    </row>
    <row r="201" spans="1:14" ht="15" customHeight="1" x14ac:dyDescent="0.3">
      <c r="A201" s="18" t="s">
        <v>571</v>
      </c>
      <c r="B201" s="19" t="s">
        <v>15</v>
      </c>
      <c r="C201" s="18" t="s">
        <v>16</v>
      </c>
      <c r="D201" s="18" t="s">
        <v>17</v>
      </c>
      <c r="E201" s="18" t="s">
        <v>18</v>
      </c>
      <c r="F201" s="18" t="s">
        <v>582</v>
      </c>
      <c r="G201" s="18" t="s">
        <v>20</v>
      </c>
      <c r="H201" s="18" t="s">
        <v>571</v>
      </c>
      <c r="I201" s="20" t="s">
        <v>583</v>
      </c>
      <c r="J201" s="18" t="s">
        <v>23</v>
      </c>
      <c r="K201" s="18" t="s">
        <v>24</v>
      </c>
      <c r="L201" s="18" t="s">
        <v>25</v>
      </c>
      <c r="N201" s="18" t="s">
        <v>26</v>
      </c>
    </row>
    <row r="202" spans="1:14" ht="15" customHeight="1" x14ac:dyDescent="0.3">
      <c r="A202" s="18" t="s">
        <v>571</v>
      </c>
      <c r="B202" s="19" t="s">
        <v>15</v>
      </c>
      <c r="C202" s="18" t="s">
        <v>16</v>
      </c>
      <c r="D202" s="18" t="s">
        <v>17</v>
      </c>
      <c r="E202" s="18" t="s">
        <v>55</v>
      </c>
      <c r="F202" s="18" t="s">
        <v>584</v>
      </c>
      <c r="G202" s="18" t="s">
        <v>381</v>
      </c>
      <c r="H202" s="18" t="s">
        <v>571</v>
      </c>
      <c r="I202" s="20" t="s">
        <v>585</v>
      </c>
      <c r="J202" s="18" t="s">
        <v>73</v>
      </c>
      <c r="K202" s="18" t="s">
        <v>24</v>
      </c>
      <c r="L202" s="18" t="s">
        <v>25</v>
      </c>
      <c r="N202" s="18" t="s">
        <v>26</v>
      </c>
    </row>
    <row r="203" spans="1:14" ht="15" customHeight="1" x14ac:dyDescent="0.3">
      <c r="A203" s="18" t="s">
        <v>571</v>
      </c>
      <c r="B203" s="19" t="s">
        <v>15</v>
      </c>
      <c r="C203" s="18" t="s">
        <v>16</v>
      </c>
      <c r="D203" s="18" t="s">
        <v>17</v>
      </c>
      <c r="E203" s="18" t="s">
        <v>55</v>
      </c>
      <c r="F203" s="18" t="s">
        <v>586</v>
      </c>
      <c r="G203" s="18" t="s">
        <v>381</v>
      </c>
      <c r="H203" s="18" t="s">
        <v>571</v>
      </c>
      <c r="I203" s="20" t="s">
        <v>587</v>
      </c>
      <c r="J203" s="18" t="s">
        <v>73</v>
      </c>
      <c r="K203" s="18" t="s">
        <v>24</v>
      </c>
      <c r="L203" s="18" t="s">
        <v>25</v>
      </c>
      <c r="N203" s="18" t="s">
        <v>26</v>
      </c>
    </row>
    <row r="204" spans="1:14" ht="15" customHeight="1" x14ac:dyDescent="0.3">
      <c r="A204" s="18" t="s">
        <v>571</v>
      </c>
      <c r="B204" s="19" t="s">
        <v>15</v>
      </c>
      <c r="C204" s="18" t="s">
        <v>16</v>
      </c>
      <c r="D204" s="18" t="s">
        <v>17</v>
      </c>
      <c r="E204" s="18" t="s">
        <v>55</v>
      </c>
      <c r="F204" s="18" t="s">
        <v>588</v>
      </c>
      <c r="G204" s="18" t="s">
        <v>381</v>
      </c>
      <c r="H204" s="18" t="s">
        <v>571</v>
      </c>
      <c r="I204" s="20" t="s">
        <v>589</v>
      </c>
      <c r="J204" s="18" t="s">
        <v>73</v>
      </c>
      <c r="K204" s="18" t="s">
        <v>24</v>
      </c>
      <c r="L204" s="18" t="s">
        <v>25</v>
      </c>
      <c r="N204" s="18" t="s">
        <v>26</v>
      </c>
    </row>
    <row r="205" spans="1:14" ht="15" customHeight="1" x14ac:dyDescent="0.3">
      <c r="A205" s="18" t="s">
        <v>571</v>
      </c>
      <c r="B205" s="19" t="s">
        <v>15</v>
      </c>
      <c r="C205" s="18" t="s">
        <v>16</v>
      </c>
      <c r="D205" s="18" t="s">
        <v>17</v>
      </c>
      <c r="E205" s="18" t="s">
        <v>55</v>
      </c>
      <c r="F205" s="18" t="s">
        <v>590</v>
      </c>
      <c r="G205" s="18" t="s">
        <v>381</v>
      </c>
      <c r="H205" s="18" t="s">
        <v>571</v>
      </c>
      <c r="I205" s="20" t="s">
        <v>591</v>
      </c>
      <c r="J205" s="18" t="s">
        <v>73</v>
      </c>
      <c r="K205" s="18" t="s">
        <v>24</v>
      </c>
      <c r="L205" s="18" t="s">
        <v>25</v>
      </c>
      <c r="N205" s="18" t="s">
        <v>26</v>
      </c>
    </row>
    <row r="206" spans="1:14" ht="15" customHeight="1" x14ac:dyDescent="0.3">
      <c r="A206" s="18" t="s">
        <v>571</v>
      </c>
      <c r="B206" s="19" t="s">
        <v>15</v>
      </c>
      <c r="C206" s="18" t="s">
        <v>16</v>
      </c>
      <c r="D206" s="18" t="s">
        <v>17</v>
      </c>
      <c r="E206" s="18" t="s">
        <v>55</v>
      </c>
      <c r="F206" s="18" t="s">
        <v>383</v>
      </c>
      <c r="G206" s="18" t="s">
        <v>381</v>
      </c>
      <c r="H206" s="18" t="s">
        <v>571</v>
      </c>
      <c r="I206" s="20" t="s">
        <v>592</v>
      </c>
      <c r="J206" s="18" t="s">
        <v>73</v>
      </c>
      <c r="K206" s="18" t="s">
        <v>24</v>
      </c>
      <c r="L206" s="18" t="s">
        <v>25</v>
      </c>
      <c r="N206" s="18" t="s">
        <v>26</v>
      </c>
    </row>
    <row r="207" spans="1:14" ht="15" customHeight="1" x14ac:dyDescent="0.3">
      <c r="A207" s="18" t="s">
        <v>571</v>
      </c>
      <c r="B207" s="19" t="s">
        <v>15</v>
      </c>
      <c r="C207" s="18" t="s">
        <v>16</v>
      </c>
      <c r="D207" s="18" t="s">
        <v>17</v>
      </c>
      <c r="E207" s="18" t="s">
        <v>55</v>
      </c>
      <c r="F207" s="18" t="s">
        <v>580</v>
      </c>
      <c r="G207" s="18" t="s">
        <v>20</v>
      </c>
      <c r="H207" s="18" t="s">
        <v>571</v>
      </c>
      <c r="I207" s="20" t="s">
        <v>593</v>
      </c>
      <c r="J207" s="18" t="s">
        <v>73</v>
      </c>
      <c r="K207" s="18" t="s">
        <v>24</v>
      </c>
      <c r="L207" s="18" t="s">
        <v>25</v>
      </c>
      <c r="N207" s="18" t="s">
        <v>26</v>
      </c>
    </row>
    <row r="208" spans="1:14" ht="15" customHeight="1" x14ac:dyDescent="0.3">
      <c r="A208" s="18" t="s">
        <v>571</v>
      </c>
      <c r="B208" s="19" t="s">
        <v>15</v>
      </c>
      <c r="C208" s="18" t="s">
        <v>16</v>
      </c>
      <c r="D208" s="18" t="s">
        <v>17</v>
      </c>
      <c r="E208" s="18" t="s">
        <v>55</v>
      </c>
      <c r="F208" s="18" t="s">
        <v>582</v>
      </c>
      <c r="G208" s="18" t="s">
        <v>20</v>
      </c>
      <c r="H208" s="18" t="s">
        <v>571</v>
      </c>
      <c r="I208" s="20" t="s">
        <v>594</v>
      </c>
      <c r="J208" s="18" t="s">
        <v>73</v>
      </c>
      <c r="K208" s="18" t="s">
        <v>24</v>
      </c>
      <c r="L208" s="18" t="s">
        <v>25</v>
      </c>
      <c r="N208" s="18" t="s">
        <v>26</v>
      </c>
    </row>
    <row r="209" spans="1:14" ht="15" customHeight="1" x14ac:dyDescent="0.3">
      <c r="A209" s="18" t="s">
        <v>595</v>
      </c>
      <c r="B209" s="19" t="s">
        <v>15</v>
      </c>
      <c r="C209" s="18" t="s">
        <v>596</v>
      </c>
      <c r="D209" s="18" t="s">
        <v>17</v>
      </c>
      <c r="E209" s="18" t="s">
        <v>18</v>
      </c>
      <c r="F209" s="18" t="s">
        <v>381</v>
      </c>
      <c r="G209" s="18" t="s">
        <v>381</v>
      </c>
      <c r="H209" s="18" t="s">
        <v>597</v>
      </c>
      <c r="I209" s="20" t="s">
        <v>598</v>
      </c>
      <c r="J209" s="18" t="s">
        <v>23</v>
      </c>
      <c r="K209" s="18" t="s">
        <v>24</v>
      </c>
      <c r="L209" s="18" t="s">
        <v>25</v>
      </c>
      <c r="N209" s="18" t="s">
        <v>154</v>
      </c>
    </row>
    <row r="210" spans="1:14" ht="15" customHeight="1" x14ac:dyDescent="0.3">
      <c r="A210" s="18" t="s">
        <v>595</v>
      </c>
      <c r="B210" s="19" t="s">
        <v>15</v>
      </c>
      <c r="C210" s="18" t="s">
        <v>596</v>
      </c>
      <c r="D210" s="18" t="s">
        <v>17</v>
      </c>
      <c r="E210" s="18" t="s">
        <v>18</v>
      </c>
      <c r="F210" s="18" t="s">
        <v>580</v>
      </c>
      <c r="G210" s="18" t="s">
        <v>20</v>
      </c>
      <c r="H210" s="18" t="s">
        <v>597</v>
      </c>
      <c r="I210" s="20" t="s">
        <v>599</v>
      </c>
      <c r="J210" s="18" t="s">
        <v>23</v>
      </c>
      <c r="K210" s="18" t="s">
        <v>24</v>
      </c>
      <c r="L210" s="18" t="s">
        <v>25</v>
      </c>
      <c r="N210" s="18" t="s">
        <v>154</v>
      </c>
    </row>
    <row r="211" spans="1:14" ht="15" customHeight="1" x14ac:dyDescent="0.3">
      <c r="A211" s="18" t="s">
        <v>595</v>
      </c>
      <c r="B211" s="19" t="s">
        <v>15</v>
      </c>
      <c r="C211" s="18" t="s">
        <v>596</v>
      </c>
      <c r="D211" s="18" t="s">
        <v>17</v>
      </c>
      <c r="E211" s="18" t="s">
        <v>74</v>
      </c>
      <c r="F211" s="18" t="s">
        <v>600</v>
      </c>
      <c r="G211" s="18" t="s">
        <v>433</v>
      </c>
      <c r="H211" s="18" t="s">
        <v>601</v>
      </c>
      <c r="I211" s="20" t="s">
        <v>602</v>
      </c>
      <c r="J211" s="18" t="s">
        <v>394</v>
      </c>
      <c r="K211" s="18" t="s">
        <v>293</v>
      </c>
      <c r="L211" s="18" t="s">
        <v>25</v>
      </c>
      <c r="N211" s="18" t="s">
        <v>154</v>
      </c>
    </row>
    <row r="212" spans="1:14" ht="15" customHeight="1" x14ac:dyDescent="0.3">
      <c r="A212" s="18" t="s">
        <v>603</v>
      </c>
      <c r="B212" s="19" t="s">
        <v>15</v>
      </c>
      <c r="C212" s="18" t="s">
        <v>604</v>
      </c>
      <c r="D212" s="18" t="s">
        <v>17</v>
      </c>
      <c r="E212" s="18" t="s">
        <v>117</v>
      </c>
      <c r="F212" s="18" t="s">
        <v>605</v>
      </c>
      <c r="G212" s="18" t="s">
        <v>606</v>
      </c>
      <c r="H212" s="18" t="s">
        <v>603</v>
      </c>
      <c r="I212" s="20" t="s">
        <v>607</v>
      </c>
      <c r="J212" s="18" t="s">
        <v>58</v>
      </c>
      <c r="K212" s="18" t="s">
        <v>24</v>
      </c>
      <c r="L212" s="18" t="s">
        <v>25</v>
      </c>
      <c r="N212" s="18" t="s">
        <v>26</v>
      </c>
    </row>
    <row r="213" spans="1:14" ht="15" customHeight="1" x14ac:dyDescent="0.3">
      <c r="A213" s="18" t="s">
        <v>603</v>
      </c>
      <c r="B213" s="19" t="s">
        <v>15</v>
      </c>
      <c r="C213" s="18" t="s">
        <v>604</v>
      </c>
      <c r="D213" s="18" t="s">
        <v>17</v>
      </c>
      <c r="E213" s="18" t="s">
        <v>117</v>
      </c>
      <c r="F213" s="18" t="s">
        <v>608</v>
      </c>
      <c r="G213" s="18" t="s">
        <v>429</v>
      </c>
      <c r="H213" s="18" t="s">
        <v>603</v>
      </c>
      <c r="I213" s="20" t="s">
        <v>609</v>
      </c>
      <c r="J213" s="18" t="s">
        <v>58</v>
      </c>
      <c r="K213" s="18" t="s">
        <v>24</v>
      </c>
      <c r="L213" s="18" t="s">
        <v>25</v>
      </c>
      <c r="N213" s="18" t="s">
        <v>26</v>
      </c>
    </row>
    <row r="214" spans="1:14" ht="15" customHeight="1" x14ac:dyDescent="0.3">
      <c r="A214" s="18" t="s">
        <v>603</v>
      </c>
      <c r="B214" s="19" t="s">
        <v>15</v>
      </c>
      <c r="C214" s="18" t="s">
        <v>604</v>
      </c>
      <c r="D214" s="18" t="s">
        <v>17</v>
      </c>
      <c r="E214" s="18" t="s">
        <v>117</v>
      </c>
      <c r="F214" s="18" t="s">
        <v>572</v>
      </c>
      <c r="G214" s="18" t="s">
        <v>263</v>
      </c>
      <c r="H214" s="18" t="s">
        <v>603</v>
      </c>
      <c r="I214" s="20" t="s">
        <v>610</v>
      </c>
      <c r="J214" s="18" t="s">
        <v>58</v>
      </c>
      <c r="K214" s="18" t="s">
        <v>24</v>
      </c>
      <c r="L214" s="18" t="s">
        <v>25</v>
      </c>
      <c r="N214" s="18" t="s">
        <v>26</v>
      </c>
    </row>
    <row r="215" spans="1:14" ht="15" customHeight="1" x14ac:dyDescent="0.3">
      <c r="A215" s="18" t="s">
        <v>603</v>
      </c>
      <c r="B215" s="19" t="s">
        <v>15</v>
      </c>
      <c r="C215" s="18" t="s">
        <v>604</v>
      </c>
      <c r="D215" s="18" t="s">
        <v>17</v>
      </c>
      <c r="E215" s="18" t="s">
        <v>117</v>
      </c>
      <c r="F215" s="18" t="s">
        <v>611</v>
      </c>
      <c r="G215" s="18" t="s">
        <v>606</v>
      </c>
      <c r="H215" s="18" t="s">
        <v>603</v>
      </c>
      <c r="I215" s="20" t="s">
        <v>612</v>
      </c>
      <c r="J215" s="18" t="s">
        <v>58</v>
      </c>
      <c r="K215" s="18" t="s">
        <v>24</v>
      </c>
      <c r="L215" s="18" t="s">
        <v>25</v>
      </c>
      <c r="N215" s="18" t="s">
        <v>26</v>
      </c>
    </row>
    <row r="216" spans="1:14" ht="15" customHeight="1" x14ac:dyDescent="0.3">
      <c r="A216" s="18" t="s">
        <v>603</v>
      </c>
      <c r="B216" s="19" t="s">
        <v>15</v>
      </c>
      <c r="C216" s="18" t="s">
        <v>604</v>
      </c>
      <c r="D216" s="18" t="s">
        <v>17</v>
      </c>
      <c r="E216" s="18" t="s">
        <v>18</v>
      </c>
      <c r="F216" s="18" t="s">
        <v>613</v>
      </c>
      <c r="G216" s="18" t="s">
        <v>606</v>
      </c>
      <c r="H216" s="18" t="s">
        <v>614</v>
      </c>
      <c r="I216" s="20" t="s">
        <v>615</v>
      </c>
      <c r="J216" s="18" t="s">
        <v>30</v>
      </c>
      <c r="K216" s="18" t="s">
        <v>24</v>
      </c>
      <c r="L216" s="18" t="s">
        <v>25</v>
      </c>
      <c r="N216" s="18" t="s">
        <v>26</v>
      </c>
    </row>
    <row r="217" spans="1:14" ht="15" customHeight="1" x14ac:dyDescent="0.3">
      <c r="A217" s="18" t="s">
        <v>603</v>
      </c>
      <c r="B217" s="19" t="s">
        <v>15</v>
      </c>
      <c r="C217" s="18" t="s">
        <v>604</v>
      </c>
      <c r="D217" s="18" t="s">
        <v>17</v>
      </c>
      <c r="E217" s="18" t="s">
        <v>18</v>
      </c>
      <c r="F217" s="18" t="s">
        <v>616</v>
      </c>
      <c r="G217" s="18" t="s">
        <v>429</v>
      </c>
      <c r="H217" s="18" t="s">
        <v>603</v>
      </c>
      <c r="I217" s="20" t="s">
        <v>617</v>
      </c>
      <c r="J217" s="18" t="s">
        <v>23</v>
      </c>
      <c r="K217" s="18" t="s">
        <v>24</v>
      </c>
      <c r="L217" s="18" t="s">
        <v>25</v>
      </c>
      <c r="N217" s="18" t="s">
        <v>26</v>
      </c>
    </row>
    <row r="218" spans="1:14" ht="15" customHeight="1" x14ac:dyDescent="0.3">
      <c r="A218" s="18" t="s">
        <v>603</v>
      </c>
      <c r="B218" s="19" t="s">
        <v>15</v>
      </c>
      <c r="C218" s="18" t="s">
        <v>604</v>
      </c>
      <c r="D218" s="18" t="s">
        <v>17</v>
      </c>
      <c r="E218" s="18" t="s">
        <v>18</v>
      </c>
      <c r="F218" s="18" t="s">
        <v>618</v>
      </c>
      <c r="G218" s="18" t="s">
        <v>619</v>
      </c>
      <c r="H218" s="18" t="s">
        <v>614</v>
      </c>
      <c r="I218" s="20" t="s">
        <v>620</v>
      </c>
      <c r="J218" s="18" t="s">
        <v>30</v>
      </c>
      <c r="K218" s="18" t="s">
        <v>24</v>
      </c>
      <c r="L218" s="18" t="s">
        <v>25</v>
      </c>
      <c r="N218" s="18" t="s">
        <v>26</v>
      </c>
    </row>
    <row r="219" spans="1:14" ht="15" customHeight="1" x14ac:dyDescent="0.3">
      <c r="A219" s="18" t="s">
        <v>603</v>
      </c>
      <c r="B219" s="19" t="s">
        <v>15</v>
      </c>
      <c r="C219" s="18" t="s">
        <v>604</v>
      </c>
      <c r="D219" s="18" t="s">
        <v>17</v>
      </c>
      <c r="E219" s="18" t="s">
        <v>18</v>
      </c>
      <c r="F219" s="18" t="s">
        <v>19</v>
      </c>
      <c r="G219" s="18" t="s">
        <v>621</v>
      </c>
      <c r="H219" s="18" t="s">
        <v>614</v>
      </c>
      <c r="I219" s="20" t="s">
        <v>622</v>
      </c>
      <c r="J219" s="18" t="s">
        <v>23</v>
      </c>
      <c r="K219" s="18" t="s">
        <v>24</v>
      </c>
      <c r="L219" s="18" t="s">
        <v>25</v>
      </c>
      <c r="N219" s="18" t="s">
        <v>26</v>
      </c>
    </row>
    <row r="220" spans="1:14" ht="15" customHeight="1" x14ac:dyDescent="0.3">
      <c r="A220" s="18" t="s">
        <v>603</v>
      </c>
      <c r="B220" s="19" t="s">
        <v>15</v>
      </c>
      <c r="C220" s="18" t="s">
        <v>604</v>
      </c>
      <c r="D220" s="18" t="s">
        <v>17</v>
      </c>
      <c r="E220" s="18" t="s">
        <v>18</v>
      </c>
      <c r="F220" s="18" t="s">
        <v>381</v>
      </c>
      <c r="G220" s="18" t="s">
        <v>381</v>
      </c>
      <c r="H220" s="18" t="s">
        <v>603</v>
      </c>
      <c r="I220" s="20" t="s">
        <v>623</v>
      </c>
      <c r="J220" s="18" t="s">
        <v>23</v>
      </c>
      <c r="K220" s="18" t="s">
        <v>24</v>
      </c>
      <c r="L220" s="18" t="s">
        <v>25</v>
      </c>
      <c r="N220" s="18" t="s">
        <v>26</v>
      </c>
    </row>
    <row r="221" spans="1:14" ht="15" customHeight="1" x14ac:dyDescent="0.3">
      <c r="A221" s="18" t="s">
        <v>603</v>
      </c>
      <c r="B221" s="19" t="s">
        <v>15</v>
      </c>
      <c r="C221" s="18" t="s">
        <v>604</v>
      </c>
      <c r="D221" s="18" t="s">
        <v>17</v>
      </c>
      <c r="E221" s="18" t="s">
        <v>18</v>
      </c>
      <c r="F221" s="18" t="s">
        <v>624</v>
      </c>
      <c r="G221" s="18" t="s">
        <v>625</v>
      </c>
      <c r="H221" s="18" t="s">
        <v>603</v>
      </c>
      <c r="I221" s="20" t="s">
        <v>626</v>
      </c>
      <c r="J221" s="18" t="s">
        <v>30</v>
      </c>
      <c r="K221" s="18" t="s">
        <v>24</v>
      </c>
      <c r="L221" s="18" t="s">
        <v>25</v>
      </c>
      <c r="N221" s="18" t="s">
        <v>26</v>
      </c>
    </row>
    <row r="222" spans="1:14" ht="15" customHeight="1" x14ac:dyDescent="0.3">
      <c r="A222" s="18" t="s">
        <v>603</v>
      </c>
      <c r="B222" s="19" t="s">
        <v>15</v>
      </c>
      <c r="C222" s="18" t="s">
        <v>604</v>
      </c>
      <c r="D222" s="18" t="s">
        <v>17</v>
      </c>
      <c r="E222" s="18" t="s">
        <v>18</v>
      </c>
      <c r="F222" s="18" t="s">
        <v>580</v>
      </c>
      <c r="G222" s="18" t="s">
        <v>20</v>
      </c>
      <c r="H222" s="18" t="s">
        <v>603</v>
      </c>
      <c r="I222" s="20" t="s">
        <v>627</v>
      </c>
      <c r="J222" s="18" t="s">
        <v>23</v>
      </c>
      <c r="K222" s="18" t="s">
        <v>24</v>
      </c>
      <c r="L222" s="18" t="s">
        <v>25</v>
      </c>
      <c r="N222" s="18" t="s">
        <v>26</v>
      </c>
    </row>
    <row r="223" spans="1:14" ht="15" customHeight="1" x14ac:dyDescent="0.3">
      <c r="A223" s="18" t="s">
        <v>603</v>
      </c>
      <c r="B223" s="19" t="s">
        <v>15</v>
      </c>
      <c r="C223" s="18" t="s">
        <v>604</v>
      </c>
      <c r="D223" s="18" t="s">
        <v>17</v>
      </c>
      <c r="E223" s="18" t="s">
        <v>18</v>
      </c>
      <c r="F223" s="18" t="s">
        <v>628</v>
      </c>
      <c r="G223" s="18" t="s">
        <v>629</v>
      </c>
      <c r="H223" s="18" t="s">
        <v>614</v>
      </c>
      <c r="I223" s="20" t="s">
        <v>630</v>
      </c>
      <c r="J223" s="18" t="s">
        <v>30</v>
      </c>
      <c r="K223" s="18" t="s">
        <v>24</v>
      </c>
      <c r="L223" s="18" t="s">
        <v>25</v>
      </c>
      <c r="N223" s="18" t="s">
        <v>26</v>
      </c>
    </row>
    <row r="224" spans="1:14" ht="15" customHeight="1" x14ac:dyDescent="0.3">
      <c r="A224" s="18" t="s">
        <v>603</v>
      </c>
      <c r="B224" s="19" t="s">
        <v>15</v>
      </c>
      <c r="C224" s="18" t="s">
        <v>604</v>
      </c>
      <c r="D224" s="18" t="s">
        <v>17</v>
      </c>
      <c r="E224" s="18" t="s">
        <v>18</v>
      </c>
      <c r="F224" s="18" t="s">
        <v>631</v>
      </c>
      <c r="G224" s="18" t="s">
        <v>76</v>
      </c>
      <c r="H224" s="18" t="s">
        <v>603</v>
      </c>
      <c r="I224" s="20" t="s">
        <v>632</v>
      </c>
      <c r="J224" s="18" t="s">
        <v>30</v>
      </c>
      <c r="K224" s="18" t="s">
        <v>24</v>
      </c>
      <c r="L224" s="18" t="s">
        <v>25</v>
      </c>
      <c r="N224" s="18" t="s">
        <v>26</v>
      </c>
    </row>
    <row r="225" spans="1:14" ht="15" customHeight="1" x14ac:dyDescent="0.3">
      <c r="A225" s="18" t="s">
        <v>603</v>
      </c>
      <c r="B225" s="19" t="s">
        <v>15</v>
      </c>
      <c r="C225" s="18" t="s">
        <v>604</v>
      </c>
      <c r="D225" s="18" t="s">
        <v>17</v>
      </c>
      <c r="E225" s="18" t="s">
        <v>18</v>
      </c>
      <c r="F225" s="18" t="s">
        <v>340</v>
      </c>
      <c r="G225" s="18" t="s">
        <v>340</v>
      </c>
      <c r="H225" s="18" t="s">
        <v>614</v>
      </c>
      <c r="I225" s="20" t="s">
        <v>633</v>
      </c>
      <c r="J225" s="18" t="s">
        <v>30</v>
      </c>
      <c r="K225" s="18" t="s">
        <v>24</v>
      </c>
      <c r="L225" s="18" t="s">
        <v>25</v>
      </c>
      <c r="N225" s="18" t="s">
        <v>26</v>
      </c>
    </row>
    <row r="226" spans="1:14" ht="15" customHeight="1" x14ac:dyDescent="0.3">
      <c r="A226" s="18" t="s">
        <v>603</v>
      </c>
      <c r="B226" s="19" t="s">
        <v>15</v>
      </c>
      <c r="C226" s="18" t="s">
        <v>604</v>
      </c>
      <c r="D226" s="18" t="s">
        <v>17</v>
      </c>
      <c r="E226" s="18" t="s">
        <v>55</v>
      </c>
      <c r="F226" s="18" t="s">
        <v>634</v>
      </c>
      <c r="G226" s="18" t="s">
        <v>429</v>
      </c>
      <c r="H226" s="18" t="s">
        <v>614</v>
      </c>
      <c r="I226" s="20" t="s">
        <v>635</v>
      </c>
      <c r="J226" s="18" t="s">
        <v>58</v>
      </c>
      <c r="K226" s="18" t="s">
        <v>24</v>
      </c>
      <c r="L226" s="18" t="s">
        <v>25</v>
      </c>
      <c r="N226" s="18" t="s">
        <v>26</v>
      </c>
    </row>
    <row r="227" spans="1:14" ht="15" customHeight="1" x14ac:dyDescent="0.3">
      <c r="A227" s="18" t="s">
        <v>603</v>
      </c>
      <c r="B227" s="19" t="s">
        <v>15</v>
      </c>
      <c r="C227" s="18" t="s">
        <v>604</v>
      </c>
      <c r="D227" s="18" t="s">
        <v>17</v>
      </c>
      <c r="E227" s="18" t="s">
        <v>55</v>
      </c>
      <c r="F227" s="18" t="s">
        <v>636</v>
      </c>
      <c r="G227" s="18" t="s">
        <v>637</v>
      </c>
      <c r="H227" s="18" t="s">
        <v>614</v>
      </c>
      <c r="I227" s="20" t="s">
        <v>638</v>
      </c>
      <c r="J227" s="18" t="s">
        <v>58</v>
      </c>
      <c r="K227" s="18" t="s">
        <v>24</v>
      </c>
      <c r="L227" s="18" t="s">
        <v>25</v>
      </c>
      <c r="N227" s="18" t="s">
        <v>26</v>
      </c>
    </row>
    <row r="228" spans="1:14" ht="15" customHeight="1" x14ac:dyDescent="0.3">
      <c r="A228" s="18" t="s">
        <v>603</v>
      </c>
      <c r="B228" s="19" t="s">
        <v>15</v>
      </c>
      <c r="C228" s="18" t="s">
        <v>604</v>
      </c>
      <c r="D228" s="18" t="s">
        <v>17</v>
      </c>
      <c r="E228" s="18" t="s">
        <v>55</v>
      </c>
      <c r="F228" s="18" t="s">
        <v>586</v>
      </c>
      <c r="G228" s="18" t="s">
        <v>381</v>
      </c>
      <c r="H228" s="18" t="s">
        <v>603</v>
      </c>
      <c r="I228" s="20" t="s">
        <v>639</v>
      </c>
      <c r="J228" s="18" t="s">
        <v>73</v>
      </c>
      <c r="K228" s="18" t="s">
        <v>24</v>
      </c>
      <c r="L228" s="18" t="s">
        <v>25</v>
      </c>
      <c r="N228" s="18" t="s">
        <v>26</v>
      </c>
    </row>
    <row r="229" spans="1:14" ht="15" customHeight="1" x14ac:dyDescent="0.3">
      <c r="A229" s="18" t="s">
        <v>603</v>
      </c>
      <c r="B229" s="19" t="s">
        <v>15</v>
      </c>
      <c r="C229" s="18" t="s">
        <v>604</v>
      </c>
      <c r="D229" s="18" t="s">
        <v>17</v>
      </c>
      <c r="E229" s="18" t="s">
        <v>55</v>
      </c>
      <c r="F229" s="18" t="s">
        <v>640</v>
      </c>
      <c r="G229" s="18" t="s">
        <v>381</v>
      </c>
      <c r="H229" s="18" t="s">
        <v>603</v>
      </c>
      <c r="I229" s="20" t="s">
        <v>641</v>
      </c>
      <c r="J229" s="18" t="s">
        <v>73</v>
      </c>
      <c r="K229" s="18" t="s">
        <v>24</v>
      </c>
      <c r="L229" s="18" t="s">
        <v>25</v>
      </c>
      <c r="N229" s="18" t="s">
        <v>26</v>
      </c>
    </row>
    <row r="230" spans="1:14" ht="15" customHeight="1" x14ac:dyDescent="0.3">
      <c r="A230" s="18" t="s">
        <v>603</v>
      </c>
      <c r="B230" s="19" t="s">
        <v>15</v>
      </c>
      <c r="C230" s="18" t="s">
        <v>604</v>
      </c>
      <c r="D230" s="18" t="s">
        <v>17</v>
      </c>
      <c r="E230" s="18" t="s">
        <v>55</v>
      </c>
      <c r="F230" s="18" t="s">
        <v>642</v>
      </c>
      <c r="G230" s="18" t="s">
        <v>381</v>
      </c>
      <c r="H230" s="18" t="s">
        <v>603</v>
      </c>
      <c r="I230" s="20" t="s">
        <v>643</v>
      </c>
      <c r="J230" s="18" t="s">
        <v>73</v>
      </c>
      <c r="K230" s="18" t="s">
        <v>24</v>
      </c>
      <c r="L230" s="18" t="s">
        <v>25</v>
      </c>
      <c r="N230" s="18" t="s">
        <v>26</v>
      </c>
    </row>
    <row r="231" spans="1:14" ht="15" customHeight="1" x14ac:dyDescent="0.3">
      <c r="A231" s="18" t="s">
        <v>603</v>
      </c>
      <c r="B231" s="19" t="s">
        <v>15</v>
      </c>
      <c r="C231" s="18" t="s">
        <v>604</v>
      </c>
      <c r="D231" s="18" t="s">
        <v>17</v>
      </c>
      <c r="E231" s="18" t="s">
        <v>55</v>
      </c>
      <c r="F231" s="18" t="s">
        <v>644</v>
      </c>
      <c r="G231" s="18" t="s">
        <v>381</v>
      </c>
      <c r="H231" s="18" t="s">
        <v>603</v>
      </c>
      <c r="I231" s="20" t="s">
        <v>645</v>
      </c>
      <c r="J231" s="18" t="s">
        <v>73</v>
      </c>
      <c r="K231" s="18" t="s">
        <v>24</v>
      </c>
      <c r="L231" s="18" t="s">
        <v>25</v>
      </c>
      <c r="N231" s="18" t="s">
        <v>26</v>
      </c>
    </row>
    <row r="232" spans="1:14" ht="15" customHeight="1" x14ac:dyDescent="0.3">
      <c r="A232" s="18" t="s">
        <v>603</v>
      </c>
      <c r="B232" s="19" t="s">
        <v>15</v>
      </c>
      <c r="C232" s="18" t="s">
        <v>604</v>
      </c>
      <c r="D232" s="18" t="s">
        <v>17</v>
      </c>
      <c r="E232" s="18" t="s">
        <v>55</v>
      </c>
      <c r="F232" s="18" t="s">
        <v>383</v>
      </c>
      <c r="G232" s="18" t="s">
        <v>381</v>
      </c>
      <c r="H232" s="18" t="s">
        <v>603</v>
      </c>
      <c r="I232" s="20" t="s">
        <v>646</v>
      </c>
      <c r="J232" s="18" t="s">
        <v>73</v>
      </c>
      <c r="K232" s="18" t="s">
        <v>24</v>
      </c>
      <c r="L232" s="18" t="s">
        <v>25</v>
      </c>
      <c r="N232" s="18" t="s">
        <v>26</v>
      </c>
    </row>
    <row r="233" spans="1:14" ht="15" customHeight="1" x14ac:dyDescent="0.3">
      <c r="A233" s="18" t="s">
        <v>603</v>
      </c>
      <c r="B233" s="19" t="s">
        <v>15</v>
      </c>
      <c r="C233" s="18" t="s">
        <v>604</v>
      </c>
      <c r="D233" s="18" t="s">
        <v>17</v>
      </c>
      <c r="E233" s="18" t="s">
        <v>55</v>
      </c>
      <c r="F233" s="18" t="s">
        <v>385</v>
      </c>
      <c r="G233" s="18" t="s">
        <v>381</v>
      </c>
      <c r="H233" s="18" t="s">
        <v>603</v>
      </c>
      <c r="I233" s="20" t="s">
        <v>647</v>
      </c>
      <c r="J233" s="18" t="s">
        <v>73</v>
      </c>
      <c r="K233" s="18" t="s">
        <v>24</v>
      </c>
      <c r="L233" s="18" t="s">
        <v>25</v>
      </c>
      <c r="N233" s="18" t="s">
        <v>26</v>
      </c>
    </row>
    <row r="234" spans="1:14" ht="15" customHeight="1" x14ac:dyDescent="0.3">
      <c r="A234" s="18" t="s">
        <v>603</v>
      </c>
      <c r="B234" s="19" t="s">
        <v>15</v>
      </c>
      <c r="C234" s="18" t="s">
        <v>604</v>
      </c>
      <c r="D234" s="18" t="s">
        <v>17</v>
      </c>
      <c r="E234" s="18" t="s">
        <v>55</v>
      </c>
      <c r="F234" s="18" t="s">
        <v>580</v>
      </c>
      <c r="G234" s="18" t="s">
        <v>20</v>
      </c>
      <c r="H234" s="18" t="s">
        <v>603</v>
      </c>
      <c r="I234" s="20" t="s">
        <v>648</v>
      </c>
      <c r="J234" s="18" t="s">
        <v>58</v>
      </c>
      <c r="K234" s="18" t="s">
        <v>24</v>
      </c>
      <c r="L234" s="18" t="s">
        <v>25</v>
      </c>
      <c r="N234" s="18" t="s">
        <v>26</v>
      </c>
    </row>
    <row r="235" spans="1:14" ht="15" customHeight="1" x14ac:dyDescent="0.3">
      <c r="A235" s="18" t="s">
        <v>603</v>
      </c>
      <c r="B235" s="19" t="s">
        <v>15</v>
      </c>
      <c r="C235" s="18" t="s">
        <v>604</v>
      </c>
      <c r="D235" s="18" t="s">
        <v>17</v>
      </c>
      <c r="E235" s="18" t="s">
        <v>55</v>
      </c>
      <c r="F235" s="18" t="s">
        <v>649</v>
      </c>
      <c r="G235" s="18" t="s">
        <v>76</v>
      </c>
      <c r="H235" s="18" t="s">
        <v>614</v>
      </c>
      <c r="I235" s="20" t="s">
        <v>650</v>
      </c>
      <c r="J235" s="18" t="s">
        <v>58</v>
      </c>
      <c r="K235" s="18" t="s">
        <v>24</v>
      </c>
      <c r="L235" s="18" t="s">
        <v>25</v>
      </c>
      <c r="N235" s="18" t="s">
        <v>26</v>
      </c>
    </row>
    <row r="236" spans="1:14" ht="15" customHeight="1" x14ac:dyDescent="0.3">
      <c r="A236" s="18" t="s">
        <v>603</v>
      </c>
      <c r="B236" s="19" t="s">
        <v>15</v>
      </c>
      <c r="C236" s="18" t="s">
        <v>604</v>
      </c>
      <c r="D236" s="18" t="s">
        <v>17</v>
      </c>
      <c r="E236" s="18" t="s">
        <v>55</v>
      </c>
      <c r="F236" s="18" t="s">
        <v>651</v>
      </c>
      <c r="G236" s="18" t="s">
        <v>621</v>
      </c>
      <c r="H236" s="18" t="s">
        <v>614</v>
      </c>
      <c r="I236" s="20" t="s">
        <v>652</v>
      </c>
      <c r="J236" s="18" t="s">
        <v>73</v>
      </c>
      <c r="K236" s="18" t="s">
        <v>24</v>
      </c>
      <c r="L236" s="18" t="s">
        <v>25</v>
      </c>
      <c r="N236" s="18" t="s">
        <v>26</v>
      </c>
    </row>
    <row r="237" spans="1:14" ht="15" customHeight="1" x14ac:dyDescent="0.3">
      <c r="A237" s="18" t="s">
        <v>603</v>
      </c>
      <c r="B237" s="19" t="s">
        <v>15</v>
      </c>
      <c r="C237" s="18" t="s">
        <v>604</v>
      </c>
      <c r="D237" s="18" t="s">
        <v>17</v>
      </c>
      <c r="E237" s="18" t="s">
        <v>55</v>
      </c>
      <c r="F237" s="18" t="s">
        <v>653</v>
      </c>
      <c r="G237" s="18" t="s">
        <v>621</v>
      </c>
      <c r="H237" s="18" t="s">
        <v>614</v>
      </c>
      <c r="I237" s="20" t="s">
        <v>654</v>
      </c>
      <c r="J237" s="18" t="s">
        <v>58</v>
      </c>
      <c r="K237" s="18" t="s">
        <v>24</v>
      </c>
      <c r="L237" s="18" t="s">
        <v>25</v>
      </c>
      <c r="N237" s="18" t="s">
        <v>26</v>
      </c>
    </row>
    <row r="238" spans="1:14" ht="15" customHeight="1" x14ac:dyDescent="0.3">
      <c r="A238" s="18" t="s">
        <v>603</v>
      </c>
      <c r="B238" s="19" t="s">
        <v>15</v>
      </c>
      <c r="C238" s="18" t="s">
        <v>604</v>
      </c>
      <c r="D238" s="18" t="s">
        <v>17</v>
      </c>
      <c r="E238" s="18" t="s">
        <v>55</v>
      </c>
      <c r="F238" s="18" t="s">
        <v>655</v>
      </c>
      <c r="G238" s="18" t="s">
        <v>340</v>
      </c>
      <c r="H238" s="18" t="s">
        <v>614</v>
      </c>
      <c r="I238" s="20" t="s">
        <v>656</v>
      </c>
      <c r="J238" s="18" t="s">
        <v>58</v>
      </c>
      <c r="K238" s="18" t="s">
        <v>24</v>
      </c>
      <c r="L238" s="18" t="s">
        <v>25</v>
      </c>
      <c r="N238" s="18" t="s">
        <v>26</v>
      </c>
    </row>
    <row r="239" spans="1:14" ht="15" customHeight="1" x14ac:dyDescent="0.3">
      <c r="A239" s="18" t="s">
        <v>603</v>
      </c>
      <c r="B239" s="19" t="s">
        <v>15</v>
      </c>
      <c r="C239" s="18" t="s">
        <v>604</v>
      </c>
      <c r="D239" s="18" t="s">
        <v>17</v>
      </c>
      <c r="E239" s="18" t="s">
        <v>55</v>
      </c>
      <c r="F239" s="18" t="s">
        <v>657</v>
      </c>
      <c r="G239" s="18" t="s">
        <v>340</v>
      </c>
      <c r="H239" s="18" t="s">
        <v>614</v>
      </c>
      <c r="I239" s="20" t="s">
        <v>658</v>
      </c>
      <c r="J239" s="18" t="s">
        <v>58</v>
      </c>
      <c r="K239" s="18" t="s">
        <v>24</v>
      </c>
      <c r="L239" s="18" t="s">
        <v>25</v>
      </c>
      <c r="N239" s="18" t="s">
        <v>26</v>
      </c>
    </row>
    <row r="240" spans="1:14" ht="15" customHeight="1" x14ac:dyDescent="0.3">
      <c r="A240" s="18" t="s">
        <v>603</v>
      </c>
      <c r="B240" s="19" t="s">
        <v>15</v>
      </c>
      <c r="C240" s="18" t="s">
        <v>604</v>
      </c>
      <c r="D240" s="18" t="s">
        <v>17</v>
      </c>
      <c r="E240" s="18" t="s">
        <v>55</v>
      </c>
      <c r="F240" s="18" t="s">
        <v>659</v>
      </c>
      <c r="G240" s="18" t="s">
        <v>76</v>
      </c>
      <c r="H240" s="18" t="s">
        <v>614</v>
      </c>
      <c r="I240" s="20" t="s">
        <v>660</v>
      </c>
      <c r="J240" s="18" t="s">
        <v>58</v>
      </c>
      <c r="K240" s="18" t="s">
        <v>24</v>
      </c>
      <c r="L240" s="18" t="s">
        <v>25</v>
      </c>
      <c r="N240" s="18" t="s">
        <v>26</v>
      </c>
    </row>
    <row r="241" spans="1:14" ht="15" customHeight="1" x14ac:dyDescent="0.3">
      <c r="A241" s="18" t="s">
        <v>603</v>
      </c>
      <c r="B241" s="19" t="s">
        <v>15</v>
      </c>
      <c r="C241" s="18" t="s">
        <v>604</v>
      </c>
      <c r="D241" s="18" t="s">
        <v>17</v>
      </c>
      <c r="E241" s="18" t="s">
        <v>55</v>
      </c>
      <c r="F241" s="18" t="s">
        <v>661</v>
      </c>
      <c r="G241" s="18" t="s">
        <v>429</v>
      </c>
      <c r="H241" s="18" t="s">
        <v>662</v>
      </c>
      <c r="I241" s="20" t="s">
        <v>663</v>
      </c>
      <c r="J241" s="18" t="s">
        <v>58</v>
      </c>
      <c r="K241" s="18" t="s">
        <v>24</v>
      </c>
      <c r="L241" s="18" t="s">
        <v>25</v>
      </c>
      <c r="N241" s="18" t="s">
        <v>26</v>
      </c>
    </row>
    <row r="242" spans="1:14" ht="15" customHeight="1" x14ac:dyDescent="0.3">
      <c r="A242" s="18" t="s">
        <v>603</v>
      </c>
      <c r="B242" s="19" t="s">
        <v>15</v>
      </c>
      <c r="C242" s="18" t="s">
        <v>604</v>
      </c>
      <c r="D242" s="18" t="s">
        <v>17</v>
      </c>
      <c r="E242" s="18" t="s">
        <v>55</v>
      </c>
      <c r="F242" s="18" t="s">
        <v>664</v>
      </c>
      <c r="G242" s="18" t="s">
        <v>433</v>
      </c>
      <c r="H242" s="18" t="s">
        <v>614</v>
      </c>
      <c r="I242" s="20" t="s">
        <v>665</v>
      </c>
      <c r="J242" s="18" t="s">
        <v>58</v>
      </c>
      <c r="K242" s="18" t="s">
        <v>24</v>
      </c>
      <c r="L242" s="18" t="s">
        <v>25</v>
      </c>
      <c r="N242" s="18" t="s">
        <v>26</v>
      </c>
    </row>
    <row r="243" spans="1:14" ht="15" customHeight="1" x14ac:dyDescent="0.3">
      <c r="A243" s="18" t="s">
        <v>603</v>
      </c>
      <c r="B243" s="19" t="s">
        <v>15</v>
      </c>
      <c r="C243" s="18" t="s">
        <v>604</v>
      </c>
      <c r="D243" s="18" t="s">
        <v>17</v>
      </c>
      <c r="E243" s="18" t="s">
        <v>171</v>
      </c>
      <c r="F243" s="18" t="s">
        <v>80</v>
      </c>
      <c r="G243" s="18" t="s">
        <v>80</v>
      </c>
      <c r="H243" s="18" t="s">
        <v>614</v>
      </c>
      <c r="I243" s="20" t="s">
        <v>666</v>
      </c>
      <c r="J243" s="18" t="s">
        <v>175</v>
      </c>
      <c r="K243" s="18" t="s">
        <v>24</v>
      </c>
      <c r="L243" s="18" t="s">
        <v>25</v>
      </c>
      <c r="N243" s="18" t="s">
        <v>26</v>
      </c>
    </row>
    <row r="244" spans="1:14" ht="15" customHeight="1" x14ac:dyDescent="0.3">
      <c r="A244" s="18" t="s">
        <v>603</v>
      </c>
      <c r="B244" s="19" t="s">
        <v>15</v>
      </c>
      <c r="C244" s="18" t="s">
        <v>604</v>
      </c>
      <c r="D244" s="18" t="s">
        <v>17</v>
      </c>
      <c r="E244" s="18" t="s">
        <v>171</v>
      </c>
      <c r="F244" s="18" t="s">
        <v>667</v>
      </c>
      <c r="G244" s="18" t="s">
        <v>76</v>
      </c>
      <c r="H244" s="18" t="s">
        <v>614</v>
      </c>
      <c r="I244" s="20" t="s">
        <v>668</v>
      </c>
      <c r="J244" s="18" t="s">
        <v>175</v>
      </c>
      <c r="K244" s="18" t="s">
        <v>24</v>
      </c>
      <c r="L244" s="18" t="s">
        <v>25</v>
      </c>
      <c r="N244" s="18" t="s">
        <v>26</v>
      </c>
    </row>
    <row r="245" spans="1:14" ht="15" customHeight="1" x14ac:dyDescent="0.3">
      <c r="A245" s="18" t="s">
        <v>603</v>
      </c>
      <c r="B245" s="19" t="s">
        <v>15</v>
      </c>
      <c r="C245" s="18" t="s">
        <v>604</v>
      </c>
      <c r="D245" s="18" t="s">
        <v>17</v>
      </c>
      <c r="E245" s="18" t="s">
        <v>171</v>
      </c>
      <c r="F245" s="18" t="s">
        <v>625</v>
      </c>
      <c r="G245" s="18" t="s">
        <v>625</v>
      </c>
      <c r="H245" s="18" t="s">
        <v>614</v>
      </c>
      <c r="I245" s="20" t="s">
        <v>669</v>
      </c>
      <c r="J245" s="18" t="s">
        <v>670</v>
      </c>
      <c r="K245" s="18" t="s">
        <v>24</v>
      </c>
      <c r="L245" s="18" t="s">
        <v>25</v>
      </c>
      <c r="N245" s="18" t="s">
        <v>26</v>
      </c>
    </row>
    <row r="246" spans="1:14" ht="15" customHeight="1" x14ac:dyDescent="0.3">
      <c r="A246" s="18" t="s">
        <v>603</v>
      </c>
      <c r="B246" s="19" t="s">
        <v>15</v>
      </c>
      <c r="C246" s="18" t="s">
        <v>604</v>
      </c>
      <c r="D246" s="18" t="s">
        <v>17</v>
      </c>
      <c r="E246" s="18" t="s">
        <v>74</v>
      </c>
      <c r="F246" s="18" t="s">
        <v>671</v>
      </c>
      <c r="G246" s="18" t="s">
        <v>76</v>
      </c>
      <c r="H246" s="18" t="s">
        <v>672</v>
      </c>
      <c r="I246" s="20" t="s">
        <v>673</v>
      </c>
      <c r="J246" s="18" t="s">
        <v>674</v>
      </c>
      <c r="K246" s="18" t="s">
        <v>24</v>
      </c>
      <c r="L246" s="18" t="s">
        <v>25</v>
      </c>
      <c r="N246" s="18" t="s">
        <v>26</v>
      </c>
    </row>
    <row r="247" spans="1:14" ht="15" customHeight="1" x14ac:dyDescent="0.3">
      <c r="A247" s="18" t="s">
        <v>603</v>
      </c>
      <c r="B247" s="19" t="s">
        <v>15</v>
      </c>
      <c r="C247" s="18" t="s">
        <v>604</v>
      </c>
      <c r="D247" s="18" t="s">
        <v>17</v>
      </c>
      <c r="E247" s="18" t="s">
        <v>74</v>
      </c>
      <c r="F247" s="18" t="s">
        <v>675</v>
      </c>
      <c r="G247" s="18" t="s">
        <v>76</v>
      </c>
      <c r="H247" s="18" t="s">
        <v>672</v>
      </c>
      <c r="I247" s="20" t="s">
        <v>676</v>
      </c>
      <c r="J247" s="18" t="s">
        <v>677</v>
      </c>
      <c r="K247" s="18" t="s">
        <v>24</v>
      </c>
      <c r="L247" s="18" t="s">
        <v>25</v>
      </c>
      <c r="N247" s="18" t="s">
        <v>26</v>
      </c>
    </row>
    <row r="248" spans="1:14" ht="15" customHeight="1" x14ac:dyDescent="0.3">
      <c r="A248" s="18" t="s">
        <v>603</v>
      </c>
      <c r="B248" s="19" t="s">
        <v>15</v>
      </c>
      <c r="C248" s="18" t="s">
        <v>604</v>
      </c>
      <c r="D248" s="18" t="s">
        <v>17</v>
      </c>
      <c r="E248" s="18" t="s">
        <v>74</v>
      </c>
      <c r="F248" s="18" t="s">
        <v>678</v>
      </c>
      <c r="G248" s="18" t="s">
        <v>76</v>
      </c>
      <c r="H248" s="18" t="s">
        <v>672</v>
      </c>
      <c r="I248" s="20" t="s">
        <v>679</v>
      </c>
      <c r="J248" s="18" t="s">
        <v>680</v>
      </c>
      <c r="K248" s="18" t="s">
        <v>24</v>
      </c>
      <c r="L248" s="18" t="s">
        <v>25</v>
      </c>
      <c r="N248" s="18" t="s">
        <v>26</v>
      </c>
    </row>
    <row r="249" spans="1:14" ht="15" customHeight="1" x14ac:dyDescent="0.3">
      <c r="A249" s="18" t="s">
        <v>603</v>
      </c>
      <c r="B249" s="19" t="s">
        <v>15</v>
      </c>
      <c r="C249" s="18" t="s">
        <v>604</v>
      </c>
      <c r="D249" s="18" t="s">
        <v>17</v>
      </c>
      <c r="E249" s="18" t="s">
        <v>74</v>
      </c>
      <c r="F249" s="18" t="s">
        <v>681</v>
      </c>
      <c r="G249" s="18" t="s">
        <v>76</v>
      </c>
      <c r="H249" s="18" t="s">
        <v>672</v>
      </c>
      <c r="I249" s="20" t="s">
        <v>682</v>
      </c>
      <c r="J249" s="18" t="s">
        <v>674</v>
      </c>
      <c r="K249" s="18" t="s">
        <v>24</v>
      </c>
      <c r="L249" s="18" t="s">
        <v>25</v>
      </c>
      <c r="N249" s="18" t="s">
        <v>26</v>
      </c>
    </row>
    <row r="250" spans="1:14" ht="15" customHeight="1" x14ac:dyDescent="0.3">
      <c r="A250" s="18" t="s">
        <v>603</v>
      </c>
      <c r="B250" s="19" t="s">
        <v>15</v>
      </c>
      <c r="C250" s="18" t="s">
        <v>604</v>
      </c>
      <c r="D250" s="18" t="s">
        <v>17</v>
      </c>
      <c r="E250" s="18" t="s">
        <v>74</v>
      </c>
      <c r="F250" s="18" t="s">
        <v>683</v>
      </c>
      <c r="G250" s="18" t="s">
        <v>76</v>
      </c>
      <c r="H250" s="18" t="s">
        <v>672</v>
      </c>
      <c r="I250" s="20" t="s">
        <v>684</v>
      </c>
      <c r="J250" s="18" t="s">
        <v>685</v>
      </c>
      <c r="K250" s="18" t="s">
        <v>24</v>
      </c>
      <c r="L250" s="18" t="s">
        <v>25</v>
      </c>
      <c r="N250" s="18" t="s">
        <v>26</v>
      </c>
    </row>
    <row r="251" spans="1:14" ht="15" customHeight="1" x14ac:dyDescent="0.3">
      <c r="A251" s="18" t="s">
        <v>603</v>
      </c>
      <c r="B251" s="19" t="s">
        <v>15</v>
      </c>
      <c r="C251" s="18" t="s">
        <v>604</v>
      </c>
      <c r="D251" s="18" t="s">
        <v>17</v>
      </c>
      <c r="E251" s="18" t="s">
        <v>74</v>
      </c>
      <c r="F251" s="18" t="s">
        <v>686</v>
      </c>
      <c r="G251" s="18" t="s">
        <v>76</v>
      </c>
      <c r="H251" s="18" t="s">
        <v>672</v>
      </c>
      <c r="I251" s="20" t="s">
        <v>687</v>
      </c>
      <c r="J251" s="18" t="s">
        <v>688</v>
      </c>
      <c r="K251" s="18" t="s">
        <v>24</v>
      </c>
      <c r="L251" s="18" t="s">
        <v>25</v>
      </c>
      <c r="N251" s="18" t="s">
        <v>26</v>
      </c>
    </row>
    <row r="252" spans="1:14" ht="15" customHeight="1" x14ac:dyDescent="0.3">
      <c r="A252" s="18" t="s">
        <v>603</v>
      </c>
      <c r="B252" s="19" t="s">
        <v>15</v>
      </c>
      <c r="C252" s="18" t="s">
        <v>604</v>
      </c>
      <c r="D252" s="18" t="s">
        <v>17</v>
      </c>
      <c r="E252" s="18" t="s">
        <v>74</v>
      </c>
      <c r="F252" s="18" t="s">
        <v>689</v>
      </c>
      <c r="G252" s="18" t="s">
        <v>76</v>
      </c>
      <c r="H252" s="18" t="s">
        <v>672</v>
      </c>
      <c r="I252" s="20" t="s">
        <v>690</v>
      </c>
      <c r="J252" s="18" t="s">
        <v>691</v>
      </c>
      <c r="K252" s="18" t="s">
        <v>24</v>
      </c>
      <c r="L252" s="18" t="s">
        <v>25</v>
      </c>
      <c r="N252" s="18" t="s">
        <v>26</v>
      </c>
    </row>
    <row r="253" spans="1:14" ht="15" customHeight="1" x14ac:dyDescent="0.3">
      <c r="A253" s="18" t="s">
        <v>603</v>
      </c>
      <c r="B253" s="19" t="s">
        <v>15</v>
      </c>
      <c r="C253" s="18" t="s">
        <v>604</v>
      </c>
      <c r="D253" s="18" t="s">
        <v>17</v>
      </c>
      <c r="E253" s="18" t="s">
        <v>74</v>
      </c>
      <c r="F253" s="18" t="s">
        <v>692</v>
      </c>
      <c r="G253" s="18" t="s">
        <v>76</v>
      </c>
      <c r="H253" s="18" t="s">
        <v>672</v>
      </c>
      <c r="I253" s="20" t="s">
        <v>693</v>
      </c>
      <c r="J253" s="18" t="s">
        <v>691</v>
      </c>
      <c r="K253" s="18" t="s">
        <v>24</v>
      </c>
      <c r="L253" s="18" t="s">
        <v>25</v>
      </c>
      <c r="N253" s="18" t="s">
        <v>26</v>
      </c>
    </row>
    <row r="254" spans="1:14" ht="15" customHeight="1" x14ac:dyDescent="0.3">
      <c r="A254" s="18" t="s">
        <v>603</v>
      </c>
      <c r="B254" s="19" t="s">
        <v>15</v>
      </c>
      <c r="C254" s="18" t="s">
        <v>604</v>
      </c>
      <c r="D254" s="18" t="s">
        <v>17</v>
      </c>
      <c r="E254" s="18" t="s">
        <v>74</v>
      </c>
      <c r="F254" s="18" t="s">
        <v>694</v>
      </c>
      <c r="G254" s="18" t="s">
        <v>76</v>
      </c>
      <c r="H254" s="18" t="s">
        <v>672</v>
      </c>
      <c r="I254" s="20" t="s">
        <v>695</v>
      </c>
      <c r="J254" s="18" t="s">
        <v>680</v>
      </c>
      <c r="K254" s="18" t="s">
        <v>24</v>
      </c>
      <c r="L254" s="18" t="s">
        <v>25</v>
      </c>
      <c r="N254" s="18" t="s">
        <v>26</v>
      </c>
    </row>
    <row r="255" spans="1:14" ht="15" customHeight="1" x14ac:dyDescent="0.3">
      <c r="A255" s="18" t="s">
        <v>603</v>
      </c>
      <c r="B255" s="19" t="s">
        <v>15</v>
      </c>
      <c r="C255" s="18" t="s">
        <v>604</v>
      </c>
      <c r="D255" s="18" t="s">
        <v>17</v>
      </c>
      <c r="E255" s="18" t="s">
        <v>74</v>
      </c>
      <c r="F255" s="18" t="s">
        <v>696</v>
      </c>
      <c r="G255" s="18" t="s">
        <v>76</v>
      </c>
      <c r="H255" s="18" t="s">
        <v>672</v>
      </c>
      <c r="I255" s="20" t="s">
        <v>697</v>
      </c>
      <c r="J255" s="18" t="s">
        <v>698</v>
      </c>
      <c r="K255" s="18" t="s">
        <v>24</v>
      </c>
      <c r="L255" s="18" t="s">
        <v>25</v>
      </c>
      <c r="N255" s="18" t="s">
        <v>26</v>
      </c>
    </row>
    <row r="256" spans="1:14" ht="15" customHeight="1" x14ac:dyDescent="0.3">
      <c r="A256" s="18" t="s">
        <v>603</v>
      </c>
      <c r="B256" s="19" t="s">
        <v>15</v>
      </c>
      <c r="C256" s="18" t="s">
        <v>604</v>
      </c>
      <c r="D256" s="18" t="s">
        <v>17</v>
      </c>
      <c r="E256" s="18" t="s">
        <v>74</v>
      </c>
      <c r="F256" s="18" t="s">
        <v>699</v>
      </c>
      <c r="G256" s="18" t="s">
        <v>76</v>
      </c>
      <c r="H256" s="18" t="s">
        <v>672</v>
      </c>
      <c r="I256" s="20" t="s">
        <v>700</v>
      </c>
      <c r="J256" s="18" t="s">
        <v>685</v>
      </c>
      <c r="K256" s="18" t="s">
        <v>24</v>
      </c>
      <c r="L256" s="18" t="s">
        <v>25</v>
      </c>
      <c r="N256" s="18" t="s">
        <v>26</v>
      </c>
    </row>
    <row r="257" spans="1:14" ht="15" customHeight="1" x14ac:dyDescent="0.3">
      <c r="A257" s="18" t="s">
        <v>603</v>
      </c>
      <c r="B257" s="19" t="s">
        <v>15</v>
      </c>
      <c r="C257" s="18" t="s">
        <v>604</v>
      </c>
      <c r="D257" s="18" t="s">
        <v>17</v>
      </c>
      <c r="E257" s="18" t="s">
        <v>74</v>
      </c>
      <c r="F257" s="18" t="s">
        <v>701</v>
      </c>
      <c r="G257" s="18" t="s">
        <v>76</v>
      </c>
      <c r="H257" s="18" t="s">
        <v>672</v>
      </c>
      <c r="I257" s="20" t="s">
        <v>702</v>
      </c>
      <c r="J257" s="18" t="s">
        <v>703</v>
      </c>
      <c r="K257" s="18" t="s">
        <v>24</v>
      </c>
      <c r="L257" s="18" t="s">
        <v>25</v>
      </c>
      <c r="N257" s="18" t="s">
        <v>26</v>
      </c>
    </row>
    <row r="258" spans="1:14" ht="15" customHeight="1" x14ac:dyDescent="0.3">
      <c r="A258" s="18" t="s">
        <v>603</v>
      </c>
      <c r="B258" s="19" t="s">
        <v>15</v>
      </c>
      <c r="C258" s="18" t="s">
        <v>604</v>
      </c>
      <c r="D258" s="18" t="s">
        <v>17</v>
      </c>
      <c r="E258" s="18" t="s">
        <v>74</v>
      </c>
      <c r="F258" s="18" t="s">
        <v>704</v>
      </c>
      <c r="G258" s="18" t="s">
        <v>76</v>
      </c>
      <c r="H258" s="18" t="s">
        <v>672</v>
      </c>
      <c r="I258" s="20" t="s">
        <v>705</v>
      </c>
      <c r="J258" s="18" t="s">
        <v>703</v>
      </c>
      <c r="K258" s="18" t="s">
        <v>24</v>
      </c>
      <c r="L258" s="18" t="s">
        <v>25</v>
      </c>
      <c r="N258" s="18" t="s">
        <v>26</v>
      </c>
    </row>
    <row r="259" spans="1:14" ht="15" customHeight="1" x14ac:dyDescent="0.3">
      <c r="A259" s="18" t="s">
        <v>603</v>
      </c>
      <c r="B259" s="19" t="s">
        <v>15</v>
      </c>
      <c r="C259" s="18" t="s">
        <v>604</v>
      </c>
      <c r="D259" s="18" t="s">
        <v>17</v>
      </c>
      <c r="E259" s="18" t="s">
        <v>74</v>
      </c>
      <c r="F259" s="18" t="s">
        <v>706</v>
      </c>
      <c r="G259" s="18" t="s">
        <v>76</v>
      </c>
      <c r="H259" s="18" t="s">
        <v>672</v>
      </c>
      <c r="I259" s="20" t="s">
        <v>707</v>
      </c>
      <c r="J259" s="18" t="s">
        <v>703</v>
      </c>
      <c r="K259" s="18" t="s">
        <v>24</v>
      </c>
      <c r="L259" s="18" t="s">
        <v>25</v>
      </c>
      <c r="N259" s="18" t="s">
        <v>26</v>
      </c>
    </row>
    <row r="260" spans="1:14" ht="15" customHeight="1" x14ac:dyDescent="0.3">
      <c r="A260" s="18" t="s">
        <v>603</v>
      </c>
      <c r="B260" s="19" t="s">
        <v>15</v>
      </c>
      <c r="C260" s="18" t="s">
        <v>604</v>
      </c>
      <c r="D260" s="18" t="s">
        <v>17</v>
      </c>
      <c r="E260" s="18" t="s">
        <v>74</v>
      </c>
      <c r="F260" s="18" t="s">
        <v>708</v>
      </c>
      <c r="G260" s="18" t="s">
        <v>76</v>
      </c>
      <c r="H260" s="18" t="s">
        <v>672</v>
      </c>
      <c r="I260" s="20" t="s">
        <v>709</v>
      </c>
      <c r="J260" s="18" t="s">
        <v>710</v>
      </c>
      <c r="K260" s="18" t="s">
        <v>24</v>
      </c>
      <c r="L260" s="18" t="s">
        <v>25</v>
      </c>
      <c r="N260" s="18" t="s">
        <v>26</v>
      </c>
    </row>
    <row r="261" spans="1:14" ht="15" customHeight="1" x14ac:dyDescent="0.3">
      <c r="A261" s="18" t="s">
        <v>603</v>
      </c>
      <c r="B261" s="19" t="s">
        <v>15</v>
      </c>
      <c r="C261" s="18" t="s">
        <v>604</v>
      </c>
      <c r="D261" s="18" t="s">
        <v>17</v>
      </c>
      <c r="E261" s="18" t="s">
        <v>74</v>
      </c>
      <c r="F261" s="18" t="s">
        <v>711</v>
      </c>
      <c r="G261" s="18" t="s">
        <v>76</v>
      </c>
      <c r="H261" s="18" t="s">
        <v>672</v>
      </c>
      <c r="I261" s="20" t="s">
        <v>712</v>
      </c>
      <c r="J261" s="18" t="s">
        <v>713</v>
      </c>
      <c r="K261" s="18" t="s">
        <v>24</v>
      </c>
      <c r="L261" s="18" t="s">
        <v>25</v>
      </c>
      <c r="N261" s="18" t="s">
        <v>26</v>
      </c>
    </row>
    <row r="262" spans="1:14" ht="15" customHeight="1" x14ac:dyDescent="0.3">
      <c r="A262" s="18" t="s">
        <v>714</v>
      </c>
      <c r="B262" s="19" t="s">
        <v>15</v>
      </c>
      <c r="C262" s="18" t="s">
        <v>715</v>
      </c>
      <c r="D262" s="18" t="s">
        <v>17</v>
      </c>
      <c r="E262" s="18" t="s">
        <v>117</v>
      </c>
      <c r="F262" s="18" t="s">
        <v>716</v>
      </c>
      <c r="G262" s="18" t="s">
        <v>263</v>
      </c>
      <c r="H262" s="18" t="s">
        <v>714</v>
      </c>
      <c r="I262" s="20" t="s">
        <v>717</v>
      </c>
      <c r="J262" s="18" t="s">
        <v>58</v>
      </c>
      <c r="K262" s="18" t="s">
        <v>24</v>
      </c>
      <c r="L262" s="18" t="s">
        <v>25</v>
      </c>
      <c r="N262" s="18" t="s">
        <v>154</v>
      </c>
    </row>
    <row r="263" spans="1:14" ht="15" customHeight="1" x14ac:dyDescent="0.3">
      <c r="A263" s="18" t="s">
        <v>714</v>
      </c>
      <c r="B263" s="19" t="s">
        <v>15</v>
      </c>
      <c r="C263" s="18" t="s">
        <v>715</v>
      </c>
      <c r="D263" s="18" t="s">
        <v>17</v>
      </c>
      <c r="E263" s="18" t="s">
        <v>117</v>
      </c>
      <c r="F263" s="18" t="s">
        <v>718</v>
      </c>
      <c r="G263" s="18" t="s">
        <v>270</v>
      </c>
      <c r="H263" s="18" t="s">
        <v>714</v>
      </c>
      <c r="I263" s="20" t="s">
        <v>719</v>
      </c>
      <c r="J263" s="18" t="s">
        <v>58</v>
      </c>
      <c r="K263" s="18" t="s">
        <v>24</v>
      </c>
      <c r="L263" s="18" t="s">
        <v>25</v>
      </c>
      <c r="N263" s="18" t="s">
        <v>154</v>
      </c>
    </row>
    <row r="264" spans="1:14" ht="15" customHeight="1" x14ac:dyDescent="0.3">
      <c r="A264" s="18" t="s">
        <v>714</v>
      </c>
      <c r="B264" s="19" t="s">
        <v>15</v>
      </c>
      <c r="C264" s="18" t="s">
        <v>715</v>
      </c>
      <c r="D264" s="18" t="s">
        <v>17</v>
      </c>
      <c r="E264" s="18" t="s">
        <v>117</v>
      </c>
      <c r="F264" s="18" t="s">
        <v>720</v>
      </c>
      <c r="G264" s="18" t="s">
        <v>20</v>
      </c>
      <c r="H264" s="18" t="s">
        <v>714</v>
      </c>
      <c r="I264" s="20" t="s">
        <v>721</v>
      </c>
      <c r="J264" s="18" t="s">
        <v>58</v>
      </c>
      <c r="K264" s="18" t="s">
        <v>24</v>
      </c>
      <c r="L264" s="18" t="s">
        <v>25</v>
      </c>
      <c r="N264" s="18" t="s">
        <v>154</v>
      </c>
    </row>
    <row r="265" spans="1:14" ht="15" customHeight="1" x14ac:dyDescent="0.3">
      <c r="A265" s="18" t="s">
        <v>714</v>
      </c>
      <c r="B265" s="19" t="s">
        <v>15</v>
      </c>
      <c r="C265" s="18" t="s">
        <v>715</v>
      </c>
      <c r="D265" s="18" t="s">
        <v>17</v>
      </c>
      <c r="E265" s="18" t="s">
        <v>18</v>
      </c>
      <c r="F265" s="18" t="s">
        <v>722</v>
      </c>
      <c r="G265" s="18" t="s">
        <v>20</v>
      </c>
      <c r="H265" s="18" t="s">
        <v>714</v>
      </c>
      <c r="I265" s="20" t="s">
        <v>723</v>
      </c>
      <c r="J265" s="18" t="s">
        <v>23</v>
      </c>
      <c r="K265" s="18" t="s">
        <v>24</v>
      </c>
      <c r="L265" s="18" t="s">
        <v>25</v>
      </c>
      <c r="M265" s="18" t="s">
        <v>39</v>
      </c>
      <c r="N265" s="18" t="s">
        <v>154</v>
      </c>
    </row>
    <row r="266" spans="1:14" ht="15" customHeight="1" x14ac:dyDescent="0.3">
      <c r="A266" s="18" t="s">
        <v>714</v>
      </c>
      <c r="B266" s="19" t="s">
        <v>15</v>
      </c>
      <c r="C266" s="18" t="s">
        <v>715</v>
      </c>
      <c r="D266" s="18" t="s">
        <v>17</v>
      </c>
      <c r="E266" s="18" t="s">
        <v>18</v>
      </c>
      <c r="F266" s="18" t="s">
        <v>381</v>
      </c>
      <c r="G266" s="18" t="s">
        <v>381</v>
      </c>
      <c r="H266" s="18" t="s">
        <v>714</v>
      </c>
      <c r="I266" s="20" t="s">
        <v>598</v>
      </c>
      <c r="J266" s="18" t="s">
        <v>23</v>
      </c>
      <c r="K266" s="18" t="s">
        <v>24</v>
      </c>
      <c r="L266" s="18" t="s">
        <v>25</v>
      </c>
      <c r="N266" s="18" t="s">
        <v>154</v>
      </c>
    </row>
    <row r="267" spans="1:14" ht="15" customHeight="1" x14ac:dyDescent="0.3">
      <c r="A267" s="18" t="s">
        <v>714</v>
      </c>
      <c r="B267" s="19" t="s">
        <v>15</v>
      </c>
      <c r="C267" s="18" t="s">
        <v>715</v>
      </c>
      <c r="D267" s="18" t="s">
        <v>17</v>
      </c>
      <c r="E267" s="18" t="s">
        <v>18</v>
      </c>
      <c r="F267" s="18" t="s">
        <v>580</v>
      </c>
      <c r="G267" s="18" t="s">
        <v>20</v>
      </c>
      <c r="H267" s="18" t="s">
        <v>714</v>
      </c>
      <c r="I267" s="20" t="s">
        <v>599</v>
      </c>
      <c r="J267" s="18" t="s">
        <v>23</v>
      </c>
      <c r="K267" s="18" t="s">
        <v>24</v>
      </c>
      <c r="L267" s="18" t="s">
        <v>25</v>
      </c>
      <c r="N267" s="18" t="s">
        <v>154</v>
      </c>
    </row>
    <row r="268" spans="1:14" ht="15" customHeight="1" x14ac:dyDescent="0.3">
      <c r="A268" s="18" t="s">
        <v>714</v>
      </c>
      <c r="B268" s="19" t="s">
        <v>15</v>
      </c>
      <c r="C268" s="18" t="s">
        <v>715</v>
      </c>
      <c r="D268" s="18" t="s">
        <v>17</v>
      </c>
      <c r="E268" s="18" t="s">
        <v>18</v>
      </c>
      <c r="F268" s="18" t="s">
        <v>582</v>
      </c>
      <c r="G268" s="18" t="s">
        <v>20</v>
      </c>
      <c r="H268" s="18" t="s">
        <v>714</v>
      </c>
      <c r="I268" s="20" t="s">
        <v>724</v>
      </c>
      <c r="J268" s="18" t="s">
        <v>23</v>
      </c>
      <c r="K268" s="18" t="s">
        <v>24</v>
      </c>
      <c r="L268" s="18" t="s">
        <v>25</v>
      </c>
      <c r="N268" s="18" t="s">
        <v>154</v>
      </c>
    </row>
    <row r="269" spans="1:14" ht="15" customHeight="1" x14ac:dyDescent="0.3">
      <c r="A269" s="18" t="s">
        <v>714</v>
      </c>
      <c r="B269" s="19" t="s">
        <v>15</v>
      </c>
      <c r="C269" s="18" t="s">
        <v>715</v>
      </c>
      <c r="D269" s="18" t="s">
        <v>17</v>
      </c>
      <c r="E269" s="18" t="s">
        <v>55</v>
      </c>
      <c r="F269" s="18" t="s">
        <v>586</v>
      </c>
      <c r="G269" s="18" t="s">
        <v>381</v>
      </c>
      <c r="H269" s="18" t="s">
        <v>714</v>
      </c>
      <c r="I269" s="20" t="s">
        <v>725</v>
      </c>
      <c r="J269" s="18" t="s">
        <v>73</v>
      </c>
      <c r="K269" s="18" t="s">
        <v>24</v>
      </c>
      <c r="L269" s="18" t="s">
        <v>25</v>
      </c>
      <c r="N269" s="18" t="s">
        <v>154</v>
      </c>
    </row>
    <row r="270" spans="1:14" ht="15" customHeight="1" x14ac:dyDescent="0.3">
      <c r="A270" s="18" t="s">
        <v>714</v>
      </c>
      <c r="B270" s="19" t="s">
        <v>15</v>
      </c>
      <c r="C270" s="18" t="s">
        <v>715</v>
      </c>
      <c r="D270" s="18" t="s">
        <v>17</v>
      </c>
      <c r="E270" s="18" t="s">
        <v>55</v>
      </c>
      <c r="F270" s="18" t="s">
        <v>726</v>
      </c>
      <c r="G270" s="18" t="s">
        <v>381</v>
      </c>
      <c r="H270" s="18" t="s">
        <v>714</v>
      </c>
      <c r="I270" s="20" t="s">
        <v>727</v>
      </c>
      <c r="J270" s="18" t="s">
        <v>73</v>
      </c>
      <c r="K270" s="18" t="s">
        <v>24</v>
      </c>
      <c r="L270" s="18" t="s">
        <v>25</v>
      </c>
      <c r="N270" s="18" t="s">
        <v>154</v>
      </c>
    </row>
    <row r="271" spans="1:14" ht="15" customHeight="1" x14ac:dyDescent="0.3">
      <c r="A271" s="18" t="s">
        <v>714</v>
      </c>
      <c r="B271" s="19" t="s">
        <v>15</v>
      </c>
      <c r="C271" s="18" t="s">
        <v>715</v>
      </c>
      <c r="D271" s="18" t="s">
        <v>17</v>
      </c>
      <c r="E271" s="18" t="s">
        <v>55</v>
      </c>
      <c r="F271" s="18" t="s">
        <v>728</v>
      </c>
      <c r="G271" s="18" t="s">
        <v>381</v>
      </c>
      <c r="H271" s="18" t="s">
        <v>714</v>
      </c>
      <c r="I271" s="20" t="s">
        <v>729</v>
      </c>
      <c r="J271" s="18" t="s">
        <v>73</v>
      </c>
      <c r="K271" s="18" t="s">
        <v>24</v>
      </c>
      <c r="L271" s="18" t="s">
        <v>25</v>
      </c>
      <c r="N271" s="18" t="s">
        <v>154</v>
      </c>
    </row>
    <row r="272" spans="1:14" ht="15" customHeight="1" x14ac:dyDescent="0.3">
      <c r="A272" s="18" t="s">
        <v>714</v>
      </c>
      <c r="B272" s="19" t="s">
        <v>15</v>
      </c>
      <c r="C272" s="18" t="s">
        <v>715</v>
      </c>
      <c r="D272" s="18" t="s">
        <v>17</v>
      </c>
      <c r="E272" s="18" t="s">
        <v>55</v>
      </c>
      <c r="F272" s="18" t="s">
        <v>730</v>
      </c>
      <c r="G272" s="18" t="s">
        <v>381</v>
      </c>
      <c r="H272" s="18" t="s">
        <v>714</v>
      </c>
      <c r="I272" s="20" t="s">
        <v>731</v>
      </c>
      <c r="J272" s="18" t="s">
        <v>73</v>
      </c>
      <c r="K272" s="18" t="s">
        <v>24</v>
      </c>
      <c r="L272" s="18" t="s">
        <v>25</v>
      </c>
      <c r="N272" s="18" t="s">
        <v>154</v>
      </c>
    </row>
    <row r="273" spans="1:14" ht="15" customHeight="1" x14ac:dyDescent="0.3">
      <c r="A273" s="18" t="s">
        <v>714</v>
      </c>
      <c r="B273" s="19" t="s">
        <v>15</v>
      </c>
      <c r="C273" s="18" t="s">
        <v>715</v>
      </c>
      <c r="D273" s="18" t="s">
        <v>17</v>
      </c>
      <c r="E273" s="18" t="s">
        <v>55</v>
      </c>
      <c r="F273" s="18" t="s">
        <v>383</v>
      </c>
      <c r="G273" s="18" t="s">
        <v>381</v>
      </c>
      <c r="H273" s="18" t="s">
        <v>714</v>
      </c>
      <c r="I273" s="20" t="s">
        <v>732</v>
      </c>
      <c r="J273" s="18" t="s">
        <v>73</v>
      </c>
      <c r="K273" s="18" t="s">
        <v>24</v>
      </c>
      <c r="L273" s="18" t="s">
        <v>25</v>
      </c>
      <c r="N273" s="18" t="s">
        <v>154</v>
      </c>
    </row>
    <row r="274" spans="1:14" ht="15" customHeight="1" x14ac:dyDescent="0.3">
      <c r="A274" s="18" t="s">
        <v>714</v>
      </c>
      <c r="B274" s="19" t="s">
        <v>15</v>
      </c>
      <c r="C274" s="18" t="s">
        <v>715</v>
      </c>
      <c r="D274" s="18" t="s">
        <v>17</v>
      </c>
      <c r="E274" s="18" t="s">
        <v>55</v>
      </c>
      <c r="F274" s="18" t="s">
        <v>385</v>
      </c>
      <c r="G274" s="18" t="s">
        <v>381</v>
      </c>
      <c r="H274" s="18" t="s">
        <v>714</v>
      </c>
      <c r="I274" s="20" t="s">
        <v>733</v>
      </c>
      <c r="J274" s="18" t="s">
        <v>73</v>
      </c>
      <c r="K274" s="18" t="s">
        <v>24</v>
      </c>
      <c r="L274" s="18" t="s">
        <v>25</v>
      </c>
      <c r="N274" s="18" t="s">
        <v>154</v>
      </c>
    </row>
    <row r="275" spans="1:14" ht="15" customHeight="1" x14ac:dyDescent="0.3">
      <c r="A275" s="18" t="s">
        <v>714</v>
      </c>
      <c r="B275" s="19" t="s">
        <v>15</v>
      </c>
      <c r="C275" s="18" t="s">
        <v>715</v>
      </c>
      <c r="D275" s="18" t="s">
        <v>17</v>
      </c>
      <c r="E275" s="18" t="s">
        <v>55</v>
      </c>
      <c r="F275" s="18" t="s">
        <v>501</v>
      </c>
      <c r="G275" s="18" t="s">
        <v>41</v>
      </c>
      <c r="H275" s="18" t="s">
        <v>714</v>
      </c>
      <c r="I275" s="20" t="s">
        <v>734</v>
      </c>
      <c r="J275" s="18" t="s">
        <v>73</v>
      </c>
      <c r="K275" s="18" t="s">
        <v>24</v>
      </c>
      <c r="L275" s="18" t="s">
        <v>25</v>
      </c>
      <c r="N275" s="18" t="s">
        <v>154</v>
      </c>
    </row>
    <row r="276" spans="1:14" ht="15" customHeight="1" x14ac:dyDescent="0.3">
      <c r="A276" s="18" t="s">
        <v>714</v>
      </c>
      <c r="B276" s="19" t="s">
        <v>15</v>
      </c>
      <c r="C276" s="18" t="s">
        <v>735</v>
      </c>
      <c r="D276" s="18" t="s">
        <v>17</v>
      </c>
      <c r="E276" s="18" t="s">
        <v>74</v>
      </c>
      <c r="F276" s="18" t="s">
        <v>736</v>
      </c>
      <c r="G276" s="18" t="s">
        <v>381</v>
      </c>
      <c r="H276" s="18" t="s">
        <v>737</v>
      </c>
      <c r="I276" s="20" t="s">
        <v>738</v>
      </c>
      <c r="J276" s="18" t="s">
        <v>394</v>
      </c>
      <c r="K276" s="18" t="s">
        <v>24</v>
      </c>
      <c r="L276" s="18" t="s">
        <v>25</v>
      </c>
      <c r="N276" s="18" t="s">
        <v>154</v>
      </c>
    </row>
    <row r="277" spans="1:14" ht="15" customHeight="1" x14ac:dyDescent="0.3">
      <c r="A277" s="18" t="s">
        <v>714</v>
      </c>
      <c r="B277" s="19" t="s">
        <v>15</v>
      </c>
      <c r="C277" s="18" t="s">
        <v>735</v>
      </c>
      <c r="D277" s="18" t="s">
        <v>17</v>
      </c>
      <c r="E277" s="18" t="s">
        <v>74</v>
      </c>
      <c r="F277" s="18" t="s">
        <v>739</v>
      </c>
      <c r="G277" s="18" t="s">
        <v>381</v>
      </c>
      <c r="H277" s="18" t="s">
        <v>737</v>
      </c>
      <c r="I277" s="20" t="s">
        <v>740</v>
      </c>
      <c r="J277" s="18" t="s">
        <v>394</v>
      </c>
      <c r="K277" s="18" t="s">
        <v>24</v>
      </c>
      <c r="L277" s="18" t="s">
        <v>25</v>
      </c>
      <c r="N277" s="18" t="s">
        <v>154</v>
      </c>
    </row>
    <row r="278" spans="1:14" ht="15" customHeight="1" x14ac:dyDescent="0.3">
      <c r="A278" s="18" t="s">
        <v>714</v>
      </c>
      <c r="B278" s="19" t="s">
        <v>15</v>
      </c>
      <c r="C278" s="18" t="s">
        <v>741</v>
      </c>
      <c r="D278" s="18" t="s">
        <v>17</v>
      </c>
      <c r="E278" s="18" t="s">
        <v>74</v>
      </c>
      <c r="F278" s="18" t="s">
        <v>742</v>
      </c>
      <c r="G278" s="18" t="s">
        <v>381</v>
      </c>
      <c r="H278" s="18" t="s">
        <v>737</v>
      </c>
      <c r="I278" s="20" t="s">
        <v>743</v>
      </c>
      <c r="J278" s="18" t="s">
        <v>394</v>
      </c>
      <c r="K278" s="18" t="s">
        <v>24</v>
      </c>
      <c r="L278" s="18" t="s">
        <v>25</v>
      </c>
      <c r="N278" s="18" t="s">
        <v>154</v>
      </c>
    </row>
    <row r="279" spans="1:14" ht="15" customHeight="1" x14ac:dyDescent="0.3">
      <c r="A279" s="18" t="s">
        <v>714</v>
      </c>
      <c r="B279" s="19" t="s">
        <v>15</v>
      </c>
      <c r="C279" s="18" t="s">
        <v>735</v>
      </c>
      <c r="D279" s="18" t="s">
        <v>17</v>
      </c>
      <c r="E279" s="18" t="s">
        <v>74</v>
      </c>
      <c r="F279" s="18" t="s">
        <v>744</v>
      </c>
      <c r="G279" s="18" t="s">
        <v>381</v>
      </c>
      <c r="H279" s="18" t="s">
        <v>737</v>
      </c>
      <c r="I279" s="20" t="s">
        <v>745</v>
      </c>
      <c r="J279" s="18" t="s">
        <v>394</v>
      </c>
      <c r="K279" s="18" t="s">
        <v>24</v>
      </c>
      <c r="L279" s="18" t="s">
        <v>25</v>
      </c>
      <c r="N279" s="18" t="s">
        <v>154</v>
      </c>
    </row>
    <row r="280" spans="1:14" ht="15" customHeight="1" x14ac:dyDescent="0.3">
      <c r="A280" s="18" t="s">
        <v>714</v>
      </c>
      <c r="B280" s="19" t="s">
        <v>15</v>
      </c>
      <c r="C280" s="18" t="s">
        <v>735</v>
      </c>
      <c r="D280" s="18" t="s">
        <v>17</v>
      </c>
      <c r="E280" s="18" t="s">
        <v>74</v>
      </c>
      <c r="F280" s="18" t="s">
        <v>746</v>
      </c>
      <c r="G280" s="18" t="s">
        <v>381</v>
      </c>
      <c r="H280" s="18" t="s">
        <v>737</v>
      </c>
      <c r="I280" s="20" t="s">
        <v>747</v>
      </c>
      <c r="J280" s="18" t="s">
        <v>394</v>
      </c>
      <c r="K280" s="18" t="s">
        <v>24</v>
      </c>
      <c r="L280" s="18" t="s">
        <v>25</v>
      </c>
      <c r="N280" s="18" t="s">
        <v>154</v>
      </c>
    </row>
    <row r="281" spans="1:14" ht="15" customHeight="1" x14ac:dyDescent="0.3">
      <c r="A281" s="18" t="s">
        <v>714</v>
      </c>
      <c r="B281" s="19" t="s">
        <v>15</v>
      </c>
      <c r="C281" s="18" t="s">
        <v>735</v>
      </c>
      <c r="D281" s="18" t="s">
        <v>17</v>
      </c>
      <c r="E281" s="18" t="s">
        <v>74</v>
      </c>
      <c r="F281" s="18" t="s">
        <v>398</v>
      </c>
      <c r="G281" s="18" t="s">
        <v>381</v>
      </c>
      <c r="H281" s="18" t="s">
        <v>737</v>
      </c>
      <c r="I281" s="20" t="s">
        <v>748</v>
      </c>
      <c r="J281" s="18" t="s">
        <v>394</v>
      </c>
      <c r="K281" s="18" t="s">
        <v>24</v>
      </c>
      <c r="L281" s="18" t="s">
        <v>25</v>
      </c>
      <c r="N281" s="18" t="s">
        <v>154</v>
      </c>
    </row>
    <row r="282" spans="1:14" ht="15" customHeight="1" x14ac:dyDescent="0.3">
      <c r="A282" s="18" t="s">
        <v>714</v>
      </c>
      <c r="B282" s="19" t="s">
        <v>15</v>
      </c>
      <c r="C282" s="18" t="s">
        <v>735</v>
      </c>
      <c r="D282" s="18" t="s">
        <v>17</v>
      </c>
      <c r="E282" s="18" t="s">
        <v>74</v>
      </c>
      <c r="F282" s="18" t="s">
        <v>749</v>
      </c>
      <c r="G282" s="18" t="s">
        <v>381</v>
      </c>
      <c r="H282" s="18" t="s">
        <v>737</v>
      </c>
      <c r="I282" s="20" t="s">
        <v>750</v>
      </c>
      <c r="J282" s="18" t="s">
        <v>394</v>
      </c>
      <c r="K282" s="18" t="s">
        <v>24</v>
      </c>
      <c r="L282" s="18" t="s">
        <v>25</v>
      </c>
      <c r="N282" s="18" t="s">
        <v>154</v>
      </c>
    </row>
    <row r="283" spans="1:14" ht="15" customHeight="1" x14ac:dyDescent="0.3">
      <c r="A283" s="18" t="s">
        <v>714</v>
      </c>
      <c r="B283" s="19" t="s">
        <v>15</v>
      </c>
      <c r="C283" s="18" t="s">
        <v>735</v>
      </c>
      <c r="D283" s="18" t="s">
        <v>17</v>
      </c>
      <c r="E283" s="18" t="s">
        <v>74</v>
      </c>
      <c r="F283" s="18" t="s">
        <v>406</v>
      </c>
      <c r="G283" s="18" t="s">
        <v>381</v>
      </c>
      <c r="H283" s="18" t="s">
        <v>737</v>
      </c>
      <c r="I283" s="20" t="s">
        <v>751</v>
      </c>
      <c r="J283" s="18" t="s">
        <v>394</v>
      </c>
      <c r="K283" s="18" t="s">
        <v>24</v>
      </c>
      <c r="L283" s="18" t="s">
        <v>25</v>
      </c>
      <c r="N283" s="18" t="s">
        <v>154</v>
      </c>
    </row>
    <row r="284" spans="1:14" ht="15" customHeight="1" x14ac:dyDescent="0.3">
      <c r="A284" s="18" t="s">
        <v>714</v>
      </c>
      <c r="B284" s="19" t="s">
        <v>15</v>
      </c>
      <c r="C284" s="18" t="s">
        <v>735</v>
      </c>
      <c r="D284" s="18" t="s">
        <v>17</v>
      </c>
      <c r="E284" s="18" t="s">
        <v>74</v>
      </c>
      <c r="F284" s="18" t="s">
        <v>752</v>
      </c>
      <c r="G284" s="18" t="s">
        <v>381</v>
      </c>
      <c r="H284" s="18" t="s">
        <v>737</v>
      </c>
      <c r="I284" s="20" t="s">
        <v>753</v>
      </c>
      <c r="J284" s="18" t="s">
        <v>394</v>
      </c>
      <c r="K284" s="18" t="s">
        <v>24</v>
      </c>
      <c r="L284" s="18" t="s">
        <v>25</v>
      </c>
      <c r="N284" s="18" t="s">
        <v>154</v>
      </c>
    </row>
    <row r="285" spans="1:14" ht="15" customHeight="1" x14ac:dyDescent="0.3">
      <c r="A285" s="18" t="s">
        <v>714</v>
      </c>
      <c r="B285" s="19" t="s">
        <v>15</v>
      </c>
      <c r="C285" s="18" t="s">
        <v>735</v>
      </c>
      <c r="D285" s="18" t="s">
        <v>17</v>
      </c>
      <c r="E285" s="18" t="s">
        <v>74</v>
      </c>
      <c r="F285" s="18" t="s">
        <v>501</v>
      </c>
      <c r="G285" s="18" t="s">
        <v>41</v>
      </c>
      <c r="H285" s="18" t="s">
        <v>737</v>
      </c>
      <c r="I285" s="20" t="s">
        <v>754</v>
      </c>
      <c r="J285" s="18" t="s">
        <v>394</v>
      </c>
      <c r="K285" s="18" t="s">
        <v>24</v>
      </c>
      <c r="L285" s="18" t="s">
        <v>25</v>
      </c>
      <c r="N285" s="18" t="s">
        <v>154</v>
      </c>
    </row>
    <row r="286" spans="1:14" ht="15" customHeight="1" x14ac:dyDescent="0.3">
      <c r="A286" s="18" t="s">
        <v>714</v>
      </c>
      <c r="B286" s="19" t="s">
        <v>15</v>
      </c>
      <c r="C286" s="18" t="s">
        <v>735</v>
      </c>
      <c r="D286" s="18" t="s">
        <v>17</v>
      </c>
      <c r="E286" s="18" t="s">
        <v>74</v>
      </c>
      <c r="F286" s="18" t="s">
        <v>755</v>
      </c>
      <c r="G286" s="18" t="s">
        <v>88</v>
      </c>
      <c r="H286" s="18" t="s">
        <v>737</v>
      </c>
      <c r="I286" s="20" t="s">
        <v>756</v>
      </c>
      <c r="J286" s="18" t="s">
        <v>394</v>
      </c>
      <c r="K286" s="18" t="s">
        <v>293</v>
      </c>
      <c r="L286" s="18" t="s">
        <v>25</v>
      </c>
      <c r="N286" s="18" t="s">
        <v>154</v>
      </c>
    </row>
    <row r="287" spans="1:14" ht="15" customHeight="1" x14ac:dyDescent="0.3">
      <c r="A287" s="18" t="s">
        <v>714</v>
      </c>
      <c r="B287" s="19" t="s">
        <v>15</v>
      </c>
      <c r="C287" s="18" t="s">
        <v>735</v>
      </c>
      <c r="D287" s="18" t="s">
        <v>17</v>
      </c>
      <c r="E287" s="18" t="s">
        <v>74</v>
      </c>
      <c r="F287" s="18" t="s">
        <v>757</v>
      </c>
      <c r="G287" s="18" t="s">
        <v>433</v>
      </c>
      <c r="H287" s="18" t="s">
        <v>737</v>
      </c>
      <c r="I287" s="20" t="s">
        <v>758</v>
      </c>
      <c r="J287" s="18" t="s">
        <v>394</v>
      </c>
      <c r="K287" s="18" t="s">
        <v>24</v>
      </c>
      <c r="L287" s="18" t="s">
        <v>25</v>
      </c>
      <c r="N287" s="18" t="s">
        <v>154</v>
      </c>
    </row>
    <row r="288" spans="1:14" ht="15" customHeight="1" x14ac:dyDescent="0.3">
      <c r="A288" s="18" t="s">
        <v>714</v>
      </c>
      <c r="B288" s="19" t="s">
        <v>15</v>
      </c>
      <c r="C288" s="18" t="s">
        <v>735</v>
      </c>
      <c r="D288" s="18" t="s">
        <v>17</v>
      </c>
      <c r="E288" s="18" t="s">
        <v>74</v>
      </c>
      <c r="F288" s="18" t="s">
        <v>759</v>
      </c>
      <c r="G288" s="18" t="s">
        <v>340</v>
      </c>
      <c r="H288" s="18" t="s">
        <v>737</v>
      </c>
      <c r="I288" s="20" t="s">
        <v>760</v>
      </c>
      <c r="J288" s="18" t="s">
        <v>394</v>
      </c>
      <c r="K288" s="18" t="s">
        <v>24</v>
      </c>
      <c r="L288" s="18" t="s">
        <v>25</v>
      </c>
      <c r="N288" s="18" t="s">
        <v>154</v>
      </c>
    </row>
    <row r="289" spans="1:14" ht="15" customHeight="1" x14ac:dyDescent="0.3">
      <c r="A289" s="18" t="s">
        <v>714</v>
      </c>
      <c r="B289" s="19" t="s">
        <v>15</v>
      </c>
      <c r="C289" s="18" t="s">
        <v>735</v>
      </c>
      <c r="D289" s="18" t="s">
        <v>17</v>
      </c>
      <c r="E289" s="18" t="s">
        <v>74</v>
      </c>
      <c r="F289" s="18" t="s">
        <v>503</v>
      </c>
      <c r="G289" s="18" t="s">
        <v>381</v>
      </c>
      <c r="H289" s="18" t="s">
        <v>737</v>
      </c>
      <c r="I289" s="20" t="s">
        <v>761</v>
      </c>
      <c r="J289" s="18" t="s">
        <v>394</v>
      </c>
      <c r="K289" s="18" t="s">
        <v>24</v>
      </c>
      <c r="L289" s="18" t="s">
        <v>25</v>
      </c>
      <c r="N289" s="18" t="s">
        <v>154</v>
      </c>
    </row>
    <row r="290" spans="1:14" ht="15" customHeight="1" x14ac:dyDescent="0.3">
      <c r="A290" s="18" t="s">
        <v>714</v>
      </c>
      <c r="B290" s="19" t="s">
        <v>15</v>
      </c>
      <c r="C290" s="18" t="s">
        <v>735</v>
      </c>
      <c r="D290" s="18" t="s">
        <v>17</v>
      </c>
      <c r="E290" s="18" t="s">
        <v>74</v>
      </c>
      <c r="F290" s="18" t="s">
        <v>762</v>
      </c>
      <c r="G290" s="18" t="s">
        <v>381</v>
      </c>
      <c r="H290" s="18" t="s">
        <v>737</v>
      </c>
      <c r="I290" s="20" t="s">
        <v>763</v>
      </c>
      <c r="J290" s="18" t="s">
        <v>394</v>
      </c>
      <c r="K290" s="18" t="s">
        <v>24</v>
      </c>
      <c r="L290" s="18" t="s">
        <v>25</v>
      </c>
      <c r="N290" s="18" t="s">
        <v>154</v>
      </c>
    </row>
    <row r="291" spans="1:14" ht="15" customHeight="1" x14ac:dyDescent="0.3">
      <c r="A291" s="18" t="s">
        <v>764</v>
      </c>
      <c r="B291" s="19" t="s">
        <v>15</v>
      </c>
      <c r="C291" s="18" t="s">
        <v>149</v>
      </c>
      <c r="D291" s="18" t="s">
        <v>17</v>
      </c>
      <c r="E291" s="18" t="s">
        <v>117</v>
      </c>
      <c r="F291" s="18" t="s">
        <v>765</v>
      </c>
      <c r="G291" s="18" t="s">
        <v>429</v>
      </c>
      <c r="H291" s="18" t="s">
        <v>766</v>
      </c>
      <c r="I291" s="20" t="s">
        <v>767</v>
      </c>
      <c r="J291" s="18" t="s">
        <v>58</v>
      </c>
      <c r="K291" s="18" t="s">
        <v>24</v>
      </c>
      <c r="L291" s="18" t="s">
        <v>25</v>
      </c>
      <c r="N291" s="18" t="s">
        <v>154</v>
      </c>
    </row>
    <row r="292" spans="1:14" ht="15" customHeight="1" x14ac:dyDescent="0.3">
      <c r="A292" s="18" t="s">
        <v>764</v>
      </c>
      <c r="B292" s="19" t="s">
        <v>15</v>
      </c>
      <c r="C292" s="18" t="s">
        <v>149</v>
      </c>
      <c r="D292" s="18" t="s">
        <v>17</v>
      </c>
      <c r="E292" s="18" t="s">
        <v>117</v>
      </c>
      <c r="F292" s="18" t="s">
        <v>768</v>
      </c>
      <c r="G292" s="18" t="s">
        <v>270</v>
      </c>
      <c r="H292" s="18" t="s">
        <v>766</v>
      </c>
      <c r="I292" s="20" t="s">
        <v>769</v>
      </c>
      <c r="J292" s="18" t="s">
        <v>58</v>
      </c>
      <c r="K292" s="18" t="s">
        <v>24</v>
      </c>
      <c r="L292" s="18" t="s">
        <v>25</v>
      </c>
      <c r="N292" s="18" t="s">
        <v>154</v>
      </c>
    </row>
    <row r="293" spans="1:14" ht="15" customHeight="1" x14ac:dyDescent="0.3">
      <c r="A293" s="18" t="s">
        <v>764</v>
      </c>
      <c r="B293" s="19" t="s">
        <v>15</v>
      </c>
      <c r="C293" s="18" t="s">
        <v>210</v>
      </c>
      <c r="D293" s="18" t="s">
        <v>17</v>
      </c>
      <c r="E293" s="18" t="s">
        <v>117</v>
      </c>
      <c r="F293" s="18" t="s">
        <v>718</v>
      </c>
      <c r="G293" s="18" t="s">
        <v>270</v>
      </c>
      <c r="H293" s="18" t="s">
        <v>770</v>
      </c>
      <c r="I293" s="20" t="s">
        <v>719</v>
      </c>
      <c r="J293" s="18" t="s">
        <v>58</v>
      </c>
      <c r="K293" s="18" t="s">
        <v>24</v>
      </c>
      <c r="L293" s="18" t="s">
        <v>25</v>
      </c>
      <c r="N293" s="18" t="s">
        <v>26</v>
      </c>
    </row>
    <row r="294" spans="1:14" ht="15" customHeight="1" x14ac:dyDescent="0.3">
      <c r="A294" s="18" t="s">
        <v>764</v>
      </c>
      <c r="B294" s="19" t="s">
        <v>15</v>
      </c>
      <c r="C294" s="18" t="s">
        <v>210</v>
      </c>
      <c r="D294" s="18" t="s">
        <v>17</v>
      </c>
      <c r="E294" s="18" t="s">
        <v>18</v>
      </c>
      <c r="F294" s="18" t="s">
        <v>771</v>
      </c>
      <c r="G294" s="18" t="s">
        <v>429</v>
      </c>
      <c r="H294" s="18" t="s">
        <v>770</v>
      </c>
      <c r="I294" s="20" t="s">
        <v>772</v>
      </c>
      <c r="J294" s="18" t="s">
        <v>23</v>
      </c>
      <c r="K294" s="18" t="s">
        <v>24</v>
      </c>
      <c r="L294" s="18" t="s">
        <v>25</v>
      </c>
      <c r="N294" s="18" t="s">
        <v>26</v>
      </c>
    </row>
    <row r="295" spans="1:14" ht="15" customHeight="1" x14ac:dyDescent="0.3">
      <c r="A295" s="18" t="s">
        <v>764</v>
      </c>
      <c r="B295" s="19" t="s">
        <v>15</v>
      </c>
      <c r="C295" s="18" t="s">
        <v>210</v>
      </c>
      <c r="D295" s="18" t="s">
        <v>17</v>
      </c>
      <c r="E295" s="18" t="s">
        <v>18</v>
      </c>
      <c r="F295" s="18" t="s">
        <v>616</v>
      </c>
      <c r="G295" s="18" t="s">
        <v>429</v>
      </c>
      <c r="H295" s="18" t="s">
        <v>770</v>
      </c>
      <c r="I295" s="20" t="s">
        <v>773</v>
      </c>
      <c r="J295" s="18" t="s">
        <v>23</v>
      </c>
      <c r="K295" s="18" t="s">
        <v>24</v>
      </c>
      <c r="L295" s="18" t="s">
        <v>25</v>
      </c>
      <c r="N295" s="18" t="s">
        <v>26</v>
      </c>
    </row>
    <row r="296" spans="1:14" ht="15" customHeight="1" x14ac:dyDescent="0.3">
      <c r="A296" s="18" t="s">
        <v>764</v>
      </c>
      <c r="B296" s="19" t="s">
        <v>15</v>
      </c>
      <c r="C296" s="18" t="s">
        <v>210</v>
      </c>
      <c r="D296" s="18" t="s">
        <v>17</v>
      </c>
      <c r="E296" s="18" t="s">
        <v>18</v>
      </c>
      <c r="F296" s="18" t="s">
        <v>381</v>
      </c>
      <c r="G296" s="18" t="s">
        <v>381</v>
      </c>
      <c r="H296" s="18" t="s">
        <v>770</v>
      </c>
      <c r="I296" s="20" t="s">
        <v>598</v>
      </c>
      <c r="J296" s="18" t="s">
        <v>23</v>
      </c>
      <c r="K296" s="18" t="s">
        <v>24</v>
      </c>
      <c r="L296" s="18" t="s">
        <v>25</v>
      </c>
      <c r="N296" s="18" t="s">
        <v>26</v>
      </c>
    </row>
    <row r="297" spans="1:14" ht="15" customHeight="1" x14ac:dyDescent="0.3">
      <c r="A297" s="18" t="s">
        <v>764</v>
      </c>
      <c r="B297" s="19" t="s">
        <v>15</v>
      </c>
      <c r="C297" s="18" t="s">
        <v>210</v>
      </c>
      <c r="D297" s="18" t="s">
        <v>17</v>
      </c>
      <c r="E297" s="18" t="s">
        <v>18</v>
      </c>
      <c r="F297" s="18" t="s">
        <v>580</v>
      </c>
      <c r="G297" s="18" t="s">
        <v>20</v>
      </c>
      <c r="H297" s="18" t="s">
        <v>770</v>
      </c>
      <c r="I297" s="20" t="s">
        <v>599</v>
      </c>
      <c r="J297" s="18" t="s">
        <v>23</v>
      </c>
      <c r="K297" s="18" t="s">
        <v>24</v>
      </c>
      <c r="L297" s="18" t="s">
        <v>25</v>
      </c>
      <c r="N297" s="18" t="s">
        <v>26</v>
      </c>
    </row>
    <row r="298" spans="1:14" ht="15" customHeight="1" x14ac:dyDescent="0.3">
      <c r="A298" s="18" t="s">
        <v>764</v>
      </c>
      <c r="B298" s="19" t="s">
        <v>15</v>
      </c>
      <c r="C298" s="18" t="s">
        <v>210</v>
      </c>
      <c r="D298" s="18" t="s">
        <v>17</v>
      </c>
      <c r="E298" s="18" t="s">
        <v>18</v>
      </c>
      <c r="F298" s="18" t="s">
        <v>774</v>
      </c>
      <c r="G298" s="18" t="s">
        <v>429</v>
      </c>
      <c r="H298" s="18" t="s">
        <v>770</v>
      </c>
      <c r="I298" s="20" t="s">
        <v>775</v>
      </c>
      <c r="J298" s="18" t="s">
        <v>23</v>
      </c>
      <c r="K298" s="18" t="s">
        <v>24</v>
      </c>
      <c r="L298" s="18" t="s">
        <v>25</v>
      </c>
      <c r="N298" s="18" t="s">
        <v>26</v>
      </c>
    </row>
    <row r="299" spans="1:14" ht="15" customHeight="1" x14ac:dyDescent="0.3">
      <c r="A299" s="18" t="s">
        <v>764</v>
      </c>
      <c r="B299" s="19" t="s">
        <v>15</v>
      </c>
      <c r="C299" s="18" t="s">
        <v>210</v>
      </c>
      <c r="D299" s="18" t="s">
        <v>17</v>
      </c>
      <c r="E299" s="18" t="s">
        <v>18</v>
      </c>
      <c r="F299" s="18" t="s">
        <v>582</v>
      </c>
      <c r="G299" s="18" t="s">
        <v>20</v>
      </c>
      <c r="H299" s="18" t="s">
        <v>770</v>
      </c>
      <c r="I299" s="20" t="s">
        <v>724</v>
      </c>
      <c r="J299" s="18" t="s">
        <v>23</v>
      </c>
      <c r="K299" s="18" t="s">
        <v>24</v>
      </c>
      <c r="L299" s="18" t="s">
        <v>25</v>
      </c>
      <c r="N299" s="18" t="s">
        <v>26</v>
      </c>
    </row>
    <row r="300" spans="1:14" ht="15" customHeight="1" x14ac:dyDescent="0.3">
      <c r="A300" s="18" t="s">
        <v>764</v>
      </c>
      <c r="B300" s="19" t="s">
        <v>15</v>
      </c>
      <c r="C300" s="18" t="s">
        <v>210</v>
      </c>
      <c r="D300" s="18" t="s">
        <v>17</v>
      </c>
      <c r="E300" s="18" t="s">
        <v>18</v>
      </c>
      <c r="F300" s="18" t="s">
        <v>776</v>
      </c>
      <c r="G300" s="18" t="s">
        <v>20</v>
      </c>
      <c r="H300" s="18" t="s">
        <v>770</v>
      </c>
      <c r="I300" s="20" t="s">
        <v>777</v>
      </c>
      <c r="J300" s="18" t="s">
        <v>23</v>
      </c>
      <c r="K300" s="18" t="s">
        <v>24</v>
      </c>
      <c r="L300" s="18" t="s">
        <v>25</v>
      </c>
      <c r="N300" s="18" t="s">
        <v>26</v>
      </c>
    </row>
    <row r="301" spans="1:14" ht="15" customHeight="1" x14ac:dyDescent="0.3">
      <c r="A301" s="18" t="s">
        <v>764</v>
      </c>
      <c r="B301" s="19" t="s">
        <v>15</v>
      </c>
      <c r="C301" s="18" t="s">
        <v>149</v>
      </c>
      <c r="D301" s="18" t="s">
        <v>17</v>
      </c>
      <c r="E301" s="18" t="s">
        <v>18</v>
      </c>
      <c r="F301" s="18" t="s">
        <v>778</v>
      </c>
      <c r="G301" s="18" t="s">
        <v>20</v>
      </c>
      <c r="H301" s="18" t="s">
        <v>766</v>
      </c>
      <c r="I301" s="20" t="s">
        <v>779</v>
      </c>
      <c r="J301" s="18" t="s">
        <v>23</v>
      </c>
      <c r="K301" s="18" t="s">
        <v>24</v>
      </c>
      <c r="L301" s="18" t="s">
        <v>25</v>
      </c>
      <c r="N301" s="18" t="s">
        <v>154</v>
      </c>
    </row>
    <row r="302" spans="1:14" ht="15" customHeight="1" x14ac:dyDescent="0.3">
      <c r="A302" s="18" t="s">
        <v>764</v>
      </c>
      <c r="B302" s="19" t="s">
        <v>15</v>
      </c>
      <c r="C302" s="18" t="s">
        <v>149</v>
      </c>
      <c r="D302" s="18" t="s">
        <v>17</v>
      </c>
      <c r="E302" s="18" t="s">
        <v>55</v>
      </c>
      <c r="F302" s="18" t="s">
        <v>780</v>
      </c>
      <c r="G302" s="18" t="s">
        <v>429</v>
      </c>
      <c r="H302" s="18" t="s">
        <v>766</v>
      </c>
      <c r="I302" s="20" t="s">
        <v>781</v>
      </c>
      <c r="J302" s="18" t="s">
        <v>73</v>
      </c>
      <c r="K302" s="18" t="s">
        <v>24</v>
      </c>
      <c r="L302" s="18" t="s">
        <v>25</v>
      </c>
      <c r="N302" s="18" t="s">
        <v>154</v>
      </c>
    </row>
    <row r="303" spans="1:14" ht="15" customHeight="1" x14ac:dyDescent="0.3">
      <c r="A303" s="18" t="s">
        <v>764</v>
      </c>
      <c r="B303" s="19" t="s">
        <v>15</v>
      </c>
      <c r="C303" s="18" t="s">
        <v>596</v>
      </c>
      <c r="D303" s="18" t="s">
        <v>17</v>
      </c>
      <c r="E303" s="18" t="s">
        <v>55</v>
      </c>
      <c r="F303" s="18" t="s">
        <v>782</v>
      </c>
      <c r="G303" s="18" t="s">
        <v>381</v>
      </c>
      <c r="H303" s="18" t="s">
        <v>766</v>
      </c>
      <c r="I303" s="20" t="s">
        <v>783</v>
      </c>
      <c r="J303" s="18" t="s">
        <v>73</v>
      </c>
      <c r="K303" s="18" t="s">
        <v>24</v>
      </c>
      <c r="L303" s="18" t="s">
        <v>25</v>
      </c>
      <c r="N303" s="18" t="s">
        <v>154</v>
      </c>
    </row>
    <row r="304" spans="1:14" ht="15" customHeight="1" x14ac:dyDescent="0.3">
      <c r="A304" s="18" t="s">
        <v>764</v>
      </c>
      <c r="B304" s="19" t="s">
        <v>15</v>
      </c>
      <c r="C304" s="18" t="s">
        <v>596</v>
      </c>
      <c r="D304" s="18" t="s">
        <v>17</v>
      </c>
      <c r="E304" s="18" t="s">
        <v>55</v>
      </c>
      <c r="F304" s="18" t="s">
        <v>784</v>
      </c>
      <c r="G304" s="18" t="s">
        <v>381</v>
      </c>
      <c r="H304" s="18" t="s">
        <v>766</v>
      </c>
      <c r="I304" s="20" t="s">
        <v>785</v>
      </c>
      <c r="J304" s="18" t="s">
        <v>73</v>
      </c>
      <c r="K304" s="18" t="s">
        <v>24</v>
      </c>
      <c r="L304" s="18" t="s">
        <v>25</v>
      </c>
      <c r="N304" s="18" t="s">
        <v>154</v>
      </c>
    </row>
    <row r="305" spans="1:14" ht="15" customHeight="1" x14ac:dyDescent="0.3">
      <c r="A305" s="18" t="s">
        <v>764</v>
      </c>
      <c r="B305" s="19" t="s">
        <v>15</v>
      </c>
      <c r="C305" s="18" t="s">
        <v>210</v>
      </c>
      <c r="D305" s="18" t="s">
        <v>17</v>
      </c>
      <c r="E305" s="18" t="s">
        <v>55</v>
      </c>
      <c r="F305" s="18" t="s">
        <v>726</v>
      </c>
      <c r="G305" s="18" t="s">
        <v>381</v>
      </c>
      <c r="H305" s="18" t="s">
        <v>770</v>
      </c>
      <c r="I305" s="20" t="s">
        <v>727</v>
      </c>
      <c r="J305" s="18" t="s">
        <v>73</v>
      </c>
      <c r="K305" s="18" t="s">
        <v>24</v>
      </c>
      <c r="L305" s="18" t="s">
        <v>25</v>
      </c>
      <c r="N305" s="18" t="s">
        <v>26</v>
      </c>
    </row>
    <row r="306" spans="1:14" ht="15" customHeight="1" x14ac:dyDescent="0.3">
      <c r="A306" s="18" t="s">
        <v>764</v>
      </c>
      <c r="B306" s="19" t="s">
        <v>15</v>
      </c>
      <c r="C306" s="18" t="s">
        <v>210</v>
      </c>
      <c r="D306" s="18" t="s">
        <v>17</v>
      </c>
      <c r="E306" s="18" t="s">
        <v>55</v>
      </c>
      <c r="F306" s="18" t="s">
        <v>786</v>
      </c>
      <c r="G306" s="18" t="s">
        <v>381</v>
      </c>
      <c r="H306" s="18" t="s">
        <v>770</v>
      </c>
      <c r="I306" s="20" t="s">
        <v>787</v>
      </c>
      <c r="J306" s="18" t="s">
        <v>73</v>
      </c>
      <c r="K306" s="18" t="s">
        <v>24</v>
      </c>
      <c r="L306" s="18" t="s">
        <v>25</v>
      </c>
      <c r="N306" s="18" t="s">
        <v>26</v>
      </c>
    </row>
    <row r="307" spans="1:14" ht="15" customHeight="1" x14ac:dyDescent="0.3">
      <c r="A307" s="18" t="s">
        <v>764</v>
      </c>
      <c r="B307" s="19" t="s">
        <v>15</v>
      </c>
      <c r="C307" s="18" t="s">
        <v>210</v>
      </c>
      <c r="D307" s="18" t="s">
        <v>17</v>
      </c>
      <c r="E307" s="18" t="s">
        <v>55</v>
      </c>
      <c r="F307" s="18" t="s">
        <v>383</v>
      </c>
      <c r="G307" s="18" t="s">
        <v>381</v>
      </c>
      <c r="H307" s="18" t="s">
        <v>770</v>
      </c>
      <c r="I307" s="20" t="s">
        <v>732</v>
      </c>
      <c r="J307" s="18" t="s">
        <v>73</v>
      </c>
      <c r="K307" s="18" t="s">
        <v>24</v>
      </c>
      <c r="L307" s="18" t="s">
        <v>25</v>
      </c>
      <c r="N307" s="18" t="s">
        <v>26</v>
      </c>
    </row>
    <row r="308" spans="1:14" ht="15" customHeight="1" x14ac:dyDescent="0.3">
      <c r="A308" s="18" t="s">
        <v>764</v>
      </c>
      <c r="B308" s="19" t="s">
        <v>15</v>
      </c>
      <c r="C308" s="18" t="s">
        <v>210</v>
      </c>
      <c r="D308" s="18" t="s">
        <v>17</v>
      </c>
      <c r="E308" s="18" t="s">
        <v>55</v>
      </c>
      <c r="F308" s="18" t="s">
        <v>488</v>
      </c>
      <c r="G308" s="18" t="s">
        <v>381</v>
      </c>
      <c r="H308" s="18" t="s">
        <v>770</v>
      </c>
      <c r="I308" s="20" t="s">
        <v>788</v>
      </c>
      <c r="J308" s="18" t="s">
        <v>73</v>
      </c>
      <c r="K308" s="18" t="s">
        <v>24</v>
      </c>
      <c r="L308" s="18" t="s">
        <v>25</v>
      </c>
      <c r="N308" s="18" t="s">
        <v>26</v>
      </c>
    </row>
    <row r="309" spans="1:14" ht="15" customHeight="1" x14ac:dyDescent="0.3">
      <c r="A309" s="18" t="s">
        <v>764</v>
      </c>
      <c r="B309" s="19" t="s">
        <v>15</v>
      </c>
      <c r="C309" s="18" t="s">
        <v>210</v>
      </c>
      <c r="D309" s="18" t="s">
        <v>17</v>
      </c>
      <c r="E309" s="18" t="s">
        <v>55</v>
      </c>
      <c r="F309" s="18" t="s">
        <v>519</v>
      </c>
      <c r="G309" s="18" t="s">
        <v>381</v>
      </c>
      <c r="H309" s="18" t="s">
        <v>770</v>
      </c>
      <c r="I309" s="20" t="s">
        <v>789</v>
      </c>
      <c r="J309" s="18" t="s">
        <v>58</v>
      </c>
      <c r="K309" s="18" t="s">
        <v>24</v>
      </c>
      <c r="L309" s="18" t="s">
        <v>25</v>
      </c>
      <c r="N309" s="18" t="s">
        <v>26</v>
      </c>
    </row>
    <row r="310" spans="1:14" ht="15" customHeight="1" x14ac:dyDescent="0.3">
      <c r="A310" s="18" t="s">
        <v>764</v>
      </c>
      <c r="B310" s="19" t="s">
        <v>15</v>
      </c>
      <c r="C310" s="18" t="s">
        <v>149</v>
      </c>
      <c r="D310" s="18" t="s">
        <v>17</v>
      </c>
      <c r="E310" s="18" t="s">
        <v>55</v>
      </c>
      <c r="F310" s="18" t="s">
        <v>385</v>
      </c>
      <c r="G310" s="18" t="s">
        <v>381</v>
      </c>
      <c r="H310" s="18" t="s">
        <v>766</v>
      </c>
      <c r="I310" s="20" t="s">
        <v>733</v>
      </c>
      <c r="J310" s="18" t="s">
        <v>73</v>
      </c>
      <c r="K310" s="18" t="s">
        <v>24</v>
      </c>
      <c r="L310" s="18" t="s">
        <v>25</v>
      </c>
      <c r="N310" s="18" t="s">
        <v>154</v>
      </c>
    </row>
    <row r="311" spans="1:14" ht="15" customHeight="1" x14ac:dyDescent="0.3">
      <c r="A311" s="18" t="s">
        <v>764</v>
      </c>
      <c r="B311" s="19" t="s">
        <v>15</v>
      </c>
      <c r="C311" s="18" t="s">
        <v>149</v>
      </c>
      <c r="D311" s="18" t="s">
        <v>17</v>
      </c>
      <c r="E311" s="18" t="s">
        <v>55</v>
      </c>
      <c r="F311" s="18" t="s">
        <v>580</v>
      </c>
      <c r="G311" s="18" t="s">
        <v>20</v>
      </c>
      <c r="H311" s="18" t="s">
        <v>766</v>
      </c>
      <c r="I311" s="20" t="s">
        <v>790</v>
      </c>
      <c r="J311" s="18" t="s">
        <v>58</v>
      </c>
      <c r="K311" s="18" t="s">
        <v>24</v>
      </c>
      <c r="L311" s="18" t="s">
        <v>25</v>
      </c>
      <c r="N311" s="18" t="s">
        <v>154</v>
      </c>
    </row>
    <row r="312" spans="1:14" ht="15" customHeight="1" x14ac:dyDescent="0.3">
      <c r="A312" s="18" t="s">
        <v>764</v>
      </c>
      <c r="B312" s="19" t="s">
        <v>15</v>
      </c>
      <c r="C312" s="18" t="s">
        <v>210</v>
      </c>
      <c r="D312" s="18" t="s">
        <v>17</v>
      </c>
      <c r="E312" s="18" t="s">
        <v>55</v>
      </c>
      <c r="F312" s="18" t="s">
        <v>791</v>
      </c>
      <c r="G312" s="18" t="s">
        <v>429</v>
      </c>
      <c r="H312" s="18" t="s">
        <v>770</v>
      </c>
      <c r="I312" s="20" t="s">
        <v>792</v>
      </c>
      <c r="J312" s="18" t="s">
        <v>58</v>
      </c>
      <c r="K312" s="18" t="s">
        <v>24</v>
      </c>
      <c r="L312" s="18" t="s">
        <v>25</v>
      </c>
      <c r="N312" s="18" t="s">
        <v>26</v>
      </c>
    </row>
    <row r="313" spans="1:14" ht="15" customHeight="1" x14ac:dyDescent="0.3">
      <c r="A313" s="18" t="s">
        <v>764</v>
      </c>
      <c r="B313" s="19" t="s">
        <v>15</v>
      </c>
      <c r="C313" s="18" t="s">
        <v>210</v>
      </c>
      <c r="D313" s="18" t="s">
        <v>17</v>
      </c>
      <c r="E313" s="18" t="s">
        <v>74</v>
      </c>
      <c r="F313" s="18" t="s">
        <v>793</v>
      </c>
      <c r="G313" s="18" t="s">
        <v>381</v>
      </c>
      <c r="H313" s="18" t="s">
        <v>766</v>
      </c>
      <c r="I313" s="20" t="s">
        <v>794</v>
      </c>
      <c r="J313" s="18" t="s">
        <v>394</v>
      </c>
      <c r="K313" s="18" t="s">
        <v>293</v>
      </c>
      <c r="L313" s="18" t="s">
        <v>25</v>
      </c>
      <c r="N313" s="18" t="s">
        <v>26</v>
      </c>
    </row>
    <row r="314" spans="1:14" ht="15" customHeight="1" x14ac:dyDescent="0.3">
      <c r="A314" s="18" t="s">
        <v>764</v>
      </c>
      <c r="B314" s="19" t="s">
        <v>15</v>
      </c>
      <c r="C314" s="18" t="s">
        <v>210</v>
      </c>
      <c r="D314" s="18" t="s">
        <v>17</v>
      </c>
      <c r="E314" s="18" t="s">
        <v>74</v>
      </c>
      <c r="F314" s="18" t="s">
        <v>795</v>
      </c>
      <c r="G314" s="18" t="s">
        <v>381</v>
      </c>
      <c r="H314" s="18" t="s">
        <v>766</v>
      </c>
      <c r="I314" s="20" t="s">
        <v>796</v>
      </c>
      <c r="J314" s="18" t="s">
        <v>394</v>
      </c>
      <c r="K314" s="18" t="s">
        <v>293</v>
      </c>
      <c r="L314" s="18" t="s">
        <v>25</v>
      </c>
      <c r="N314" s="18" t="s">
        <v>26</v>
      </c>
    </row>
    <row r="315" spans="1:14" ht="15" customHeight="1" x14ac:dyDescent="0.3">
      <c r="A315" s="18" t="s">
        <v>764</v>
      </c>
      <c r="B315" s="19" t="s">
        <v>15</v>
      </c>
      <c r="C315" s="18" t="s">
        <v>210</v>
      </c>
      <c r="D315" s="18" t="s">
        <v>17</v>
      </c>
      <c r="E315" s="18" t="s">
        <v>74</v>
      </c>
      <c r="F315" s="18" t="s">
        <v>406</v>
      </c>
      <c r="G315" s="18" t="s">
        <v>381</v>
      </c>
      <c r="H315" s="18" t="s">
        <v>766</v>
      </c>
      <c r="I315" s="20" t="s">
        <v>751</v>
      </c>
      <c r="J315" s="18" t="s">
        <v>394</v>
      </c>
      <c r="K315" s="18" t="s">
        <v>293</v>
      </c>
      <c r="L315" s="18" t="s">
        <v>25</v>
      </c>
      <c r="N315" s="18" t="s">
        <v>26</v>
      </c>
    </row>
    <row r="316" spans="1:14" ht="15" customHeight="1" x14ac:dyDescent="0.3">
      <c r="A316" s="18" t="s">
        <v>764</v>
      </c>
      <c r="B316" s="19" t="s">
        <v>15</v>
      </c>
      <c r="C316" s="18" t="s">
        <v>210</v>
      </c>
      <c r="D316" s="18" t="s">
        <v>17</v>
      </c>
      <c r="E316" s="18" t="s">
        <v>74</v>
      </c>
      <c r="F316" s="18" t="s">
        <v>752</v>
      </c>
      <c r="G316" s="18" t="s">
        <v>381</v>
      </c>
      <c r="H316" s="18" t="s">
        <v>766</v>
      </c>
      <c r="I316" s="20" t="s">
        <v>753</v>
      </c>
      <c r="J316" s="18" t="s">
        <v>394</v>
      </c>
      <c r="K316" s="18" t="s">
        <v>293</v>
      </c>
      <c r="L316" s="18" t="s">
        <v>25</v>
      </c>
      <c r="N316" s="18" t="s">
        <v>26</v>
      </c>
    </row>
    <row r="317" spans="1:14" ht="15" customHeight="1" x14ac:dyDescent="0.3">
      <c r="A317" s="18" t="s">
        <v>764</v>
      </c>
      <c r="B317" s="19" t="s">
        <v>15</v>
      </c>
      <c r="C317" s="18" t="s">
        <v>210</v>
      </c>
      <c r="D317" s="18" t="s">
        <v>17</v>
      </c>
      <c r="E317" s="18" t="s">
        <v>74</v>
      </c>
      <c r="F317" s="18" t="s">
        <v>797</v>
      </c>
      <c r="G317" s="18" t="s">
        <v>381</v>
      </c>
      <c r="H317" s="18" t="s">
        <v>766</v>
      </c>
      <c r="I317" s="20" t="s">
        <v>798</v>
      </c>
      <c r="J317" s="18" t="s">
        <v>394</v>
      </c>
      <c r="K317" s="18" t="s">
        <v>293</v>
      </c>
      <c r="L317" s="18" t="s">
        <v>25</v>
      </c>
      <c r="N317" s="18" t="s">
        <v>26</v>
      </c>
    </row>
    <row r="318" spans="1:14" ht="15" customHeight="1" x14ac:dyDescent="0.3">
      <c r="A318" s="18" t="s">
        <v>764</v>
      </c>
      <c r="B318" s="19" t="s">
        <v>15</v>
      </c>
      <c r="C318" s="18" t="s">
        <v>210</v>
      </c>
      <c r="D318" s="18" t="s">
        <v>17</v>
      </c>
      <c r="E318" s="18" t="s">
        <v>74</v>
      </c>
      <c r="F318" s="18" t="s">
        <v>799</v>
      </c>
      <c r="G318" s="18" t="s">
        <v>381</v>
      </c>
      <c r="H318" s="18" t="s">
        <v>766</v>
      </c>
      <c r="I318" s="20" t="s">
        <v>800</v>
      </c>
      <c r="J318" s="18" t="s">
        <v>394</v>
      </c>
      <c r="K318" s="18" t="s">
        <v>293</v>
      </c>
      <c r="L318" s="18" t="s">
        <v>25</v>
      </c>
      <c r="N318" s="18" t="s">
        <v>26</v>
      </c>
    </row>
    <row r="319" spans="1:14" ht="15" customHeight="1" x14ac:dyDescent="0.3">
      <c r="A319" s="18" t="s">
        <v>764</v>
      </c>
      <c r="B319" s="19" t="s">
        <v>15</v>
      </c>
      <c r="C319" s="18" t="s">
        <v>210</v>
      </c>
      <c r="D319" s="18" t="s">
        <v>17</v>
      </c>
      <c r="E319" s="18" t="s">
        <v>74</v>
      </c>
      <c r="F319" s="18" t="s">
        <v>466</v>
      </c>
      <c r="G319" s="18" t="s">
        <v>381</v>
      </c>
      <c r="H319" s="18" t="s">
        <v>766</v>
      </c>
      <c r="I319" s="20" t="s">
        <v>801</v>
      </c>
      <c r="J319" s="18" t="s">
        <v>394</v>
      </c>
      <c r="K319" s="18" t="s">
        <v>293</v>
      </c>
      <c r="L319" s="18" t="s">
        <v>25</v>
      </c>
      <c r="N319" s="18" t="s">
        <v>26</v>
      </c>
    </row>
    <row r="320" spans="1:14" ht="15" customHeight="1" x14ac:dyDescent="0.3">
      <c r="A320" s="18" t="s">
        <v>764</v>
      </c>
      <c r="B320" s="19" t="s">
        <v>15</v>
      </c>
      <c r="C320" s="18" t="s">
        <v>210</v>
      </c>
      <c r="D320" s="18" t="s">
        <v>17</v>
      </c>
      <c r="E320" s="18" t="s">
        <v>74</v>
      </c>
      <c r="F320" s="18" t="s">
        <v>802</v>
      </c>
      <c r="G320" s="18" t="s">
        <v>41</v>
      </c>
      <c r="H320" s="18" t="s">
        <v>766</v>
      </c>
      <c r="I320" s="20" t="s">
        <v>803</v>
      </c>
      <c r="J320" s="18" t="s">
        <v>394</v>
      </c>
      <c r="K320" s="18" t="s">
        <v>293</v>
      </c>
      <c r="L320" s="18" t="s">
        <v>25</v>
      </c>
      <c r="N320" s="18" t="s">
        <v>26</v>
      </c>
    </row>
    <row r="321" spans="1:14" ht="15" customHeight="1" x14ac:dyDescent="0.3">
      <c r="A321" s="18" t="s">
        <v>764</v>
      </c>
      <c r="B321" s="19" t="s">
        <v>15</v>
      </c>
      <c r="C321" s="18" t="s">
        <v>804</v>
      </c>
      <c r="D321" s="18" t="s">
        <v>17</v>
      </c>
      <c r="E321" s="18" t="s">
        <v>74</v>
      </c>
      <c r="F321" s="18" t="s">
        <v>805</v>
      </c>
      <c r="G321" s="18" t="s">
        <v>433</v>
      </c>
      <c r="H321" s="18" t="s">
        <v>766</v>
      </c>
      <c r="I321" s="20" t="s">
        <v>806</v>
      </c>
      <c r="J321" s="18" t="s">
        <v>199</v>
      </c>
      <c r="K321" s="18" t="s">
        <v>293</v>
      </c>
      <c r="L321" s="18" t="s">
        <v>25</v>
      </c>
      <c r="N321" s="18" t="s">
        <v>807</v>
      </c>
    </row>
    <row r="322" spans="1:14" ht="15" customHeight="1" x14ac:dyDescent="0.3">
      <c r="A322" s="18" t="s">
        <v>764</v>
      </c>
      <c r="B322" s="19" t="s">
        <v>15</v>
      </c>
      <c r="C322" s="18" t="s">
        <v>210</v>
      </c>
      <c r="D322" s="18" t="s">
        <v>17</v>
      </c>
      <c r="E322" s="18" t="s">
        <v>74</v>
      </c>
      <c r="F322" s="18" t="s">
        <v>808</v>
      </c>
      <c r="G322" s="18" t="s">
        <v>44</v>
      </c>
      <c r="H322" s="18" t="s">
        <v>766</v>
      </c>
      <c r="I322" s="20" t="s">
        <v>809</v>
      </c>
      <c r="J322" s="18" t="s">
        <v>394</v>
      </c>
      <c r="K322" s="18" t="s">
        <v>293</v>
      </c>
      <c r="L322" s="18" t="s">
        <v>25</v>
      </c>
      <c r="N322" s="18" t="s">
        <v>26</v>
      </c>
    </row>
    <row r="323" spans="1:14" ht="15" customHeight="1" x14ac:dyDescent="0.3">
      <c r="A323" s="18" t="s">
        <v>764</v>
      </c>
      <c r="B323" s="19" t="s">
        <v>15</v>
      </c>
      <c r="C323" s="18" t="s">
        <v>210</v>
      </c>
      <c r="D323" s="18" t="s">
        <v>17</v>
      </c>
      <c r="E323" s="18" t="s">
        <v>74</v>
      </c>
      <c r="F323" s="18" t="s">
        <v>810</v>
      </c>
      <c r="G323" s="18" t="s">
        <v>20</v>
      </c>
      <c r="H323" s="18" t="s">
        <v>766</v>
      </c>
      <c r="I323" s="20" t="s">
        <v>811</v>
      </c>
      <c r="J323" s="18" t="s">
        <v>394</v>
      </c>
      <c r="K323" s="18" t="s">
        <v>293</v>
      </c>
      <c r="L323" s="18" t="s">
        <v>25</v>
      </c>
      <c r="N323" s="18" t="s">
        <v>26</v>
      </c>
    </row>
    <row r="324" spans="1:14" ht="15" customHeight="1" x14ac:dyDescent="0.3">
      <c r="A324" s="18" t="s">
        <v>764</v>
      </c>
      <c r="B324" s="19" t="s">
        <v>15</v>
      </c>
      <c r="C324" s="18" t="s">
        <v>210</v>
      </c>
      <c r="D324" s="18" t="s">
        <v>17</v>
      </c>
      <c r="E324" s="18" t="s">
        <v>74</v>
      </c>
      <c r="F324" s="18" t="s">
        <v>812</v>
      </c>
      <c r="G324" s="18" t="s">
        <v>20</v>
      </c>
      <c r="H324" s="18" t="s">
        <v>766</v>
      </c>
      <c r="I324" s="20" t="s">
        <v>813</v>
      </c>
      <c r="J324" s="18" t="s">
        <v>394</v>
      </c>
      <c r="K324" s="18" t="s">
        <v>293</v>
      </c>
      <c r="L324" s="18" t="s">
        <v>25</v>
      </c>
      <c r="N324" s="18" t="s">
        <v>26</v>
      </c>
    </row>
    <row r="325" spans="1:14" ht="15" customHeight="1" x14ac:dyDescent="0.3">
      <c r="A325" s="18" t="s">
        <v>764</v>
      </c>
      <c r="B325" s="19" t="s">
        <v>15</v>
      </c>
      <c r="C325" s="18" t="s">
        <v>210</v>
      </c>
      <c r="D325" s="18" t="s">
        <v>17</v>
      </c>
      <c r="E325" s="18" t="s">
        <v>74</v>
      </c>
      <c r="F325" s="18" t="s">
        <v>814</v>
      </c>
      <c r="G325" s="18" t="s">
        <v>433</v>
      </c>
      <c r="H325" s="18" t="s">
        <v>766</v>
      </c>
      <c r="I325" s="20" t="s">
        <v>815</v>
      </c>
      <c r="J325" s="18" t="s">
        <v>394</v>
      </c>
      <c r="K325" s="18" t="s">
        <v>293</v>
      </c>
      <c r="L325" s="18" t="s">
        <v>25</v>
      </c>
      <c r="N325" s="18" t="s">
        <v>26</v>
      </c>
    </row>
    <row r="326" spans="1:14" ht="15" customHeight="1" x14ac:dyDescent="0.3">
      <c r="A326" s="18" t="s">
        <v>764</v>
      </c>
      <c r="B326" s="19" t="s">
        <v>15</v>
      </c>
      <c r="C326" s="18" t="s">
        <v>816</v>
      </c>
      <c r="D326" s="18" t="s">
        <v>17</v>
      </c>
      <c r="E326" s="18" t="s">
        <v>74</v>
      </c>
      <c r="F326" s="18" t="s">
        <v>817</v>
      </c>
      <c r="G326" s="18" t="s">
        <v>381</v>
      </c>
      <c r="H326" s="18" t="s">
        <v>818</v>
      </c>
      <c r="I326" s="20" t="s">
        <v>819</v>
      </c>
      <c r="J326" s="18" t="s">
        <v>394</v>
      </c>
      <c r="K326" s="18" t="s">
        <v>293</v>
      </c>
      <c r="L326" s="18" t="s">
        <v>25</v>
      </c>
      <c r="N326" s="18" t="s">
        <v>820</v>
      </c>
    </row>
    <row r="327" spans="1:14" ht="15" customHeight="1" x14ac:dyDescent="0.3">
      <c r="A327" s="18" t="s">
        <v>764</v>
      </c>
      <c r="B327" s="19" t="s">
        <v>15</v>
      </c>
      <c r="C327" s="18" t="s">
        <v>210</v>
      </c>
      <c r="D327" s="18" t="s">
        <v>17</v>
      </c>
      <c r="E327" s="18" t="s">
        <v>74</v>
      </c>
      <c r="F327" s="18" t="s">
        <v>821</v>
      </c>
      <c r="G327" s="18" t="s">
        <v>381</v>
      </c>
      <c r="H327" s="18" t="s">
        <v>766</v>
      </c>
      <c r="I327" s="20" t="s">
        <v>822</v>
      </c>
      <c r="J327" s="18" t="s">
        <v>394</v>
      </c>
      <c r="K327" s="18" t="s">
        <v>293</v>
      </c>
      <c r="L327" s="18" t="s">
        <v>25</v>
      </c>
      <c r="N327" s="18" t="s">
        <v>26</v>
      </c>
    </row>
    <row r="328" spans="1:14" ht="15" customHeight="1" x14ac:dyDescent="0.3">
      <c r="A328" s="18" t="s">
        <v>764</v>
      </c>
      <c r="B328" s="19" t="s">
        <v>15</v>
      </c>
      <c r="C328" s="18" t="s">
        <v>210</v>
      </c>
      <c r="D328" s="18" t="s">
        <v>17</v>
      </c>
      <c r="E328" s="18" t="s">
        <v>74</v>
      </c>
      <c r="F328" s="18" t="s">
        <v>823</v>
      </c>
      <c r="G328" s="18" t="s">
        <v>429</v>
      </c>
      <c r="H328" s="18" t="s">
        <v>766</v>
      </c>
      <c r="I328" s="20" t="s">
        <v>824</v>
      </c>
      <c r="J328" s="18" t="s">
        <v>394</v>
      </c>
      <c r="K328" s="18" t="s">
        <v>293</v>
      </c>
      <c r="L328" s="18" t="s">
        <v>25</v>
      </c>
      <c r="N328" s="18" t="s">
        <v>26</v>
      </c>
    </row>
    <row r="329" spans="1:14" ht="15" customHeight="1" x14ac:dyDescent="0.3">
      <c r="A329" s="18" t="s">
        <v>764</v>
      </c>
      <c r="B329" s="19" t="s">
        <v>15</v>
      </c>
      <c r="C329" s="18" t="s">
        <v>804</v>
      </c>
      <c r="D329" s="18" t="s">
        <v>17</v>
      </c>
      <c r="E329" s="18" t="s">
        <v>74</v>
      </c>
      <c r="F329" s="18" t="s">
        <v>825</v>
      </c>
      <c r="G329" s="18" t="s">
        <v>826</v>
      </c>
      <c r="H329" s="18" t="s">
        <v>766</v>
      </c>
      <c r="I329" s="20" t="s">
        <v>827</v>
      </c>
      <c r="J329" s="18" t="s">
        <v>199</v>
      </c>
      <c r="K329" s="18" t="s">
        <v>293</v>
      </c>
      <c r="L329" s="18" t="s">
        <v>25</v>
      </c>
      <c r="N329" s="18" t="s">
        <v>807</v>
      </c>
    </row>
    <row r="330" spans="1:14" ht="15" customHeight="1" x14ac:dyDescent="0.3">
      <c r="A330" s="18" t="s">
        <v>828</v>
      </c>
      <c r="B330" s="19" t="s">
        <v>15</v>
      </c>
      <c r="C330" s="18" t="s">
        <v>149</v>
      </c>
      <c r="D330" s="18" t="s">
        <v>17</v>
      </c>
      <c r="E330" s="18" t="s">
        <v>74</v>
      </c>
      <c r="F330" s="18" t="s">
        <v>829</v>
      </c>
      <c r="G330" s="18" t="s">
        <v>433</v>
      </c>
      <c r="H330" s="18" t="s">
        <v>830</v>
      </c>
      <c r="I330" s="20" t="s">
        <v>831</v>
      </c>
      <c r="J330" s="18" t="s">
        <v>832</v>
      </c>
      <c r="K330" s="18" t="s">
        <v>24</v>
      </c>
      <c r="L330" s="18" t="s">
        <v>25</v>
      </c>
      <c r="N330" s="18" t="s">
        <v>154</v>
      </c>
    </row>
    <row r="331" spans="1:14" ht="15" customHeight="1" x14ac:dyDescent="0.3">
      <c r="A331" s="18" t="s">
        <v>828</v>
      </c>
      <c r="B331" s="19" t="s">
        <v>15</v>
      </c>
      <c r="C331" s="18" t="s">
        <v>149</v>
      </c>
      <c r="D331" s="18" t="s">
        <v>17</v>
      </c>
      <c r="E331" s="18" t="s">
        <v>74</v>
      </c>
      <c r="F331" s="18" t="s">
        <v>833</v>
      </c>
      <c r="G331" s="18" t="s">
        <v>429</v>
      </c>
      <c r="H331" s="18" t="s">
        <v>830</v>
      </c>
      <c r="I331" s="20" t="s">
        <v>834</v>
      </c>
      <c r="J331" s="18" t="s">
        <v>832</v>
      </c>
      <c r="K331" s="18" t="s">
        <v>24</v>
      </c>
      <c r="L331" s="18" t="s">
        <v>25</v>
      </c>
      <c r="N331" s="18" t="s">
        <v>154</v>
      </c>
    </row>
    <row r="332" spans="1:14" ht="15" customHeight="1" x14ac:dyDescent="0.3">
      <c r="A332" s="18" t="s">
        <v>828</v>
      </c>
      <c r="B332" s="19" t="s">
        <v>15</v>
      </c>
      <c r="C332" s="18" t="s">
        <v>149</v>
      </c>
      <c r="D332" s="18" t="s">
        <v>17</v>
      </c>
      <c r="E332" s="18" t="s">
        <v>74</v>
      </c>
      <c r="F332" s="18" t="s">
        <v>835</v>
      </c>
      <c r="G332" s="18" t="s">
        <v>606</v>
      </c>
      <c r="H332" s="18" t="s">
        <v>830</v>
      </c>
      <c r="I332" s="20" t="s">
        <v>836</v>
      </c>
      <c r="J332" s="18" t="s">
        <v>832</v>
      </c>
      <c r="K332" s="18" t="s">
        <v>24</v>
      </c>
      <c r="L332" s="18" t="s">
        <v>25</v>
      </c>
      <c r="N332" s="18" t="s">
        <v>154</v>
      </c>
    </row>
    <row r="333" spans="1:14" ht="15" customHeight="1" x14ac:dyDescent="0.3">
      <c r="A333" s="18" t="s">
        <v>828</v>
      </c>
      <c r="B333" s="19" t="s">
        <v>15</v>
      </c>
      <c r="C333" s="18" t="s">
        <v>149</v>
      </c>
      <c r="D333" s="18" t="s">
        <v>17</v>
      </c>
      <c r="E333" s="18" t="s">
        <v>74</v>
      </c>
      <c r="F333" s="18" t="s">
        <v>837</v>
      </c>
      <c r="G333" s="18" t="s">
        <v>429</v>
      </c>
      <c r="H333" s="18" t="s">
        <v>830</v>
      </c>
      <c r="I333" s="20" t="s">
        <v>838</v>
      </c>
      <c r="J333" s="18" t="s">
        <v>832</v>
      </c>
      <c r="K333" s="18" t="s">
        <v>24</v>
      </c>
      <c r="L333" s="18" t="s">
        <v>25</v>
      </c>
      <c r="N333" s="18" t="s">
        <v>154</v>
      </c>
    </row>
    <row r="334" spans="1:14" ht="15" customHeight="1" x14ac:dyDescent="0.3">
      <c r="A334" s="18" t="s">
        <v>828</v>
      </c>
      <c r="B334" s="19" t="s">
        <v>15</v>
      </c>
      <c r="C334" s="18" t="s">
        <v>149</v>
      </c>
      <c r="D334" s="18" t="s">
        <v>17</v>
      </c>
      <c r="E334" s="18" t="s">
        <v>74</v>
      </c>
      <c r="F334" s="18" t="s">
        <v>839</v>
      </c>
      <c r="G334" s="18" t="s">
        <v>88</v>
      </c>
      <c r="H334" s="18" t="s">
        <v>830</v>
      </c>
      <c r="I334" s="20" t="s">
        <v>840</v>
      </c>
      <c r="J334" s="18" t="s">
        <v>832</v>
      </c>
      <c r="K334" s="18" t="s">
        <v>24</v>
      </c>
      <c r="L334" s="18" t="s">
        <v>25</v>
      </c>
      <c r="N334" s="18" t="s">
        <v>154</v>
      </c>
    </row>
    <row r="335" spans="1:14" ht="15" customHeight="1" x14ac:dyDescent="0.3">
      <c r="A335" s="18" t="s">
        <v>828</v>
      </c>
      <c r="B335" s="19" t="s">
        <v>15</v>
      </c>
      <c r="C335" s="18" t="s">
        <v>149</v>
      </c>
      <c r="D335" s="18" t="s">
        <v>17</v>
      </c>
      <c r="E335" s="18" t="s">
        <v>74</v>
      </c>
      <c r="F335" s="18" t="s">
        <v>841</v>
      </c>
      <c r="G335" s="18" t="s">
        <v>80</v>
      </c>
      <c r="H335" s="18" t="s">
        <v>830</v>
      </c>
      <c r="I335" s="20" t="s">
        <v>842</v>
      </c>
      <c r="J335" s="18" t="s">
        <v>832</v>
      </c>
      <c r="K335" s="18" t="s">
        <v>293</v>
      </c>
      <c r="L335" s="18" t="s">
        <v>25</v>
      </c>
      <c r="N335" s="18" t="s">
        <v>154</v>
      </c>
    </row>
    <row r="336" spans="1:14" ht="15" customHeight="1" x14ac:dyDescent="0.3">
      <c r="A336" s="18" t="s">
        <v>828</v>
      </c>
      <c r="B336" s="19" t="s">
        <v>15</v>
      </c>
      <c r="C336" s="18" t="s">
        <v>149</v>
      </c>
      <c r="D336" s="18" t="s">
        <v>17</v>
      </c>
      <c r="E336" s="18" t="s">
        <v>74</v>
      </c>
      <c r="F336" s="18" t="s">
        <v>843</v>
      </c>
      <c r="G336" s="18" t="s">
        <v>80</v>
      </c>
      <c r="H336" s="18" t="s">
        <v>830</v>
      </c>
      <c r="I336" s="20" t="s">
        <v>844</v>
      </c>
      <c r="J336" s="18" t="s">
        <v>832</v>
      </c>
      <c r="K336" s="18" t="s">
        <v>293</v>
      </c>
      <c r="L336" s="18" t="s">
        <v>25</v>
      </c>
      <c r="N336" s="18" t="s">
        <v>154</v>
      </c>
    </row>
    <row r="337" spans="1:14" ht="15" customHeight="1" x14ac:dyDescent="0.3">
      <c r="A337" s="18" t="s">
        <v>828</v>
      </c>
      <c r="B337" s="19" t="s">
        <v>15</v>
      </c>
      <c r="C337" s="18" t="s">
        <v>149</v>
      </c>
      <c r="D337" s="18" t="s">
        <v>17</v>
      </c>
      <c r="E337" s="18" t="s">
        <v>74</v>
      </c>
      <c r="F337" s="18" t="s">
        <v>845</v>
      </c>
      <c r="G337" s="18" t="s">
        <v>429</v>
      </c>
      <c r="H337" s="18" t="s">
        <v>830</v>
      </c>
      <c r="I337" s="20" t="s">
        <v>846</v>
      </c>
      <c r="J337" s="18" t="s">
        <v>832</v>
      </c>
      <c r="K337" s="18" t="s">
        <v>24</v>
      </c>
      <c r="L337" s="18" t="s">
        <v>25</v>
      </c>
      <c r="N337" s="18" t="s">
        <v>154</v>
      </c>
    </row>
    <row r="338" spans="1:14" ht="15" customHeight="1" x14ac:dyDescent="0.3">
      <c r="A338" s="18" t="s">
        <v>828</v>
      </c>
      <c r="B338" s="19" t="s">
        <v>15</v>
      </c>
      <c r="C338" s="18" t="s">
        <v>149</v>
      </c>
      <c r="D338" s="18" t="s">
        <v>17</v>
      </c>
      <c r="E338" s="18" t="s">
        <v>74</v>
      </c>
      <c r="F338" s="18" t="s">
        <v>847</v>
      </c>
      <c r="G338" s="18" t="s">
        <v>80</v>
      </c>
      <c r="H338" s="18" t="s">
        <v>830</v>
      </c>
      <c r="I338" s="20" t="s">
        <v>848</v>
      </c>
      <c r="J338" s="18" t="s">
        <v>832</v>
      </c>
      <c r="K338" s="18" t="s">
        <v>24</v>
      </c>
      <c r="L338" s="18" t="s">
        <v>25</v>
      </c>
      <c r="N338" s="18" t="s">
        <v>154</v>
      </c>
    </row>
    <row r="339" spans="1:14" ht="15" customHeight="1" x14ac:dyDescent="0.3">
      <c r="A339" s="18" t="s">
        <v>828</v>
      </c>
      <c r="B339" s="19" t="s">
        <v>15</v>
      </c>
      <c r="C339" s="18" t="s">
        <v>149</v>
      </c>
      <c r="D339" s="18" t="s">
        <v>17</v>
      </c>
      <c r="E339" s="18" t="s">
        <v>74</v>
      </c>
      <c r="F339" s="18" t="s">
        <v>849</v>
      </c>
      <c r="G339" s="18" t="s">
        <v>80</v>
      </c>
      <c r="H339" s="18" t="s">
        <v>830</v>
      </c>
      <c r="I339" s="20" t="s">
        <v>850</v>
      </c>
      <c r="J339" s="18" t="s">
        <v>832</v>
      </c>
      <c r="K339" s="18" t="s">
        <v>293</v>
      </c>
      <c r="L339" s="18" t="s">
        <v>25</v>
      </c>
      <c r="N339" s="18" t="s">
        <v>154</v>
      </c>
    </row>
    <row r="340" spans="1:14" ht="15" customHeight="1" x14ac:dyDescent="0.3">
      <c r="A340" s="18" t="s">
        <v>828</v>
      </c>
      <c r="B340" s="19" t="s">
        <v>15</v>
      </c>
      <c r="C340" s="18" t="s">
        <v>149</v>
      </c>
      <c r="D340" s="18" t="s">
        <v>17</v>
      </c>
      <c r="E340" s="18" t="s">
        <v>74</v>
      </c>
      <c r="F340" s="18" t="s">
        <v>851</v>
      </c>
      <c r="G340" s="18" t="s">
        <v>429</v>
      </c>
      <c r="H340" s="18" t="s">
        <v>830</v>
      </c>
      <c r="I340" s="20" t="s">
        <v>852</v>
      </c>
      <c r="J340" s="18" t="s">
        <v>832</v>
      </c>
      <c r="K340" s="18" t="s">
        <v>24</v>
      </c>
      <c r="L340" s="18" t="s">
        <v>25</v>
      </c>
      <c r="N340" s="18" t="s">
        <v>154</v>
      </c>
    </row>
    <row r="341" spans="1:14" ht="15" customHeight="1" x14ac:dyDescent="0.3">
      <c r="A341" s="18" t="s">
        <v>828</v>
      </c>
      <c r="B341" s="19" t="s">
        <v>15</v>
      </c>
      <c r="C341" s="18" t="s">
        <v>149</v>
      </c>
      <c r="D341" s="18" t="s">
        <v>17</v>
      </c>
      <c r="E341" s="18" t="s">
        <v>74</v>
      </c>
      <c r="F341" s="18" t="s">
        <v>853</v>
      </c>
      <c r="G341" s="18" t="s">
        <v>429</v>
      </c>
      <c r="H341" s="18" t="s">
        <v>830</v>
      </c>
      <c r="I341" s="20" t="s">
        <v>854</v>
      </c>
      <c r="J341" s="18" t="s">
        <v>832</v>
      </c>
      <c r="K341" s="18" t="s">
        <v>24</v>
      </c>
      <c r="L341" s="18" t="s">
        <v>25</v>
      </c>
      <c r="N341" s="18" t="s">
        <v>154</v>
      </c>
    </row>
    <row r="342" spans="1:14" ht="15" customHeight="1" x14ac:dyDescent="0.3">
      <c r="A342" s="18" t="s">
        <v>828</v>
      </c>
      <c r="B342" s="19" t="s">
        <v>15</v>
      </c>
      <c r="C342" s="18" t="s">
        <v>149</v>
      </c>
      <c r="D342" s="18" t="s">
        <v>17</v>
      </c>
      <c r="E342" s="18" t="s">
        <v>74</v>
      </c>
      <c r="F342" s="18" t="s">
        <v>855</v>
      </c>
      <c r="G342" s="18" t="s">
        <v>433</v>
      </c>
      <c r="H342" s="18" t="s">
        <v>830</v>
      </c>
      <c r="I342" s="20" t="s">
        <v>856</v>
      </c>
      <c r="J342" s="18" t="s">
        <v>832</v>
      </c>
      <c r="K342" s="18" t="s">
        <v>91</v>
      </c>
      <c r="L342" s="18" t="s">
        <v>25</v>
      </c>
      <c r="N342" s="18" t="s">
        <v>154</v>
      </c>
    </row>
    <row r="343" spans="1:14" ht="15" customHeight="1" x14ac:dyDescent="0.3">
      <c r="A343" s="18" t="s">
        <v>828</v>
      </c>
      <c r="B343" s="19" t="s">
        <v>15</v>
      </c>
      <c r="C343" s="18" t="s">
        <v>149</v>
      </c>
      <c r="D343" s="18" t="s">
        <v>17</v>
      </c>
      <c r="E343" s="18" t="s">
        <v>74</v>
      </c>
      <c r="F343" s="18" t="s">
        <v>857</v>
      </c>
      <c r="G343" s="18" t="s">
        <v>606</v>
      </c>
      <c r="H343" s="18" t="s">
        <v>830</v>
      </c>
      <c r="I343" s="20" t="s">
        <v>858</v>
      </c>
      <c r="J343" s="18" t="s">
        <v>832</v>
      </c>
      <c r="K343" s="18" t="s">
        <v>24</v>
      </c>
      <c r="L343" s="18" t="s">
        <v>25</v>
      </c>
      <c r="N343" s="18" t="s">
        <v>154</v>
      </c>
    </row>
    <row r="344" spans="1:14" ht="15" customHeight="1" x14ac:dyDescent="0.3">
      <c r="A344" s="18" t="s">
        <v>828</v>
      </c>
      <c r="B344" s="19" t="s">
        <v>15</v>
      </c>
      <c r="C344" s="18" t="s">
        <v>149</v>
      </c>
      <c r="D344" s="18" t="s">
        <v>17</v>
      </c>
      <c r="E344" s="18" t="s">
        <v>74</v>
      </c>
      <c r="F344" s="18" t="s">
        <v>859</v>
      </c>
      <c r="G344" s="18" t="s">
        <v>429</v>
      </c>
      <c r="H344" s="18" t="s">
        <v>830</v>
      </c>
      <c r="I344" s="20" t="s">
        <v>860</v>
      </c>
      <c r="J344" s="18" t="s">
        <v>832</v>
      </c>
      <c r="K344" s="18" t="s">
        <v>24</v>
      </c>
      <c r="L344" s="18" t="s">
        <v>25</v>
      </c>
      <c r="N344" s="18" t="s">
        <v>154</v>
      </c>
    </row>
    <row r="345" spans="1:14" ht="15" customHeight="1" x14ac:dyDescent="0.3">
      <c r="A345" s="18" t="s">
        <v>828</v>
      </c>
      <c r="B345" s="19" t="s">
        <v>15</v>
      </c>
      <c r="C345" s="18" t="s">
        <v>149</v>
      </c>
      <c r="D345" s="18" t="s">
        <v>17</v>
      </c>
      <c r="E345" s="18" t="s">
        <v>74</v>
      </c>
      <c r="F345" s="18" t="s">
        <v>861</v>
      </c>
      <c r="G345" s="18" t="s">
        <v>20</v>
      </c>
      <c r="H345" s="18" t="s">
        <v>830</v>
      </c>
      <c r="I345" s="20" t="s">
        <v>862</v>
      </c>
      <c r="J345" s="18" t="s">
        <v>832</v>
      </c>
      <c r="K345" s="18" t="s">
        <v>24</v>
      </c>
      <c r="L345" s="18" t="s">
        <v>25</v>
      </c>
      <c r="N345" s="18" t="s">
        <v>154</v>
      </c>
    </row>
    <row r="346" spans="1:14" ht="15" customHeight="1" x14ac:dyDescent="0.3">
      <c r="A346" s="18" t="s">
        <v>828</v>
      </c>
      <c r="B346" s="19" t="s">
        <v>15</v>
      </c>
      <c r="C346" s="18" t="s">
        <v>149</v>
      </c>
      <c r="D346" s="18" t="s">
        <v>17</v>
      </c>
      <c r="E346" s="18" t="s">
        <v>74</v>
      </c>
      <c r="F346" s="18" t="s">
        <v>863</v>
      </c>
      <c r="G346" s="18" t="s">
        <v>20</v>
      </c>
      <c r="H346" s="18" t="s">
        <v>830</v>
      </c>
      <c r="I346" s="20" t="s">
        <v>864</v>
      </c>
      <c r="J346" s="18" t="s">
        <v>832</v>
      </c>
      <c r="K346" s="18" t="s">
        <v>24</v>
      </c>
      <c r="L346" s="18" t="s">
        <v>25</v>
      </c>
      <c r="N346" s="18" t="s">
        <v>154</v>
      </c>
    </row>
    <row r="347" spans="1:14" ht="15" customHeight="1" x14ac:dyDescent="0.3">
      <c r="A347" s="18" t="s">
        <v>865</v>
      </c>
      <c r="B347" s="19" t="s">
        <v>15</v>
      </c>
      <c r="C347" s="18" t="s">
        <v>149</v>
      </c>
      <c r="D347" s="18" t="s">
        <v>17</v>
      </c>
      <c r="E347" s="18" t="s">
        <v>117</v>
      </c>
      <c r="F347" s="18" t="s">
        <v>351</v>
      </c>
      <c r="G347" s="18" t="s">
        <v>273</v>
      </c>
      <c r="H347" s="18" t="s">
        <v>865</v>
      </c>
      <c r="I347" s="20" t="s">
        <v>866</v>
      </c>
      <c r="J347" s="18" t="s">
        <v>58</v>
      </c>
      <c r="K347" s="18" t="s">
        <v>24</v>
      </c>
      <c r="L347" s="18" t="s">
        <v>25</v>
      </c>
      <c r="N347" s="18" t="s">
        <v>154</v>
      </c>
    </row>
    <row r="348" spans="1:14" ht="15" customHeight="1" x14ac:dyDescent="0.3">
      <c r="A348" s="18" t="s">
        <v>865</v>
      </c>
      <c r="B348" s="19" t="s">
        <v>15</v>
      </c>
      <c r="C348" s="18" t="s">
        <v>149</v>
      </c>
      <c r="D348" s="18" t="s">
        <v>17</v>
      </c>
      <c r="E348" s="18" t="s">
        <v>117</v>
      </c>
      <c r="F348" s="18" t="s">
        <v>477</v>
      </c>
      <c r="G348" s="18" t="s">
        <v>263</v>
      </c>
      <c r="H348" s="18" t="s">
        <v>865</v>
      </c>
      <c r="I348" s="20" t="s">
        <v>867</v>
      </c>
      <c r="J348" s="18" t="s">
        <v>58</v>
      </c>
      <c r="K348" s="18" t="s">
        <v>24</v>
      </c>
      <c r="L348" s="18" t="s">
        <v>25</v>
      </c>
      <c r="N348" s="18" t="s">
        <v>154</v>
      </c>
    </row>
    <row r="349" spans="1:14" ht="15" customHeight="1" x14ac:dyDescent="0.3">
      <c r="A349" s="18" t="s">
        <v>865</v>
      </c>
      <c r="B349" s="19" t="s">
        <v>15</v>
      </c>
      <c r="C349" s="18" t="s">
        <v>149</v>
      </c>
      <c r="D349" s="18" t="s">
        <v>17</v>
      </c>
      <c r="E349" s="18" t="s">
        <v>117</v>
      </c>
      <c r="F349" s="18" t="s">
        <v>868</v>
      </c>
      <c r="G349" s="18" t="s">
        <v>270</v>
      </c>
      <c r="H349" s="18" t="s">
        <v>865</v>
      </c>
      <c r="I349" s="20" t="s">
        <v>869</v>
      </c>
      <c r="J349" s="18" t="s">
        <v>58</v>
      </c>
      <c r="K349" s="18" t="s">
        <v>24</v>
      </c>
      <c r="L349" s="18" t="s">
        <v>25</v>
      </c>
      <c r="N349" s="18" t="s">
        <v>154</v>
      </c>
    </row>
    <row r="350" spans="1:14" ht="15" customHeight="1" x14ac:dyDescent="0.3">
      <c r="A350" s="18" t="s">
        <v>865</v>
      </c>
      <c r="B350" s="19" t="s">
        <v>15</v>
      </c>
      <c r="C350" s="18" t="s">
        <v>149</v>
      </c>
      <c r="D350" s="18" t="s">
        <v>17</v>
      </c>
      <c r="E350" s="18" t="s">
        <v>18</v>
      </c>
      <c r="F350" s="18" t="s">
        <v>381</v>
      </c>
      <c r="G350" s="18" t="s">
        <v>381</v>
      </c>
      <c r="H350" s="18" t="s">
        <v>865</v>
      </c>
      <c r="I350" s="20" t="s">
        <v>870</v>
      </c>
      <c r="J350" s="18" t="s">
        <v>23</v>
      </c>
      <c r="K350" s="18" t="s">
        <v>24</v>
      </c>
      <c r="L350" s="18" t="s">
        <v>25</v>
      </c>
      <c r="N350" s="18" t="s">
        <v>154</v>
      </c>
    </row>
    <row r="351" spans="1:14" ht="15" customHeight="1" x14ac:dyDescent="0.3">
      <c r="A351" s="18" t="s">
        <v>865</v>
      </c>
      <c r="B351" s="19" t="s">
        <v>15</v>
      </c>
      <c r="C351" s="18" t="s">
        <v>149</v>
      </c>
      <c r="D351" s="18" t="s">
        <v>17</v>
      </c>
      <c r="E351" s="18" t="s">
        <v>18</v>
      </c>
      <c r="F351" s="18" t="s">
        <v>580</v>
      </c>
      <c r="G351" s="18" t="s">
        <v>20</v>
      </c>
      <c r="H351" s="18" t="s">
        <v>865</v>
      </c>
      <c r="I351" s="20" t="s">
        <v>871</v>
      </c>
      <c r="J351" s="18" t="s">
        <v>23</v>
      </c>
      <c r="K351" s="18" t="s">
        <v>24</v>
      </c>
      <c r="L351" s="18" t="s">
        <v>25</v>
      </c>
      <c r="N351" s="18" t="s">
        <v>154</v>
      </c>
    </row>
    <row r="352" spans="1:14" ht="15" customHeight="1" x14ac:dyDescent="0.3">
      <c r="A352" s="18" t="s">
        <v>865</v>
      </c>
      <c r="B352" s="19" t="s">
        <v>15</v>
      </c>
      <c r="C352" s="18" t="s">
        <v>149</v>
      </c>
      <c r="D352" s="18" t="s">
        <v>17</v>
      </c>
      <c r="E352" s="18" t="s">
        <v>18</v>
      </c>
      <c r="F352" s="18" t="s">
        <v>872</v>
      </c>
      <c r="G352" s="18" t="s">
        <v>433</v>
      </c>
      <c r="H352" s="18" t="s">
        <v>865</v>
      </c>
      <c r="I352" s="20" t="s">
        <v>873</v>
      </c>
      <c r="J352" s="18" t="s">
        <v>30</v>
      </c>
      <c r="K352" s="18" t="s">
        <v>24</v>
      </c>
      <c r="L352" s="18" t="s">
        <v>25</v>
      </c>
      <c r="N352" s="18" t="s">
        <v>154</v>
      </c>
    </row>
    <row r="353" spans="1:14" ht="15" customHeight="1" x14ac:dyDescent="0.3">
      <c r="A353" s="18" t="s">
        <v>865</v>
      </c>
      <c r="B353" s="19" t="s">
        <v>15</v>
      </c>
      <c r="C353" s="18" t="s">
        <v>149</v>
      </c>
      <c r="D353" s="18" t="s">
        <v>17</v>
      </c>
      <c r="E353" s="18" t="s">
        <v>18</v>
      </c>
      <c r="F353" s="18" t="s">
        <v>874</v>
      </c>
      <c r="G353" s="18" t="s">
        <v>20</v>
      </c>
      <c r="H353" s="18" t="s">
        <v>865</v>
      </c>
      <c r="I353" s="20" t="s">
        <v>875</v>
      </c>
      <c r="J353" s="18" t="s">
        <v>23</v>
      </c>
      <c r="K353" s="18" t="s">
        <v>24</v>
      </c>
      <c r="L353" s="18" t="s">
        <v>25</v>
      </c>
      <c r="N353" s="18" t="s">
        <v>154</v>
      </c>
    </row>
    <row r="354" spans="1:14" ht="15" customHeight="1" x14ac:dyDescent="0.3">
      <c r="A354" s="18" t="s">
        <v>865</v>
      </c>
      <c r="B354" s="19" t="s">
        <v>15</v>
      </c>
      <c r="C354" s="18" t="s">
        <v>149</v>
      </c>
      <c r="D354" s="18" t="s">
        <v>17</v>
      </c>
      <c r="E354" s="18" t="s">
        <v>55</v>
      </c>
      <c r="F354" s="18" t="s">
        <v>483</v>
      </c>
      <c r="G354" s="18" t="s">
        <v>381</v>
      </c>
      <c r="H354" s="18" t="s">
        <v>865</v>
      </c>
      <c r="I354" s="20" t="s">
        <v>876</v>
      </c>
      <c r="J354" s="18" t="s">
        <v>73</v>
      </c>
      <c r="K354" s="18" t="s">
        <v>24</v>
      </c>
      <c r="L354" s="18" t="s">
        <v>25</v>
      </c>
      <c r="N354" s="18" t="s">
        <v>154</v>
      </c>
    </row>
    <row r="355" spans="1:14" ht="15" customHeight="1" x14ac:dyDescent="0.3">
      <c r="A355" s="18" t="s">
        <v>865</v>
      </c>
      <c r="B355" s="19" t="s">
        <v>15</v>
      </c>
      <c r="C355" s="18" t="s">
        <v>149</v>
      </c>
      <c r="D355" s="18" t="s">
        <v>17</v>
      </c>
      <c r="E355" s="18" t="s">
        <v>55</v>
      </c>
      <c r="F355" s="18" t="s">
        <v>726</v>
      </c>
      <c r="G355" s="18" t="s">
        <v>381</v>
      </c>
      <c r="H355" s="18" t="s">
        <v>865</v>
      </c>
      <c r="I355" s="20" t="s">
        <v>877</v>
      </c>
      <c r="J355" s="18" t="s">
        <v>73</v>
      </c>
      <c r="K355" s="18" t="s">
        <v>24</v>
      </c>
      <c r="L355" s="18" t="s">
        <v>25</v>
      </c>
      <c r="N355" s="18" t="s">
        <v>154</v>
      </c>
    </row>
    <row r="356" spans="1:14" ht="15" customHeight="1" x14ac:dyDescent="0.3">
      <c r="A356" s="18" t="s">
        <v>865</v>
      </c>
      <c r="B356" s="19" t="s">
        <v>15</v>
      </c>
      <c r="C356" s="18" t="s">
        <v>149</v>
      </c>
      <c r="D356" s="18" t="s">
        <v>17</v>
      </c>
      <c r="E356" s="18" t="s">
        <v>55</v>
      </c>
      <c r="F356" s="18" t="s">
        <v>383</v>
      </c>
      <c r="G356" s="18" t="s">
        <v>381</v>
      </c>
      <c r="H356" s="18" t="s">
        <v>865</v>
      </c>
      <c r="I356" s="20" t="s">
        <v>878</v>
      </c>
      <c r="J356" s="18" t="s">
        <v>73</v>
      </c>
      <c r="K356" s="18" t="s">
        <v>24</v>
      </c>
      <c r="L356" s="18" t="s">
        <v>25</v>
      </c>
      <c r="N356" s="18" t="s">
        <v>154</v>
      </c>
    </row>
    <row r="357" spans="1:14" ht="15" customHeight="1" x14ac:dyDescent="0.3">
      <c r="A357" s="18" t="s">
        <v>865</v>
      </c>
      <c r="B357" s="19" t="s">
        <v>15</v>
      </c>
      <c r="C357" s="18" t="s">
        <v>149</v>
      </c>
      <c r="D357" s="18" t="s">
        <v>17</v>
      </c>
      <c r="E357" s="18" t="s">
        <v>55</v>
      </c>
      <c r="F357" s="18" t="s">
        <v>488</v>
      </c>
      <c r="G357" s="18" t="s">
        <v>381</v>
      </c>
      <c r="H357" s="18" t="s">
        <v>865</v>
      </c>
      <c r="I357" s="20" t="s">
        <v>879</v>
      </c>
      <c r="J357" s="18" t="s">
        <v>73</v>
      </c>
      <c r="K357" s="18" t="s">
        <v>24</v>
      </c>
      <c r="L357" s="18" t="s">
        <v>25</v>
      </c>
      <c r="N357" s="18" t="s">
        <v>154</v>
      </c>
    </row>
    <row r="358" spans="1:14" ht="15" customHeight="1" x14ac:dyDescent="0.3">
      <c r="A358" s="18" t="s">
        <v>865</v>
      </c>
      <c r="B358" s="19" t="s">
        <v>15</v>
      </c>
      <c r="C358" s="18" t="s">
        <v>149</v>
      </c>
      <c r="D358" s="18" t="s">
        <v>17</v>
      </c>
      <c r="E358" s="18" t="s">
        <v>55</v>
      </c>
      <c r="F358" s="18" t="s">
        <v>880</v>
      </c>
      <c r="G358" s="18" t="s">
        <v>20</v>
      </c>
      <c r="H358" s="18" t="s">
        <v>881</v>
      </c>
      <c r="I358" s="20" t="s">
        <v>882</v>
      </c>
      <c r="J358" s="18" t="s">
        <v>73</v>
      </c>
      <c r="K358" s="18" t="s">
        <v>24</v>
      </c>
      <c r="L358" s="18" t="s">
        <v>25</v>
      </c>
      <c r="N358" s="18" t="s">
        <v>154</v>
      </c>
    </row>
    <row r="359" spans="1:14" ht="15" customHeight="1" x14ac:dyDescent="0.3">
      <c r="A359" s="18" t="s">
        <v>865</v>
      </c>
      <c r="B359" s="19" t="s">
        <v>15</v>
      </c>
      <c r="C359" s="18" t="s">
        <v>149</v>
      </c>
      <c r="D359" s="18" t="s">
        <v>17</v>
      </c>
      <c r="E359" s="18" t="s">
        <v>55</v>
      </c>
      <c r="F359" s="18" t="s">
        <v>883</v>
      </c>
      <c r="G359" s="18" t="s">
        <v>20</v>
      </c>
      <c r="H359" s="18" t="s">
        <v>865</v>
      </c>
      <c r="I359" s="20" t="s">
        <v>884</v>
      </c>
      <c r="J359" s="18" t="s">
        <v>73</v>
      </c>
      <c r="K359" s="18" t="s">
        <v>24</v>
      </c>
      <c r="L359" s="18" t="s">
        <v>25</v>
      </c>
      <c r="N359" s="18" t="s">
        <v>154</v>
      </c>
    </row>
    <row r="360" spans="1:14" ht="15" customHeight="1" x14ac:dyDescent="0.3">
      <c r="A360" s="18" t="s">
        <v>865</v>
      </c>
      <c r="B360" s="19" t="s">
        <v>15</v>
      </c>
      <c r="C360" s="18" t="s">
        <v>149</v>
      </c>
      <c r="D360" s="18" t="s">
        <v>17</v>
      </c>
      <c r="E360" s="18" t="s">
        <v>55</v>
      </c>
      <c r="F360" s="18" t="s">
        <v>885</v>
      </c>
      <c r="G360" s="18" t="s">
        <v>41</v>
      </c>
      <c r="H360" s="18" t="s">
        <v>865</v>
      </c>
      <c r="I360" s="20" t="s">
        <v>886</v>
      </c>
      <c r="J360" s="18" t="s">
        <v>73</v>
      </c>
      <c r="K360" s="18" t="s">
        <v>24</v>
      </c>
      <c r="L360" s="18" t="s">
        <v>25</v>
      </c>
      <c r="N360" s="18" t="s">
        <v>154</v>
      </c>
    </row>
    <row r="361" spans="1:14" ht="15" customHeight="1" x14ac:dyDescent="0.3">
      <c r="A361" s="18" t="s">
        <v>865</v>
      </c>
      <c r="B361" s="19" t="s">
        <v>15</v>
      </c>
      <c r="C361" s="18" t="s">
        <v>149</v>
      </c>
      <c r="D361" s="18" t="s">
        <v>17</v>
      </c>
      <c r="E361" s="18" t="s">
        <v>74</v>
      </c>
      <c r="F361" s="18" t="s">
        <v>887</v>
      </c>
      <c r="G361" s="18" t="s">
        <v>381</v>
      </c>
      <c r="H361" s="18" t="s">
        <v>865</v>
      </c>
      <c r="I361" s="20" t="s">
        <v>888</v>
      </c>
      <c r="J361" s="18" t="s">
        <v>889</v>
      </c>
      <c r="K361" s="18" t="s">
        <v>24</v>
      </c>
      <c r="L361" s="18" t="s">
        <v>25</v>
      </c>
      <c r="N361" s="18" t="s">
        <v>154</v>
      </c>
    </row>
    <row r="362" spans="1:14" ht="15" customHeight="1" x14ac:dyDescent="0.3">
      <c r="A362" s="18" t="s">
        <v>865</v>
      </c>
      <c r="B362" s="19" t="s">
        <v>15</v>
      </c>
      <c r="C362" s="18" t="s">
        <v>149</v>
      </c>
      <c r="D362" s="18" t="s">
        <v>17</v>
      </c>
      <c r="E362" s="18" t="s">
        <v>74</v>
      </c>
      <c r="F362" s="18" t="s">
        <v>890</v>
      </c>
      <c r="G362" s="18" t="s">
        <v>41</v>
      </c>
      <c r="H362" s="18" t="s">
        <v>865</v>
      </c>
      <c r="I362" s="20" t="s">
        <v>891</v>
      </c>
      <c r="J362" s="18" t="s">
        <v>394</v>
      </c>
      <c r="K362" s="18" t="s">
        <v>24</v>
      </c>
      <c r="L362" s="18" t="s">
        <v>25</v>
      </c>
      <c r="N362" s="18" t="s">
        <v>154</v>
      </c>
    </row>
    <row r="363" spans="1:14" ht="15" customHeight="1" x14ac:dyDescent="0.3">
      <c r="A363" s="18" t="s">
        <v>865</v>
      </c>
      <c r="B363" s="19" t="s">
        <v>15</v>
      </c>
      <c r="C363" s="18" t="s">
        <v>149</v>
      </c>
      <c r="D363" s="18" t="s">
        <v>17</v>
      </c>
      <c r="E363" s="18" t="s">
        <v>74</v>
      </c>
      <c r="F363" s="18" t="s">
        <v>892</v>
      </c>
      <c r="G363" s="18" t="s">
        <v>429</v>
      </c>
      <c r="H363" s="18" t="s">
        <v>865</v>
      </c>
      <c r="I363" s="20" t="s">
        <v>893</v>
      </c>
      <c r="J363" s="18" t="s">
        <v>894</v>
      </c>
      <c r="K363" s="18" t="s">
        <v>24</v>
      </c>
      <c r="L363" s="18" t="s">
        <v>25</v>
      </c>
      <c r="N363" s="18" t="s">
        <v>154</v>
      </c>
    </row>
    <row r="364" spans="1:14" ht="15" customHeight="1" x14ac:dyDescent="0.3">
      <c r="A364" s="18" t="s">
        <v>865</v>
      </c>
      <c r="B364" s="19" t="s">
        <v>15</v>
      </c>
      <c r="C364" s="18" t="s">
        <v>149</v>
      </c>
      <c r="D364" s="18" t="s">
        <v>17</v>
      </c>
      <c r="E364" s="18" t="s">
        <v>74</v>
      </c>
      <c r="F364" s="18" t="s">
        <v>895</v>
      </c>
      <c r="G364" s="18" t="s">
        <v>381</v>
      </c>
      <c r="H364" s="18" t="s">
        <v>865</v>
      </c>
      <c r="I364" s="20" t="s">
        <v>896</v>
      </c>
      <c r="J364" s="18" t="s">
        <v>897</v>
      </c>
      <c r="K364" s="18" t="s">
        <v>24</v>
      </c>
      <c r="L364" s="18" t="s">
        <v>25</v>
      </c>
      <c r="N364" s="18" t="s">
        <v>154</v>
      </c>
    </row>
    <row r="365" spans="1:14" ht="15" customHeight="1" x14ac:dyDescent="0.3">
      <c r="A365" s="18" t="s">
        <v>865</v>
      </c>
      <c r="B365" s="19" t="s">
        <v>15</v>
      </c>
      <c r="C365" s="18" t="s">
        <v>149</v>
      </c>
      <c r="D365" s="18" t="s">
        <v>17</v>
      </c>
      <c r="E365" s="18" t="s">
        <v>74</v>
      </c>
      <c r="F365" s="18" t="s">
        <v>898</v>
      </c>
      <c r="G365" s="18" t="s">
        <v>41</v>
      </c>
      <c r="H365" s="18" t="s">
        <v>865</v>
      </c>
      <c r="I365" s="20" t="s">
        <v>899</v>
      </c>
      <c r="J365" s="18" t="s">
        <v>394</v>
      </c>
      <c r="K365" s="18" t="s">
        <v>24</v>
      </c>
      <c r="L365" s="18" t="s">
        <v>25</v>
      </c>
      <c r="N365" s="18" t="s">
        <v>154</v>
      </c>
    </row>
    <row r="366" spans="1:14" ht="15" customHeight="1" x14ac:dyDescent="0.3">
      <c r="A366" s="18" t="s">
        <v>865</v>
      </c>
      <c r="B366" s="19" t="s">
        <v>15</v>
      </c>
      <c r="C366" s="18" t="s">
        <v>149</v>
      </c>
      <c r="D366" s="18" t="s">
        <v>17</v>
      </c>
      <c r="E366" s="18" t="s">
        <v>74</v>
      </c>
      <c r="F366" s="18" t="s">
        <v>428</v>
      </c>
      <c r="G366" s="18" t="s">
        <v>429</v>
      </c>
      <c r="H366" s="18" t="s">
        <v>865</v>
      </c>
      <c r="I366" s="20" t="s">
        <v>900</v>
      </c>
      <c r="J366" s="18" t="s">
        <v>894</v>
      </c>
      <c r="K366" s="18" t="s">
        <v>24</v>
      </c>
      <c r="L366" s="18" t="s">
        <v>25</v>
      </c>
      <c r="N366" s="18" t="s">
        <v>154</v>
      </c>
    </row>
    <row r="367" spans="1:14" ht="15" customHeight="1" x14ac:dyDescent="0.3">
      <c r="A367" s="18" t="s">
        <v>901</v>
      </c>
      <c r="B367" s="19" t="s">
        <v>15</v>
      </c>
      <c r="C367" s="18" t="s">
        <v>902</v>
      </c>
      <c r="D367" s="18" t="s">
        <v>17</v>
      </c>
      <c r="E367" s="18" t="s">
        <v>18</v>
      </c>
      <c r="F367" s="18" t="s">
        <v>580</v>
      </c>
      <c r="G367" s="18" t="s">
        <v>20</v>
      </c>
      <c r="H367" s="18" t="s">
        <v>901</v>
      </c>
      <c r="I367" s="20" t="s">
        <v>903</v>
      </c>
      <c r="J367" s="18" t="s">
        <v>23</v>
      </c>
      <c r="K367" s="18" t="s">
        <v>24</v>
      </c>
      <c r="L367" s="18" t="s">
        <v>25</v>
      </c>
      <c r="N367" s="18" t="s">
        <v>26</v>
      </c>
    </row>
    <row r="368" spans="1:14" ht="15" customHeight="1" x14ac:dyDescent="0.3">
      <c r="A368" s="18" t="s">
        <v>901</v>
      </c>
      <c r="B368" s="19" t="s">
        <v>15</v>
      </c>
      <c r="C368" s="18" t="s">
        <v>902</v>
      </c>
      <c r="D368" s="18" t="s">
        <v>17</v>
      </c>
      <c r="E368" s="18" t="s">
        <v>18</v>
      </c>
      <c r="F368" s="18" t="s">
        <v>874</v>
      </c>
      <c r="G368" s="18" t="s">
        <v>20</v>
      </c>
      <c r="H368" s="18" t="s">
        <v>901</v>
      </c>
      <c r="I368" s="20" t="s">
        <v>904</v>
      </c>
      <c r="J368" s="18" t="s">
        <v>23</v>
      </c>
      <c r="K368" s="18" t="s">
        <v>24</v>
      </c>
      <c r="L368" s="18" t="s">
        <v>25</v>
      </c>
      <c r="N368" s="18" t="s">
        <v>26</v>
      </c>
    </row>
    <row r="369" spans="1:14" ht="15" customHeight="1" x14ac:dyDescent="0.3">
      <c r="A369" s="18" t="s">
        <v>901</v>
      </c>
      <c r="B369" s="19" t="s">
        <v>15</v>
      </c>
      <c r="C369" s="18" t="s">
        <v>902</v>
      </c>
      <c r="D369" s="18" t="s">
        <v>17</v>
      </c>
      <c r="E369" s="18" t="s">
        <v>18</v>
      </c>
      <c r="F369" s="18" t="s">
        <v>778</v>
      </c>
      <c r="G369" s="18" t="s">
        <v>20</v>
      </c>
      <c r="H369" s="18" t="s">
        <v>901</v>
      </c>
      <c r="I369" s="20" t="s">
        <v>905</v>
      </c>
      <c r="J369" s="18" t="s">
        <v>23</v>
      </c>
      <c r="K369" s="18" t="s">
        <v>24</v>
      </c>
      <c r="L369" s="18" t="s">
        <v>25</v>
      </c>
      <c r="N369" s="18" t="s">
        <v>26</v>
      </c>
    </row>
    <row r="370" spans="1:14" ht="15" customHeight="1" x14ac:dyDescent="0.3">
      <c r="A370" s="18" t="s">
        <v>901</v>
      </c>
      <c r="B370" s="19" t="s">
        <v>15</v>
      </c>
      <c r="C370" s="18" t="s">
        <v>902</v>
      </c>
      <c r="D370" s="18" t="s">
        <v>17</v>
      </c>
      <c r="E370" s="18" t="s">
        <v>55</v>
      </c>
      <c r="F370" s="18" t="s">
        <v>906</v>
      </c>
      <c r="G370" s="18" t="s">
        <v>273</v>
      </c>
      <c r="H370" s="18" t="s">
        <v>901</v>
      </c>
      <c r="I370" s="20" t="s">
        <v>907</v>
      </c>
      <c r="J370" s="18" t="s">
        <v>73</v>
      </c>
      <c r="K370" s="18" t="s">
        <v>24</v>
      </c>
      <c r="L370" s="18" t="s">
        <v>25</v>
      </c>
      <c r="M370" s="18" t="s">
        <v>39</v>
      </c>
      <c r="N370" s="18" t="s">
        <v>26</v>
      </c>
    </row>
    <row r="371" spans="1:14" ht="15" customHeight="1" x14ac:dyDescent="0.3">
      <c r="A371" s="18" t="s">
        <v>901</v>
      </c>
      <c r="B371" s="19" t="s">
        <v>15</v>
      </c>
      <c r="C371" s="18" t="s">
        <v>902</v>
      </c>
      <c r="D371" s="18" t="s">
        <v>17</v>
      </c>
      <c r="E371" s="18" t="s">
        <v>55</v>
      </c>
      <c r="F371" s="18" t="s">
        <v>580</v>
      </c>
      <c r="G371" s="18" t="s">
        <v>20</v>
      </c>
      <c r="H371" s="18" t="s">
        <v>901</v>
      </c>
      <c r="I371" s="20" t="s">
        <v>908</v>
      </c>
      <c r="J371" s="18" t="s">
        <v>58</v>
      </c>
      <c r="K371" s="18" t="s">
        <v>24</v>
      </c>
      <c r="L371" s="18" t="s">
        <v>25</v>
      </c>
      <c r="N371" s="18" t="s">
        <v>26</v>
      </c>
    </row>
    <row r="372" spans="1:14" ht="15" customHeight="1" x14ac:dyDescent="0.3">
      <c r="A372" s="18" t="s">
        <v>901</v>
      </c>
      <c r="B372" s="19" t="s">
        <v>15</v>
      </c>
      <c r="C372" s="18" t="s">
        <v>902</v>
      </c>
      <c r="D372" s="18" t="s">
        <v>17</v>
      </c>
      <c r="E372" s="18" t="s">
        <v>55</v>
      </c>
      <c r="F372" s="18" t="s">
        <v>874</v>
      </c>
      <c r="G372" s="18" t="s">
        <v>20</v>
      </c>
      <c r="H372" s="18" t="s">
        <v>901</v>
      </c>
      <c r="I372" s="20" t="s">
        <v>909</v>
      </c>
      <c r="J372" s="18" t="s">
        <v>58</v>
      </c>
      <c r="K372" s="18" t="s">
        <v>24</v>
      </c>
      <c r="L372" s="18" t="s">
        <v>25</v>
      </c>
      <c r="N372" s="18" t="s">
        <v>26</v>
      </c>
    </row>
    <row r="373" spans="1:14" ht="15" customHeight="1" x14ac:dyDescent="0.3">
      <c r="A373" s="18" t="s">
        <v>901</v>
      </c>
      <c r="B373" s="19" t="s">
        <v>15</v>
      </c>
      <c r="C373" s="18" t="s">
        <v>902</v>
      </c>
      <c r="D373" s="18" t="s">
        <v>17</v>
      </c>
      <c r="E373" s="18" t="s">
        <v>55</v>
      </c>
      <c r="F373" s="18" t="s">
        <v>778</v>
      </c>
      <c r="G373" s="18" t="s">
        <v>20</v>
      </c>
      <c r="H373" s="18" t="s">
        <v>901</v>
      </c>
      <c r="I373" s="20" t="s">
        <v>910</v>
      </c>
      <c r="J373" s="18" t="s">
        <v>73</v>
      </c>
      <c r="K373" s="18" t="s">
        <v>24</v>
      </c>
      <c r="L373" s="18" t="s">
        <v>25</v>
      </c>
      <c r="N373" s="18" t="s">
        <v>26</v>
      </c>
    </row>
    <row r="374" spans="1:14" ht="15" customHeight="1" x14ac:dyDescent="0.3">
      <c r="A374" s="18" t="s">
        <v>901</v>
      </c>
      <c r="B374" s="19" t="s">
        <v>15</v>
      </c>
      <c r="C374" s="18" t="s">
        <v>911</v>
      </c>
      <c r="D374" s="18" t="s">
        <v>17</v>
      </c>
      <c r="E374" s="18" t="s">
        <v>74</v>
      </c>
      <c r="F374" s="18" t="s">
        <v>912</v>
      </c>
      <c r="G374" s="18" t="s">
        <v>913</v>
      </c>
      <c r="H374" s="18" t="s">
        <v>914</v>
      </c>
      <c r="I374" s="20" t="s">
        <v>915</v>
      </c>
      <c r="J374" s="18" t="s">
        <v>916</v>
      </c>
      <c r="K374" s="18" t="s">
        <v>91</v>
      </c>
      <c r="L374" s="18" t="s">
        <v>25</v>
      </c>
      <c r="N374" s="18" t="s">
        <v>26</v>
      </c>
    </row>
    <row r="375" spans="1:14" ht="15" customHeight="1" x14ac:dyDescent="0.3">
      <c r="A375" s="18" t="s">
        <v>917</v>
      </c>
      <c r="B375" s="19" t="s">
        <v>15</v>
      </c>
      <c r="C375" s="18" t="s">
        <v>918</v>
      </c>
      <c r="D375" s="18" t="s">
        <v>17</v>
      </c>
      <c r="E375" s="18" t="s">
        <v>74</v>
      </c>
      <c r="F375" s="18" t="s">
        <v>919</v>
      </c>
      <c r="G375" s="18" t="s">
        <v>920</v>
      </c>
      <c r="H375" s="18" t="s">
        <v>921</v>
      </c>
      <c r="I375" s="20" t="s">
        <v>922</v>
      </c>
      <c r="J375" s="18" t="s">
        <v>923</v>
      </c>
      <c r="K375" s="18" t="s">
        <v>24</v>
      </c>
      <c r="L375" s="18" t="s">
        <v>25</v>
      </c>
      <c r="N375" s="18" t="s">
        <v>807</v>
      </c>
    </row>
    <row r="376" spans="1:14" ht="15" customHeight="1" x14ac:dyDescent="0.3">
      <c r="A376" s="18" t="s">
        <v>917</v>
      </c>
      <c r="B376" s="19" t="s">
        <v>15</v>
      </c>
      <c r="C376" s="18" t="s">
        <v>918</v>
      </c>
      <c r="D376" s="18" t="s">
        <v>17</v>
      </c>
      <c r="E376" s="18" t="s">
        <v>74</v>
      </c>
      <c r="F376" s="18" t="s">
        <v>924</v>
      </c>
      <c r="G376" s="18" t="s">
        <v>925</v>
      </c>
      <c r="H376" s="18" t="s">
        <v>921</v>
      </c>
      <c r="I376" s="20" t="s">
        <v>926</v>
      </c>
      <c r="J376" s="18" t="s">
        <v>927</v>
      </c>
      <c r="K376" s="18" t="s">
        <v>24</v>
      </c>
      <c r="L376" s="18" t="s">
        <v>25</v>
      </c>
      <c r="N376" s="18" t="s">
        <v>807</v>
      </c>
    </row>
    <row r="377" spans="1:14" ht="15" customHeight="1" x14ac:dyDescent="0.3">
      <c r="A377" s="18" t="s">
        <v>928</v>
      </c>
      <c r="B377" s="19" t="s">
        <v>15</v>
      </c>
      <c r="C377" s="18" t="s">
        <v>210</v>
      </c>
      <c r="D377" s="18" t="s">
        <v>17</v>
      </c>
      <c r="E377" s="18" t="s">
        <v>74</v>
      </c>
      <c r="F377" s="18" t="s">
        <v>929</v>
      </c>
      <c r="G377" s="18" t="s">
        <v>47</v>
      </c>
      <c r="H377" s="18" t="s">
        <v>930</v>
      </c>
      <c r="I377" s="20" t="s">
        <v>931</v>
      </c>
      <c r="J377" s="18" t="s">
        <v>199</v>
      </c>
      <c r="K377" s="18" t="s">
        <v>293</v>
      </c>
      <c r="L377" s="18" t="s">
        <v>25</v>
      </c>
      <c r="N377" s="18" t="s">
        <v>26</v>
      </c>
    </row>
    <row r="378" spans="1:14" ht="15" customHeight="1" x14ac:dyDescent="0.3">
      <c r="A378" s="18" t="s">
        <v>928</v>
      </c>
      <c r="B378" s="19" t="s">
        <v>15</v>
      </c>
      <c r="C378" s="18" t="s">
        <v>210</v>
      </c>
      <c r="D378" s="18" t="s">
        <v>17</v>
      </c>
      <c r="E378" s="18" t="s">
        <v>74</v>
      </c>
      <c r="F378" s="18" t="s">
        <v>932</v>
      </c>
      <c r="G378" s="18" t="s">
        <v>423</v>
      </c>
      <c r="H378" s="18" t="s">
        <v>933</v>
      </c>
      <c r="I378" s="20" t="s">
        <v>934</v>
      </c>
      <c r="J378" s="18" t="s">
        <v>935</v>
      </c>
      <c r="K378" s="18" t="s">
        <v>293</v>
      </c>
      <c r="L378" s="18" t="s">
        <v>25</v>
      </c>
      <c r="N378" s="18" t="s">
        <v>26</v>
      </c>
    </row>
    <row r="379" spans="1:14" ht="15" customHeight="1" x14ac:dyDescent="0.3">
      <c r="A379" s="18" t="s">
        <v>928</v>
      </c>
      <c r="B379" s="19" t="s">
        <v>15</v>
      </c>
      <c r="C379" s="18" t="s">
        <v>210</v>
      </c>
      <c r="D379" s="18" t="s">
        <v>17</v>
      </c>
      <c r="E379" s="18" t="s">
        <v>74</v>
      </c>
      <c r="F379" s="18" t="s">
        <v>936</v>
      </c>
      <c r="G379" s="18" t="s">
        <v>85</v>
      </c>
      <c r="H379" s="18" t="s">
        <v>937</v>
      </c>
      <c r="I379" s="20" t="s">
        <v>938</v>
      </c>
      <c r="J379" s="18" t="s">
        <v>199</v>
      </c>
      <c r="K379" s="18" t="s">
        <v>24</v>
      </c>
      <c r="L379" s="18" t="s">
        <v>25</v>
      </c>
      <c r="N379" s="18" t="s">
        <v>26</v>
      </c>
    </row>
    <row r="380" spans="1:14" ht="15" customHeight="1" x14ac:dyDescent="0.3">
      <c r="A380" s="18" t="s">
        <v>928</v>
      </c>
      <c r="B380" s="19" t="s">
        <v>15</v>
      </c>
      <c r="C380" s="18" t="s">
        <v>210</v>
      </c>
      <c r="D380" s="18" t="s">
        <v>17</v>
      </c>
      <c r="E380" s="18" t="s">
        <v>74</v>
      </c>
      <c r="F380" s="18" t="s">
        <v>939</v>
      </c>
      <c r="G380" s="18" t="s">
        <v>41</v>
      </c>
      <c r="H380" s="18" t="s">
        <v>940</v>
      </c>
      <c r="I380" s="20" t="s">
        <v>941</v>
      </c>
      <c r="J380" s="18" t="s">
        <v>199</v>
      </c>
      <c r="K380" s="18" t="s">
        <v>24</v>
      </c>
      <c r="L380" s="18" t="s">
        <v>25</v>
      </c>
      <c r="N380" s="18" t="s">
        <v>26</v>
      </c>
    </row>
    <row r="381" spans="1:14" ht="15" customHeight="1" x14ac:dyDescent="0.3">
      <c r="A381" s="18" t="s">
        <v>928</v>
      </c>
      <c r="B381" s="19" t="s">
        <v>15</v>
      </c>
      <c r="C381" s="18" t="s">
        <v>210</v>
      </c>
      <c r="D381" s="18" t="s">
        <v>17</v>
      </c>
      <c r="E381" s="18" t="s">
        <v>74</v>
      </c>
      <c r="F381" s="18" t="s">
        <v>892</v>
      </c>
      <c r="G381" s="18" t="s">
        <v>429</v>
      </c>
      <c r="H381" s="18" t="s">
        <v>942</v>
      </c>
      <c r="I381" s="20" t="s">
        <v>943</v>
      </c>
      <c r="J381" s="18" t="s">
        <v>944</v>
      </c>
      <c r="K381" s="18" t="s">
        <v>24</v>
      </c>
      <c r="L381" s="18" t="s">
        <v>25</v>
      </c>
      <c r="N381" s="18" t="s">
        <v>26</v>
      </c>
    </row>
    <row r="382" spans="1:14" ht="15" customHeight="1" x14ac:dyDescent="0.3">
      <c r="A382" s="18" t="s">
        <v>928</v>
      </c>
      <c r="B382" s="19" t="s">
        <v>15</v>
      </c>
      <c r="C382" s="18" t="s">
        <v>210</v>
      </c>
      <c r="D382" s="18" t="s">
        <v>17</v>
      </c>
      <c r="E382" s="18" t="s">
        <v>74</v>
      </c>
      <c r="F382" s="18" t="s">
        <v>945</v>
      </c>
      <c r="G382" s="18" t="s">
        <v>192</v>
      </c>
      <c r="H382" s="18" t="s">
        <v>946</v>
      </c>
      <c r="I382" s="20" t="s">
        <v>947</v>
      </c>
      <c r="J382" s="18" t="s">
        <v>199</v>
      </c>
      <c r="K382" s="18" t="s">
        <v>24</v>
      </c>
      <c r="L382" s="18" t="s">
        <v>25</v>
      </c>
      <c r="N382" s="18" t="s">
        <v>26</v>
      </c>
    </row>
    <row r="383" spans="1:14" ht="15" customHeight="1" x14ac:dyDescent="0.3">
      <c r="A383" s="18" t="s">
        <v>928</v>
      </c>
      <c r="B383" s="19" t="s">
        <v>15</v>
      </c>
      <c r="C383" s="18" t="s">
        <v>210</v>
      </c>
      <c r="D383" s="18" t="s">
        <v>17</v>
      </c>
      <c r="E383" s="18" t="s">
        <v>74</v>
      </c>
      <c r="F383" s="18" t="s">
        <v>948</v>
      </c>
      <c r="G383" s="18" t="s">
        <v>20</v>
      </c>
      <c r="H383" s="18" t="s">
        <v>949</v>
      </c>
      <c r="I383" s="20" t="s">
        <v>950</v>
      </c>
      <c r="J383" s="18" t="s">
        <v>199</v>
      </c>
      <c r="K383" s="18" t="s">
        <v>24</v>
      </c>
      <c r="L383" s="18" t="s">
        <v>25</v>
      </c>
      <c r="N383" s="18" t="s">
        <v>26</v>
      </c>
    </row>
    <row r="384" spans="1:14" ht="15" customHeight="1" x14ac:dyDescent="0.3">
      <c r="A384" s="18" t="s">
        <v>928</v>
      </c>
      <c r="B384" s="19" t="s">
        <v>15</v>
      </c>
      <c r="C384" s="18" t="s">
        <v>210</v>
      </c>
      <c r="D384" s="18" t="s">
        <v>17</v>
      </c>
      <c r="E384" s="18" t="s">
        <v>74</v>
      </c>
      <c r="F384" s="18" t="s">
        <v>951</v>
      </c>
      <c r="G384" s="18" t="s">
        <v>47</v>
      </c>
      <c r="H384" s="18" t="s">
        <v>952</v>
      </c>
      <c r="I384" s="20" t="s">
        <v>953</v>
      </c>
      <c r="J384" s="18" t="s">
        <v>954</v>
      </c>
      <c r="K384" s="18" t="s">
        <v>293</v>
      </c>
      <c r="L384" s="18" t="s">
        <v>25</v>
      </c>
      <c r="N384" s="18" t="s">
        <v>26</v>
      </c>
    </row>
    <row r="385" spans="1:14" ht="15" customHeight="1" x14ac:dyDescent="0.3">
      <c r="A385" s="18" t="s">
        <v>928</v>
      </c>
      <c r="B385" s="19" t="s">
        <v>15</v>
      </c>
      <c r="C385" s="18" t="s">
        <v>149</v>
      </c>
      <c r="D385" s="18" t="s">
        <v>17</v>
      </c>
      <c r="E385" s="18" t="s">
        <v>74</v>
      </c>
      <c r="F385" s="18" t="s">
        <v>955</v>
      </c>
      <c r="G385" s="18" t="s">
        <v>273</v>
      </c>
      <c r="H385" s="18" t="s">
        <v>956</v>
      </c>
      <c r="I385" s="20" t="s">
        <v>957</v>
      </c>
      <c r="J385" s="18" t="s">
        <v>199</v>
      </c>
      <c r="K385" s="18" t="s">
        <v>293</v>
      </c>
      <c r="L385" s="18" t="s">
        <v>25</v>
      </c>
      <c r="N385" s="18" t="s">
        <v>154</v>
      </c>
    </row>
    <row r="386" spans="1:14" ht="15" customHeight="1" x14ac:dyDescent="0.3">
      <c r="A386" s="18" t="s">
        <v>928</v>
      </c>
      <c r="B386" s="19" t="s">
        <v>15</v>
      </c>
      <c r="C386" s="18" t="s">
        <v>149</v>
      </c>
      <c r="D386" s="18" t="s">
        <v>17</v>
      </c>
      <c r="E386" s="18" t="s">
        <v>74</v>
      </c>
      <c r="F386" s="18" t="s">
        <v>958</v>
      </c>
      <c r="G386" s="18" t="s">
        <v>273</v>
      </c>
      <c r="H386" s="18" t="s">
        <v>959</v>
      </c>
      <c r="I386" s="20" t="s">
        <v>960</v>
      </c>
      <c r="J386" s="18" t="s">
        <v>199</v>
      </c>
      <c r="K386" s="18" t="s">
        <v>91</v>
      </c>
      <c r="L386" s="18" t="s">
        <v>25</v>
      </c>
      <c r="N386" s="18" t="s">
        <v>154</v>
      </c>
    </row>
    <row r="387" spans="1:14" ht="15" customHeight="1" x14ac:dyDescent="0.3">
      <c r="A387" s="18" t="s">
        <v>928</v>
      </c>
      <c r="B387" s="19" t="s">
        <v>15</v>
      </c>
      <c r="C387" s="18" t="s">
        <v>210</v>
      </c>
      <c r="D387" s="18" t="s">
        <v>17</v>
      </c>
      <c r="E387" s="18" t="s">
        <v>74</v>
      </c>
      <c r="F387" s="18" t="s">
        <v>961</v>
      </c>
      <c r="G387" s="18" t="s">
        <v>920</v>
      </c>
      <c r="H387" s="18" t="s">
        <v>962</v>
      </c>
      <c r="I387" s="20" t="s">
        <v>963</v>
      </c>
      <c r="J387" s="18" t="s">
        <v>964</v>
      </c>
      <c r="K387" s="18" t="s">
        <v>293</v>
      </c>
      <c r="L387" s="18" t="s">
        <v>25</v>
      </c>
      <c r="N387" s="18" t="s">
        <v>26</v>
      </c>
    </row>
    <row r="388" spans="1:14" ht="15" customHeight="1" x14ac:dyDescent="0.3">
      <c r="A388" s="18" t="s">
        <v>928</v>
      </c>
      <c r="B388" s="19" t="s">
        <v>15</v>
      </c>
      <c r="C388" s="18" t="s">
        <v>210</v>
      </c>
      <c r="D388" s="18" t="s">
        <v>17</v>
      </c>
      <c r="E388" s="18" t="s">
        <v>74</v>
      </c>
      <c r="F388" s="18" t="s">
        <v>965</v>
      </c>
      <c r="G388" s="18" t="s">
        <v>28</v>
      </c>
      <c r="H388" s="18" t="s">
        <v>966</v>
      </c>
      <c r="I388" s="20" t="s">
        <v>967</v>
      </c>
      <c r="J388" s="18" t="s">
        <v>199</v>
      </c>
      <c r="K388" s="18" t="s">
        <v>24</v>
      </c>
      <c r="L388" s="18" t="s">
        <v>25</v>
      </c>
      <c r="N388" s="18" t="s">
        <v>26</v>
      </c>
    </row>
    <row r="389" spans="1:14" ht="15" customHeight="1" x14ac:dyDescent="0.3">
      <c r="A389" s="18" t="s">
        <v>968</v>
      </c>
      <c r="B389" s="19" t="s">
        <v>15</v>
      </c>
      <c r="C389" s="18" t="s">
        <v>969</v>
      </c>
      <c r="D389" s="18" t="s">
        <v>17</v>
      </c>
      <c r="E389" s="18" t="s">
        <v>117</v>
      </c>
      <c r="F389" s="18" t="s">
        <v>970</v>
      </c>
      <c r="G389" s="18" t="s">
        <v>913</v>
      </c>
      <c r="H389" s="18" t="s">
        <v>971</v>
      </c>
      <c r="I389" s="20" t="s">
        <v>972</v>
      </c>
      <c r="J389" s="18" t="s">
        <v>58</v>
      </c>
      <c r="K389" s="18" t="s">
        <v>24</v>
      </c>
      <c r="L389" s="18" t="s">
        <v>25</v>
      </c>
      <c r="N389" s="18" t="s">
        <v>973</v>
      </c>
    </row>
    <row r="390" spans="1:14" ht="15" customHeight="1" x14ac:dyDescent="0.3">
      <c r="A390" s="18" t="s">
        <v>968</v>
      </c>
      <c r="B390" s="19" t="s">
        <v>15</v>
      </c>
      <c r="C390" s="18" t="s">
        <v>969</v>
      </c>
      <c r="D390" s="18" t="s">
        <v>17</v>
      </c>
      <c r="E390" s="18" t="s">
        <v>117</v>
      </c>
      <c r="F390" s="18" t="s">
        <v>974</v>
      </c>
      <c r="G390" s="18" t="s">
        <v>263</v>
      </c>
      <c r="H390" s="18" t="s">
        <v>971</v>
      </c>
      <c r="I390" s="20" t="s">
        <v>975</v>
      </c>
      <c r="J390" s="18" t="s">
        <v>58</v>
      </c>
      <c r="K390" s="18" t="s">
        <v>24</v>
      </c>
      <c r="L390" s="18" t="s">
        <v>25</v>
      </c>
      <c r="N390" s="18" t="s">
        <v>973</v>
      </c>
    </row>
    <row r="391" spans="1:14" ht="15" customHeight="1" x14ac:dyDescent="0.3">
      <c r="A391" s="18" t="s">
        <v>968</v>
      </c>
      <c r="B391" s="19" t="s">
        <v>15</v>
      </c>
      <c r="C391" s="18" t="s">
        <v>969</v>
      </c>
      <c r="D391" s="18" t="s">
        <v>17</v>
      </c>
      <c r="E391" s="18" t="s">
        <v>117</v>
      </c>
      <c r="F391" s="18" t="s">
        <v>976</v>
      </c>
      <c r="G391" s="18" t="s">
        <v>606</v>
      </c>
      <c r="H391" s="18" t="s">
        <v>971</v>
      </c>
      <c r="I391" s="20" t="s">
        <v>977</v>
      </c>
      <c r="J391" s="18" t="s">
        <v>58</v>
      </c>
      <c r="K391" s="18" t="s">
        <v>24</v>
      </c>
      <c r="L391" s="18" t="s">
        <v>25</v>
      </c>
      <c r="N391" s="18" t="s">
        <v>973</v>
      </c>
    </row>
    <row r="392" spans="1:14" ht="15" customHeight="1" x14ac:dyDescent="0.3">
      <c r="A392" s="18" t="s">
        <v>968</v>
      </c>
      <c r="B392" s="19" t="s">
        <v>15</v>
      </c>
      <c r="C392" s="18" t="s">
        <v>969</v>
      </c>
      <c r="D392" s="18" t="s">
        <v>17</v>
      </c>
      <c r="E392" s="18" t="s">
        <v>117</v>
      </c>
      <c r="F392" s="18" t="s">
        <v>978</v>
      </c>
      <c r="G392" s="18" t="s">
        <v>979</v>
      </c>
      <c r="H392" s="18" t="s">
        <v>971</v>
      </c>
      <c r="I392" s="20" t="s">
        <v>980</v>
      </c>
      <c r="J392" s="18" t="s">
        <v>58</v>
      </c>
      <c r="K392" s="18" t="s">
        <v>24</v>
      </c>
      <c r="L392" s="18" t="s">
        <v>25</v>
      </c>
      <c r="N392" s="18" t="s">
        <v>973</v>
      </c>
    </row>
    <row r="393" spans="1:14" ht="15" customHeight="1" x14ac:dyDescent="0.3">
      <c r="A393" s="18" t="s">
        <v>968</v>
      </c>
      <c r="B393" s="19" t="s">
        <v>15</v>
      </c>
      <c r="C393" s="18" t="s">
        <v>969</v>
      </c>
      <c r="D393" s="18" t="s">
        <v>17</v>
      </c>
      <c r="E393" s="18" t="s">
        <v>117</v>
      </c>
      <c r="F393" s="18" t="s">
        <v>572</v>
      </c>
      <c r="G393" s="18" t="s">
        <v>263</v>
      </c>
      <c r="H393" s="18" t="s">
        <v>971</v>
      </c>
      <c r="I393" s="20" t="s">
        <v>981</v>
      </c>
      <c r="J393" s="18" t="s">
        <v>58</v>
      </c>
      <c r="K393" s="18" t="s">
        <v>24</v>
      </c>
      <c r="L393" s="18" t="s">
        <v>25</v>
      </c>
      <c r="N393" s="18" t="s">
        <v>973</v>
      </c>
    </row>
    <row r="394" spans="1:14" ht="15" customHeight="1" x14ac:dyDescent="0.3">
      <c r="A394" s="18" t="s">
        <v>968</v>
      </c>
      <c r="B394" s="19" t="s">
        <v>15</v>
      </c>
      <c r="C394" s="18" t="s">
        <v>982</v>
      </c>
      <c r="D394" s="18" t="s">
        <v>17</v>
      </c>
      <c r="E394" s="18" t="s">
        <v>117</v>
      </c>
      <c r="F394" s="18" t="s">
        <v>983</v>
      </c>
      <c r="G394" s="18" t="s">
        <v>44</v>
      </c>
      <c r="H394" s="18" t="s">
        <v>971</v>
      </c>
      <c r="I394" s="20" t="s">
        <v>984</v>
      </c>
      <c r="J394" s="18" t="s">
        <v>58</v>
      </c>
      <c r="K394" s="18" t="s">
        <v>24</v>
      </c>
      <c r="L394" s="18" t="s">
        <v>25</v>
      </c>
      <c r="N394" s="18" t="s">
        <v>154</v>
      </c>
    </row>
    <row r="395" spans="1:14" ht="15" customHeight="1" x14ac:dyDescent="0.3">
      <c r="A395" s="18" t="s">
        <v>968</v>
      </c>
      <c r="B395" s="19" t="s">
        <v>15</v>
      </c>
      <c r="C395" s="18" t="s">
        <v>969</v>
      </c>
      <c r="D395" s="18" t="s">
        <v>17</v>
      </c>
      <c r="E395" s="18" t="s">
        <v>117</v>
      </c>
      <c r="F395" s="18" t="s">
        <v>575</v>
      </c>
      <c r="G395" s="18" t="s">
        <v>263</v>
      </c>
      <c r="H395" s="18" t="s">
        <v>971</v>
      </c>
      <c r="I395" s="20" t="s">
        <v>985</v>
      </c>
      <c r="J395" s="18" t="s">
        <v>58</v>
      </c>
      <c r="K395" s="18" t="s">
        <v>24</v>
      </c>
      <c r="L395" s="18" t="s">
        <v>25</v>
      </c>
      <c r="N395" s="18" t="s">
        <v>973</v>
      </c>
    </row>
    <row r="396" spans="1:14" ht="15" customHeight="1" x14ac:dyDescent="0.3">
      <c r="A396" s="18" t="s">
        <v>968</v>
      </c>
      <c r="B396" s="19" t="s">
        <v>15</v>
      </c>
      <c r="C396" s="18" t="s">
        <v>969</v>
      </c>
      <c r="D396" s="18" t="s">
        <v>17</v>
      </c>
      <c r="E396" s="18" t="s">
        <v>117</v>
      </c>
      <c r="F396" s="18" t="s">
        <v>720</v>
      </c>
      <c r="G396" s="18" t="s">
        <v>20</v>
      </c>
      <c r="H396" s="18" t="s">
        <v>971</v>
      </c>
      <c r="I396" s="20" t="s">
        <v>986</v>
      </c>
      <c r="J396" s="18" t="s">
        <v>58</v>
      </c>
      <c r="K396" s="18" t="s">
        <v>24</v>
      </c>
      <c r="L396" s="18" t="s">
        <v>25</v>
      </c>
      <c r="N396" s="18" t="s">
        <v>973</v>
      </c>
    </row>
    <row r="397" spans="1:14" ht="15" customHeight="1" x14ac:dyDescent="0.3">
      <c r="A397" s="18" t="s">
        <v>968</v>
      </c>
      <c r="B397" s="19" t="s">
        <v>15</v>
      </c>
      <c r="C397" s="18" t="s">
        <v>969</v>
      </c>
      <c r="D397" s="18" t="s">
        <v>17</v>
      </c>
      <c r="E397" s="18" t="s">
        <v>18</v>
      </c>
      <c r="F397" s="18" t="s">
        <v>987</v>
      </c>
      <c r="G397" s="18" t="s">
        <v>20</v>
      </c>
      <c r="H397" s="18" t="s">
        <v>971</v>
      </c>
      <c r="I397" s="20" t="s">
        <v>988</v>
      </c>
      <c r="J397" s="18" t="s">
        <v>23</v>
      </c>
      <c r="K397" s="18" t="s">
        <v>24</v>
      </c>
      <c r="L397" s="18" t="s">
        <v>25</v>
      </c>
      <c r="N397" s="18" t="s">
        <v>973</v>
      </c>
    </row>
    <row r="398" spans="1:14" ht="15" customHeight="1" x14ac:dyDescent="0.3">
      <c r="A398" s="18" t="s">
        <v>968</v>
      </c>
      <c r="B398" s="19" t="s">
        <v>15</v>
      </c>
      <c r="C398" s="18" t="s">
        <v>969</v>
      </c>
      <c r="D398" s="18" t="s">
        <v>17</v>
      </c>
      <c r="E398" s="18" t="s">
        <v>18</v>
      </c>
      <c r="F398" s="18" t="s">
        <v>381</v>
      </c>
      <c r="G398" s="18" t="s">
        <v>381</v>
      </c>
      <c r="H398" s="18" t="s">
        <v>971</v>
      </c>
      <c r="I398" s="20" t="s">
        <v>989</v>
      </c>
      <c r="J398" s="18" t="s">
        <v>23</v>
      </c>
      <c r="K398" s="18" t="s">
        <v>24</v>
      </c>
      <c r="L398" s="18" t="s">
        <v>25</v>
      </c>
      <c r="N398" s="18" t="s">
        <v>973</v>
      </c>
    </row>
    <row r="399" spans="1:14" ht="15" customHeight="1" x14ac:dyDescent="0.3">
      <c r="A399" s="18" t="s">
        <v>968</v>
      </c>
      <c r="B399" s="19" t="s">
        <v>15</v>
      </c>
      <c r="C399" s="18" t="s">
        <v>969</v>
      </c>
      <c r="D399" s="18" t="s">
        <v>17</v>
      </c>
      <c r="E399" s="18" t="s">
        <v>18</v>
      </c>
      <c r="F399" s="18" t="s">
        <v>580</v>
      </c>
      <c r="G399" s="18" t="s">
        <v>20</v>
      </c>
      <c r="H399" s="18" t="s">
        <v>971</v>
      </c>
      <c r="I399" s="20" t="s">
        <v>990</v>
      </c>
      <c r="J399" s="18" t="s">
        <v>23</v>
      </c>
      <c r="K399" s="18" t="s">
        <v>24</v>
      </c>
      <c r="L399" s="18" t="s">
        <v>25</v>
      </c>
      <c r="N399" s="18" t="s">
        <v>973</v>
      </c>
    </row>
    <row r="400" spans="1:14" ht="15" customHeight="1" x14ac:dyDescent="0.3">
      <c r="A400" s="18" t="s">
        <v>968</v>
      </c>
      <c r="B400" s="19" t="s">
        <v>15</v>
      </c>
      <c r="C400" s="18" t="s">
        <v>969</v>
      </c>
      <c r="D400" s="18" t="s">
        <v>17</v>
      </c>
      <c r="E400" s="18" t="s">
        <v>55</v>
      </c>
      <c r="F400" s="18" t="s">
        <v>519</v>
      </c>
      <c r="G400" s="18" t="s">
        <v>381</v>
      </c>
      <c r="H400" s="18" t="s">
        <v>971</v>
      </c>
      <c r="I400" s="20" t="s">
        <v>991</v>
      </c>
      <c r="J400" s="18" t="s">
        <v>58</v>
      </c>
      <c r="K400" s="18" t="s">
        <v>24</v>
      </c>
      <c r="L400" s="18" t="s">
        <v>25</v>
      </c>
      <c r="N400" s="18" t="s">
        <v>973</v>
      </c>
    </row>
    <row r="401" spans="1:14" ht="15" customHeight="1" x14ac:dyDescent="0.3">
      <c r="A401" s="18" t="s">
        <v>968</v>
      </c>
      <c r="B401" s="19" t="s">
        <v>15</v>
      </c>
      <c r="C401" s="18" t="s">
        <v>969</v>
      </c>
      <c r="D401" s="18" t="s">
        <v>17</v>
      </c>
      <c r="E401" s="18" t="s">
        <v>55</v>
      </c>
      <c r="F401" s="18" t="s">
        <v>992</v>
      </c>
      <c r="G401" s="18" t="s">
        <v>20</v>
      </c>
      <c r="H401" s="18" t="s">
        <v>971</v>
      </c>
      <c r="I401" s="20" t="s">
        <v>993</v>
      </c>
      <c r="J401" s="18" t="s">
        <v>58</v>
      </c>
      <c r="K401" s="18" t="s">
        <v>24</v>
      </c>
      <c r="L401" s="18" t="s">
        <v>25</v>
      </c>
      <c r="N401" s="18" t="s">
        <v>973</v>
      </c>
    </row>
    <row r="402" spans="1:14" ht="15" customHeight="1" x14ac:dyDescent="0.3">
      <c r="A402" s="18" t="s">
        <v>968</v>
      </c>
      <c r="B402" s="19" t="s">
        <v>15</v>
      </c>
      <c r="C402" s="18" t="s">
        <v>816</v>
      </c>
      <c r="D402" s="18" t="s">
        <v>17</v>
      </c>
      <c r="E402" s="18" t="s">
        <v>74</v>
      </c>
      <c r="F402" s="18" t="s">
        <v>994</v>
      </c>
      <c r="G402" s="18" t="s">
        <v>995</v>
      </c>
      <c r="H402" s="18" t="s">
        <v>996</v>
      </c>
      <c r="I402" s="20" t="s">
        <v>997</v>
      </c>
      <c r="J402" s="18" t="s">
        <v>394</v>
      </c>
      <c r="K402" s="18" t="s">
        <v>24</v>
      </c>
      <c r="L402" s="18" t="s">
        <v>25</v>
      </c>
      <c r="N402" s="18" t="s">
        <v>820</v>
      </c>
    </row>
    <row r="403" spans="1:14" ht="15" customHeight="1" x14ac:dyDescent="0.3">
      <c r="A403" s="18" t="s">
        <v>968</v>
      </c>
      <c r="B403" s="19" t="s">
        <v>15</v>
      </c>
      <c r="C403" s="18" t="s">
        <v>982</v>
      </c>
      <c r="D403" s="18" t="s">
        <v>17</v>
      </c>
      <c r="E403" s="18" t="s">
        <v>74</v>
      </c>
      <c r="F403" s="18" t="s">
        <v>998</v>
      </c>
      <c r="G403" s="18" t="s">
        <v>20</v>
      </c>
      <c r="H403" s="18" t="s">
        <v>968</v>
      </c>
      <c r="I403" s="20" t="s">
        <v>999</v>
      </c>
      <c r="J403" s="18" t="s">
        <v>394</v>
      </c>
      <c r="K403" s="18" t="s">
        <v>293</v>
      </c>
      <c r="L403" s="18" t="s">
        <v>25</v>
      </c>
      <c r="N403" s="18" t="s">
        <v>154</v>
      </c>
    </row>
    <row r="404" spans="1:14" ht="15" customHeight="1" x14ac:dyDescent="0.3">
      <c r="A404" s="18" t="s">
        <v>968</v>
      </c>
      <c r="B404" s="19" t="s">
        <v>15</v>
      </c>
      <c r="C404" s="18" t="s">
        <v>982</v>
      </c>
      <c r="D404" s="18" t="s">
        <v>17</v>
      </c>
      <c r="E404" s="18" t="s">
        <v>74</v>
      </c>
      <c r="F404" s="18" t="s">
        <v>1000</v>
      </c>
      <c r="G404" s="18" t="s">
        <v>20</v>
      </c>
      <c r="H404" s="18" t="s">
        <v>968</v>
      </c>
      <c r="I404" s="20" t="s">
        <v>1001</v>
      </c>
      <c r="J404" s="18" t="s">
        <v>394</v>
      </c>
      <c r="K404" s="18" t="s">
        <v>293</v>
      </c>
      <c r="L404" s="18" t="s">
        <v>25</v>
      </c>
      <c r="N404" s="18" t="s">
        <v>154</v>
      </c>
    </row>
    <row r="405" spans="1:14" ht="15" customHeight="1" x14ac:dyDescent="0.3">
      <c r="A405" s="18" t="s">
        <v>968</v>
      </c>
      <c r="B405" s="19" t="s">
        <v>15</v>
      </c>
      <c r="C405" s="18" t="s">
        <v>982</v>
      </c>
      <c r="D405" s="18" t="s">
        <v>17</v>
      </c>
      <c r="E405" s="18" t="s">
        <v>74</v>
      </c>
      <c r="F405" s="18" t="s">
        <v>1002</v>
      </c>
      <c r="G405" s="18" t="s">
        <v>41</v>
      </c>
      <c r="H405" s="18" t="s">
        <v>968</v>
      </c>
      <c r="I405" s="20" t="s">
        <v>1003</v>
      </c>
      <c r="J405" s="18" t="s">
        <v>394</v>
      </c>
      <c r="K405" s="18" t="s">
        <v>293</v>
      </c>
      <c r="L405" s="18" t="s">
        <v>25</v>
      </c>
      <c r="N405" s="18" t="s">
        <v>154</v>
      </c>
    </row>
    <row r="406" spans="1:14" ht="15" customHeight="1" x14ac:dyDescent="0.3">
      <c r="A406" s="18" t="s">
        <v>968</v>
      </c>
      <c r="B406" s="19" t="s">
        <v>15</v>
      </c>
      <c r="C406" s="18" t="s">
        <v>982</v>
      </c>
      <c r="D406" s="18" t="s">
        <v>17</v>
      </c>
      <c r="E406" s="18" t="s">
        <v>74</v>
      </c>
      <c r="F406" s="18" t="s">
        <v>1004</v>
      </c>
      <c r="G406" s="18" t="s">
        <v>913</v>
      </c>
      <c r="H406" s="18" t="s">
        <v>968</v>
      </c>
      <c r="I406" s="20" t="s">
        <v>1005</v>
      </c>
      <c r="J406" s="18" t="s">
        <v>394</v>
      </c>
      <c r="K406" s="18" t="s">
        <v>293</v>
      </c>
      <c r="L406" s="18" t="s">
        <v>25</v>
      </c>
      <c r="N406" s="18" t="s">
        <v>154</v>
      </c>
    </row>
    <row r="407" spans="1:14" ht="15" customHeight="1" x14ac:dyDescent="0.3">
      <c r="A407" s="18" t="s">
        <v>968</v>
      </c>
      <c r="B407" s="19" t="s">
        <v>15</v>
      </c>
      <c r="C407" s="18" t="s">
        <v>982</v>
      </c>
      <c r="D407" s="18" t="s">
        <v>17</v>
      </c>
      <c r="E407" s="18" t="s">
        <v>74</v>
      </c>
      <c r="F407" s="18" t="s">
        <v>1006</v>
      </c>
      <c r="G407" s="18" t="s">
        <v>433</v>
      </c>
      <c r="H407" s="18" t="s">
        <v>968</v>
      </c>
      <c r="I407" s="20" t="s">
        <v>1007</v>
      </c>
      <c r="J407" s="18" t="s">
        <v>394</v>
      </c>
      <c r="K407" s="18" t="s">
        <v>293</v>
      </c>
      <c r="L407" s="18" t="s">
        <v>25</v>
      </c>
      <c r="N407" s="18" t="s">
        <v>154</v>
      </c>
    </row>
    <row r="408" spans="1:14" ht="15" customHeight="1" x14ac:dyDescent="0.3">
      <c r="A408" s="18" t="s">
        <v>968</v>
      </c>
      <c r="B408" s="19" t="s">
        <v>15</v>
      </c>
      <c r="C408" s="18" t="s">
        <v>982</v>
      </c>
      <c r="D408" s="18" t="s">
        <v>17</v>
      </c>
      <c r="E408" s="18" t="s">
        <v>74</v>
      </c>
      <c r="F408" s="18" t="s">
        <v>1008</v>
      </c>
      <c r="G408" s="18" t="s">
        <v>1009</v>
      </c>
      <c r="H408" s="18" t="s">
        <v>968</v>
      </c>
      <c r="I408" s="20" t="s">
        <v>1010</v>
      </c>
      <c r="J408" s="18" t="s">
        <v>394</v>
      </c>
      <c r="K408" s="18" t="s">
        <v>293</v>
      </c>
      <c r="L408" s="18" t="s">
        <v>25</v>
      </c>
      <c r="N408" s="18" t="s">
        <v>154</v>
      </c>
    </row>
    <row r="409" spans="1:14" ht="15" customHeight="1" x14ac:dyDescent="0.3">
      <c r="A409" s="18" t="s">
        <v>968</v>
      </c>
      <c r="B409" s="19" t="s">
        <v>15</v>
      </c>
      <c r="C409" s="18" t="s">
        <v>982</v>
      </c>
      <c r="D409" s="18" t="s">
        <v>17</v>
      </c>
      <c r="E409" s="18" t="s">
        <v>74</v>
      </c>
      <c r="F409" s="18" t="s">
        <v>1011</v>
      </c>
      <c r="G409" s="18" t="s">
        <v>1012</v>
      </c>
      <c r="H409" s="18" t="s">
        <v>968</v>
      </c>
      <c r="I409" s="20" t="s">
        <v>1013</v>
      </c>
      <c r="J409" s="18" t="s">
        <v>394</v>
      </c>
      <c r="K409" s="18" t="s">
        <v>293</v>
      </c>
      <c r="L409" s="18" t="s">
        <v>25</v>
      </c>
      <c r="N409" s="18" t="s">
        <v>154</v>
      </c>
    </row>
    <row r="410" spans="1:14" ht="15" customHeight="1" x14ac:dyDescent="0.3">
      <c r="A410" s="18" t="s">
        <v>1014</v>
      </c>
      <c r="B410" s="19" t="s">
        <v>15</v>
      </c>
      <c r="C410" s="18" t="s">
        <v>1015</v>
      </c>
      <c r="D410" s="18" t="s">
        <v>17</v>
      </c>
      <c r="E410" s="18" t="s">
        <v>18</v>
      </c>
      <c r="F410" s="18" t="s">
        <v>1016</v>
      </c>
      <c r="G410" s="18" t="s">
        <v>263</v>
      </c>
      <c r="H410" s="18" t="s">
        <v>1017</v>
      </c>
      <c r="I410" s="20" t="s">
        <v>1018</v>
      </c>
      <c r="J410" s="18" t="s">
        <v>30</v>
      </c>
      <c r="K410" s="18" t="s">
        <v>24</v>
      </c>
      <c r="L410" s="18" t="s">
        <v>25</v>
      </c>
      <c r="N410" s="18" t="s">
        <v>26</v>
      </c>
    </row>
    <row r="411" spans="1:14" ht="15" customHeight="1" x14ac:dyDescent="0.3">
      <c r="A411" s="18" t="s">
        <v>1014</v>
      </c>
      <c r="B411" s="19" t="s">
        <v>15</v>
      </c>
      <c r="C411" s="18" t="s">
        <v>1015</v>
      </c>
      <c r="D411" s="18" t="s">
        <v>17</v>
      </c>
      <c r="E411" s="18" t="s">
        <v>18</v>
      </c>
      <c r="F411" s="18" t="s">
        <v>1019</v>
      </c>
      <c r="G411" s="18" t="s">
        <v>1019</v>
      </c>
      <c r="H411" s="18" t="s">
        <v>1017</v>
      </c>
      <c r="I411" s="20" t="s">
        <v>1020</v>
      </c>
      <c r="J411" s="18" t="s">
        <v>30</v>
      </c>
      <c r="K411" s="18" t="s">
        <v>24</v>
      </c>
      <c r="L411" s="18" t="s">
        <v>25</v>
      </c>
      <c r="N411" s="18" t="s">
        <v>26</v>
      </c>
    </row>
    <row r="412" spans="1:14" ht="15" customHeight="1" x14ac:dyDescent="0.3">
      <c r="A412" s="18" t="s">
        <v>1014</v>
      </c>
      <c r="B412" s="19" t="s">
        <v>15</v>
      </c>
      <c r="C412" s="18" t="s">
        <v>1015</v>
      </c>
      <c r="D412" s="18" t="s">
        <v>17</v>
      </c>
      <c r="E412" s="18" t="s">
        <v>18</v>
      </c>
      <c r="F412" s="18" t="s">
        <v>272</v>
      </c>
      <c r="G412" s="18" t="s">
        <v>273</v>
      </c>
      <c r="H412" s="18" t="s">
        <v>1017</v>
      </c>
      <c r="I412" s="20" t="s">
        <v>1021</v>
      </c>
      <c r="J412" s="18" t="s">
        <v>30</v>
      </c>
      <c r="K412" s="18" t="s">
        <v>24</v>
      </c>
      <c r="L412" s="18" t="s">
        <v>25</v>
      </c>
      <c r="N412" s="18" t="s">
        <v>26</v>
      </c>
    </row>
    <row r="413" spans="1:14" ht="15" customHeight="1" x14ac:dyDescent="0.3">
      <c r="A413" s="18" t="s">
        <v>1014</v>
      </c>
      <c r="B413" s="19" t="s">
        <v>15</v>
      </c>
      <c r="C413" s="18" t="s">
        <v>1015</v>
      </c>
      <c r="D413" s="18" t="s">
        <v>17</v>
      </c>
      <c r="E413" s="18" t="s">
        <v>18</v>
      </c>
      <c r="F413" s="18" t="s">
        <v>356</v>
      </c>
      <c r="G413" s="18" t="s">
        <v>273</v>
      </c>
      <c r="H413" s="18" t="s">
        <v>1017</v>
      </c>
      <c r="I413" s="20" t="s">
        <v>1022</v>
      </c>
      <c r="J413" s="18" t="s">
        <v>30</v>
      </c>
      <c r="K413" s="18" t="s">
        <v>24</v>
      </c>
      <c r="L413" s="18" t="s">
        <v>25</v>
      </c>
      <c r="N413" s="18" t="s">
        <v>26</v>
      </c>
    </row>
    <row r="414" spans="1:14" ht="15" customHeight="1" x14ac:dyDescent="0.3">
      <c r="A414" s="18" t="s">
        <v>1014</v>
      </c>
      <c r="B414" s="19" t="s">
        <v>15</v>
      </c>
      <c r="C414" s="18" t="s">
        <v>1015</v>
      </c>
      <c r="D414" s="18" t="s">
        <v>17</v>
      </c>
      <c r="E414" s="18" t="s">
        <v>18</v>
      </c>
      <c r="F414" s="18" t="s">
        <v>1023</v>
      </c>
      <c r="G414" s="18" t="s">
        <v>536</v>
      </c>
      <c r="H414" s="18" t="s">
        <v>1017</v>
      </c>
      <c r="I414" s="20" t="s">
        <v>1024</v>
      </c>
      <c r="J414" s="18" t="s">
        <v>30</v>
      </c>
      <c r="K414" s="18" t="s">
        <v>24</v>
      </c>
      <c r="L414" s="18" t="s">
        <v>25</v>
      </c>
      <c r="N414" s="18" t="s">
        <v>26</v>
      </c>
    </row>
    <row r="415" spans="1:14" ht="15" customHeight="1" x14ac:dyDescent="0.3">
      <c r="A415" s="18" t="s">
        <v>1014</v>
      </c>
      <c r="B415" s="19" t="s">
        <v>15</v>
      </c>
      <c r="C415" s="18" t="s">
        <v>1015</v>
      </c>
      <c r="D415" s="18" t="s">
        <v>17</v>
      </c>
      <c r="E415" s="18" t="s">
        <v>74</v>
      </c>
      <c r="F415" s="18" t="s">
        <v>1025</v>
      </c>
      <c r="G415" s="18" t="s">
        <v>1026</v>
      </c>
      <c r="H415" s="18" t="s">
        <v>1027</v>
      </c>
      <c r="I415" s="20" t="s">
        <v>1028</v>
      </c>
      <c r="J415" s="18" t="s">
        <v>1029</v>
      </c>
      <c r="K415" s="18" t="s">
        <v>293</v>
      </c>
      <c r="L415" s="18" t="s">
        <v>25</v>
      </c>
      <c r="N415" s="18" t="s">
        <v>26</v>
      </c>
    </row>
    <row r="416" spans="1:14" ht="15" customHeight="1" x14ac:dyDescent="0.3">
      <c r="A416" s="18" t="s">
        <v>1014</v>
      </c>
      <c r="B416" s="19" t="s">
        <v>15</v>
      </c>
      <c r="C416" s="18" t="s">
        <v>1015</v>
      </c>
      <c r="D416" s="18" t="s">
        <v>17</v>
      </c>
      <c r="E416" s="18" t="s">
        <v>74</v>
      </c>
      <c r="F416" s="18" t="s">
        <v>1030</v>
      </c>
      <c r="G416" s="18" t="s">
        <v>273</v>
      </c>
      <c r="H416" s="18" t="s">
        <v>1027</v>
      </c>
      <c r="I416" s="20" t="s">
        <v>1031</v>
      </c>
      <c r="J416" s="18" t="s">
        <v>1032</v>
      </c>
      <c r="K416" s="18" t="s">
        <v>91</v>
      </c>
      <c r="L416" s="18" t="s">
        <v>25</v>
      </c>
      <c r="N416" s="18" t="s">
        <v>26</v>
      </c>
    </row>
    <row r="417" spans="1:14" ht="15" customHeight="1" x14ac:dyDescent="0.3">
      <c r="A417" s="18" t="s">
        <v>1014</v>
      </c>
      <c r="B417" s="19" t="s">
        <v>15</v>
      </c>
      <c r="C417" s="18" t="s">
        <v>1015</v>
      </c>
      <c r="D417" s="18" t="s">
        <v>17</v>
      </c>
      <c r="E417" s="18" t="s">
        <v>74</v>
      </c>
      <c r="F417" s="18" t="s">
        <v>1033</v>
      </c>
      <c r="G417" s="18" t="s">
        <v>1019</v>
      </c>
      <c r="H417" s="18" t="s">
        <v>1034</v>
      </c>
      <c r="I417" s="20" t="s">
        <v>1035</v>
      </c>
      <c r="J417" s="18" t="s">
        <v>1036</v>
      </c>
      <c r="K417" s="18" t="s">
        <v>293</v>
      </c>
      <c r="L417" s="18" t="s">
        <v>25</v>
      </c>
      <c r="N417" s="18" t="s">
        <v>26</v>
      </c>
    </row>
    <row r="418" spans="1:14" ht="15" customHeight="1" x14ac:dyDescent="0.3">
      <c r="A418" s="18" t="s">
        <v>1014</v>
      </c>
      <c r="B418" s="19" t="s">
        <v>15</v>
      </c>
      <c r="C418" s="18" t="s">
        <v>1015</v>
      </c>
      <c r="D418" s="18" t="s">
        <v>17</v>
      </c>
      <c r="E418" s="18" t="s">
        <v>74</v>
      </c>
      <c r="F418" s="18" t="s">
        <v>1037</v>
      </c>
      <c r="G418" s="18" t="s">
        <v>536</v>
      </c>
      <c r="H418" s="18" t="s">
        <v>1038</v>
      </c>
      <c r="I418" s="20" t="s">
        <v>1039</v>
      </c>
      <c r="J418" s="18" t="s">
        <v>1040</v>
      </c>
      <c r="K418" s="18" t="s">
        <v>293</v>
      </c>
      <c r="L418" s="18" t="s">
        <v>25</v>
      </c>
      <c r="N418" s="18" t="s">
        <v>26</v>
      </c>
    </row>
    <row r="419" spans="1:14" ht="15" customHeight="1" x14ac:dyDescent="0.3">
      <c r="A419" s="18" t="s">
        <v>1014</v>
      </c>
      <c r="B419" s="19" t="s">
        <v>15</v>
      </c>
      <c r="C419" s="18" t="s">
        <v>1015</v>
      </c>
      <c r="D419" s="18" t="s">
        <v>17</v>
      </c>
      <c r="E419" s="18" t="s">
        <v>74</v>
      </c>
      <c r="F419" s="18" t="s">
        <v>1041</v>
      </c>
      <c r="G419" s="18" t="s">
        <v>536</v>
      </c>
      <c r="H419" s="18" t="s">
        <v>1042</v>
      </c>
      <c r="I419" s="20" t="s">
        <v>1043</v>
      </c>
      <c r="J419" s="18" t="s">
        <v>1044</v>
      </c>
      <c r="K419" s="18" t="s">
        <v>91</v>
      </c>
      <c r="L419" s="18" t="s">
        <v>25</v>
      </c>
      <c r="N419" s="18" t="s">
        <v>26</v>
      </c>
    </row>
    <row r="420" spans="1:14" ht="15" customHeight="1" x14ac:dyDescent="0.3">
      <c r="A420" s="18" t="s">
        <v>1014</v>
      </c>
      <c r="B420" s="19" t="s">
        <v>15</v>
      </c>
      <c r="C420" s="18" t="s">
        <v>1015</v>
      </c>
      <c r="D420" s="18" t="s">
        <v>17</v>
      </c>
      <c r="E420" s="18" t="s">
        <v>74</v>
      </c>
      <c r="F420" s="18" t="s">
        <v>1045</v>
      </c>
      <c r="G420" s="18" t="s">
        <v>536</v>
      </c>
      <c r="H420" s="18" t="s">
        <v>1046</v>
      </c>
      <c r="I420" s="20" t="s">
        <v>1047</v>
      </c>
      <c r="J420" s="18" t="s">
        <v>1048</v>
      </c>
      <c r="K420" s="18" t="s">
        <v>293</v>
      </c>
      <c r="L420" s="18" t="s">
        <v>25</v>
      </c>
      <c r="N420" s="18" t="s">
        <v>26</v>
      </c>
    </row>
    <row r="421" spans="1:14" ht="15" customHeight="1" x14ac:dyDescent="0.3">
      <c r="A421" s="18" t="s">
        <v>1014</v>
      </c>
      <c r="B421" s="19" t="s">
        <v>15</v>
      </c>
      <c r="C421" s="18" t="s">
        <v>1015</v>
      </c>
      <c r="D421" s="18" t="s">
        <v>17</v>
      </c>
      <c r="E421" s="18" t="s">
        <v>226</v>
      </c>
      <c r="F421" s="18" t="s">
        <v>1049</v>
      </c>
      <c r="G421" s="18" t="s">
        <v>41</v>
      </c>
      <c r="H421" s="18" t="s">
        <v>1050</v>
      </c>
      <c r="I421" s="20" t="s">
        <v>1051</v>
      </c>
      <c r="J421" s="18" t="s">
        <v>1052</v>
      </c>
      <c r="K421" s="18" t="s">
        <v>293</v>
      </c>
      <c r="L421" s="18" t="s">
        <v>25</v>
      </c>
      <c r="N421" s="18" t="s">
        <v>26</v>
      </c>
    </row>
    <row r="422" spans="1:14" ht="15" customHeight="1" x14ac:dyDescent="0.3">
      <c r="A422" s="18" t="s">
        <v>1053</v>
      </c>
      <c r="B422" s="19" t="s">
        <v>15</v>
      </c>
      <c r="C422" s="18" t="s">
        <v>210</v>
      </c>
      <c r="D422" s="18" t="s">
        <v>116</v>
      </c>
      <c r="E422" s="18" t="s">
        <v>18</v>
      </c>
      <c r="F422" s="18" t="s">
        <v>1054</v>
      </c>
      <c r="G422" s="18" t="s">
        <v>1055</v>
      </c>
      <c r="H422" s="18" t="s">
        <v>1056</v>
      </c>
      <c r="I422" s="20" t="s">
        <v>1057</v>
      </c>
      <c r="J422" s="18" t="s">
        <v>30</v>
      </c>
      <c r="K422" s="18" t="s">
        <v>24</v>
      </c>
      <c r="L422" s="18" t="s">
        <v>25</v>
      </c>
      <c r="N422" s="18" t="s">
        <v>26</v>
      </c>
    </row>
    <row r="423" spans="1:14" ht="15" customHeight="1" x14ac:dyDescent="0.3">
      <c r="A423" s="18" t="s">
        <v>1053</v>
      </c>
      <c r="B423" s="19" t="s">
        <v>15</v>
      </c>
      <c r="C423" s="18" t="s">
        <v>210</v>
      </c>
      <c r="D423" s="18" t="s">
        <v>116</v>
      </c>
      <c r="E423" s="18" t="s">
        <v>18</v>
      </c>
      <c r="F423" s="18" t="s">
        <v>1058</v>
      </c>
      <c r="G423" s="18" t="s">
        <v>1059</v>
      </c>
      <c r="H423" s="18" t="s">
        <v>1056</v>
      </c>
      <c r="I423" s="20" t="s">
        <v>1060</v>
      </c>
      <c r="J423" s="18" t="s">
        <v>30</v>
      </c>
      <c r="K423" s="18" t="s">
        <v>24</v>
      </c>
      <c r="L423" s="18" t="s">
        <v>25</v>
      </c>
      <c r="N423" s="18" t="s">
        <v>26</v>
      </c>
    </row>
    <row r="424" spans="1:14" ht="15" customHeight="1" x14ac:dyDescent="0.3">
      <c r="A424" s="18" t="s">
        <v>1053</v>
      </c>
      <c r="B424" s="19" t="s">
        <v>15</v>
      </c>
      <c r="C424" s="18" t="s">
        <v>210</v>
      </c>
      <c r="D424" s="18" t="s">
        <v>116</v>
      </c>
      <c r="E424" s="18" t="s">
        <v>18</v>
      </c>
      <c r="F424" s="18" t="s">
        <v>1061</v>
      </c>
      <c r="G424" s="18" t="s">
        <v>47</v>
      </c>
      <c r="H424" s="18" t="s">
        <v>1062</v>
      </c>
      <c r="I424" s="20" t="s">
        <v>1063</v>
      </c>
      <c r="J424" s="18" t="s">
        <v>30</v>
      </c>
      <c r="K424" s="18" t="s">
        <v>24</v>
      </c>
      <c r="L424" s="18" t="s">
        <v>25</v>
      </c>
      <c r="N424" s="18" t="s">
        <v>26</v>
      </c>
    </row>
    <row r="425" spans="1:14" ht="15" customHeight="1" x14ac:dyDescent="0.3">
      <c r="A425" s="18" t="s">
        <v>1053</v>
      </c>
      <c r="B425" s="19" t="s">
        <v>15</v>
      </c>
      <c r="C425" s="18" t="s">
        <v>210</v>
      </c>
      <c r="D425" s="18" t="s">
        <v>116</v>
      </c>
      <c r="E425" s="18" t="s">
        <v>18</v>
      </c>
      <c r="F425" s="18" t="s">
        <v>1064</v>
      </c>
      <c r="G425" s="18" t="s">
        <v>47</v>
      </c>
      <c r="H425" s="18" t="s">
        <v>1065</v>
      </c>
      <c r="I425" s="20" t="s">
        <v>1066</v>
      </c>
      <c r="J425" s="18" t="s">
        <v>30</v>
      </c>
      <c r="K425" s="18" t="s">
        <v>24</v>
      </c>
      <c r="L425" s="18" t="s">
        <v>25</v>
      </c>
      <c r="N425" s="18" t="s">
        <v>26</v>
      </c>
    </row>
    <row r="426" spans="1:14" ht="15" customHeight="1" x14ac:dyDescent="0.3">
      <c r="A426" s="18" t="s">
        <v>1053</v>
      </c>
      <c r="B426" s="19" t="s">
        <v>15</v>
      </c>
      <c r="C426" s="18" t="s">
        <v>210</v>
      </c>
      <c r="D426" s="18" t="s">
        <v>116</v>
      </c>
      <c r="E426" s="18" t="s">
        <v>18</v>
      </c>
      <c r="F426" s="18" t="s">
        <v>619</v>
      </c>
      <c r="G426" s="18" t="s">
        <v>619</v>
      </c>
      <c r="H426" s="18" t="s">
        <v>1067</v>
      </c>
      <c r="I426" s="20" t="s">
        <v>1068</v>
      </c>
      <c r="J426" s="18" t="s">
        <v>23</v>
      </c>
      <c r="K426" s="18" t="s">
        <v>24</v>
      </c>
      <c r="L426" s="18" t="s">
        <v>25</v>
      </c>
      <c r="N426" s="18" t="s">
        <v>26</v>
      </c>
    </row>
    <row r="427" spans="1:14" ht="15" customHeight="1" x14ac:dyDescent="0.3">
      <c r="A427" s="18" t="s">
        <v>1053</v>
      </c>
      <c r="B427" s="19" t="s">
        <v>15</v>
      </c>
      <c r="C427" s="18" t="s">
        <v>210</v>
      </c>
      <c r="D427" s="18" t="s">
        <v>116</v>
      </c>
      <c r="E427" s="18" t="s">
        <v>18</v>
      </c>
      <c r="F427" s="18" t="s">
        <v>1069</v>
      </c>
      <c r="G427" s="18" t="s">
        <v>1069</v>
      </c>
      <c r="H427" s="18" t="s">
        <v>1070</v>
      </c>
      <c r="I427" s="20" t="s">
        <v>1071</v>
      </c>
      <c r="J427" s="18" t="s">
        <v>30</v>
      </c>
      <c r="K427" s="18" t="s">
        <v>24</v>
      </c>
      <c r="L427" s="18" t="s">
        <v>25</v>
      </c>
      <c r="N427" s="18" t="s">
        <v>26</v>
      </c>
    </row>
    <row r="428" spans="1:14" ht="15" customHeight="1" x14ac:dyDescent="0.3">
      <c r="A428" s="18" t="s">
        <v>1053</v>
      </c>
      <c r="B428" s="19" t="s">
        <v>15</v>
      </c>
      <c r="C428" s="18" t="s">
        <v>210</v>
      </c>
      <c r="D428" s="18" t="s">
        <v>116</v>
      </c>
      <c r="E428" s="18" t="s">
        <v>18</v>
      </c>
      <c r="F428" s="18" t="s">
        <v>1072</v>
      </c>
      <c r="G428" s="18" t="s">
        <v>47</v>
      </c>
      <c r="H428" s="18" t="s">
        <v>1065</v>
      </c>
      <c r="I428" s="20" t="s">
        <v>1073</v>
      </c>
      <c r="J428" s="18" t="s">
        <v>30</v>
      </c>
      <c r="K428" s="18" t="s">
        <v>24</v>
      </c>
      <c r="L428" s="18" t="s">
        <v>25</v>
      </c>
      <c r="N428" s="18" t="s">
        <v>26</v>
      </c>
    </row>
    <row r="429" spans="1:14" ht="15" customHeight="1" x14ac:dyDescent="0.3">
      <c r="A429" s="18" t="s">
        <v>1053</v>
      </c>
      <c r="B429" s="19" t="s">
        <v>15</v>
      </c>
      <c r="C429" s="18" t="s">
        <v>210</v>
      </c>
      <c r="D429" s="18" t="s">
        <v>116</v>
      </c>
      <c r="E429" s="18" t="s">
        <v>18</v>
      </c>
      <c r="F429" s="18" t="s">
        <v>1074</v>
      </c>
      <c r="G429" s="18" t="s">
        <v>1075</v>
      </c>
      <c r="H429" s="18" t="s">
        <v>1065</v>
      </c>
      <c r="I429" s="20" t="s">
        <v>1076</v>
      </c>
      <c r="J429" s="18" t="s">
        <v>30</v>
      </c>
      <c r="K429" s="18" t="s">
        <v>24</v>
      </c>
      <c r="L429" s="18" t="s">
        <v>25</v>
      </c>
      <c r="N429" s="18" t="s">
        <v>26</v>
      </c>
    </row>
    <row r="430" spans="1:14" ht="15" customHeight="1" x14ac:dyDescent="0.3">
      <c r="A430" s="18" t="s">
        <v>1053</v>
      </c>
      <c r="B430" s="19" t="s">
        <v>15</v>
      </c>
      <c r="C430" s="18" t="s">
        <v>210</v>
      </c>
      <c r="D430" s="18" t="s">
        <v>116</v>
      </c>
      <c r="E430" s="18" t="s">
        <v>18</v>
      </c>
      <c r="F430" s="18" t="s">
        <v>1077</v>
      </c>
      <c r="G430" s="18" t="s">
        <v>1059</v>
      </c>
      <c r="H430" s="18" t="s">
        <v>1056</v>
      </c>
      <c r="I430" s="20" t="s">
        <v>1078</v>
      </c>
      <c r="J430" s="18" t="s">
        <v>30</v>
      </c>
      <c r="K430" s="18" t="s">
        <v>24</v>
      </c>
      <c r="L430" s="18" t="s">
        <v>25</v>
      </c>
      <c r="N430" s="18" t="s">
        <v>26</v>
      </c>
    </row>
    <row r="431" spans="1:14" ht="15" customHeight="1" x14ac:dyDescent="0.3">
      <c r="A431" s="18" t="s">
        <v>1053</v>
      </c>
      <c r="B431" s="19" t="s">
        <v>15</v>
      </c>
      <c r="C431" s="18" t="s">
        <v>210</v>
      </c>
      <c r="D431" s="18" t="s">
        <v>116</v>
      </c>
      <c r="E431" s="18" t="s">
        <v>18</v>
      </c>
      <c r="F431" s="18" t="s">
        <v>1079</v>
      </c>
      <c r="G431" s="18" t="s">
        <v>564</v>
      </c>
      <c r="H431" s="18" t="s">
        <v>1080</v>
      </c>
      <c r="I431" s="20" t="s">
        <v>1081</v>
      </c>
      <c r="J431" s="18" t="s">
        <v>30</v>
      </c>
      <c r="K431" s="18" t="s">
        <v>24</v>
      </c>
      <c r="L431" s="18" t="s">
        <v>25</v>
      </c>
      <c r="N431" s="18" t="s">
        <v>26</v>
      </c>
    </row>
    <row r="432" spans="1:14" ht="15" customHeight="1" x14ac:dyDescent="0.3">
      <c r="A432" s="18" t="s">
        <v>1053</v>
      </c>
      <c r="B432" s="19" t="s">
        <v>15</v>
      </c>
      <c r="C432" s="18" t="s">
        <v>210</v>
      </c>
      <c r="D432" s="18" t="s">
        <v>116</v>
      </c>
      <c r="E432" s="18" t="s">
        <v>18</v>
      </c>
      <c r="F432" s="18" t="s">
        <v>40</v>
      </c>
      <c r="G432" s="18" t="s">
        <v>41</v>
      </c>
      <c r="H432" s="18" t="s">
        <v>1070</v>
      </c>
      <c r="I432" s="20" t="s">
        <v>1082</v>
      </c>
      <c r="J432" s="18" t="s">
        <v>30</v>
      </c>
      <c r="K432" s="18" t="s">
        <v>24</v>
      </c>
      <c r="L432" s="18" t="s">
        <v>25</v>
      </c>
      <c r="M432" s="18" t="s">
        <v>1083</v>
      </c>
      <c r="N432" s="18" t="s">
        <v>26</v>
      </c>
    </row>
    <row r="433" spans="1:14" ht="15" customHeight="1" x14ac:dyDescent="0.3">
      <c r="A433" s="18" t="s">
        <v>1053</v>
      </c>
      <c r="B433" s="19" t="s">
        <v>15</v>
      </c>
      <c r="C433" s="18" t="s">
        <v>210</v>
      </c>
      <c r="D433" s="18" t="s">
        <v>116</v>
      </c>
      <c r="E433" s="18" t="s">
        <v>18</v>
      </c>
      <c r="F433" s="18" t="s">
        <v>1084</v>
      </c>
      <c r="G433" s="18" t="s">
        <v>41</v>
      </c>
      <c r="H433" s="18" t="s">
        <v>1080</v>
      </c>
      <c r="I433" s="20" t="s">
        <v>1085</v>
      </c>
      <c r="J433" s="18" t="s">
        <v>30</v>
      </c>
      <c r="K433" s="18" t="s">
        <v>24</v>
      </c>
      <c r="L433" s="18" t="s">
        <v>25</v>
      </c>
      <c r="N433" s="18" t="s">
        <v>26</v>
      </c>
    </row>
    <row r="434" spans="1:14" ht="15" customHeight="1" x14ac:dyDescent="0.3">
      <c r="A434" s="18" t="s">
        <v>1053</v>
      </c>
      <c r="B434" s="19" t="s">
        <v>15</v>
      </c>
      <c r="C434" s="18" t="s">
        <v>210</v>
      </c>
      <c r="D434" s="18" t="s">
        <v>116</v>
      </c>
      <c r="E434" s="18" t="s">
        <v>18</v>
      </c>
      <c r="F434" s="18" t="s">
        <v>1086</v>
      </c>
      <c r="G434" s="18" t="s">
        <v>207</v>
      </c>
      <c r="H434" s="18" t="s">
        <v>1080</v>
      </c>
      <c r="I434" s="20" t="s">
        <v>1087</v>
      </c>
      <c r="J434" s="18" t="s">
        <v>30</v>
      </c>
      <c r="K434" s="18" t="s">
        <v>24</v>
      </c>
      <c r="L434" s="18" t="s">
        <v>25</v>
      </c>
      <c r="N434" s="18" t="s">
        <v>26</v>
      </c>
    </row>
    <row r="435" spans="1:14" ht="15" customHeight="1" x14ac:dyDescent="0.3">
      <c r="A435" s="18" t="s">
        <v>1053</v>
      </c>
      <c r="B435" s="19" t="s">
        <v>15</v>
      </c>
      <c r="C435" s="18" t="s">
        <v>210</v>
      </c>
      <c r="D435" s="18" t="s">
        <v>116</v>
      </c>
      <c r="E435" s="18" t="s">
        <v>18</v>
      </c>
      <c r="F435" s="18" t="s">
        <v>1088</v>
      </c>
      <c r="G435" s="18" t="s">
        <v>41</v>
      </c>
      <c r="H435" s="18" t="s">
        <v>1080</v>
      </c>
      <c r="I435" s="20" t="s">
        <v>1089</v>
      </c>
      <c r="J435" s="18" t="s">
        <v>30</v>
      </c>
      <c r="K435" s="18" t="s">
        <v>24</v>
      </c>
      <c r="L435" s="18" t="s">
        <v>25</v>
      </c>
      <c r="N435" s="18" t="s">
        <v>26</v>
      </c>
    </row>
    <row r="436" spans="1:14" ht="15" customHeight="1" x14ac:dyDescent="0.3">
      <c r="A436" s="18" t="s">
        <v>1053</v>
      </c>
      <c r="B436" s="19" t="s">
        <v>15</v>
      </c>
      <c r="C436" s="18" t="s">
        <v>210</v>
      </c>
      <c r="D436" s="18" t="s">
        <v>116</v>
      </c>
      <c r="E436" s="18" t="s">
        <v>18</v>
      </c>
      <c r="F436" s="18" t="s">
        <v>1090</v>
      </c>
      <c r="G436" s="18" t="s">
        <v>197</v>
      </c>
      <c r="H436" s="18" t="s">
        <v>1056</v>
      </c>
      <c r="I436" s="20" t="s">
        <v>1091</v>
      </c>
      <c r="J436" s="18" t="s">
        <v>30</v>
      </c>
      <c r="K436" s="18" t="s">
        <v>24</v>
      </c>
      <c r="L436" s="18" t="s">
        <v>25</v>
      </c>
      <c r="N436" s="18" t="s">
        <v>26</v>
      </c>
    </row>
    <row r="437" spans="1:14" ht="15" customHeight="1" x14ac:dyDescent="0.3">
      <c r="A437" s="18" t="s">
        <v>1053</v>
      </c>
      <c r="B437" s="19" t="s">
        <v>15</v>
      </c>
      <c r="C437" s="18" t="s">
        <v>210</v>
      </c>
      <c r="D437" s="18" t="s">
        <v>116</v>
      </c>
      <c r="E437" s="18" t="s">
        <v>18</v>
      </c>
      <c r="F437" s="18" t="s">
        <v>1092</v>
      </c>
      <c r="G437" s="18" t="s">
        <v>47</v>
      </c>
      <c r="H437" s="18" t="s">
        <v>1065</v>
      </c>
      <c r="I437" s="20" t="s">
        <v>1093</v>
      </c>
      <c r="J437" s="18" t="s">
        <v>23</v>
      </c>
      <c r="K437" s="18" t="s">
        <v>24</v>
      </c>
      <c r="L437" s="18" t="s">
        <v>25</v>
      </c>
      <c r="N437" s="18" t="s">
        <v>26</v>
      </c>
    </row>
    <row r="438" spans="1:14" ht="15" customHeight="1" x14ac:dyDescent="0.3">
      <c r="A438" s="18" t="s">
        <v>1053</v>
      </c>
      <c r="B438" s="19" t="s">
        <v>15</v>
      </c>
      <c r="C438" s="18" t="s">
        <v>210</v>
      </c>
      <c r="D438" s="18" t="s">
        <v>116</v>
      </c>
      <c r="E438" s="18" t="s">
        <v>18</v>
      </c>
      <c r="F438" s="18" t="s">
        <v>1094</v>
      </c>
      <c r="G438" s="18" t="s">
        <v>1095</v>
      </c>
      <c r="H438" s="18" t="s">
        <v>1065</v>
      </c>
      <c r="I438" s="20" t="s">
        <v>1096</v>
      </c>
      <c r="J438" s="18" t="s">
        <v>30</v>
      </c>
      <c r="K438" s="18" t="s">
        <v>24</v>
      </c>
      <c r="L438" s="18" t="s">
        <v>25</v>
      </c>
      <c r="N438" s="18" t="s">
        <v>26</v>
      </c>
    </row>
    <row r="439" spans="1:14" ht="15" customHeight="1" x14ac:dyDescent="0.3">
      <c r="A439" s="18" t="s">
        <v>1053</v>
      </c>
      <c r="B439" s="19" t="s">
        <v>15</v>
      </c>
      <c r="C439" s="18" t="s">
        <v>210</v>
      </c>
      <c r="D439" s="18" t="s">
        <v>116</v>
      </c>
      <c r="E439" s="18" t="s">
        <v>18</v>
      </c>
      <c r="F439" s="18" t="s">
        <v>1097</v>
      </c>
      <c r="G439" s="18" t="s">
        <v>1095</v>
      </c>
      <c r="H439" s="18" t="s">
        <v>1080</v>
      </c>
      <c r="I439" s="20" t="s">
        <v>1098</v>
      </c>
      <c r="J439" s="18" t="s">
        <v>30</v>
      </c>
      <c r="K439" s="18" t="s">
        <v>24</v>
      </c>
      <c r="L439" s="18" t="s">
        <v>25</v>
      </c>
      <c r="N439" s="18" t="s">
        <v>26</v>
      </c>
    </row>
    <row r="440" spans="1:14" ht="15" customHeight="1" x14ac:dyDescent="0.3">
      <c r="A440" s="18" t="s">
        <v>1053</v>
      </c>
      <c r="B440" s="19" t="s">
        <v>15</v>
      </c>
      <c r="C440" s="18" t="s">
        <v>210</v>
      </c>
      <c r="D440" s="18" t="s">
        <v>116</v>
      </c>
      <c r="E440" s="18" t="s">
        <v>18</v>
      </c>
      <c r="F440" s="18" t="s">
        <v>1099</v>
      </c>
      <c r="G440" s="18" t="s">
        <v>1059</v>
      </c>
      <c r="H440" s="18" t="s">
        <v>1056</v>
      </c>
      <c r="I440" s="20" t="s">
        <v>1100</v>
      </c>
      <c r="J440" s="18" t="s">
        <v>30</v>
      </c>
      <c r="K440" s="18" t="s">
        <v>24</v>
      </c>
      <c r="L440" s="18" t="s">
        <v>25</v>
      </c>
      <c r="N440" s="18" t="s">
        <v>26</v>
      </c>
    </row>
    <row r="441" spans="1:14" ht="15" customHeight="1" x14ac:dyDescent="0.3">
      <c r="A441" s="18" t="s">
        <v>1053</v>
      </c>
      <c r="B441" s="19" t="s">
        <v>15</v>
      </c>
      <c r="C441" s="18" t="s">
        <v>210</v>
      </c>
      <c r="D441" s="18" t="s">
        <v>116</v>
      </c>
      <c r="E441" s="18" t="s">
        <v>18</v>
      </c>
      <c r="F441" s="18" t="s">
        <v>340</v>
      </c>
      <c r="G441" s="18" t="s">
        <v>340</v>
      </c>
      <c r="H441" s="18" t="s">
        <v>1056</v>
      </c>
      <c r="I441" s="20" t="s">
        <v>1101</v>
      </c>
      <c r="J441" s="18" t="s">
        <v>30</v>
      </c>
      <c r="K441" s="18" t="s">
        <v>24</v>
      </c>
      <c r="L441" s="18" t="s">
        <v>25</v>
      </c>
      <c r="N441" s="18" t="s">
        <v>26</v>
      </c>
    </row>
    <row r="442" spans="1:14" ht="15" customHeight="1" x14ac:dyDescent="0.3">
      <c r="A442" s="18" t="s">
        <v>1053</v>
      </c>
      <c r="B442" s="19" t="s">
        <v>15</v>
      </c>
      <c r="C442" s="18" t="s">
        <v>210</v>
      </c>
      <c r="D442" s="18" t="s">
        <v>116</v>
      </c>
      <c r="E442" s="18" t="s">
        <v>18</v>
      </c>
      <c r="F442" s="18" t="s">
        <v>1102</v>
      </c>
      <c r="G442" s="18" t="s">
        <v>263</v>
      </c>
      <c r="H442" s="18" t="s">
        <v>1056</v>
      </c>
      <c r="I442" s="20" t="s">
        <v>1103</v>
      </c>
      <c r="J442" s="18" t="s">
        <v>30</v>
      </c>
      <c r="K442" s="18" t="s">
        <v>24</v>
      </c>
      <c r="L442" s="18" t="s">
        <v>25</v>
      </c>
      <c r="N442" s="18" t="s">
        <v>26</v>
      </c>
    </row>
    <row r="443" spans="1:14" ht="15" customHeight="1" x14ac:dyDescent="0.3">
      <c r="A443" s="18" t="s">
        <v>1053</v>
      </c>
      <c r="B443" s="19" t="s">
        <v>15</v>
      </c>
      <c r="C443" s="18" t="s">
        <v>210</v>
      </c>
      <c r="D443" s="18" t="s">
        <v>116</v>
      </c>
      <c r="E443" s="18" t="s">
        <v>18</v>
      </c>
      <c r="F443" s="18" t="s">
        <v>1104</v>
      </c>
      <c r="G443" s="18" t="s">
        <v>1055</v>
      </c>
      <c r="H443" s="18" t="s">
        <v>1056</v>
      </c>
      <c r="I443" s="20" t="s">
        <v>1105</v>
      </c>
      <c r="J443" s="18" t="s">
        <v>30</v>
      </c>
      <c r="K443" s="18" t="s">
        <v>24</v>
      </c>
      <c r="L443" s="18" t="s">
        <v>25</v>
      </c>
      <c r="N443" s="18" t="s">
        <v>26</v>
      </c>
    </row>
    <row r="444" spans="1:14" ht="15" customHeight="1" x14ac:dyDescent="0.3">
      <c r="A444" s="18" t="s">
        <v>1053</v>
      </c>
      <c r="B444" s="19" t="s">
        <v>15</v>
      </c>
      <c r="C444" s="18" t="s">
        <v>210</v>
      </c>
      <c r="D444" s="18" t="s">
        <v>116</v>
      </c>
      <c r="E444" s="18" t="s">
        <v>18</v>
      </c>
      <c r="F444" s="18" t="s">
        <v>1106</v>
      </c>
      <c r="G444" s="18" t="s">
        <v>47</v>
      </c>
      <c r="H444" s="18" t="s">
        <v>1065</v>
      </c>
      <c r="I444" s="20" t="s">
        <v>1107</v>
      </c>
      <c r="J444" s="18" t="s">
        <v>30</v>
      </c>
      <c r="K444" s="18" t="s">
        <v>24</v>
      </c>
      <c r="L444" s="18" t="s">
        <v>25</v>
      </c>
      <c r="N444" s="18" t="s">
        <v>26</v>
      </c>
    </row>
    <row r="445" spans="1:14" ht="15" customHeight="1" x14ac:dyDescent="0.3">
      <c r="A445" s="18" t="s">
        <v>1053</v>
      </c>
      <c r="B445" s="19" t="s">
        <v>15</v>
      </c>
      <c r="C445" s="18" t="s">
        <v>210</v>
      </c>
      <c r="D445" s="18" t="s">
        <v>116</v>
      </c>
      <c r="E445" s="18" t="s">
        <v>18</v>
      </c>
      <c r="F445" s="18" t="s">
        <v>1108</v>
      </c>
      <c r="G445" s="18" t="s">
        <v>47</v>
      </c>
      <c r="H445" s="18" t="s">
        <v>1065</v>
      </c>
      <c r="I445" s="20" t="s">
        <v>1109</v>
      </c>
      <c r="J445" s="18" t="s">
        <v>30</v>
      </c>
      <c r="K445" s="18" t="s">
        <v>24</v>
      </c>
      <c r="L445" s="18" t="s">
        <v>25</v>
      </c>
      <c r="N445" s="18" t="s">
        <v>26</v>
      </c>
    </row>
    <row r="446" spans="1:14" ht="15" customHeight="1" x14ac:dyDescent="0.3">
      <c r="A446" s="18" t="s">
        <v>1053</v>
      </c>
      <c r="B446" s="19" t="s">
        <v>15</v>
      </c>
      <c r="C446" s="18" t="s">
        <v>210</v>
      </c>
      <c r="D446" s="18" t="s">
        <v>116</v>
      </c>
      <c r="E446" s="18" t="s">
        <v>18</v>
      </c>
      <c r="F446" s="18" t="s">
        <v>1110</v>
      </c>
      <c r="G446" s="18" t="s">
        <v>47</v>
      </c>
      <c r="H446" s="18" t="s">
        <v>1065</v>
      </c>
      <c r="I446" s="20" t="s">
        <v>1111</v>
      </c>
      <c r="J446" s="18" t="s">
        <v>30</v>
      </c>
      <c r="K446" s="18" t="s">
        <v>24</v>
      </c>
      <c r="L446" s="18" t="s">
        <v>25</v>
      </c>
      <c r="N446" s="18" t="s">
        <v>26</v>
      </c>
    </row>
    <row r="447" spans="1:14" ht="15" customHeight="1" x14ac:dyDescent="0.3">
      <c r="A447" s="18" t="s">
        <v>1053</v>
      </c>
      <c r="B447" s="19" t="s">
        <v>15</v>
      </c>
      <c r="C447" s="18" t="s">
        <v>210</v>
      </c>
      <c r="D447" s="18" t="s">
        <v>116</v>
      </c>
      <c r="E447" s="18" t="s">
        <v>18</v>
      </c>
      <c r="F447" s="18" t="s">
        <v>1112</v>
      </c>
      <c r="G447" s="18" t="s">
        <v>47</v>
      </c>
      <c r="H447" s="18" t="s">
        <v>1065</v>
      </c>
      <c r="I447" s="20" t="s">
        <v>1113</v>
      </c>
      <c r="J447" s="18" t="s">
        <v>30</v>
      </c>
      <c r="K447" s="18" t="s">
        <v>24</v>
      </c>
      <c r="L447" s="18" t="s">
        <v>25</v>
      </c>
      <c r="N447" s="18" t="s">
        <v>26</v>
      </c>
    </row>
    <row r="448" spans="1:14" ht="15" customHeight="1" x14ac:dyDescent="0.3">
      <c r="A448" s="18" t="s">
        <v>1053</v>
      </c>
      <c r="B448" s="19" t="s">
        <v>15</v>
      </c>
      <c r="C448" s="18" t="s">
        <v>210</v>
      </c>
      <c r="D448" s="18" t="s">
        <v>116</v>
      </c>
      <c r="E448" s="18" t="s">
        <v>18</v>
      </c>
      <c r="F448" s="18" t="s">
        <v>1114</v>
      </c>
      <c r="G448" s="18" t="s">
        <v>47</v>
      </c>
      <c r="H448" s="18" t="s">
        <v>1065</v>
      </c>
      <c r="I448" s="20" t="s">
        <v>1115</v>
      </c>
      <c r="J448" s="18" t="s">
        <v>30</v>
      </c>
      <c r="K448" s="18" t="s">
        <v>24</v>
      </c>
      <c r="L448" s="18" t="s">
        <v>25</v>
      </c>
      <c r="N448" s="18" t="s">
        <v>26</v>
      </c>
    </row>
    <row r="449" spans="1:14" ht="15" customHeight="1" x14ac:dyDescent="0.3">
      <c r="A449" s="18" t="s">
        <v>1053</v>
      </c>
      <c r="B449" s="19" t="s">
        <v>15</v>
      </c>
      <c r="C449" s="18" t="s">
        <v>210</v>
      </c>
      <c r="D449" s="18" t="s">
        <v>116</v>
      </c>
      <c r="E449" s="18" t="s">
        <v>18</v>
      </c>
      <c r="F449" s="18" t="s">
        <v>1116</v>
      </c>
      <c r="G449" s="18" t="s">
        <v>47</v>
      </c>
      <c r="H449" s="18" t="s">
        <v>1065</v>
      </c>
      <c r="I449" s="20" t="s">
        <v>1117</v>
      </c>
      <c r="J449" s="18" t="s">
        <v>30</v>
      </c>
      <c r="K449" s="18" t="s">
        <v>24</v>
      </c>
      <c r="L449" s="18" t="s">
        <v>25</v>
      </c>
      <c r="N449" s="18" t="s">
        <v>26</v>
      </c>
    </row>
    <row r="450" spans="1:14" ht="15" customHeight="1" x14ac:dyDescent="0.3">
      <c r="A450" s="18" t="s">
        <v>1053</v>
      </c>
      <c r="B450" s="19" t="s">
        <v>15</v>
      </c>
      <c r="C450" s="18" t="s">
        <v>210</v>
      </c>
      <c r="D450" s="18" t="s">
        <v>116</v>
      </c>
      <c r="E450" s="18" t="s">
        <v>18</v>
      </c>
      <c r="F450" s="18" t="s">
        <v>1118</v>
      </c>
      <c r="G450" s="18" t="s">
        <v>212</v>
      </c>
      <c r="H450" s="18" t="s">
        <v>1119</v>
      </c>
      <c r="I450" s="20" t="s">
        <v>1120</v>
      </c>
      <c r="J450" s="18" t="s">
        <v>30</v>
      </c>
      <c r="K450" s="18" t="s">
        <v>24</v>
      </c>
      <c r="L450" s="18" t="s">
        <v>25</v>
      </c>
      <c r="N450" s="18" t="s">
        <v>26</v>
      </c>
    </row>
    <row r="451" spans="1:14" ht="15" customHeight="1" x14ac:dyDescent="0.3">
      <c r="A451" s="18" t="s">
        <v>1053</v>
      </c>
      <c r="B451" s="19" t="s">
        <v>15</v>
      </c>
      <c r="C451" s="18" t="s">
        <v>210</v>
      </c>
      <c r="D451" s="18" t="s">
        <v>116</v>
      </c>
      <c r="E451" s="18" t="s">
        <v>74</v>
      </c>
      <c r="F451" s="18" t="s">
        <v>1121</v>
      </c>
      <c r="G451" s="18" t="s">
        <v>88</v>
      </c>
      <c r="H451" s="18" t="s">
        <v>1122</v>
      </c>
      <c r="I451" s="20" t="s">
        <v>1123</v>
      </c>
      <c r="J451" s="18" t="s">
        <v>199</v>
      </c>
      <c r="K451" s="18" t="s">
        <v>24</v>
      </c>
      <c r="L451" s="18" t="s">
        <v>25</v>
      </c>
      <c r="N451" s="18" t="s">
        <v>26</v>
      </c>
    </row>
    <row r="452" spans="1:14" ht="15" customHeight="1" x14ac:dyDescent="0.3">
      <c r="A452" s="18" t="s">
        <v>1053</v>
      </c>
      <c r="B452" s="19" t="s">
        <v>15</v>
      </c>
      <c r="C452" s="18" t="s">
        <v>1124</v>
      </c>
      <c r="D452" s="18" t="s">
        <v>116</v>
      </c>
      <c r="E452" s="18" t="s">
        <v>74</v>
      </c>
      <c r="F452" s="18" t="s">
        <v>1125</v>
      </c>
      <c r="G452" s="18" t="s">
        <v>47</v>
      </c>
      <c r="H452" s="18" t="s">
        <v>1126</v>
      </c>
      <c r="I452" s="20" t="s">
        <v>1127</v>
      </c>
      <c r="J452" s="18" t="s">
        <v>1128</v>
      </c>
      <c r="K452" s="18" t="s">
        <v>24</v>
      </c>
      <c r="L452" s="18" t="s">
        <v>25</v>
      </c>
      <c r="N452" s="18" t="s">
        <v>26</v>
      </c>
    </row>
    <row r="453" spans="1:14" ht="15" customHeight="1" x14ac:dyDescent="0.3">
      <c r="A453" s="18" t="s">
        <v>1053</v>
      </c>
      <c r="B453" s="19" t="s">
        <v>15</v>
      </c>
      <c r="C453" s="18" t="s">
        <v>210</v>
      </c>
      <c r="D453" s="18" t="s">
        <v>116</v>
      </c>
      <c r="E453" s="18" t="s">
        <v>74</v>
      </c>
      <c r="F453" s="18" t="s">
        <v>1129</v>
      </c>
      <c r="G453" s="18" t="s">
        <v>1130</v>
      </c>
      <c r="H453" s="18" t="s">
        <v>1122</v>
      </c>
      <c r="I453" s="20" t="s">
        <v>1131</v>
      </c>
      <c r="J453" s="18" t="s">
        <v>1132</v>
      </c>
      <c r="K453" s="18" t="s">
        <v>24</v>
      </c>
      <c r="L453" s="18" t="s">
        <v>25</v>
      </c>
      <c r="N453" s="18" t="s">
        <v>26</v>
      </c>
    </row>
    <row r="454" spans="1:14" ht="15" customHeight="1" x14ac:dyDescent="0.3">
      <c r="A454" s="18" t="s">
        <v>1053</v>
      </c>
      <c r="B454" s="19" t="s">
        <v>15</v>
      </c>
      <c r="C454" s="18" t="s">
        <v>210</v>
      </c>
      <c r="D454" s="18" t="s">
        <v>116</v>
      </c>
      <c r="E454" s="18" t="s">
        <v>74</v>
      </c>
      <c r="F454" s="18" t="s">
        <v>1133</v>
      </c>
      <c r="G454" s="18" t="s">
        <v>1059</v>
      </c>
      <c r="H454" s="18" t="s">
        <v>1122</v>
      </c>
      <c r="I454" s="20" t="s">
        <v>1134</v>
      </c>
      <c r="J454" s="18" t="s">
        <v>1128</v>
      </c>
      <c r="K454" s="18" t="s">
        <v>24</v>
      </c>
      <c r="L454" s="18" t="s">
        <v>25</v>
      </c>
      <c r="N454" s="18" t="s">
        <v>26</v>
      </c>
    </row>
    <row r="455" spans="1:14" ht="15" customHeight="1" x14ac:dyDescent="0.3">
      <c r="A455" s="18" t="s">
        <v>1053</v>
      </c>
      <c r="B455" s="19" t="s">
        <v>15</v>
      </c>
      <c r="C455" s="18" t="s">
        <v>210</v>
      </c>
      <c r="D455" s="18" t="s">
        <v>116</v>
      </c>
      <c r="E455" s="18" t="s">
        <v>74</v>
      </c>
      <c r="F455" s="18" t="s">
        <v>1135</v>
      </c>
      <c r="G455" s="18" t="s">
        <v>1136</v>
      </c>
      <c r="H455" s="18" t="s">
        <v>1122</v>
      </c>
      <c r="I455" s="20" t="s">
        <v>1137</v>
      </c>
      <c r="J455" s="18" t="s">
        <v>1128</v>
      </c>
      <c r="K455" s="18" t="s">
        <v>24</v>
      </c>
      <c r="L455" s="18" t="s">
        <v>25</v>
      </c>
      <c r="N455" s="18" t="s">
        <v>26</v>
      </c>
    </row>
    <row r="456" spans="1:14" ht="15" customHeight="1" x14ac:dyDescent="0.3">
      <c r="A456" s="18" t="s">
        <v>1053</v>
      </c>
      <c r="B456" s="19" t="s">
        <v>15</v>
      </c>
      <c r="C456" s="18" t="s">
        <v>210</v>
      </c>
      <c r="D456" s="18" t="s">
        <v>116</v>
      </c>
      <c r="E456" s="18" t="s">
        <v>74</v>
      </c>
      <c r="F456" s="18" t="s">
        <v>1138</v>
      </c>
      <c r="G456" s="18" t="s">
        <v>173</v>
      </c>
      <c r="H456" s="18" t="s">
        <v>1122</v>
      </c>
      <c r="I456" s="20" t="s">
        <v>1139</v>
      </c>
      <c r="J456" s="18" t="s">
        <v>1128</v>
      </c>
      <c r="K456" s="18" t="s">
        <v>24</v>
      </c>
      <c r="L456" s="18" t="s">
        <v>25</v>
      </c>
      <c r="N456" s="18" t="s">
        <v>26</v>
      </c>
    </row>
    <row r="457" spans="1:14" ht="15" customHeight="1" x14ac:dyDescent="0.3">
      <c r="A457" s="18" t="s">
        <v>1053</v>
      </c>
      <c r="B457" s="19" t="s">
        <v>15</v>
      </c>
      <c r="C457" s="18" t="s">
        <v>210</v>
      </c>
      <c r="D457" s="18" t="s">
        <v>116</v>
      </c>
      <c r="E457" s="18" t="s">
        <v>74</v>
      </c>
      <c r="F457" s="18" t="s">
        <v>1140</v>
      </c>
      <c r="G457" s="18" t="s">
        <v>1102</v>
      </c>
      <c r="H457" s="18" t="s">
        <v>1122</v>
      </c>
      <c r="I457" s="20" t="s">
        <v>1141</v>
      </c>
      <c r="J457" s="18" t="s">
        <v>1128</v>
      </c>
      <c r="K457" s="18" t="s">
        <v>24</v>
      </c>
      <c r="L457" s="18" t="s">
        <v>25</v>
      </c>
      <c r="N457" s="18" t="s">
        <v>26</v>
      </c>
    </row>
    <row r="458" spans="1:14" ht="15" customHeight="1" x14ac:dyDescent="0.3">
      <c r="A458" s="18" t="s">
        <v>1053</v>
      </c>
      <c r="B458" s="19" t="s">
        <v>15</v>
      </c>
      <c r="C458" s="18" t="s">
        <v>210</v>
      </c>
      <c r="D458" s="18" t="s">
        <v>116</v>
      </c>
      <c r="E458" s="18" t="s">
        <v>74</v>
      </c>
      <c r="F458" s="18" t="s">
        <v>1142</v>
      </c>
      <c r="G458" s="18" t="s">
        <v>1102</v>
      </c>
      <c r="H458" s="18" t="s">
        <v>1122</v>
      </c>
      <c r="I458" s="20" t="s">
        <v>1143</v>
      </c>
      <c r="J458" s="18" t="s">
        <v>1144</v>
      </c>
      <c r="K458" s="18" t="s">
        <v>91</v>
      </c>
      <c r="L458" s="18" t="s">
        <v>25</v>
      </c>
      <c r="N458" s="18" t="s">
        <v>26</v>
      </c>
    </row>
    <row r="459" spans="1:14" ht="15" customHeight="1" x14ac:dyDescent="0.3">
      <c r="A459" s="18" t="s">
        <v>1053</v>
      </c>
      <c r="B459" s="19" t="s">
        <v>15</v>
      </c>
      <c r="C459" s="18" t="s">
        <v>210</v>
      </c>
      <c r="D459" s="18" t="s">
        <v>116</v>
      </c>
      <c r="E459" s="18" t="s">
        <v>74</v>
      </c>
      <c r="F459" s="18" t="s">
        <v>1145</v>
      </c>
      <c r="G459" s="18" t="s">
        <v>41</v>
      </c>
      <c r="H459" s="18" t="s">
        <v>1122</v>
      </c>
      <c r="I459" s="20" t="s">
        <v>1146</v>
      </c>
      <c r="J459" s="18" t="s">
        <v>1128</v>
      </c>
      <c r="K459" s="18" t="s">
        <v>24</v>
      </c>
      <c r="L459" s="18" t="s">
        <v>25</v>
      </c>
      <c r="N459" s="18" t="s">
        <v>26</v>
      </c>
    </row>
    <row r="460" spans="1:14" ht="15" customHeight="1" x14ac:dyDescent="0.3">
      <c r="A460" s="18" t="s">
        <v>1053</v>
      </c>
      <c r="B460" s="19" t="s">
        <v>15</v>
      </c>
      <c r="C460" s="18" t="s">
        <v>210</v>
      </c>
      <c r="D460" s="18" t="s">
        <v>116</v>
      </c>
      <c r="E460" s="18" t="s">
        <v>74</v>
      </c>
      <c r="F460" s="18" t="s">
        <v>1147</v>
      </c>
      <c r="G460" s="18" t="s">
        <v>41</v>
      </c>
      <c r="H460" s="18" t="s">
        <v>1122</v>
      </c>
      <c r="I460" s="20" t="s">
        <v>1148</v>
      </c>
      <c r="J460" s="18" t="s">
        <v>1128</v>
      </c>
      <c r="K460" s="18" t="s">
        <v>24</v>
      </c>
      <c r="L460" s="18" t="s">
        <v>25</v>
      </c>
      <c r="N460" s="18" t="s">
        <v>26</v>
      </c>
    </row>
    <row r="461" spans="1:14" ht="15" customHeight="1" x14ac:dyDescent="0.3">
      <c r="A461" s="18" t="s">
        <v>1053</v>
      </c>
      <c r="B461" s="19" t="s">
        <v>15</v>
      </c>
      <c r="C461" s="18" t="s">
        <v>210</v>
      </c>
      <c r="D461" s="18" t="s">
        <v>116</v>
      </c>
      <c r="E461" s="18" t="s">
        <v>74</v>
      </c>
      <c r="F461" s="18" t="s">
        <v>1149</v>
      </c>
      <c r="G461" s="18" t="s">
        <v>1069</v>
      </c>
      <c r="H461" s="18" t="s">
        <v>1122</v>
      </c>
      <c r="I461" s="20" t="s">
        <v>1150</v>
      </c>
      <c r="J461" s="18" t="s">
        <v>1128</v>
      </c>
      <c r="K461" s="18" t="s">
        <v>24</v>
      </c>
      <c r="L461" s="18" t="s">
        <v>25</v>
      </c>
      <c r="N461" s="18" t="s">
        <v>26</v>
      </c>
    </row>
    <row r="462" spans="1:14" ht="15" customHeight="1" x14ac:dyDescent="0.3">
      <c r="A462" s="18" t="s">
        <v>1053</v>
      </c>
      <c r="B462" s="19" t="s">
        <v>15</v>
      </c>
      <c r="C462" s="18" t="s">
        <v>210</v>
      </c>
      <c r="D462" s="18" t="s">
        <v>116</v>
      </c>
      <c r="E462" s="18" t="s">
        <v>74</v>
      </c>
      <c r="F462" s="18" t="s">
        <v>1151</v>
      </c>
      <c r="G462" s="18" t="s">
        <v>564</v>
      </c>
      <c r="H462" s="18" t="s">
        <v>1122</v>
      </c>
      <c r="I462" s="20" t="s">
        <v>1152</v>
      </c>
      <c r="J462" s="18" t="s">
        <v>1128</v>
      </c>
      <c r="K462" s="18" t="s">
        <v>24</v>
      </c>
      <c r="L462" s="18" t="s">
        <v>25</v>
      </c>
      <c r="N462" s="18" t="s">
        <v>26</v>
      </c>
    </row>
    <row r="463" spans="1:14" ht="15" customHeight="1" x14ac:dyDescent="0.3">
      <c r="A463" s="18" t="s">
        <v>1053</v>
      </c>
      <c r="B463" s="19" t="s">
        <v>15</v>
      </c>
      <c r="C463" s="18" t="s">
        <v>476</v>
      </c>
      <c r="D463" s="18" t="s">
        <v>116</v>
      </c>
      <c r="E463" s="18" t="s">
        <v>74</v>
      </c>
      <c r="F463" s="18" t="s">
        <v>1153</v>
      </c>
      <c r="G463" s="18" t="s">
        <v>41</v>
      </c>
      <c r="H463" s="18" t="s">
        <v>1154</v>
      </c>
      <c r="I463" s="20" t="s">
        <v>1155</v>
      </c>
      <c r="J463" s="18" t="s">
        <v>1156</v>
      </c>
      <c r="K463" s="18" t="s">
        <v>24</v>
      </c>
      <c r="L463" s="18" t="s">
        <v>25</v>
      </c>
      <c r="N463" s="18" t="s">
        <v>480</v>
      </c>
    </row>
    <row r="464" spans="1:14" ht="15" customHeight="1" x14ac:dyDescent="0.3">
      <c r="A464" s="18" t="s">
        <v>1053</v>
      </c>
      <c r="B464" s="19" t="s">
        <v>15</v>
      </c>
      <c r="C464" s="18" t="s">
        <v>210</v>
      </c>
      <c r="D464" s="18" t="s">
        <v>116</v>
      </c>
      <c r="E464" s="18" t="s">
        <v>74</v>
      </c>
      <c r="F464" s="18" t="s">
        <v>1157</v>
      </c>
      <c r="G464" s="18" t="s">
        <v>85</v>
      </c>
      <c r="H464" s="18" t="s">
        <v>1122</v>
      </c>
      <c r="I464" s="20" t="s">
        <v>1158</v>
      </c>
      <c r="J464" s="18" t="s">
        <v>1128</v>
      </c>
      <c r="K464" s="18" t="s">
        <v>24</v>
      </c>
      <c r="L464" s="18" t="s">
        <v>25</v>
      </c>
      <c r="N464" s="18" t="s">
        <v>26</v>
      </c>
    </row>
    <row r="465" spans="1:14" ht="15" customHeight="1" x14ac:dyDescent="0.3">
      <c r="A465" s="18" t="s">
        <v>1053</v>
      </c>
      <c r="B465" s="19" t="s">
        <v>15</v>
      </c>
      <c r="C465" s="18" t="s">
        <v>210</v>
      </c>
      <c r="D465" s="18" t="s">
        <v>116</v>
      </c>
      <c r="E465" s="18" t="s">
        <v>74</v>
      </c>
      <c r="F465" s="18" t="s">
        <v>1159</v>
      </c>
      <c r="G465" s="18" t="s">
        <v>1019</v>
      </c>
      <c r="H465" s="18" t="s">
        <v>1122</v>
      </c>
      <c r="I465" s="20" t="s">
        <v>1160</v>
      </c>
      <c r="J465" s="18" t="s">
        <v>1128</v>
      </c>
      <c r="K465" s="18" t="s">
        <v>24</v>
      </c>
      <c r="L465" s="18" t="s">
        <v>25</v>
      </c>
      <c r="N465" s="18" t="s">
        <v>26</v>
      </c>
    </row>
    <row r="466" spans="1:14" ht="15" customHeight="1" x14ac:dyDescent="0.3">
      <c r="A466" s="18" t="s">
        <v>1053</v>
      </c>
      <c r="B466" s="19" t="s">
        <v>15</v>
      </c>
      <c r="C466" s="18" t="s">
        <v>210</v>
      </c>
      <c r="D466" s="18" t="s">
        <v>116</v>
      </c>
      <c r="E466" s="18" t="s">
        <v>74</v>
      </c>
      <c r="F466" s="18" t="s">
        <v>1161</v>
      </c>
      <c r="G466" s="18" t="s">
        <v>41</v>
      </c>
      <c r="H466" s="18" t="s">
        <v>1122</v>
      </c>
      <c r="I466" s="20" t="s">
        <v>1162</v>
      </c>
      <c r="J466" s="18" t="s">
        <v>1128</v>
      </c>
      <c r="K466" s="18" t="s">
        <v>24</v>
      </c>
      <c r="L466" s="18" t="s">
        <v>25</v>
      </c>
      <c r="N466" s="18" t="s">
        <v>26</v>
      </c>
    </row>
    <row r="467" spans="1:14" ht="15" customHeight="1" x14ac:dyDescent="0.3">
      <c r="A467" s="18" t="s">
        <v>1053</v>
      </c>
      <c r="B467" s="19" t="s">
        <v>15</v>
      </c>
      <c r="C467" s="18" t="s">
        <v>210</v>
      </c>
      <c r="D467" s="18" t="s">
        <v>116</v>
      </c>
      <c r="E467" s="18" t="s">
        <v>74</v>
      </c>
      <c r="F467" s="18" t="s">
        <v>1163</v>
      </c>
      <c r="G467" s="18" t="s">
        <v>47</v>
      </c>
      <c r="H467" s="18" t="s">
        <v>1122</v>
      </c>
      <c r="I467" s="20" t="s">
        <v>1164</v>
      </c>
      <c r="J467" s="18" t="s">
        <v>1128</v>
      </c>
      <c r="K467" s="18" t="s">
        <v>24</v>
      </c>
      <c r="L467" s="18" t="s">
        <v>25</v>
      </c>
      <c r="N467" s="18" t="s">
        <v>26</v>
      </c>
    </row>
    <row r="468" spans="1:14" ht="15" customHeight="1" x14ac:dyDescent="0.3">
      <c r="A468" s="18" t="s">
        <v>1053</v>
      </c>
      <c r="B468" s="19" t="s">
        <v>15</v>
      </c>
      <c r="C468" s="18" t="s">
        <v>210</v>
      </c>
      <c r="D468" s="18" t="s">
        <v>116</v>
      </c>
      <c r="E468" s="18" t="s">
        <v>74</v>
      </c>
      <c r="F468" s="18" t="s">
        <v>1165</v>
      </c>
      <c r="G468" s="18" t="s">
        <v>47</v>
      </c>
      <c r="H468" s="18" t="s">
        <v>1166</v>
      </c>
      <c r="I468" s="20" t="s">
        <v>1167</v>
      </c>
      <c r="J468" s="18" t="s">
        <v>1168</v>
      </c>
      <c r="K468" s="18" t="s">
        <v>293</v>
      </c>
      <c r="L468" s="18" t="s">
        <v>25</v>
      </c>
      <c r="N468" s="18" t="s">
        <v>26</v>
      </c>
    </row>
    <row r="469" spans="1:14" ht="15" customHeight="1" x14ac:dyDescent="0.3">
      <c r="A469" s="18" t="s">
        <v>1053</v>
      </c>
      <c r="B469" s="19" t="s">
        <v>15</v>
      </c>
      <c r="C469" s="18" t="s">
        <v>210</v>
      </c>
      <c r="D469" s="18" t="s">
        <v>116</v>
      </c>
      <c r="E469" s="18" t="s">
        <v>74</v>
      </c>
      <c r="F469" s="18" t="s">
        <v>1169</v>
      </c>
      <c r="G469" s="18" t="s">
        <v>63</v>
      </c>
      <c r="H469" s="18" t="s">
        <v>1122</v>
      </c>
      <c r="I469" s="20" t="s">
        <v>1170</v>
      </c>
      <c r="J469" s="18" t="s">
        <v>1128</v>
      </c>
      <c r="K469" s="18" t="s">
        <v>24</v>
      </c>
      <c r="L469" s="18" t="s">
        <v>25</v>
      </c>
      <c r="N469" s="18" t="s">
        <v>26</v>
      </c>
    </row>
    <row r="470" spans="1:14" ht="15" customHeight="1" x14ac:dyDescent="0.3">
      <c r="A470" s="18" t="s">
        <v>1053</v>
      </c>
      <c r="B470" s="19" t="s">
        <v>15</v>
      </c>
      <c r="C470" s="18" t="s">
        <v>210</v>
      </c>
      <c r="D470" s="18" t="s">
        <v>116</v>
      </c>
      <c r="E470" s="18" t="s">
        <v>74</v>
      </c>
      <c r="F470" s="18" t="s">
        <v>1171</v>
      </c>
      <c r="G470" s="18" t="s">
        <v>1102</v>
      </c>
      <c r="H470" s="18" t="s">
        <v>1122</v>
      </c>
      <c r="I470" s="20" t="s">
        <v>1172</v>
      </c>
      <c r="J470" s="18" t="s">
        <v>1128</v>
      </c>
      <c r="K470" s="18" t="s">
        <v>24</v>
      </c>
      <c r="L470" s="18" t="s">
        <v>25</v>
      </c>
      <c r="N470" s="18" t="s">
        <v>26</v>
      </c>
    </row>
    <row r="471" spans="1:14" ht="15" customHeight="1" x14ac:dyDescent="0.3">
      <c r="A471" s="18" t="s">
        <v>1053</v>
      </c>
      <c r="B471" s="19" t="s">
        <v>15</v>
      </c>
      <c r="C471" s="18" t="s">
        <v>210</v>
      </c>
      <c r="D471" s="18" t="s">
        <v>116</v>
      </c>
      <c r="E471" s="18" t="s">
        <v>74</v>
      </c>
      <c r="F471" s="18" t="s">
        <v>1173</v>
      </c>
      <c r="G471" s="18" t="s">
        <v>88</v>
      </c>
      <c r="H471" s="18" t="s">
        <v>1122</v>
      </c>
      <c r="I471" s="20" t="s">
        <v>1174</v>
      </c>
      <c r="J471" s="18" t="s">
        <v>1128</v>
      </c>
      <c r="K471" s="18" t="s">
        <v>24</v>
      </c>
      <c r="L471" s="18" t="s">
        <v>25</v>
      </c>
      <c r="N471" s="18" t="s">
        <v>26</v>
      </c>
    </row>
    <row r="472" spans="1:14" ht="15" customHeight="1" x14ac:dyDescent="0.3">
      <c r="A472" s="18" t="s">
        <v>1053</v>
      </c>
      <c r="B472" s="19" t="s">
        <v>15</v>
      </c>
      <c r="C472" s="18" t="s">
        <v>210</v>
      </c>
      <c r="D472" s="18" t="s">
        <v>116</v>
      </c>
      <c r="E472" s="18" t="s">
        <v>226</v>
      </c>
      <c r="F472" s="18" t="s">
        <v>1175</v>
      </c>
      <c r="G472" s="18" t="s">
        <v>41</v>
      </c>
      <c r="H472" s="18" t="s">
        <v>1166</v>
      </c>
      <c r="I472" s="20" t="s">
        <v>1176</v>
      </c>
      <c r="J472" s="18" t="s">
        <v>1177</v>
      </c>
      <c r="K472" s="18" t="s">
        <v>24</v>
      </c>
      <c r="L472" s="18" t="s">
        <v>25</v>
      </c>
      <c r="N472" s="18" t="s">
        <v>26</v>
      </c>
    </row>
    <row r="473" spans="1:14" ht="15" customHeight="1" x14ac:dyDescent="0.3">
      <c r="A473" s="18" t="s">
        <v>1053</v>
      </c>
      <c r="B473" s="19" t="s">
        <v>15</v>
      </c>
      <c r="C473" s="18" t="s">
        <v>210</v>
      </c>
      <c r="D473" s="18" t="s">
        <v>116</v>
      </c>
      <c r="E473" s="18" t="s">
        <v>226</v>
      </c>
      <c r="F473" s="18" t="s">
        <v>1178</v>
      </c>
      <c r="G473" s="18" t="s">
        <v>41</v>
      </c>
      <c r="H473" s="18" t="s">
        <v>1166</v>
      </c>
      <c r="I473" s="20" t="s">
        <v>1179</v>
      </c>
      <c r="J473" s="18" t="s">
        <v>1128</v>
      </c>
      <c r="K473" s="18" t="s">
        <v>24</v>
      </c>
      <c r="L473" s="18" t="s">
        <v>25</v>
      </c>
      <c r="N473" s="18" t="s">
        <v>26</v>
      </c>
    </row>
    <row r="474" spans="1:14" ht="15" customHeight="1" x14ac:dyDescent="0.3">
      <c r="A474" s="18" t="s">
        <v>1053</v>
      </c>
      <c r="B474" s="19" t="s">
        <v>15</v>
      </c>
      <c r="C474" s="18" t="s">
        <v>210</v>
      </c>
      <c r="D474" s="18" t="s">
        <v>116</v>
      </c>
      <c r="E474" s="18" t="s">
        <v>226</v>
      </c>
      <c r="F474" s="18" t="s">
        <v>1180</v>
      </c>
      <c r="G474" s="18" t="s">
        <v>41</v>
      </c>
      <c r="H474" s="18" t="s">
        <v>1166</v>
      </c>
      <c r="I474" s="20" t="s">
        <v>1181</v>
      </c>
      <c r="J474" s="18" t="s">
        <v>1128</v>
      </c>
      <c r="K474" s="18" t="s">
        <v>24</v>
      </c>
      <c r="L474" s="18" t="s">
        <v>25</v>
      </c>
      <c r="N474" s="18" t="s">
        <v>26</v>
      </c>
    </row>
    <row r="475" spans="1:14" ht="15" customHeight="1" x14ac:dyDescent="0.3">
      <c r="A475" s="18" t="s">
        <v>1053</v>
      </c>
      <c r="B475" s="19" t="s">
        <v>15</v>
      </c>
      <c r="C475" s="18" t="s">
        <v>210</v>
      </c>
      <c r="D475" s="18" t="s">
        <v>116</v>
      </c>
      <c r="E475" s="18" t="s">
        <v>226</v>
      </c>
      <c r="F475" s="18" t="s">
        <v>1182</v>
      </c>
      <c r="G475" s="18" t="s">
        <v>41</v>
      </c>
      <c r="H475" s="18" t="s">
        <v>1166</v>
      </c>
      <c r="I475" s="20" t="s">
        <v>1183</v>
      </c>
      <c r="J475" s="18" t="s">
        <v>1128</v>
      </c>
      <c r="K475" s="18" t="s">
        <v>24</v>
      </c>
      <c r="L475" s="18" t="s">
        <v>25</v>
      </c>
      <c r="N475" s="18" t="s">
        <v>26</v>
      </c>
    </row>
    <row r="476" spans="1:14" ht="15" customHeight="1" x14ac:dyDescent="0.3">
      <c r="A476" s="18" t="s">
        <v>1053</v>
      </c>
      <c r="B476" s="19" t="s">
        <v>15</v>
      </c>
      <c r="C476" s="18" t="s">
        <v>210</v>
      </c>
      <c r="D476" s="18" t="s">
        <v>116</v>
      </c>
      <c r="E476" s="18" t="s">
        <v>226</v>
      </c>
      <c r="F476" s="18" t="s">
        <v>1184</v>
      </c>
      <c r="G476" s="18" t="s">
        <v>41</v>
      </c>
      <c r="H476" s="18" t="s">
        <v>1166</v>
      </c>
      <c r="I476" s="20" t="s">
        <v>1185</v>
      </c>
      <c r="J476" s="18" t="s">
        <v>1186</v>
      </c>
      <c r="K476" s="18" t="s">
        <v>24</v>
      </c>
      <c r="L476" s="18" t="s">
        <v>25</v>
      </c>
      <c r="N476" s="18" t="s">
        <v>26</v>
      </c>
    </row>
    <row r="477" spans="1:14" ht="15" customHeight="1" x14ac:dyDescent="0.3">
      <c r="A477" s="18" t="s">
        <v>1053</v>
      </c>
      <c r="B477" s="19" t="s">
        <v>15</v>
      </c>
      <c r="C477" s="18" t="s">
        <v>210</v>
      </c>
      <c r="D477" s="18" t="s">
        <v>116</v>
      </c>
      <c r="E477" s="18" t="s">
        <v>226</v>
      </c>
      <c r="F477" s="18" t="s">
        <v>501</v>
      </c>
      <c r="G477" s="18" t="s">
        <v>381</v>
      </c>
      <c r="H477" s="18" t="s">
        <v>1166</v>
      </c>
      <c r="I477" s="20" t="s">
        <v>1187</v>
      </c>
      <c r="J477" s="18" t="s">
        <v>1188</v>
      </c>
      <c r="K477" s="18" t="s">
        <v>293</v>
      </c>
      <c r="L477" s="18" t="s">
        <v>25</v>
      </c>
      <c r="N477" s="18" t="s">
        <v>26</v>
      </c>
    </row>
    <row r="478" spans="1:14" ht="15" customHeight="1" x14ac:dyDescent="0.3">
      <c r="A478" s="18" t="s">
        <v>1053</v>
      </c>
      <c r="B478" s="19" t="s">
        <v>15</v>
      </c>
      <c r="C478" s="18" t="s">
        <v>210</v>
      </c>
      <c r="D478" s="18" t="s">
        <v>116</v>
      </c>
      <c r="E478" s="18" t="s">
        <v>226</v>
      </c>
      <c r="F478" s="18" t="s">
        <v>1189</v>
      </c>
      <c r="G478" s="18" t="s">
        <v>207</v>
      </c>
      <c r="H478" s="18" t="s">
        <v>1166</v>
      </c>
      <c r="I478" s="20" t="s">
        <v>1190</v>
      </c>
      <c r="J478" s="18" t="s">
        <v>1128</v>
      </c>
      <c r="K478" s="18" t="s">
        <v>24</v>
      </c>
      <c r="L478" s="18" t="s">
        <v>25</v>
      </c>
      <c r="N478" s="18" t="s">
        <v>26</v>
      </c>
    </row>
    <row r="479" spans="1:14" ht="15" customHeight="1" x14ac:dyDescent="0.3">
      <c r="A479" s="18" t="s">
        <v>1191</v>
      </c>
      <c r="B479" s="19" t="s">
        <v>15</v>
      </c>
      <c r="C479" s="18" t="s">
        <v>918</v>
      </c>
      <c r="D479" s="18" t="s">
        <v>116</v>
      </c>
      <c r="E479" s="18" t="s">
        <v>117</v>
      </c>
      <c r="F479" s="18" t="s">
        <v>1192</v>
      </c>
      <c r="G479" s="18" t="s">
        <v>606</v>
      </c>
      <c r="H479" s="18" t="s">
        <v>1193</v>
      </c>
      <c r="I479" s="20" t="s">
        <v>1194</v>
      </c>
      <c r="J479" s="18" t="s">
        <v>58</v>
      </c>
      <c r="K479" s="18" t="s">
        <v>24</v>
      </c>
      <c r="L479" s="18" t="s">
        <v>25</v>
      </c>
      <c r="N479" s="18" t="s">
        <v>807</v>
      </c>
    </row>
    <row r="480" spans="1:14" ht="15" customHeight="1" x14ac:dyDescent="0.3">
      <c r="A480" s="18" t="s">
        <v>1191</v>
      </c>
      <c r="B480" s="19" t="s">
        <v>15</v>
      </c>
      <c r="C480" s="18" t="s">
        <v>918</v>
      </c>
      <c r="D480" s="18" t="s">
        <v>116</v>
      </c>
      <c r="E480" s="18" t="s">
        <v>117</v>
      </c>
      <c r="F480" s="18" t="s">
        <v>1195</v>
      </c>
      <c r="G480" s="18" t="s">
        <v>1075</v>
      </c>
      <c r="H480" s="18" t="s">
        <v>1193</v>
      </c>
      <c r="I480" s="20" t="s">
        <v>1196</v>
      </c>
      <c r="J480" s="18" t="s">
        <v>58</v>
      </c>
      <c r="K480" s="18" t="s">
        <v>24</v>
      </c>
      <c r="L480" s="18" t="s">
        <v>25</v>
      </c>
      <c r="N480" s="18" t="s">
        <v>807</v>
      </c>
    </row>
    <row r="481" spans="1:14" ht="15" customHeight="1" x14ac:dyDescent="0.3">
      <c r="A481" s="18" t="s">
        <v>1191</v>
      </c>
      <c r="B481" s="19" t="s">
        <v>15</v>
      </c>
      <c r="C481" s="18" t="s">
        <v>918</v>
      </c>
      <c r="D481" s="18" t="s">
        <v>116</v>
      </c>
      <c r="E481" s="18" t="s">
        <v>117</v>
      </c>
      <c r="F481" s="18" t="s">
        <v>1197</v>
      </c>
      <c r="G481" s="18" t="s">
        <v>212</v>
      </c>
      <c r="H481" s="18" t="s">
        <v>1193</v>
      </c>
      <c r="I481" s="20" t="s">
        <v>1198</v>
      </c>
      <c r="J481" s="18" t="s">
        <v>58</v>
      </c>
      <c r="K481" s="18" t="s">
        <v>24</v>
      </c>
      <c r="L481" s="18" t="s">
        <v>25</v>
      </c>
      <c r="N481" s="18" t="s">
        <v>807</v>
      </c>
    </row>
    <row r="482" spans="1:14" ht="15" customHeight="1" x14ac:dyDescent="0.3">
      <c r="A482" s="18" t="s">
        <v>1191</v>
      </c>
      <c r="B482" s="19" t="s">
        <v>15</v>
      </c>
      <c r="C482" s="18" t="s">
        <v>918</v>
      </c>
      <c r="D482" s="18" t="s">
        <v>116</v>
      </c>
      <c r="E482" s="18" t="s">
        <v>117</v>
      </c>
      <c r="F482" s="18" t="s">
        <v>1199</v>
      </c>
      <c r="G482" s="18" t="s">
        <v>47</v>
      </c>
      <c r="H482" s="18" t="s">
        <v>1193</v>
      </c>
      <c r="I482" s="20" t="s">
        <v>1200</v>
      </c>
      <c r="J482" s="18" t="s">
        <v>58</v>
      </c>
      <c r="K482" s="18" t="s">
        <v>24</v>
      </c>
      <c r="L482" s="18" t="s">
        <v>25</v>
      </c>
      <c r="N482" s="18" t="s">
        <v>807</v>
      </c>
    </row>
    <row r="483" spans="1:14" ht="15" customHeight="1" x14ac:dyDescent="0.3">
      <c r="A483" s="18" t="s">
        <v>1191</v>
      </c>
      <c r="B483" s="19" t="s">
        <v>15</v>
      </c>
      <c r="C483" s="18" t="s">
        <v>918</v>
      </c>
      <c r="D483" s="18" t="s">
        <v>116</v>
      </c>
      <c r="E483" s="18" t="s">
        <v>117</v>
      </c>
      <c r="F483" s="18" t="s">
        <v>1201</v>
      </c>
      <c r="G483" s="18" t="s">
        <v>1075</v>
      </c>
      <c r="H483" s="18" t="s">
        <v>1193</v>
      </c>
      <c r="I483" s="20" t="s">
        <v>1202</v>
      </c>
      <c r="J483" s="18" t="s">
        <v>58</v>
      </c>
      <c r="K483" s="18" t="s">
        <v>24</v>
      </c>
      <c r="L483" s="18" t="s">
        <v>25</v>
      </c>
      <c r="N483" s="18" t="s">
        <v>807</v>
      </c>
    </row>
    <row r="484" spans="1:14" ht="15" customHeight="1" x14ac:dyDescent="0.3">
      <c r="A484" s="18" t="s">
        <v>1191</v>
      </c>
      <c r="B484" s="19" t="s">
        <v>15</v>
      </c>
      <c r="C484" s="18" t="s">
        <v>918</v>
      </c>
      <c r="D484" s="18" t="s">
        <v>116</v>
      </c>
      <c r="E484" s="18" t="s">
        <v>117</v>
      </c>
      <c r="F484" s="18" t="s">
        <v>1203</v>
      </c>
      <c r="G484" s="18" t="s">
        <v>1204</v>
      </c>
      <c r="H484" s="18" t="s">
        <v>1193</v>
      </c>
      <c r="I484" s="20" t="s">
        <v>1205</v>
      </c>
      <c r="J484" s="18" t="s">
        <v>58</v>
      </c>
      <c r="K484" s="18" t="s">
        <v>24</v>
      </c>
      <c r="L484" s="18" t="s">
        <v>25</v>
      </c>
      <c r="N484" s="18" t="s">
        <v>807</v>
      </c>
    </row>
    <row r="485" spans="1:14" ht="15" customHeight="1" x14ac:dyDescent="0.3">
      <c r="A485" s="18" t="s">
        <v>1191</v>
      </c>
      <c r="B485" s="19" t="s">
        <v>15</v>
      </c>
      <c r="C485" s="18" t="s">
        <v>918</v>
      </c>
      <c r="D485" s="18" t="s">
        <v>116</v>
      </c>
      <c r="E485" s="18" t="s">
        <v>117</v>
      </c>
      <c r="F485" s="18" t="s">
        <v>1206</v>
      </c>
      <c r="G485" s="18" t="s">
        <v>1204</v>
      </c>
      <c r="H485" s="18" t="s">
        <v>1193</v>
      </c>
      <c r="I485" s="20" t="s">
        <v>1207</v>
      </c>
      <c r="J485" s="18" t="s">
        <v>58</v>
      </c>
      <c r="K485" s="18" t="s">
        <v>24</v>
      </c>
      <c r="L485" s="18" t="s">
        <v>25</v>
      </c>
      <c r="N485" s="18" t="s">
        <v>807</v>
      </c>
    </row>
    <row r="486" spans="1:14" ht="15" customHeight="1" x14ac:dyDescent="0.3">
      <c r="A486" s="18" t="s">
        <v>1191</v>
      </c>
      <c r="B486" s="19" t="s">
        <v>15</v>
      </c>
      <c r="C486" s="18" t="s">
        <v>918</v>
      </c>
      <c r="D486" s="18" t="s">
        <v>116</v>
      </c>
      <c r="E486" s="18" t="s">
        <v>117</v>
      </c>
      <c r="F486" s="18" t="s">
        <v>1208</v>
      </c>
      <c r="G486" s="18" t="s">
        <v>1204</v>
      </c>
      <c r="H486" s="18" t="s">
        <v>1193</v>
      </c>
      <c r="I486" s="20" t="s">
        <v>1209</v>
      </c>
      <c r="J486" s="18" t="s">
        <v>58</v>
      </c>
      <c r="K486" s="18" t="s">
        <v>24</v>
      </c>
      <c r="L486" s="18" t="s">
        <v>25</v>
      </c>
      <c r="N486" s="18" t="s">
        <v>807</v>
      </c>
    </row>
    <row r="487" spans="1:14" ht="15" customHeight="1" x14ac:dyDescent="0.3">
      <c r="A487" s="18" t="s">
        <v>1191</v>
      </c>
      <c r="B487" s="19" t="s">
        <v>15</v>
      </c>
      <c r="C487" s="18" t="s">
        <v>918</v>
      </c>
      <c r="D487" s="18" t="s">
        <v>116</v>
      </c>
      <c r="E487" s="18" t="s">
        <v>117</v>
      </c>
      <c r="F487" s="18" t="s">
        <v>1210</v>
      </c>
      <c r="G487" s="18" t="s">
        <v>1211</v>
      </c>
      <c r="H487" s="18" t="s">
        <v>1193</v>
      </c>
      <c r="I487" s="20" t="s">
        <v>1212</v>
      </c>
      <c r="J487" s="18" t="s">
        <v>58</v>
      </c>
      <c r="K487" s="18" t="s">
        <v>24</v>
      </c>
      <c r="L487" s="18" t="s">
        <v>25</v>
      </c>
      <c r="N487" s="18" t="s">
        <v>807</v>
      </c>
    </row>
    <row r="488" spans="1:14" ht="15" customHeight="1" x14ac:dyDescent="0.3">
      <c r="A488" s="18" t="s">
        <v>1191</v>
      </c>
      <c r="B488" s="19" t="s">
        <v>15</v>
      </c>
      <c r="C488" s="18" t="s">
        <v>918</v>
      </c>
      <c r="D488" s="18" t="s">
        <v>116</v>
      </c>
      <c r="E488" s="18" t="s">
        <v>117</v>
      </c>
      <c r="F488" s="18" t="s">
        <v>1213</v>
      </c>
      <c r="G488" s="18" t="s">
        <v>1075</v>
      </c>
      <c r="H488" s="18" t="s">
        <v>1193</v>
      </c>
      <c r="I488" s="20" t="s">
        <v>1214</v>
      </c>
      <c r="J488" s="18" t="s">
        <v>58</v>
      </c>
      <c r="K488" s="18" t="s">
        <v>24</v>
      </c>
      <c r="L488" s="18" t="s">
        <v>25</v>
      </c>
      <c r="N488" s="18" t="s">
        <v>807</v>
      </c>
    </row>
    <row r="489" spans="1:14" ht="15" customHeight="1" x14ac:dyDescent="0.3">
      <c r="A489" s="18" t="s">
        <v>1191</v>
      </c>
      <c r="B489" s="19" t="s">
        <v>15</v>
      </c>
      <c r="C489" s="18" t="s">
        <v>918</v>
      </c>
      <c r="D489" s="18" t="s">
        <v>116</v>
      </c>
      <c r="E489" s="18" t="s">
        <v>117</v>
      </c>
      <c r="F489" s="18" t="s">
        <v>1215</v>
      </c>
      <c r="G489" s="18" t="s">
        <v>34</v>
      </c>
      <c r="H489" s="18" t="s">
        <v>1193</v>
      </c>
      <c r="I489" s="20" t="s">
        <v>1216</v>
      </c>
      <c r="J489" s="18" t="s">
        <v>58</v>
      </c>
      <c r="K489" s="18" t="s">
        <v>24</v>
      </c>
      <c r="L489" s="18" t="s">
        <v>25</v>
      </c>
      <c r="N489" s="18" t="s">
        <v>807</v>
      </c>
    </row>
    <row r="490" spans="1:14" ht="15" customHeight="1" x14ac:dyDescent="0.3">
      <c r="A490" s="18" t="s">
        <v>1191</v>
      </c>
      <c r="B490" s="19" t="s">
        <v>15</v>
      </c>
      <c r="C490" s="18" t="s">
        <v>918</v>
      </c>
      <c r="D490" s="18" t="s">
        <v>116</v>
      </c>
      <c r="E490" s="18" t="s">
        <v>117</v>
      </c>
      <c r="F490" s="18" t="s">
        <v>1217</v>
      </c>
      <c r="G490" s="18" t="s">
        <v>637</v>
      </c>
      <c r="H490" s="18" t="s">
        <v>1218</v>
      </c>
      <c r="I490" s="20" t="s">
        <v>1219</v>
      </c>
      <c r="J490" s="18" t="s">
        <v>58</v>
      </c>
      <c r="K490" s="18" t="s">
        <v>24</v>
      </c>
      <c r="L490" s="18" t="s">
        <v>25</v>
      </c>
      <c r="N490" s="18" t="s">
        <v>807</v>
      </c>
    </row>
    <row r="491" spans="1:14" ht="15" customHeight="1" x14ac:dyDescent="0.3">
      <c r="A491" s="18" t="s">
        <v>1191</v>
      </c>
      <c r="B491" s="19" t="s">
        <v>15</v>
      </c>
      <c r="C491" s="18" t="s">
        <v>918</v>
      </c>
      <c r="D491" s="18" t="s">
        <v>116</v>
      </c>
      <c r="E491" s="18" t="s">
        <v>117</v>
      </c>
      <c r="F491" s="18" t="s">
        <v>1220</v>
      </c>
      <c r="G491" s="18" t="s">
        <v>1221</v>
      </c>
      <c r="H491" s="18" t="s">
        <v>1193</v>
      </c>
      <c r="I491" s="20" t="s">
        <v>1222</v>
      </c>
      <c r="J491" s="18" t="s">
        <v>58</v>
      </c>
      <c r="K491" s="18" t="s">
        <v>24</v>
      </c>
      <c r="L491" s="18" t="s">
        <v>25</v>
      </c>
      <c r="N491" s="18" t="s">
        <v>807</v>
      </c>
    </row>
    <row r="492" spans="1:14" ht="15" customHeight="1" x14ac:dyDescent="0.3">
      <c r="A492" s="18" t="s">
        <v>1191</v>
      </c>
      <c r="B492" s="19" t="s">
        <v>15</v>
      </c>
      <c r="C492" s="18" t="s">
        <v>918</v>
      </c>
      <c r="D492" s="18" t="s">
        <v>116</v>
      </c>
      <c r="E492" s="18" t="s">
        <v>117</v>
      </c>
      <c r="F492" s="18" t="s">
        <v>1223</v>
      </c>
      <c r="G492" s="18" t="s">
        <v>1211</v>
      </c>
      <c r="H492" s="18" t="s">
        <v>1193</v>
      </c>
      <c r="I492" s="20" t="s">
        <v>1224</v>
      </c>
      <c r="J492" s="18" t="s">
        <v>58</v>
      </c>
      <c r="K492" s="18" t="s">
        <v>24</v>
      </c>
      <c r="L492" s="18" t="s">
        <v>25</v>
      </c>
      <c r="N492" s="18" t="s">
        <v>807</v>
      </c>
    </row>
    <row r="493" spans="1:14" ht="15" customHeight="1" x14ac:dyDescent="0.3">
      <c r="A493" s="18" t="s">
        <v>1191</v>
      </c>
      <c r="B493" s="19" t="s">
        <v>15</v>
      </c>
      <c r="C493" s="18" t="s">
        <v>918</v>
      </c>
      <c r="D493" s="18" t="s">
        <v>116</v>
      </c>
      <c r="E493" s="18" t="s">
        <v>117</v>
      </c>
      <c r="F493" s="18" t="s">
        <v>1225</v>
      </c>
      <c r="G493" s="18" t="s">
        <v>212</v>
      </c>
      <c r="H493" s="18" t="s">
        <v>1193</v>
      </c>
      <c r="I493" s="20" t="s">
        <v>1226</v>
      </c>
      <c r="J493" s="18" t="s">
        <v>58</v>
      </c>
      <c r="K493" s="18" t="s">
        <v>24</v>
      </c>
      <c r="L493" s="18" t="s">
        <v>25</v>
      </c>
      <c r="N493" s="18" t="s">
        <v>807</v>
      </c>
    </row>
    <row r="494" spans="1:14" ht="15" customHeight="1" x14ac:dyDescent="0.3">
      <c r="A494" s="18" t="s">
        <v>1191</v>
      </c>
      <c r="B494" s="19" t="s">
        <v>15</v>
      </c>
      <c r="C494" s="18" t="s">
        <v>918</v>
      </c>
      <c r="D494" s="18" t="s">
        <v>116</v>
      </c>
      <c r="E494" s="18" t="s">
        <v>117</v>
      </c>
      <c r="F494" s="18" t="s">
        <v>128</v>
      </c>
      <c r="G494" s="18" t="s">
        <v>47</v>
      </c>
      <c r="H494" s="18" t="s">
        <v>1193</v>
      </c>
      <c r="I494" s="20" t="s">
        <v>1227</v>
      </c>
      <c r="J494" s="18" t="s">
        <v>58</v>
      </c>
      <c r="K494" s="18" t="s">
        <v>24</v>
      </c>
      <c r="L494" s="18" t="s">
        <v>25</v>
      </c>
      <c r="N494" s="18" t="s">
        <v>807</v>
      </c>
    </row>
    <row r="495" spans="1:14" ht="15" customHeight="1" x14ac:dyDescent="0.3">
      <c r="A495" s="18" t="s">
        <v>1191</v>
      </c>
      <c r="B495" s="19" t="s">
        <v>15</v>
      </c>
      <c r="C495" s="18" t="s">
        <v>918</v>
      </c>
      <c r="D495" s="18" t="s">
        <v>116</v>
      </c>
      <c r="E495" s="18" t="s">
        <v>117</v>
      </c>
      <c r="F495" s="18" t="s">
        <v>1228</v>
      </c>
      <c r="G495" s="18" t="s">
        <v>47</v>
      </c>
      <c r="H495" s="18" t="s">
        <v>1193</v>
      </c>
      <c r="I495" s="20" t="s">
        <v>1229</v>
      </c>
      <c r="J495" s="18" t="s">
        <v>58</v>
      </c>
      <c r="K495" s="18" t="s">
        <v>24</v>
      </c>
      <c r="L495" s="18" t="s">
        <v>25</v>
      </c>
      <c r="N495" s="18" t="s">
        <v>807</v>
      </c>
    </row>
    <row r="496" spans="1:14" ht="15" customHeight="1" x14ac:dyDescent="0.3">
      <c r="A496" s="18" t="s">
        <v>1191</v>
      </c>
      <c r="B496" s="19" t="s">
        <v>15</v>
      </c>
      <c r="C496" s="18" t="s">
        <v>918</v>
      </c>
      <c r="D496" s="18" t="s">
        <v>116</v>
      </c>
      <c r="E496" s="18" t="s">
        <v>117</v>
      </c>
      <c r="F496" s="18" t="s">
        <v>1230</v>
      </c>
      <c r="G496" s="18" t="s">
        <v>1231</v>
      </c>
      <c r="H496" s="18" t="s">
        <v>1193</v>
      </c>
      <c r="I496" s="20" t="s">
        <v>1232</v>
      </c>
      <c r="J496" s="18" t="s">
        <v>58</v>
      </c>
      <c r="K496" s="18" t="s">
        <v>24</v>
      </c>
      <c r="L496" s="18" t="s">
        <v>25</v>
      </c>
      <c r="N496" s="18" t="s">
        <v>807</v>
      </c>
    </row>
    <row r="497" spans="1:14" ht="15" customHeight="1" x14ac:dyDescent="0.3">
      <c r="A497" s="18" t="s">
        <v>1191</v>
      </c>
      <c r="B497" s="19" t="s">
        <v>15</v>
      </c>
      <c r="C497" s="18" t="s">
        <v>918</v>
      </c>
      <c r="D497" s="18" t="s">
        <v>116</v>
      </c>
      <c r="E497" s="18" t="s">
        <v>117</v>
      </c>
      <c r="F497" s="18" t="s">
        <v>1233</v>
      </c>
      <c r="G497" s="18" t="s">
        <v>47</v>
      </c>
      <c r="H497" s="18" t="s">
        <v>1193</v>
      </c>
      <c r="I497" s="20" t="s">
        <v>1234</v>
      </c>
      <c r="J497" s="18" t="s">
        <v>58</v>
      </c>
      <c r="K497" s="18" t="s">
        <v>24</v>
      </c>
      <c r="L497" s="18" t="s">
        <v>25</v>
      </c>
      <c r="N497" s="18" t="s">
        <v>807</v>
      </c>
    </row>
    <row r="498" spans="1:14" ht="15" customHeight="1" x14ac:dyDescent="0.3">
      <c r="A498" s="18" t="s">
        <v>1191</v>
      </c>
      <c r="B498" s="19" t="s">
        <v>15</v>
      </c>
      <c r="C498" s="18" t="s">
        <v>918</v>
      </c>
      <c r="D498" s="18" t="s">
        <v>116</v>
      </c>
      <c r="E498" s="18" t="s">
        <v>117</v>
      </c>
      <c r="F498" s="18" t="s">
        <v>1235</v>
      </c>
      <c r="G498" s="18" t="s">
        <v>47</v>
      </c>
      <c r="H498" s="18" t="s">
        <v>1193</v>
      </c>
      <c r="I498" s="20" t="s">
        <v>1236</v>
      </c>
      <c r="J498" s="18" t="s">
        <v>58</v>
      </c>
      <c r="K498" s="18" t="s">
        <v>24</v>
      </c>
      <c r="L498" s="18" t="s">
        <v>25</v>
      </c>
      <c r="N498" s="18" t="s">
        <v>807</v>
      </c>
    </row>
    <row r="499" spans="1:14" ht="15" customHeight="1" x14ac:dyDescent="0.3">
      <c r="A499" s="18" t="s">
        <v>1191</v>
      </c>
      <c r="B499" s="19" t="s">
        <v>15</v>
      </c>
      <c r="C499" s="18" t="s">
        <v>918</v>
      </c>
      <c r="D499" s="18" t="s">
        <v>116</v>
      </c>
      <c r="E499" s="18" t="s">
        <v>18</v>
      </c>
      <c r="F499" s="18" t="s">
        <v>1237</v>
      </c>
      <c r="G499" s="18" t="s">
        <v>606</v>
      </c>
      <c r="H499" s="18" t="s">
        <v>1193</v>
      </c>
      <c r="I499" s="20" t="s">
        <v>1238</v>
      </c>
      <c r="J499" s="18" t="s">
        <v>30</v>
      </c>
      <c r="K499" s="18" t="s">
        <v>24</v>
      </c>
      <c r="L499" s="18" t="s">
        <v>25</v>
      </c>
      <c r="N499" s="18" t="s">
        <v>807</v>
      </c>
    </row>
    <row r="500" spans="1:14" ht="15" customHeight="1" x14ac:dyDescent="0.3">
      <c r="A500" s="18" t="s">
        <v>1191</v>
      </c>
      <c r="B500" s="19" t="s">
        <v>15</v>
      </c>
      <c r="C500" s="18" t="s">
        <v>918</v>
      </c>
      <c r="D500" s="18" t="s">
        <v>116</v>
      </c>
      <c r="E500" s="18" t="s">
        <v>18</v>
      </c>
      <c r="F500" s="18" t="s">
        <v>1239</v>
      </c>
      <c r="G500" s="18" t="s">
        <v>1075</v>
      </c>
      <c r="H500" s="18" t="s">
        <v>1193</v>
      </c>
      <c r="I500" s="20" t="s">
        <v>1240</v>
      </c>
      <c r="J500" s="18" t="s">
        <v>30</v>
      </c>
      <c r="K500" s="18" t="s">
        <v>24</v>
      </c>
      <c r="L500" s="18" t="s">
        <v>25</v>
      </c>
      <c r="N500" s="18" t="s">
        <v>807</v>
      </c>
    </row>
    <row r="501" spans="1:14" ht="15" customHeight="1" x14ac:dyDescent="0.3">
      <c r="A501" s="18" t="s">
        <v>1191</v>
      </c>
      <c r="B501" s="19" t="s">
        <v>15</v>
      </c>
      <c r="C501" s="18" t="s">
        <v>918</v>
      </c>
      <c r="D501" s="18" t="s">
        <v>116</v>
      </c>
      <c r="E501" s="18" t="s">
        <v>18</v>
      </c>
      <c r="F501" s="18" t="s">
        <v>221</v>
      </c>
      <c r="G501" s="18" t="s">
        <v>212</v>
      </c>
      <c r="H501" s="18" t="s">
        <v>1193</v>
      </c>
      <c r="I501" s="20" t="s">
        <v>1241</v>
      </c>
      <c r="J501" s="18" t="s">
        <v>30</v>
      </c>
      <c r="K501" s="18" t="s">
        <v>24</v>
      </c>
      <c r="L501" s="18" t="s">
        <v>25</v>
      </c>
      <c r="N501" s="18" t="s">
        <v>807</v>
      </c>
    </row>
    <row r="502" spans="1:14" ht="15" customHeight="1" x14ac:dyDescent="0.3">
      <c r="A502" s="18" t="s">
        <v>1191</v>
      </c>
      <c r="B502" s="19" t="s">
        <v>15</v>
      </c>
      <c r="C502" s="18" t="s">
        <v>918</v>
      </c>
      <c r="D502" s="18" t="s">
        <v>116</v>
      </c>
      <c r="E502" s="18" t="s">
        <v>18</v>
      </c>
      <c r="F502" s="18" t="s">
        <v>1242</v>
      </c>
      <c r="G502" s="18" t="s">
        <v>34</v>
      </c>
      <c r="H502" s="18" t="s">
        <v>1193</v>
      </c>
      <c r="I502" s="20" t="s">
        <v>1243</v>
      </c>
      <c r="J502" s="18" t="s">
        <v>30</v>
      </c>
      <c r="K502" s="18" t="s">
        <v>24</v>
      </c>
      <c r="L502" s="18" t="s">
        <v>25</v>
      </c>
      <c r="N502" s="18" t="s">
        <v>807</v>
      </c>
    </row>
    <row r="503" spans="1:14" ht="15" customHeight="1" x14ac:dyDescent="0.3">
      <c r="A503" s="18" t="s">
        <v>1191</v>
      </c>
      <c r="B503" s="19" t="s">
        <v>15</v>
      </c>
      <c r="C503" s="18" t="s">
        <v>918</v>
      </c>
      <c r="D503" s="18" t="s">
        <v>116</v>
      </c>
      <c r="E503" s="18" t="s">
        <v>18</v>
      </c>
      <c r="F503" s="18" t="s">
        <v>1244</v>
      </c>
      <c r="G503" s="18" t="s">
        <v>1075</v>
      </c>
      <c r="H503" s="18" t="s">
        <v>1193</v>
      </c>
      <c r="I503" s="20" t="s">
        <v>1245</v>
      </c>
      <c r="J503" s="18" t="s">
        <v>30</v>
      </c>
      <c r="K503" s="18" t="s">
        <v>24</v>
      </c>
      <c r="L503" s="18" t="s">
        <v>25</v>
      </c>
      <c r="N503" s="18" t="s">
        <v>807</v>
      </c>
    </row>
    <row r="504" spans="1:14" ht="15" customHeight="1" x14ac:dyDescent="0.3">
      <c r="A504" s="18" t="s">
        <v>1191</v>
      </c>
      <c r="B504" s="19" t="s">
        <v>15</v>
      </c>
      <c r="C504" s="18" t="s">
        <v>918</v>
      </c>
      <c r="D504" s="18" t="s">
        <v>116</v>
      </c>
      <c r="E504" s="18" t="s">
        <v>18</v>
      </c>
      <c r="F504" s="18" t="s">
        <v>1072</v>
      </c>
      <c r="G504" s="18" t="s">
        <v>47</v>
      </c>
      <c r="H504" s="18" t="s">
        <v>1193</v>
      </c>
      <c r="I504" s="20" t="s">
        <v>1246</v>
      </c>
      <c r="J504" s="18" t="s">
        <v>30</v>
      </c>
      <c r="K504" s="18" t="s">
        <v>24</v>
      </c>
      <c r="L504" s="18" t="s">
        <v>25</v>
      </c>
      <c r="N504" s="18" t="s">
        <v>807</v>
      </c>
    </row>
    <row r="505" spans="1:14" ht="15" customHeight="1" x14ac:dyDescent="0.3">
      <c r="A505" s="18" t="s">
        <v>1191</v>
      </c>
      <c r="B505" s="19" t="s">
        <v>15</v>
      </c>
      <c r="C505" s="18" t="s">
        <v>918</v>
      </c>
      <c r="D505" s="18" t="s">
        <v>116</v>
      </c>
      <c r="E505" s="18" t="s">
        <v>18</v>
      </c>
      <c r="F505" s="18" t="s">
        <v>1247</v>
      </c>
      <c r="G505" s="18" t="s">
        <v>47</v>
      </c>
      <c r="H505" s="18" t="s">
        <v>1193</v>
      </c>
      <c r="I505" s="20" t="s">
        <v>1248</v>
      </c>
      <c r="J505" s="18" t="s">
        <v>30</v>
      </c>
      <c r="K505" s="18" t="s">
        <v>24</v>
      </c>
      <c r="L505" s="18" t="s">
        <v>25</v>
      </c>
      <c r="N505" s="18" t="s">
        <v>807</v>
      </c>
    </row>
    <row r="506" spans="1:14" ht="15" customHeight="1" x14ac:dyDescent="0.3">
      <c r="A506" s="18" t="s">
        <v>1191</v>
      </c>
      <c r="B506" s="19" t="s">
        <v>15</v>
      </c>
      <c r="C506" s="18" t="s">
        <v>918</v>
      </c>
      <c r="D506" s="18" t="s">
        <v>116</v>
      </c>
      <c r="E506" s="18" t="s">
        <v>18</v>
      </c>
      <c r="F506" s="18" t="s">
        <v>34</v>
      </c>
      <c r="G506" s="18" t="s">
        <v>34</v>
      </c>
      <c r="H506" s="18" t="s">
        <v>1193</v>
      </c>
      <c r="I506" s="20" t="s">
        <v>1249</v>
      </c>
      <c r="J506" s="18" t="s">
        <v>30</v>
      </c>
      <c r="K506" s="18" t="s">
        <v>24</v>
      </c>
      <c r="L506" s="18" t="s">
        <v>25</v>
      </c>
      <c r="N506" s="18" t="s">
        <v>807</v>
      </c>
    </row>
    <row r="507" spans="1:14" ht="15" customHeight="1" x14ac:dyDescent="0.3">
      <c r="A507" s="18" t="s">
        <v>1191</v>
      </c>
      <c r="B507" s="19" t="s">
        <v>15</v>
      </c>
      <c r="C507" s="18" t="s">
        <v>918</v>
      </c>
      <c r="D507" s="18" t="s">
        <v>116</v>
      </c>
      <c r="E507" s="18" t="s">
        <v>18</v>
      </c>
      <c r="F507" s="18" t="s">
        <v>1250</v>
      </c>
      <c r="G507" s="18" t="s">
        <v>1251</v>
      </c>
      <c r="H507" s="18" t="s">
        <v>1193</v>
      </c>
      <c r="I507" s="20" t="s">
        <v>1252</v>
      </c>
      <c r="J507" s="18" t="s">
        <v>30</v>
      </c>
      <c r="K507" s="18" t="s">
        <v>24</v>
      </c>
      <c r="L507" s="18" t="s">
        <v>25</v>
      </c>
      <c r="M507" s="18" t="s">
        <v>39</v>
      </c>
      <c r="N507" s="18" t="s">
        <v>807</v>
      </c>
    </row>
    <row r="508" spans="1:14" ht="15" customHeight="1" x14ac:dyDescent="0.3">
      <c r="A508" s="18" t="s">
        <v>1191</v>
      </c>
      <c r="B508" s="19" t="s">
        <v>15</v>
      </c>
      <c r="C508" s="18" t="s">
        <v>918</v>
      </c>
      <c r="D508" s="18" t="s">
        <v>116</v>
      </c>
      <c r="E508" s="18" t="s">
        <v>18</v>
      </c>
      <c r="F508" s="18" t="s">
        <v>1253</v>
      </c>
      <c r="G508" s="18" t="s">
        <v>1254</v>
      </c>
      <c r="H508" s="18" t="s">
        <v>1193</v>
      </c>
      <c r="I508" s="20" t="s">
        <v>1255</v>
      </c>
      <c r="J508" s="18" t="s">
        <v>30</v>
      </c>
      <c r="K508" s="18" t="s">
        <v>24</v>
      </c>
      <c r="L508" s="18" t="s">
        <v>25</v>
      </c>
      <c r="N508" s="18" t="s">
        <v>807</v>
      </c>
    </row>
    <row r="509" spans="1:14" ht="15" customHeight="1" x14ac:dyDescent="0.3">
      <c r="A509" s="18" t="s">
        <v>1191</v>
      </c>
      <c r="B509" s="19" t="s">
        <v>15</v>
      </c>
      <c r="C509" s="18" t="s">
        <v>918</v>
      </c>
      <c r="D509" s="18" t="s">
        <v>116</v>
      </c>
      <c r="E509" s="18" t="s">
        <v>18</v>
      </c>
      <c r="F509" s="18" t="s">
        <v>1256</v>
      </c>
      <c r="G509" s="18" t="s">
        <v>1211</v>
      </c>
      <c r="H509" s="18" t="s">
        <v>1193</v>
      </c>
      <c r="I509" s="20" t="s">
        <v>1257</v>
      </c>
      <c r="J509" s="18" t="s">
        <v>30</v>
      </c>
      <c r="K509" s="18" t="s">
        <v>24</v>
      </c>
      <c r="L509" s="18" t="s">
        <v>25</v>
      </c>
      <c r="N509" s="18" t="s">
        <v>807</v>
      </c>
    </row>
    <row r="510" spans="1:14" ht="15" customHeight="1" x14ac:dyDescent="0.3">
      <c r="A510" s="18" t="s">
        <v>1191</v>
      </c>
      <c r="B510" s="19" t="s">
        <v>15</v>
      </c>
      <c r="C510" s="18" t="s">
        <v>918</v>
      </c>
      <c r="D510" s="18" t="s">
        <v>116</v>
      </c>
      <c r="E510" s="18" t="s">
        <v>18</v>
      </c>
      <c r="F510" s="18" t="s">
        <v>1258</v>
      </c>
      <c r="G510" s="18" t="s">
        <v>47</v>
      </c>
      <c r="H510" s="18" t="s">
        <v>1193</v>
      </c>
      <c r="I510" s="20" t="s">
        <v>1259</v>
      </c>
      <c r="J510" s="18" t="s">
        <v>30</v>
      </c>
      <c r="K510" s="18" t="s">
        <v>24</v>
      </c>
      <c r="L510" s="18" t="s">
        <v>25</v>
      </c>
      <c r="N510" s="18" t="s">
        <v>807</v>
      </c>
    </row>
    <row r="511" spans="1:14" ht="15" customHeight="1" x14ac:dyDescent="0.3">
      <c r="A511" s="18" t="s">
        <v>1191</v>
      </c>
      <c r="B511" s="19" t="s">
        <v>15</v>
      </c>
      <c r="C511" s="18" t="s">
        <v>918</v>
      </c>
      <c r="D511" s="18" t="s">
        <v>116</v>
      </c>
      <c r="E511" s="18" t="s">
        <v>55</v>
      </c>
      <c r="F511" s="18" t="s">
        <v>1260</v>
      </c>
      <c r="G511" s="18" t="s">
        <v>1211</v>
      </c>
      <c r="H511" s="18" t="s">
        <v>1193</v>
      </c>
      <c r="I511" s="20" t="s">
        <v>1261</v>
      </c>
      <c r="J511" s="18" t="s">
        <v>1262</v>
      </c>
      <c r="K511" s="18" t="s">
        <v>24</v>
      </c>
      <c r="L511" s="18" t="s">
        <v>25</v>
      </c>
      <c r="N511" s="18" t="s">
        <v>807</v>
      </c>
    </row>
    <row r="512" spans="1:14" ht="15" customHeight="1" x14ac:dyDescent="0.3">
      <c r="A512" s="18" t="s">
        <v>1191</v>
      </c>
      <c r="B512" s="19" t="s">
        <v>15</v>
      </c>
      <c r="C512" s="18" t="s">
        <v>918</v>
      </c>
      <c r="D512" s="18" t="s">
        <v>116</v>
      </c>
      <c r="E512" s="18" t="s">
        <v>55</v>
      </c>
      <c r="F512" s="18" t="s">
        <v>1263</v>
      </c>
      <c r="G512" s="18" t="s">
        <v>207</v>
      </c>
      <c r="H512" s="18" t="s">
        <v>1193</v>
      </c>
      <c r="I512" s="20" t="s">
        <v>1264</v>
      </c>
      <c r="J512" s="18" t="s">
        <v>58</v>
      </c>
      <c r="K512" s="18" t="s">
        <v>24</v>
      </c>
      <c r="L512" s="18" t="s">
        <v>25</v>
      </c>
      <c r="M512" s="18" t="s">
        <v>39</v>
      </c>
      <c r="N512" s="18" t="s">
        <v>807</v>
      </c>
    </row>
    <row r="513" spans="1:14" ht="15" customHeight="1" x14ac:dyDescent="0.3">
      <c r="A513" s="18" t="s">
        <v>1191</v>
      </c>
      <c r="B513" s="19" t="s">
        <v>15</v>
      </c>
      <c r="C513" s="18" t="s">
        <v>918</v>
      </c>
      <c r="D513" s="18" t="s">
        <v>116</v>
      </c>
      <c r="E513" s="18" t="s">
        <v>55</v>
      </c>
      <c r="F513" s="18" t="s">
        <v>1239</v>
      </c>
      <c r="G513" s="18" t="s">
        <v>1075</v>
      </c>
      <c r="H513" s="18" t="s">
        <v>1193</v>
      </c>
      <c r="I513" s="20" t="s">
        <v>1265</v>
      </c>
      <c r="J513" s="18" t="s">
        <v>58</v>
      </c>
      <c r="K513" s="18" t="s">
        <v>24</v>
      </c>
      <c r="L513" s="18" t="s">
        <v>25</v>
      </c>
      <c r="N513" s="18" t="s">
        <v>807</v>
      </c>
    </row>
    <row r="514" spans="1:14" ht="15" customHeight="1" x14ac:dyDescent="0.3">
      <c r="A514" s="18" t="s">
        <v>1191</v>
      </c>
      <c r="B514" s="19" t="s">
        <v>15</v>
      </c>
      <c r="C514" s="18" t="s">
        <v>918</v>
      </c>
      <c r="D514" s="18" t="s">
        <v>116</v>
      </c>
      <c r="E514" s="18" t="s">
        <v>55</v>
      </c>
      <c r="F514" s="18" t="s">
        <v>221</v>
      </c>
      <c r="G514" s="18" t="s">
        <v>212</v>
      </c>
      <c r="H514" s="18" t="s">
        <v>1193</v>
      </c>
      <c r="I514" s="20" t="s">
        <v>1266</v>
      </c>
      <c r="J514" s="18" t="s">
        <v>1267</v>
      </c>
      <c r="K514" s="18" t="s">
        <v>24</v>
      </c>
      <c r="L514" s="18" t="s">
        <v>25</v>
      </c>
      <c r="N514" s="18" t="s">
        <v>807</v>
      </c>
    </row>
    <row r="515" spans="1:14" ht="15" customHeight="1" x14ac:dyDescent="0.3">
      <c r="A515" s="18" t="s">
        <v>1191</v>
      </c>
      <c r="B515" s="19" t="s">
        <v>15</v>
      </c>
      <c r="C515" s="18" t="s">
        <v>918</v>
      </c>
      <c r="D515" s="18" t="s">
        <v>116</v>
      </c>
      <c r="E515" s="18" t="s">
        <v>55</v>
      </c>
      <c r="F515" s="18" t="s">
        <v>1268</v>
      </c>
      <c r="G515" s="18" t="s">
        <v>212</v>
      </c>
      <c r="H515" s="18" t="s">
        <v>1193</v>
      </c>
      <c r="I515" s="20" t="s">
        <v>1269</v>
      </c>
      <c r="J515" s="18" t="s">
        <v>58</v>
      </c>
      <c r="K515" s="18" t="s">
        <v>24</v>
      </c>
      <c r="L515" s="18" t="s">
        <v>25</v>
      </c>
      <c r="M515" s="18" t="s">
        <v>39</v>
      </c>
      <c r="N515" s="18" t="s">
        <v>807</v>
      </c>
    </row>
    <row r="516" spans="1:14" ht="15" customHeight="1" x14ac:dyDescent="0.3">
      <c r="A516" s="18" t="s">
        <v>1191</v>
      </c>
      <c r="B516" s="19" t="s">
        <v>15</v>
      </c>
      <c r="C516" s="18" t="s">
        <v>918</v>
      </c>
      <c r="D516" s="18" t="s">
        <v>116</v>
      </c>
      <c r="E516" s="18" t="s">
        <v>55</v>
      </c>
      <c r="F516" s="18" t="s">
        <v>1270</v>
      </c>
      <c r="G516" s="18" t="s">
        <v>34</v>
      </c>
      <c r="H516" s="18" t="s">
        <v>1193</v>
      </c>
      <c r="I516" s="20" t="s">
        <v>1271</v>
      </c>
      <c r="J516" s="18" t="s">
        <v>58</v>
      </c>
      <c r="K516" s="18" t="s">
        <v>24</v>
      </c>
      <c r="L516" s="18" t="s">
        <v>25</v>
      </c>
      <c r="M516" s="18" t="s">
        <v>39</v>
      </c>
      <c r="N516" s="18" t="s">
        <v>807</v>
      </c>
    </row>
    <row r="517" spans="1:14" ht="15" customHeight="1" x14ac:dyDescent="0.3">
      <c r="A517" s="18" t="s">
        <v>1191</v>
      </c>
      <c r="B517" s="19" t="s">
        <v>15</v>
      </c>
      <c r="C517" s="18" t="s">
        <v>918</v>
      </c>
      <c r="D517" s="18" t="s">
        <v>116</v>
      </c>
      <c r="E517" s="18" t="s">
        <v>55</v>
      </c>
      <c r="F517" s="18" t="s">
        <v>1272</v>
      </c>
      <c r="G517" s="18" t="s">
        <v>1204</v>
      </c>
      <c r="H517" s="18" t="s">
        <v>1193</v>
      </c>
      <c r="I517" s="20" t="s">
        <v>1273</v>
      </c>
      <c r="J517" s="18" t="s">
        <v>58</v>
      </c>
      <c r="K517" s="18" t="s">
        <v>24</v>
      </c>
      <c r="L517" s="18" t="s">
        <v>25</v>
      </c>
      <c r="N517" s="18" t="s">
        <v>807</v>
      </c>
    </row>
    <row r="518" spans="1:14" ht="15" customHeight="1" x14ac:dyDescent="0.3">
      <c r="A518" s="18" t="s">
        <v>1191</v>
      </c>
      <c r="B518" s="19" t="s">
        <v>15</v>
      </c>
      <c r="C518" s="18" t="s">
        <v>918</v>
      </c>
      <c r="D518" s="18" t="s">
        <v>116</v>
      </c>
      <c r="E518" s="18" t="s">
        <v>55</v>
      </c>
      <c r="F518" s="18" t="s">
        <v>1072</v>
      </c>
      <c r="G518" s="18" t="s">
        <v>47</v>
      </c>
      <c r="H518" s="18" t="s">
        <v>1193</v>
      </c>
      <c r="I518" s="20" t="s">
        <v>1274</v>
      </c>
      <c r="J518" s="18" t="s">
        <v>58</v>
      </c>
      <c r="K518" s="18" t="s">
        <v>24</v>
      </c>
      <c r="L518" s="18" t="s">
        <v>25</v>
      </c>
      <c r="N518" s="18" t="s">
        <v>807</v>
      </c>
    </row>
    <row r="519" spans="1:14" ht="15" customHeight="1" x14ac:dyDescent="0.3">
      <c r="A519" s="18" t="s">
        <v>1191</v>
      </c>
      <c r="B519" s="19" t="s">
        <v>15</v>
      </c>
      <c r="C519" s="18" t="s">
        <v>918</v>
      </c>
      <c r="D519" s="18" t="s">
        <v>116</v>
      </c>
      <c r="E519" s="18" t="s">
        <v>55</v>
      </c>
      <c r="F519" s="18" t="s">
        <v>34</v>
      </c>
      <c r="G519" s="18" t="s">
        <v>34</v>
      </c>
      <c r="H519" s="18" t="s">
        <v>1193</v>
      </c>
      <c r="I519" s="20" t="s">
        <v>1275</v>
      </c>
      <c r="J519" s="18" t="s">
        <v>58</v>
      </c>
      <c r="K519" s="18" t="s">
        <v>24</v>
      </c>
      <c r="L519" s="18" t="s">
        <v>25</v>
      </c>
      <c r="N519" s="18" t="s">
        <v>807</v>
      </c>
    </row>
    <row r="520" spans="1:14" ht="15" customHeight="1" x14ac:dyDescent="0.3">
      <c r="A520" s="18" t="s">
        <v>1191</v>
      </c>
      <c r="B520" s="19" t="s">
        <v>15</v>
      </c>
      <c r="C520" s="18" t="s">
        <v>918</v>
      </c>
      <c r="D520" s="18" t="s">
        <v>116</v>
      </c>
      <c r="E520" s="18" t="s">
        <v>55</v>
      </c>
      <c r="F520" s="18" t="s">
        <v>1276</v>
      </c>
      <c r="G520" s="18" t="s">
        <v>1251</v>
      </c>
      <c r="H520" s="18" t="s">
        <v>1193</v>
      </c>
      <c r="I520" s="20" t="s">
        <v>1277</v>
      </c>
      <c r="J520" s="18" t="s">
        <v>58</v>
      </c>
      <c r="K520" s="18" t="s">
        <v>24</v>
      </c>
      <c r="L520" s="18" t="s">
        <v>25</v>
      </c>
      <c r="N520" s="18" t="s">
        <v>807</v>
      </c>
    </row>
    <row r="521" spans="1:14" ht="15" customHeight="1" x14ac:dyDescent="0.3">
      <c r="A521" s="18" t="s">
        <v>1191</v>
      </c>
      <c r="B521" s="19" t="s">
        <v>15</v>
      </c>
      <c r="C521" s="18" t="s">
        <v>918</v>
      </c>
      <c r="D521" s="18" t="s">
        <v>116</v>
      </c>
      <c r="E521" s="18" t="s">
        <v>55</v>
      </c>
      <c r="F521" s="18" t="s">
        <v>1253</v>
      </c>
      <c r="G521" s="18" t="s">
        <v>1254</v>
      </c>
      <c r="H521" s="18" t="s">
        <v>1193</v>
      </c>
      <c r="I521" s="20" t="s">
        <v>1278</v>
      </c>
      <c r="J521" s="18" t="s">
        <v>58</v>
      </c>
      <c r="K521" s="18" t="s">
        <v>24</v>
      </c>
      <c r="L521" s="18" t="s">
        <v>25</v>
      </c>
      <c r="N521" s="18" t="s">
        <v>807</v>
      </c>
    </row>
    <row r="522" spans="1:14" ht="15" customHeight="1" x14ac:dyDescent="0.3">
      <c r="A522" s="18" t="s">
        <v>1191</v>
      </c>
      <c r="B522" s="19" t="s">
        <v>15</v>
      </c>
      <c r="C522" s="18" t="s">
        <v>918</v>
      </c>
      <c r="D522" s="18" t="s">
        <v>116</v>
      </c>
      <c r="E522" s="18" t="s">
        <v>55</v>
      </c>
      <c r="F522" s="18" t="s">
        <v>1279</v>
      </c>
      <c r="G522" s="18" t="s">
        <v>1254</v>
      </c>
      <c r="H522" s="18" t="s">
        <v>1193</v>
      </c>
      <c r="I522" s="20" t="s">
        <v>1280</v>
      </c>
      <c r="J522" s="18" t="s">
        <v>58</v>
      </c>
      <c r="K522" s="18" t="s">
        <v>24</v>
      </c>
      <c r="L522" s="18" t="s">
        <v>25</v>
      </c>
      <c r="N522" s="18" t="s">
        <v>807</v>
      </c>
    </row>
    <row r="523" spans="1:14" ht="15" customHeight="1" x14ac:dyDescent="0.3">
      <c r="A523" s="18" t="s">
        <v>1191</v>
      </c>
      <c r="B523" s="19" t="s">
        <v>15</v>
      </c>
      <c r="C523" s="18" t="s">
        <v>918</v>
      </c>
      <c r="D523" s="18" t="s">
        <v>116</v>
      </c>
      <c r="E523" s="18" t="s">
        <v>55</v>
      </c>
      <c r="F523" s="18" t="s">
        <v>1281</v>
      </c>
      <c r="G523" s="18" t="s">
        <v>1204</v>
      </c>
      <c r="H523" s="18" t="s">
        <v>1282</v>
      </c>
      <c r="I523" s="20" t="s">
        <v>1283</v>
      </c>
      <c r="J523" s="18" t="s">
        <v>58</v>
      </c>
      <c r="K523" s="18" t="s">
        <v>24</v>
      </c>
      <c r="L523" s="18" t="s">
        <v>25</v>
      </c>
      <c r="M523" s="18" t="s">
        <v>39</v>
      </c>
      <c r="N523" s="18" t="s">
        <v>807</v>
      </c>
    </row>
    <row r="524" spans="1:14" ht="15" customHeight="1" x14ac:dyDescent="0.3">
      <c r="A524" s="18" t="s">
        <v>1191</v>
      </c>
      <c r="B524" s="19" t="s">
        <v>15</v>
      </c>
      <c r="C524" s="18" t="s">
        <v>918</v>
      </c>
      <c r="D524" s="18" t="s">
        <v>116</v>
      </c>
      <c r="E524" s="18" t="s">
        <v>55</v>
      </c>
      <c r="F524" s="18" t="s">
        <v>1284</v>
      </c>
      <c r="G524" s="18" t="s">
        <v>1204</v>
      </c>
      <c r="H524" s="18" t="s">
        <v>1285</v>
      </c>
      <c r="I524" s="20" t="s">
        <v>1286</v>
      </c>
      <c r="J524" s="18" t="s">
        <v>58</v>
      </c>
      <c r="K524" s="18" t="s">
        <v>24</v>
      </c>
      <c r="L524" s="18" t="s">
        <v>25</v>
      </c>
      <c r="N524" s="18" t="s">
        <v>807</v>
      </c>
    </row>
    <row r="525" spans="1:14" ht="15" customHeight="1" x14ac:dyDescent="0.3">
      <c r="A525" s="18" t="s">
        <v>1191</v>
      </c>
      <c r="B525" s="19" t="s">
        <v>15</v>
      </c>
      <c r="C525" s="18" t="s">
        <v>918</v>
      </c>
      <c r="D525" s="18" t="s">
        <v>116</v>
      </c>
      <c r="E525" s="18" t="s">
        <v>55</v>
      </c>
      <c r="F525" s="18" t="s">
        <v>1287</v>
      </c>
      <c r="G525" s="18" t="s">
        <v>433</v>
      </c>
      <c r="H525" s="18" t="s">
        <v>1193</v>
      </c>
      <c r="I525" s="20" t="s">
        <v>1288</v>
      </c>
      <c r="J525" s="18" t="s">
        <v>199</v>
      </c>
      <c r="K525" s="18" t="s">
        <v>24</v>
      </c>
      <c r="L525" s="18" t="s">
        <v>25</v>
      </c>
      <c r="N525" s="18" t="s">
        <v>807</v>
      </c>
    </row>
    <row r="526" spans="1:14" ht="15" customHeight="1" x14ac:dyDescent="0.3">
      <c r="A526" s="18" t="s">
        <v>1289</v>
      </c>
      <c r="B526" s="19" t="s">
        <v>15</v>
      </c>
      <c r="C526" s="18" t="s">
        <v>210</v>
      </c>
      <c r="D526" s="18" t="s">
        <v>17</v>
      </c>
      <c r="E526" s="18" t="s">
        <v>117</v>
      </c>
      <c r="F526" s="18" t="s">
        <v>1290</v>
      </c>
      <c r="G526" s="18" t="s">
        <v>1291</v>
      </c>
      <c r="H526" s="18" t="s">
        <v>1292</v>
      </c>
      <c r="I526" s="20" t="s">
        <v>1293</v>
      </c>
      <c r="J526" s="18" t="s">
        <v>58</v>
      </c>
      <c r="K526" s="18" t="s">
        <v>24</v>
      </c>
      <c r="L526" s="18" t="s">
        <v>25</v>
      </c>
      <c r="N526" s="18" t="s">
        <v>26</v>
      </c>
    </row>
    <row r="527" spans="1:14" ht="15" customHeight="1" x14ac:dyDescent="0.3">
      <c r="A527" s="18" t="s">
        <v>1289</v>
      </c>
      <c r="B527" s="19" t="s">
        <v>15</v>
      </c>
      <c r="C527" s="18" t="s">
        <v>210</v>
      </c>
      <c r="D527" s="18" t="s">
        <v>17</v>
      </c>
      <c r="E527" s="18" t="s">
        <v>117</v>
      </c>
      <c r="F527" s="18" t="s">
        <v>1294</v>
      </c>
      <c r="G527" s="18" t="s">
        <v>1295</v>
      </c>
      <c r="H527" s="18" t="s">
        <v>1292</v>
      </c>
      <c r="I527" s="20" t="s">
        <v>1296</v>
      </c>
      <c r="J527" s="18" t="s">
        <v>58</v>
      </c>
      <c r="K527" s="18" t="s">
        <v>24</v>
      </c>
      <c r="L527" s="18" t="s">
        <v>25</v>
      </c>
      <c r="N527" s="18" t="s">
        <v>26</v>
      </c>
    </row>
    <row r="528" spans="1:14" ht="15" customHeight="1" x14ac:dyDescent="0.3">
      <c r="A528" s="18" t="s">
        <v>1289</v>
      </c>
      <c r="B528" s="19" t="s">
        <v>15</v>
      </c>
      <c r="C528" s="18" t="s">
        <v>210</v>
      </c>
      <c r="D528" s="18" t="s">
        <v>17</v>
      </c>
      <c r="E528" s="18" t="s">
        <v>117</v>
      </c>
      <c r="F528" s="18" t="s">
        <v>1297</v>
      </c>
      <c r="G528" s="18" t="s">
        <v>207</v>
      </c>
      <c r="H528" s="18" t="s">
        <v>1292</v>
      </c>
      <c r="I528" s="20" t="s">
        <v>1298</v>
      </c>
      <c r="J528" s="18" t="s">
        <v>58</v>
      </c>
      <c r="K528" s="18" t="s">
        <v>24</v>
      </c>
      <c r="L528" s="18" t="s">
        <v>25</v>
      </c>
      <c r="N528" s="18" t="s">
        <v>26</v>
      </c>
    </row>
    <row r="529" spans="1:14" ht="15" customHeight="1" x14ac:dyDescent="0.3">
      <c r="A529" s="18" t="s">
        <v>1289</v>
      </c>
      <c r="B529" s="19" t="s">
        <v>15</v>
      </c>
      <c r="C529" s="18" t="s">
        <v>210</v>
      </c>
      <c r="D529" s="18" t="s">
        <v>17</v>
      </c>
      <c r="E529" s="18" t="s">
        <v>117</v>
      </c>
      <c r="F529" s="18" t="s">
        <v>1299</v>
      </c>
      <c r="G529" s="18" t="s">
        <v>212</v>
      </c>
      <c r="H529" s="18" t="s">
        <v>1292</v>
      </c>
      <c r="I529" s="20" t="s">
        <v>1300</v>
      </c>
      <c r="J529" s="18" t="s">
        <v>58</v>
      </c>
      <c r="K529" s="18" t="s">
        <v>24</v>
      </c>
      <c r="L529" s="18" t="s">
        <v>25</v>
      </c>
      <c r="N529" s="18" t="s">
        <v>26</v>
      </c>
    </row>
    <row r="530" spans="1:14" ht="15" customHeight="1" x14ac:dyDescent="0.3">
      <c r="A530" s="18" t="s">
        <v>1289</v>
      </c>
      <c r="B530" s="19" t="s">
        <v>15</v>
      </c>
      <c r="C530" s="18" t="s">
        <v>210</v>
      </c>
      <c r="D530" s="18" t="s">
        <v>17</v>
      </c>
      <c r="E530" s="18" t="s">
        <v>117</v>
      </c>
      <c r="F530" s="18" t="s">
        <v>1301</v>
      </c>
      <c r="G530" s="18" t="s">
        <v>1291</v>
      </c>
      <c r="H530" s="18" t="s">
        <v>1292</v>
      </c>
      <c r="I530" s="20" t="s">
        <v>1302</v>
      </c>
      <c r="J530" s="18" t="s">
        <v>58</v>
      </c>
      <c r="K530" s="18" t="s">
        <v>24</v>
      </c>
      <c r="L530" s="18" t="s">
        <v>25</v>
      </c>
      <c r="N530" s="18" t="s">
        <v>26</v>
      </c>
    </row>
    <row r="531" spans="1:14" ht="15" customHeight="1" x14ac:dyDescent="0.3">
      <c r="A531" s="18" t="s">
        <v>1289</v>
      </c>
      <c r="B531" s="19" t="s">
        <v>15</v>
      </c>
      <c r="C531" s="18" t="s">
        <v>210</v>
      </c>
      <c r="D531" s="18" t="s">
        <v>17</v>
      </c>
      <c r="E531" s="18" t="s">
        <v>117</v>
      </c>
      <c r="F531" s="18" t="s">
        <v>1303</v>
      </c>
      <c r="G531" s="18" t="s">
        <v>537</v>
      </c>
      <c r="H531" s="18" t="s">
        <v>1292</v>
      </c>
      <c r="I531" s="20" t="s">
        <v>1304</v>
      </c>
      <c r="J531" s="18" t="s">
        <v>58</v>
      </c>
      <c r="K531" s="18" t="s">
        <v>24</v>
      </c>
      <c r="L531" s="18" t="s">
        <v>25</v>
      </c>
      <c r="N531" s="18" t="s">
        <v>26</v>
      </c>
    </row>
    <row r="532" spans="1:14" ht="15" customHeight="1" x14ac:dyDescent="0.3">
      <c r="A532" s="18" t="s">
        <v>1289</v>
      </c>
      <c r="B532" s="19" t="s">
        <v>15</v>
      </c>
      <c r="C532" s="18" t="s">
        <v>210</v>
      </c>
      <c r="D532" s="18" t="s">
        <v>17</v>
      </c>
      <c r="E532" s="18" t="s">
        <v>117</v>
      </c>
      <c r="F532" s="18" t="s">
        <v>1305</v>
      </c>
      <c r="G532" s="18" t="s">
        <v>1204</v>
      </c>
      <c r="H532" s="18" t="s">
        <v>1292</v>
      </c>
      <c r="I532" s="20" t="s">
        <v>1306</v>
      </c>
      <c r="J532" s="18" t="s">
        <v>58</v>
      </c>
      <c r="K532" s="18" t="s">
        <v>24</v>
      </c>
      <c r="L532" s="18" t="s">
        <v>25</v>
      </c>
      <c r="N532" s="18" t="s">
        <v>26</v>
      </c>
    </row>
    <row r="533" spans="1:14" ht="15" customHeight="1" x14ac:dyDescent="0.3">
      <c r="A533" s="18" t="s">
        <v>1289</v>
      </c>
      <c r="B533" s="19" t="s">
        <v>15</v>
      </c>
      <c r="C533" s="18" t="s">
        <v>210</v>
      </c>
      <c r="D533" s="18" t="s">
        <v>17</v>
      </c>
      <c r="E533" s="18" t="s">
        <v>117</v>
      </c>
      <c r="F533" s="18" t="s">
        <v>1307</v>
      </c>
      <c r="G533" s="18" t="s">
        <v>564</v>
      </c>
      <c r="H533" s="18" t="s">
        <v>1292</v>
      </c>
      <c r="I533" s="20" t="s">
        <v>1308</v>
      </c>
      <c r="J533" s="18" t="s">
        <v>58</v>
      </c>
      <c r="K533" s="18" t="s">
        <v>24</v>
      </c>
      <c r="L533" s="18" t="s">
        <v>25</v>
      </c>
      <c r="N533" s="18" t="s">
        <v>26</v>
      </c>
    </row>
    <row r="534" spans="1:14" ht="15" customHeight="1" x14ac:dyDescent="0.3">
      <c r="A534" s="18" t="s">
        <v>1289</v>
      </c>
      <c r="B534" s="19" t="s">
        <v>15</v>
      </c>
      <c r="C534" s="18" t="s">
        <v>210</v>
      </c>
      <c r="D534" s="18" t="s">
        <v>17</v>
      </c>
      <c r="E534" s="18" t="s">
        <v>117</v>
      </c>
      <c r="F534" s="18" t="s">
        <v>1309</v>
      </c>
      <c r="G534" s="18" t="s">
        <v>629</v>
      </c>
      <c r="H534" s="18" t="s">
        <v>1292</v>
      </c>
      <c r="I534" s="20" t="s">
        <v>1310</v>
      </c>
      <c r="J534" s="18" t="s">
        <v>58</v>
      </c>
      <c r="K534" s="18" t="s">
        <v>24</v>
      </c>
      <c r="L534" s="18" t="s">
        <v>25</v>
      </c>
      <c r="N534" s="18" t="s">
        <v>26</v>
      </c>
    </row>
    <row r="535" spans="1:14" ht="15" customHeight="1" x14ac:dyDescent="0.3">
      <c r="A535" s="18" t="s">
        <v>1289</v>
      </c>
      <c r="B535" s="19" t="s">
        <v>15</v>
      </c>
      <c r="C535" s="18" t="s">
        <v>210</v>
      </c>
      <c r="D535" s="18" t="s">
        <v>17</v>
      </c>
      <c r="E535" s="18" t="s">
        <v>117</v>
      </c>
      <c r="F535" s="18" t="s">
        <v>1311</v>
      </c>
      <c r="G535" s="18" t="s">
        <v>41</v>
      </c>
      <c r="H535" s="18" t="s">
        <v>1292</v>
      </c>
      <c r="I535" s="20" t="s">
        <v>1312</v>
      </c>
      <c r="J535" s="18" t="s">
        <v>58</v>
      </c>
      <c r="K535" s="18" t="s">
        <v>24</v>
      </c>
      <c r="L535" s="18" t="s">
        <v>25</v>
      </c>
      <c r="N535" s="18" t="s">
        <v>26</v>
      </c>
    </row>
    <row r="536" spans="1:14" ht="15" customHeight="1" x14ac:dyDescent="0.3">
      <c r="A536" s="18" t="s">
        <v>1289</v>
      </c>
      <c r="B536" s="19" t="s">
        <v>15</v>
      </c>
      <c r="C536" s="18" t="s">
        <v>210</v>
      </c>
      <c r="D536" s="18" t="s">
        <v>17</v>
      </c>
      <c r="E536" s="18" t="s">
        <v>117</v>
      </c>
      <c r="F536" s="18" t="s">
        <v>1313</v>
      </c>
      <c r="G536" s="18" t="s">
        <v>913</v>
      </c>
      <c r="H536" s="18" t="s">
        <v>1292</v>
      </c>
      <c r="I536" s="20" t="s">
        <v>1314</v>
      </c>
      <c r="J536" s="18" t="s">
        <v>58</v>
      </c>
      <c r="K536" s="18" t="s">
        <v>24</v>
      </c>
      <c r="L536" s="18" t="s">
        <v>25</v>
      </c>
      <c r="N536" s="18" t="s">
        <v>26</v>
      </c>
    </row>
    <row r="537" spans="1:14" ht="15" customHeight="1" x14ac:dyDescent="0.3">
      <c r="A537" s="18" t="s">
        <v>1289</v>
      </c>
      <c r="B537" s="19" t="s">
        <v>15</v>
      </c>
      <c r="C537" s="18" t="s">
        <v>210</v>
      </c>
      <c r="D537" s="18" t="s">
        <v>17</v>
      </c>
      <c r="E537" s="18" t="s">
        <v>117</v>
      </c>
      <c r="F537" s="18" t="s">
        <v>353</v>
      </c>
      <c r="G537" s="18" t="s">
        <v>263</v>
      </c>
      <c r="H537" s="18" t="s">
        <v>1292</v>
      </c>
      <c r="I537" s="20" t="s">
        <v>1315</v>
      </c>
      <c r="J537" s="18" t="s">
        <v>58</v>
      </c>
      <c r="K537" s="18" t="s">
        <v>24</v>
      </c>
      <c r="L537" s="18" t="s">
        <v>25</v>
      </c>
      <c r="N537" s="18" t="s">
        <v>26</v>
      </c>
    </row>
    <row r="538" spans="1:14" ht="15" customHeight="1" x14ac:dyDescent="0.3">
      <c r="A538" s="18" t="s">
        <v>1289</v>
      </c>
      <c r="B538" s="19" t="s">
        <v>15</v>
      </c>
      <c r="C538" s="18" t="s">
        <v>210</v>
      </c>
      <c r="D538" s="18" t="s">
        <v>17</v>
      </c>
      <c r="E538" s="18" t="s">
        <v>117</v>
      </c>
      <c r="F538" s="18" t="s">
        <v>1316</v>
      </c>
      <c r="G538" s="18" t="s">
        <v>629</v>
      </c>
      <c r="H538" s="18" t="s">
        <v>1292</v>
      </c>
      <c r="I538" s="20" t="s">
        <v>1317</v>
      </c>
      <c r="J538" s="18" t="s">
        <v>58</v>
      </c>
      <c r="K538" s="18" t="s">
        <v>24</v>
      </c>
      <c r="L538" s="18" t="s">
        <v>25</v>
      </c>
      <c r="N538" s="18" t="s">
        <v>26</v>
      </c>
    </row>
    <row r="539" spans="1:14" ht="15" customHeight="1" x14ac:dyDescent="0.3">
      <c r="A539" s="18" t="s">
        <v>1289</v>
      </c>
      <c r="B539" s="19" t="s">
        <v>15</v>
      </c>
      <c r="C539" s="18" t="s">
        <v>210</v>
      </c>
      <c r="D539" s="18" t="s">
        <v>17</v>
      </c>
      <c r="E539" s="18" t="s">
        <v>117</v>
      </c>
      <c r="F539" s="18" t="s">
        <v>1318</v>
      </c>
      <c r="G539" s="18" t="s">
        <v>207</v>
      </c>
      <c r="H539" s="18" t="s">
        <v>1292</v>
      </c>
      <c r="I539" s="20" t="s">
        <v>1319</v>
      </c>
      <c r="J539" s="18" t="s">
        <v>58</v>
      </c>
      <c r="K539" s="18" t="s">
        <v>24</v>
      </c>
      <c r="L539" s="18" t="s">
        <v>25</v>
      </c>
      <c r="N539" s="18" t="s">
        <v>26</v>
      </c>
    </row>
    <row r="540" spans="1:14" ht="15" customHeight="1" x14ac:dyDescent="0.3">
      <c r="A540" s="18" t="s">
        <v>1289</v>
      </c>
      <c r="B540" s="19" t="s">
        <v>15</v>
      </c>
      <c r="C540" s="18" t="s">
        <v>210</v>
      </c>
      <c r="D540" s="18" t="s">
        <v>17</v>
      </c>
      <c r="E540" s="18" t="s">
        <v>117</v>
      </c>
      <c r="F540" s="18" t="s">
        <v>1320</v>
      </c>
      <c r="G540" s="18" t="s">
        <v>1231</v>
      </c>
      <c r="H540" s="18" t="s">
        <v>1292</v>
      </c>
      <c r="I540" s="20" t="s">
        <v>1321</v>
      </c>
      <c r="J540" s="18" t="s">
        <v>58</v>
      </c>
      <c r="K540" s="18" t="s">
        <v>24</v>
      </c>
      <c r="L540" s="18" t="s">
        <v>25</v>
      </c>
      <c r="N540" s="18" t="s">
        <v>26</v>
      </c>
    </row>
    <row r="541" spans="1:14" ht="15" customHeight="1" x14ac:dyDescent="0.3">
      <c r="A541" s="18" t="s">
        <v>1289</v>
      </c>
      <c r="B541" s="19" t="s">
        <v>15</v>
      </c>
      <c r="C541" s="18" t="s">
        <v>210</v>
      </c>
      <c r="D541" s="18" t="s">
        <v>17</v>
      </c>
      <c r="E541" s="18" t="s">
        <v>117</v>
      </c>
      <c r="F541" s="18" t="s">
        <v>1322</v>
      </c>
      <c r="G541" s="18" t="s">
        <v>28</v>
      </c>
      <c r="H541" s="18" t="s">
        <v>1292</v>
      </c>
      <c r="I541" s="20" t="s">
        <v>1323</v>
      </c>
      <c r="J541" s="18" t="s">
        <v>58</v>
      </c>
      <c r="K541" s="18" t="s">
        <v>24</v>
      </c>
      <c r="L541" s="18" t="s">
        <v>25</v>
      </c>
      <c r="N541" s="18" t="s">
        <v>26</v>
      </c>
    </row>
    <row r="542" spans="1:14" ht="15" customHeight="1" x14ac:dyDescent="0.3">
      <c r="A542" s="18" t="s">
        <v>1289</v>
      </c>
      <c r="B542" s="19" t="s">
        <v>15</v>
      </c>
      <c r="C542" s="18" t="s">
        <v>210</v>
      </c>
      <c r="D542" s="18" t="s">
        <v>17</v>
      </c>
      <c r="E542" s="18" t="s">
        <v>117</v>
      </c>
      <c r="F542" s="18" t="s">
        <v>983</v>
      </c>
      <c r="G542" s="18" t="s">
        <v>1211</v>
      </c>
      <c r="H542" s="18" t="s">
        <v>1292</v>
      </c>
      <c r="I542" s="20" t="s">
        <v>1324</v>
      </c>
      <c r="J542" s="18" t="s">
        <v>58</v>
      </c>
      <c r="K542" s="18" t="s">
        <v>24</v>
      </c>
      <c r="L542" s="18" t="s">
        <v>25</v>
      </c>
      <c r="N542" s="18" t="s">
        <v>26</v>
      </c>
    </row>
    <row r="543" spans="1:14" ht="15" customHeight="1" x14ac:dyDescent="0.3">
      <c r="A543" s="18" t="s">
        <v>1289</v>
      </c>
      <c r="B543" s="19" t="s">
        <v>15</v>
      </c>
      <c r="C543" s="18" t="s">
        <v>210</v>
      </c>
      <c r="D543" s="18" t="s">
        <v>17</v>
      </c>
      <c r="E543" s="18" t="s">
        <v>117</v>
      </c>
      <c r="F543" s="18" t="s">
        <v>1325</v>
      </c>
      <c r="G543" s="18" t="s">
        <v>1231</v>
      </c>
      <c r="H543" s="18" t="s">
        <v>1292</v>
      </c>
      <c r="I543" s="20" t="s">
        <v>1326</v>
      </c>
      <c r="J543" s="18" t="s">
        <v>58</v>
      </c>
      <c r="K543" s="18" t="s">
        <v>24</v>
      </c>
      <c r="L543" s="18" t="s">
        <v>25</v>
      </c>
      <c r="N543" s="18" t="s">
        <v>26</v>
      </c>
    </row>
    <row r="544" spans="1:14" ht="15" customHeight="1" x14ac:dyDescent="0.3">
      <c r="A544" s="18" t="s">
        <v>1289</v>
      </c>
      <c r="B544" s="19" t="s">
        <v>15</v>
      </c>
      <c r="C544" s="18" t="s">
        <v>210</v>
      </c>
      <c r="D544" s="18" t="s">
        <v>17</v>
      </c>
      <c r="E544" s="18" t="s">
        <v>117</v>
      </c>
      <c r="F544" s="18" t="s">
        <v>1327</v>
      </c>
      <c r="G544" s="18" t="s">
        <v>93</v>
      </c>
      <c r="H544" s="18" t="s">
        <v>1292</v>
      </c>
      <c r="I544" s="20" t="s">
        <v>1328</v>
      </c>
      <c r="J544" s="18" t="s">
        <v>58</v>
      </c>
      <c r="K544" s="18" t="s">
        <v>24</v>
      </c>
      <c r="L544" s="18" t="s">
        <v>25</v>
      </c>
      <c r="N544" s="18" t="s">
        <v>26</v>
      </c>
    </row>
    <row r="545" spans="1:14" ht="15" customHeight="1" x14ac:dyDescent="0.3">
      <c r="A545" s="18" t="s">
        <v>1289</v>
      </c>
      <c r="B545" s="19" t="s">
        <v>15</v>
      </c>
      <c r="C545" s="18" t="s">
        <v>210</v>
      </c>
      <c r="D545" s="18" t="s">
        <v>17</v>
      </c>
      <c r="E545" s="18" t="s">
        <v>117</v>
      </c>
      <c r="F545" s="18" t="s">
        <v>1329</v>
      </c>
      <c r="G545" s="18" t="s">
        <v>51</v>
      </c>
      <c r="H545" s="18" t="s">
        <v>1292</v>
      </c>
      <c r="I545" s="20" t="s">
        <v>1330</v>
      </c>
      <c r="J545" s="18" t="s">
        <v>58</v>
      </c>
      <c r="K545" s="18" t="s">
        <v>24</v>
      </c>
      <c r="L545" s="18" t="s">
        <v>25</v>
      </c>
      <c r="N545" s="18" t="s">
        <v>26</v>
      </c>
    </row>
    <row r="546" spans="1:14" ht="15" customHeight="1" x14ac:dyDescent="0.3">
      <c r="A546" s="18" t="s">
        <v>1289</v>
      </c>
      <c r="B546" s="19" t="s">
        <v>15</v>
      </c>
      <c r="C546" s="18" t="s">
        <v>210</v>
      </c>
      <c r="D546" s="18" t="s">
        <v>17</v>
      </c>
      <c r="E546" s="18" t="s">
        <v>117</v>
      </c>
      <c r="F546" s="18" t="s">
        <v>1331</v>
      </c>
      <c r="G546" s="18" t="s">
        <v>537</v>
      </c>
      <c r="H546" s="18" t="s">
        <v>1292</v>
      </c>
      <c r="I546" s="20" t="s">
        <v>1332</v>
      </c>
      <c r="J546" s="18" t="s">
        <v>58</v>
      </c>
      <c r="K546" s="18" t="s">
        <v>24</v>
      </c>
      <c r="L546" s="18" t="s">
        <v>25</v>
      </c>
      <c r="N546" s="18" t="s">
        <v>26</v>
      </c>
    </row>
    <row r="547" spans="1:14" ht="15" customHeight="1" x14ac:dyDescent="0.3">
      <c r="A547" s="18" t="s">
        <v>1289</v>
      </c>
      <c r="B547" s="19" t="s">
        <v>15</v>
      </c>
      <c r="C547" s="18" t="s">
        <v>210</v>
      </c>
      <c r="D547" s="18" t="s">
        <v>17</v>
      </c>
      <c r="E547" s="18" t="s">
        <v>18</v>
      </c>
      <c r="F547" s="18" t="s">
        <v>1333</v>
      </c>
      <c r="G547" s="18" t="s">
        <v>47</v>
      </c>
      <c r="H547" s="18" t="s">
        <v>1292</v>
      </c>
      <c r="I547" s="20" t="s">
        <v>1334</v>
      </c>
      <c r="J547" s="18" t="s">
        <v>30</v>
      </c>
      <c r="K547" s="18" t="s">
        <v>24</v>
      </c>
      <c r="L547" s="18" t="s">
        <v>25</v>
      </c>
      <c r="N547" s="18" t="s">
        <v>26</v>
      </c>
    </row>
    <row r="548" spans="1:14" ht="15" customHeight="1" x14ac:dyDescent="0.3">
      <c r="A548" s="18" t="s">
        <v>1289</v>
      </c>
      <c r="B548" s="19" t="s">
        <v>15</v>
      </c>
      <c r="C548" s="18" t="s">
        <v>210</v>
      </c>
      <c r="D548" s="18" t="s">
        <v>17</v>
      </c>
      <c r="E548" s="18" t="s">
        <v>18</v>
      </c>
      <c r="F548" s="18" t="s">
        <v>1335</v>
      </c>
      <c r="G548" s="18" t="s">
        <v>1231</v>
      </c>
      <c r="H548" s="18" t="s">
        <v>1292</v>
      </c>
      <c r="I548" s="20" t="s">
        <v>1336</v>
      </c>
      <c r="J548" s="18" t="s">
        <v>30</v>
      </c>
      <c r="K548" s="18" t="s">
        <v>24</v>
      </c>
      <c r="L548" s="18" t="s">
        <v>25</v>
      </c>
      <c r="M548" s="18" t="s">
        <v>39</v>
      </c>
      <c r="N548" s="18" t="s">
        <v>26</v>
      </c>
    </row>
    <row r="549" spans="1:14" ht="15" customHeight="1" x14ac:dyDescent="0.3">
      <c r="A549" s="18" t="s">
        <v>1289</v>
      </c>
      <c r="B549" s="19" t="s">
        <v>15</v>
      </c>
      <c r="C549" s="18" t="s">
        <v>210</v>
      </c>
      <c r="D549" s="18" t="s">
        <v>17</v>
      </c>
      <c r="E549" s="18" t="s">
        <v>18</v>
      </c>
      <c r="F549" s="18" t="s">
        <v>1337</v>
      </c>
      <c r="G549" s="18" t="s">
        <v>1231</v>
      </c>
      <c r="H549" s="18" t="s">
        <v>1292</v>
      </c>
      <c r="I549" s="20" t="s">
        <v>1338</v>
      </c>
      <c r="J549" s="18" t="s">
        <v>30</v>
      </c>
      <c r="K549" s="18" t="s">
        <v>24</v>
      </c>
      <c r="L549" s="18" t="s">
        <v>25</v>
      </c>
      <c r="N549" s="18" t="s">
        <v>26</v>
      </c>
    </row>
    <row r="550" spans="1:14" ht="15" customHeight="1" x14ac:dyDescent="0.3">
      <c r="A550" s="18" t="s">
        <v>1289</v>
      </c>
      <c r="B550" s="19" t="s">
        <v>15</v>
      </c>
      <c r="C550" s="18" t="s">
        <v>210</v>
      </c>
      <c r="D550" s="18" t="s">
        <v>17</v>
      </c>
      <c r="E550" s="18" t="s">
        <v>18</v>
      </c>
      <c r="F550" s="18" t="s">
        <v>1339</v>
      </c>
      <c r="G550" s="18" t="s">
        <v>1340</v>
      </c>
      <c r="H550" s="18" t="s">
        <v>1292</v>
      </c>
      <c r="I550" s="20" t="s">
        <v>1341</v>
      </c>
      <c r="J550" s="18" t="s">
        <v>30</v>
      </c>
      <c r="K550" s="18" t="s">
        <v>24</v>
      </c>
      <c r="L550" s="18" t="s">
        <v>25</v>
      </c>
      <c r="N550" s="18" t="s">
        <v>26</v>
      </c>
    </row>
    <row r="551" spans="1:14" ht="15" customHeight="1" x14ac:dyDescent="0.3">
      <c r="A551" s="18" t="s">
        <v>1289</v>
      </c>
      <c r="B551" s="19" t="s">
        <v>15</v>
      </c>
      <c r="C551" s="18" t="s">
        <v>210</v>
      </c>
      <c r="D551" s="18" t="s">
        <v>17</v>
      </c>
      <c r="E551" s="18" t="s">
        <v>18</v>
      </c>
      <c r="F551" s="18" t="s">
        <v>1342</v>
      </c>
      <c r="G551" s="18" t="s">
        <v>28</v>
      </c>
      <c r="H551" s="18" t="s">
        <v>1292</v>
      </c>
      <c r="I551" s="20" t="s">
        <v>1343</v>
      </c>
      <c r="J551" s="18" t="s">
        <v>30</v>
      </c>
      <c r="K551" s="18" t="s">
        <v>24</v>
      </c>
      <c r="L551" s="18" t="s">
        <v>25</v>
      </c>
      <c r="N551" s="18" t="s">
        <v>26</v>
      </c>
    </row>
    <row r="552" spans="1:14" ht="15" customHeight="1" x14ac:dyDescent="0.3">
      <c r="A552" s="18" t="s">
        <v>1289</v>
      </c>
      <c r="B552" s="19" t="s">
        <v>15</v>
      </c>
      <c r="C552" s="18" t="s">
        <v>210</v>
      </c>
      <c r="D552" s="18" t="s">
        <v>17</v>
      </c>
      <c r="E552" s="18" t="s">
        <v>18</v>
      </c>
      <c r="F552" s="18" t="s">
        <v>272</v>
      </c>
      <c r="G552" s="18" t="s">
        <v>273</v>
      </c>
      <c r="H552" s="18" t="s">
        <v>1292</v>
      </c>
      <c r="I552" s="20" t="s">
        <v>1344</v>
      </c>
      <c r="J552" s="18" t="s">
        <v>30</v>
      </c>
      <c r="K552" s="18" t="s">
        <v>24</v>
      </c>
      <c r="L552" s="18" t="s">
        <v>25</v>
      </c>
      <c r="N552" s="18" t="s">
        <v>26</v>
      </c>
    </row>
    <row r="553" spans="1:14" ht="15" customHeight="1" x14ac:dyDescent="0.3">
      <c r="A553" s="18" t="s">
        <v>1289</v>
      </c>
      <c r="B553" s="19" t="s">
        <v>15</v>
      </c>
      <c r="C553" s="18" t="s">
        <v>210</v>
      </c>
      <c r="D553" s="18" t="s">
        <v>17</v>
      </c>
      <c r="E553" s="18" t="s">
        <v>18</v>
      </c>
      <c r="F553" s="18" t="s">
        <v>1305</v>
      </c>
      <c r="G553" s="18" t="s">
        <v>1204</v>
      </c>
      <c r="H553" s="18" t="s">
        <v>1292</v>
      </c>
      <c r="I553" s="20" t="s">
        <v>1345</v>
      </c>
      <c r="J553" s="18" t="s">
        <v>30</v>
      </c>
      <c r="K553" s="18" t="s">
        <v>24</v>
      </c>
      <c r="L553" s="18" t="s">
        <v>25</v>
      </c>
      <c r="N553" s="18" t="s">
        <v>26</v>
      </c>
    </row>
    <row r="554" spans="1:14" ht="15" customHeight="1" x14ac:dyDescent="0.3">
      <c r="A554" s="18" t="s">
        <v>1289</v>
      </c>
      <c r="B554" s="19" t="s">
        <v>15</v>
      </c>
      <c r="C554" s="18" t="s">
        <v>210</v>
      </c>
      <c r="D554" s="18" t="s">
        <v>17</v>
      </c>
      <c r="E554" s="18" t="s">
        <v>18</v>
      </c>
      <c r="F554" s="18" t="s">
        <v>1346</v>
      </c>
      <c r="G554" s="18" t="s">
        <v>212</v>
      </c>
      <c r="H554" s="18" t="s">
        <v>1292</v>
      </c>
      <c r="I554" s="20" t="s">
        <v>1347</v>
      </c>
      <c r="J554" s="18" t="s">
        <v>30</v>
      </c>
      <c r="K554" s="18" t="s">
        <v>24</v>
      </c>
      <c r="L554" s="18" t="s">
        <v>25</v>
      </c>
      <c r="M554" s="18" t="s">
        <v>39</v>
      </c>
      <c r="N554" s="18" t="s">
        <v>26</v>
      </c>
    </row>
    <row r="555" spans="1:14" ht="15" customHeight="1" x14ac:dyDescent="0.3">
      <c r="A555" s="18" t="s">
        <v>1289</v>
      </c>
      <c r="B555" s="19" t="s">
        <v>15</v>
      </c>
      <c r="C555" s="18" t="s">
        <v>210</v>
      </c>
      <c r="D555" s="18" t="s">
        <v>17</v>
      </c>
      <c r="E555" s="18" t="s">
        <v>18</v>
      </c>
      <c r="F555" s="18" t="s">
        <v>1348</v>
      </c>
      <c r="G555" s="18" t="s">
        <v>1211</v>
      </c>
      <c r="H555" s="18" t="s">
        <v>1292</v>
      </c>
      <c r="I555" s="20" t="s">
        <v>1349</v>
      </c>
      <c r="J555" s="18" t="s">
        <v>30</v>
      </c>
      <c r="K555" s="18" t="s">
        <v>24</v>
      </c>
      <c r="L555" s="18" t="s">
        <v>25</v>
      </c>
      <c r="N555" s="18" t="s">
        <v>26</v>
      </c>
    </row>
    <row r="556" spans="1:14" ht="15" customHeight="1" x14ac:dyDescent="0.3">
      <c r="A556" s="18" t="s">
        <v>1289</v>
      </c>
      <c r="B556" s="19" t="s">
        <v>15</v>
      </c>
      <c r="C556" s="18" t="s">
        <v>210</v>
      </c>
      <c r="D556" s="18" t="s">
        <v>17</v>
      </c>
      <c r="E556" s="18" t="s">
        <v>18</v>
      </c>
      <c r="F556" s="18" t="s">
        <v>1350</v>
      </c>
      <c r="G556" s="18" t="s">
        <v>826</v>
      </c>
      <c r="H556" s="18" t="s">
        <v>1292</v>
      </c>
      <c r="I556" s="20" t="s">
        <v>1351</v>
      </c>
      <c r="J556" s="18" t="s">
        <v>30</v>
      </c>
      <c r="K556" s="18" t="s">
        <v>24</v>
      </c>
      <c r="L556" s="18" t="s">
        <v>25</v>
      </c>
      <c r="M556" s="18" t="s">
        <v>39</v>
      </c>
      <c r="N556" s="18" t="s">
        <v>26</v>
      </c>
    </row>
    <row r="557" spans="1:14" ht="15" customHeight="1" x14ac:dyDescent="0.3">
      <c r="A557" s="18" t="s">
        <v>1289</v>
      </c>
      <c r="B557" s="19" t="s">
        <v>15</v>
      </c>
      <c r="C557" s="18" t="s">
        <v>210</v>
      </c>
      <c r="D557" s="18" t="s">
        <v>17</v>
      </c>
      <c r="E557" s="18" t="s">
        <v>18</v>
      </c>
      <c r="F557" s="18" t="s">
        <v>1352</v>
      </c>
      <c r="G557" s="18" t="s">
        <v>41</v>
      </c>
      <c r="H557" s="18" t="s">
        <v>1292</v>
      </c>
      <c r="I557" s="20" t="s">
        <v>1353</v>
      </c>
      <c r="J557" s="18" t="s">
        <v>30</v>
      </c>
      <c r="K557" s="18" t="s">
        <v>24</v>
      </c>
      <c r="L557" s="18" t="s">
        <v>25</v>
      </c>
      <c r="N557" s="18" t="s">
        <v>26</v>
      </c>
    </row>
    <row r="558" spans="1:14" ht="15" customHeight="1" x14ac:dyDescent="0.3">
      <c r="A558" s="18" t="s">
        <v>1289</v>
      </c>
      <c r="B558" s="19" t="s">
        <v>15</v>
      </c>
      <c r="C558" s="18" t="s">
        <v>210</v>
      </c>
      <c r="D558" s="18" t="s">
        <v>17</v>
      </c>
      <c r="E558" s="18" t="s">
        <v>18</v>
      </c>
      <c r="F558" s="18" t="s">
        <v>1354</v>
      </c>
      <c r="G558" s="18" t="s">
        <v>41</v>
      </c>
      <c r="H558" s="18" t="s">
        <v>1292</v>
      </c>
      <c r="I558" s="20" t="s">
        <v>1355</v>
      </c>
      <c r="J558" s="18" t="s">
        <v>30</v>
      </c>
      <c r="K558" s="18" t="s">
        <v>24</v>
      </c>
      <c r="L558" s="18" t="s">
        <v>25</v>
      </c>
      <c r="N558" s="18" t="s">
        <v>26</v>
      </c>
    </row>
    <row r="559" spans="1:14" ht="15" customHeight="1" x14ac:dyDescent="0.3">
      <c r="A559" s="18" t="s">
        <v>1289</v>
      </c>
      <c r="B559" s="19" t="s">
        <v>15</v>
      </c>
      <c r="C559" s="18" t="s">
        <v>210</v>
      </c>
      <c r="D559" s="18" t="s">
        <v>17</v>
      </c>
      <c r="E559" s="18" t="s">
        <v>18</v>
      </c>
      <c r="F559" s="18" t="s">
        <v>1309</v>
      </c>
      <c r="G559" s="18" t="s">
        <v>629</v>
      </c>
      <c r="H559" s="18" t="s">
        <v>1292</v>
      </c>
      <c r="I559" s="20" t="s">
        <v>1356</v>
      </c>
      <c r="J559" s="18" t="s">
        <v>30</v>
      </c>
      <c r="K559" s="18" t="s">
        <v>24</v>
      </c>
      <c r="L559" s="18" t="s">
        <v>25</v>
      </c>
      <c r="N559" s="18" t="s">
        <v>26</v>
      </c>
    </row>
    <row r="560" spans="1:14" ht="15" customHeight="1" x14ac:dyDescent="0.3">
      <c r="A560" s="18" t="s">
        <v>1289</v>
      </c>
      <c r="B560" s="19" t="s">
        <v>15</v>
      </c>
      <c r="C560" s="18" t="s">
        <v>210</v>
      </c>
      <c r="D560" s="18" t="s">
        <v>17</v>
      </c>
      <c r="E560" s="18" t="s">
        <v>18</v>
      </c>
      <c r="F560" s="18" t="s">
        <v>1357</v>
      </c>
      <c r="G560" s="18" t="s">
        <v>1211</v>
      </c>
      <c r="H560" s="18" t="s">
        <v>1292</v>
      </c>
      <c r="I560" s="20" t="s">
        <v>1358</v>
      </c>
      <c r="J560" s="18" t="s">
        <v>30</v>
      </c>
      <c r="K560" s="18" t="s">
        <v>24</v>
      </c>
      <c r="L560" s="18" t="s">
        <v>25</v>
      </c>
      <c r="N560" s="18" t="s">
        <v>26</v>
      </c>
    </row>
    <row r="561" spans="1:14" ht="15" customHeight="1" x14ac:dyDescent="0.3">
      <c r="A561" s="18" t="s">
        <v>1289</v>
      </c>
      <c r="B561" s="19" t="s">
        <v>15</v>
      </c>
      <c r="C561" s="18" t="s">
        <v>210</v>
      </c>
      <c r="D561" s="18" t="s">
        <v>17</v>
      </c>
      <c r="E561" s="18" t="s">
        <v>18</v>
      </c>
      <c r="F561" s="18" t="s">
        <v>1359</v>
      </c>
      <c r="G561" s="18" t="s">
        <v>433</v>
      </c>
      <c r="H561" s="18" t="s">
        <v>1292</v>
      </c>
      <c r="I561" s="20" t="s">
        <v>1360</v>
      </c>
      <c r="J561" s="18" t="s">
        <v>30</v>
      </c>
      <c r="K561" s="18" t="s">
        <v>24</v>
      </c>
      <c r="L561" s="18" t="s">
        <v>25</v>
      </c>
      <c r="N561" s="18" t="s">
        <v>26</v>
      </c>
    </row>
    <row r="562" spans="1:14" ht="15" customHeight="1" x14ac:dyDescent="0.3">
      <c r="A562" s="18" t="s">
        <v>1289</v>
      </c>
      <c r="B562" s="19" t="s">
        <v>15</v>
      </c>
      <c r="C562" s="18" t="s">
        <v>210</v>
      </c>
      <c r="D562" s="18" t="s">
        <v>17</v>
      </c>
      <c r="E562" s="18" t="s">
        <v>18</v>
      </c>
      <c r="F562" s="18" t="s">
        <v>1361</v>
      </c>
      <c r="G562" s="18" t="s">
        <v>429</v>
      </c>
      <c r="H562" s="18" t="s">
        <v>1292</v>
      </c>
      <c r="I562" s="20" t="s">
        <v>1362</v>
      </c>
      <c r="J562" s="18" t="s">
        <v>30</v>
      </c>
      <c r="K562" s="18" t="s">
        <v>24</v>
      </c>
      <c r="L562" s="18" t="s">
        <v>25</v>
      </c>
      <c r="N562" s="18" t="s">
        <v>26</v>
      </c>
    </row>
    <row r="563" spans="1:14" ht="15" customHeight="1" x14ac:dyDescent="0.3">
      <c r="A563" s="18" t="s">
        <v>1289</v>
      </c>
      <c r="B563" s="19" t="s">
        <v>15</v>
      </c>
      <c r="C563" s="18" t="s">
        <v>210</v>
      </c>
      <c r="D563" s="18" t="s">
        <v>17</v>
      </c>
      <c r="E563" s="18" t="s">
        <v>55</v>
      </c>
      <c r="F563" s="18" t="s">
        <v>275</v>
      </c>
      <c r="G563" s="18" t="s">
        <v>1363</v>
      </c>
      <c r="H563" s="18" t="s">
        <v>1292</v>
      </c>
      <c r="I563" s="20" t="s">
        <v>1364</v>
      </c>
      <c r="J563" s="18" t="s">
        <v>73</v>
      </c>
      <c r="K563" s="18" t="s">
        <v>24</v>
      </c>
      <c r="L563" s="18" t="s">
        <v>25</v>
      </c>
      <c r="N563" s="18" t="s">
        <v>26</v>
      </c>
    </row>
    <row r="564" spans="1:14" ht="15" customHeight="1" x14ac:dyDescent="0.3">
      <c r="A564" s="18" t="s">
        <v>1289</v>
      </c>
      <c r="B564" s="19" t="s">
        <v>15</v>
      </c>
      <c r="C564" s="18" t="s">
        <v>210</v>
      </c>
      <c r="D564" s="18" t="s">
        <v>17</v>
      </c>
      <c r="E564" s="18" t="s">
        <v>55</v>
      </c>
      <c r="F564" s="18" t="s">
        <v>278</v>
      </c>
      <c r="G564" s="18" t="s">
        <v>1363</v>
      </c>
      <c r="H564" s="18" t="s">
        <v>1292</v>
      </c>
      <c r="I564" s="20" t="s">
        <v>1365</v>
      </c>
      <c r="J564" s="18" t="s">
        <v>58</v>
      </c>
      <c r="K564" s="18" t="s">
        <v>24</v>
      </c>
      <c r="L564" s="18" t="s">
        <v>25</v>
      </c>
      <c r="N564" s="18" t="s">
        <v>26</v>
      </c>
    </row>
    <row r="565" spans="1:14" ht="15" customHeight="1" x14ac:dyDescent="0.3">
      <c r="A565" s="18" t="s">
        <v>1289</v>
      </c>
      <c r="B565" s="19" t="s">
        <v>15</v>
      </c>
      <c r="C565" s="18" t="s">
        <v>210</v>
      </c>
      <c r="D565" s="18" t="s">
        <v>17</v>
      </c>
      <c r="E565" s="18" t="s">
        <v>55</v>
      </c>
      <c r="F565" s="18" t="s">
        <v>1366</v>
      </c>
      <c r="G565" s="18" t="s">
        <v>1367</v>
      </c>
      <c r="H565" s="18" t="s">
        <v>1292</v>
      </c>
      <c r="I565" s="20" t="s">
        <v>1368</v>
      </c>
      <c r="J565" s="18" t="s">
        <v>73</v>
      </c>
      <c r="K565" s="18" t="s">
        <v>24</v>
      </c>
      <c r="L565" s="18" t="s">
        <v>1369</v>
      </c>
      <c r="M565" s="18" t="s">
        <v>39</v>
      </c>
      <c r="N565" s="18" t="s">
        <v>26</v>
      </c>
    </row>
    <row r="566" spans="1:14" ht="15" customHeight="1" x14ac:dyDescent="0.3">
      <c r="A566" s="18" t="s">
        <v>1289</v>
      </c>
      <c r="B566" s="19" t="s">
        <v>15</v>
      </c>
      <c r="C566" s="18" t="s">
        <v>210</v>
      </c>
      <c r="D566" s="18" t="s">
        <v>17</v>
      </c>
      <c r="E566" s="18" t="s">
        <v>55</v>
      </c>
      <c r="F566" s="18" t="s">
        <v>284</v>
      </c>
      <c r="G566" s="18" t="s">
        <v>1370</v>
      </c>
      <c r="H566" s="18" t="s">
        <v>1292</v>
      </c>
      <c r="I566" s="20" t="s">
        <v>1371</v>
      </c>
      <c r="J566" s="18" t="s">
        <v>58</v>
      </c>
      <c r="K566" s="18" t="s">
        <v>24</v>
      </c>
      <c r="L566" s="18" t="s">
        <v>25</v>
      </c>
      <c r="N566" s="18" t="s">
        <v>26</v>
      </c>
    </row>
    <row r="567" spans="1:14" ht="15" customHeight="1" x14ac:dyDescent="0.3">
      <c r="A567" s="18" t="s">
        <v>1289</v>
      </c>
      <c r="B567" s="19" t="s">
        <v>15</v>
      </c>
      <c r="C567" s="18" t="s">
        <v>210</v>
      </c>
      <c r="D567" s="18" t="s">
        <v>17</v>
      </c>
      <c r="E567" s="18" t="s">
        <v>55</v>
      </c>
      <c r="F567" s="18" t="s">
        <v>1354</v>
      </c>
      <c r="G567" s="18" t="s">
        <v>41</v>
      </c>
      <c r="H567" s="18" t="s">
        <v>1292</v>
      </c>
      <c r="I567" s="20" t="s">
        <v>1372</v>
      </c>
      <c r="J567" s="18" t="s">
        <v>58</v>
      </c>
      <c r="K567" s="18" t="s">
        <v>24</v>
      </c>
      <c r="L567" s="18" t="s">
        <v>25</v>
      </c>
      <c r="N567" s="18" t="s">
        <v>26</v>
      </c>
    </row>
    <row r="568" spans="1:14" ht="15" customHeight="1" x14ac:dyDescent="0.3">
      <c r="A568" s="18" t="s">
        <v>1289</v>
      </c>
      <c r="B568" s="19" t="s">
        <v>15</v>
      </c>
      <c r="C568" s="18" t="s">
        <v>210</v>
      </c>
      <c r="D568" s="18" t="s">
        <v>17</v>
      </c>
      <c r="E568" s="18" t="s">
        <v>55</v>
      </c>
      <c r="F568" s="18" t="s">
        <v>885</v>
      </c>
      <c r="G568" s="18" t="s">
        <v>41</v>
      </c>
      <c r="H568" s="18" t="s">
        <v>1292</v>
      </c>
      <c r="I568" s="20" t="s">
        <v>1373</v>
      </c>
      <c r="J568" s="18" t="s">
        <v>73</v>
      </c>
      <c r="K568" s="18" t="s">
        <v>24</v>
      </c>
      <c r="L568" s="18" t="s">
        <v>25</v>
      </c>
      <c r="N568" s="18" t="s">
        <v>26</v>
      </c>
    </row>
    <row r="569" spans="1:14" ht="15" customHeight="1" x14ac:dyDescent="0.3">
      <c r="A569" s="18" t="s">
        <v>1289</v>
      </c>
      <c r="B569" s="19" t="s">
        <v>15</v>
      </c>
      <c r="C569" s="18" t="s">
        <v>210</v>
      </c>
      <c r="D569" s="18" t="s">
        <v>17</v>
      </c>
      <c r="E569" s="18" t="s">
        <v>55</v>
      </c>
      <c r="F569" s="18" t="s">
        <v>1374</v>
      </c>
      <c r="G569" s="18" t="s">
        <v>51</v>
      </c>
      <c r="H569" s="18" t="s">
        <v>1292</v>
      </c>
      <c r="I569" s="20" t="s">
        <v>1375</v>
      </c>
      <c r="J569" s="18" t="s">
        <v>58</v>
      </c>
      <c r="K569" s="18" t="s">
        <v>24</v>
      </c>
      <c r="L569" s="18" t="s">
        <v>25</v>
      </c>
      <c r="N569" s="18" t="s">
        <v>26</v>
      </c>
    </row>
    <row r="570" spans="1:14" ht="15" customHeight="1" x14ac:dyDescent="0.3">
      <c r="A570" s="18" t="s">
        <v>1289</v>
      </c>
      <c r="B570" s="19" t="s">
        <v>15</v>
      </c>
      <c r="C570" s="18" t="s">
        <v>210</v>
      </c>
      <c r="D570" s="18" t="s">
        <v>17</v>
      </c>
      <c r="E570" s="18" t="s">
        <v>55</v>
      </c>
      <c r="F570" s="18" t="s">
        <v>1376</v>
      </c>
      <c r="G570" s="18" t="s">
        <v>826</v>
      </c>
      <c r="H570" s="18" t="s">
        <v>1292</v>
      </c>
      <c r="I570" s="20" t="s">
        <v>1377</v>
      </c>
      <c r="J570" s="18" t="s">
        <v>58</v>
      </c>
      <c r="K570" s="18" t="s">
        <v>24</v>
      </c>
      <c r="L570" s="18" t="s">
        <v>25</v>
      </c>
      <c r="M570" s="18" t="s">
        <v>39</v>
      </c>
      <c r="N570" s="18" t="s">
        <v>26</v>
      </c>
    </row>
    <row r="571" spans="1:14" ht="15" customHeight="1" x14ac:dyDescent="0.3">
      <c r="A571" s="18" t="s">
        <v>1289</v>
      </c>
      <c r="B571" s="19" t="s">
        <v>15</v>
      </c>
      <c r="C571" s="18" t="s">
        <v>210</v>
      </c>
      <c r="D571" s="18" t="s">
        <v>17</v>
      </c>
      <c r="E571" s="18" t="s">
        <v>55</v>
      </c>
      <c r="F571" s="18" t="s">
        <v>1378</v>
      </c>
      <c r="G571" s="18" t="s">
        <v>51</v>
      </c>
      <c r="H571" s="18" t="s">
        <v>1292</v>
      </c>
      <c r="I571" s="20" t="s">
        <v>1379</v>
      </c>
      <c r="J571" s="18" t="s">
        <v>58</v>
      </c>
      <c r="K571" s="18" t="s">
        <v>24</v>
      </c>
      <c r="L571" s="18" t="s">
        <v>25</v>
      </c>
      <c r="N571" s="18" t="s">
        <v>26</v>
      </c>
    </row>
    <row r="572" spans="1:14" ht="15" customHeight="1" x14ac:dyDescent="0.3">
      <c r="A572" s="18" t="s">
        <v>1289</v>
      </c>
      <c r="B572" s="19" t="s">
        <v>15</v>
      </c>
      <c r="C572" s="18" t="s">
        <v>210</v>
      </c>
      <c r="D572" s="18" t="s">
        <v>17</v>
      </c>
      <c r="E572" s="18" t="s">
        <v>55</v>
      </c>
      <c r="F572" s="18" t="s">
        <v>1380</v>
      </c>
      <c r="G572" s="18" t="s">
        <v>1211</v>
      </c>
      <c r="H572" s="18" t="s">
        <v>1292</v>
      </c>
      <c r="I572" s="20" t="s">
        <v>1381</v>
      </c>
      <c r="J572" s="18" t="s">
        <v>58</v>
      </c>
      <c r="K572" s="18" t="s">
        <v>24</v>
      </c>
      <c r="L572" s="18" t="s">
        <v>25</v>
      </c>
      <c r="N572" s="18" t="s">
        <v>26</v>
      </c>
    </row>
    <row r="573" spans="1:14" ht="15" customHeight="1" x14ac:dyDescent="0.3">
      <c r="A573" s="18" t="s">
        <v>1289</v>
      </c>
      <c r="B573" s="19" t="s">
        <v>15</v>
      </c>
      <c r="C573" s="18" t="s">
        <v>210</v>
      </c>
      <c r="D573" s="18" t="s">
        <v>17</v>
      </c>
      <c r="E573" s="18" t="s">
        <v>74</v>
      </c>
      <c r="F573" s="18" t="s">
        <v>1382</v>
      </c>
      <c r="G573" s="18" t="s">
        <v>273</v>
      </c>
      <c r="H573" s="18" t="s">
        <v>1383</v>
      </c>
      <c r="I573" s="20" t="s">
        <v>1384</v>
      </c>
      <c r="J573" s="18" t="s">
        <v>199</v>
      </c>
      <c r="K573" s="18" t="s">
        <v>24</v>
      </c>
      <c r="L573" s="18" t="s">
        <v>25</v>
      </c>
      <c r="N573" s="18" t="s">
        <v>26</v>
      </c>
    </row>
    <row r="574" spans="1:14" ht="15" customHeight="1" x14ac:dyDescent="0.3">
      <c r="A574" s="18" t="s">
        <v>1289</v>
      </c>
      <c r="B574" s="19" t="s">
        <v>15</v>
      </c>
      <c r="C574" s="18" t="s">
        <v>210</v>
      </c>
      <c r="D574" s="18" t="s">
        <v>17</v>
      </c>
      <c r="E574" s="18" t="s">
        <v>74</v>
      </c>
      <c r="F574" s="18" t="s">
        <v>1385</v>
      </c>
      <c r="G574" s="18" t="s">
        <v>273</v>
      </c>
      <c r="H574" s="18" t="s">
        <v>1383</v>
      </c>
      <c r="I574" s="20" t="s">
        <v>1386</v>
      </c>
      <c r="J574" s="18" t="s">
        <v>1387</v>
      </c>
      <c r="K574" s="18" t="s">
        <v>24</v>
      </c>
      <c r="L574" s="18" t="s">
        <v>25</v>
      </c>
      <c r="N574" s="18" t="s">
        <v>26</v>
      </c>
    </row>
    <row r="575" spans="1:14" ht="15" customHeight="1" x14ac:dyDescent="0.3">
      <c r="A575" s="18" t="s">
        <v>1289</v>
      </c>
      <c r="B575" s="19" t="s">
        <v>15</v>
      </c>
      <c r="C575" s="18" t="s">
        <v>210</v>
      </c>
      <c r="D575" s="18" t="s">
        <v>17</v>
      </c>
      <c r="E575" s="18" t="s">
        <v>74</v>
      </c>
      <c r="F575" s="18" t="s">
        <v>1388</v>
      </c>
      <c r="G575" s="18" t="s">
        <v>44</v>
      </c>
      <c r="H575" s="18" t="s">
        <v>1389</v>
      </c>
      <c r="I575" s="20" t="s">
        <v>1390</v>
      </c>
      <c r="J575" s="18" t="s">
        <v>1391</v>
      </c>
      <c r="K575" s="18" t="s">
        <v>293</v>
      </c>
      <c r="L575" s="18" t="s">
        <v>25</v>
      </c>
      <c r="N575" s="18" t="s">
        <v>26</v>
      </c>
    </row>
    <row r="576" spans="1:14" ht="15" customHeight="1" x14ac:dyDescent="0.3">
      <c r="A576" s="18" t="s">
        <v>1289</v>
      </c>
      <c r="B576" s="19" t="s">
        <v>15</v>
      </c>
      <c r="C576" s="18" t="s">
        <v>210</v>
      </c>
      <c r="D576" s="18" t="s">
        <v>17</v>
      </c>
      <c r="E576" s="18" t="s">
        <v>74</v>
      </c>
      <c r="F576" s="18" t="s">
        <v>1392</v>
      </c>
      <c r="G576" s="18" t="s">
        <v>826</v>
      </c>
      <c r="H576" s="18" t="s">
        <v>1292</v>
      </c>
      <c r="I576" s="20" t="s">
        <v>1393</v>
      </c>
      <c r="J576" s="18" t="s">
        <v>1394</v>
      </c>
      <c r="K576" s="18" t="s">
        <v>24</v>
      </c>
      <c r="L576" s="18" t="s">
        <v>25</v>
      </c>
      <c r="N576" s="18" t="s">
        <v>26</v>
      </c>
    </row>
    <row r="577" spans="1:14" ht="15" customHeight="1" x14ac:dyDescent="0.3">
      <c r="A577" s="18" t="s">
        <v>1289</v>
      </c>
      <c r="B577" s="19" t="s">
        <v>15</v>
      </c>
      <c r="C577" s="18" t="s">
        <v>210</v>
      </c>
      <c r="D577" s="18" t="s">
        <v>17</v>
      </c>
      <c r="E577" s="18" t="s">
        <v>74</v>
      </c>
      <c r="F577" s="18" t="s">
        <v>1395</v>
      </c>
      <c r="G577" s="18" t="s">
        <v>1026</v>
      </c>
      <c r="H577" s="18" t="s">
        <v>1383</v>
      </c>
      <c r="I577" s="20" t="s">
        <v>1396</v>
      </c>
      <c r="J577" s="18" t="s">
        <v>1397</v>
      </c>
      <c r="K577" s="18" t="s">
        <v>24</v>
      </c>
      <c r="L577" s="18" t="s">
        <v>25</v>
      </c>
      <c r="N577" s="18" t="s">
        <v>26</v>
      </c>
    </row>
    <row r="578" spans="1:14" ht="15" customHeight="1" x14ac:dyDescent="0.3">
      <c r="A578" s="18" t="s">
        <v>1289</v>
      </c>
      <c r="B578" s="19" t="s">
        <v>15</v>
      </c>
      <c r="C578" s="18" t="s">
        <v>210</v>
      </c>
      <c r="D578" s="18" t="s">
        <v>17</v>
      </c>
      <c r="E578" s="18" t="s">
        <v>74</v>
      </c>
      <c r="F578" s="18" t="s">
        <v>1398</v>
      </c>
      <c r="G578" s="18" t="s">
        <v>273</v>
      </c>
      <c r="H578" s="18" t="s">
        <v>1383</v>
      </c>
      <c r="I578" s="20" t="s">
        <v>1399</v>
      </c>
      <c r="J578" s="18" t="s">
        <v>1400</v>
      </c>
      <c r="K578" s="18" t="s">
        <v>293</v>
      </c>
      <c r="L578" s="18" t="s">
        <v>25</v>
      </c>
      <c r="N578" s="18" t="s">
        <v>26</v>
      </c>
    </row>
    <row r="579" spans="1:14" ht="15" customHeight="1" x14ac:dyDescent="0.3">
      <c r="A579" s="18" t="s">
        <v>1289</v>
      </c>
      <c r="B579" s="19" t="s">
        <v>15</v>
      </c>
      <c r="C579" s="18" t="s">
        <v>210</v>
      </c>
      <c r="D579" s="18" t="s">
        <v>17</v>
      </c>
      <c r="E579" s="18" t="s">
        <v>74</v>
      </c>
      <c r="F579" s="18" t="s">
        <v>890</v>
      </c>
      <c r="G579" s="18" t="s">
        <v>381</v>
      </c>
      <c r="H579" s="18" t="s">
        <v>1292</v>
      </c>
      <c r="I579" s="20" t="s">
        <v>1401</v>
      </c>
      <c r="J579" s="18" t="s">
        <v>1402</v>
      </c>
      <c r="K579" s="18" t="s">
        <v>24</v>
      </c>
      <c r="L579" s="18" t="s">
        <v>25</v>
      </c>
      <c r="N579" s="18" t="s">
        <v>26</v>
      </c>
    </row>
    <row r="580" spans="1:14" ht="15" customHeight="1" x14ac:dyDescent="0.3">
      <c r="A580" s="18" t="s">
        <v>1289</v>
      </c>
      <c r="B580" s="19" t="s">
        <v>15</v>
      </c>
      <c r="C580" s="18" t="s">
        <v>210</v>
      </c>
      <c r="D580" s="18" t="s">
        <v>17</v>
      </c>
      <c r="E580" s="18" t="s">
        <v>74</v>
      </c>
      <c r="F580" s="18" t="s">
        <v>1403</v>
      </c>
      <c r="G580" s="18" t="s">
        <v>28</v>
      </c>
      <c r="H580" s="18" t="s">
        <v>1404</v>
      </c>
      <c r="I580" s="20" t="s">
        <v>1405</v>
      </c>
      <c r="J580" s="18" t="s">
        <v>1406</v>
      </c>
      <c r="K580" s="18" t="s">
        <v>24</v>
      </c>
      <c r="L580" s="18" t="s">
        <v>25</v>
      </c>
      <c r="N580" s="18" t="s">
        <v>26</v>
      </c>
    </row>
    <row r="581" spans="1:14" ht="15" customHeight="1" x14ac:dyDescent="0.3">
      <c r="A581" s="18" t="s">
        <v>1289</v>
      </c>
      <c r="B581" s="19" t="s">
        <v>15</v>
      </c>
      <c r="C581" s="18" t="s">
        <v>210</v>
      </c>
      <c r="D581" s="18" t="s">
        <v>17</v>
      </c>
      <c r="E581" s="18" t="s">
        <v>74</v>
      </c>
      <c r="F581" s="18" t="s">
        <v>1407</v>
      </c>
      <c r="G581" s="18" t="s">
        <v>1408</v>
      </c>
      <c r="H581" s="18" t="s">
        <v>1409</v>
      </c>
      <c r="I581" s="20" t="s">
        <v>1410</v>
      </c>
      <c r="J581" s="18" t="s">
        <v>1411</v>
      </c>
      <c r="K581" s="18" t="s">
        <v>24</v>
      </c>
      <c r="L581" s="18" t="s">
        <v>25</v>
      </c>
      <c r="N581" s="18" t="s">
        <v>26</v>
      </c>
    </row>
    <row r="582" spans="1:14" ht="15" customHeight="1" x14ac:dyDescent="0.3">
      <c r="A582" s="18" t="s">
        <v>1289</v>
      </c>
      <c r="B582" s="19" t="s">
        <v>15</v>
      </c>
      <c r="C582" s="18" t="s">
        <v>210</v>
      </c>
      <c r="D582" s="18" t="s">
        <v>17</v>
      </c>
      <c r="E582" s="18" t="s">
        <v>74</v>
      </c>
      <c r="F582" s="18" t="s">
        <v>1412</v>
      </c>
      <c r="G582" s="18" t="s">
        <v>28</v>
      </c>
      <c r="H582" s="18" t="s">
        <v>1413</v>
      </c>
      <c r="I582" s="20" t="s">
        <v>1414</v>
      </c>
      <c r="J582" s="18" t="s">
        <v>199</v>
      </c>
      <c r="K582" s="18" t="s">
        <v>24</v>
      </c>
      <c r="L582" s="18" t="s">
        <v>25</v>
      </c>
      <c r="N582" s="18" t="s">
        <v>26</v>
      </c>
    </row>
    <row r="583" spans="1:14" ht="15" customHeight="1" x14ac:dyDescent="0.3">
      <c r="A583" s="18" t="s">
        <v>1289</v>
      </c>
      <c r="B583" s="19" t="s">
        <v>15</v>
      </c>
      <c r="C583" s="18" t="s">
        <v>210</v>
      </c>
      <c r="D583" s="18" t="s">
        <v>17</v>
      </c>
      <c r="E583" s="18" t="s">
        <v>74</v>
      </c>
      <c r="F583" s="18" t="s">
        <v>1415</v>
      </c>
      <c r="G583" s="18" t="s">
        <v>28</v>
      </c>
      <c r="H583" s="18" t="s">
        <v>1404</v>
      </c>
      <c r="I583" s="20" t="s">
        <v>1416</v>
      </c>
      <c r="J583" s="18" t="s">
        <v>1417</v>
      </c>
      <c r="K583" s="18" t="s">
        <v>24</v>
      </c>
      <c r="L583" s="18" t="s">
        <v>25</v>
      </c>
      <c r="N583" s="18" t="s">
        <v>26</v>
      </c>
    </row>
    <row r="584" spans="1:14" ht="15" customHeight="1" x14ac:dyDescent="0.3">
      <c r="A584" s="18" t="s">
        <v>1289</v>
      </c>
      <c r="B584" s="19" t="s">
        <v>15</v>
      </c>
      <c r="C584" s="18" t="s">
        <v>210</v>
      </c>
      <c r="D584" s="18" t="s">
        <v>17</v>
      </c>
      <c r="E584" s="18" t="s">
        <v>74</v>
      </c>
      <c r="F584" s="18" t="s">
        <v>1318</v>
      </c>
      <c r="G584" s="18" t="s">
        <v>207</v>
      </c>
      <c r="H584" s="18" t="s">
        <v>1418</v>
      </c>
      <c r="I584" s="20" t="s">
        <v>1419</v>
      </c>
      <c r="J584" s="18" t="s">
        <v>199</v>
      </c>
      <c r="K584" s="18" t="s">
        <v>24</v>
      </c>
      <c r="L584" s="18" t="s">
        <v>25</v>
      </c>
      <c r="N584" s="18" t="s">
        <v>26</v>
      </c>
    </row>
    <row r="585" spans="1:14" ht="15" customHeight="1" x14ac:dyDescent="0.3">
      <c r="A585" s="18" t="s">
        <v>1289</v>
      </c>
      <c r="B585" s="19" t="s">
        <v>15</v>
      </c>
      <c r="C585" s="18" t="s">
        <v>210</v>
      </c>
      <c r="D585" s="18" t="s">
        <v>17</v>
      </c>
      <c r="E585" s="18" t="s">
        <v>74</v>
      </c>
      <c r="F585" s="18" t="s">
        <v>1420</v>
      </c>
      <c r="G585" s="18" t="s">
        <v>273</v>
      </c>
      <c r="H585" s="18" t="s">
        <v>1383</v>
      </c>
      <c r="I585" s="20" t="s">
        <v>1421</v>
      </c>
      <c r="J585" s="18" t="s">
        <v>1422</v>
      </c>
      <c r="K585" s="18" t="s">
        <v>293</v>
      </c>
      <c r="L585" s="18" t="s">
        <v>25</v>
      </c>
      <c r="N585" s="18" t="s">
        <v>26</v>
      </c>
    </row>
    <row r="586" spans="1:14" ht="15" customHeight="1" x14ac:dyDescent="0.3">
      <c r="A586" s="18" t="s">
        <v>1289</v>
      </c>
      <c r="B586" s="19" t="s">
        <v>15</v>
      </c>
      <c r="C586" s="18" t="s">
        <v>210</v>
      </c>
      <c r="D586" s="18" t="s">
        <v>17</v>
      </c>
      <c r="E586" s="18" t="s">
        <v>74</v>
      </c>
      <c r="F586" s="18" t="s">
        <v>1423</v>
      </c>
      <c r="G586" s="18" t="s">
        <v>826</v>
      </c>
      <c r="H586" s="18" t="s">
        <v>1292</v>
      </c>
      <c r="I586" s="20" t="s">
        <v>1424</v>
      </c>
      <c r="J586" s="18" t="s">
        <v>1425</v>
      </c>
      <c r="K586" s="18" t="s">
        <v>24</v>
      </c>
      <c r="L586" s="18" t="s">
        <v>25</v>
      </c>
      <c r="N586" s="18" t="s">
        <v>26</v>
      </c>
    </row>
    <row r="587" spans="1:14" ht="15" customHeight="1" x14ac:dyDescent="0.3">
      <c r="A587" s="18" t="s">
        <v>1289</v>
      </c>
      <c r="B587" s="19" t="s">
        <v>15</v>
      </c>
      <c r="C587" s="18" t="s">
        <v>210</v>
      </c>
      <c r="D587" s="18" t="s">
        <v>17</v>
      </c>
      <c r="E587" s="18" t="s">
        <v>74</v>
      </c>
      <c r="F587" s="18" t="s">
        <v>286</v>
      </c>
      <c r="G587" s="18" t="s">
        <v>273</v>
      </c>
      <c r="H587" s="18" t="s">
        <v>1383</v>
      </c>
      <c r="I587" s="20" t="s">
        <v>1426</v>
      </c>
      <c r="J587" s="18" t="s">
        <v>1427</v>
      </c>
      <c r="K587" s="18" t="s">
        <v>24</v>
      </c>
      <c r="L587" s="18" t="s">
        <v>25</v>
      </c>
      <c r="N587" s="18" t="s">
        <v>26</v>
      </c>
    </row>
    <row r="588" spans="1:14" ht="15" customHeight="1" x14ac:dyDescent="0.3">
      <c r="A588" s="18" t="s">
        <v>1289</v>
      </c>
      <c r="B588" s="19" t="s">
        <v>15</v>
      </c>
      <c r="C588" s="18" t="s">
        <v>210</v>
      </c>
      <c r="D588" s="18" t="s">
        <v>17</v>
      </c>
      <c r="E588" s="18" t="s">
        <v>74</v>
      </c>
      <c r="F588" s="18" t="s">
        <v>1428</v>
      </c>
      <c r="G588" s="18" t="s">
        <v>20</v>
      </c>
      <c r="H588" s="18" t="s">
        <v>1429</v>
      </c>
      <c r="I588" s="20" t="s">
        <v>1430</v>
      </c>
      <c r="J588" s="18" t="s">
        <v>1431</v>
      </c>
      <c r="K588" s="18" t="s">
        <v>24</v>
      </c>
      <c r="L588" s="18" t="s">
        <v>25</v>
      </c>
      <c r="N588" s="18" t="s">
        <v>26</v>
      </c>
    </row>
    <row r="589" spans="1:14" ht="15" customHeight="1" x14ac:dyDescent="0.3">
      <c r="A589" s="18" t="s">
        <v>1432</v>
      </c>
      <c r="B589" s="19" t="s">
        <v>15</v>
      </c>
      <c r="C589" s="18" t="s">
        <v>1433</v>
      </c>
      <c r="D589" s="18" t="s">
        <v>17</v>
      </c>
      <c r="E589" s="18" t="s">
        <v>117</v>
      </c>
      <c r="F589" s="18" t="s">
        <v>1434</v>
      </c>
      <c r="G589" s="18" t="s">
        <v>85</v>
      </c>
      <c r="H589" s="18" t="s">
        <v>1435</v>
      </c>
      <c r="I589" s="20" t="s">
        <v>1436</v>
      </c>
      <c r="J589" s="18" t="s">
        <v>58</v>
      </c>
      <c r="K589" s="18" t="s">
        <v>24</v>
      </c>
      <c r="L589" s="18" t="s">
        <v>25</v>
      </c>
      <c r="N589" s="18" t="s">
        <v>154</v>
      </c>
    </row>
    <row r="590" spans="1:14" ht="15" customHeight="1" x14ac:dyDescent="0.3">
      <c r="A590" s="18" t="s">
        <v>1432</v>
      </c>
      <c r="B590" s="19" t="s">
        <v>15</v>
      </c>
      <c r="C590" s="18" t="s">
        <v>1433</v>
      </c>
      <c r="D590" s="18" t="s">
        <v>17</v>
      </c>
      <c r="E590" s="18" t="s">
        <v>117</v>
      </c>
      <c r="F590" s="18" t="s">
        <v>1437</v>
      </c>
      <c r="G590" s="18" t="s">
        <v>913</v>
      </c>
      <c r="H590" s="18" t="s">
        <v>1435</v>
      </c>
      <c r="I590" s="20" t="s">
        <v>1438</v>
      </c>
      <c r="J590" s="18" t="s">
        <v>58</v>
      </c>
      <c r="K590" s="18" t="s">
        <v>24</v>
      </c>
      <c r="L590" s="18" t="s">
        <v>25</v>
      </c>
      <c r="N590" s="18" t="s">
        <v>154</v>
      </c>
    </row>
    <row r="591" spans="1:14" ht="15" customHeight="1" x14ac:dyDescent="0.3">
      <c r="A591" s="18" t="s">
        <v>1432</v>
      </c>
      <c r="B591" s="19" t="s">
        <v>15</v>
      </c>
      <c r="C591" s="18" t="s">
        <v>1433</v>
      </c>
      <c r="D591" s="18" t="s">
        <v>17</v>
      </c>
      <c r="E591" s="18" t="s">
        <v>117</v>
      </c>
      <c r="F591" s="18" t="s">
        <v>1439</v>
      </c>
      <c r="G591" s="18" t="s">
        <v>41</v>
      </c>
      <c r="H591" s="18" t="s">
        <v>1435</v>
      </c>
      <c r="I591" s="20" t="s">
        <v>1440</v>
      </c>
      <c r="J591" s="18" t="s">
        <v>58</v>
      </c>
      <c r="K591" s="18" t="s">
        <v>24</v>
      </c>
      <c r="L591" s="18" t="s">
        <v>25</v>
      </c>
      <c r="N591" s="18" t="s">
        <v>154</v>
      </c>
    </row>
    <row r="592" spans="1:14" ht="15" customHeight="1" x14ac:dyDescent="0.3">
      <c r="A592" s="18" t="s">
        <v>1432</v>
      </c>
      <c r="B592" s="19" t="s">
        <v>15</v>
      </c>
      <c r="C592" s="18" t="s">
        <v>1433</v>
      </c>
      <c r="D592" s="18" t="s">
        <v>17</v>
      </c>
      <c r="E592" s="18" t="s">
        <v>117</v>
      </c>
      <c r="F592" s="18" t="s">
        <v>1441</v>
      </c>
      <c r="G592" s="18" t="s">
        <v>41</v>
      </c>
      <c r="H592" s="18" t="s">
        <v>1435</v>
      </c>
      <c r="I592" s="20" t="s">
        <v>1442</v>
      </c>
      <c r="J592" s="18" t="s">
        <v>58</v>
      </c>
      <c r="K592" s="18" t="s">
        <v>24</v>
      </c>
      <c r="L592" s="18" t="s">
        <v>25</v>
      </c>
      <c r="N592" s="18" t="s">
        <v>154</v>
      </c>
    </row>
    <row r="593" spans="1:14" ht="15" customHeight="1" x14ac:dyDescent="0.3">
      <c r="A593" s="18" t="s">
        <v>1432</v>
      </c>
      <c r="B593" s="19" t="s">
        <v>15</v>
      </c>
      <c r="C593" s="18" t="s">
        <v>1433</v>
      </c>
      <c r="D593" s="18" t="s">
        <v>17</v>
      </c>
      <c r="E593" s="18" t="s">
        <v>117</v>
      </c>
      <c r="F593" s="18" t="s">
        <v>1443</v>
      </c>
      <c r="G593" s="18" t="s">
        <v>629</v>
      </c>
      <c r="H593" s="18" t="s">
        <v>1435</v>
      </c>
      <c r="I593" s="20" t="s">
        <v>1444</v>
      </c>
      <c r="J593" s="18" t="s">
        <v>58</v>
      </c>
      <c r="K593" s="18" t="s">
        <v>24</v>
      </c>
      <c r="L593" s="18" t="s">
        <v>25</v>
      </c>
      <c r="N593" s="18" t="s">
        <v>154</v>
      </c>
    </row>
    <row r="594" spans="1:14" ht="15" customHeight="1" x14ac:dyDescent="0.3">
      <c r="A594" s="18" t="s">
        <v>1432</v>
      </c>
      <c r="B594" s="19" t="s">
        <v>15</v>
      </c>
      <c r="C594" s="18" t="s">
        <v>1433</v>
      </c>
      <c r="D594" s="18" t="s">
        <v>17</v>
      </c>
      <c r="E594" s="18" t="s">
        <v>117</v>
      </c>
      <c r="F594" s="18" t="s">
        <v>1445</v>
      </c>
      <c r="G594" s="18" t="s">
        <v>207</v>
      </c>
      <c r="H594" s="18" t="s">
        <v>1435</v>
      </c>
      <c r="I594" s="20" t="s">
        <v>1446</v>
      </c>
      <c r="J594" s="18" t="s">
        <v>58</v>
      </c>
      <c r="K594" s="18" t="s">
        <v>24</v>
      </c>
      <c r="L594" s="18" t="s">
        <v>25</v>
      </c>
      <c r="N594" s="18" t="s">
        <v>154</v>
      </c>
    </row>
    <row r="595" spans="1:14" ht="15" customHeight="1" x14ac:dyDescent="0.3">
      <c r="A595" s="18" t="s">
        <v>1432</v>
      </c>
      <c r="B595" s="19" t="s">
        <v>15</v>
      </c>
      <c r="C595" s="18" t="s">
        <v>1433</v>
      </c>
      <c r="D595" s="18" t="s">
        <v>17</v>
      </c>
      <c r="E595" s="18" t="s">
        <v>117</v>
      </c>
      <c r="F595" s="18" t="s">
        <v>1447</v>
      </c>
      <c r="G595" s="18" t="s">
        <v>537</v>
      </c>
      <c r="H595" s="18" t="s">
        <v>1435</v>
      </c>
      <c r="I595" s="20" t="s">
        <v>1448</v>
      </c>
      <c r="J595" s="18" t="s">
        <v>58</v>
      </c>
      <c r="K595" s="18" t="s">
        <v>24</v>
      </c>
      <c r="L595" s="18" t="s">
        <v>25</v>
      </c>
      <c r="N595" s="18" t="s">
        <v>154</v>
      </c>
    </row>
    <row r="596" spans="1:14" ht="15" customHeight="1" x14ac:dyDescent="0.3">
      <c r="A596" s="18" t="s">
        <v>1432</v>
      </c>
      <c r="B596" s="19" t="s">
        <v>15</v>
      </c>
      <c r="C596" s="18" t="s">
        <v>1449</v>
      </c>
      <c r="D596" s="18" t="s">
        <v>17</v>
      </c>
      <c r="E596" s="18" t="s">
        <v>18</v>
      </c>
      <c r="F596" s="18" t="s">
        <v>1450</v>
      </c>
      <c r="G596" s="18" t="s">
        <v>41</v>
      </c>
      <c r="H596" s="18" t="s">
        <v>1435</v>
      </c>
      <c r="I596" s="20" t="s">
        <v>1451</v>
      </c>
      <c r="J596" s="18" t="s">
        <v>30</v>
      </c>
      <c r="K596" s="18" t="s">
        <v>24</v>
      </c>
      <c r="L596" s="18" t="s">
        <v>25</v>
      </c>
      <c r="N596" s="18" t="s">
        <v>154</v>
      </c>
    </row>
    <row r="597" spans="1:14" ht="15" customHeight="1" x14ac:dyDescent="0.3">
      <c r="A597" s="18" t="s">
        <v>1432</v>
      </c>
      <c r="B597" s="19" t="s">
        <v>15</v>
      </c>
      <c r="C597" s="18" t="s">
        <v>1449</v>
      </c>
      <c r="D597" s="18" t="s">
        <v>17</v>
      </c>
      <c r="E597" s="18" t="s">
        <v>18</v>
      </c>
      <c r="F597" s="18" t="s">
        <v>1088</v>
      </c>
      <c r="G597" s="18" t="s">
        <v>41</v>
      </c>
      <c r="H597" s="18" t="s">
        <v>1435</v>
      </c>
      <c r="I597" s="20" t="s">
        <v>1452</v>
      </c>
      <c r="J597" s="18" t="s">
        <v>30</v>
      </c>
      <c r="K597" s="18" t="s">
        <v>24</v>
      </c>
      <c r="L597" s="18" t="s">
        <v>25</v>
      </c>
      <c r="N597" s="18" t="s">
        <v>154</v>
      </c>
    </row>
    <row r="598" spans="1:14" ht="15" customHeight="1" x14ac:dyDescent="0.3">
      <c r="A598" s="18" t="s">
        <v>1432</v>
      </c>
      <c r="B598" s="19" t="s">
        <v>15</v>
      </c>
      <c r="C598" s="18" t="s">
        <v>1449</v>
      </c>
      <c r="D598" s="18" t="s">
        <v>17</v>
      </c>
      <c r="E598" s="18" t="s">
        <v>18</v>
      </c>
      <c r="F598" s="18" t="s">
        <v>1453</v>
      </c>
      <c r="G598" s="18" t="s">
        <v>537</v>
      </c>
      <c r="H598" s="18" t="s">
        <v>1435</v>
      </c>
      <c r="I598" s="20" t="s">
        <v>1454</v>
      </c>
      <c r="J598" s="18" t="s">
        <v>30</v>
      </c>
      <c r="K598" s="18" t="s">
        <v>24</v>
      </c>
      <c r="L598" s="18" t="s">
        <v>25</v>
      </c>
      <c r="N598" s="18" t="s">
        <v>154</v>
      </c>
    </row>
    <row r="599" spans="1:14" ht="15" customHeight="1" x14ac:dyDescent="0.3">
      <c r="A599" s="18" t="s">
        <v>1432</v>
      </c>
      <c r="B599" s="19" t="s">
        <v>15</v>
      </c>
      <c r="C599" s="18" t="s">
        <v>1455</v>
      </c>
      <c r="D599" s="18" t="s">
        <v>17</v>
      </c>
      <c r="E599" s="18" t="s">
        <v>55</v>
      </c>
      <c r="F599" s="18" t="s">
        <v>1456</v>
      </c>
      <c r="G599" s="18" t="s">
        <v>564</v>
      </c>
      <c r="H599" s="18" t="s">
        <v>1435</v>
      </c>
      <c r="I599" s="20" t="s">
        <v>1457</v>
      </c>
      <c r="J599" s="18" t="s">
        <v>58</v>
      </c>
      <c r="K599" s="18" t="s">
        <v>24</v>
      </c>
      <c r="L599" s="18" t="s">
        <v>25</v>
      </c>
      <c r="N599" s="18" t="s">
        <v>807</v>
      </c>
    </row>
    <row r="600" spans="1:14" ht="15" customHeight="1" x14ac:dyDescent="0.3">
      <c r="A600" s="18" t="s">
        <v>1432</v>
      </c>
      <c r="B600" s="19" t="s">
        <v>15</v>
      </c>
      <c r="C600" s="18" t="s">
        <v>1455</v>
      </c>
      <c r="D600" s="18" t="s">
        <v>17</v>
      </c>
      <c r="E600" s="18" t="s">
        <v>55</v>
      </c>
      <c r="F600" s="18" t="s">
        <v>40</v>
      </c>
      <c r="G600" s="18" t="s">
        <v>41</v>
      </c>
      <c r="H600" s="18" t="s">
        <v>1435</v>
      </c>
      <c r="I600" s="20" t="s">
        <v>1458</v>
      </c>
      <c r="J600" s="18" t="s">
        <v>58</v>
      </c>
      <c r="K600" s="18" t="s">
        <v>24</v>
      </c>
      <c r="L600" s="18" t="s">
        <v>25</v>
      </c>
      <c r="N600" s="18" t="s">
        <v>807</v>
      </c>
    </row>
    <row r="601" spans="1:14" ht="15" customHeight="1" x14ac:dyDescent="0.3">
      <c r="A601" s="18" t="s">
        <v>1432</v>
      </c>
      <c r="B601" s="19" t="s">
        <v>15</v>
      </c>
      <c r="C601" s="18" t="s">
        <v>1455</v>
      </c>
      <c r="D601" s="18" t="s">
        <v>17</v>
      </c>
      <c r="E601" s="18" t="s">
        <v>55</v>
      </c>
      <c r="F601" s="18" t="s">
        <v>1459</v>
      </c>
      <c r="G601" s="18" t="s">
        <v>41</v>
      </c>
      <c r="H601" s="18" t="s">
        <v>1435</v>
      </c>
      <c r="I601" s="20" t="s">
        <v>1460</v>
      </c>
      <c r="J601" s="18" t="s">
        <v>58</v>
      </c>
      <c r="K601" s="18" t="s">
        <v>24</v>
      </c>
      <c r="L601" s="18" t="s">
        <v>25</v>
      </c>
      <c r="N601" s="18" t="s">
        <v>807</v>
      </c>
    </row>
    <row r="602" spans="1:14" ht="15" customHeight="1" x14ac:dyDescent="0.3">
      <c r="A602" s="18" t="s">
        <v>1432</v>
      </c>
      <c r="B602" s="19" t="s">
        <v>15</v>
      </c>
      <c r="C602" s="18" t="s">
        <v>1455</v>
      </c>
      <c r="D602" s="18" t="s">
        <v>17</v>
      </c>
      <c r="E602" s="18" t="s">
        <v>55</v>
      </c>
      <c r="F602" s="18" t="s">
        <v>1088</v>
      </c>
      <c r="G602" s="18" t="s">
        <v>41</v>
      </c>
      <c r="H602" s="18" t="s">
        <v>1435</v>
      </c>
      <c r="I602" s="20" t="s">
        <v>1461</v>
      </c>
      <c r="J602" s="18" t="s">
        <v>58</v>
      </c>
      <c r="K602" s="18" t="s">
        <v>24</v>
      </c>
      <c r="L602" s="18" t="s">
        <v>25</v>
      </c>
      <c r="N602" s="18" t="s">
        <v>807</v>
      </c>
    </row>
    <row r="603" spans="1:14" ht="15" customHeight="1" x14ac:dyDescent="0.3">
      <c r="A603" s="18" t="s">
        <v>1432</v>
      </c>
      <c r="B603" s="19" t="s">
        <v>15</v>
      </c>
      <c r="C603" s="18" t="s">
        <v>1449</v>
      </c>
      <c r="D603" s="18" t="s">
        <v>17</v>
      </c>
      <c r="E603" s="18" t="s">
        <v>74</v>
      </c>
      <c r="F603" s="18" t="s">
        <v>1462</v>
      </c>
      <c r="G603" s="18" t="s">
        <v>47</v>
      </c>
      <c r="H603" s="18" t="s">
        <v>1463</v>
      </c>
      <c r="I603" s="20" t="s">
        <v>1464</v>
      </c>
      <c r="J603" s="18" t="s">
        <v>1465</v>
      </c>
      <c r="K603" s="18" t="s">
        <v>24</v>
      </c>
      <c r="L603" s="18" t="s">
        <v>25</v>
      </c>
      <c r="N603" s="18" t="s">
        <v>154</v>
      </c>
    </row>
    <row r="604" spans="1:14" ht="15" customHeight="1" x14ac:dyDescent="0.3">
      <c r="A604" s="18" t="s">
        <v>1432</v>
      </c>
      <c r="B604" s="19" t="s">
        <v>15</v>
      </c>
      <c r="C604" s="18" t="s">
        <v>1449</v>
      </c>
      <c r="D604" s="18" t="s">
        <v>17</v>
      </c>
      <c r="E604" s="18" t="s">
        <v>74</v>
      </c>
      <c r="F604" s="18" t="s">
        <v>1466</v>
      </c>
      <c r="G604" s="18" t="s">
        <v>47</v>
      </c>
      <c r="H604" s="18" t="s">
        <v>1467</v>
      </c>
      <c r="I604" s="20" t="s">
        <v>1468</v>
      </c>
      <c r="J604" s="18" t="s">
        <v>1469</v>
      </c>
      <c r="K604" s="18" t="s">
        <v>293</v>
      </c>
      <c r="L604" s="18" t="s">
        <v>25</v>
      </c>
      <c r="N604" s="18" t="s">
        <v>154</v>
      </c>
    </row>
    <row r="605" spans="1:14" ht="15" customHeight="1" x14ac:dyDescent="0.3">
      <c r="A605" s="18" t="s">
        <v>1432</v>
      </c>
      <c r="B605" s="19" t="s">
        <v>15</v>
      </c>
      <c r="C605" s="18" t="s">
        <v>1449</v>
      </c>
      <c r="D605" s="18" t="s">
        <v>17</v>
      </c>
      <c r="E605" s="18" t="s">
        <v>74</v>
      </c>
      <c r="F605" s="18" t="s">
        <v>406</v>
      </c>
      <c r="G605" s="18" t="s">
        <v>381</v>
      </c>
      <c r="H605" s="18" t="s">
        <v>1467</v>
      </c>
      <c r="I605" s="20" t="s">
        <v>1470</v>
      </c>
      <c r="J605" s="18" t="s">
        <v>1471</v>
      </c>
      <c r="K605" s="18" t="s">
        <v>293</v>
      </c>
      <c r="L605" s="18" t="s">
        <v>25</v>
      </c>
      <c r="N605" s="18" t="s">
        <v>154</v>
      </c>
    </row>
    <row r="606" spans="1:14" ht="15" customHeight="1" x14ac:dyDescent="0.3">
      <c r="A606" s="18" t="s">
        <v>1432</v>
      </c>
      <c r="B606" s="19" t="s">
        <v>15</v>
      </c>
      <c r="C606" s="18" t="s">
        <v>1449</v>
      </c>
      <c r="D606" s="18" t="s">
        <v>17</v>
      </c>
      <c r="E606" s="18" t="s">
        <v>74</v>
      </c>
      <c r="F606" s="18" t="s">
        <v>1472</v>
      </c>
      <c r="G606" s="18" t="s">
        <v>41</v>
      </c>
      <c r="H606" s="18" t="s">
        <v>1467</v>
      </c>
      <c r="I606" s="20" t="s">
        <v>1473</v>
      </c>
      <c r="J606" s="18" t="s">
        <v>1474</v>
      </c>
      <c r="K606" s="18" t="s">
        <v>24</v>
      </c>
      <c r="L606" s="18" t="s">
        <v>25</v>
      </c>
      <c r="N606" s="18" t="s">
        <v>154</v>
      </c>
    </row>
    <row r="607" spans="1:14" ht="15" customHeight="1" x14ac:dyDescent="0.3">
      <c r="A607" s="18" t="s">
        <v>1432</v>
      </c>
      <c r="B607" s="19" t="s">
        <v>15</v>
      </c>
      <c r="C607" s="18" t="s">
        <v>1449</v>
      </c>
      <c r="D607" s="18" t="s">
        <v>17</v>
      </c>
      <c r="E607" s="18" t="s">
        <v>74</v>
      </c>
      <c r="F607" s="18" t="s">
        <v>1475</v>
      </c>
      <c r="G607" s="18" t="s">
        <v>41</v>
      </c>
      <c r="H607" s="18" t="s">
        <v>1467</v>
      </c>
      <c r="I607" s="20" t="s">
        <v>1476</v>
      </c>
      <c r="J607" s="18" t="s">
        <v>1477</v>
      </c>
      <c r="K607" s="18" t="s">
        <v>24</v>
      </c>
      <c r="L607" s="18" t="s">
        <v>25</v>
      </c>
      <c r="N607" s="18" t="s">
        <v>154</v>
      </c>
    </row>
    <row r="608" spans="1:14" ht="15" customHeight="1" x14ac:dyDescent="0.3">
      <c r="A608" s="18" t="s">
        <v>1432</v>
      </c>
      <c r="B608" s="19" t="s">
        <v>15</v>
      </c>
      <c r="C608" s="18" t="s">
        <v>1449</v>
      </c>
      <c r="D608" s="18" t="s">
        <v>17</v>
      </c>
      <c r="E608" s="18" t="s">
        <v>74</v>
      </c>
      <c r="F608" s="18" t="s">
        <v>1478</v>
      </c>
      <c r="G608" s="18" t="s">
        <v>41</v>
      </c>
      <c r="H608" s="18" t="s">
        <v>1467</v>
      </c>
      <c r="I608" s="20" t="s">
        <v>1479</v>
      </c>
      <c r="J608" s="18" t="s">
        <v>1480</v>
      </c>
      <c r="K608" s="18" t="s">
        <v>24</v>
      </c>
      <c r="L608" s="18" t="s">
        <v>25</v>
      </c>
      <c r="N608" s="18" t="s">
        <v>154</v>
      </c>
    </row>
    <row r="609" spans="1:14" ht="15" customHeight="1" x14ac:dyDescent="0.3">
      <c r="A609" s="18" t="s">
        <v>1432</v>
      </c>
      <c r="B609" s="19" t="s">
        <v>15</v>
      </c>
      <c r="C609" s="18" t="s">
        <v>1449</v>
      </c>
      <c r="D609" s="18" t="s">
        <v>17</v>
      </c>
      <c r="E609" s="18" t="s">
        <v>74</v>
      </c>
      <c r="F609" s="18" t="s">
        <v>1481</v>
      </c>
      <c r="G609" s="18" t="s">
        <v>41</v>
      </c>
      <c r="H609" s="18" t="s">
        <v>1467</v>
      </c>
      <c r="I609" s="20" t="s">
        <v>1482</v>
      </c>
      <c r="J609" s="18" t="s">
        <v>1483</v>
      </c>
      <c r="K609" s="18" t="s">
        <v>91</v>
      </c>
      <c r="L609" s="18" t="s">
        <v>25</v>
      </c>
      <c r="N609" s="18" t="s">
        <v>154</v>
      </c>
    </row>
    <row r="610" spans="1:14" ht="15" customHeight="1" x14ac:dyDescent="0.3">
      <c r="A610" s="18" t="s">
        <v>1432</v>
      </c>
      <c r="B610" s="19" t="s">
        <v>15</v>
      </c>
      <c r="C610" s="18" t="s">
        <v>1449</v>
      </c>
      <c r="D610" s="18" t="s">
        <v>17</v>
      </c>
      <c r="E610" s="18" t="s">
        <v>74</v>
      </c>
      <c r="F610" s="18" t="s">
        <v>1484</v>
      </c>
      <c r="G610" s="18" t="s">
        <v>273</v>
      </c>
      <c r="H610" s="18" t="s">
        <v>1467</v>
      </c>
      <c r="I610" s="20" t="s">
        <v>1485</v>
      </c>
      <c r="J610" s="18" t="s">
        <v>1486</v>
      </c>
      <c r="K610" s="18" t="s">
        <v>24</v>
      </c>
      <c r="L610" s="18" t="s">
        <v>25</v>
      </c>
      <c r="N610" s="18" t="s">
        <v>154</v>
      </c>
    </row>
    <row r="611" spans="1:14" ht="15" customHeight="1" x14ac:dyDescent="0.3">
      <c r="A611" s="18" t="s">
        <v>1432</v>
      </c>
      <c r="B611" s="19" t="s">
        <v>15</v>
      </c>
      <c r="C611" s="18" t="s">
        <v>1449</v>
      </c>
      <c r="D611" s="18" t="s">
        <v>17</v>
      </c>
      <c r="E611" s="18" t="s">
        <v>74</v>
      </c>
      <c r="F611" s="18" t="s">
        <v>1487</v>
      </c>
      <c r="G611" s="18" t="s">
        <v>41</v>
      </c>
      <c r="H611" s="18" t="s">
        <v>1467</v>
      </c>
      <c r="I611" s="20" t="s">
        <v>1488</v>
      </c>
      <c r="J611" s="18" t="s">
        <v>1489</v>
      </c>
      <c r="K611" s="18" t="s">
        <v>24</v>
      </c>
      <c r="L611" s="18" t="s">
        <v>25</v>
      </c>
      <c r="N611" s="18" t="s">
        <v>154</v>
      </c>
    </row>
    <row r="612" spans="1:14" ht="15" customHeight="1" x14ac:dyDescent="0.3">
      <c r="A612" s="18" t="s">
        <v>1432</v>
      </c>
      <c r="B612" s="19" t="s">
        <v>15</v>
      </c>
      <c r="C612" s="18" t="s">
        <v>1449</v>
      </c>
      <c r="D612" s="18" t="s">
        <v>17</v>
      </c>
      <c r="E612" s="18" t="s">
        <v>74</v>
      </c>
      <c r="F612" s="18" t="s">
        <v>501</v>
      </c>
      <c r="G612" s="18" t="s">
        <v>41</v>
      </c>
      <c r="H612" s="18" t="s">
        <v>1467</v>
      </c>
      <c r="I612" s="20" t="s">
        <v>1490</v>
      </c>
      <c r="J612" s="18" t="s">
        <v>1491</v>
      </c>
      <c r="K612" s="18" t="s">
        <v>24</v>
      </c>
      <c r="L612" s="18" t="s">
        <v>25</v>
      </c>
      <c r="N612" s="18" t="s">
        <v>154</v>
      </c>
    </row>
    <row r="613" spans="1:14" ht="15" customHeight="1" x14ac:dyDescent="0.3">
      <c r="A613" s="18" t="s">
        <v>1432</v>
      </c>
      <c r="B613" s="19" t="s">
        <v>15</v>
      </c>
      <c r="C613" s="18" t="s">
        <v>1449</v>
      </c>
      <c r="D613" s="18" t="s">
        <v>17</v>
      </c>
      <c r="E613" s="18" t="s">
        <v>74</v>
      </c>
      <c r="F613" s="18" t="s">
        <v>1492</v>
      </c>
      <c r="G613" s="18" t="s">
        <v>47</v>
      </c>
      <c r="H613" s="18" t="s">
        <v>1467</v>
      </c>
      <c r="I613" s="20" t="s">
        <v>1493</v>
      </c>
      <c r="J613" s="18" t="s">
        <v>1494</v>
      </c>
      <c r="K613" s="18" t="s">
        <v>293</v>
      </c>
      <c r="L613" s="18" t="s">
        <v>25</v>
      </c>
      <c r="N613" s="18" t="s">
        <v>154</v>
      </c>
    </row>
    <row r="614" spans="1:14" ht="15" customHeight="1" x14ac:dyDescent="0.3">
      <c r="A614" s="18" t="s">
        <v>1432</v>
      </c>
      <c r="B614" s="19" t="s">
        <v>15</v>
      </c>
      <c r="C614" s="18" t="s">
        <v>1449</v>
      </c>
      <c r="D614" s="18" t="s">
        <v>17</v>
      </c>
      <c r="E614" s="18" t="s">
        <v>74</v>
      </c>
      <c r="F614" s="18" t="s">
        <v>1495</v>
      </c>
      <c r="G614" s="18" t="s">
        <v>340</v>
      </c>
      <c r="H614" s="18" t="s">
        <v>1467</v>
      </c>
      <c r="I614" s="20" t="s">
        <v>1496</v>
      </c>
      <c r="J614" s="18" t="s">
        <v>1497</v>
      </c>
      <c r="K614" s="18" t="s">
        <v>24</v>
      </c>
      <c r="L614" s="18" t="s">
        <v>25</v>
      </c>
      <c r="N614" s="18" t="s">
        <v>154</v>
      </c>
    </row>
    <row r="615" spans="1:14" ht="15" customHeight="1" x14ac:dyDescent="0.3">
      <c r="A615" s="18" t="s">
        <v>1432</v>
      </c>
      <c r="B615" s="19" t="s">
        <v>15</v>
      </c>
      <c r="C615" s="18" t="s">
        <v>1449</v>
      </c>
      <c r="D615" s="18" t="s">
        <v>17</v>
      </c>
      <c r="E615" s="18" t="s">
        <v>74</v>
      </c>
      <c r="F615" s="18" t="s">
        <v>1498</v>
      </c>
      <c r="G615" s="18" t="s">
        <v>47</v>
      </c>
      <c r="H615" s="18" t="s">
        <v>1467</v>
      </c>
      <c r="I615" s="20" t="s">
        <v>1499</v>
      </c>
      <c r="J615" s="18" t="s">
        <v>1500</v>
      </c>
      <c r="K615" s="18" t="s">
        <v>24</v>
      </c>
      <c r="L615" s="18" t="s">
        <v>25</v>
      </c>
      <c r="N615" s="18" t="s">
        <v>154</v>
      </c>
    </row>
    <row r="616" spans="1:14" ht="15" customHeight="1" x14ac:dyDescent="0.3">
      <c r="A616" s="18" t="s">
        <v>1432</v>
      </c>
      <c r="B616" s="19" t="s">
        <v>15</v>
      </c>
      <c r="C616" s="18" t="s">
        <v>1449</v>
      </c>
      <c r="D616" s="18" t="s">
        <v>17</v>
      </c>
      <c r="E616" s="18" t="s">
        <v>74</v>
      </c>
      <c r="F616" s="18" t="s">
        <v>1501</v>
      </c>
      <c r="G616" s="18" t="s">
        <v>1502</v>
      </c>
      <c r="H616" s="18" t="s">
        <v>1467</v>
      </c>
      <c r="I616" s="20" t="s">
        <v>1503</v>
      </c>
      <c r="J616" s="18" t="s">
        <v>1504</v>
      </c>
      <c r="K616" s="18" t="s">
        <v>24</v>
      </c>
      <c r="L616" s="18" t="s">
        <v>25</v>
      </c>
      <c r="N616" s="18" t="s">
        <v>154</v>
      </c>
    </row>
    <row r="617" spans="1:14" ht="15" customHeight="1" x14ac:dyDescent="0.3">
      <c r="A617" s="18" t="s">
        <v>1432</v>
      </c>
      <c r="B617" s="19" t="s">
        <v>15</v>
      </c>
      <c r="C617" s="18" t="s">
        <v>1449</v>
      </c>
      <c r="D617" s="18" t="s">
        <v>17</v>
      </c>
      <c r="E617" s="18" t="s">
        <v>74</v>
      </c>
      <c r="F617" s="18" t="s">
        <v>1505</v>
      </c>
      <c r="G617" s="18" t="s">
        <v>41</v>
      </c>
      <c r="H617" s="18" t="s">
        <v>1467</v>
      </c>
      <c r="I617" s="20" t="s">
        <v>1506</v>
      </c>
      <c r="J617" s="18" t="s">
        <v>1507</v>
      </c>
      <c r="K617" s="18" t="s">
        <v>24</v>
      </c>
      <c r="L617" s="18" t="s">
        <v>25</v>
      </c>
      <c r="N617" s="18" t="s">
        <v>154</v>
      </c>
    </row>
    <row r="618" spans="1:14" ht="15" customHeight="1" x14ac:dyDescent="0.3">
      <c r="A618" s="18" t="s">
        <v>1432</v>
      </c>
      <c r="B618" s="19" t="s">
        <v>15</v>
      </c>
      <c r="C618" s="18" t="s">
        <v>1449</v>
      </c>
      <c r="D618" s="18" t="s">
        <v>17</v>
      </c>
      <c r="E618" s="18" t="s">
        <v>226</v>
      </c>
      <c r="F618" s="18" t="s">
        <v>1508</v>
      </c>
      <c r="G618" s="18" t="s">
        <v>41</v>
      </c>
      <c r="H618" s="18" t="s">
        <v>1467</v>
      </c>
      <c r="I618" s="20" t="s">
        <v>1509</v>
      </c>
      <c r="J618" s="18" t="s">
        <v>1510</v>
      </c>
      <c r="K618" s="18" t="s">
        <v>24</v>
      </c>
      <c r="L618" s="18" t="s">
        <v>25</v>
      </c>
      <c r="N618" s="18" t="s">
        <v>154</v>
      </c>
    </row>
    <row r="619" spans="1:14" ht="15" customHeight="1" x14ac:dyDescent="0.3">
      <c r="A619" s="18" t="s">
        <v>1432</v>
      </c>
      <c r="B619" s="19" t="s">
        <v>15</v>
      </c>
      <c r="C619" s="18" t="s">
        <v>1449</v>
      </c>
      <c r="D619" s="18" t="s">
        <v>17</v>
      </c>
      <c r="E619" s="18" t="s">
        <v>226</v>
      </c>
      <c r="F619" s="18" t="s">
        <v>1511</v>
      </c>
      <c r="G619" s="18" t="s">
        <v>41</v>
      </c>
      <c r="H619" s="18" t="s">
        <v>1467</v>
      </c>
      <c r="I619" s="20" t="s">
        <v>1512</v>
      </c>
      <c r="J619" s="18" t="s">
        <v>1513</v>
      </c>
      <c r="K619" s="18" t="s">
        <v>24</v>
      </c>
      <c r="L619" s="18" t="s">
        <v>25</v>
      </c>
      <c r="N619" s="18" t="s">
        <v>154</v>
      </c>
    </row>
    <row r="620" spans="1:14" ht="15" customHeight="1" x14ac:dyDescent="0.3">
      <c r="A620" s="18" t="s">
        <v>1514</v>
      </c>
      <c r="B620" s="19" t="s">
        <v>15</v>
      </c>
      <c r="C620" s="18" t="s">
        <v>210</v>
      </c>
      <c r="D620" s="18" t="s">
        <v>17</v>
      </c>
      <c r="E620" s="18" t="s">
        <v>18</v>
      </c>
      <c r="F620" s="18" t="s">
        <v>1515</v>
      </c>
      <c r="G620" s="18" t="s">
        <v>47</v>
      </c>
      <c r="H620" s="18" t="s">
        <v>1516</v>
      </c>
      <c r="I620" s="20" t="s">
        <v>1517</v>
      </c>
      <c r="J620" s="18" t="s">
        <v>30</v>
      </c>
      <c r="K620" s="18" t="s">
        <v>24</v>
      </c>
      <c r="L620" s="18" t="s">
        <v>25</v>
      </c>
      <c r="M620" s="18" t="s">
        <v>39</v>
      </c>
      <c r="N620" s="18" t="s">
        <v>26</v>
      </c>
    </row>
    <row r="621" spans="1:14" ht="15" customHeight="1" x14ac:dyDescent="0.3">
      <c r="A621" s="18" t="s">
        <v>1514</v>
      </c>
      <c r="B621" s="19" t="s">
        <v>15</v>
      </c>
      <c r="C621" s="18" t="s">
        <v>210</v>
      </c>
      <c r="D621" s="18" t="s">
        <v>17</v>
      </c>
      <c r="E621" s="18" t="s">
        <v>18</v>
      </c>
      <c r="F621" s="18" t="s">
        <v>1518</v>
      </c>
      <c r="G621" s="18" t="s">
        <v>606</v>
      </c>
      <c r="H621" s="18" t="s">
        <v>1519</v>
      </c>
      <c r="I621" s="20" t="s">
        <v>1520</v>
      </c>
      <c r="J621" s="18" t="s">
        <v>30</v>
      </c>
      <c r="K621" s="18" t="s">
        <v>24</v>
      </c>
      <c r="L621" s="18" t="s">
        <v>25</v>
      </c>
      <c r="N621" s="18" t="s">
        <v>26</v>
      </c>
    </row>
    <row r="622" spans="1:14" ht="15" customHeight="1" x14ac:dyDescent="0.3">
      <c r="A622" s="18" t="s">
        <v>1514</v>
      </c>
      <c r="B622" s="19" t="s">
        <v>15</v>
      </c>
      <c r="C622" s="18" t="s">
        <v>210</v>
      </c>
      <c r="D622" s="18" t="s">
        <v>17</v>
      </c>
      <c r="E622" s="18" t="s">
        <v>18</v>
      </c>
      <c r="F622" s="18" t="s">
        <v>1140</v>
      </c>
      <c r="G622" s="18" t="s">
        <v>263</v>
      </c>
      <c r="H622" s="18" t="s">
        <v>1516</v>
      </c>
      <c r="I622" s="20" t="s">
        <v>1521</v>
      </c>
      <c r="J622" s="18" t="s">
        <v>30</v>
      </c>
      <c r="K622" s="18" t="s">
        <v>24</v>
      </c>
      <c r="L622" s="18" t="s">
        <v>25</v>
      </c>
      <c r="M622" s="18" t="s">
        <v>39</v>
      </c>
      <c r="N622" s="18" t="s">
        <v>26</v>
      </c>
    </row>
    <row r="623" spans="1:14" ht="15" customHeight="1" x14ac:dyDescent="0.3">
      <c r="A623" s="18" t="s">
        <v>1514</v>
      </c>
      <c r="B623" s="19" t="s">
        <v>15</v>
      </c>
      <c r="C623" s="18" t="s">
        <v>210</v>
      </c>
      <c r="D623" s="18" t="s">
        <v>17</v>
      </c>
      <c r="E623" s="18" t="s">
        <v>18</v>
      </c>
      <c r="F623" s="18" t="s">
        <v>272</v>
      </c>
      <c r="G623" s="18" t="s">
        <v>273</v>
      </c>
      <c r="H623" s="18" t="s">
        <v>1516</v>
      </c>
      <c r="I623" s="20" t="s">
        <v>1522</v>
      </c>
      <c r="J623" s="18" t="s">
        <v>30</v>
      </c>
      <c r="K623" s="18" t="s">
        <v>24</v>
      </c>
      <c r="L623" s="18" t="s">
        <v>25</v>
      </c>
      <c r="N623" s="18" t="s">
        <v>26</v>
      </c>
    </row>
    <row r="624" spans="1:14" ht="15" customHeight="1" x14ac:dyDescent="0.3">
      <c r="A624" s="18" t="s">
        <v>1514</v>
      </c>
      <c r="B624" s="19" t="s">
        <v>15</v>
      </c>
      <c r="C624" s="18" t="s">
        <v>210</v>
      </c>
      <c r="D624" s="18" t="s">
        <v>17</v>
      </c>
      <c r="E624" s="18" t="s">
        <v>18</v>
      </c>
      <c r="F624" s="18" t="s">
        <v>340</v>
      </c>
      <c r="G624" s="18" t="s">
        <v>340</v>
      </c>
      <c r="H624" s="18" t="s">
        <v>1519</v>
      </c>
      <c r="I624" s="20" t="s">
        <v>1523</v>
      </c>
      <c r="J624" s="18" t="s">
        <v>30</v>
      </c>
      <c r="K624" s="18" t="s">
        <v>24</v>
      </c>
      <c r="L624" s="18" t="s">
        <v>25</v>
      </c>
      <c r="N624" s="18" t="s">
        <v>26</v>
      </c>
    </row>
    <row r="625" spans="1:14" ht="15" customHeight="1" x14ac:dyDescent="0.3">
      <c r="A625" s="18" t="s">
        <v>1514</v>
      </c>
      <c r="B625" s="19" t="s">
        <v>15</v>
      </c>
      <c r="C625" s="18" t="s">
        <v>210</v>
      </c>
      <c r="D625" s="18" t="s">
        <v>17</v>
      </c>
      <c r="E625" s="18" t="s">
        <v>55</v>
      </c>
      <c r="F625" s="18" t="s">
        <v>1524</v>
      </c>
      <c r="G625" s="18" t="s">
        <v>606</v>
      </c>
      <c r="H625" s="18" t="s">
        <v>1519</v>
      </c>
      <c r="I625" s="20" t="s">
        <v>1525</v>
      </c>
      <c r="J625" s="18" t="s">
        <v>58</v>
      </c>
      <c r="K625" s="18" t="s">
        <v>24</v>
      </c>
      <c r="L625" s="18" t="s">
        <v>25</v>
      </c>
      <c r="N625" s="18" t="s">
        <v>26</v>
      </c>
    </row>
    <row r="626" spans="1:14" ht="15" customHeight="1" x14ac:dyDescent="0.3">
      <c r="A626" s="18" t="s">
        <v>1514</v>
      </c>
      <c r="B626" s="19" t="s">
        <v>15</v>
      </c>
      <c r="C626" s="18" t="s">
        <v>210</v>
      </c>
      <c r="D626" s="18" t="s">
        <v>17</v>
      </c>
      <c r="E626" s="18" t="s">
        <v>55</v>
      </c>
      <c r="F626" s="18" t="s">
        <v>1526</v>
      </c>
      <c r="G626" s="18" t="s">
        <v>1527</v>
      </c>
      <c r="H626" s="18" t="s">
        <v>1516</v>
      </c>
      <c r="I626" s="20" t="s">
        <v>1528</v>
      </c>
      <c r="J626" s="18" t="s">
        <v>73</v>
      </c>
      <c r="K626" s="18" t="s">
        <v>24</v>
      </c>
      <c r="L626" s="18" t="s">
        <v>25</v>
      </c>
      <c r="N626" s="18" t="s">
        <v>26</v>
      </c>
    </row>
    <row r="627" spans="1:14" ht="15" customHeight="1" x14ac:dyDescent="0.3">
      <c r="A627" s="18" t="s">
        <v>1514</v>
      </c>
      <c r="B627" s="19" t="s">
        <v>15</v>
      </c>
      <c r="C627" s="18" t="s">
        <v>210</v>
      </c>
      <c r="D627" s="18" t="s">
        <v>17</v>
      </c>
      <c r="E627" s="18" t="s">
        <v>55</v>
      </c>
      <c r="F627" s="18" t="s">
        <v>1529</v>
      </c>
      <c r="G627" s="18" t="s">
        <v>1527</v>
      </c>
      <c r="H627" s="18" t="s">
        <v>1516</v>
      </c>
      <c r="I627" s="20" t="s">
        <v>1530</v>
      </c>
      <c r="J627" s="18" t="s">
        <v>58</v>
      </c>
      <c r="K627" s="18" t="s">
        <v>24</v>
      </c>
      <c r="L627" s="18" t="s">
        <v>25</v>
      </c>
      <c r="N627" s="18" t="s">
        <v>26</v>
      </c>
    </row>
    <row r="628" spans="1:14" ht="15" customHeight="1" x14ac:dyDescent="0.3">
      <c r="A628" s="18" t="s">
        <v>1514</v>
      </c>
      <c r="B628" s="19" t="s">
        <v>15</v>
      </c>
      <c r="C628" s="18" t="s">
        <v>210</v>
      </c>
      <c r="D628" s="18" t="s">
        <v>17</v>
      </c>
      <c r="E628" s="18" t="s">
        <v>55</v>
      </c>
      <c r="F628" s="18" t="s">
        <v>1531</v>
      </c>
      <c r="G628" s="18" t="s">
        <v>340</v>
      </c>
      <c r="H628" s="18" t="s">
        <v>1516</v>
      </c>
      <c r="I628" s="20" t="s">
        <v>1532</v>
      </c>
      <c r="J628" s="18" t="s">
        <v>58</v>
      </c>
      <c r="K628" s="18" t="s">
        <v>24</v>
      </c>
      <c r="L628" s="18" t="s">
        <v>25</v>
      </c>
      <c r="N628" s="18" t="s">
        <v>26</v>
      </c>
    </row>
    <row r="629" spans="1:14" ht="15" customHeight="1" x14ac:dyDescent="0.3">
      <c r="A629" s="18" t="s">
        <v>1514</v>
      </c>
      <c r="B629" s="19" t="s">
        <v>15</v>
      </c>
      <c r="C629" s="18" t="s">
        <v>210</v>
      </c>
      <c r="D629" s="18" t="s">
        <v>17</v>
      </c>
      <c r="E629" s="18" t="s">
        <v>55</v>
      </c>
      <c r="F629" s="18" t="s">
        <v>1533</v>
      </c>
      <c r="G629" s="18" t="s">
        <v>340</v>
      </c>
      <c r="H629" s="18" t="s">
        <v>1516</v>
      </c>
      <c r="I629" s="20" t="s">
        <v>1534</v>
      </c>
      <c r="J629" s="18" t="s">
        <v>58</v>
      </c>
      <c r="K629" s="18" t="s">
        <v>24</v>
      </c>
      <c r="L629" s="18" t="s">
        <v>25</v>
      </c>
      <c r="N629" s="18" t="s">
        <v>26</v>
      </c>
    </row>
    <row r="630" spans="1:14" ht="15" customHeight="1" x14ac:dyDescent="0.3">
      <c r="A630" s="18" t="s">
        <v>1514</v>
      </c>
      <c r="B630" s="19" t="s">
        <v>15</v>
      </c>
      <c r="C630" s="18" t="s">
        <v>210</v>
      </c>
      <c r="D630" s="18" t="s">
        <v>17</v>
      </c>
      <c r="E630" s="18" t="s">
        <v>55</v>
      </c>
      <c r="F630" s="18" t="s">
        <v>1535</v>
      </c>
      <c r="G630" s="18" t="s">
        <v>340</v>
      </c>
      <c r="H630" s="18" t="s">
        <v>1516</v>
      </c>
      <c r="I630" s="20" t="s">
        <v>1536</v>
      </c>
      <c r="J630" s="18" t="s">
        <v>58</v>
      </c>
      <c r="K630" s="18" t="s">
        <v>24</v>
      </c>
      <c r="L630" s="18" t="s">
        <v>25</v>
      </c>
      <c r="N630" s="18" t="s">
        <v>26</v>
      </c>
    </row>
    <row r="631" spans="1:14" ht="15" customHeight="1" x14ac:dyDescent="0.3">
      <c r="A631" s="18" t="s">
        <v>1514</v>
      </c>
      <c r="B631" s="19" t="s">
        <v>15</v>
      </c>
      <c r="C631" s="18" t="s">
        <v>210</v>
      </c>
      <c r="D631" s="18" t="s">
        <v>17</v>
      </c>
      <c r="E631" s="18" t="s">
        <v>55</v>
      </c>
      <c r="F631" s="18" t="s">
        <v>1537</v>
      </c>
      <c r="G631" s="18" t="s">
        <v>340</v>
      </c>
      <c r="H631" s="18" t="s">
        <v>1516</v>
      </c>
      <c r="I631" s="20" t="s">
        <v>1538</v>
      </c>
      <c r="J631" s="18" t="s">
        <v>58</v>
      </c>
      <c r="K631" s="18" t="s">
        <v>24</v>
      </c>
      <c r="L631" s="18" t="s">
        <v>25</v>
      </c>
      <c r="N631" s="18" t="s">
        <v>26</v>
      </c>
    </row>
    <row r="632" spans="1:14" ht="15" customHeight="1" x14ac:dyDescent="0.3">
      <c r="A632" s="18" t="s">
        <v>1514</v>
      </c>
      <c r="B632" s="19" t="s">
        <v>15</v>
      </c>
      <c r="C632" s="18" t="s">
        <v>210</v>
      </c>
      <c r="D632" s="18" t="s">
        <v>17</v>
      </c>
      <c r="E632" s="18" t="s">
        <v>55</v>
      </c>
      <c r="F632" s="18" t="s">
        <v>1539</v>
      </c>
      <c r="G632" s="18" t="s">
        <v>340</v>
      </c>
      <c r="H632" s="18" t="s">
        <v>1516</v>
      </c>
      <c r="I632" s="20" t="s">
        <v>1540</v>
      </c>
      <c r="J632" s="18" t="s">
        <v>58</v>
      </c>
      <c r="K632" s="18" t="s">
        <v>24</v>
      </c>
      <c r="L632" s="18" t="s">
        <v>25</v>
      </c>
      <c r="N632" s="18" t="s">
        <v>26</v>
      </c>
    </row>
    <row r="633" spans="1:14" ht="15" customHeight="1" x14ac:dyDescent="0.3">
      <c r="A633" s="18" t="s">
        <v>1514</v>
      </c>
      <c r="B633" s="19" t="s">
        <v>15</v>
      </c>
      <c r="C633" s="18" t="s">
        <v>210</v>
      </c>
      <c r="D633" s="18" t="s">
        <v>17</v>
      </c>
      <c r="E633" s="18" t="s">
        <v>55</v>
      </c>
      <c r="F633" s="18" t="s">
        <v>1541</v>
      </c>
      <c r="G633" s="18" t="s">
        <v>340</v>
      </c>
      <c r="H633" s="18" t="s">
        <v>1516</v>
      </c>
      <c r="I633" s="20" t="s">
        <v>1542</v>
      </c>
      <c r="J633" s="18" t="s">
        <v>58</v>
      </c>
      <c r="K633" s="18" t="s">
        <v>24</v>
      </c>
      <c r="L633" s="18" t="s">
        <v>25</v>
      </c>
      <c r="M633" s="18" t="s">
        <v>39</v>
      </c>
      <c r="N633" s="18" t="s">
        <v>26</v>
      </c>
    </row>
    <row r="634" spans="1:14" ht="15" customHeight="1" x14ac:dyDescent="0.3">
      <c r="A634" s="18" t="s">
        <v>1514</v>
      </c>
      <c r="B634" s="19" t="s">
        <v>15</v>
      </c>
      <c r="C634" s="18" t="s">
        <v>210</v>
      </c>
      <c r="D634" s="18" t="s">
        <v>17</v>
      </c>
      <c r="E634" s="18" t="s">
        <v>55</v>
      </c>
      <c r="F634" s="18" t="s">
        <v>1543</v>
      </c>
      <c r="G634" s="18" t="s">
        <v>340</v>
      </c>
      <c r="H634" s="18" t="s">
        <v>1516</v>
      </c>
      <c r="I634" s="20" t="s">
        <v>1544</v>
      </c>
      <c r="J634" s="18" t="s">
        <v>58</v>
      </c>
      <c r="K634" s="18" t="s">
        <v>24</v>
      </c>
      <c r="L634" s="18" t="s">
        <v>25</v>
      </c>
      <c r="N634" s="18" t="s">
        <v>26</v>
      </c>
    </row>
    <row r="635" spans="1:14" ht="15" customHeight="1" x14ac:dyDescent="0.3">
      <c r="A635" s="18" t="s">
        <v>1514</v>
      </c>
      <c r="B635" s="19" t="s">
        <v>15</v>
      </c>
      <c r="C635" s="18" t="s">
        <v>210</v>
      </c>
      <c r="D635" s="18" t="s">
        <v>17</v>
      </c>
      <c r="E635" s="18" t="s">
        <v>55</v>
      </c>
      <c r="F635" s="18" t="s">
        <v>1545</v>
      </c>
      <c r="G635" s="18" t="s">
        <v>340</v>
      </c>
      <c r="H635" s="18" t="s">
        <v>1516</v>
      </c>
      <c r="I635" s="20" t="s">
        <v>1546</v>
      </c>
      <c r="J635" s="18" t="s">
        <v>58</v>
      </c>
      <c r="K635" s="18" t="s">
        <v>24</v>
      </c>
      <c r="L635" s="18" t="s">
        <v>25</v>
      </c>
      <c r="N635" s="18" t="s">
        <v>26</v>
      </c>
    </row>
    <row r="636" spans="1:14" ht="15" customHeight="1" x14ac:dyDescent="0.3">
      <c r="A636" s="18" t="s">
        <v>1514</v>
      </c>
      <c r="B636" s="19" t="s">
        <v>15</v>
      </c>
      <c r="C636" s="18" t="s">
        <v>210</v>
      </c>
      <c r="D636" s="18" t="s">
        <v>17</v>
      </c>
      <c r="E636" s="18" t="s">
        <v>55</v>
      </c>
      <c r="F636" s="18" t="s">
        <v>1547</v>
      </c>
      <c r="G636" s="18" t="s">
        <v>340</v>
      </c>
      <c r="H636" s="18" t="s">
        <v>1516</v>
      </c>
      <c r="I636" s="20" t="s">
        <v>1548</v>
      </c>
      <c r="J636" s="18" t="s">
        <v>58</v>
      </c>
      <c r="K636" s="18" t="s">
        <v>24</v>
      </c>
      <c r="L636" s="18" t="s">
        <v>25</v>
      </c>
      <c r="N636" s="18" t="s">
        <v>26</v>
      </c>
    </row>
    <row r="637" spans="1:14" ht="15" customHeight="1" x14ac:dyDescent="0.3">
      <c r="A637" s="18" t="s">
        <v>1514</v>
      </c>
      <c r="B637" s="19" t="s">
        <v>15</v>
      </c>
      <c r="C637" s="18" t="s">
        <v>210</v>
      </c>
      <c r="D637" s="18" t="s">
        <v>17</v>
      </c>
      <c r="E637" s="18" t="s">
        <v>55</v>
      </c>
      <c r="F637" s="18" t="s">
        <v>1549</v>
      </c>
      <c r="G637" s="18" t="s">
        <v>340</v>
      </c>
      <c r="H637" s="18" t="s">
        <v>1516</v>
      </c>
      <c r="I637" s="20" t="s">
        <v>1550</v>
      </c>
      <c r="J637" s="18" t="s">
        <v>58</v>
      </c>
      <c r="K637" s="18" t="s">
        <v>24</v>
      </c>
      <c r="L637" s="18" t="s">
        <v>25</v>
      </c>
      <c r="N637" s="18" t="s">
        <v>26</v>
      </c>
    </row>
    <row r="638" spans="1:14" ht="15" customHeight="1" x14ac:dyDescent="0.3">
      <c r="A638" s="18" t="s">
        <v>1514</v>
      </c>
      <c r="B638" s="19" t="s">
        <v>15</v>
      </c>
      <c r="C638" s="18" t="s">
        <v>210</v>
      </c>
      <c r="D638" s="18" t="s">
        <v>17</v>
      </c>
      <c r="E638" s="18" t="s">
        <v>55</v>
      </c>
      <c r="F638" s="18" t="s">
        <v>1551</v>
      </c>
      <c r="G638" s="18" t="s">
        <v>340</v>
      </c>
      <c r="H638" s="18" t="s">
        <v>1516</v>
      </c>
      <c r="I638" s="20" t="s">
        <v>1552</v>
      </c>
      <c r="J638" s="18" t="s">
        <v>58</v>
      </c>
      <c r="K638" s="18" t="s">
        <v>24</v>
      </c>
      <c r="L638" s="18" t="s">
        <v>25</v>
      </c>
      <c r="N638" s="18" t="s">
        <v>26</v>
      </c>
    </row>
    <row r="639" spans="1:14" ht="15" customHeight="1" x14ac:dyDescent="0.3">
      <c r="A639" s="18" t="s">
        <v>1514</v>
      </c>
      <c r="B639" s="19" t="s">
        <v>15</v>
      </c>
      <c r="C639" s="18" t="s">
        <v>210</v>
      </c>
      <c r="D639" s="18" t="s">
        <v>17</v>
      </c>
      <c r="E639" s="18" t="s">
        <v>171</v>
      </c>
      <c r="F639" s="18" t="s">
        <v>340</v>
      </c>
      <c r="G639" s="18" t="s">
        <v>340</v>
      </c>
      <c r="H639" s="18" t="s">
        <v>1519</v>
      </c>
      <c r="I639" s="20" t="s">
        <v>1553</v>
      </c>
      <c r="J639" s="18" t="s">
        <v>175</v>
      </c>
      <c r="K639" s="18" t="s">
        <v>24</v>
      </c>
      <c r="L639" s="18" t="s">
        <v>25</v>
      </c>
      <c r="M639" s="18" t="s">
        <v>39</v>
      </c>
      <c r="N639" s="18" t="s">
        <v>26</v>
      </c>
    </row>
    <row r="640" spans="1:14" ht="15" customHeight="1" x14ac:dyDescent="0.3">
      <c r="A640" s="18" t="s">
        <v>1514</v>
      </c>
      <c r="B640" s="19" t="s">
        <v>15</v>
      </c>
      <c r="C640" s="18" t="s">
        <v>210</v>
      </c>
      <c r="D640" s="18" t="s">
        <v>17</v>
      </c>
      <c r="E640" s="18" t="s">
        <v>74</v>
      </c>
      <c r="F640" s="18" t="s">
        <v>1554</v>
      </c>
      <c r="G640" s="18" t="s">
        <v>340</v>
      </c>
      <c r="H640" s="18" t="s">
        <v>1555</v>
      </c>
      <c r="I640" s="20" t="s">
        <v>1556</v>
      </c>
      <c r="J640" s="18" t="s">
        <v>1557</v>
      </c>
      <c r="K640" s="18" t="s">
        <v>91</v>
      </c>
      <c r="L640" s="18" t="s">
        <v>25</v>
      </c>
      <c r="N640" s="18" t="s">
        <v>26</v>
      </c>
    </row>
    <row r="641" spans="1:14" ht="15" customHeight="1" x14ac:dyDescent="0.3">
      <c r="A641" s="18" t="s">
        <v>1514</v>
      </c>
      <c r="B641" s="19" t="s">
        <v>15</v>
      </c>
      <c r="C641" s="18" t="s">
        <v>210</v>
      </c>
      <c r="D641" s="18" t="s">
        <v>17</v>
      </c>
      <c r="E641" s="18" t="s">
        <v>74</v>
      </c>
      <c r="F641" s="18" t="s">
        <v>1558</v>
      </c>
      <c r="G641" s="18" t="s">
        <v>433</v>
      </c>
      <c r="H641" s="18" t="s">
        <v>1555</v>
      </c>
      <c r="I641" s="20" t="s">
        <v>1559</v>
      </c>
      <c r="J641" s="18" t="s">
        <v>1560</v>
      </c>
      <c r="K641" s="18" t="s">
        <v>91</v>
      </c>
      <c r="L641" s="18" t="s">
        <v>25</v>
      </c>
      <c r="N641" s="18" t="s">
        <v>26</v>
      </c>
    </row>
    <row r="642" spans="1:14" ht="15" customHeight="1" x14ac:dyDescent="0.3">
      <c r="A642" s="18" t="s">
        <v>1514</v>
      </c>
      <c r="B642" s="19" t="s">
        <v>15</v>
      </c>
      <c r="C642" s="18" t="s">
        <v>210</v>
      </c>
      <c r="D642" s="18" t="s">
        <v>17</v>
      </c>
      <c r="E642" s="18" t="s">
        <v>74</v>
      </c>
      <c r="F642" s="18" t="s">
        <v>1561</v>
      </c>
      <c r="G642" s="18" t="s">
        <v>340</v>
      </c>
      <c r="H642" s="18" t="s">
        <v>1555</v>
      </c>
      <c r="I642" s="20" t="s">
        <v>1562</v>
      </c>
      <c r="J642" s="18" t="s">
        <v>1563</v>
      </c>
      <c r="K642" s="18" t="s">
        <v>91</v>
      </c>
      <c r="L642" s="18" t="s">
        <v>25</v>
      </c>
      <c r="N642" s="18" t="s">
        <v>26</v>
      </c>
    </row>
    <row r="643" spans="1:14" ht="15" customHeight="1" x14ac:dyDescent="0.3">
      <c r="A643" s="18" t="s">
        <v>1514</v>
      </c>
      <c r="B643" s="19" t="s">
        <v>15</v>
      </c>
      <c r="C643" s="18" t="s">
        <v>210</v>
      </c>
      <c r="D643" s="18" t="s">
        <v>17</v>
      </c>
      <c r="E643" s="18" t="s">
        <v>74</v>
      </c>
      <c r="F643" s="18" t="s">
        <v>1564</v>
      </c>
      <c r="G643" s="18" t="s">
        <v>340</v>
      </c>
      <c r="H643" s="18" t="s">
        <v>1555</v>
      </c>
      <c r="I643" s="20" t="s">
        <v>1565</v>
      </c>
      <c r="J643" s="18" t="s">
        <v>1566</v>
      </c>
      <c r="K643" s="18" t="s">
        <v>91</v>
      </c>
      <c r="L643" s="18" t="s">
        <v>25</v>
      </c>
      <c r="N643" s="18" t="s">
        <v>26</v>
      </c>
    </row>
    <row r="644" spans="1:14" ht="15" customHeight="1" x14ac:dyDescent="0.3">
      <c r="A644" s="18" t="s">
        <v>1567</v>
      </c>
      <c r="B644" s="19" t="s">
        <v>15</v>
      </c>
      <c r="C644" s="18" t="s">
        <v>149</v>
      </c>
      <c r="D644" s="18" t="s">
        <v>17</v>
      </c>
      <c r="E644" s="18" t="s">
        <v>117</v>
      </c>
      <c r="F644" s="18" t="s">
        <v>1466</v>
      </c>
      <c r="G644" s="18" t="s">
        <v>47</v>
      </c>
      <c r="H644" s="18" t="s">
        <v>1568</v>
      </c>
      <c r="I644" s="20" t="s">
        <v>1569</v>
      </c>
      <c r="J644" s="18" t="s">
        <v>58</v>
      </c>
      <c r="K644" s="18" t="s">
        <v>24</v>
      </c>
      <c r="L644" s="18" t="s">
        <v>25</v>
      </c>
      <c r="N644" s="18" t="s">
        <v>154</v>
      </c>
    </row>
    <row r="645" spans="1:14" ht="15" customHeight="1" x14ac:dyDescent="0.3">
      <c r="A645" s="18" t="s">
        <v>1567</v>
      </c>
      <c r="B645" s="19" t="s">
        <v>15</v>
      </c>
      <c r="C645" s="18" t="s">
        <v>149</v>
      </c>
      <c r="D645" s="18" t="s">
        <v>17</v>
      </c>
      <c r="E645" s="18" t="s">
        <v>117</v>
      </c>
      <c r="F645" s="18" t="s">
        <v>1301</v>
      </c>
      <c r="G645" s="18" t="s">
        <v>1291</v>
      </c>
      <c r="H645" s="18" t="s">
        <v>1568</v>
      </c>
      <c r="I645" s="20" t="s">
        <v>1570</v>
      </c>
      <c r="J645" s="18" t="s">
        <v>58</v>
      </c>
      <c r="K645" s="18" t="s">
        <v>24</v>
      </c>
      <c r="L645" s="18" t="s">
        <v>25</v>
      </c>
      <c r="N645" s="18" t="s">
        <v>154</v>
      </c>
    </row>
    <row r="646" spans="1:14" ht="15" customHeight="1" x14ac:dyDescent="0.3">
      <c r="A646" s="18" t="s">
        <v>1567</v>
      </c>
      <c r="B646" s="19" t="s">
        <v>15</v>
      </c>
      <c r="C646" s="18" t="s">
        <v>149</v>
      </c>
      <c r="D646" s="18" t="s">
        <v>17</v>
      </c>
      <c r="E646" s="18" t="s">
        <v>117</v>
      </c>
      <c r="F646" s="18" t="s">
        <v>1571</v>
      </c>
      <c r="G646" s="18" t="s">
        <v>47</v>
      </c>
      <c r="H646" s="18" t="s">
        <v>1568</v>
      </c>
      <c r="I646" s="20" t="s">
        <v>1572</v>
      </c>
      <c r="J646" s="18" t="s">
        <v>58</v>
      </c>
      <c r="K646" s="18" t="s">
        <v>24</v>
      </c>
      <c r="L646" s="18" t="s">
        <v>25</v>
      </c>
      <c r="N646" s="18" t="s">
        <v>154</v>
      </c>
    </row>
    <row r="647" spans="1:14" ht="15" customHeight="1" x14ac:dyDescent="0.3">
      <c r="A647" s="18" t="s">
        <v>1567</v>
      </c>
      <c r="B647" s="19" t="s">
        <v>15</v>
      </c>
      <c r="C647" s="18" t="s">
        <v>149</v>
      </c>
      <c r="D647" s="18" t="s">
        <v>17</v>
      </c>
      <c r="E647" s="18" t="s">
        <v>117</v>
      </c>
      <c r="F647" s="18" t="s">
        <v>1573</v>
      </c>
      <c r="G647" s="18" t="s">
        <v>47</v>
      </c>
      <c r="H647" s="18" t="s">
        <v>1568</v>
      </c>
      <c r="I647" s="20" t="s">
        <v>1574</v>
      </c>
      <c r="J647" s="18" t="s">
        <v>58</v>
      </c>
      <c r="K647" s="18" t="s">
        <v>24</v>
      </c>
      <c r="L647" s="18" t="s">
        <v>25</v>
      </c>
      <c r="N647" s="18" t="s">
        <v>154</v>
      </c>
    </row>
    <row r="648" spans="1:14" ht="15" customHeight="1" x14ac:dyDescent="0.3">
      <c r="A648" s="18" t="s">
        <v>1567</v>
      </c>
      <c r="B648" s="19" t="s">
        <v>15</v>
      </c>
      <c r="C648" s="18" t="s">
        <v>149</v>
      </c>
      <c r="D648" s="18" t="s">
        <v>17</v>
      </c>
      <c r="E648" s="18" t="s">
        <v>117</v>
      </c>
      <c r="F648" s="18" t="s">
        <v>1575</v>
      </c>
      <c r="G648" s="18" t="s">
        <v>1291</v>
      </c>
      <c r="H648" s="18" t="s">
        <v>1568</v>
      </c>
      <c r="I648" s="20" t="s">
        <v>1576</v>
      </c>
      <c r="J648" s="18" t="s">
        <v>58</v>
      </c>
      <c r="K648" s="18" t="s">
        <v>24</v>
      </c>
      <c r="L648" s="18" t="s">
        <v>25</v>
      </c>
      <c r="N648" s="18" t="s">
        <v>154</v>
      </c>
    </row>
    <row r="649" spans="1:14" ht="15" customHeight="1" x14ac:dyDescent="0.3">
      <c r="A649" s="18" t="s">
        <v>1567</v>
      </c>
      <c r="B649" s="19" t="s">
        <v>15</v>
      </c>
      <c r="C649" s="18" t="s">
        <v>149</v>
      </c>
      <c r="D649" s="18" t="s">
        <v>17</v>
      </c>
      <c r="E649" s="18" t="s">
        <v>117</v>
      </c>
      <c r="F649" s="18" t="s">
        <v>1577</v>
      </c>
      <c r="G649" s="18" t="s">
        <v>41</v>
      </c>
      <c r="H649" s="18" t="s">
        <v>1568</v>
      </c>
      <c r="I649" s="20" t="s">
        <v>1578</v>
      </c>
      <c r="J649" s="18" t="s">
        <v>58</v>
      </c>
      <c r="K649" s="18" t="s">
        <v>24</v>
      </c>
      <c r="L649" s="18" t="s">
        <v>25</v>
      </c>
      <c r="N649" s="18" t="s">
        <v>154</v>
      </c>
    </row>
    <row r="650" spans="1:14" ht="15" customHeight="1" x14ac:dyDescent="0.3">
      <c r="A650" s="18" t="s">
        <v>1567</v>
      </c>
      <c r="B650" s="19" t="s">
        <v>15</v>
      </c>
      <c r="C650" s="18" t="s">
        <v>149</v>
      </c>
      <c r="D650" s="18" t="s">
        <v>17</v>
      </c>
      <c r="E650" s="18" t="s">
        <v>117</v>
      </c>
      <c r="F650" s="18" t="s">
        <v>128</v>
      </c>
      <c r="G650" s="18" t="s">
        <v>47</v>
      </c>
      <c r="H650" s="18" t="s">
        <v>1568</v>
      </c>
      <c r="I650" s="20" t="s">
        <v>1579</v>
      </c>
      <c r="J650" s="18" t="s">
        <v>58</v>
      </c>
      <c r="K650" s="18" t="s">
        <v>24</v>
      </c>
      <c r="L650" s="18" t="s">
        <v>25</v>
      </c>
      <c r="N650" s="18" t="s">
        <v>154</v>
      </c>
    </row>
    <row r="651" spans="1:14" ht="15" customHeight="1" x14ac:dyDescent="0.3">
      <c r="A651" s="18" t="s">
        <v>1567</v>
      </c>
      <c r="B651" s="19" t="s">
        <v>15</v>
      </c>
      <c r="C651" s="18" t="s">
        <v>149</v>
      </c>
      <c r="D651" s="18" t="s">
        <v>17</v>
      </c>
      <c r="E651" s="18" t="s">
        <v>117</v>
      </c>
      <c r="F651" s="18" t="s">
        <v>130</v>
      </c>
      <c r="G651" s="18" t="s">
        <v>47</v>
      </c>
      <c r="H651" s="18" t="s">
        <v>1568</v>
      </c>
      <c r="I651" s="20" t="s">
        <v>1580</v>
      </c>
      <c r="J651" s="18" t="s">
        <v>58</v>
      </c>
      <c r="K651" s="18" t="s">
        <v>24</v>
      </c>
      <c r="L651" s="18" t="s">
        <v>25</v>
      </c>
      <c r="N651" s="18" t="s">
        <v>154</v>
      </c>
    </row>
    <row r="652" spans="1:14" ht="15" customHeight="1" x14ac:dyDescent="0.3">
      <c r="A652" s="18" t="s">
        <v>1567</v>
      </c>
      <c r="B652" s="19" t="s">
        <v>15</v>
      </c>
      <c r="C652" s="18" t="s">
        <v>149</v>
      </c>
      <c r="D652" s="18" t="s">
        <v>17</v>
      </c>
      <c r="E652" s="18" t="s">
        <v>18</v>
      </c>
      <c r="F652" s="18" t="s">
        <v>1072</v>
      </c>
      <c r="G652" s="18" t="s">
        <v>47</v>
      </c>
      <c r="H652" s="18" t="s">
        <v>1568</v>
      </c>
      <c r="I652" s="20" t="s">
        <v>1581</v>
      </c>
      <c r="J652" s="18" t="s">
        <v>30</v>
      </c>
      <c r="K652" s="18" t="s">
        <v>24</v>
      </c>
      <c r="L652" s="18" t="s">
        <v>25</v>
      </c>
      <c r="N652" s="18" t="s">
        <v>154</v>
      </c>
    </row>
    <row r="653" spans="1:14" ht="15" customHeight="1" x14ac:dyDescent="0.3">
      <c r="A653" s="18" t="s">
        <v>1567</v>
      </c>
      <c r="B653" s="19" t="s">
        <v>15</v>
      </c>
      <c r="C653" s="18" t="s">
        <v>149</v>
      </c>
      <c r="D653" s="18" t="s">
        <v>17</v>
      </c>
      <c r="E653" s="18" t="s">
        <v>18</v>
      </c>
      <c r="F653" s="18" t="s">
        <v>1582</v>
      </c>
      <c r="G653" s="18" t="s">
        <v>1291</v>
      </c>
      <c r="H653" s="18" t="s">
        <v>1568</v>
      </c>
      <c r="I653" s="20" t="s">
        <v>1583</v>
      </c>
      <c r="J653" s="18" t="s">
        <v>30</v>
      </c>
      <c r="K653" s="18" t="s">
        <v>24</v>
      </c>
      <c r="L653" s="18" t="s">
        <v>25</v>
      </c>
      <c r="N653" s="18" t="s">
        <v>154</v>
      </c>
    </row>
    <row r="654" spans="1:14" ht="15" customHeight="1" x14ac:dyDescent="0.3">
      <c r="A654" s="18" t="s">
        <v>1567</v>
      </c>
      <c r="B654" s="19" t="s">
        <v>15</v>
      </c>
      <c r="C654" s="18" t="s">
        <v>210</v>
      </c>
      <c r="D654" s="18" t="s">
        <v>17</v>
      </c>
      <c r="E654" s="18" t="s">
        <v>18</v>
      </c>
      <c r="F654" s="18" t="s">
        <v>1584</v>
      </c>
      <c r="G654" s="18" t="s">
        <v>47</v>
      </c>
      <c r="H654" s="18" t="s">
        <v>1585</v>
      </c>
      <c r="I654" s="20" t="s">
        <v>1586</v>
      </c>
      <c r="J654" s="18" t="s">
        <v>30</v>
      </c>
      <c r="K654" s="18" t="s">
        <v>24</v>
      </c>
      <c r="L654" s="18" t="s">
        <v>25</v>
      </c>
      <c r="N654" s="18" t="s">
        <v>26</v>
      </c>
    </row>
    <row r="655" spans="1:14" ht="15" customHeight="1" x14ac:dyDescent="0.3">
      <c r="A655" s="18" t="s">
        <v>1567</v>
      </c>
      <c r="B655" s="19" t="s">
        <v>15</v>
      </c>
      <c r="C655" s="18" t="s">
        <v>210</v>
      </c>
      <c r="D655" s="18" t="s">
        <v>17</v>
      </c>
      <c r="E655" s="18" t="s">
        <v>55</v>
      </c>
      <c r="F655" s="18" t="s">
        <v>1587</v>
      </c>
      <c r="G655" s="18" t="s">
        <v>47</v>
      </c>
      <c r="H655" s="18" t="s">
        <v>1588</v>
      </c>
      <c r="I655" s="20" t="s">
        <v>1589</v>
      </c>
      <c r="J655" s="18" t="s">
        <v>58</v>
      </c>
      <c r="K655" s="18" t="s">
        <v>24</v>
      </c>
      <c r="L655" s="18" t="s">
        <v>25</v>
      </c>
      <c r="N655" s="18" t="s">
        <v>26</v>
      </c>
    </row>
    <row r="656" spans="1:14" ht="15" customHeight="1" x14ac:dyDescent="0.3">
      <c r="A656" s="18" t="s">
        <v>1567</v>
      </c>
      <c r="B656" s="19" t="s">
        <v>15</v>
      </c>
      <c r="C656" s="18" t="s">
        <v>149</v>
      </c>
      <c r="D656" s="18" t="s">
        <v>17</v>
      </c>
      <c r="E656" s="18" t="s">
        <v>74</v>
      </c>
      <c r="F656" s="18" t="s">
        <v>1590</v>
      </c>
      <c r="G656" s="18" t="s">
        <v>47</v>
      </c>
      <c r="H656" s="18" t="s">
        <v>1591</v>
      </c>
      <c r="I656" s="20" t="s">
        <v>1592</v>
      </c>
      <c r="J656" s="18" t="s">
        <v>1593</v>
      </c>
      <c r="K656" s="18" t="s">
        <v>24</v>
      </c>
      <c r="L656" s="18" t="s">
        <v>25</v>
      </c>
      <c r="N656" s="18" t="s">
        <v>154</v>
      </c>
    </row>
    <row r="657" spans="1:14" ht="15" customHeight="1" x14ac:dyDescent="0.3">
      <c r="A657" s="18" t="s">
        <v>1567</v>
      </c>
      <c r="B657" s="19" t="s">
        <v>15</v>
      </c>
      <c r="C657" s="18" t="s">
        <v>149</v>
      </c>
      <c r="D657" s="18" t="s">
        <v>17</v>
      </c>
      <c r="E657" s="18" t="s">
        <v>74</v>
      </c>
      <c r="F657" s="18" t="s">
        <v>1594</v>
      </c>
      <c r="G657" s="18" t="s">
        <v>88</v>
      </c>
      <c r="H657" s="18" t="s">
        <v>1591</v>
      </c>
      <c r="I657" s="20" t="s">
        <v>1595</v>
      </c>
      <c r="J657" s="18" t="s">
        <v>1596</v>
      </c>
      <c r="K657" s="18" t="s">
        <v>24</v>
      </c>
      <c r="L657" s="18" t="s">
        <v>25</v>
      </c>
      <c r="N657" s="18" t="s">
        <v>154</v>
      </c>
    </row>
    <row r="658" spans="1:14" ht="15" customHeight="1" x14ac:dyDescent="0.3">
      <c r="A658" s="18" t="s">
        <v>1567</v>
      </c>
      <c r="B658" s="19" t="s">
        <v>15</v>
      </c>
      <c r="C658" s="18" t="s">
        <v>149</v>
      </c>
      <c r="D658" s="18" t="s">
        <v>17</v>
      </c>
      <c r="E658" s="18" t="s">
        <v>74</v>
      </c>
      <c r="F658" s="18" t="s">
        <v>1597</v>
      </c>
      <c r="G658" s="18" t="s">
        <v>47</v>
      </c>
      <c r="H658" s="18" t="s">
        <v>1591</v>
      </c>
      <c r="I658" s="20" t="s">
        <v>1598</v>
      </c>
      <c r="J658" s="18" t="s">
        <v>1599</v>
      </c>
      <c r="K658" s="18" t="s">
        <v>91</v>
      </c>
      <c r="L658" s="18" t="s">
        <v>25</v>
      </c>
      <c r="N658" s="18" t="s">
        <v>154</v>
      </c>
    </row>
    <row r="659" spans="1:14" ht="15" customHeight="1" x14ac:dyDescent="0.3">
      <c r="A659" s="18" t="s">
        <v>1567</v>
      </c>
      <c r="B659" s="19" t="s">
        <v>15</v>
      </c>
      <c r="C659" s="18" t="s">
        <v>1600</v>
      </c>
      <c r="D659" s="18" t="s">
        <v>17</v>
      </c>
      <c r="E659" s="18" t="s">
        <v>74</v>
      </c>
      <c r="F659" s="18" t="s">
        <v>1601</v>
      </c>
      <c r="G659" s="18" t="s">
        <v>47</v>
      </c>
      <c r="H659" s="18" t="s">
        <v>1602</v>
      </c>
      <c r="I659" s="20" t="s">
        <v>1603</v>
      </c>
      <c r="J659" s="18" t="s">
        <v>1604</v>
      </c>
      <c r="K659" s="18" t="s">
        <v>24</v>
      </c>
      <c r="L659" s="18" t="s">
        <v>25</v>
      </c>
      <c r="N659" s="18" t="s">
        <v>973</v>
      </c>
    </row>
    <row r="660" spans="1:14" ht="15" customHeight="1" x14ac:dyDescent="0.3">
      <c r="A660" s="18" t="s">
        <v>1567</v>
      </c>
      <c r="B660" s="19" t="s">
        <v>15</v>
      </c>
      <c r="C660" s="18" t="s">
        <v>149</v>
      </c>
      <c r="D660" s="18" t="s">
        <v>17</v>
      </c>
      <c r="E660" s="18" t="s">
        <v>74</v>
      </c>
      <c r="F660" s="18" t="s">
        <v>1605</v>
      </c>
      <c r="G660" s="18" t="s">
        <v>207</v>
      </c>
      <c r="H660" s="18" t="s">
        <v>1591</v>
      </c>
      <c r="I660" s="20" t="s">
        <v>1606</v>
      </c>
      <c r="J660" s="18" t="s">
        <v>394</v>
      </c>
      <c r="K660" s="18" t="s">
        <v>91</v>
      </c>
      <c r="L660" s="18" t="s">
        <v>25</v>
      </c>
      <c r="N660" s="18" t="s">
        <v>154</v>
      </c>
    </row>
    <row r="661" spans="1:14" ht="15" customHeight="1" x14ac:dyDescent="0.3">
      <c r="A661" s="18" t="s">
        <v>1567</v>
      </c>
      <c r="B661" s="19" t="s">
        <v>15</v>
      </c>
      <c r="C661" s="18" t="s">
        <v>1607</v>
      </c>
      <c r="D661" s="18" t="s">
        <v>17</v>
      </c>
      <c r="E661" s="18" t="s">
        <v>74</v>
      </c>
      <c r="F661" s="18" t="s">
        <v>1608</v>
      </c>
      <c r="G661" s="18" t="s">
        <v>47</v>
      </c>
      <c r="H661" s="18" t="s">
        <v>1609</v>
      </c>
      <c r="I661" s="20" t="s">
        <v>1610</v>
      </c>
      <c r="J661" s="18" t="s">
        <v>1611</v>
      </c>
      <c r="K661" s="18" t="s">
        <v>91</v>
      </c>
      <c r="L661" s="18" t="s">
        <v>25</v>
      </c>
      <c r="N661" s="18" t="s">
        <v>973</v>
      </c>
    </row>
    <row r="662" spans="1:14" ht="15" customHeight="1" x14ac:dyDescent="0.3">
      <c r="A662" s="18" t="s">
        <v>1567</v>
      </c>
      <c r="B662" s="19" t="s">
        <v>15</v>
      </c>
      <c r="C662" s="18" t="s">
        <v>149</v>
      </c>
      <c r="D662" s="18" t="s">
        <v>17</v>
      </c>
      <c r="E662" s="18" t="s">
        <v>74</v>
      </c>
      <c r="F662" s="18" t="s">
        <v>1612</v>
      </c>
      <c r="G662" s="18" t="s">
        <v>41</v>
      </c>
      <c r="H662" s="18" t="s">
        <v>1591</v>
      </c>
      <c r="I662" s="20" t="s">
        <v>1613</v>
      </c>
      <c r="J662" s="18" t="s">
        <v>1614</v>
      </c>
      <c r="K662" s="18" t="s">
        <v>293</v>
      </c>
      <c r="L662" s="18" t="s">
        <v>25</v>
      </c>
      <c r="N662" s="18" t="s">
        <v>154</v>
      </c>
    </row>
    <row r="663" spans="1:14" ht="15" customHeight="1" x14ac:dyDescent="0.3">
      <c r="A663" s="18" t="s">
        <v>1567</v>
      </c>
      <c r="B663" s="19" t="s">
        <v>15</v>
      </c>
      <c r="C663" s="18" t="s">
        <v>210</v>
      </c>
      <c r="D663" s="18" t="s">
        <v>17</v>
      </c>
      <c r="E663" s="18" t="s">
        <v>74</v>
      </c>
      <c r="F663" s="18" t="s">
        <v>1615</v>
      </c>
      <c r="G663" s="18" t="s">
        <v>47</v>
      </c>
      <c r="H663" s="18" t="s">
        <v>1616</v>
      </c>
      <c r="I663" s="20" t="s">
        <v>1617</v>
      </c>
      <c r="J663" s="18" t="s">
        <v>1618</v>
      </c>
      <c r="K663" s="18" t="s">
        <v>91</v>
      </c>
      <c r="L663" s="18" t="s">
        <v>25</v>
      </c>
      <c r="N663" s="18" t="s">
        <v>26</v>
      </c>
    </row>
    <row r="664" spans="1:14" ht="15" customHeight="1" x14ac:dyDescent="0.3">
      <c r="A664" s="18" t="s">
        <v>1567</v>
      </c>
      <c r="B664" s="19" t="s">
        <v>15</v>
      </c>
      <c r="C664" s="18" t="s">
        <v>149</v>
      </c>
      <c r="D664" s="18" t="s">
        <v>17</v>
      </c>
      <c r="E664" s="18" t="s">
        <v>226</v>
      </c>
      <c r="F664" s="18" t="s">
        <v>1508</v>
      </c>
      <c r="G664" s="18" t="s">
        <v>41</v>
      </c>
      <c r="H664" s="18" t="s">
        <v>1591</v>
      </c>
      <c r="I664" s="20" t="s">
        <v>1619</v>
      </c>
      <c r="J664" s="18" t="s">
        <v>1620</v>
      </c>
      <c r="K664" s="18" t="s">
        <v>293</v>
      </c>
      <c r="L664" s="18" t="s">
        <v>25</v>
      </c>
      <c r="N664" s="18" t="s">
        <v>154</v>
      </c>
    </row>
    <row r="665" spans="1:14" ht="15" customHeight="1" x14ac:dyDescent="0.3">
      <c r="A665" s="18" t="s">
        <v>1621</v>
      </c>
      <c r="B665" s="19" t="s">
        <v>15</v>
      </c>
      <c r="C665" s="18" t="s">
        <v>1622</v>
      </c>
      <c r="D665" s="18" t="s">
        <v>17</v>
      </c>
      <c r="E665" s="18" t="s">
        <v>117</v>
      </c>
      <c r="F665" s="18" t="s">
        <v>1623</v>
      </c>
      <c r="G665" s="18" t="s">
        <v>1295</v>
      </c>
      <c r="H665" s="18" t="s">
        <v>1624</v>
      </c>
      <c r="I665" s="20" t="s">
        <v>1625</v>
      </c>
      <c r="J665" s="18" t="s">
        <v>58</v>
      </c>
      <c r="K665" s="18" t="s">
        <v>24</v>
      </c>
      <c r="L665" s="18" t="s">
        <v>25</v>
      </c>
      <c r="N665" s="18" t="s">
        <v>154</v>
      </c>
    </row>
    <row r="666" spans="1:14" ht="15" customHeight="1" x14ac:dyDescent="0.3">
      <c r="A666" s="18" t="s">
        <v>1621</v>
      </c>
      <c r="B666" s="19" t="s">
        <v>15</v>
      </c>
      <c r="C666" s="18" t="s">
        <v>1622</v>
      </c>
      <c r="D666" s="18" t="s">
        <v>17</v>
      </c>
      <c r="E666" s="18" t="s">
        <v>117</v>
      </c>
      <c r="F666" s="18" t="s">
        <v>1626</v>
      </c>
      <c r="G666" s="18" t="s">
        <v>536</v>
      </c>
      <c r="H666" s="18" t="s">
        <v>1627</v>
      </c>
      <c r="I666" s="20" t="s">
        <v>1628</v>
      </c>
      <c r="J666" s="18" t="s">
        <v>58</v>
      </c>
      <c r="K666" s="18" t="s">
        <v>24</v>
      </c>
      <c r="L666" s="18" t="s">
        <v>25</v>
      </c>
      <c r="N666" s="18" t="s">
        <v>154</v>
      </c>
    </row>
    <row r="667" spans="1:14" ht="15" customHeight="1" x14ac:dyDescent="0.3">
      <c r="A667" s="18" t="s">
        <v>1621</v>
      </c>
      <c r="B667" s="19" t="s">
        <v>15</v>
      </c>
      <c r="C667" s="18" t="s">
        <v>1622</v>
      </c>
      <c r="D667" s="18" t="s">
        <v>17</v>
      </c>
      <c r="E667" s="18" t="s">
        <v>117</v>
      </c>
      <c r="F667" s="18" t="s">
        <v>1629</v>
      </c>
      <c r="G667" s="18" t="s">
        <v>219</v>
      </c>
      <c r="H667" s="18" t="s">
        <v>1630</v>
      </c>
      <c r="I667" s="20" t="s">
        <v>1631</v>
      </c>
      <c r="J667" s="18" t="s">
        <v>58</v>
      </c>
      <c r="K667" s="18" t="s">
        <v>24</v>
      </c>
      <c r="L667" s="18" t="s">
        <v>25</v>
      </c>
      <c r="N667" s="18" t="s">
        <v>154</v>
      </c>
    </row>
    <row r="668" spans="1:14" ht="15" customHeight="1" x14ac:dyDescent="0.3">
      <c r="A668" s="18" t="s">
        <v>1621</v>
      </c>
      <c r="B668" s="19" t="s">
        <v>15</v>
      </c>
      <c r="C668" s="18" t="s">
        <v>1622</v>
      </c>
      <c r="D668" s="18" t="s">
        <v>17</v>
      </c>
      <c r="E668" s="18" t="s">
        <v>117</v>
      </c>
      <c r="F668" s="18" t="s">
        <v>1434</v>
      </c>
      <c r="G668" s="18" t="s">
        <v>85</v>
      </c>
      <c r="H668" s="18" t="s">
        <v>1630</v>
      </c>
      <c r="I668" s="20" t="s">
        <v>1632</v>
      </c>
      <c r="J668" s="18" t="s">
        <v>58</v>
      </c>
      <c r="K668" s="18" t="s">
        <v>24</v>
      </c>
      <c r="L668" s="18" t="s">
        <v>25</v>
      </c>
      <c r="N668" s="18" t="s">
        <v>154</v>
      </c>
    </row>
    <row r="669" spans="1:14" ht="15" customHeight="1" x14ac:dyDescent="0.3">
      <c r="A669" s="18" t="s">
        <v>1621</v>
      </c>
      <c r="B669" s="19" t="s">
        <v>15</v>
      </c>
      <c r="C669" s="18" t="s">
        <v>1622</v>
      </c>
      <c r="D669" s="18" t="s">
        <v>17</v>
      </c>
      <c r="E669" s="18" t="s">
        <v>117</v>
      </c>
      <c r="F669" s="18" t="s">
        <v>1633</v>
      </c>
      <c r="G669" s="18" t="s">
        <v>1634</v>
      </c>
      <c r="H669" s="18" t="s">
        <v>1630</v>
      </c>
      <c r="I669" s="20" t="s">
        <v>1635</v>
      </c>
      <c r="J669" s="18" t="s">
        <v>58</v>
      </c>
      <c r="K669" s="18" t="s">
        <v>24</v>
      </c>
      <c r="L669" s="18" t="s">
        <v>25</v>
      </c>
      <c r="N669" s="18" t="s">
        <v>154</v>
      </c>
    </row>
    <row r="670" spans="1:14" ht="15" customHeight="1" x14ac:dyDescent="0.3">
      <c r="A670" s="18" t="s">
        <v>1621</v>
      </c>
      <c r="B670" s="19" t="s">
        <v>15</v>
      </c>
      <c r="C670" s="18" t="s">
        <v>1622</v>
      </c>
      <c r="D670" s="18" t="s">
        <v>17</v>
      </c>
      <c r="E670" s="18" t="s">
        <v>117</v>
      </c>
      <c r="F670" s="18" t="s">
        <v>1301</v>
      </c>
      <c r="G670" s="18" t="s">
        <v>160</v>
      </c>
      <c r="H670" s="18" t="s">
        <v>1630</v>
      </c>
      <c r="I670" s="20" t="s">
        <v>1636</v>
      </c>
      <c r="J670" s="18" t="s">
        <v>58</v>
      </c>
      <c r="K670" s="18" t="s">
        <v>24</v>
      </c>
      <c r="L670" s="18" t="s">
        <v>25</v>
      </c>
      <c r="N670" s="18" t="s">
        <v>154</v>
      </c>
    </row>
    <row r="671" spans="1:14" ht="15" customHeight="1" x14ac:dyDescent="0.3">
      <c r="A671" s="18" t="s">
        <v>1621</v>
      </c>
      <c r="B671" s="19" t="s">
        <v>15</v>
      </c>
      <c r="C671" s="18" t="s">
        <v>1622</v>
      </c>
      <c r="D671" s="18" t="s">
        <v>17</v>
      </c>
      <c r="E671" s="18" t="s">
        <v>117</v>
      </c>
      <c r="F671" s="18" t="s">
        <v>1637</v>
      </c>
      <c r="G671" s="18" t="s">
        <v>1019</v>
      </c>
      <c r="H671" s="18" t="s">
        <v>1624</v>
      </c>
      <c r="I671" s="20" t="s">
        <v>1638</v>
      </c>
      <c r="J671" s="18" t="s">
        <v>58</v>
      </c>
      <c r="K671" s="18" t="s">
        <v>24</v>
      </c>
      <c r="L671" s="18" t="s">
        <v>25</v>
      </c>
      <c r="N671" s="18" t="s">
        <v>154</v>
      </c>
    </row>
    <row r="672" spans="1:14" ht="15" customHeight="1" x14ac:dyDescent="0.3">
      <c r="A672" s="18" t="s">
        <v>1621</v>
      </c>
      <c r="B672" s="19" t="s">
        <v>15</v>
      </c>
      <c r="C672" s="18" t="s">
        <v>1622</v>
      </c>
      <c r="D672" s="18" t="s">
        <v>17</v>
      </c>
      <c r="E672" s="18" t="s">
        <v>117</v>
      </c>
      <c r="F672" s="18" t="s">
        <v>1639</v>
      </c>
      <c r="G672" s="18" t="s">
        <v>1634</v>
      </c>
      <c r="H672" s="18" t="s">
        <v>1630</v>
      </c>
      <c r="I672" s="20" t="s">
        <v>1640</v>
      </c>
      <c r="J672" s="18" t="s">
        <v>58</v>
      </c>
      <c r="K672" s="18" t="s">
        <v>24</v>
      </c>
      <c r="L672" s="18" t="s">
        <v>25</v>
      </c>
      <c r="N672" s="18" t="s">
        <v>154</v>
      </c>
    </row>
    <row r="673" spans="1:14" ht="15" customHeight="1" x14ac:dyDescent="0.3">
      <c r="A673" s="18" t="s">
        <v>1621</v>
      </c>
      <c r="B673" s="19" t="s">
        <v>15</v>
      </c>
      <c r="C673" s="18" t="s">
        <v>1622</v>
      </c>
      <c r="D673" s="18" t="s">
        <v>17</v>
      </c>
      <c r="E673" s="18" t="s">
        <v>117</v>
      </c>
      <c r="F673" s="18" t="s">
        <v>1641</v>
      </c>
      <c r="G673" s="18" t="s">
        <v>536</v>
      </c>
      <c r="H673" s="18" t="s">
        <v>1630</v>
      </c>
      <c r="I673" s="20" t="s">
        <v>1642</v>
      </c>
      <c r="J673" s="18" t="s">
        <v>58</v>
      </c>
      <c r="K673" s="18" t="s">
        <v>24</v>
      </c>
      <c r="L673" s="18" t="s">
        <v>25</v>
      </c>
      <c r="N673" s="18" t="s">
        <v>154</v>
      </c>
    </row>
    <row r="674" spans="1:14" ht="15" customHeight="1" x14ac:dyDescent="0.3">
      <c r="A674" s="18" t="s">
        <v>1621</v>
      </c>
      <c r="B674" s="19" t="s">
        <v>15</v>
      </c>
      <c r="C674" s="18" t="s">
        <v>1622</v>
      </c>
      <c r="D674" s="18" t="s">
        <v>17</v>
      </c>
      <c r="E674" s="18" t="s">
        <v>117</v>
      </c>
      <c r="F674" s="18" t="s">
        <v>1643</v>
      </c>
      <c r="G674" s="18" t="s">
        <v>41</v>
      </c>
      <c r="H674" s="18" t="s">
        <v>1630</v>
      </c>
      <c r="I674" s="20" t="s">
        <v>1644</v>
      </c>
      <c r="J674" s="18" t="s">
        <v>58</v>
      </c>
      <c r="K674" s="18" t="s">
        <v>24</v>
      </c>
      <c r="L674" s="18" t="s">
        <v>25</v>
      </c>
      <c r="N674" s="18" t="s">
        <v>154</v>
      </c>
    </row>
    <row r="675" spans="1:14" ht="15" customHeight="1" x14ac:dyDescent="0.3">
      <c r="A675" s="18" t="s">
        <v>1621</v>
      </c>
      <c r="B675" s="19" t="s">
        <v>15</v>
      </c>
      <c r="C675" s="18" t="s">
        <v>1622</v>
      </c>
      <c r="D675" s="18" t="s">
        <v>17</v>
      </c>
      <c r="E675" s="18" t="s">
        <v>117</v>
      </c>
      <c r="F675" s="18" t="s">
        <v>1645</v>
      </c>
      <c r="G675" s="18" t="s">
        <v>1019</v>
      </c>
      <c r="H675" s="18" t="s">
        <v>1624</v>
      </c>
      <c r="I675" s="20" t="s">
        <v>1646</v>
      </c>
      <c r="J675" s="18" t="s">
        <v>58</v>
      </c>
      <c r="K675" s="18" t="s">
        <v>24</v>
      </c>
      <c r="L675" s="18" t="s">
        <v>25</v>
      </c>
      <c r="N675" s="18" t="s">
        <v>154</v>
      </c>
    </row>
    <row r="676" spans="1:14" ht="15" customHeight="1" x14ac:dyDescent="0.3">
      <c r="A676" s="18" t="s">
        <v>1621</v>
      </c>
      <c r="B676" s="19" t="s">
        <v>15</v>
      </c>
      <c r="C676" s="18" t="s">
        <v>1622</v>
      </c>
      <c r="D676" s="18" t="s">
        <v>17</v>
      </c>
      <c r="E676" s="18" t="s">
        <v>117</v>
      </c>
      <c r="F676" s="18" t="s">
        <v>353</v>
      </c>
      <c r="G676" s="18" t="s">
        <v>263</v>
      </c>
      <c r="H676" s="18" t="s">
        <v>1624</v>
      </c>
      <c r="I676" s="20" t="s">
        <v>1647</v>
      </c>
      <c r="J676" s="18" t="s">
        <v>58</v>
      </c>
      <c r="K676" s="18" t="s">
        <v>24</v>
      </c>
      <c r="L676" s="18" t="s">
        <v>25</v>
      </c>
      <c r="N676" s="18" t="s">
        <v>154</v>
      </c>
    </row>
    <row r="677" spans="1:14" ht="15" customHeight="1" x14ac:dyDescent="0.3">
      <c r="A677" s="18" t="s">
        <v>1621</v>
      </c>
      <c r="B677" s="19" t="s">
        <v>15</v>
      </c>
      <c r="C677" s="18" t="s">
        <v>1622</v>
      </c>
      <c r="D677" s="18" t="s">
        <v>17</v>
      </c>
      <c r="E677" s="18" t="s">
        <v>117</v>
      </c>
      <c r="F677" s="18" t="s">
        <v>1648</v>
      </c>
      <c r="G677" s="18" t="s">
        <v>1019</v>
      </c>
      <c r="H677" s="18" t="s">
        <v>1624</v>
      </c>
      <c r="I677" s="20" t="s">
        <v>1649</v>
      </c>
      <c r="J677" s="18" t="s">
        <v>58</v>
      </c>
      <c r="K677" s="18" t="s">
        <v>24</v>
      </c>
      <c r="L677" s="18" t="s">
        <v>25</v>
      </c>
      <c r="N677" s="18" t="s">
        <v>154</v>
      </c>
    </row>
    <row r="678" spans="1:14" ht="15" customHeight="1" x14ac:dyDescent="0.3">
      <c r="A678" s="18" t="s">
        <v>1621</v>
      </c>
      <c r="B678" s="19" t="s">
        <v>15</v>
      </c>
      <c r="C678" s="18" t="s">
        <v>1622</v>
      </c>
      <c r="D678" s="18" t="s">
        <v>17</v>
      </c>
      <c r="E678" s="18" t="s">
        <v>117</v>
      </c>
      <c r="F678" s="18" t="s">
        <v>1650</v>
      </c>
      <c r="G678" s="18" t="s">
        <v>1634</v>
      </c>
      <c r="H678" s="18" t="s">
        <v>1630</v>
      </c>
      <c r="I678" s="20" t="s">
        <v>1651</v>
      </c>
      <c r="J678" s="18" t="s">
        <v>58</v>
      </c>
      <c r="K678" s="18" t="s">
        <v>24</v>
      </c>
      <c r="L678" s="18" t="s">
        <v>25</v>
      </c>
      <c r="N678" s="18" t="s">
        <v>154</v>
      </c>
    </row>
    <row r="679" spans="1:14" ht="15" customHeight="1" x14ac:dyDescent="0.3">
      <c r="A679" s="18" t="s">
        <v>1621</v>
      </c>
      <c r="B679" s="19" t="s">
        <v>15</v>
      </c>
      <c r="C679" s="18" t="s">
        <v>1622</v>
      </c>
      <c r="D679" s="18" t="s">
        <v>17</v>
      </c>
      <c r="E679" s="18" t="s">
        <v>117</v>
      </c>
      <c r="F679" s="18" t="s">
        <v>1235</v>
      </c>
      <c r="G679" s="18" t="s">
        <v>47</v>
      </c>
      <c r="H679" s="18" t="s">
        <v>1630</v>
      </c>
      <c r="I679" s="20" t="s">
        <v>1652</v>
      </c>
      <c r="J679" s="18" t="s">
        <v>58</v>
      </c>
      <c r="K679" s="18" t="s">
        <v>24</v>
      </c>
      <c r="L679" s="18" t="s">
        <v>25</v>
      </c>
      <c r="N679" s="18" t="s">
        <v>154</v>
      </c>
    </row>
    <row r="680" spans="1:14" ht="15" customHeight="1" x14ac:dyDescent="0.3">
      <c r="A680" s="18" t="s">
        <v>1621</v>
      </c>
      <c r="B680" s="19" t="s">
        <v>15</v>
      </c>
      <c r="C680" s="18" t="s">
        <v>1622</v>
      </c>
      <c r="D680" s="18" t="s">
        <v>17</v>
      </c>
      <c r="E680" s="18" t="s">
        <v>117</v>
      </c>
      <c r="F680" s="18" t="s">
        <v>1653</v>
      </c>
      <c r="G680" s="18" t="s">
        <v>1019</v>
      </c>
      <c r="H680" s="18" t="s">
        <v>1624</v>
      </c>
      <c r="I680" s="20" t="s">
        <v>1654</v>
      </c>
      <c r="J680" s="18" t="s">
        <v>58</v>
      </c>
      <c r="K680" s="18" t="s">
        <v>24</v>
      </c>
      <c r="L680" s="18" t="s">
        <v>25</v>
      </c>
      <c r="N680" s="18" t="s">
        <v>154</v>
      </c>
    </row>
    <row r="681" spans="1:14" ht="15" customHeight="1" x14ac:dyDescent="0.3">
      <c r="A681" s="18" t="s">
        <v>1621</v>
      </c>
      <c r="B681" s="19" t="s">
        <v>15</v>
      </c>
      <c r="C681" s="18" t="s">
        <v>1622</v>
      </c>
      <c r="D681" s="18" t="s">
        <v>17</v>
      </c>
      <c r="E681" s="18" t="s">
        <v>117</v>
      </c>
      <c r="F681" s="18" t="s">
        <v>1655</v>
      </c>
      <c r="G681" s="18" t="s">
        <v>536</v>
      </c>
      <c r="H681" s="18" t="s">
        <v>1630</v>
      </c>
      <c r="I681" s="20" t="s">
        <v>1656</v>
      </c>
      <c r="J681" s="18" t="s">
        <v>58</v>
      </c>
      <c r="K681" s="18" t="s">
        <v>24</v>
      </c>
      <c r="L681" s="18" t="s">
        <v>25</v>
      </c>
      <c r="N681" s="18" t="s">
        <v>154</v>
      </c>
    </row>
    <row r="682" spans="1:14" ht="15" customHeight="1" x14ac:dyDescent="0.3">
      <c r="A682" s="18" t="s">
        <v>1621</v>
      </c>
      <c r="B682" s="19" t="s">
        <v>15</v>
      </c>
      <c r="C682" s="18" t="s">
        <v>1622</v>
      </c>
      <c r="D682" s="18" t="s">
        <v>17</v>
      </c>
      <c r="E682" s="18" t="s">
        <v>18</v>
      </c>
      <c r="F682" s="18" t="s">
        <v>1019</v>
      </c>
      <c r="G682" s="18" t="s">
        <v>1019</v>
      </c>
      <c r="H682" s="18" t="s">
        <v>1624</v>
      </c>
      <c r="I682" s="20" t="s">
        <v>1657</v>
      </c>
      <c r="J682" s="18" t="s">
        <v>30</v>
      </c>
      <c r="K682" s="18" t="s">
        <v>24</v>
      </c>
      <c r="L682" s="18" t="s">
        <v>25</v>
      </c>
      <c r="N682" s="18" t="s">
        <v>154</v>
      </c>
    </row>
    <row r="683" spans="1:14" ht="15" customHeight="1" x14ac:dyDescent="0.3">
      <c r="A683" s="18" t="s">
        <v>1621</v>
      </c>
      <c r="B683" s="19" t="s">
        <v>15</v>
      </c>
      <c r="C683" s="18" t="s">
        <v>1622</v>
      </c>
      <c r="D683" s="18" t="s">
        <v>17</v>
      </c>
      <c r="E683" s="18" t="s">
        <v>18</v>
      </c>
      <c r="F683" s="18" t="s">
        <v>272</v>
      </c>
      <c r="G683" s="18" t="s">
        <v>273</v>
      </c>
      <c r="H683" s="18" t="s">
        <v>1624</v>
      </c>
      <c r="I683" s="20" t="s">
        <v>1658</v>
      </c>
      <c r="J683" s="18" t="s">
        <v>30</v>
      </c>
      <c r="K683" s="18" t="s">
        <v>24</v>
      </c>
      <c r="L683" s="18" t="s">
        <v>25</v>
      </c>
      <c r="N683" s="18" t="s">
        <v>154</v>
      </c>
    </row>
    <row r="684" spans="1:14" ht="15" customHeight="1" x14ac:dyDescent="0.3">
      <c r="A684" s="18" t="s">
        <v>1621</v>
      </c>
      <c r="B684" s="19" t="s">
        <v>15</v>
      </c>
      <c r="C684" s="18" t="s">
        <v>1622</v>
      </c>
      <c r="D684" s="18" t="s">
        <v>17</v>
      </c>
      <c r="E684" s="18" t="s">
        <v>18</v>
      </c>
      <c r="F684" s="18" t="s">
        <v>356</v>
      </c>
      <c r="G684" s="18" t="s">
        <v>273</v>
      </c>
      <c r="H684" s="18" t="s">
        <v>1624</v>
      </c>
      <c r="I684" s="20" t="s">
        <v>1659</v>
      </c>
      <c r="J684" s="18" t="s">
        <v>30</v>
      </c>
      <c r="K684" s="18" t="s">
        <v>24</v>
      </c>
      <c r="L684" s="18" t="s">
        <v>25</v>
      </c>
      <c r="N684" s="18" t="s">
        <v>154</v>
      </c>
    </row>
    <row r="685" spans="1:14" ht="15" customHeight="1" x14ac:dyDescent="0.3">
      <c r="A685" s="18" t="s">
        <v>1621</v>
      </c>
      <c r="B685" s="19" t="s">
        <v>15</v>
      </c>
      <c r="C685" s="18" t="s">
        <v>1622</v>
      </c>
      <c r="D685" s="18" t="s">
        <v>17</v>
      </c>
      <c r="E685" s="18" t="s">
        <v>18</v>
      </c>
      <c r="F685" s="18" t="s">
        <v>40</v>
      </c>
      <c r="G685" s="18" t="s">
        <v>41</v>
      </c>
      <c r="H685" s="18" t="s">
        <v>1660</v>
      </c>
      <c r="I685" s="20" t="s">
        <v>1661</v>
      </c>
      <c r="J685" s="18" t="s">
        <v>30</v>
      </c>
      <c r="K685" s="18" t="s">
        <v>24</v>
      </c>
      <c r="L685" s="18" t="s">
        <v>25</v>
      </c>
      <c r="N685" s="18" t="s">
        <v>154</v>
      </c>
    </row>
    <row r="686" spans="1:14" ht="15" customHeight="1" x14ac:dyDescent="0.3">
      <c r="A686" s="18" t="s">
        <v>1621</v>
      </c>
      <c r="B686" s="19" t="s">
        <v>15</v>
      </c>
      <c r="C686" s="18" t="s">
        <v>1622</v>
      </c>
      <c r="D686" s="18" t="s">
        <v>17</v>
      </c>
      <c r="E686" s="18" t="s">
        <v>18</v>
      </c>
      <c r="F686" s="18" t="s">
        <v>1309</v>
      </c>
      <c r="G686" s="18" t="s">
        <v>536</v>
      </c>
      <c r="H686" s="18" t="s">
        <v>1660</v>
      </c>
      <c r="I686" s="20" t="s">
        <v>1662</v>
      </c>
      <c r="J686" s="18" t="s">
        <v>30</v>
      </c>
      <c r="K686" s="18" t="s">
        <v>24</v>
      </c>
      <c r="L686" s="18" t="s">
        <v>25</v>
      </c>
      <c r="N686" s="18" t="s">
        <v>154</v>
      </c>
    </row>
    <row r="687" spans="1:14" ht="15" customHeight="1" x14ac:dyDescent="0.3">
      <c r="A687" s="18" t="s">
        <v>1621</v>
      </c>
      <c r="B687" s="19" t="s">
        <v>15</v>
      </c>
      <c r="C687" s="18" t="s">
        <v>1622</v>
      </c>
      <c r="D687" s="18" t="s">
        <v>17</v>
      </c>
      <c r="E687" s="18" t="s">
        <v>18</v>
      </c>
      <c r="F687" s="18" t="s">
        <v>1663</v>
      </c>
      <c r="G687" s="18" t="s">
        <v>47</v>
      </c>
      <c r="H687" s="18" t="s">
        <v>1660</v>
      </c>
      <c r="I687" s="20" t="s">
        <v>1664</v>
      </c>
      <c r="J687" s="18" t="s">
        <v>30</v>
      </c>
      <c r="K687" s="18" t="s">
        <v>24</v>
      </c>
      <c r="L687" s="18" t="s">
        <v>25</v>
      </c>
      <c r="N687" s="18" t="s">
        <v>154</v>
      </c>
    </row>
    <row r="688" spans="1:14" ht="15" customHeight="1" x14ac:dyDescent="0.3">
      <c r="A688" s="18" t="s">
        <v>1621</v>
      </c>
      <c r="B688" s="19" t="s">
        <v>15</v>
      </c>
      <c r="C688" s="18" t="s">
        <v>1622</v>
      </c>
      <c r="D688" s="18" t="s">
        <v>17</v>
      </c>
      <c r="E688" s="18" t="s">
        <v>18</v>
      </c>
      <c r="F688" s="18" t="s">
        <v>537</v>
      </c>
      <c r="G688" s="18" t="s">
        <v>536</v>
      </c>
      <c r="H688" s="18" t="s">
        <v>1665</v>
      </c>
      <c r="I688" s="20" t="s">
        <v>1666</v>
      </c>
      <c r="J688" s="18" t="s">
        <v>30</v>
      </c>
      <c r="K688" s="18" t="s">
        <v>24</v>
      </c>
      <c r="L688" s="18" t="s">
        <v>25</v>
      </c>
      <c r="N688" s="18" t="s">
        <v>154</v>
      </c>
    </row>
    <row r="689" spans="1:14" ht="15" customHeight="1" x14ac:dyDescent="0.3">
      <c r="A689" s="18" t="s">
        <v>1621</v>
      </c>
      <c r="B689" s="19" t="s">
        <v>15</v>
      </c>
      <c r="C689" s="18" t="s">
        <v>1622</v>
      </c>
      <c r="D689" s="18" t="s">
        <v>17</v>
      </c>
      <c r="E689" s="18" t="s">
        <v>55</v>
      </c>
      <c r="F689" s="18" t="s">
        <v>305</v>
      </c>
      <c r="G689" s="18" t="s">
        <v>273</v>
      </c>
      <c r="H689" s="18" t="s">
        <v>1624</v>
      </c>
      <c r="I689" s="20" t="s">
        <v>1667</v>
      </c>
      <c r="J689" s="18" t="s">
        <v>58</v>
      </c>
      <c r="K689" s="18" t="s">
        <v>24</v>
      </c>
      <c r="L689" s="18" t="s">
        <v>25</v>
      </c>
      <c r="N689" s="18" t="s">
        <v>154</v>
      </c>
    </row>
    <row r="690" spans="1:14" ht="15" customHeight="1" x14ac:dyDescent="0.3">
      <c r="A690" s="18" t="s">
        <v>1621</v>
      </c>
      <c r="B690" s="19" t="s">
        <v>15</v>
      </c>
      <c r="C690" s="18" t="s">
        <v>1622</v>
      </c>
      <c r="D690" s="18" t="s">
        <v>17</v>
      </c>
      <c r="E690" s="18" t="s">
        <v>55</v>
      </c>
      <c r="F690" s="18" t="s">
        <v>1668</v>
      </c>
      <c r="G690" s="18" t="s">
        <v>273</v>
      </c>
      <c r="H690" s="18" t="s">
        <v>1624</v>
      </c>
      <c r="I690" s="20" t="s">
        <v>1669</v>
      </c>
      <c r="J690" s="18" t="s">
        <v>58</v>
      </c>
      <c r="K690" s="18" t="s">
        <v>91</v>
      </c>
      <c r="L690" s="18" t="s">
        <v>25</v>
      </c>
      <c r="N690" s="18" t="s">
        <v>154</v>
      </c>
    </row>
    <row r="691" spans="1:14" ht="15" customHeight="1" x14ac:dyDescent="0.3">
      <c r="A691" s="18" t="s">
        <v>1621</v>
      </c>
      <c r="B691" s="19" t="s">
        <v>15</v>
      </c>
      <c r="C691" s="18" t="s">
        <v>1622</v>
      </c>
      <c r="D691" s="18" t="s">
        <v>17</v>
      </c>
      <c r="E691" s="18" t="s">
        <v>55</v>
      </c>
      <c r="F691" s="18" t="s">
        <v>1670</v>
      </c>
      <c r="G691" s="18" t="s">
        <v>273</v>
      </c>
      <c r="H691" s="18" t="s">
        <v>1624</v>
      </c>
      <c r="I691" s="20" t="s">
        <v>1671</v>
      </c>
      <c r="J691" s="18" t="s">
        <v>58</v>
      </c>
      <c r="K691" s="18" t="s">
        <v>24</v>
      </c>
      <c r="L691" s="18" t="s">
        <v>25</v>
      </c>
      <c r="N691" s="18" t="s">
        <v>154</v>
      </c>
    </row>
    <row r="692" spans="1:14" ht="15" customHeight="1" x14ac:dyDescent="0.3">
      <c r="A692" s="18" t="s">
        <v>1621</v>
      </c>
      <c r="B692" s="19" t="s">
        <v>15</v>
      </c>
      <c r="C692" s="18" t="s">
        <v>1622</v>
      </c>
      <c r="D692" s="18" t="s">
        <v>17</v>
      </c>
      <c r="E692" s="18" t="s">
        <v>55</v>
      </c>
      <c r="F692" s="18" t="s">
        <v>278</v>
      </c>
      <c r="G692" s="18" t="s">
        <v>276</v>
      </c>
      <c r="H692" s="18" t="s">
        <v>1624</v>
      </c>
      <c r="I692" s="20" t="s">
        <v>1672</v>
      </c>
      <c r="J692" s="18" t="s">
        <v>58</v>
      </c>
      <c r="K692" s="18" t="s">
        <v>24</v>
      </c>
      <c r="L692" s="18" t="s">
        <v>25</v>
      </c>
      <c r="N692" s="18" t="s">
        <v>154</v>
      </c>
    </row>
    <row r="693" spans="1:14" ht="15" customHeight="1" x14ac:dyDescent="0.3">
      <c r="A693" s="18" t="s">
        <v>1621</v>
      </c>
      <c r="B693" s="19" t="s">
        <v>15</v>
      </c>
      <c r="C693" s="18" t="s">
        <v>1622</v>
      </c>
      <c r="D693" s="18" t="s">
        <v>17</v>
      </c>
      <c r="E693" s="18" t="s">
        <v>55</v>
      </c>
      <c r="F693" s="18" t="s">
        <v>281</v>
      </c>
      <c r="G693" s="18" t="s">
        <v>282</v>
      </c>
      <c r="H693" s="18" t="s">
        <v>1624</v>
      </c>
      <c r="I693" s="20" t="s">
        <v>1673</v>
      </c>
      <c r="J693" s="18" t="s">
        <v>58</v>
      </c>
      <c r="K693" s="18" t="s">
        <v>24</v>
      </c>
      <c r="L693" s="18" t="s">
        <v>25</v>
      </c>
      <c r="N693" s="18" t="s">
        <v>154</v>
      </c>
    </row>
    <row r="694" spans="1:14" ht="15" customHeight="1" x14ac:dyDescent="0.3">
      <c r="A694" s="18" t="s">
        <v>1621</v>
      </c>
      <c r="B694" s="19" t="s">
        <v>15</v>
      </c>
      <c r="C694" s="18" t="s">
        <v>1622</v>
      </c>
      <c r="D694" s="18" t="s">
        <v>17</v>
      </c>
      <c r="E694" s="18" t="s">
        <v>55</v>
      </c>
      <c r="F694" s="18" t="s">
        <v>40</v>
      </c>
      <c r="G694" s="18" t="s">
        <v>41</v>
      </c>
      <c r="H694" s="18" t="s">
        <v>1630</v>
      </c>
      <c r="I694" s="20" t="s">
        <v>1674</v>
      </c>
      <c r="J694" s="18" t="s">
        <v>58</v>
      </c>
      <c r="K694" s="18" t="s">
        <v>24</v>
      </c>
      <c r="L694" s="18" t="s">
        <v>25</v>
      </c>
      <c r="N694" s="18" t="s">
        <v>154</v>
      </c>
    </row>
    <row r="695" spans="1:14" ht="15" customHeight="1" x14ac:dyDescent="0.3">
      <c r="A695" s="18" t="s">
        <v>1621</v>
      </c>
      <c r="B695" s="19" t="s">
        <v>15</v>
      </c>
      <c r="C695" s="18" t="s">
        <v>1622</v>
      </c>
      <c r="D695" s="18" t="s">
        <v>17</v>
      </c>
      <c r="E695" s="18" t="s">
        <v>55</v>
      </c>
      <c r="F695" s="18" t="s">
        <v>1675</v>
      </c>
      <c r="G695" s="18" t="s">
        <v>41</v>
      </c>
      <c r="H695" s="18" t="s">
        <v>1676</v>
      </c>
      <c r="I695" s="20" t="s">
        <v>1677</v>
      </c>
      <c r="J695" s="18" t="s">
        <v>58</v>
      </c>
      <c r="K695" s="18" t="s">
        <v>91</v>
      </c>
      <c r="L695" s="18" t="s">
        <v>25</v>
      </c>
      <c r="N695" s="18" t="s">
        <v>154</v>
      </c>
    </row>
    <row r="696" spans="1:14" ht="15" customHeight="1" x14ac:dyDescent="0.3">
      <c r="A696" s="18" t="s">
        <v>1621</v>
      </c>
      <c r="B696" s="19" t="s">
        <v>15</v>
      </c>
      <c r="C696" s="18" t="s">
        <v>1622</v>
      </c>
      <c r="D696" s="18" t="s">
        <v>17</v>
      </c>
      <c r="E696" s="18" t="s">
        <v>55</v>
      </c>
      <c r="F696" s="18" t="s">
        <v>1678</v>
      </c>
      <c r="G696" s="18" t="s">
        <v>273</v>
      </c>
      <c r="H696" s="18" t="s">
        <v>1624</v>
      </c>
      <c r="I696" s="20" t="s">
        <v>1679</v>
      </c>
      <c r="J696" s="18" t="s">
        <v>58</v>
      </c>
      <c r="K696" s="18" t="s">
        <v>24</v>
      </c>
      <c r="L696" s="18" t="s">
        <v>25</v>
      </c>
      <c r="N696" s="18" t="s">
        <v>154</v>
      </c>
    </row>
    <row r="697" spans="1:14" ht="15" customHeight="1" x14ac:dyDescent="0.3">
      <c r="A697" s="18" t="s">
        <v>1621</v>
      </c>
      <c r="B697" s="19" t="s">
        <v>15</v>
      </c>
      <c r="C697" s="18" t="s">
        <v>1622</v>
      </c>
      <c r="D697" s="18" t="s">
        <v>17</v>
      </c>
      <c r="E697" s="18" t="s">
        <v>55</v>
      </c>
      <c r="F697" s="18" t="s">
        <v>1680</v>
      </c>
      <c r="G697" s="18" t="s">
        <v>47</v>
      </c>
      <c r="H697" s="18" t="s">
        <v>1681</v>
      </c>
      <c r="I697" s="20" t="s">
        <v>1682</v>
      </c>
      <c r="J697" s="18" t="s">
        <v>58</v>
      </c>
      <c r="K697" s="18" t="s">
        <v>91</v>
      </c>
      <c r="L697" s="18" t="s">
        <v>25</v>
      </c>
      <c r="N697" s="18" t="s">
        <v>154</v>
      </c>
    </row>
    <row r="698" spans="1:14" ht="15" customHeight="1" x14ac:dyDescent="0.3">
      <c r="A698" s="18" t="s">
        <v>1621</v>
      </c>
      <c r="B698" s="19" t="s">
        <v>15</v>
      </c>
      <c r="C698" s="18" t="s">
        <v>1622</v>
      </c>
      <c r="D698" s="18" t="s">
        <v>17</v>
      </c>
      <c r="E698" s="18" t="s">
        <v>55</v>
      </c>
      <c r="F698" s="18" t="s">
        <v>1683</v>
      </c>
      <c r="G698" s="18" t="s">
        <v>1019</v>
      </c>
      <c r="H698" s="18" t="s">
        <v>1624</v>
      </c>
      <c r="I698" s="20" t="s">
        <v>1684</v>
      </c>
      <c r="J698" s="18" t="s">
        <v>58</v>
      </c>
      <c r="K698" s="18" t="s">
        <v>24</v>
      </c>
      <c r="L698" s="18" t="s">
        <v>25</v>
      </c>
      <c r="N698" s="18" t="s">
        <v>154</v>
      </c>
    </row>
    <row r="699" spans="1:14" ht="15" customHeight="1" x14ac:dyDescent="0.3">
      <c r="A699" s="18" t="s">
        <v>1621</v>
      </c>
      <c r="B699" s="19" t="s">
        <v>15</v>
      </c>
      <c r="C699" s="18" t="s">
        <v>1622</v>
      </c>
      <c r="D699" s="18" t="s">
        <v>17</v>
      </c>
      <c r="E699" s="18" t="s">
        <v>55</v>
      </c>
      <c r="F699" s="18" t="s">
        <v>1685</v>
      </c>
      <c r="G699" s="18" t="s">
        <v>536</v>
      </c>
      <c r="H699" s="18" t="s">
        <v>1686</v>
      </c>
      <c r="I699" s="20" t="s">
        <v>1687</v>
      </c>
      <c r="J699" s="18" t="s">
        <v>58</v>
      </c>
      <c r="K699" s="18" t="s">
        <v>24</v>
      </c>
      <c r="L699" s="18" t="s">
        <v>25</v>
      </c>
      <c r="N699" s="18" t="s">
        <v>154</v>
      </c>
    </row>
    <row r="700" spans="1:14" ht="15" customHeight="1" x14ac:dyDescent="0.3">
      <c r="A700" s="18" t="s">
        <v>1621</v>
      </c>
      <c r="B700" s="19" t="s">
        <v>15</v>
      </c>
      <c r="C700" s="18" t="s">
        <v>1622</v>
      </c>
      <c r="D700" s="18" t="s">
        <v>17</v>
      </c>
      <c r="E700" s="18" t="s">
        <v>74</v>
      </c>
      <c r="F700" s="18" t="s">
        <v>1688</v>
      </c>
      <c r="G700" s="18" t="s">
        <v>88</v>
      </c>
      <c r="H700" s="18" t="s">
        <v>1689</v>
      </c>
      <c r="I700" s="20" t="s">
        <v>1690</v>
      </c>
      <c r="J700" s="18" t="s">
        <v>1691</v>
      </c>
      <c r="K700" s="18" t="s">
        <v>91</v>
      </c>
      <c r="L700" s="18" t="s">
        <v>25</v>
      </c>
      <c r="N700" s="18" t="s">
        <v>154</v>
      </c>
    </row>
    <row r="701" spans="1:14" ht="15" customHeight="1" x14ac:dyDescent="0.3">
      <c r="A701" s="18" t="s">
        <v>1621</v>
      </c>
      <c r="B701" s="19" t="s">
        <v>15</v>
      </c>
      <c r="C701" s="18" t="s">
        <v>1622</v>
      </c>
      <c r="D701" s="18" t="s">
        <v>17</v>
      </c>
      <c r="E701" s="18" t="s">
        <v>74</v>
      </c>
      <c r="F701" s="18" t="s">
        <v>1692</v>
      </c>
      <c r="G701" s="18" t="s">
        <v>536</v>
      </c>
      <c r="H701" s="18" t="s">
        <v>1689</v>
      </c>
      <c r="I701" s="20" t="s">
        <v>1693</v>
      </c>
      <c r="J701" s="18" t="s">
        <v>394</v>
      </c>
      <c r="K701" s="18" t="s">
        <v>91</v>
      </c>
      <c r="L701" s="18" t="s">
        <v>25</v>
      </c>
      <c r="N701" s="18" t="s">
        <v>154</v>
      </c>
    </row>
    <row r="702" spans="1:14" ht="15" customHeight="1" x14ac:dyDescent="0.3">
      <c r="A702" s="18" t="s">
        <v>1621</v>
      </c>
      <c r="B702" s="19" t="s">
        <v>15</v>
      </c>
      <c r="C702" s="18" t="s">
        <v>1622</v>
      </c>
      <c r="D702" s="18" t="s">
        <v>17</v>
      </c>
      <c r="E702" s="18" t="s">
        <v>74</v>
      </c>
      <c r="F702" s="18" t="s">
        <v>1694</v>
      </c>
      <c r="G702" s="18" t="s">
        <v>47</v>
      </c>
      <c r="H702" s="18" t="s">
        <v>1689</v>
      </c>
      <c r="I702" s="20" t="s">
        <v>1695</v>
      </c>
      <c r="J702" s="18" t="s">
        <v>1696</v>
      </c>
      <c r="K702" s="18" t="s">
        <v>91</v>
      </c>
      <c r="L702" s="18" t="s">
        <v>25</v>
      </c>
      <c r="N702" s="18" t="s">
        <v>154</v>
      </c>
    </row>
    <row r="703" spans="1:14" ht="15" customHeight="1" x14ac:dyDescent="0.3">
      <c r="A703" s="18" t="s">
        <v>1621</v>
      </c>
      <c r="B703" s="19" t="s">
        <v>15</v>
      </c>
      <c r="C703" s="18" t="s">
        <v>1622</v>
      </c>
      <c r="D703" s="18" t="s">
        <v>17</v>
      </c>
      <c r="E703" s="18" t="s">
        <v>74</v>
      </c>
      <c r="F703" s="18" t="s">
        <v>1697</v>
      </c>
      <c r="G703" s="18" t="s">
        <v>47</v>
      </c>
      <c r="H703" s="18" t="s">
        <v>1689</v>
      </c>
      <c r="I703" s="20" t="s">
        <v>1698</v>
      </c>
      <c r="J703" s="18" t="s">
        <v>394</v>
      </c>
      <c r="K703" s="18" t="s">
        <v>91</v>
      </c>
      <c r="L703" s="18" t="s">
        <v>25</v>
      </c>
      <c r="N703" s="18" t="s">
        <v>154</v>
      </c>
    </row>
    <row r="704" spans="1:14" ht="15" customHeight="1" x14ac:dyDescent="0.3">
      <c r="A704" s="18" t="s">
        <v>1699</v>
      </c>
      <c r="B704" s="19" t="s">
        <v>15</v>
      </c>
      <c r="C704" s="18" t="s">
        <v>1700</v>
      </c>
      <c r="D704" s="18" t="s">
        <v>116</v>
      </c>
      <c r="E704" s="18" t="s">
        <v>117</v>
      </c>
      <c r="F704" s="18" t="s">
        <v>1623</v>
      </c>
      <c r="G704" s="18" t="s">
        <v>1295</v>
      </c>
      <c r="H704" s="18" t="s">
        <v>1701</v>
      </c>
      <c r="I704" s="20" t="s">
        <v>1702</v>
      </c>
      <c r="J704" s="18" t="s">
        <v>58</v>
      </c>
      <c r="K704" s="18" t="s">
        <v>24</v>
      </c>
      <c r="L704" s="18" t="s">
        <v>25</v>
      </c>
      <c r="N704" s="18" t="s">
        <v>807</v>
      </c>
    </row>
    <row r="705" spans="1:14" ht="15" customHeight="1" x14ac:dyDescent="0.3">
      <c r="A705" s="18" t="s">
        <v>1699</v>
      </c>
      <c r="B705" s="19" t="s">
        <v>15</v>
      </c>
      <c r="C705" s="18" t="s">
        <v>1700</v>
      </c>
      <c r="D705" s="18" t="s">
        <v>116</v>
      </c>
      <c r="E705" s="18" t="s">
        <v>117</v>
      </c>
      <c r="F705" s="18" t="s">
        <v>1703</v>
      </c>
      <c r="G705" s="18" t="s">
        <v>1704</v>
      </c>
      <c r="H705" s="18" t="s">
        <v>1705</v>
      </c>
      <c r="I705" s="20" t="s">
        <v>1706</v>
      </c>
      <c r="J705" s="18" t="s">
        <v>58</v>
      </c>
      <c r="K705" s="18" t="s">
        <v>24</v>
      </c>
      <c r="L705" s="18" t="s">
        <v>25</v>
      </c>
      <c r="N705" s="18" t="s">
        <v>807</v>
      </c>
    </row>
    <row r="706" spans="1:14" ht="15" customHeight="1" x14ac:dyDescent="0.3">
      <c r="A706" s="18" t="s">
        <v>1699</v>
      </c>
      <c r="B706" s="19" t="s">
        <v>15</v>
      </c>
      <c r="C706" s="18" t="s">
        <v>1700</v>
      </c>
      <c r="D706" s="18" t="s">
        <v>116</v>
      </c>
      <c r="E706" s="18" t="s">
        <v>117</v>
      </c>
      <c r="F706" s="18" t="s">
        <v>970</v>
      </c>
      <c r="G706" s="18" t="s">
        <v>913</v>
      </c>
      <c r="H706" s="18" t="s">
        <v>1707</v>
      </c>
      <c r="I706" s="20" t="s">
        <v>1708</v>
      </c>
      <c r="J706" s="18" t="s">
        <v>58</v>
      </c>
      <c r="K706" s="18" t="s">
        <v>24</v>
      </c>
      <c r="L706" s="18" t="s">
        <v>25</v>
      </c>
      <c r="N706" s="18" t="s">
        <v>807</v>
      </c>
    </row>
    <row r="707" spans="1:14" ht="15" customHeight="1" x14ac:dyDescent="0.3">
      <c r="A707" s="18" t="s">
        <v>1699</v>
      </c>
      <c r="B707" s="19" t="s">
        <v>15</v>
      </c>
      <c r="C707" s="18" t="s">
        <v>1709</v>
      </c>
      <c r="D707" s="18" t="s">
        <v>116</v>
      </c>
      <c r="E707" s="18" t="s">
        <v>117</v>
      </c>
      <c r="F707" s="18" t="s">
        <v>1710</v>
      </c>
      <c r="G707" s="18" t="s">
        <v>536</v>
      </c>
      <c r="H707" s="18" t="s">
        <v>1711</v>
      </c>
      <c r="I707" s="20" t="s">
        <v>1712</v>
      </c>
      <c r="J707" s="18" t="s">
        <v>58</v>
      </c>
      <c r="K707" s="18" t="s">
        <v>24</v>
      </c>
      <c r="L707" s="18" t="s">
        <v>25</v>
      </c>
      <c r="N707" s="18" t="s">
        <v>973</v>
      </c>
    </row>
    <row r="708" spans="1:14" ht="15" customHeight="1" x14ac:dyDescent="0.3">
      <c r="A708" s="18" t="s">
        <v>1699</v>
      </c>
      <c r="B708" s="19" t="s">
        <v>15</v>
      </c>
      <c r="C708" s="18" t="s">
        <v>1700</v>
      </c>
      <c r="D708" s="18" t="s">
        <v>116</v>
      </c>
      <c r="E708" s="18" t="s">
        <v>117</v>
      </c>
      <c r="F708" s="18" t="s">
        <v>1713</v>
      </c>
      <c r="G708" s="18" t="s">
        <v>88</v>
      </c>
      <c r="H708" s="18" t="s">
        <v>1714</v>
      </c>
      <c r="I708" s="20" t="s">
        <v>1715</v>
      </c>
      <c r="J708" s="18" t="s">
        <v>58</v>
      </c>
      <c r="K708" s="18" t="s">
        <v>24</v>
      </c>
      <c r="L708" s="18" t="s">
        <v>25</v>
      </c>
      <c r="N708" s="18" t="s">
        <v>807</v>
      </c>
    </row>
    <row r="709" spans="1:14" ht="15" customHeight="1" x14ac:dyDescent="0.3">
      <c r="A709" s="18" t="s">
        <v>1699</v>
      </c>
      <c r="B709" s="19" t="s">
        <v>15</v>
      </c>
      <c r="C709" s="18" t="s">
        <v>1700</v>
      </c>
      <c r="D709" s="18" t="s">
        <v>116</v>
      </c>
      <c r="E709" s="18" t="s">
        <v>117</v>
      </c>
      <c r="F709" s="18" t="s">
        <v>765</v>
      </c>
      <c r="G709" s="18" t="s">
        <v>429</v>
      </c>
      <c r="H709" s="18" t="s">
        <v>1714</v>
      </c>
      <c r="I709" s="20" t="s">
        <v>1716</v>
      </c>
      <c r="J709" s="18" t="s">
        <v>58</v>
      </c>
      <c r="K709" s="18" t="s">
        <v>24</v>
      </c>
      <c r="L709" s="18" t="s">
        <v>25</v>
      </c>
      <c r="N709" s="18" t="s">
        <v>807</v>
      </c>
    </row>
    <row r="710" spans="1:14" ht="15" customHeight="1" x14ac:dyDescent="0.3">
      <c r="A710" s="18" t="s">
        <v>1699</v>
      </c>
      <c r="B710" s="19" t="s">
        <v>15</v>
      </c>
      <c r="C710" s="18" t="s">
        <v>1700</v>
      </c>
      <c r="D710" s="18" t="s">
        <v>116</v>
      </c>
      <c r="E710" s="18" t="s">
        <v>117</v>
      </c>
      <c r="F710" s="18" t="s">
        <v>1717</v>
      </c>
      <c r="G710" s="18" t="s">
        <v>1075</v>
      </c>
      <c r="H710" s="18" t="s">
        <v>1714</v>
      </c>
      <c r="I710" s="20" t="s">
        <v>1718</v>
      </c>
      <c r="J710" s="18" t="s">
        <v>58</v>
      </c>
      <c r="K710" s="18" t="s">
        <v>24</v>
      </c>
      <c r="L710" s="18" t="s">
        <v>25</v>
      </c>
      <c r="N710" s="18" t="s">
        <v>807</v>
      </c>
    </row>
    <row r="711" spans="1:14" ht="15" customHeight="1" x14ac:dyDescent="0.3">
      <c r="A711" s="18" t="s">
        <v>1699</v>
      </c>
      <c r="B711" s="19" t="s">
        <v>15</v>
      </c>
      <c r="C711" s="18" t="s">
        <v>1700</v>
      </c>
      <c r="D711" s="18" t="s">
        <v>116</v>
      </c>
      <c r="E711" s="18" t="s">
        <v>117</v>
      </c>
      <c r="F711" s="18" t="s">
        <v>1719</v>
      </c>
      <c r="G711" s="18" t="s">
        <v>212</v>
      </c>
      <c r="H711" s="18" t="s">
        <v>1714</v>
      </c>
      <c r="I711" s="20" t="s">
        <v>1720</v>
      </c>
      <c r="J711" s="18" t="s">
        <v>58</v>
      </c>
      <c r="K711" s="18" t="s">
        <v>24</v>
      </c>
      <c r="L711" s="18" t="s">
        <v>25</v>
      </c>
      <c r="N711" s="18" t="s">
        <v>807</v>
      </c>
    </row>
    <row r="712" spans="1:14" ht="15" customHeight="1" x14ac:dyDescent="0.3">
      <c r="A712" s="18" t="s">
        <v>1699</v>
      </c>
      <c r="B712" s="19" t="s">
        <v>15</v>
      </c>
      <c r="C712" s="18" t="s">
        <v>1700</v>
      </c>
      <c r="D712" s="18" t="s">
        <v>116</v>
      </c>
      <c r="E712" s="18" t="s">
        <v>117</v>
      </c>
      <c r="F712" s="18" t="s">
        <v>1466</v>
      </c>
      <c r="G712" s="18" t="s">
        <v>47</v>
      </c>
      <c r="H712" s="18" t="s">
        <v>1714</v>
      </c>
      <c r="I712" s="20" t="s">
        <v>1721</v>
      </c>
      <c r="J712" s="18" t="s">
        <v>58</v>
      </c>
      <c r="K712" s="18" t="s">
        <v>24</v>
      </c>
      <c r="L712" s="18" t="s">
        <v>25</v>
      </c>
      <c r="N712" s="18" t="s">
        <v>807</v>
      </c>
    </row>
    <row r="713" spans="1:14" ht="15" customHeight="1" x14ac:dyDescent="0.3">
      <c r="A713" s="18" t="s">
        <v>1699</v>
      </c>
      <c r="B713" s="19" t="s">
        <v>15</v>
      </c>
      <c r="C713" s="18" t="s">
        <v>1700</v>
      </c>
      <c r="D713" s="18" t="s">
        <v>116</v>
      </c>
      <c r="E713" s="18" t="s">
        <v>117</v>
      </c>
      <c r="F713" s="18" t="s">
        <v>349</v>
      </c>
      <c r="G713" s="18" t="s">
        <v>160</v>
      </c>
      <c r="H713" s="18" t="s">
        <v>1722</v>
      </c>
      <c r="I713" s="20" t="s">
        <v>1723</v>
      </c>
      <c r="J713" s="18" t="s">
        <v>58</v>
      </c>
      <c r="K713" s="18" t="s">
        <v>24</v>
      </c>
      <c r="L713" s="18" t="s">
        <v>25</v>
      </c>
      <c r="N713" s="18" t="s">
        <v>807</v>
      </c>
    </row>
    <row r="714" spans="1:14" ht="15" customHeight="1" x14ac:dyDescent="0.3">
      <c r="A714" s="18" t="s">
        <v>1699</v>
      </c>
      <c r="B714" s="19" t="s">
        <v>15</v>
      </c>
      <c r="C714" s="18" t="s">
        <v>1700</v>
      </c>
      <c r="D714" s="18" t="s">
        <v>116</v>
      </c>
      <c r="E714" s="18" t="s">
        <v>117</v>
      </c>
      <c r="F714" s="18" t="s">
        <v>1724</v>
      </c>
      <c r="G714" s="18" t="s">
        <v>207</v>
      </c>
      <c r="H714" s="18" t="s">
        <v>1722</v>
      </c>
      <c r="I714" s="20" t="s">
        <v>1725</v>
      </c>
      <c r="J714" s="18" t="s">
        <v>58</v>
      </c>
      <c r="K714" s="18" t="s">
        <v>24</v>
      </c>
      <c r="L714" s="18" t="s">
        <v>25</v>
      </c>
      <c r="N714" s="18" t="s">
        <v>807</v>
      </c>
    </row>
    <row r="715" spans="1:14" ht="15" customHeight="1" x14ac:dyDescent="0.3">
      <c r="A715" s="18" t="s">
        <v>1699</v>
      </c>
      <c r="B715" s="19" t="s">
        <v>15</v>
      </c>
      <c r="C715" s="18" t="s">
        <v>1700</v>
      </c>
      <c r="D715" s="18" t="s">
        <v>116</v>
      </c>
      <c r="E715" s="18" t="s">
        <v>117</v>
      </c>
      <c r="F715" s="18" t="s">
        <v>1726</v>
      </c>
      <c r="G715" s="18" t="s">
        <v>212</v>
      </c>
      <c r="H715" s="18" t="s">
        <v>1714</v>
      </c>
      <c r="I715" s="20" t="s">
        <v>1727</v>
      </c>
      <c r="J715" s="18" t="s">
        <v>58</v>
      </c>
      <c r="K715" s="18" t="s">
        <v>24</v>
      </c>
      <c r="L715" s="18" t="s">
        <v>25</v>
      </c>
      <c r="N715" s="18" t="s">
        <v>807</v>
      </c>
    </row>
    <row r="716" spans="1:14" ht="15" customHeight="1" x14ac:dyDescent="0.3">
      <c r="A716" s="18" t="s">
        <v>1699</v>
      </c>
      <c r="B716" s="19" t="s">
        <v>15</v>
      </c>
      <c r="C716" s="18" t="s">
        <v>1700</v>
      </c>
      <c r="D716" s="18" t="s">
        <v>116</v>
      </c>
      <c r="E716" s="18" t="s">
        <v>117</v>
      </c>
      <c r="F716" s="18" t="s">
        <v>85</v>
      </c>
      <c r="G716" s="18" t="s">
        <v>85</v>
      </c>
      <c r="H716" s="18" t="s">
        <v>1714</v>
      </c>
      <c r="I716" s="20" t="s">
        <v>1728</v>
      </c>
      <c r="J716" s="18" t="s">
        <v>58</v>
      </c>
      <c r="K716" s="18" t="s">
        <v>24</v>
      </c>
      <c r="L716" s="18" t="s">
        <v>25</v>
      </c>
      <c r="N716" s="18" t="s">
        <v>807</v>
      </c>
    </row>
    <row r="717" spans="1:14" ht="15" customHeight="1" x14ac:dyDescent="0.3">
      <c r="A717" s="18" t="s">
        <v>1699</v>
      </c>
      <c r="B717" s="19" t="s">
        <v>15</v>
      </c>
      <c r="C717" s="18" t="s">
        <v>1709</v>
      </c>
      <c r="D717" s="18" t="s">
        <v>116</v>
      </c>
      <c r="E717" s="18" t="s">
        <v>117</v>
      </c>
      <c r="F717" s="18" t="s">
        <v>1633</v>
      </c>
      <c r="G717" s="18" t="s">
        <v>1634</v>
      </c>
      <c r="H717" s="18" t="s">
        <v>1729</v>
      </c>
      <c r="I717" s="20" t="s">
        <v>1730</v>
      </c>
      <c r="J717" s="18" t="s">
        <v>58</v>
      </c>
      <c r="K717" s="18" t="s">
        <v>24</v>
      </c>
      <c r="L717" s="18" t="s">
        <v>25</v>
      </c>
      <c r="N717" s="18" t="s">
        <v>973</v>
      </c>
    </row>
    <row r="718" spans="1:14" ht="15" customHeight="1" x14ac:dyDescent="0.3">
      <c r="A718" s="18" t="s">
        <v>1699</v>
      </c>
      <c r="B718" s="19" t="s">
        <v>15</v>
      </c>
      <c r="C718" s="18" t="s">
        <v>1700</v>
      </c>
      <c r="D718" s="18" t="s">
        <v>116</v>
      </c>
      <c r="E718" s="18" t="s">
        <v>117</v>
      </c>
      <c r="F718" s="18" t="s">
        <v>1731</v>
      </c>
      <c r="G718" s="18" t="s">
        <v>47</v>
      </c>
      <c r="H718" s="18" t="s">
        <v>1714</v>
      </c>
      <c r="I718" s="20" t="s">
        <v>1732</v>
      </c>
      <c r="J718" s="18" t="s">
        <v>58</v>
      </c>
      <c r="K718" s="18" t="s">
        <v>24</v>
      </c>
      <c r="L718" s="18" t="s">
        <v>25</v>
      </c>
      <c r="N718" s="18" t="s">
        <v>807</v>
      </c>
    </row>
    <row r="719" spans="1:14" ht="15" customHeight="1" x14ac:dyDescent="0.3">
      <c r="A719" s="18" t="s">
        <v>1699</v>
      </c>
      <c r="B719" s="19" t="s">
        <v>15</v>
      </c>
      <c r="C719" s="18" t="s">
        <v>1700</v>
      </c>
      <c r="D719" s="18" t="s">
        <v>116</v>
      </c>
      <c r="E719" s="18" t="s">
        <v>117</v>
      </c>
      <c r="F719" s="18" t="s">
        <v>1733</v>
      </c>
      <c r="G719" s="18" t="s">
        <v>28</v>
      </c>
      <c r="H719" s="18" t="s">
        <v>1714</v>
      </c>
      <c r="I719" s="20" t="s">
        <v>1734</v>
      </c>
      <c r="J719" s="18" t="s">
        <v>58</v>
      </c>
      <c r="K719" s="18" t="s">
        <v>24</v>
      </c>
      <c r="L719" s="18" t="s">
        <v>25</v>
      </c>
      <c r="N719" s="18" t="s">
        <v>807</v>
      </c>
    </row>
    <row r="720" spans="1:14" ht="15" customHeight="1" x14ac:dyDescent="0.3">
      <c r="A720" s="18" t="s">
        <v>1699</v>
      </c>
      <c r="B720" s="19" t="s">
        <v>15</v>
      </c>
      <c r="C720" s="18" t="s">
        <v>1700</v>
      </c>
      <c r="D720" s="18" t="s">
        <v>116</v>
      </c>
      <c r="E720" s="18" t="s">
        <v>117</v>
      </c>
      <c r="F720" s="18" t="s">
        <v>1735</v>
      </c>
      <c r="G720" s="18" t="s">
        <v>1019</v>
      </c>
      <c r="H720" s="18" t="s">
        <v>1722</v>
      </c>
      <c r="I720" s="20" t="s">
        <v>1736</v>
      </c>
      <c r="J720" s="18" t="s">
        <v>58</v>
      </c>
      <c r="K720" s="18" t="s">
        <v>24</v>
      </c>
      <c r="L720" s="18" t="s">
        <v>25</v>
      </c>
      <c r="N720" s="18" t="s">
        <v>807</v>
      </c>
    </row>
    <row r="721" spans="1:14" ht="15" customHeight="1" x14ac:dyDescent="0.3">
      <c r="A721" s="18" t="s">
        <v>1699</v>
      </c>
      <c r="B721" s="19" t="s">
        <v>15</v>
      </c>
      <c r="C721" s="18" t="s">
        <v>1700</v>
      </c>
      <c r="D721" s="18" t="s">
        <v>116</v>
      </c>
      <c r="E721" s="18" t="s">
        <v>117</v>
      </c>
      <c r="F721" s="18" t="s">
        <v>1737</v>
      </c>
      <c r="G721" s="18" t="s">
        <v>273</v>
      </c>
      <c r="H721" s="18" t="s">
        <v>1722</v>
      </c>
      <c r="I721" s="20" t="s">
        <v>1738</v>
      </c>
      <c r="J721" s="18" t="s">
        <v>58</v>
      </c>
      <c r="K721" s="18" t="s">
        <v>24</v>
      </c>
      <c r="L721" s="18" t="s">
        <v>25</v>
      </c>
      <c r="N721" s="18" t="s">
        <v>807</v>
      </c>
    </row>
    <row r="722" spans="1:14" ht="15" customHeight="1" x14ac:dyDescent="0.3">
      <c r="A722" s="18" t="s">
        <v>1699</v>
      </c>
      <c r="B722" s="19" t="s">
        <v>15</v>
      </c>
      <c r="C722" s="18" t="s">
        <v>1700</v>
      </c>
      <c r="D722" s="18" t="s">
        <v>116</v>
      </c>
      <c r="E722" s="18" t="s">
        <v>117</v>
      </c>
      <c r="F722" s="18" t="s">
        <v>1739</v>
      </c>
      <c r="G722" s="18" t="s">
        <v>273</v>
      </c>
      <c r="H722" s="18" t="s">
        <v>1722</v>
      </c>
      <c r="I722" s="20" t="s">
        <v>1740</v>
      </c>
      <c r="J722" s="18" t="s">
        <v>58</v>
      </c>
      <c r="K722" s="18" t="s">
        <v>24</v>
      </c>
      <c r="L722" s="18" t="s">
        <v>25</v>
      </c>
      <c r="N722" s="18" t="s">
        <v>807</v>
      </c>
    </row>
    <row r="723" spans="1:14" ht="15" customHeight="1" x14ac:dyDescent="0.3">
      <c r="A723" s="18" t="s">
        <v>1699</v>
      </c>
      <c r="B723" s="19" t="s">
        <v>15</v>
      </c>
      <c r="C723" s="18" t="s">
        <v>1700</v>
      </c>
      <c r="D723" s="18" t="s">
        <v>116</v>
      </c>
      <c r="E723" s="18" t="s">
        <v>117</v>
      </c>
      <c r="F723" s="18" t="s">
        <v>1741</v>
      </c>
      <c r="G723" s="18" t="s">
        <v>1204</v>
      </c>
      <c r="H723" s="18" t="s">
        <v>1714</v>
      </c>
      <c r="I723" s="20" t="s">
        <v>1742</v>
      </c>
      <c r="J723" s="18" t="s">
        <v>58</v>
      </c>
      <c r="K723" s="18" t="s">
        <v>24</v>
      </c>
      <c r="L723" s="18" t="s">
        <v>25</v>
      </c>
      <c r="N723" s="18" t="s">
        <v>807</v>
      </c>
    </row>
    <row r="724" spans="1:14" ht="15" customHeight="1" x14ac:dyDescent="0.3">
      <c r="A724" s="18" t="s">
        <v>1699</v>
      </c>
      <c r="B724" s="19" t="s">
        <v>15</v>
      </c>
      <c r="C724" s="18" t="s">
        <v>1709</v>
      </c>
      <c r="D724" s="18" t="s">
        <v>116</v>
      </c>
      <c r="E724" s="18" t="s">
        <v>117</v>
      </c>
      <c r="F724" s="18" t="s">
        <v>1743</v>
      </c>
      <c r="G724" s="18" t="s">
        <v>1634</v>
      </c>
      <c r="H724" s="18" t="s">
        <v>1744</v>
      </c>
      <c r="I724" s="20" t="s">
        <v>1745</v>
      </c>
      <c r="J724" s="18" t="s">
        <v>58</v>
      </c>
      <c r="K724" s="18" t="s">
        <v>24</v>
      </c>
      <c r="L724" s="18" t="s">
        <v>25</v>
      </c>
      <c r="N724" s="18" t="s">
        <v>973</v>
      </c>
    </row>
    <row r="725" spans="1:14" ht="15" customHeight="1" x14ac:dyDescent="0.3">
      <c r="A725" s="18" t="s">
        <v>1699</v>
      </c>
      <c r="B725" s="19" t="s">
        <v>15</v>
      </c>
      <c r="C725" s="18" t="s">
        <v>1700</v>
      </c>
      <c r="D725" s="18" t="s">
        <v>116</v>
      </c>
      <c r="E725" s="18" t="s">
        <v>117</v>
      </c>
      <c r="F725" s="18" t="s">
        <v>572</v>
      </c>
      <c r="G725" s="18" t="s">
        <v>263</v>
      </c>
      <c r="H725" s="18" t="s">
        <v>1722</v>
      </c>
      <c r="I725" s="20" t="s">
        <v>1746</v>
      </c>
      <c r="J725" s="18" t="s">
        <v>58</v>
      </c>
      <c r="K725" s="18" t="s">
        <v>24</v>
      </c>
      <c r="L725" s="18" t="s">
        <v>25</v>
      </c>
      <c r="N725" s="18" t="s">
        <v>807</v>
      </c>
    </row>
    <row r="726" spans="1:14" ht="15" customHeight="1" x14ac:dyDescent="0.3">
      <c r="A726" s="18" t="s">
        <v>1699</v>
      </c>
      <c r="B726" s="19" t="s">
        <v>15</v>
      </c>
      <c r="C726" s="18" t="s">
        <v>1700</v>
      </c>
      <c r="D726" s="18" t="s">
        <v>116</v>
      </c>
      <c r="E726" s="18" t="s">
        <v>117</v>
      </c>
      <c r="F726" s="18" t="s">
        <v>1747</v>
      </c>
      <c r="G726" s="18" t="s">
        <v>41</v>
      </c>
      <c r="H726" s="18" t="s">
        <v>1714</v>
      </c>
      <c r="I726" s="20" t="s">
        <v>1748</v>
      </c>
      <c r="J726" s="18" t="s">
        <v>58</v>
      </c>
      <c r="K726" s="18" t="s">
        <v>24</v>
      </c>
      <c r="L726" s="18" t="s">
        <v>25</v>
      </c>
      <c r="N726" s="18" t="s">
        <v>807</v>
      </c>
    </row>
    <row r="727" spans="1:14" ht="15" customHeight="1" x14ac:dyDescent="0.3">
      <c r="A727" s="18" t="s">
        <v>1699</v>
      </c>
      <c r="B727" s="19" t="s">
        <v>15</v>
      </c>
      <c r="C727" s="18" t="s">
        <v>1709</v>
      </c>
      <c r="D727" s="18" t="s">
        <v>116</v>
      </c>
      <c r="E727" s="18" t="s">
        <v>117</v>
      </c>
      <c r="F727" s="18" t="s">
        <v>1749</v>
      </c>
      <c r="G727" s="18" t="s">
        <v>536</v>
      </c>
      <c r="H727" s="18" t="s">
        <v>1750</v>
      </c>
      <c r="I727" s="20" t="s">
        <v>1751</v>
      </c>
      <c r="J727" s="18" t="s">
        <v>58</v>
      </c>
      <c r="K727" s="18" t="s">
        <v>24</v>
      </c>
      <c r="L727" s="18" t="s">
        <v>25</v>
      </c>
      <c r="N727" s="18" t="s">
        <v>973</v>
      </c>
    </row>
    <row r="728" spans="1:14" ht="15" customHeight="1" x14ac:dyDescent="0.3">
      <c r="A728" s="18" t="s">
        <v>1699</v>
      </c>
      <c r="B728" s="19" t="s">
        <v>15</v>
      </c>
      <c r="C728" s="18" t="s">
        <v>1700</v>
      </c>
      <c r="D728" s="18" t="s">
        <v>116</v>
      </c>
      <c r="E728" s="18" t="s">
        <v>117</v>
      </c>
      <c r="F728" s="18" t="s">
        <v>1752</v>
      </c>
      <c r="G728" s="18" t="s">
        <v>1753</v>
      </c>
      <c r="H728" s="18" t="s">
        <v>1714</v>
      </c>
      <c r="I728" s="20" t="s">
        <v>1754</v>
      </c>
      <c r="J728" s="18" t="s">
        <v>58</v>
      </c>
      <c r="K728" s="18" t="s">
        <v>24</v>
      </c>
      <c r="L728" s="18" t="s">
        <v>25</v>
      </c>
      <c r="N728" s="18" t="s">
        <v>807</v>
      </c>
    </row>
    <row r="729" spans="1:14" ht="15" customHeight="1" x14ac:dyDescent="0.3">
      <c r="A729" s="18" t="s">
        <v>1699</v>
      </c>
      <c r="B729" s="19" t="s">
        <v>15</v>
      </c>
      <c r="C729" s="18" t="s">
        <v>1709</v>
      </c>
      <c r="D729" s="18" t="s">
        <v>116</v>
      </c>
      <c r="E729" s="18" t="s">
        <v>117</v>
      </c>
      <c r="F729" s="18" t="s">
        <v>1755</v>
      </c>
      <c r="G729" s="18" t="s">
        <v>1634</v>
      </c>
      <c r="H729" s="18" t="s">
        <v>1750</v>
      </c>
      <c r="I729" s="20" t="s">
        <v>1756</v>
      </c>
      <c r="J729" s="18" t="s">
        <v>58</v>
      </c>
      <c r="K729" s="18" t="s">
        <v>24</v>
      </c>
      <c r="L729" s="18" t="s">
        <v>25</v>
      </c>
      <c r="N729" s="18" t="s">
        <v>973</v>
      </c>
    </row>
    <row r="730" spans="1:14" ht="15" customHeight="1" x14ac:dyDescent="0.3">
      <c r="A730" s="18" t="s">
        <v>1699</v>
      </c>
      <c r="B730" s="19" t="s">
        <v>15</v>
      </c>
      <c r="C730" s="18" t="s">
        <v>1700</v>
      </c>
      <c r="D730" s="18" t="s">
        <v>116</v>
      </c>
      <c r="E730" s="18" t="s">
        <v>117</v>
      </c>
      <c r="F730" s="18" t="s">
        <v>1757</v>
      </c>
      <c r="G730" s="18" t="s">
        <v>219</v>
      </c>
      <c r="H730" s="18" t="s">
        <v>1714</v>
      </c>
      <c r="I730" s="20" t="s">
        <v>1758</v>
      </c>
      <c r="J730" s="18" t="s">
        <v>58</v>
      </c>
      <c r="K730" s="18" t="s">
        <v>24</v>
      </c>
      <c r="L730" s="18" t="s">
        <v>25</v>
      </c>
      <c r="N730" s="18" t="s">
        <v>807</v>
      </c>
    </row>
    <row r="731" spans="1:14" ht="15" customHeight="1" x14ac:dyDescent="0.3">
      <c r="A731" s="18" t="s">
        <v>1699</v>
      </c>
      <c r="B731" s="19" t="s">
        <v>15</v>
      </c>
      <c r="C731" s="18" t="s">
        <v>1700</v>
      </c>
      <c r="D731" s="18" t="s">
        <v>116</v>
      </c>
      <c r="E731" s="18" t="s">
        <v>117</v>
      </c>
      <c r="F731" s="18" t="s">
        <v>1759</v>
      </c>
      <c r="G731" s="18" t="s">
        <v>41</v>
      </c>
      <c r="H731" s="18" t="s">
        <v>1714</v>
      </c>
      <c r="I731" s="20" t="s">
        <v>1760</v>
      </c>
      <c r="J731" s="18" t="s">
        <v>58</v>
      </c>
      <c r="K731" s="18" t="s">
        <v>24</v>
      </c>
      <c r="L731" s="18" t="s">
        <v>25</v>
      </c>
      <c r="N731" s="18" t="s">
        <v>807</v>
      </c>
    </row>
    <row r="732" spans="1:14" ht="15" customHeight="1" x14ac:dyDescent="0.3">
      <c r="A732" s="18" t="s">
        <v>1699</v>
      </c>
      <c r="B732" s="19" t="s">
        <v>15</v>
      </c>
      <c r="C732" s="18" t="s">
        <v>1709</v>
      </c>
      <c r="D732" s="18" t="s">
        <v>116</v>
      </c>
      <c r="E732" s="18" t="s">
        <v>117</v>
      </c>
      <c r="F732" s="18" t="s">
        <v>1761</v>
      </c>
      <c r="G732" s="18" t="s">
        <v>536</v>
      </c>
      <c r="H732" s="18" t="s">
        <v>1750</v>
      </c>
      <c r="I732" s="20" t="s">
        <v>1762</v>
      </c>
      <c r="J732" s="18" t="s">
        <v>58</v>
      </c>
      <c r="K732" s="18" t="s">
        <v>24</v>
      </c>
      <c r="L732" s="18" t="s">
        <v>25</v>
      </c>
      <c r="N732" s="18" t="s">
        <v>973</v>
      </c>
    </row>
    <row r="733" spans="1:14" ht="15" customHeight="1" x14ac:dyDescent="0.3">
      <c r="A733" s="18" t="s">
        <v>1699</v>
      </c>
      <c r="B733" s="19" t="s">
        <v>15</v>
      </c>
      <c r="C733" s="18" t="s">
        <v>1700</v>
      </c>
      <c r="D733" s="18" t="s">
        <v>116</v>
      </c>
      <c r="E733" s="18" t="s">
        <v>117</v>
      </c>
      <c r="F733" s="18" t="s">
        <v>1763</v>
      </c>
      <c r="G733" s="18" t="s">
        <v>536</v>
      </c>
      <c r="H733" s="18" t="s">
        <v>1722</v>
      </c>
      <c r="I733" s="20" t="s">
        <v>1764</v>
      </c>
      <c r="J733" s="18" t="s">
        <v>58</v>
      </c>
      <c r="K733" s="18" t="s">
        <v>24</v>
      </c>
      <c r="L733" s="18" t="s">
        <v>25</v>
      </c>
      <c r="N733" s="18" t="s">
        <v>807</v>
      </c>
    </row>
    <row r="734" spans="1:14" ht="15" customHeight="1" x14ac:dyDescent="0.3">
      <c r="A734" s="18" t="s">
        <v>1699</v>
      </c>
      <c r="B734" s="19" t="s">
        <v>15</v>
      </c>
      <c r="C734" s="18" t="s">
        <v>1700</v>
      </c>
      <c r="D734" s="18" t="s">
        <v>116</v>
      </c>
      <c r="E734" s="18" t="s">
        <v>117</v>
      </c>
      <c r="F734" s="18" t="s">
        <v>1765</v>
      </c>
      <c r="G734" s="18" t="s">
        <v>60</v>
      </c>
      <c r="H734" s="18" t="s">
        <v>1714</v>
      </c>
      <c r="I734" s="20" t="s">
        <v>1766</v>
      </c>
      <c r="J734" s="18" t="s">
        <v>58</v>
      </c>
      <c r="K734" s="18" t="s">
        <v>24</v>
      </c>
      <c r="L734" s="18" t="s">
        <v>25</v>
      </c>
      <c r="N734" s="18" t="s">
        <v>807</v>
      </c>
    </row>
    <row r="735" spans="1:14" ht="15" customHeight="1" x14ac:dyDescent="0.3">
      <c r="A735" s="18" t="s">
        <v>1699</v>
      </c>
      <c r="B735" s="19" t="s">
        <v>15</v>
      </c>
      <c r="C735" s="18" t="s">
        <v>1700</v>
      </c>
      <c r="D735" s="18" t="s">
        <v>116</v>
      </c>
      <c r="E735" s="18" t="s">
        <v>117</v>
      </c>
      <c r="F735" s="18" t="s">
        <v>1767</v>
      </c>
      <c r="G735" s="18" t="s">
        <v>47</v>
      </c>
      <c r="H735" s="18" t="s">
        <v>1714</v>
      </c>
      <c r="I735" s="20" t="s">
        <v>1768</v>
      </c>
      <c r="J735" s="18" t="s">
        <v>58</v>
      </c>
      <c r="K735" s="18" t="s">
        <v>24</v>
      </c>
      <c r="L735" s="18" t="s">
        <v>25</v>
      </c>
      <c r="N735" s="18" t="s">
        <v>807</v>
      </c>
    </row>
    <row r="736" spans="1:14" ht="15" customHeight="1" x14ac:dyDescent="0.3">
      <c r="A736" s="18" t="s">
        <v>1699</v>
      </c>
      <c r="B736" s="19" t="s">
        <v>15</v>
      </c>
      <c r="C736" s="18" t="s">
        <v>1700</v>
      </c>
      <c r="D736" s="18" t="s">
        <v>116</v>
      </c>
      <c r="E736" s="18" t="s">
        <v>117</v>
      </c>
      <c r="F736" s="18" t="s">
        <v>1769</v>
      </c>
      <c r="G736" s="18" t="s">
        <v>51</v>
      </c>
      <c r="H736" s="18" t="s">
        <v>1714</v>
      </c>
      <c r="I736" s="20" t="s">
        <v>1770</v>
      </c>
      <c r="J736" s="18" t="s">
        <v>58</v>
      </c>
      <c r="K736" s="18" t="s">
        <v>24</v>
      </c>
      <c r="L736" s="18" t="s">
        <v>25</v>
      </c>
      <c r="N736" s="18" t="s">
        <v>807</v>
      </c>
    </row>
    <row r="737" spans="1:14" ht="15" customHeight="1" x14ac:dyDescent="0.3">
      <c r="A737" s="18" t="s">
        <v>1699</v>
      </c>
      <c r="B737" s="19" t="s">
        <v>15</v>
      </c>
      <c r="C737" s="18" t="s">
        <v>1700</v>
      </c>
      <c r="D737" s="18" t="s">
        <v>116</v>
      </c>
      <c r="E737" s="18" t="s">
        <v>117</v>
      </c>
      <c r="F737" s="18" t="s">
        <v>1771</v>
      </c>
      <c r="G737" s="18" t="s">
        <v>60</v>
      </c>
      <c r="H737" s="18" t="s">
        <v>1714</v>
      </c>
      <c r="I737" s="20" t="s">
        <v>1772</v>
      </c>
      <c r="J737" s="18" t="s">
        <v>58</v>
      </c>
      <c r="K737" s="18" t="s">
        <v>24</v>
      </c>
      <c r="L737" s="18" t="s">
        <v>25</v>
      </c>
      <c r="N737" s="18" t="s">
        <v>807</v>
      </c>
    </row>
    <row r="738" spans="1:14" ht="15" customHeight="1" x14ac:dyDescent="0.3">
      <c r="A738" s="18" t="s">
        <v>1699</v>
      </c>
      <c r="B738" s="19" t="s">
        <v>15</v>
      </c>
      <c r="C738" s="18" t="s">
        <v>1700</v>
      </c>
      <c r="D738" s="18" t="s">
        <v>116</v>
      </c>
      <c r="E738" s="18" t="s">
        <v>117</v>
      </c>
      <c r="F738" s="18" t="s">
        <v>1773</v>
      </c>
      <c r="G738" s="18" t="s">
        <v>35</v>
      </c>
      <c r="H738" s="18" t="s">
        <v>1714</v>
      </c>
      <c r="I738" s="20" t="s">
        <v>1774</v>
      </c>
      <c r="J738" s="18" t="s">
        <v>58</v>
      </c>
      <c r="K738" s="18" t="s">
        <v>24</v>
      </c>
      <c r="L738" s="18" t="s">
        <v>25</v>
      </c>
      <c r="N738" s="18" t="s">
        <v>807</v>
      </c>
    </row>
    <row r="739" spans="1:14" ht="15" customHeight="1" x14ac:dyDescent="0.3">
      <c r="A739" s="18" t="s">
        <v>1699</v>
      </c>
      <c r="B739" s="19" t="s">
        <v>15</v>
      </c>
      <c r="C739" s="18" t="s">
        <v>1700</v>
      </c>
      <c r="D739" s="18" t="s">
        <v>116</v>
      </c>
      <c r="E739" s="18" t="s">
        <v>117</v>
      </c>
      <c r="F739" s="18" t="s">
        <v>1775</v>
      </c>
      <c r="G739" s="18" t="s">
        <v>160</v>
      </c>
      <c r="H739" s="18" t="s">
        <v>1722</v>
      </c>
      <c r="I739" s="20" t="s">
        <v>1776</v>
      </c>
      <c r="J739" s="18" t="s">
        <v>58</v>
      </c>
      <c r="K739" s="18" t="s">
        <v>24</v>
      </c>
      <c r="L739" s="18" t="s">
        <v>25</v>
      </c>
      <c r="N739" s="18" t="s">
        <v>807</v>
      </c>
    </row>
    <row r="740" spans="1:14" ht="15" customHeight="1" x14ac:dyDescent="0.3">
      <c r="A740" s="18" t="s">
        <v>1699</v>
      </c>
      <c r="B740" s="19" t="s">
        <v>15</v>
      </c>
      <c r="C740" s="18" t="s">
        <v>1700</v>
      </c>
      <c r="D740" s="18" t="s">
        <v>116</v>
      </c>
      <c r="E740" s="18" t="s">
        <v>117</v>
      </c>
      <c r="F740" s="18" t="s">
        <v>1777</v>
      </c>
      <c r="G740" s="18" t="s">
        <v>160</v>
      </c>
      <c r="H740" s="18" t="s">
        <v>1722</v>
      </c>
      <c r="I740" s="20" t="s">
        <v>1778</v>
      </c>
      <c r="J740" s="18" t="s">
        <v>58</v>
      </c>
      <c r="K740" s="18" t="s">
        <v>24</v>
      </c>
      <c r="L740" s="18" t="s">
        <v>25</v>
      </c>
      <c r="N740" s="18" t="s">
        <v>807</v>
      </c>
    </row>
    <row r="741" spans="1:14" ht="15" customHeight="1" x14ac:dyDescent="0.3">
      <c r="A741" s="18" t="s">
        <v>1699</v>
      </c>
      <c r="B741" s="19" t="s">
        <v>15</v>
      </c>
      <c r="C741" s="18" t="s">
        <v>1700</v>
      </c>
      <c r="D741" s="18" t="s">
        <v>116</v>
      </c>
      <c r="E741" s="18" t="s">
        <v>117</v>
      </c>
      <c r="F741" s="18" t="s">
        <v>1779</v>
      </c>
      <c r="G741" s="18" t="s">
        <v>212</v>
      </c>
      <c r="H741" s="18" t="s">
        <v>1714</v>
      </c>
      <c r="I741" s="20" t="s">
        <v>1780</v>
      </c>
      <c r="J741" s="18" t="s">
        <v>58</v>
      </c>
      <c r="K741" s="18" t="s">
        <v>24</v>
      </c>
      <c r="L741" s="18" t="s">
        <v>25</v>
      </c>
      <c r="N741" s="18" t="s">
        <v>807</v>
      </c>
    </row>
    <row r="742" spans="1:14" ht="15" customHeight="1" x14ac:dyDescent="0.3">
      <c r="A742" s="18" t="s">
        <v>1699</v>
      </c>
      <c r="B742" s="19" t="s">
        <v>15</v>
      </c>
      <c r="C742" s="18" t="s">
        <v>1700</v>
      </c>
      <c r="D742" s="18" t="s">
        <v>116</v>
      </c>
      <c r="E742" s="18" t="s">
        <v>117</v>
      </c>
      <c r="F742" s="18" t="s">
        <v>1781</v>
      </c>
      <c r="G742" s="18" t="s">
        <v>298</v>
      </c>
      <c r="H742" s="18" t="s">
        <v>1722</v>
      </c>
      <c r="I742" s="20" t="s">
        <v>1782</v>
      </c>
      <c r="J742" s="18" t="s">
        <v>58</v>
      </c>
      <c r="K742" s="18" t="s">
        <v>24</v>
      </c>
      <c r="L742" s="18" t="s">
        <v>25</v>
      </c>
      <c r="N742" s="18" t="s">
        <v>807</v>
      </c>
    </row>
    <row r="743" spans="1:14" ht="15" customHeight="1" x14ac:dyDescent="0.3">
      <c r="A743" s="18" t="s">
        <v>1699</v>
      </c>
      <c r="B743" s="19" t="s">
        <v>15</v>
      </c>
      <c r="C743" s="18" t="s">
        <v>1700</v>
      </c>
      <c r="D743" s="18" t="s">
        <v>116</v>
      </c>
      <c r="E743" s="18" t="s">
        <v>117</v>
      </c>
      <c r="F743" s="18" t="s">
        <v>1783</v>
      </c>
      <c r="G743" s="18" t="s">
        <v>207</v>
      </c>
      <c r="H743" s="18" t="s">
        <v>1722</v>
      </c>
      <c r="I743" s="20" t="s">
        <v>1784</v>
      </c>
      <c r="J743" s="18" t="s">
        <v>58</v>
      </c>
      <c r="K743" s="18" t="s">
        <v>24</v>
      </c>
      <c r="L743" s="18" t="s">
        <v>25</v>
      </c>
      <c r="N743" s="18" t="s">
        <v>807</v>
      </c>
    </row>
    <row r="744" spans="1:14" ht="15" customHeight="1" x14ac:dyDescent="0.3">
      <c r="A744" s="18" t="s">
        <v>1699</v>
      </c>
      <c r="B744" s="19" t="s">
        <v>15</v>
      </c>
      <c r="C744" s="18" t="s">
        <v>1700</v>
      </c>
      <c r="D744" s="18" t="s">
        <v>116</v>
      </c>
      <c r="E744" s="18" t="s">
        <v>117</v>
      </c>
      <c r="F744" s="18" t="s">
        <v>1785</v>
      </c>
      <c r="G744" s="18" t="s">
        <v>1340</v>
      </c>
      <c r="H744" s="18" t="s">
        <v>1722</v>
      </c>
      <c r="I744" s="20" t="s">
        <v>1786</v>
      </c>
      <c r="J744" s="18" t="s">
        <v>58</v>
      </c>
      <c r="K744" s="18" t="s">
        <v>24</v>
      </c>
      <c r="L744" s="18" t="s">
        <v>25</v>
      </c>
      <c r="N744" s="18" t="s">
        <v>807</v>
      </c>
    </row>
    <row r="745" spans="1:14" ht="15" customHeight="1" x14ac:dyDescent="0.3">
      <c r="A745" s="18" t="s">
        <v>1699</v>
      </c>
      <c r="B745" s="19" t="s">
        <v>15</v>
      </c>
      <c r="C745" s="18" t="s">
        <v>1700</v>
      </c>
      <c r="D745" s="18" t="s">
        <v>116</v>
      </c>
      <c r="E745" s="18" t="s">
        <v>117</v>
      </c>
      <c r="F745" s="18" t="s">
        <v>1380</v>
      </c>
      <c r="G745" s="18" t="s">
        <v>44</v>
      </c>
      <c r="H745" s="18" t="s">
        <v>1722</v>
      </c>
      <c r="I745" s="20" t="s">
        <v>1787</v>
      </c>
      <c r="J745" s="18" t="s">
        <v>58</v>
      </c>
      <c r="K745" s="18" t="s">
        <v>24</v>
      </c>
      <c r="L745" s="18" t="s">
        <v>25</v>
      </c>
      <c r="N745" s="18" t="s">
        <v>807</v>
      </c>
    </row>
    <row r="746" spans="1:14" ht="15" customHeight="1" x14ac:dyDescent="0.3">
      <c r="A746" s="18" t="s">
        <v>1699</v>
      </c>
      <c r="B746" s="19" t="s">
        <v>15</v>
      </c>
      <c r="C746" s="18" t="s">
        <v>1700</v>
      </c>
      <c r="D746" s="18" t="s">
        <v>116</v>
      </c>
      <c r="E746" s="18" t="s">
        <v>117</v>
      </c>
      <c r="F746" s="18" t="s">
        <v>1788</v>
      </c>
      <c r="G746" s="18" t="s">
        <v>47</v>
      </c>
      <c r="H746" s="18" t="s">
        <v>1714</v>
      </c>
      <c r="I746" s="20" t="s">
        <v>1789</v>
      </c>
      <c r="J746" s="18" t="s">
        <v>58</v>
      </c>
      <c r="K746" s="18" t="s">
        <v>24</v>
      </c>
      <c r="L746" s="18" t="s">
        <v>25</v>
      </c>
      <c r="N746" s="18" t="s">
        <v>807</v>
      </c>
    </row>
    <row r="747" spans="1:14" ht="15" customHeight="1" x14ac:dyDescent="0.3">
      <c r="A747" s="18" t="s">
        <v>1699</v>
      </c>
      <c r="B747" s="19" t="s">
        <v>15</v>
      </c>
      <c r="C747" s="18" t="s">
        <v>1700</v>
      </c>
      <c r="D747" s="18" t="s">
        <v>116</v>
      </c>
      <c r="E747" s="18" t="s">
        <v>117</v>
      </c>
      <c r="F747" s="18" t="s">
        <v>1653</v>
      </c>
      <c r="G747" s="18" t="s">
        <v>1019</v>
      </c>
      <c r="H747" s="18" t="s">
        <v>1722</v>
      </c>
      <c r="I747" s="20" t="s">
        <v>1790</v>
      </c>
      <c r="J747" s="18" t="s">
        <v>58</v>
      </c>
      <c r="K747" s="18" t="s">
        <v>24</v>
      </c>
      <c r="L747" s="18" t="s">
        <v>25</v>
      </c>
      <c r="N747" s="18" t="s">
        <v>807</v>
      </c>
    </row>
    <row r="748" spans="1:14" ht="15" customHeight="1" x14ac:dyDescent="0.3">
      <c r="A748" s="18" t="s">
        <v>1699</v>
      </c>
      <c r="B748" s="19" t="s">
        <v>15</v>
      </c>
      <c r="C748" s="18" t="s">
        <v>1709</v>
      </c>
      <c r="D748" s="18" t="s">
        <v>116</v>
      </c>
      <c r="E748" s="18" t="s">
        <v>117</v>
      </c>
      <c r="F748" s="18" t="s">
        <v>1791</v>
      </c>
      <c r="G748" s="18" t="s">
        <v>536</v>
      </c>
      <c r="H748" s="18" t="s">
        <v>1750</v>
      </c>
      <c r="I748" s="20" t="s">
        <v>1792</v>
      </c>
      <c r="J748" s="18" t="s">
        <v>58</v>
      </c>
      <c r="K748" s="18" t="s">
        <v>24</v>
      </c>
      <c r="L748" s="18" t="s">
        <v>25</v>
      </c>
      <c r="N748" s="18" t="s">
        <v>973</v>
      </c>
    </row>
    <row r="749" spans="1:14" ht="15" customHeight="1" x14ac:dyDescent="0.3">
      <c r="A749" s="18" t="s">
        <v>1699</v>
      </c>
      <c r="B749" s="19" t="s">
        <v>15</v>
      </c>
      <c r="C749" s="18" t="s">
        <v>1700</v>
      </c>
      <c r="D749" s="18" t="s">
        <v>116</v>
      </c>
      <c r="E749" s="18" t="s">
        <v>18</v>
      </c>
      <c r="F749" s="18" t="s">
        <v>1016</v>
      </c>
      <c r="G749" s="18" t="s">
        <v>263</v>
      </c>
      <c r="H749" s="18" t="s">
        <v>1793</v>
      </c>
      <c r="I749" s="20" t="s">
        <v>1794</v>
      </c>
      <c r="J749" s="18" t="s">
        <v>30</v>
      </c>
      <c r="K749" s="18" t="s">
        <v>24</v>
      </c>
      <c r="L749" s="18" t="s">
        <v>25</v>
      </c>
      <c r="N749" s="18" t="s">
        <v>807</v>
      </c>
    </row>
    <row r="750" spans="1:14" ht="15" customHeight="1" x14ac:dyDescent="0.3">
      <c r="A750" s="18" t="s">
        <v>1699</v>
      </c>
      <c r="B750" s="19" t="s">
        <v>15</v>
      </c>
      <c r="C750" s="18" t="s">
        <v>1700</v>
      </c>
      <c r="D750" s="18" t="s">
        <v>116</v>
      </c>
      <c r="E750" s="18" t="s">
        <v>18</v>
      </c>
      <c r="F750" s="18" t="s">
        <v>1795</v>
      </c>
      <c r="G750" s="18" t="s">
        <v>606</v>
      </c>
      <c r="H750" s="18" t="s">
        <v>1707</v>
      </c>
      <c r="I750" s="20" t="s">
        <v>1796</v>
      </c>
      <c r="J750" s="18" t="s">
        <v>30</v>
      </c>
      <c r="K750" s="18" t="s">
        <v>24</v>
      </c>
      <c r="L750" s="18" t="s">
        <v>25</v>
      </c>
      <c r="N750" s="18" t="s">
        <v>807</v>
      </c>
    </row>
    <row r="751" spans="1:14" ht="15" customHeight="1" x14ac:dyDescent="0.3">
      <c r="A751" s="18" t="s">
        <v>1699</v>
      </c>
      <c r="B751" s="19" t="s">
        <v>15</v>
      </c>
      <c r="C751" s="18" t="s">
        <v>1700</v>
      </c>
      <c r="D751" s="18" t="s">
        <v>116</v>
      </c>
      <c r="E751" s="18" t="s">
        <v>18</v>
      </c>
      <c r="F751" s="18" t="s">
        <v>1797</v>
      </c>
      <c r="G751" s="18" t="s">
        <v>47</v>
      </c>
      <c r="H751" s="18" t="s">
        <v>1798</v>
      </c>
      <c r="I751" s="20" t="s">
        <v>1799</v>
      </c>
      <c r="J751" s="18" t="s">
        <v>30</v>
      </c>
      <c r="K751" s="18" t="s">
        <v>24</v>
      </c>
      <c r="L751" s="18" t="s">
        <v>25</v>
      </c>
      <c r="N751" s="18" t="s">
        <v>807</v>
      </c>
    </row>
    <row r="752" spans="1:14" ht="15" customHeight="1" x14ac:dyDescent="0.3">
      <c r="A752" s="18" t="s">
        <v>1699</v>
      </c>
      <c r="B752" s="19" t="s">
        <v>15</v>
      </c>
      <c r="C752" s="18" t="s">
        <v>1700</v>
      </c>
      <c r="D752" s="18" t="s">
        <v>116</v>
      </c>
      <c r="E752" s="18" t="s">
        <v>18</v>
      </c>
      <c r="F752" s="18" t="s">
        <v>616</v>
      </c>
      <c r="G752" s="18" t="s">
        <v>429</v>
      </c>
      <c r="H752" s="18" t="s">
        <v>1800</v>
      </c>
      <c r="I752" s="20" t="s">
        <v>1801</v>
      </c>
      <c r="J752" s="18" t="s">
        <v>23</v>
      </c>
      <c r="K752" s="18" t="s">
        <v>24</v>
      </c>
      <c r="L752" s="18" t="s">
        <v>25</v>
      </c>
      <c r="N752" s="18" t="s">
        <v>807</v>
      </c>
    </row>
    <row r="753" spans="1:14" ht="15" customHeight="1" x14ac:dyDescent="0.3">
      <c r="A753" s="18" t="s">
        <v>1699</v>
      </c>
      <c r="B753" s="19" t="s">
        <v>15</v>
      </c>
      <c r="C753" s="18" t="s">
        <v>1700</v>
      </c>
      <c r="D753" s="18" t="s">
        <v>116</v>
      </c>
      <c r="E753" s="18" t="s">
        <v>18</v>
      </c>
      <c r="F753" s="18" t="s">
        <v>1802</v>
      </c>
      <c r="G753" s="18" t="s">
        <v>160</v>
      </c>
      <c r="H753" s="18" t="s">
        <v>1722</v>
      </c>
      <c r="I753" s="20" t="s">
        <v>1803</v>
      </c>
      <c r="J753" s="18" t="s">
        <v>30</v>
      </c>
      <c r="K753" s="18" t="s">
        <v>24</v>
      </c>
      <c r="L753" s="18" t="s">
        <v>25</v>
      </c>
      <c r="N753" s="18" t="s">
        <v>807</v>
      </c>
    </row>
    <row r="754" spans="1:14" ht="15" customHeight="1" x14ac:dyDescent="0.3">
      <c r="A754" s="18" t="s">
        <v>1699</v>
      </c>
      <c r="B754" s="19" t="s">
        <v>15</v>
      </c>
      <c r="C754" s="18" t="s">
        <v>1700</v>
      </c>
      <c r="D754" s="18" t="s">
        <v>116</v>
      </c>
      <c r="E754" s="18" t="s">
        <v>18</v>
      </c>
      <c r="F754" s="18" t="s">
        <v>1804</v>
      </c>
      <c r="G754" s="18" t="s">
        <v>207</v>
      </c>
      <c r="H754" s="18" t="s">
        <v>1722</v>
      </c>
      <c r="I754" s="20" t="s">
        <v>1805</v>
      </c>
      <c r="J754" s="18" t="s">
        <v>30</v>
      </c>
      <c r="K754" s="18" t="s">
        <v>24</v>
      </c>
      <c r="L754" s="18" t="s">
        <v>25</v>
      </c>
      <c r="N754" s="18" t="s">
        <v>807</v>
      </c>
    </row>
    <row r="755" spans="1:14" ht="15" customHeight="1" x14ac:dyDescent="0.3">
      <c r="A755" s="18" t="s">
        <v>1699</v>
      </c>
      <c r="B755" s="19" t="s">
        <v>15</v>
      </c>
      <c r="C755" s="18" t="s">
        <v>1700</v>
      </c>
      <c r="D755" s="18" t="s">
        <v>116</v>
      </c>
      <c r="E755" s="18" t="s">
        <v>18</v>
      </c>
      <c r="F755" s="18" t="s">
        <v>1806</v>
      </c>
      <c r="G755" s="18" t="s">
        <v>85</v>
      </c>
      <c r="H755" s="18" t="s">
        <v>1714</v>
      </c>
      <c r="I755" s="20" t="s">
        <v>1807</v>
      </c>
      <c r="J755" s="18" t="s">
        <v>30</v>
      </c>
      <c r="K755" s="18" t="s">
        <v>24</v>
      </c>
      <c r="L755" s="18" t="s">
        <v>25</v>
      </c>
      <c r="N755" s="18" t="s">
        <v>807</v>
      </c>
    </row>
    <row r="756" spans="1:14" ht="15" customHeight="1" x14ac:dyDescent="0.3">
      <c r="A756" s="18" t="s">
        <v>1699</v>
      </c>
      <c r="B756" s="19" t="s">
        <v>15</v>
      </c>
      <c r="C756" s="18" t="s">
        <v>1700</v>
      </c>
      <c r="D756" s="18" t="s">
        <v>116</v>
      </c>
      <c r="E756" s="18" t="s">
        <v>18</v>
      </c>
      <c r="F756" s="18" t="s">
        <v>1808</v>
      </c>
      <c r="G756" s="18" t="s">
        <v>28</v>
      </c>
      <c r="H756" s="18" t="s">
        <v>1714</v>
      </c>
      <c r="I756" s="20" t="s">
        <v>1809</v>
      </c>
      <c r="J756" s="18" t="s">
        <v>30</v>
      </c>
      <c r="K756" s="18" t="s">
        <v>24</v>
      </c>
      <c r="L756" s="18" t="s">
        <v>25</v>
      </c>
      <c r="N756" s="18" t="s">
        <v>807</v>
      </c>
    </row>
    <row r="757" spans="1:14" ht="15" customHeight="1" x14ac:dyDescent="0.3">
      <c r="A757" s="18" t="s">
        <v>1699</v>
      </c>
      <c r="B757" s="19" t="s">
        <v>15</v>
      </c>
      <c r="C757" s="18" t="s">
        <v>1700</v>
      </c>
      <c r="D757" s="18" t="s">
        <v>116</v>
      </c>
      <c r="E757" s="18" t="s">
        <v>18</v>
      </c>
      <c r="F757" s="18" t="s">
        <v>1019</v>
      </c>
      <c r="G757" s="18" t="s">
        <v>1019</v>
      </c>
      <c r="H757" s="18" t="s">
        <v>1722</v>
      </c>
      <c r="I757" s="20" t="s">
        <v>1810</v>
      </c>
      <c r="J757" s="18" t="s">
        <v>30</v>
      </c>
      <c r="K757" s="18" t="s">
        <v>24</v>
      </c>
      <c r="L757" s="18" t="s">
        <v>25</v>
      </c>
      <c r="N757" s="18" t="s">
        <v>807</v>
      </c>
    </row>
    <row r="758" spans="1:14" ht="15" customHeight="1" x14ac:dyDescent="0.3">
      <c r="A758" s="18" t="s">
        <v>1699</v>
      </c>
      <c r="B758" s="19" t="s">
        <v>15</v>
      </c>
      <c r="C758" s="18" t="s">
        <v>1700</v>
      </c>
      <c r="D758" s="18" t="s">
        <v>116</v>
      </c>
      <c r="E758" s="18" t="s">
        <v>18</v>
      </c>
      <c r="F758" s="18" t="s">
        <v>1811</v>
      </c>
      <c r="G758" s="18" t="s">
        <v>1019</v>
      </c>
      <c r="H758" s="18" t="s">
        <v>1722</v>
      </c>
      <c r="I758" s="20" t="s">
        <v>1812</v>
      </c>
      <c r="J758" s="18" t="s">
        <v>30</v>
      </c>
      <c r="K758" s="18" t="s">
        <v>24</v>
      </c>
      <c r="L758" s="18" t="s">
        <v>25</v>
      </c>
      <c r="N758" s="18" t="s">
        <v>807</v>
      </c>
    </row>
    <row r="759" spans="1:14" ht="15" customHeight="1" x14ac:dyDescent="0.3">
      <c r="A759" s="18" t="s">
        <v>1699</v>
      </c>
      <c r="B759" s="19" t="s">
        <v>15</v>
      </c>
      <c r="C759" s="18" t="s">
        <v>1700</v>
      </c>
      <c r="D759" s="18" t="s">
        <v>116</v>
      </c>
      <c r="E759" s="18" t="s">
        <v>18</v>
      </c>
      <c r="F759" s="18" t="s">
        <v>272</v>
      </c>
      <c r="G759" s="18" t="s">
        <v>273</v>
      </c>
      <c r="H759" s="18" t="s">
        <v>1722</v>
      </c>
      <c r="I759" s="20" t="s">
        <v>1813</v>
      </c>
      <c r="J759" s="18" t="s">
        <v>30</v>
      </c>
      <c r="K759" s="18" t="s">
        <v>24</v>
      </c>
      <c r="L759" s="18" t="s">
        <v>25</v>
      </c>
      <c r="N759" s="18" t="s">
        <v>807</v>
      </c>
    </row>
    <row r="760" spans="1:14" ht="15" customHeight="1" x14ac:dyDescent="0.3">
      <c r="A760" s="18" t="s">
        <v>1699</v>
      </c>
      <c r="B760" s="19" t="s">
        <v>15</v>
      </c>
      <c r="C760" s="18" t="s">
        <v>1700</v>
      </c>
      <c r="D760" s="18" t="s">
        <v>116</v>
      </c>
      <c r="E760" s="18" t="s">
        <v>18</v>
      </c>
      <c r="F760" s="18" t="s">
        <v>1814</v>
      </c>
      <c r="G760" s="18" t="s">
        <v>273</v>
      </c>
      <c r="H760" s="18" t="s">
        <v>1722</v>
      </c>
      <c r="I760" s="20" t="s">
        <v>1815</v>
      </c>
      <c r="J760" s="18" t="s">
        <v>30</v>
      </c>
      <c r="K760" s="18" t="s">
        <v>24</v>
      </c>
      <c r="L760" s="18" t="s">
        <v>25</v>
      </c>
      <c r="N760" s="18" t="s">
        <v>807</v>
      </c>
    </row>
    <row r="761" spans="1:14" ht="15" customHeight="1" x14ac:dyDescent="0.3">
      <c r="A761" s="18" t="s">
        <v>1699</v>
      </c>
      <c r="B761" s="19" t="s">
        <v>15</v>
      </c>
      <c r="C761" s="18" t="s">
        <v>1700</v>
      </c>
      <c r="D761" s="18" t="s">
        <v>116</v>
      </c>
      <c r="E761" s="18" t="s">
        <v>18</v>
      </c>
      <c r="F761" s="18" t="s">
        <v>1816</v>
      </c>
      <c r="G761" s="18" t="s">
        <v>1204</v>
      </c>
      <c r="H761" s="18" t="s">
        <v>1714</v>
      </c>
      <c r="I761" s="20" t="s">
        <v>1817</v>
      </c>
      <c r="J761" s="18" t="s">
        <v>30</v>
      </c>
      <c r="K761" s="18" t="s">
        <v>24</v>
      </c>
      <c r="L761" s="18" t="s">
        <v>25</v>
      </c>
      <c r="N761" s="18" t="s">
        <v>807</v>
      </c>
    </row>
    <row r="762" spans="1:14" ht="15" customHeight="1" x14ac:dyDescent="0.3">
      <c r="A762" s="18" t="s">
        <v>1699</v>
      </c>
      <c r="B762" s="19" t="s">
        <v>15</v>
      </c>
      <c r="C762" s="18" t="s">
        <v>1700</v>
      </c>
      <c r="D762" s="18" t="s">
        <v>116</v>
      </c>
      <c r="E762" s="18" t="s">
        <v>18</v>
      </c>
      <c r="F762" s="18" t="s">
        <v>381</v>
      </c>
      <c r="G762" s="18" t="s">
        <v>381</v>
      </c>
      <c r="H762" s="18" t="s">
        <v>1800</v>
      </c>
      <c r="I762" s="20" t="s">
        <v>1818</v>
      </c>
      <c r="J762" s="18" t="s">
        <v>23</v>
      </c>
      <c r="K762" s="18" t="s">
        <v>24</v>
      </c>
      <c r="L762" s="18" t="s">
        <v>25</v>
      </c>
      <c r="N762" s="18" t="s">
        <v>807</v>
      </c>
    </row>
    <row r="763" spans="1:14" ht="15" customHeight="1" x14ac:dyDescent="0.3">
      <c r="A763" s="18" t="s">
        <v>1699</v>
      </c>
      <c r="B763" s="19" t="s">
        <v>15</v>
      </c>
      <c r="C763" s="18" t="s">
        <v>1700</v>
      </c>
      <c r="D763" s="18" t="s">
        <v>116</v>
      </c>
      <c r="E763" s="18" t="s">
        <v>18</v>
      </c>
      <c r="F763" s="18" t="s">
        <v>221</v>
      </c>
      <c r="G763" s="18" t="s">
        <v>212</v>
      </c>
      <c r="H763" s="18" t="s">
        <v>1714</v>
      </c>
      <c r="I763" s="20" t="s">
        <v>1819</v>
      </c>
      <c r="J763" s="18" t="s">
        <v>30</v>
      </c>
      <c r="K763" s="18" t="s">
        <v>24</v>
      </c>
      <c r="L763" s="18" t="s">
        <v>25</v>
      </c>
      <c r="N763" s="18" t="s">
        <v>807</v>
      </c>
    </row>
    <row r="764" spans="1:14" ht="15" customHeight="1" x14ac:dyDescent="0.3">
      <c r="A764" s="18" t="s">
        <v>1699</v>
      </c>
      <c r="B764" s="19" t="s">
        <v>15</v>
      </c>
      <c r="C764" s="18" t="s">
        <v>1700</v>
      </c>
      <c r="D764" s="18" t="s">
        <v>116</v>
      </c>
      <c r="E764" s="18" t="s">
        <v>18</v>
      </c>
      <c r="F764" s="18" t="s">
        <v>1072</v>
      </c>
      <c r="G764" s="18" t="s">
        <v>47</v>
      </c>
      <c r="H764" s="18" t="s">
        <v>1714</v>
      </c>
      <c r="I764" s="20" t="s">
        <v>1820</v>
      </c>
      <c r="J764" s="18" t="s">
        <v>30</v>
      </c>
      <c r="K764" s="18" t="s">
        <v>24</v>
      </c>
      <c r="L764" s="18" t="s">
        <v>25</v>
      </c>
      <c r="N764" s="18" t="s">
        <v>807</v>
      </c>
    </row>
    <row r="765" spans="1:14" ht="15" customHeight="1" x14ac:dyDescent="0.3">
      <c r="A765" s="18" t="s">
        <v>1699</v>
      </c>
      <c r="B765" s="19" t="s">
        <v>15</v>
      </c>
      <c r="C765" s="18" t="s">
        <v>1700</v>
      </c>
      <c r="D765" s="18" t="s">
        <v>116</v>
      </c>
      <c r="E765" s="18" t="s">
        <v>18</v>
      </c>
      <c r="F765" s="18" t="s">
        <v>1821</v>
      </c>
      <c r="G765" s="18" t="s">
        <v>212</v>
      </c>
      <c r="H765" s="18" t="s">
        <v>1714</v>
      </c>
      <c r="I765" s="20" t="s">
        <v>1822</v>
      </c>
      <c r="J765" s="18" t="s">
        <v>30</v>
      </c>
      <c r="K765" s="18" t="s">
        <v>24</v>
      </c>
      <c r="L765" s="18" t="s">
        <v>25</v>
      </c>
      <c r="N765" s="18" t="s">
        <v>807</v>
      </c>
    </row>
    <row r="766" spans="1:14" ht="15" customHeight="1" x14ac:dyDescent="0.3">
      <c r="A766" s="18" t="s">
        <v>1699</v>
      </c>
      <c r="B766" s="19" t="s">
        <v>15</v>
      </c>
      <c r="C766" s="18" t="s">
        <v>1700</v>
      </c>
      <c r="D766" s="18" t="s">
        <v>116</v>
      </c>
      <c r="E766" s="18" t="s">
        <v>18</v>
      </c>
      <c r="F766" s="18" t="s">
        <v>578</v>
      </c>
      <c r="G766" s="18" t="s">
        <v>80</v>
      </c>
      <c r="H766" s="18" t="s">
        <v>1800</v>
      </c>
      <c r="I766" s="20" t="s">
        <v>1823</v>
      </c>
      <c r="J766" s="18" t="s">
        <v>23</v>
      </c>
      <c r="K766" s="18" t="s">
        <v>24</v>
      </c>
      <c r="L766" s="18" t="s">
        <v>25</v>
      </c>
      <c r="N766" s="18" t="s">
        <v>807</v>
      </c>
    </row>
    <row r="767" spans="1:14" ht="15" customHeight="1" x14ac:dyDescent="0.3">
      <c r="A767" s="18" t="s">
        <v>1699</v>
      </c>
      <c r="B767" s="19" t="s">
        <v>15</v>
      </c>
      <c r="C767" s="18" t="s">
        <v>1709</v>
      </c>
      <c r="D767" s="18" t="s">
        <v>116</v>
      </c>
      <c r="E767" s="18" t="s">
        <v>18</v>
      </c>
      <c r="F767" s="18" t="s">
        <v>1824</v>
      </c>
      <c r="G767" s="18" t="s">
        <v>1634</v>
      </c>
      <c r="H767" s="18" t="s">
        <v>1711</v>
      </c>
      <c r="I767" s="20" t="s">
        <v>1825</v>
      </c>
      <c r="J767" s="18" t="s">
        <v>30</v>
      </c>
      <c r="K767" s="18" t="s">
        <v>24</v>
      </c>
      <c r="L767" s="18" t="s">
        <v>25</v>
      </c>
      <c r="N767" s="18" t="s">
        <v>973</v>
      </c>
    </row>
    <row r="768" spans="1:14" ht="15" customHeight="1" x14ac:dyDescent="0.3">
      <c r="A768" s="18" t="s">
        <v>1699</v>
      </c>
      <c r="B768" s="19" t="s">
        <v>15</v>
      </c>
      <c r="C768" s="18" t="s">
        <v>1700</v>
      </c>
      <c r="D768" s="18" t="s">
        <v>116</v>
      </c>
      <c r="E768" s="18" t="s">
        <v>18</v>
      </c>
      <c r="F768" s="18" t="s">
        <v>40</v>
      </c>
      <c r="G768" s="18" t="s">
        <v>41</v>
      </c>
      <c r="H768" s="18" t="s">
        <v>1714</v>
      </c>
      <c r="I768" s="20" t="s">
        <v>1826</v>
      </c>
      <c r="J768" s="18" t="s">
        <v>30</v>
      </c>
      <c r="K768" s="18" t="s">
        <v>24</v>
      </c>
      <c r="L768" s="18" t="s">
        <v>25</v>
      </c>
      <c r="N768" s="18" t="s">
        <v>807</v>
      </c>
    </row>
    <row r="769" spans="1:14" ht="15" customHeight="1" x14ac:dyDescent="0.3">
      <c r="A769" s="18" t="s">
        <v>1699</v>
      </c>
      <c r="B769" s="19" t="s">
        <v>15</v>
      </c>
      <c r="C769" s="18" t="s">
        <v>1709</v>
      </c>
      <c r="D769" s="18" t="s">
        <v>116</v>
      </c>
      <c r="E769" s="18" t="s">
        <v>18</v>
      </c>
      <c r="F769" s="18" t="s">
        <v>1309</v>
      </c>
      <c r="G769" s="18" t="s">
        <v>536</v>
      </c>
      <c r="H769" s="18" t="s">
        <v>1827</v>
      </c>
      <c r="I769" s="20" t="s">
        <v>1828</v>
      </c>
      <c r="J769" s="18" t="s">
        <v>30</v>
      </c>
      <c r="K769" s="18" t="s">
        <v>24</v>
      </c>
      <c r="L769" s="18" t="s">
        <v>25</v>
      </c>
      <c r="N769" s="18" t="s">
        <v>973</v>
      </c>
    </row>
    <row r="770" spans="1:14" ht="15" customHeight="1" x14ac:dyDescent="0.3">
      <c r="A770" s="18" t="s">
        <v>1699</v>
      </c>
      <c r="B770" s="19" t="s">
        <v>15</v>
      </c>
      <c r="C770" s="18" t="s">
        <v>1700</v>
      </c>
      <c r="D770" s="18" t="s">
        <v>116</v>
      </c>
      <c r="E770" s="18" t="s">
        <v>18</v>
      </c>
      <c r="F770" s="18" t="s">
        <v>1088</v>
      </c>
      <c r="G770" s="18" t="s">
        <v>41</v>
      </c>
      <c r="H770" s="18" t="s">
        <v>1714</v>
      </c>
      <c r="I770" s="20" t="s">
        <v>1829</v>
      </c>
      <c r="J770" s="18" t="s">
        <v>30</v>
      </c>
      <c r="K770" s="18" t="s">
        <v>24</v>
      </c>
      <c r="L770" s="18" t="s">
        <v>25</v>
      </c>
      <c r="N770" s="18" t="s">
        <v>807</v>
      </c>
    </row>
    <row r="771" spans="1:14" ht="15" customHeight="1" x14ac:dyDescent="0.3">
      <c r="A771" s="18" t="s">
        <v>1699</v>
      </c>
      <c r="B771" s="19" t="s">
        <v>15</v>
      </c>
      <c r="C771" s="18" t="s">
        <v>1709</v>
      </c>
      <c r="D771" s="18" t="s">
        <v>116</v>
      </c>
      <c r="E771" s="18" t="s">
        <v>18</v>
      </c>
      <c r="F771" s="18" t="s">
        <v>1830</v>
      </c>
      <c r="G771" s="18" t="s">
        <v>536</v>
      </c>
      <c r="H771" s="18" t="s">
        <v>1827</v>
      </c>
      <c r="I771" s="20" t="s">
        <v>1831</v>
      </c>
      <c r="J771" s="18" t="s">
        <v>30</v>
      </c>
      <c r="K771" s="18" t="s">
        <v>24</v>
      </c>
      <c r="L771" s="18" t="s">
        <v>25</v>
      </c>
      <c r="N771" s="18" t="s">
        <v>973</v>
      </c>
    </row>
    <row r="772" spans="1:14" ht="15" customHeight="1" x14ac:dyDescent="0.3">
      <c r="A772" s="18" t="s">
        <v>1699</v>
      </c>
      <c r="B772" s="19" t="s">
        <v>15</v>
      </c>
      <c r="C772" s="18" t="s">
        <v>1700</v>
      </c>
      <c r="D772" s="18" t="s">
        <v>116</v>
      </c>
      <c r="E772" s="18" t="s">
        <v>18</v>
      </c>
      <c r="F772" s="18" t="s">
        <v>1832</v>
      </c>
      <c r="G772" s="18" t="s">
        <v>207</v>
      </c>
      <c r="H772" s="18" t="s">
        <v>1714</v>
      </c>
      <c r="I772" s="20" t="s">
        <v>1833</v>
      </c>
      <c r="J772" s="18" t="s">
        <v>30</v>
      </c>
      <c r="K772" s="18" t="s">
        <v>24</v>
      </c>
      <c r="L772" s="18" t="s">
        <v>25</v>
      </c>
      <c r="N772" s="18" t="s">
        <v>807</v>
      </c>
    </row>
    <row r="773" spans="1:14" ht="15" customHeight="1" x14ac:dyDescent="0.3">
      <c r="A773" s="18" t="s">
        <v>1699</v>
      </c>
      <c r="B773" s="19" t="s">
        <v>15</v>
      </c>
      <c r="C773" s="18" t="s">
        <v>1709</v>
      </c>
      <c r="D773" s="18" t="s">
        <v>116</v>
      </c>
      <c r="E773" s="18" t="s">
        <v>18</v>
      </c>
      <c r="F773" s="18" t="s">
        <v>1834</v>
      </c>
      <c r="G773" s="18" t="s">
        <v>207</v>
      </c>
      <c r="H773" s="18" t="s">
        <v>1827</v>
      </c>
      <c r="I773" s="20" t="s">
        <v>1835</v>
      </c>
      <c r="J773" s="18" t="s">
        <v>30</v>
      </c>
      <c r="K773" s="18" t="s">
        <v>24</v>
      </c>
      <c r="L773" s="18" t="s">
        <v>25</v>
      </c>
      <c r="N773" s="18" t="s">
        <v>973</v>
      </c>
    </row>
    <row r="774" spans="1:14" ht="15" customHeight="1" x14ac:dyDescent="0.3">
      <c r="A774" s="18" t="s">
        <v>1699</v>
      </c>
      <c r="B774" s="19" t="s">
        <v>15</v>
      </c>
      <c r="C774" s="18" t="s">
        <v>1700</v>
      </c>
      <c r="D774" s="18" t="s">
        <v>116</v>
      </c>
      <c r="E774" s="18" t="s">
        <v>18</v>
      </c>
      <c r="F774" s="18" t="s">
        <v>1836</v>
      </c>
      <c r="G774" s="18" t="s">
        <v>35</v>
      </c>
      <c r="H774" s="18" t="s">
        <v>1714</v>
      </c>
      <c r="I774" s="20" t="s">
        <v>1837</v>
      </c>
      <c r="J774" s="18" t="s">
        <v>30</v>
      </c>
      <c r="K774" s="18" t="s">
        <v>24</v>
      </c>
      <c r="L774" s="18" t="s">
        <v>25</v>
      </c>
      <c r="N774" s="18" t="s">
        <v>807</v>
      </c>
    </row>
    <row r="775" spans="1:14" ht="15" customHeight="1" x14ac:dyDescent="0.3">
      <c r="A775" s="18" t="s">
        <v>1699</v>
      </c>
      <c r="B775" s="19" t="s">
        <v>15</v>
      </c>
      <c r="C775" s="18" t="s">
        <v>1709</v>
      </c>
      <c r="D775" s="18" t="s">
        <v>116</v>
      </c>
      <c r="E775" s="18" t="s">
        <v>18</v>
      </c>
      <c r="F775" s="18" t="s">
        <v>536</v>
      </c>
      <c r="G775" s="18" t="s">
        <v>536</v>
      </c>
      <c r="H775" s="18" t="s">
        <v>1827</v>
      </c>
      <c r="I775" s="20" t="s">
        <v>1838</v>
      </c>
      <c r="J775" s="18" t="s">
        <v>30</v>
      </c>
      <c r="K775" s="18" t="s">
        <v>24</v>
      </c>
      <c r="L775" s="18" t="s">
        <v>25</v>
      </c>
      <c r="N775" s="18" t="s">
        <v>973</v>
      </c>
    </row>
    <row r="776" spans="1:14" ht="15" customHeight="1" x14ac:dyDescent="0.3">
      <c r="A776" s="18" t="s">
        <v>1699</v>
      </c>
      <c r="B776" s="19" t="s">
        <v>15</v>
      </c>
      <c r="C776" s="18" t="s">
        <v>1700</v>
      </c>
      <c r="D776" s="18" t="s">
        <v>116</v>
      </c>
      <c r="E776" s="18" t="s">
        <v>55</v>
      </c>
      <c r="F776" s="18" t="s">
        <v>1839</v>
      </c>
      <c r="G776" s="18" t="s">
        <v>606</v>
      </c>
      <c r="H776" s="18" t="s">
        <v>1707</v>
      </c>
      <c r="I776" s="20" t="s">
        <v>1840</v>
      </c>
      <c r="J776" s="18" t="s">
        <v>58</v>
      </c>
      <c r="K776" s="18" t="s">
        <v>24</v>
      </c>
      <c r="L776" s="18" t="s">
        <v>25</v>
      </c>
      <c r="N776" s="18" t="s">
        <v>807</v>
      </c>
    </row>
    <row r="777" spans="1:14" ht="15" customHeight="1" x14ac:dyDescent="0.3">
      <c r="A777" s="18" t="s">
        <v>1699</v>
      </c>
      <c r="B777" s="19" t="s">
        <v>15</v>
      </c>
      <c r="C777" s="18" t="s">
        <v>1700</v>
      </c>
      <c r="D777" s="18" t="s">
        <v>116</v>
      </c>
      <c r="E777" s="18" t="s">
        <v>55</v>
      </c>
      <c r="F777" s="18" t="s">
        <v>1466</v>
      </c>
      <c r="G777" s="18" t="s">
        <v>47</v>
      </c>
      <c r="H777" s="18" t="s">
        <v>1798</v>
      </c>
      <c r="I777" s="20" t="s">
        <v>1841</v>
      </c>
      <c r="J777" s="18" t="s">
        <v>58</v>
      </c>
      <c r="K777" s="18" t="s">
        <v>24</v>
      </c>
      <c r="L777" s="18" t="s">
        <v>25</v>
      </c>
      <c r="N777" s="18" t="s">
        <v>807</v>
      </c>
    </row>
    <row r="778" spans="1:14" ht="15" customHeight="1" x14ac:dyDescent="0.3">
      <c r="A778" s="18" t="s">
        <v>1699</v>
      </c>
      <c r="B778" s="19" t="s">
        <v>15</v>
      </c>
      <c r="C778" s="18" t="s">
        <v>1842</v>
      </c>
      <c r="D778" s="18" t="s">
        <v>116</v>
      </c>
      <c r="E778" s="18" t="s">
        <v>55</v>
      </c>
      <c r="F778" s="18" t="s">
        <v>1843</v>
      </c>
      <c r="G778" s="18" t="s">
        <v>433</v>
      </c>
      <c r="H778" s="18" t="s">
        <v>1844</v>
      </c>
      <c r="I778" s="20" t="s">
        <v>1845</v>
      </c>
      <c r="J778" s="18" t="s">
        <v>73</v>
      </c>
      <c r="K778" s="18" t="s">
        <v>24</v>
      </c>
      <c r="L778" s="18" t="s">
        <v>25</v>
      </c>
      <c r="N778" s="18" t="s">
        <v>154</v>
      </c>
    </row>
    <row r="779" spans="1:14" ht="15" customHeight="1" x14ac:dyDescent="0.3">
      <c r="A779" s="18" t="s">
        <v>1699</v>
      </c>
      <c r="B779" s="19" t="s">
        <v>15</v>
      </c>
      <c r="C779" s="18" t="s">
        <v>1700</v>
      </c>
      <c r="D779" s="18" t="s">
        <v>116</v>
      </c>
      <c r="E779" s="18" t="s">
        <v>55</v>
      </c>
      <c r="F779" s="18" t="s">
        <v>1846</v>
      </c>
      <c r="G779" s="18" t="s">
        <v>1019</v>
      </c>
      <c r="H779" s="18" t="s">
        <v>1793</v>
      </c>
      <c r="I779" s="20" t="s">
        <v>1847</v>
      </c>
      <c r="J779" s="18" t="s">
        <v>58</v>
      </c>
      <c r="K779" s="18" t="s">
        <v>24</v>
      </c>
      <c r="L779" s="18" t="s">
        <v>25</v>
      </c>
      <c r="N779" s="18" t="s">
        <v>807</v>
      </c>
    </row>
    <row r="780" spans="1:14" ht="15" customHeight="1" x14ac:dyDescent="0.3">
      <c r="A780" s="18" t="s">
        <v>1699</v>
      </c>
      <c r="B780" s="19" t="s">
        <v>15</v>
      </c>
      <c r="C780" s="18" t="s">
        <v>1700</v>
      </c>
      <c r="D780" s="18" t="s">
        <v>116</v>
      </c>
      <c r="E780" s="18" t="s">
        <v>55</v>
      </c>
      <c r="F780" s="18" t="s">
        <v>1848</v>
      </c>
      <c r="G780" s="18" t="s">
        <v>47</v>
      </c>
      <c r="H780" s="18" t="s">
        <v>1714</v>
      </c>
      <c r="I780" s="20" t="s">
        <v>1849</v>
      </c>
      <c r="J780" s="18" t="s">
        <v>58</v>
      </c>
      <c r="K780" s="18" t="s">
        <v>24</v>
      </c>
      <c r="L780" s="18" t="s">
        <v>25</v>
      </c>
      <c r="N780" s="18" t="s">
        <v>807</v>
      </c>
    </row>
    <row r="781" spans="1:14" ht="15" customHeight="1" x14ac:dyDescent="0.3">
      <c r="A781" s="18" t="s">
        <v>1699</v>
      </c>
      <c r="B781" s="19" t="s">
        <v>15</v>
      </c>
      <c r="C781" s="18" t="s">
        <v>1700</v>
      </c>
      <c r="D781" s="18" t="s">
        <v>116</v>
      </c>
      <c r="E781" s="18" t="s">
        <v>55</v>
      </c>
      <c r="F781" s="18" t="s">
        <v>1850</v>
      </c>
      <c r="G781" s="18" t="s">
        <v>212</v>
      </c>
      <c r="H781" s="18" t="s">
        <v>1714</v>
      </c>
      <c r="I781" s="20" t="s">
        <v>1851</v>
      </c>
      <c r="J781" s="18" t="s">
        <v>58</v>
      </c>
      <c r="K781" s="18" t="s">
        <v>24</v>
      </c>
      <c r="L781" s="18" t="s">
        <v>25</v>
      </c>
      <c r="N781" s="18" t="s">
        <v>807</v>
      </c>
    </row>
    <row r="782" spans="1:14" ht="15" customHeight="1" x14ac:dyDescent="0.3">
      <c r="A782" s="18" t="s">
        <v>1699</v>
      </c>
      <c r="B782" s="19" t="s">
        <v>15</v>
      </c>
      <c r="C782" s="18" t="s">
        <v>1700</v>
      </c>
      <c r="D782" s="18" t="s">
        <v>116</v>
      </c>
      <c r="E782" s="18" t="s">
        <v>55</v>
      </c>
      <c r="F782" s="18" t="s">
        <v>1852</v>
      </c>
      <c r="G782" s="18" t="s">
        <v>28</v>
      </c>
      <c r="H782" s="18" t="s">
        <v>1714</v>
      </c>
      <c r="I782" s="20" t="s">
        <v>1853</v>
      </c>
      <c r="J782" s="18" t="s">
        <v>58</v>
      </c>
      <c r="K782" s="18" t="s">
        <v>24</v>
      </c>
      <c r="L782" s="18" t="s">
        <v>25</v>
      </c>
      <c r="N782" s="18" t="s">
        <v>807</v>
      </c>
    </row>
    <row r="783" spans="1:14" ht="15" customHeight="1" x14ac:dyDescent="0.3">
      <c r="A783" s="18" t="s">
        <v>1699</v>
      </c>
      <c r="B783" s="19" t="s">
        <v>15</v>
      </c>
      <c r="C783" s="18" t="s">
        <v>1700</v>
      </c>
      <c r="D783" s="18" t="s">
        <v>116</v>
      </c>
      <c r="E783" s="18" t="s">
        <v>55</v>
      </c>
      <c r="F783" s="18" t="s">
        <v>1529</v>
      </c>
      <c r="G783" s="18" t="s">
        <v>1527</v>
      </c>
      <c r="H783" s="18" t="s">
        <v>1722</v>
      </c>
      <c r="I783" s="20" t="s">
        <v>1854</v>
      </c>
      <c r="J783" s="18" t="s">
        <v>58</v>
      </c>
      <c r="K783" s="18" t="s">
        <v>24</v>
      </c>
      <c r="L783" s="18" t="s">
        <v>25</v>
      </c>
      <c r="N783" s="18" t="s">
        <v>807</v>
      </c>
    </row>
    <row r="784" spans="1:14" ht="15" customHeight="1" x14ac:dyDescent="0.3">
      <c r="A784" s="18" t="s">
        <v>1699</v>
      </c>
      <c r="B784" s="19" t="s">
        <v>15</v>
      </c>
      <c r="C784" s="18" t="s">
        <v>1700</v>
      </c>
      <c r="D784" s="18" t="s">
        <v>116</v>
      </c>
      <c r="E784" s="18" t="s">
        <v>55</v>
      </c>
      <c r="F784" s="18" t="s">
        <v>483</v>
      </c>
      <c r="G784" s="18" t="s">
        <v>381</v>
      </c>
      <c r="H784" s="18" t="s">
        <v>1855</v>
      </c>
      <c r="I784" s="20" t="s">
        <v>1856</v>
      </c>
      <c r="J784" s="18" t="s">
        <v>73</v>
      </c>
      <c r="K784" s="18" t="s">
        <v>24</v>
      </c>
      <c r="L784" s="18" t="s">
        <v>25</v>
      </c>
      <c r="N784" s="18" t="s">
        <v>807</v>
      </c>
    </row>
    <row r="785" spans="1:14" ht="15" customHeight="1" x14ac:dyDescent="0.3">
      <c r="A785" s="18" t="s">
        <v>1699</v>
      </c>
      <c r="B785" s="19" t="s">
        <v>15</v>
      </c>
      <c r="C785" s="18" t="s">
        <v>1700</v>
      </c>
      <c r="D785" s="18" t="s">
        <v>116</v>
      </c>
      <c r="E785" s="18" t="s">
        <v>55</v>
      </c>
      <c r="F785" s="18" t="s">
        <v>488</v>
      </c>
      <c r="G785" s="18" t="s">
        <v>381</v>
      </c>
      <c r="H785" s="18" t="s">
        <v>1855</v>
      </c>
      <c r="I785" s="20" t="s">
        <v>1857</v>
      </c>
      <c r="J785" s="18" t="s">
        <v>73</v>
      </c>
      <c r="K785" s="18" t="s">
        <v>24</v>
      </c>
      <c r="L785" s="18" t="s">
        <v>25</v>
      </c>
      <c r="N785" s="18" t="s">
        <v>807</v>
      </c>
    </row>
    <row r="786" spans="1:14" ht="15" customHeight="1" x14ac:dyDescent="0.3">
      <c r="A786" s="18" t="s">
        <v>1699</v>
      </c>
      <c r="B786" s="19" t="s">
        <v>15</v>
      </c>
      <c r="C786" s="18" t="s">
        <v>1700</v>
      </c>
      <c r="D786" s="18" t="s">
        <v>116</v>
      </c>
      <c r="E786" s="18" t="s">
        <v>55</v>
      </c>
      <c r="F786" s="18" t="s">
        <v>1366</v>
      </c>
      <c r="G786" s="18" t="s">
        <v>1858</v>
      </c>
      <c r="H786" s="18" t="s">
        <v>1722</v>
      </c>
      <c r="I786" s="20" t="s">
        <v>1859</v>
      </c>
      <c r="J786" s="18" t="s">
        <v>73</v>
      </c>
      <c r="K786" s="18" t="s">
        <v>24</v>
      </c>
      <c r="L786" s="18" t="s">
        <v>1369</v>
      </c>
      <c r="N786" s="18" t="s">
        <v>807</v>
      </c>
    </row>
    <row r="787" spans="1:14" ht="15" customHeight="1" x14ac:dyDescent="0.3">
      <c r="A787" s="18" t="s">
        <v>1699</v>
      </c>
      <c r="B787" s="19" t="s">
        <v>15</v>
      </c>
      <c r="C787" s="18" t="s">
        <v>1700</v>
      </c>
      <c r="D787" s="18" t="s">
        <v>116</v>
      </c>
      <c r="E787" s="18" t="s">
        <v>55</v>
      </c>
      <c r="F787" s="18" t="s">
        <v>281</v>
      </c>
      <c r="G787" s="18" t="s">
        <v>1860</v>
      </c>
      <c r="H787" s="18" t="s">
        <v>1722</v>
      </c>
      <c r="I787" s="20" t="s">
        <v>1861</v>
      </c>
      <c r="J787" s="18" t="s">
        <v>58</v>
      </c>
      <c r="K787" s="18" t="s">
        <v>24</v>
      </c>
      <c r="L787" s="18" t="s">
        <v>25</v>
      </c>
      <c r="N787" s="18" t="s">
        <v>807</v>
      </c>
    </row>
    <row r="788" spans="1:14" ht="15" customHeight="1" x14ac:dyDescent="0.3">
      <c r="A788" s="18" t="s">
        <v>1699</v>
      </c>
      <c r="B788" s="19" t="s">
        <v>15</v>
      </c>
      <c r="C788" s="18" t="s">
        <v>1700</v>
      </c>
      <c r="D788" s="18" t="s">
        <v>116</v>
      </c>
      <c r="E788" s="18" t="s">
        <v>55</v>
      </c>
      <c r="F788" s="18" t="s">
        <v>284</v>
      </c>
      <c r="G788" s="18" t="s">
        <v>1860</v>
      </c>
      <c r="H788" s="18" t="s">
        <v>1722</v>
      </c>
      <c r="I788" s="20" t="s">
        <v>1862</v>
      </c>
      <c r="J788" s="18" t="s">
        <v>58</v>
      </c>
      <c r="K788" s="18" t="s">
        <v>24</v>
      </c>
      <c r="L788" s="18" t="s">
        <v>25</v>
      </c>
      <c r="N788" s="18" t="s">
        <v>807</v>
      </c>
    </row>
    <row r="789" spans="1:14" ht="15" customHeight="1" x14ac:dyDescent="0.3">
      <c r="A789" s="18" t="s">
        <v>1699</v>
      </c>
      <c r="B789" s="19" t="s">
        <v>15</v>
      </c>
      <c r="C789" s="18" t="s">
        <v>1700</v>
      </c>
      <c r="D789" s="18" t="s">
        <v>116</v>
      </c>
      <c r="E789" s="18" t="s">
        <v>55</v>
      </c>
      <c r="F789" s="18" t="s">
        <v>40</v>
      </c>
      <c r="G789" s="18" t="s">
        <v>41</v>
      </c>
      <c r="H789" s="18" t="s">
        <v>1714</v>
      </c>
      <c r="I789" s="20" t="s">
        <v>1863</v>
      </c>
      <c r="J789" s="18" t="s">
        <v>58</v>
      </c>
      <c r="K789" s="18" t="s">
        <v>24</v>
      </c>
      <c r="L789" s="18" t="s">
        <v>25</v>
      </c>
      <c r="N789" s="18" t="s">
        <v>807</v>
      </c>
    </row>
    <row r="790" spans="1:14" ht="15" customHeight="1" x14ac:dyDescent="0.3">
      <c r="A790" s="18" t="s">
        <v>1699</v>
      </c>
      <c r="B790" s="19" t="s">
        <v>15</v>
      </c>
      <c r="C790" s="18" t="s">
        <v>1700</v>
      </c>
      <c r="D790" s="18" t="s">
        <v>116</v>
      </c>
      <c r="E790" s="18" t="s">
        <v>55</v>
      </c>
      <c r="F790" s="18" t="s">
        <v>1864</v>
      </c>
      <c r="G790" s="18" t="s">
        <v>63</v>
      </c>
      <c r="H790" s="18" t="s">
        <v>1714</v>
      </c>
      <c r="I790" s="20" t="s">
        <v>1865</v>
      </c>
      <c r="J790" s="18" t="s">
        <v>58</v>
      </c>
      <c r="K790" s="18" t="s">
        <v>24</v>
      </c>
      <c r="L790" s="18" t="s">
        <v>25</v>
      </c>
      <c r="N790" s="18" t="s">
        <v>807</v>
      </c>
    </row>
    <row r="791" spans="1:14" ht="15" customHeight="1" x14ac:dyDescent="0.3">
      <c r="A791" s="18" t="s">
        <v>1699</v>
      </c>
      <c r="B791" s="19" t="s">
        <v>15</v>
      </c>
      <c r="C791" s="18" t="s">
        <v>437</v>
      </c>
      <c r="D791" s="18" t="s">
        <v>116</v>
      </c>
      <c r="E791" s="18" t="s">
        <v>55</v>
      </c>
      <c r="F791" s="18" t="s">
        <v>1866</v>
      </c>
      <c r="G791" s="18" t="s">
        <v>433</v>
      </c>
      <c r="H791" s="18" t="s">
        <v>1867</v>
      </c>
      <c r="I791" s="20" t="s">
        <v>1868</v>
      </c>
      <c r="J791" s="18" t="s">
        <v>58</v>
      </c>
      <c r="K791" s="18" t="s">
        <v>293</v>
      </c>
      <c r="L791" s="18" t="s">
        <v>25</v>
      </c>
      <c r="N791" s="18" t="s">
        <v>441</v>
      </c>
    </row>
    <row r="792" spans="1:14" ht="15" customHeight="1" x14ac:dyDescent="0.3">
      <c r="A792" s="18" t="s">
        <v>1699</v>
      </c>
      <c r="B792" s="19" t="s">
        <v>15</v>
      </c>
      <c r="C792" s="18" t="s">
        <v>1709</v>
      </c>
      <c r="D792" s="18" t="s">
        <v>116</v>
      </c>
      <c r="E792" s="18" t="s">
        <v>55</v>
      </c>
      <c r="F792" s="18" t="s">
        <v>1869</v>
      </c>
      <c r="G792" s="18" t="s">
        <v>536</v>
      </c>
      <c r="H792" s="18" t="s">
        <v>1711</v>
      </c>
      <c r="I792" s="20" t="s">
        <v>1870</v>
      </c>
      <c r="J792" s="18" t="s">
        <v>58</v>
      </c>
      <c r="K792" s="18" t="s">
        <v>293</v>
      </c>
      <c r="L792" s="18" t="s">
        <v>25</v>
      </c>
      <c r="N792" s="18" t="s">
        <v>973</v>
      </c>
    </row>
    <row r="793" spans="1:14" ht="15" customHeight="1" x14ac:dyDescent="0.3">
      <c r="A793" s="18" t="s">
        <v>1699</v>
      </c>
      <c r="B793" s="19" t="s">
        <v>15</v>
      </c>
      <c r="C793" s="18" t="s">
        <v>1700</v>
      </c>
      <c r="D793" s="18" t="s">
        <v>116</v>
      </c>
      <c r="E793" s="18" t="s">
        <v>55</v>
      </c>
      <c r="F793" s="18" t="s">
        <v>1871</v>
      </c>
      <c r="G793" s="18" t="s">
        <v>207</v>
      </c>
      <c r="H793" s="18" t="s">
        <v>1714</v>
      </c>
      <c r="I793" s="20" t="s">
        <v>1872</v>
      </c>
      <c r="J793" s="18" t="s">
        <v>73</v>
      </c>
      <c r="K793" s="18" t="s">
        <v>24</v>
      </c>
      <c r="L793" s="18" t="s">
        <v>25</v>
      </c>
      <c r="N793" s="18" t="s">
        <v>807</v>
      </c>
    </row>
    <row r="794" spans="1:14" ht="15" customHeight="1" x14ac:dyDescent="0.3">
      <c r="A794" s="18" t="s">
        <v>1699</v>
      </c>
      <c r="B794" s="19" t="s">
        <v>15</v>
      </c>
      <c r="C794" s="18" t="s">
        <v>1700</v>
      </c>
      <c r="D794" s="18" t="s">
        <v>116</v>
      </c>
      <c r="E794" s="18" t="s">
        <v>55</v>
      </c>
      <c r="F794" s="18" t="s">
        <v>1873</v>
      </c>
      <c r="G794" s="18" t="s">
        <v>41</v>
      </c>
      <c r="H794" s="18" t="s">
        <v>1798</v>
      </c>
      <c r="I794" s="20" t="s">
        <v>1874</v>
      </c>
      <c r="J794" s="18" t="s">
        <v>58</v>
      </c>
      <c r="K794" s="18" t="s">
        <v>24</v>
      </c>
      <c r="L794" s="18" t="s">
        <v>25</v>
      </c>
      <c r="M794" s="18" t="s">
        <v>39</v>
      </c>
      <c r="N794" s="18" t="s">
        <v>807</v>
      </c>
    </row>
    <row r="795" spans="1:14" ht="15" customHeight="1" x14ac:dyDescent="0.3">
      <c r="A795" s="18" t="s">
        <v>1699</v>
      </c>
      <c r="B795" s="19" t="s">
        <v>15</v>
      </c>
      <c r="C795" s="18" t="s">
        <v>1700</v>
      </c>
      <c r="D795" s="18" t="s">
        <v>116</v>
      </c>
      <c r="E795" s="18" t="s">
        <v>55</v>
      </c>
      <c r="F795" s="18" t="s">
        <v>1228</v>
      </c>
      <c r="G795" s="18" t="s">
        <v>1753</v>
      </c>
      <c r="H795" s="18" t="s">
        <v>1714</v>
      </c>
      <c r="I795" s="20" t="s">
        <v>1875</v>
      </c>
      <c r="J795" s="18" t="s">
        <v>58</v>
      </c>
      <c r="K795" s="18" t="s">
        <v>24</v>
      </c>
      <c r="L795" s="18" t="s">
        <v>25</v>
      </c>
      <c r="N795" s="18" t="s">
        <v>807</v>
      </c>
    </row>
    <row r="796" spans="1:14" ht="15" customHeight="1" x14ac:dyDescent="0.3">
      <c r="A796" s="18" t="s">
        <v>1699</v>
      </c>
      <c r="B796" s="19" t="s">
        <v>15</v>
      </c>
      <c r="C796" s="18" t="s">
        <v>1700</v>
      </c>
      <c r="D796" s="18" t="s">
        <v>116</v>
      </c>
      <c r="E796" s="18" t="s">
        <v>55</v>
      </c>
      <c r="F796" s="18" t="s">
        <v>1876</v>
      </c>
      <c r="G796" s="18" t="s">
        <v>63</v>
      </c>
      <c r="H796" s="18" t="s">
        <v>1714</v>
      </c>
      <c r="I796" s="20" t="s">
        <v>1877</v>
      </c>
      <c r="J796" s="18" t="s">
        <v>58</v>
      </c>
      <c r="K796" s="18" t="s">
        <v>24</v>
      </c>
      <c r="L796" s="18" t="s">
        <v>25</v>
      </c>
      <c r="N796" s="18" t="s">
        <v>807</v>
      </c>
    </row>
    <row r="797" spans="1:14" ht="15" customHeight="1" x14ac:dyDescent="0.3">
      <c r="A797" s="18" t="s">
        <v>1699</v>
      </c>
      <c r="B797" s="19" t="s">
        <v>15</v>
      </c>
      <c r="C797" s="18" t="s">
        <v>1700</v>
      </c>
      <c r="D797" s="18" t="s">
        <v>116</v>
      </c>
      <c r="E797" s="18" t="s">
        <v>55</v>
      </c>
      <c r="F797" s="18" t="s">
        <v>1878</v>
      </c>
      <c r="G797" s="18" t="s">
        <v>51</v>
      </c>
      <c r="H797" s="18" t="s">
        <v>1714</v>
      </c>
      <c r="I797" s="20" t="s">
        <v>1879</v>
      </c>
      <c r="J797" s="18" t="s">
        <v>58</v>
      </c>
      <c r="K797" s="18" t="s">
        <v>24</v>
      </c>
      <c r="L797" s="18" t="s">
        <v>25</v>
      </c>
      <c r="N797" s="18" t="s">
        <v>807</v>
      </c>
    </row>
    <row r="798" spans="1:14" ht="15" customHeight="1" x14ac:dyDescent="0.3">
      <c r="A798" s="18" t="s">
        <v>1699</v>
      </c>
      <c r="B798" s="19" t="s">
        <v>15</v>
      </c>
      <c r="C798" s="18" t="s">
        <v>1709</v>
      </c>
      <c r="D798" s="18" t="s">
        <v>116</v>
      </c>
      <c r="E798" s="18" t="s">
        <v>55</v>
      </c>
      <c r="F798" s="18" t="s">
        <v>1880</v>
      </c>
      <c r="G798" s="18" t="s">
        <v>536</v>
      </c>
      <c r="H798" s="18" t="s">
        <v>1827</v>
      </c>
      <c r="I798" s="20" t="s">
        <v>1881</v>
      </c>
      <c r="J798" s="18" t="s">
        <v>58</v>
      </c>
      <c r="K798" s="18" t="s">
        <v>24</v>
      </c>
      <c r="L798" s="18" t="s">
        <v>25</v>
      </c>
      <c r="M798" s="18" t="s">
        <v>39</v>
      </c>
      <c r="N798" s="18" t="s">
        <v>973</v>
      </c>
    </row>
    <row r="799" spans="1:14" ht="15" customHeight="1" x14ac:dyDescent="0.3">
      <c r="A799" s="18" t="s">
        <v>1699</v>
      </c>
      <c r="B799" s="19" t="s">
        <v>15</v>
      </c>
      <c r="C799" s="18" t="s">
        <v>1700</v>
      </c>
      <c r="D799" s="18" t="s">
        <v>116</v>
      </c>
      <c r="E799" s="18" t="s">
        <v>74</v>
      </c>
      <c r="F799" s="18" t="s">
        <v>825</v>
      </c>
      <c r="G799" s="18" t="s">
        <v>826</v>
      </c>
      <c r="H799" s="18" t="s">
        <v>1882</v>
      </c>
      <c r="I799" s="20" t="s">
        <v>1883</v>
      </c>
      <c r="J799" s="18" t="s">
        <v>1884</v>
      </c>
      <c r="K799" s="18" t="s">
        <v>24</v>
      </c>
      <c r="L799" s="18" t="s">
        <v>25</v>
      </c>
      <c r="N799" s="18" t="s">
        <v>807</v>
      </c>
    </row>
    <row r="800" spans="1:14" ht="15" customHeight="1" x14ac:dyDescent="0.3">
      <c r="A800" s="18" t="s">
        <v>1699</v>
      </c>
      <c r="B800" s="19" t="s">
        <v>15</v>
      </c>
      <c r="C800" s="18" t="s">
        <v>1700</v>
      </c>
      <c r="D800" s="18" t="s">
        <v>116</v>
      </c>
      <c r="E800" s="18" t="s">
        <v>226</v>
      </c>
      <c r="F800" s="18" t="s">
        <v>1885</v>
      </c>
      <c r="G800" s="18" t="s">
        <v>212</v>
      </c>
      <c r="H800" s="18" t="s">
        <v>1882</v>
      </c>
      <c r="I800" s="20" t="s">
        <v>1886</v>
      </c>
      <c r="J800" s="18" t="s">
        <v>1884</v>
      </c>
      <c r="K800" s="18" t="s">
        <v>24</v>
      </c>
      <c r="L800" s="18" t="s">
        <v>25</v>
      </c>
      <c r="N800" s="18" t="s">
        <v>807</v>
      </c>
    </row>
    <row r="801" spans="1:14" ht="15" customHeight="1" x14ac:dyDescent="0.3">
      <c r="A801" s="18" t="s">
        <v>1699</v>
      </c>
      <c r="B801" s="19" t="s">
        <v>15</v>
      </c>
      <c r="C801" s="18" t="s">
        <v>1700</v>
      </c>
      <c r="D801" s="18" t="s">
        <v>116</v>
      </c>
      <c r="E801" s="18" t="s">
        <v>226</v>
      </c>
      <c r="F801" s="18" t="s">
        <v>1887</v>
      </c>
      <c r="G801" s="18" t="s">
        <v>212</v>
      </c>
      <c r="H801" s="18" t="s">
        <v>1882</v>
      </c>
      <c r="I801" s="20" t="s">
        <v>1888</v>
      </c>
      <c r="J801" s="18" t="s">
        <v>1884</v>
      </c>
      <c r="K801" s="18" t="s">
        <v>24</v>
      </c>
      <c r="L801" s="18" t="s">
        <v>25</v>
      </c>
      <c r="N801" s="18" t="s">
        <v>807</v>
      </c>
    </row>
    <row r="802" spans="1:14" ht="15" customHeight="1" x14ac:dyDescent="0.3">
      <c r="A802" s="18" t="s">
        <v>1699</v>
      </c>
      <c r="B802" s="19" t="s">
        <v>15</v>
      </c>
      <c r="C802" s="18" t="s">
        <v>1700</v>
      </c>
      <c r="D802" s="18" t="s">
        <v>116</v>
      </c>
      <c r="E802" s="18" t="s">
        <v>226</v>
      </c>
      <c r="F802" s="18" t="s">
        <v>1889</v>
      </c>
      <c r="G802" s="18" t="s">
        <v>212</v>
      </c>
      <c r="H802" s="18" t="s">
        <v>1882</v>
      </c>
      <c r="I802" s="20" t="s">
        <v>1890</v>
      </c>
      <c r="J802" s="18" t="s">
        <v>1884</v>
      </c>
      <c r="K802" s="18" t="s">
        <v>24</v>
      </c>
      <c r="L802" s="18" t="s">
        <v>25</v>
      </c>
      <c r="N802" s="18" t="s">
        <v>807</v>
      </c>
    </row>
    <row r="803" spans="1:14" ht="15" customHeight="1" x14ac:dyDescent="0.3">
      <c r="A803" s="18" t="s">
        <v>1699</v>
      </c>
      <c r="B803" s="19" t="s">
        <v>15</v>
      </c>
      <c r="C803" s="18" t="s">
        <v>1700</v>
      </c>
      <c r="D803" s="18" t="s">
        <v>116</v>
      </c>
      <c r="E803" s="18" t="s">
        <v>226</v>
      </c>
      <c r="F803" s="18" t="s">
        <v>1891</v>
      </c>
      <c r="G803" s="18" t="s">
        <v>212</v>
      </c>
      <c r="H803" s="18" t="s">
        <v>1882</v>
      </c>
      <c r="I803" s="20" t="s">
        <v>1892</v>
      </c>
      <c r="J803" s="18" t="s">
        <v>1884</v>
      </c>
      <c r="K803" s="18" t="s">
        <v>24</v>
      </c>
      <c r="L803" s="18" t="s">
        <v>25</v>
      </c>
      <c r="N803" s="18" t="s">
        <v>807</v>
      </c>
    </row>
    <row r="804" spans="1:14" ht="15" customHeight="1" x14ac:dyDescent="0.3">
      <c r="A804" s="18" t="s">
        <v>1699</v>
      </c>
      <c r="B804" s="19" t="s">
        <v>15</v>
      </c>
      <c r="C804" s="18" t="s">
        <v>1700</v>
      </c>
      <c r="D804" s="18" t="s">
        <v>116</v>
      </c>
      <c r="E804" s="18" t="s">
        <v>226</v>
      </c>
      <c r="F804" s="18" t="s">
        <v>1893</v>
      </c>
      <c r="G804" s="18" t="s">
        <v>212</v>
      </c>
      <c r="H804" s="18" t="s">
        <v>1882</v>
      </c>
      <c r="I804" s="20" t="s">
        <v>1894</v>
      </c>
      <c r="J804" s="18" t="s">
        <v>1884</v>
      </c>
      <c r="K804" s="18" t="s">
        <v>24</v>
      </c>
      <c r="L804" s="18" t="s">
        <v>25</v>
      </c>
      <c r="N804" s="18" t="s">
        <v>807</v>
      </c>
    </row>
    <row r="805" spans="1:14" ht="15" customHeight="1" x14ac:dyDescent="0.3">
      <c r="A805" s="18" t="s">
        <v>1699</v>
      </c>
      <c r="B805" s="19" t="s">
        <v>15</v>
      </c>
      <c r="C805" s="18" t="s">
        <v>1700</v>
      </c>
      <c r="D805" s="18" t="s">
        <v>116</v>
      </c>
      <c r="E805" s="18" t="s">
        <v>226</v>
      </c>
      <c r="F805" s="18" t="s">
        <v>28</v>
      </c>
      <c r="G805" s="18" t="s">
        <v>28</v>
      </c>
      <c r="H805" s="18" t="s">
        <v>1882</v>
      </c>
      <c r="I805" s="20" t="s">
        <v>1895</v>
      </c>
      <c r="J805" s="18" t="s">
        <v>1884</v>
      </c>
      <c r="K805" s="18" t="s">
        <v>24</v>
      </c>
      <c r="L805" s="18" t="s">
        <v>25</v>
      </c>
      <c r="N805" s="18" t="s">
        <v>807</v>
      </c>
    </row>
    <row r="806" spans="1:14" ht="15" customHeight="1" x14ac:dyDescent="0.3">
      <c r="A806" s="18" t="s">
        <v>1699</v>
      </c>
      <c r="B806" s="19" t="s">
        <v>15</v>
      </c>
      <c r="C806" s="18" t="s">
        <v>1700</v>
      </c>
      <c r="D806" s="18" t="s">
        <v>116</v>
      </c>
      <c r="E806" s="18" t="s">
        <v>226</v>
      </c>
      <c r="F806" s="18" t="s">
        <v>1896</v>
      </c>
      <c r="G806" s="18" t="s">
        <v>41</v>
      </c>
      <c r="H806" s="18" t="s">
        <v>1882</v>
      </c>
      <c r="I806" s="20" t="s">
        <v>1897</v>
      </c>
      <c r="J806" s="18" t="s">
        <v>1884</v>
      </c>
      <c r="K806" s="18" t="s">
        <v>24</v>
      </c>
      <c r="L806" s="18" t="s">
        <v>25</v>
      </c>
      <c r="N806" s="18" t="s">
        <v>807</v>
      </c>
    </row>
    <row r="807" spans="1:14" ht="15" customHeight="1" x14ac:dyDescent="0.3">
      <c r="A807" s="18" t="s">
        <v>1898</v>
      </c>
      <c r="B807" s="19" t="s">
        <v>15</v>
      </c>
      <c r="C807" s="18" t="s">
        <v>210</v>
      </c>
      <c r="D807" s="18" t="s">
        <v>17</v>
      </c>
      <c r="E807" s="18" t="s">
        <v>117</v>
      </c>
      <c r="F807" s="18" t="s">
        <v>1623</v>
      </c>
      <c r="G807" s="18" t="s">
        <v>263</v>
      </c>
      <c r="H807" s="18" t="s">
        <v>1899</v>
      </c>
      <c r="I807" s="20" t="s">
        <v>1900</v>
      </c>
      <c r="J807" s="18" t="s">
        <v>58</v>
      </c>
      <c r="K807" s="18" t="s">
        <v>24</v>
      </c>
      <c r="L807" s="18" t="s">
        <v>25</v>
      </c>
      <c r="N807" s="18" t="s">
        <v>26</v>
      </c>
    </row>
    <row r="808" spans="1:14" ht="15" customHeight="1" x14ac:dyDescent="0.3">
      <c r="A808" s="18" t="s">
        <v>1898</v>
      </c>
      <c r="B808" s="19" t="s">
        <v>15</v>
      </c>
      <c r="C808" s="18" t="s">
        <v>210</v>
      </c>
      <c r="D808" s="18" t="s">
        <v>17</v>
      </c>
      <c r="E808" s="18" t="s">
        <v>117</v>
      </c>
      <c r="F808" s="18" t="s">
        <v>1901</v>
      </c>
      <c r="G808" s="18" t="s">
        <v>47</v>
      </c>
      <c r="H808" s="18" t="s">
        <v>1902</v>
      </c>
      <c r="I808" s="20" t="s">
        <v>1903</v>
      </c>
      <c r="J808" s="18" t="s">
        <v>58</v>
      </c>
      <c r="K808" s="18" t="s">
        <v>24</v>
      </c>
      <c r="L808" s="18" t="s">
        <v>25</v>
      </c>
      <c r="N808" s="18" t="s">
        <v>26</v>
      </c>
    </row>
    <row r="809" spans="1:14" ht="15" customHeight="1" x14ac:dyDescent="0.3">
      <c r="A809" s="18" t="s">
        <v>1898</v>
      </c>
      <c r="B809" s="19" t="s">
        <v>15</v>
      </c>
      <c r="C809" s="18" t="s">
        <v>210</v>
      </c>
      <c r="D809" s="18" t="s">
        <v>17</v>
      </c>
      <c r="E809" s="18" t="s">
        <v>117</v>
      </c>
      <c r="F809" s="18" t="s">
        <v>1904</v>
      </c>
      <c r="G809" s="18" t="s">
        <v>41</v>
      </c>
      <c r="H809" s="18" t="s">
        <v>1905</v>
      </c>
      <c r="I809" s="20" t="s">
        <v>1906</v>
      </c>
      <c r="J809" s="18" t="s">
        <v>58</v>
      </c>
      <c r="K809" s="18" t="s">
        <v>24</v>
      </c>
      <c r="L809" s="18" t="s">
        <v>25</v>
      </c>
      <c r="N809" s="18" t="s">
        <v>26</v>
      </c>
    </row>
    <row r="810" spans="1:14" ht="15" customHeight="1" x14ac:dyDescent="0.3">
      <c r="A810" s="18" t="s">
        <v>1898</v>
      </c>
      <c r="B810" s="19" t="s">
        <v>15</v>
      </c>
      <c r="C810" s="18" t="s">
        <v>210</v>
      </c>
      <c r="D810" s="18" t="s">
        <v>17</v>
      </c>
      <c r="E810" s="18" t="s">
        <v>117</v>
      </c>
      <c r="F810" s="18" t="s">
        <v>1907</v>
      </c>
      <c r="G810" s="18" t="s">
        <v>1075</v>
      </c>
      <c r="H810" s="18" t="s">
        <v>1902</v>
      </c>
      <c r="I810" s="20" t="s">
        <v>1908</v>
      </c>
      <c r="J810" s="18" t="s">
        <v>58</v>
      </c>
      <c r="K810" s="18" t="s">
        <v>24</v>
      </c>
      <c r="L810" s="18" t="s">
        <v>25</v>
      </c>
      <c r="N810" s="18" t="s">
        <v>26</v>
      </c>
    </row>
    <row r="811" spans="1:14" ht="15" customHeight="1" x14ac:dyDescent="0.3">
      <c r="A811" s="18" t="s">
        <v>1898</v>
      </c>
      <c r="B811" s="19" t="s">
        <v>15</v>
      </c>
      <c r="C811" s="18" t="s">
        <v>210</v>
      </c>
      <c r="D811" s="18" t="s">
        <v>17</v>
      </c>
      <c r="E811" s="18" t="s">
        <v>117</v>
      </c>
      <c r="F811" s="18" t="s">
        <v>976</v>
      </c>
      <c r="G811" s="18" t="s">
        <v>429</v>
      </c>
      <c r="H811" s="18" t="s">
        <v>1909</v>
      </c>
      <c r="I811" s="20" t="s">
        <v>1910</v>
      </c>
      <c r="J811" s="18" t="s">
        <v>58</v>
      </c>
      <c r="K811" s="18" t="s">
        <v>24</v>
      </c>
      <c r="L811" s="18" t="s">
        <v>25</v>
      </c>
      <c r="N811" s="18" t="s">
        <v>26</v>
      </c>
    </row>
    <row r="812" spans="1:14" ht="15" customHeight="1" x14ac:dyDescent="0.3">
      <c r="A812" s="18" t="s">
        <v>1898</v>
      </c>
      <c r="B812" s="19" t="s">
        <v>15</v>
      </c>
      <c r="C812" s="18" t="s">
        <v>210</v>
      </c>
      <c r="D812" s="18" t="s">
        <v>17</v>
      </c>
      <c r="E812" s="18" t="s">
        <v>117</v>
      </c>
      <c r="F812" s="18" t="s">
        <v>1466</v>
      </c>
      <c r="G812" s="18" t="s">
        <v>47</v>
      </c>
      <c r="H812" s="18" t="s">
        <v>1902</v>
      </c>
      <c r="I812" s="20" t="s">
        <v>1911</v>
      </c>
      <c r="J812" s="18" t="s">
        <v>58</v>
      </c>
      <c r="K812" s="18" t="s">
        <v>24</v>
      </c>
      <c r="L812" s="18" t="s">
        <v>25</v>
      </c>
      <c r="N812" s="18" t="s">
        <v>26</v>
      </c>
    </row>
    <row r="813" spans="1:14" ht="15" customHeight="1" x14ac:dyDescent="0.3">
      <c r="A813" s="18" t="s">
        <v>1898</v>
      </c>
      <c r="B813" s="19" t="s">
        <v>15</v>
      </c>
      <c r="C813" s="18" t="s">
        <v>210</v>
      </c>
      <c r="D813" s="18" t="s">
        <v>17</v>
      </c>
      <c r="E813" s="18" t="s">
        <v>117</v>
      </c>
      <c r="F813" s="18" t="s">
        <v>1434</v>
      </c>
      <c r="G813" s="18" t="s">
        <v>85</v>
      </c>
      <c r="H813" s="18" t="s">
        <v>1905</v>
      </c>
      <c r="I813" s="20" t="s">
        <v>1912</v>
      </c>
      <c r="J813" s="18" t="s">
        <v>58</v>
      </c>
      <c r="K813" s="18" t="s">
        <v>24</v>
      </c>
      <c r="L813" s="18" t="s">
        <v>25</v>
      </c>
      <c r="N813" s="18" t="s">
        <v>26</v>
      </c>
    </row>
    <row r="814" spans="1:14" ht="15" customHeight="1" x14ac:dyDescent="0.3">
      <c r="A814" s="18" t="s">
        <v>1898</v>
      </c>
      <c r="B814" s="19" t="s">
        <v>15</v>
      </c>
      <c r="C814" s="18" t="s">
        <v>210</v>
      </c>
      <c r="D814" s="18" t="s">
        <v>17</v>
      </c>
      <c r="E814" s="18" t="s">
        <v>117</v>
      </c>
      <c r="F814" s="18" t="s">
        <v>1913</v>
      </c>
      <c r="G814" s="18" t="s">
        <v>60</v>
      </c>
      <c r="H814" s="18" t="s">
        <v>1902</v>
      </c>
      <c r="I814" s="20" t="s">
        <v>1914</v>
      </c>
      <c r="J814" s="18" t="s">
        <v>58</v>
      </c>
      <c r="K814" s="18" t="s">
        <v>24</v>
      </c>
      <c r="L814" s="18" t="s">
        <v>25</v>
      </c>
      <c r="N814" s="18" t="s">
        <v>26</v>
      </c>
    </row>
    <row r="815" spans="1:14" ht="15" customHeight="1" x14ac:dyDescent="0.3">
      <c r="A815" s="18" t="s">
        <v>1898</v>
      </c>
      <c r="B815" s="19" t="s">
        <v>15</v>
      </c>
      <c r="C815" s="18" t="s">
        <v>210</v>
      </c>
      <c r="D815" s="18" t="s">
        <v>17</v>
      </c>
      <c r="E815" s="18" t="s">
        <v>117</v>
      </c>
      <c r="F815" s="18" t="s">
        <v>1915</v>
      </c>
      <c r="G815" s="18" t="s">
        <v>47</v>
      </c>
      <c r="H815" s="18" t="s">
        <v>1902</v>
      </c>
      <c r="I815" s="20" t="s">
        <v>1916</v>
      </c>
      <c r="J815" s="18" t="s">
        <v>58</v>
      </c>
      <c r="K815" s="18" t="s">
        <v>24</v>
      </c>
      <c r="L815" s="18" t="s">
        <v>25</v>
      </c>
      <c r="N815" s="18" t="s">
        <v>26</v>
      </c>
    </row>
    <row r="816" spans="1:14" ht="15" customHeight="1" x14ac:dyDescent="0.3">
      <c r="A816" s="18" t="s">
        <v>1898</v>
      </c>
      <c r="B816" s="19" t="s">
        <v>15</v>
      </c>
      <c r="C816" s="18" t="s">
        <v>210</v>
      </c>
      <c r="D816" s="18" t="s">
        <v>17</v>
      </c>
      <c r="E816" s="18" t="s">
        <v>117</v>
      </c>
      <c r="F816" s="18" t="s">
        <v>1917</v>
      </c>
      <c r="G816" s="18" t="s">
        <v>47</v>
      </c>
      <c r="H816" s="18" t="s">
        <v>1902</v>
      </c>
      <c r="I816" s="20" t="s">
        <v>1918</v>
      </c>
      <c r="J816" s="18" t="s">
        <v>58</v>
      </c>
      <c r="K816" s="18" t="s">
        <v>24</v>
      </c>
      <c r="L816" s="18" t="s">
        <v>25</v>
      </c>
      <c r="N816" s="18" t="s">
        <v>26</v>
      </c>
    </row>
    <row r="817" spans="1:14" ht="15" customHeight="1" x14ac:dyDescent="0.3">
      <c r="A817" s="18" t="s">
        <v>1898</v>
      </c>
      <c r="B817" s="19" t="s">
        <v>15</v>
      </c>
      <c r="C817" s="18" t="s">
        <v>210</v>
      </c>
      <c r="D817" s="18" t="s">
        <v>17</v>
      </c>
      <c r="E817" s="18" t="s">
        <v>117</v>
      </c>
      <c r="F817" s="18" t="s">
        <v>1439</v>
      </c>
      <c r="G817" s="18" t="s">
        <v>41</v>
      </c>
      <c r="H817" s="18" t="s">
        <v>1905</v>
      </c>
      <c r="I817" s="20" t="s">
        <v>1919</v>
      </c>
      <c r="J817" s="18" t="s">
        <v>58</v>
      </c>
      <c r="K817" s="18" t="s">
        <v>24</v>
      </c>
      <c r="L817" s="18" t="s">
        <v>25</v>
      </c>
      <c r="N817" s="18" t="s">
        <v>26</v>
      </c>
    </row>
    <row r="818" spans="1:14" ht="15" customHeight="1" x14ac:dyDescent="0.3">
      <c r="A818" s="18" t="s">
        <v>1898</v>
      </c>
      <c r="B818" s="19" t="s">
        <v>15</v>
      </c>
      <c r="C818" s="18" t="s">
        <v>210</v>
      </c>
      <c r="D818" s="18" t="s">
        <v>17</v>
      </c>
      <c r="E818" s="18" t="s">
        <v>117</v>
      </c>
      <c r="F818" s="18" t="s">
        <v>1920</v>
      </c>
      <c r="G818" s="18" t="s">
        <v>207</v>
      </c>
      <c r="H818" s="18" t="s">
        <v>1905</v>
      </c>
      <c r="I818" s="20" t="s">
        <v>1921</v>
      </c>
      <c r="J818" s="18" t="s">
        <v>58</v>
      </c>
      <c r="K818" s="18" t="s">
        <v>24</v>
      </c>
      <c r="L818" s="18" t="s">
        <v>25</v>
      </c>
      <c r="N818" s="18" t="s">
        <v>26</v>
      </c>
    </row>
    <row r="819" spans="1:14" ht="15" customHeight="1" x14ac:dyDescent="0.3">
      <c r="A819" s="18" t="s">
        <v>1898</v>
      </c>
      <c r="B819" s="19" t="s">
        <v>15</v>
      </c>
      <c r="C819" s="18" t="s">
        <v>210</v>
      </c>
      <c r="D819" s="18" t="s">
        <v>17</v>
      </c>
      <c r="E819" s="18" t="s">
        <v>117</v>
      </c>
      <c r="F819" s="18" t="s">
        <v>1922</v>
      </c>
      <c r="G819" s="18" t="s">
        <v>629</v>
      </c>
      <c r="H819" s="18" t="s">
        <v>1905</v>
      </c>
      <c r="I819" s="20" t="s">
        <v>1923</v>
      </c>
      <c r="J819" s="18" t="s">
        <v>58</v>
      </c>
      <c r="K819" s="18" t="s">
        <v>24</v>
      </c>
      <c r="L819" s="18" t="s">
        <v>25</v>
      </c>
      <c r="N819" s="18" t="s">
        <v>26</v>
      </c>
    </row>
    <row r="820" spans="1:14" ht="15" customHeight="1" x14ac:dyDescent="0.3">
      <c r="A820" s="18" t="s">
        <v>1898</v>
      </c>
      <c r="B820" s="19" t="s">
        <v>15</v>
      </c>
      <c r="C820" s="18" t="s">
        <v>210</v>
      </c>
      <c r="D820" s="18" t="s">
        <v>17</v>
      </c>
      <c r="E820" s="18" t="s">
        <v>117</v>
      </c>
      <c r="F820" s="18" t="s">
        <v>1086</v>
      </c>
      <c r="G820" s="18" t="s">
        <v>207</v>
      </c>
      <c r="H820" s="18" t="s">
        <v>1905</v>
      </c>
      <c r="I820" s="20" t="s">
        <v>1924</v>
      </c>
      <c r="J820" s="18" t="s">
        <v>58</v>
      </c>
      <c r="K820" s="18" t="s">
        <v>24</v>
      </c>
      <c r="L820" s="18" t="s">
        <v>25</v>
      </c>
      <c r="N820" s="18" t="s">
        <v>26</v>
      </c>
    </row>
    <row r="821" spans="1:14" ht="15" customHeight="1" x14ac:dyDescent="0.3">
      <c r="A821" s="18" t="s">
        <v>1898</v>
      </c>
      <c r="B821" s="19" t="s">
        <v>15</v>
      </c>
      <c r="C821" s="18" t="s">
        <v>210</v>
      </c>
      <c r="D821" s="18" t="s">
        <v>17</v>
      </c>
      <c r="E821" s="18" t="s">
        <v>117</v>
      </c>
      <c r="F821" s="18" t="s">
        <v>1925</v>
      </c>
      <c r="G821" s="18" t="s">
        <v>41</v>
      </c>
      <c r="H821" s="18" t="s">
        <v>1905</v>
      </c>
      <c r="I821" s="20" t="s">
        <v>1926</v>
      </c>
      <c r="J821" s="18" t="s">
        <v>58</v>
      </c>
      <c r="K821" s="18" t="s">
        <v>24</v>
      </c>
      <c r="L821" s="18" t="s">
        <v>25</v>
      </c>
      <c r="N821" s="18" t="s">
        <v>26</v>
      </c>
    </row>
    <row r="822" spans="1:14" ht="15" customHeight="1" x14ac:dyDescent="0.3">
      <c r="A822" s="18" t="s">
        <v>1898</v>
      </c>
      <c r="B822" s="19" t="s">
        <v>15</v>
      </c>
      <c r="C822" s="18" t="s">
        <v>210</v>
      </c>
      <c r="D822" s="18" t="s">
        <v>17</v>
      </c>
      <c r="E822" s="18" t="s">
        <v>117</v>
      </c>
      <c r="F822" s="18" t="s">
        <v>1927</v>
      </c>
      <c r="G822" s="18" t="s">
        <v>47</v>
      </c>
      <c r="H822" s="18" t="s">
        <v>1905</v>
      </c>
      <c r="I822" s="20" t="s">
        <v>1928</v>
      </c>
      <c r="J822" s="18" t="s">
        <v>58</v>
      </c>
      <c r="K822" s="18" t="s">
        <v>24</v>
      </c>
      <c r="L822" s="18" t="s">
        <v>25</v>
      </c>
      <c r="N822" s="18" t="s">
        <v>26</v>
      </c>
    </row>
    <row r="823" spans="1:14" ht="15" customHeight="1" x14ac:dyDescent="0.3">
      <c r="A823" s="18" t="s">
        <v>1898</v>
      </c>
      <c r="B823" s="19" t="s">
        <v>15</v>
      </c>
      <c r="C823" s="18" t="s">
        <v>210</v>
      </c>
      <c r="D823" s="18" t="s">
        <v>17</v>
      </c>
      <c r="E823" s="18" t="s">
        <v>117</v>
      </c>
      <c r="F823" s="18" t="s">
        <v>1929</v>
      </c>
      <c r="G823" s="18" t="s">
        <v>1204</v>
      </c>
      <c r="H823" s="18" t="s">
        <v>1902</v>
      </c>
      <c r="I823" s="20" t="s">
        <v>1930</v>
      </c>
      <c r="J823" s="18" t="s">
        <v>58</v>
      </c>
      <c r="K823" s="18" t="s">
        <v>24</v>
      </c>
      <c r="L823" s="18" t="s">
        <v>25</v>
      </c>
      <c r="N823" s="18" t="s">
        <v>26</v>
      </c>
    </row>
    <row r="824" spans="1:14" ht="15" customHeight="1" x14ac:dyDescent="0.3">
      <c r="A824" s="18" t="s">
        <v>1898</v>
      </c>
      <c r="B824" s="19" t="s">
        <v>15</v>
      </c>
      <c r="C824" s="18" t="s">
        <v>210</v>
      </c>
      <c r="D824" s="18" t="s">
        <v>17</v>
      </c>
      <c r="E824" s="18" t="s">
        <v>117</v>
      </c>
      <c r="F824" s="18" t="s">
        <v>1931</v>
      </c>
      <c r="G824" s="18" t="s">
        <v>429</v>
      </c>
      <c r="H824" s="18" t="s">
        <v>1909</v>
      </c>
      <c r="I824" s="20" t="s">
        <v>1932</v>
      </c>
      <c r="J824" s="18" t="s">
        <v>58</v>
      </c>
      <c r="K824" s="18" t="s">
        <v>24</v>
      </c>
      <c r="L824" s="18" t="s">
        <v>25</v>
      </c>
      <c r="N824" s="18" t="s">
        <v>26</v>
      </c>
    </row>
    <row r="825" spans="1:14" ht="15" customHeight="1" x14ac:dyDescent="0.3">
      <c r="A825" s="18" t="s">
        <v>1898</v>
      </c>
      <c r="B825" s="19" t="s">
        <v>15</v>
      </c>
      <c r="C825" s="18" t="s">
        <v>210</v>
      </c>
      <c r="D825" s="18" t="s">
        <v>17</v>
      </c>
      <c r="E825" s="18" t="s">
        <v>117</v>
      </c>
      <c r="F825" s="18" t="s">
        <v>1318</v>
      </c>
      <c r="G825" s="18" t="s">
        <v>207</v>
      </c>
      <c r="H825" s="18" t="s">
        <v>1933</v>
      </c>
      <c r="I825" s="20" t="s">
        <v>1934</v>
      </c>
      <c r="J825" s="18" t="s">
        <v>58</v>
      </c>
      <c r="K825" s="18" t="s">
        <v>24</v>
      </c>
      <c r="L825" s="18" t="s">
        <v>25</v>
      </c>
      <c r="N825" s="18" t="s">
        <v>26</v>
      </c>
    </row>
    <row r="826" spans="1:14" ht="15" customHeight="1" x14ac:dyDescent="0.3">
      <c r="A826" s="18" t="s">
        <v>1898</v>
      </c>
      <c r="B826" s="19" t="s">
        <v>15</v>
      </c>
      <c r="C826" s="18" t="s">
        <v>210</v>
      </c>
      <c r="D826" s="18" t="s">
        <v>17</v>
      </c>
      <c r="E826" s="18" t="s">
        <v>117</v>
      </c>
      <c r="F826" s="18" t="s">
        <v>1935</v>
      </c>
      <c r="G826" s="18" t="s">
        <v>1291</v>
      </c>
      <c r="H826" s="18" t="s">
        <v>1933</v>
      </c>
      <c r="I826" s="20" t="s">
        <v>1936</v>
      </c>
      <c r="J826" s="18" t="s">
        <v>58</v>
      </c>
      <c r="K826" s="18" t="s">
        <v>24</v>
      </c>
      <c r="L826" s="18" t="s">
        <v>25</v>
      </c>
      <c r="N826" s="18" t="s">
        <v>26</v>
      </c>
    </row>
    <row r="827" spans="1:14" ht="15" customHeight="1" x14ac:dyDescent="0.3">
      <c r="A827" s="18" t="s">
        <v>1898</v>
      </c>
      <c r="B827" s="19" t="s">
        <v>15</v>
      </c>
      <c r="C827" s="18" t="s">
        <v>210</v>
      </c>
      <c r="D827" s="18" t="s">
        <v>17</v>
      </c>
      <c r="E827" s="18" t="s">
        <v>117</v>
      </c>
      <c r="F827" s="18" t="s">
        <v>1937</v>
      </c>
      <c r="G827" s="18" t="s">
        <v>1075</v>
      </c>
      <c r="H827" s="18" t="s">
        <v>1902</v>
      </c>
      <c r="I827" s="20" t="s">
        <v>1938</v>
      </c>
      <c r="J827" s="18" t="s">
        <v>58</v>
      </c>
      <c r="K827" s="18" t="s">
        <v>24</v>
      </c>
      <c r="L827" s="18" t="s">
        <v>25</v>
      </c>
      <c r="N827" s="18" t="s">
        <v>26</v>
      </c>
    </row>
    <row r="828" spans="1:14" ht="15" customHeight="1" x14ac:dyDescent="0.3">
      <c r="A828" s="18" t="s">
        <v>1898</v>
      </c>
      <c r="B828" s="19" t="s">
        <v>15</v>
      </c>
      <c r="C828" s="18" t="s">
        <v>210</v>
      </c>
      <c r="D828" s="18" t="s">
        <v>17</v>
      </c>
      <c r="E828" s="18" t="s">
        <v>18</v>
      </c>
      <c r="F828" s="18" t="s">
        <v>722</v>
      </c>
      <c r="G828" s="18" t="s">
        <v>423</v>
      </c>
      <c r="H828" s="18" t="s">
        <v>1939</v>
      </c>
      <c r="I828" s="20" t="s">
        <v>1940</v>
      </c>
      <c r="J828" s="18" t="s">
        <v>23</v>
      </c>
      <c r="K828" s="18" t="s">
        <v>24</v>
      </c>
      <c r="L828" s="18" t="s">
        <v>25</v>
      </c>
      <c r="N828" s="18" t="s">
        <v>26</v>
      </c>
    </row>
    <row r="829" spans="1:14" ht="15" customHeight="1" x14ac:dyDescent="0.3">
      <c r="A829" s="18" t="s">
        <v>1898</v>
      </c>
      <c r="B829" s="19" t="s">
        <v>15</v>
      </c>
      <c r="C829" s="18" t="s">
        <v>210</v>
      </c>
      <c r="D829" s="18" t="s">
        <v>17</v>
      </c>
      <c r="E829" s="18" t="s">
        <v>18</v>
      </c>
      <c r="F829" s="18" t="s">
        <v>1941</v>
      </c>
      <c r="G829" s="18" t="s">
        <v>1291</v>
      </c>
      <c r="H829" s="18" t="s">
        <v>1933</v>
      </c>
      <c r="I829" s="20" t="s">
        <v>1942</v>
      </c>
      <c r="J829" s="18" t="s">
        <v>30</v>
      </c>
      <c r="K829" s="18" t="s">
        <v>24</v>
      </c>
      <c r="L829" s="18" t="s">
        <v>25</v>
      </c>
      <c r="N829" s="18" t="s">
        <v>26</v>
      </c>
    </row>
    <row r="830" spans="1:14" ht="15" customHeight="1" x14ac:dyDescent="0.3">
      <c r="A830" s="18" t="s">
        <v>1898</v>
      </c>
      <c r="B830" s="19" t="s">
        <v>15</v>
      </c>
      <c r="C830" s="18" t="s">
        <v>210</v>
      </c>
      <c r="D830" s="18" t="s">
        <v>17</v>
      </c>
      <c r="E830" s="18" t="s">
        <v>18</v>
      </c>
      <c r="F830" s="18" t="s">
        <v>1943</v>
      </c>
      <c r="G830" s="18" t="s">
        <v>1075</v>
      </c>
      <c r="H830" s="18" t="s">
        <v>1902</v>
      </c>
      <c r="I830" s="20" t="s">
        <v>1944</v>
      </c>
      <c r="J830" s="18" t="s">
        <v>30</v>
      </c>
      <c r="K830" s="18" t="s">
        <v>24</v>
      </c>
      <c r="L830" s="18" t="s">
        <v>25</v>
      </c>
      <c r="N830" s="18" t="s">
        <v>26</v>
      </c>
    </row>
    <row r="831" spans="1:14" ht="15" customHeight="1" x14ac:dyDescent="0.3">
      <c r="A831" s="18" t="s">
        <v>1898</v>
      </c>
      <c r="B831" s="19" t="s">
        <v>15</v>
      </c>
      <c r="C831" s="18" t="s">
        <v>210</v>
      </c>
      <c r="D831" s="18" t="s">
        <v>17</v>
      </c>
      <c r="E831" s="18" t="s">
        <v>18</v>
      </c>
      <c r="F831" s="18" t="s">
        <v>616</v>
      </c>
      <c r="G831" s="18" t="s">
        <v>429</v>
      </c>
      <c r="H831" s="18" t="s">
        <v>1945</v>
      </c>
      <c r="I831" s="20" t="s">
        <v>1946</v>
      </c>
      <c r="J831" s="18" t="s">
        <v>23</v>
      </c>
      <c r="K831" s="18" t="s">
        <v>24</v>
      </c>
      <c r="L831" s="18" t="s">
        <v>25</v>
      </c>
      <c r="N831" s="18" t="s">
        <v>26</v>
      </c>
    </row>
    <row r="832" spans="1:14" ht="15" customHeight="1" x14ac:dyDescent="0.3">
      <c r="A832" s="18" t="s">
        <v>1898</v>
      </c>
      <c r="B832" s="19" t="s">
        <v>15</v>
      </c>
      <c r="C832" s="18" t="s">
        <v>210</v>
      </c>
      <c r="D832" s="18" t="s">
        <v>17</v>
      </c>
      <c r="E832" s="18" t="s">
        <v>18</v>
      </c>
      <c r="F832" s="18" t="s">
        <v>1947</v>
      </c>
      <c r="G832" s="18" t="s">
        <v>85</v>
      </c>
      <c r="H832" s="18" t="s">
        <v>1948</v>
      </c>
      <c r="I832" s="20" t="s">
        <v>1949</v>
      </c>
      <c r="J832" s="18" t="s">
        <v>30</v>
      </c>
      <c r="K832" s="18" t="s">
        <v>24</v>
      </c>
      <c r="L832" s="18" t="s">
        <v>25</v>
      </c>
      <c r="N832" s="18" t="s">
        <v>26</v>
      </c>
    </row>
    <row r="833" spans="1:14" ht="15" customHeight="1" x14ac:dyDescent="0.3">
      <c r="A833" s="18" t="s">
        <v>1898</v>
      </c>
      <c r="B833" s="19" t="s">
        <v>15</v>
      </c>
      <c r="C833" s="18" t="s">
        <v>210</v>
      </c>
      <c r="D833" s="18" t="s">
        <v>17</v>
      </c>
      <c r="E833" s="18" t="s">
        <v>18</v>
      </c>
      <c r="F833" s="18" t="s">
        <v>272</v>
      </c>
      <c r="G833" s="18" t="s">
        <v>273</v>
      </c>
      <c r="H833" s="18" t="s">
        <v>1950</v>
      </c>
      <c r="I833" s="20" t="s">
        <v>1951</v>
      </c>
      <c r="J833" s="18" t="s">
        <v>30</v>
      </c>
      <c r="K833" s="18" t="s">
        <v>24</v>
      </c>
      <c r="L833" s="18" t="s">
        <v>25</v>
      </c>
      <c r="N833" s="18" t="s">
        <v>26</v>
      </c>
    </row>
    <row r="834" spans="1:14" ht="15" customHeight="1" x14ac:dyDescent="0.3">
      <c r="A834" s="18" t="s">
        <v>1898</v>
      </c>
      <c r="B834" s="19" t="s">
        <v>15</v>
      </c>
      <c r="C834" s="18" t="s">
        <v>210</v>
      </c>
      <c r="D834" s="18" t="s">
        <v>17</v>
      </c>
      <c r="E834" s="18" t="s">
        <v>18</v>
      </c>
      <c r="F834" s="18" t="s">
        <v>381</v>
      </c>
      <c r="G834" s="18" t="s">
        <v>381</v>
      </c>
      <c r="H834" s="18" t="s">
        <v>1945</v>
      </c>
      <c r="I834" s="20" t="s">
        <v>1952</v>
      </c>
      <c r="J834" s="18" t="s">
        <v>23</v>
      </c>
      <c r="K834" s="18" t="s">
        <v>24</v>
      </c>
      <c r="L834" s="18" t="s">
        <v>25</v>
      </c>
      <c r="N834" s="18" t="s">
        <v>26</v>
      </c>
    </row>
    <row r="835" spans="1:14" ht="15" customHeight="1" x14ac:dyDescent="0.3">
      <c r="A835" s="18" t="s">
        <v>1898</v>
      </c>
      <c r="B835" s="19" t="s">
        <v>15</v>
      </c>
      <c r="C835" s="18" t="s">
        <v>210</v>
      </c>
      <c r="D835" s="18" t="s">
        <v>17</v>
      </c>
      <c r="E835" s="18" t="s">
        <v>18</v>
      </c>
      <c r="F835" s="18" t="s">
        <v>624</v>
      </c>
      <c r="G835" s="18" t="s">
        <v>1953</v>
      </c>
      <c r="H835" s="18" t="s">
        <v>1954</v>
      </c>
      <c r="I835" s="20" t="s">
        <v>1955</v>
      </c>
      <c r="J835" s="18" t="s">
        <v>30</v>
      </c>
      <c r="K835" s="18" t="s">
        <v>24</v>
      </c>
      <c r="L835" s="18" t="s">
        <v>25</v>
      </c>
      <c r="N835" s="18" t="s">
        <v>26</v>
      </c>
    </row>
    <row r="836" spans="1:14" ht="15" customHeight="1" x14ac:dyDescent="0.3">
      <c r="A836" s="18" t="s">
        <v>1898</v>
      </c>
      <c r="B836" s="19" t="s">
        <v>15</v>
      </c>
      <c r="C836" s="18" t="s">
        <v>210</v>
      </c>
      <c r="D836" s="18" t="s">
        <v>17</v>
      </c>
      <c r="E836" s="18" t="s">
        <v>18</v>
      </c>
      <c r="F836" s="18" t="s">
        <v>1956</v>
      </c>
      <c r="G836" s="18" t="s">
        <v>47</v>
      </c>
      <c r="H836" s="18" t="s">
        <v>1902</v>
      </c>
      <c r="I836" s="20" t="s">
        <v>1957</v>
      </c>
      <c r="J836" s="18" t="s">
        <v>30</v>
      </c>
      <c r="K836" s="18" t="s">
        <v>24</v>
      </c>
      <c r="L836" s="18" t="s">
        <v>25</v>
      </c>
      <c r="N836" s="18" t="s">
        <v>26</v>
      </c>
    </row>
    <row r="837" spans="1:14" ht="15" customHeight="1" x14ac:dyDescent="0.3">
      <c r="A837" s="18" t="s">
        <v>1898</v>
      </c>
      <c r="B837" s="19" t="s">
        <v>15</v>
      </c>
      <c r="C837" s="18" t="s">
        <v>210</v>
      </c>
      <c r="D837" s="18" t="s">
        <v>17</v>
      </c>
      <c r="E837" s="18" t="s">
        <v>18</v>
      </c>
      <c r="F837" s="18" t="s">
        <v>578</v>
      </c>
      <c r="G837" s="18" t="s">
        <v>80</v>
      </c>
      <c r="H837" s="18" t="s">
        <v>1945</v>
      </c>
      <c r="I837" s="20" t="s">
        <v>1958</v>
      </c>
      <c r="J837" s="18" t="s">
        <v>23</v>
      </c>
      <c r="K837" s="18" t="s">
        <v>24</v>
      </c>
      <c r="L837" s="18" t="s">
        <v>25</v>
      </c>
      <c r="N837" s="18" t="s">
        <v>26</v>
      </c>
    </row>
    <row r="838" spans="1:14" ht="15" customHeight="1" x14ac:dyDescent="0.3">
      <c r="A838" s="18" t="s">
        <v>1898</v>
      </c>
      <c r="B838" s="19" t="s">
        <v>15</v>
      </c>
      <c r="C838" s="18" t="s">
        <v>210</v>
      </c>
      <c r="D838" s="18" t="s">
        <v>17</v>
      </c>
      <c r="E838" s="18" t="s">
        <v>18</v>
      </c>
      <c r="F838" s="18" t="s">
        <v>1959</v>
      </c>
      <c r="G838" s="18" t="s">
        <v>41</v>
      </c>
      <c r="H838" s="18" t="s">
        <v>1948</v>
      </c>
      <c r="I838" s="20" t="s">
        <v>1960</v>
      </c>
      <c r="J838" s="18" t="s">
        <v>30</v>
      </c>
      <c r="K838" s="18" t="s">
        <v>24</v>
      </c>
      <c r="L838" s="18" t="s">
        <v>25</v>
      </c>
      <c r="N838" s="18" t="s">
        <v>26</v>
      </c>
    </row>
    <row r="839" spans="1:14" ht="15" customHeight="1" x14ac:dyDescent="0.3">
      <c r="A839" s="18" t="s">
        <v>1898</v>
      </c>
      <c r="B839" s="19" t="s">
        <v>15</v>
      </c>
      <c r="C839" s="18" t="s">
        <v>210</v>
      </c>
      <c r="D839" s="18" t="s">
        <v>17</v>
      </c>
      <c r="E839" s="18" t="s">
        <v>18</v>
      </c>
      <c r="F839" s="18" t="s">
        <v>1961</v>
      </c>
      <c r="G839" s="18" t="s">
        <v>41</v>
      </c>
      <c r="H839" s="18" t="s">
        <v>1948</v>
      </c>
      <c r="I839" s="20" t="s">
        <v>1962</v>
      </c>
      <c r="J839" s="18" t="s">
        <v>30</v>
      </c>
      <c r="K839" s="18" t="s">
        <v>24</v>
      </c>
      <c r="L839" s="18" t="s">
        <v>25</v>
      </c>
      <c r="N839" s="18" t="s">
        <v>26</v>
      </c>
    </row>
    <row r="840" spans="1:14" ht="15" customHeight="1" x14ac:dyDescent="0.3">
      <c r="A840" s="18" t="s">
        <v>1898</v>
      </c>
      <c r="B840" s="19" t="s">
        <v>15</v>
      </c>
      <c r="C840" s="18" t="s">
        <v>210</v>
      </c>
      <c r="D840" s="18" t="s">
        <v>17</v>
      </c>
      <c r="E840" s="18" t="s">
        <v>18</v>
      </c>
      <c r="F840" s="18" t="s">
        <v>1963</v>
      </c>
      <c r="G840" s="18" t="s">
        <v>537</v>
      </c>
      <c r="H840" s="18" t="s">
        <v>1948</v>
      </c>
      <c r="I840" s="20" t="s">
        <v>1964</v>
      </c>
      <c r="J840" s="18" t="s">
        <v>30</v>
      </c>
      <c r="K840" s="18" t="s">
        <v>24</v>
      </c>
      <c r="L840" s="18" t="s">
        <v>25</v>
      </c>
      <c r="N840" s="18" t="s">
        <v>26</v>
      </c>
    </row>
    <row r="841" spans="1:14" ht="15" customHeight="1" x14ac:dyDescent="0.3">
      <c r="A841" s="18" t="s">
        <v>1898</v>
      </c>
      <c r="B841" s="19" t="s">
        <v>15</v>
      </c>
      <c r="C841" s="18" t="s">
        <v>210</v>
      </c>
      <c r="D841" s="18" t="s">
        <v>17</v>
      </c>
      <c r="E841" s="18" t="s">
        <v>18</v>
      </c>
      <c r="F841" s="18" t="s">
        <v>1965</v>
      </c>
      <c r="G841" s="18" t="s">
        <v>28</v>
      </c>
      <c r="H841" s="18" t="s">
        <v>1933</v>
      </c>
      <c r="I841" s="20" t="s">
        <v>1966</v>
      </c>
      <c r="J841" s="18" t="s">
        <v>30</v>
      </c>
      <c r="K841" s="18" t="s">
        <v>24</v>
      </c>
      <c r="L841" s="18" t="s">
        <v>25</v>
      </c>
      <c r="N841" s="18" t="s">
        <v>26</v>
      </c>
    </row>
    <row r="842" spans="1:14" ht="15" customHeight="1" x14ac:dyDescent="0.3">
      <c r="A842" s="18" t="s">
        <v>1898</v>
      </c>
      <c r="B842" s="19" t="s">
        <v>15</v>
      </c>
      <c r="C842" s="18" t="s">
        <v>210</v>
      </c>
      <c r="D842" s="18" t="s">
        <v>17</v>
      </c>
      <c r="E842" s="18" t="s">
        <v>18</v>
      </c>
      <c r="F842" s="18" t="s">
        <v>774</v>
      </c>
      <c r="G842" s="18" t="s">
        <v>429</v>
      </c>
      <c r="H842" s="18" t="s">
        <v>1945</v>
      </c>
      <c r="I842" s="20" t="s">
        <v>1967</v>
      </c>
      <c r="J842" s="18" t="s">
        <v>23</v>
      </c>
      <c r="K842" s="18" t="s">
        <v>24</v>
      </c>
      <c r="L842" s="18" t="s">
        <v>25</v>
      </c>
      <c r="N842" s="18" t="s">
        <v>26</v>
      </c>
    </row>
    <row r="843" spans="1:14" ht="15" customHeight="1" x14ac:dyDescent="0.3">
      <c r="A843" s="18" t="s">
        <v>1898</v>
      </c>
      <c r="B843" s="19" t="s">
        <v>15</v>
      </c>
      <c r="C843" s="18" t="s">
        <v>210</v>
      </c>
      <c r="D843" s="18" t="s">
        <v>17</v>
      </c>
      <c r="E843" s="18" t="s">
        <v>18</v>
      </c>
      <c r="F843" s="18" t="s">
        <v>582</v>
      </c>
      <c r="G843" s="18" t="s">
        <v>20</v>
      </c>
      <c r="H843" s="18" t="s">
        <v>1945</v>
      </c>
      <c r="I843" s="20" t="s">
        <v>1968</v>
      </c>
      <c r="J843" s="18" t="s">
        <v>23</v>
      </c>
      <c r="K843" s="18" t="s">
        <v>24</v>
      </c>
      <c r="L843" s="18" t="s">
        <v>25</v>
      </c>
      <c r="N843" s="18" t="s">
        <v>26</v>
      </c>
    </row>
    <row r="844" spans="1:14" ht="15" customHeight="1" x14ac:dyDescent="0.3">
      <c r="A844" s="18" t="s">
        <v>1898</v>
      </c>
      <c r="B844" s="19" t="s">
        <v>15</v>
      </c>
      <c r="C844" s="18" t="s">
        <v>210</v>
      </c>
      <c r="D844" s="18" t="s">
        <v>17</v>
      </c>
      <c r="E844" s="18" t="s">
        <v>55</v>
      </c>
      <c r="F844" s="18" t="s">
        <v>1969</v>
      </c>
      <c r="G844" s="18" t="s">
        <v>151</v>
      </c>
      <c r="H844" s="18" t="s">
        <v>1933</v>
      </c>
      <c r="I844" s="20" t="s">
        <v>1970</v>
      </c>
      <c r="J844" s="18" t="s">
        <v>58</v>
      </c>
      <c r="K844" s="18" t="s">
        <v>24</v>
      </c>
      <c r="L844" s="18" t="s">
        <v>25</v>
      </c>
      <c r="N844" s="18" t="s">
        <v>26</v>
      </c>
    </row>
    <row r="845" spans="1:14" ht="15" customHeight="1" x14ac:dyDescent="0.3">
      <c r="A845" s="18" t="s">
        <v>1898</v>
      </c>
      <c r="B845" s="19" t="s">
        <v>15</v>
      </c>
      <c r="C845" s="18" t="s">
        <v>210</v>
      </c>
      <c r="D845" s="18" t="s">
        <v>17</v>
      </c>
      <c r="E845" s="18" t="s">
        <v>55</v>
      </c>
      <c r="F845" s="18" t="s">
        <v>1971</v>
      </c>
      <c r="G845" s="18" t="s">
        <v>151</v>
      </c>
      <c r="H845" s="18" t="s">
        <v>1933</v>
      </c>
      <c r="I845" s="20" t="s">
        <v>1972</v>
      </c>
      <c r="J845" s="18" t="s">
        <v>58</v>
      </c>
      <c r="K845" s="18" t="s">
        <v>24</v>
      </c>
      <c r="L845" s="18" t="s">
        <v>25</v>
      </c>
      <c r="N845" s="18" t="s">
        <v>26</v>
      </c>
    </row>
    <row r="846" spans="1:14" ht="15" customHeight="1" x14ac:dyDescent="0.3">
      <c r="A846" s="18" t="s">
        <v>1898</v>
      </c>
      <c r="B846" s="19" t="s">
        <v>15</v>
      </c>
      <c r="C846" s="18" t="s">
        <v>210</v>
      </c>
      <c r="D846" s="18" t="s">
        <v>17</v>
      </c>
      <c r="E846" s="18" t="s">
        <v>55</v>
      </c>
      <c r="F846" s="18" t="s">
        <v>1526</v>
      </c>
      <c r="G846" s="18" t="s">
        <v>1363</v>
      </c>
      <c r="H846" s="18" t="s">
        <v>1899</v>
      </c>
      <c r="I846" s="20" t="s">
        <v>1973</v>
      </c>
      <c r="J846" s="18" t="s">
        <v>73</v>
      </c>
      <c r="K846" s="18" t="s">
        <v>24</v>
      </c>
      <c r="L846" s="18" t="s">
        <v>25</v>
      </c>
      <c r="N846" s="18" t="s">
        <v>26</v>
      </c>
    </row>
    <row r="847" spans="1:14" ht="15" customHeight="1" x14ac:dyDescent="0.3">
      <c r="A847" s="18" t="s">
        <v>1898</v>
      </c>
      <c r="B847" s="19" t="s">
        <v>15</v>
      </c>
      <c r="C847" s="18" t="s">
        <v>210</v>
      </c>
      <c r="D847" s="18" t="s">
        <v>17</v>
      </c>
      <c r="E847" s="18" t="s">
        <v>55</v>
      </c>
      <c r="F847" s="18" t="s">
        <v>1529</v>
      </c>
      <c r="G847" s="18" t="s">
        <v>1363</v>
      </c>
      <c r="H847" s="18" t="s">
        <v>1899</v>
      </c>
      <c r="I847" s="20" t="s">
        <v>1974</v>
      </c>
      <c r="J847" s="18" t="s">
        <v>58</v>
      </c>
      <c r="K847" s="18" t="s">
        <v>24</v>
      </c>
      <c r="L847" s="18" t="s">
        <v>25</v>
      </c>
      <c r="N847" s="18" t="s">
        <v>26</v>
      </c>
    </row>
    <row r="848" spans="1:14" ht="15" customHeight="1" x14ac:dyDescent="0.3">
      <c r="A848" s="18" t="s">
        <v>1898</v>
      </c>
      <c r="B848" s="19" t="s">
        <v>15</v>
      </c>
      <c r="C848" s="18" t="s">
        <v>210</v>
      </c>
      <c r="D848" s="18" t="s">
        <v>17</v>
      </c>
      <c r="E848" s="18" t="s">
        <v>55</v>
      </c>
      <c r="F848" s="18" t="s">
        <v>385</v>
      </c>
      <c r="G848" s="18" t="s">
        <v>381</v>
      </c>
      <c r="H848" s="18" t="s">
        <v>1909</v>
      </c>
      <c r="I848" s="20" t="s">
        <v>1975</v>
      </c>
      <c r="J848" s="18" t="s">
        <v>73</v>
      </c>
      <c r="K848" s="18" t="s">
        <v>24</v>
      </c>
      <c r="L848" s="18" t="s">
        <v>25</v>
      </c>
      <c r="N848" s="18" t="s">
        <v>26</v>
      </c>
    </row>
    <row r="849" spans="1:14" ht="15" customHeight="1" x14ac:dyDescent="0.3">
      <c r="A849" s="18" t="s">
        <v>1898</v>
      </c>
      <c r="B849" s="19" t="s">
        <v>15</v>
      </c>
      <c r="C849" s="18" t="s">
        <v>210</v>
      </c>
      <c r="D849" s="18" t="s">
        <v>17</v>
      </c>
      <c r="E849" s="18" t="s">
        <v>55</v>
      </c>
      <c r="F849" s="18" t="s">
        <v>281</v>
      </c>
      <c r="G849" s="18" t="s">
        <v>1976</v>
      </c>
      <c r="H849" s="18" t="s">
        <v>1899</v>
      </c>
      <c r="I849" s="20" t="s">
        <v>1977</v>
      </c>
      <c r="J849" s="18" t="s">
        <v>58</v>
      </c>
      <c r="K849" s="18" t="s">
        <v>24</v>
      </c>
      <c r="L849" s="18" t="s">
        <v>25</v>
      </c>
      <c r="N849" s="18" t="s">
        <v>26</v>
      </c>
    </row>
    <row r="850" spans="1:14" ht="15" customHeight="1" x14ac:dyDescent="0.3">
      <c r="A850" s="18" t="s">
        <v>1898</v>
      </c>
      <c r="B850" s="19" t="s">
        <v>15</v>
      </c>
      <c r="C850" s="18" t="s">
        <v>210</v>
      </c>
      <c r="D850" s="18" t="s">
        <v>17</v>
      </c>
      <c r="E850" s="18" t="s">
        <v>55</v>
      </c>
      <c r="F850" s="18" t="s">
        <v>1978</v>
      </c>
      <c r="G850" s="18" t="s">
        <v>28</v>
      </c>
      <c r="H850" s="18" t="s">
        <v>1933</v>
      </c>
      <c r="I850" s="20" t="s">
        <v>1979</v>
      </c>
      <c r="J850" s="18" t="s">
        <v>58</v>
      </c>
      <c r="K850" s="18" t="s">
        <v>24</v>
      </c>
      <c r="L850" s="18" t="s">
        <v>25</v>
      </c>
      <c r="N850" s="18" t="s">
        <v>26</v>
      </c>
    </row>
    <row r="851" spans="1:14" ht="15" customHeight="1" x14ac:dyDescent="0.3">
      <c r="A851" s="18" t="s">
        <v>1898</v>
      </c>
      <c r="B851" s="19" t="s">
        <v>15</v>
      </c>
      <c r="C851" s="18" t="s">
        <v>210</v>
      </c>
      <c r="D851" s="18" t="s">
        <v>17</v>
      </c>
      <c r="E851" s="18" t="s">
        <v>55</v>
      </c>
      <c r="F851" s="18" t="s">
        <v>1980</v>
      </c>
      <c r="G851" s="18" t="s">
        <v>433</v>
      </c>
      <c r="H851" s="18" t="s">
        <v>1902</v>
      </c>
      <c r="I851" s="20" t="s">
        <v>1981</v>
      </c>
      <c r="J851" s="18" t="s">
        <v>73</v>
      </c>
      <c r="K851" s="18" t="s">
        <v>24</v>
      </c>
      <c r="L851" s="18" t="s">
        <v>25</v>
      </c>
      <c r="N851" s="18" t="s">
        <v>26</v>
      </c>
    </row>
    <row r="852" spans="1:14" ht="15" customHeight="1" x14ac:dyDescent="0.3">
      <c r="A852" s="18" t="s">
        <v>1898</v>
      </c>
      <c r="B852" s="19" t="s">
        <v>15</v>
      </c>
      <c r="C852" s="18" t="s">
        <v>1982</v>
      </c>
      <c r="D852" s="18" t="s">
        <v>17</v>
      </c>
      <c r="E852" s="18" t="s">
        <v>74</v>
      </c>
      <c r="F852" s="18" t="s">
        <v>1983</v>
      </c>
      <c r="G852" s="18" t="s">
        <v>381</v>
      </c>
      <c r="H852" s="18" t="s">
        <v>1984</v>
      </c>
      <c r="I852" s="20" t="s">
        <v>1985</v>
      </c>
      <c r="J852" s="18" t="s">
        <v>1986</v>
      </c>
      <c r="K852" s="18" t="s">
        <v>24</v>
      </c>
      <c r="L852" s="18" t="s">
        <v>25</v>
      </c>
      <c r="N852" s="18" t="s">
        <v>154</v>
      </c>
    </row>
    <row r="853" spans="1:14" ht="15" customHeight="1" x14ac:dyDescent="0.3">
      <c r="A853" s="18" t="s">
        <v>1898</v>
      </c>
      <c r="B853" s="19" t="s">
        <v>15</v>
      </c>
      <c r="C853" s="18" t="s">
        <v>210</v>
      </c>
      <c r="D853" s="18" t="s">
        <v>17</v>
      </c>
      <c r="E853" s="18" t="s">
        <v>74</v>
      </c>
      <c r="F853" s="18" t="s">
        <v>1987</v>
      </c>
      <c r="G853" s="18" t="s">
        <v>564</v>
      </c>
      <c r="H853" s="18" t="s">
        <v>1988</v>
      </c>
      <c r="I853" s="20" t="s">
        <v>1989</v>
      </c>
      <c r="J853" s="18" t="s">
        <v>179</v>
      </c>
      <c r="K853" s="18" t="s">
        <v>24</v>
      </c>
      <c r="L853" s="18" t="s">
        <v>25</v>
      </c>
      <c r="N853" s="18" t="s">
        <v>26</v>
      </c>
    </row>
    <row r="854" spans="1:14" ht="15" customHeight="1" x14ac:dyDescent="0.3">
      <c r="A854" s="18" t="s">
        <v>1898</v>
      </c>
      <c r="B854" s="19" t="s">
        <v>15</v>
      </c>
      <c r="C854" s="18" t="s">
        <v>210</v>
      </c>
      <c r="D854" s="18" t="s">
        <v>17</v>
      </c>
      <c r="E854" s="18" t="s">
        <v>74</v>
      </c>
      <c r="F854" s="18" t="s">
        <v>1990</v>
      </c>
      <c r="G854" s="18" t="s">
        <v>207</v>
      </c>
      <c r="H854" s="18" t="s">
        <v>1991</v>
      </c>
      <c r="I854" s="20" t="s">
        <v>1992</v>
      </c>
      <c r="J854" s="18" t="s">
        <v>1993</v>
      </c>
      <c r="K854" s="18" t="s">
        <v>24</v>
      </c>
      <c r="L854" s="18" t="s">
        <v>25</v>
      </c>
      <c r="N854" s="18" t="s">
        <v>26</v>
      </c>
    </row>
    <row r="855" spans="1:14" ht="15" customHeight="1" x14ac:dyDescent="0.3">
      <c r="A855" s="18" t="s">
        <v>1898</v>
      </c>
      <c r="B855" s="19" t="s">
        <v>15</v>
      </c>
      <c r="C855" s="18" t="s">
        <v>210</v>
      </c>
      <c r="D855" s="18" t="s">
        <v>17</v>
      </c>
      <c r="E855" s="18" t="s">
        <v>74</v>
      </c>
      <c r="F855" s="18" t="s">
        <v>1994</v>
      </c>
      <c r="G855" s="18" t="s">
        <v>41</v>
      </c>
      <c r="H855" s="18" t="s">
        <v>1991</v>
      </c>
      <c r="I855" s="20" t="s">
        <v>1995</v>
      </c>
      <c r="J855" s="18" t="s">
        <v>1996</v>
      </c>
      <c r="K855" s="18" t="s">
        <v>24</v>
      </c>
      <c r="L855" s="18" t="s">
        <v>25</v>
      </c>
      <c r="N855" s="18" t="s">
        <v>26</v>
      </c>
    </row>
    <row r="856" spans="1:14" ht="15" customHeight="1" x14ac:dyDescent="0.3">
      <c r="A856" s="18" t="s">
        <v>1898</v>
      </c>
      <c r="B856" s="19" t="s">
        <v>15</v>
      </c>
      <c r="C856" s="18" t="s">
        <v>210</v>
      </c>
      <c r="D856" s="18" t="s">
        <v>17</v>
      </c>
      <c r="E856" s="18" t="s">
        <v>74</v>
      </c>
      <c r="F856" s="18" t="s">
        <v>1997</v>
      </c>
      <c r="G856" s="18" t="s">
        <v>41</v>
      </c>
      <c r="H856" s="18" t="s">
        <v>1991</v>
      </c>
      <c r="I856" s="20" t="s">
        <v>1998</v>
      </c>
      <c r="J856" s="18" t="s">
        <v>1993</v>
      </c>
      <c r="K856" s="18" t="s">
        <v>24</v>
      </c>
      <c r="L856" s="18" t="s">
        <v>25</v>
      </c>
      <c r="N856" s="18" t="s">
        <v>26</v>
      </c>
    </row>
    <row r="857" spans="1:14" ht="15" customHeight="1" x14ac:dyDescent="0.3">
      <c r="A857" s="18" t="s">
        <v>1898</v>
      </c>
      <c r="B857" s="19" t="s">
        <v>15</v>
      </c>
      <c r="C857" s="18" t="s">
        <v>210</v>
      </c>
      <c r="D857" s="18" t="s">
        <v>17</v>
      </c>
      <c r="E857" s="18" t="s">
        <v>74</v>
      </c>
      <c r="F857" s="18" t="s">
        <v>1999</v>
      </c>
      <c r="G857" s="18" t="s">
        <v>41</v>
      </c>
      <c r="H857" s="18" t="s">
        <v>2000</v>
      </c>
      <c r="I857" s="20" t="s">
        <v>2001</v>
      </c>
      <c r="J857" s="18" t="s">
        <v>179</v>
      </c>
      <c r="K857" s="18" t="s">
        <v>24</v>
      </c>
      <c r="L857" s="18" t="s">
        <v>25</v>
      </c>
      <c r="N857" s="18" t="s">
        <v>26</v>
      </c>
    </row>
    <row r="858" spans="1:14" ht="15" customHeight="1" x14ac:dyDescent="0.3">
      <c r="A858" s="18" t="s">
        <v>1898</v>
      </c>
      <c r="B858" s="19" t="s">
        <v>15</v>
      </c>
      <c r="C858" s="18" t="s">
        <v>210</v>
      </c>
      <c r="D858" s="18" t="s">
        <v>17</v>
      </c>
      <c r="E858" s="18" t="s">
        <v>74</v>
      </c>
      <c r="F858" s="18" t="s">
        <v>2002</v>
      </c>
      <c r="G858" s="18" t="s">
        <v>298</v>
      </c>
      <c r="H858" s="18" t="s">
        <v>946</v>
      </c>
      <c r="I858" s="20" t="s">
        <v>2003</v>
      </c>
      <c r="J858" s="18" t="s">
        <v>179</v>
      </c>
      <c r="K858" s="18" t="s">
        <v>24</v>
      </c>
      <c r="L858" s="18" t="s">
        <v>25</v>
      </c>
      <c r="N858" s="18" t="s">
        <v>26</v>
      </c>
    </row>
    <row r="859" spans="1:14" ht="15" customHeight="1" x14ac:dyDescent="0.3">
      <c r="A859" s="18" t="s">
        <v>1898</v>
      </c>
      <c r="B859" s="19" t="s">
        <v>15</v>
      </c>
      <c r="C859" s="18" t="s">
        <v>210</v>
      </c>
      <c r="D859" s="18" t="s">
        <v>17</v>
      </c>
      <c r="E859" s="18" t="s">
        <v>74</v>
      </c>
      <c r="F859" s="18" t="s">
        <v>2004</v>
      </c>
      <c r="G859" s="18" t="s">
        <v>20</v>
      </c>
      <c r="H859" s="18" t="s">
        <v>2005</v>
      </c>
      <c r="I859" s="20" t="s">
        <v>2006</v>
      </c>
      <c r="J859" s="18" t="s">
        <v>179</v>
      </c>
      <c r="K859" s="18" t="s">
        <v>24</v>
      </c>
      <c r="L859" s="18" t="s">
        <v>25</v>
      </c>
      <c r="N859" s="18" t="s">
        <v>26</v>
      </c>
    </row>
    <row r="860" spans="1:14" ht="15" customHeight="1" x14ac:dyDescent="0.3">
      <c r="A860" s="18" t="s">
        <v>1898</v>
      </c>
      <c r="B860" s="19" t="s">
        <v>15</v>
      </c>
      <c r="C860" s="18" t="s">
        <v>210</v>
      </c>
      <c r="D860" s="18" t="s">
        <v>17</v>
      </c>
      <c r="E860" s="18" t="s">
        <v>74</v>
      </c>
      <c r="F860" s="18" t="s">
        <v>2007</v>
      </c>
      <c r="G860" s="18" t="s">
        <v>28</v>
      </c>
      <c r="H860" s="18" t="s">
        <v>2008</v>
      </c>
      <c r="I860" s="20" t="s">
        <v>2009</v>
      </c>
      <c r="J860" s="18" t="s">
        <v>2010</v>
      </c>
      <c r="K860" s="18" t="s">
        <v>24</v>
      </c>
      <c r="L860" s="18" t="s">
        <v>25</v>
      </c>
      <c r="N860" s="18" t="s">
        <v>26</v>
      </c>
    </row>
    <row r="861" spans="1:14" ht="15" customHeight="1" x14ac:dyDescent="0.3">
      <c r="A861" s="18" t="s">
        <v>2011</v>
      </c>
      <c r="B861" s="19" t="s">
        <v>15</v>
      </c>
      <c r="C861" s="18" t="s">
        <v>2012</v>
      </c>
      <c r="D861" s="18" t="s">
        <v>17</v>
      </c>
      <c r="E861" s="18" t="s">
        <v>117</v>
      </c>
      <c r="F861" s="18" t="s">
        <v>1623</v>
      </c>
      <c r="G861" s="18" t="s">
        <v>263</v>
      </c>
      <c r="H861" s="18" t="s">
        <v>2013</v>
      </c>
      <c r="I861" s="20" t="s">
        <v>2014</v>
      </c>
      <c r="J861" s="18" t="s">
        <v>58</v>
      </c>
      <c r="K861" s="18" t="s">
        <v>24</v>
      </c>
      <c r="L861" s="18" t="s">
        <v>25</v>
      </c>
      <c r="N861" s="18" t="s">
        <v>154</v>
      </c>
    </row>
    <row r="862" spans="1:14" ht="15" customHeight="1" x14ac:dyDescent="0.3">
      <c r="A862" s="18" t="s">
        <v>2011</v>
      </c>
      <c r="B862" s="19" t="s">
        <v>15</v>
      </c>
      <c r="C862" s="18" t="s">
        <v>2012</v>
      </c>
      <c r="D862" s="18" t="s">
        <v>17</v>
      </c>
      <c r="E862" s="18" t="s">
        <v>117</v>
      </c>
      <c r="F862" s="18" t="s">
        <v>2015</v>
      </c>
      <c r="G862" s="18" t="s">
        <v>1019</v>
      </c>
      <c r="H862" s="18" t="s">
        <v>2013</v>
      </c>
      <c r="I862" s="20" t="s">
        <v>2016</v>
      </c>
      <c r="J862" s="18" t="s">
        <v>58</v>
      </c>
      <c r="K862" s="18" t="s">
        <v>24</v>
      </c>
      <c r="L862" s="18" t="s">
        <v>25</v>
      </c>
      <c r="N862" s="18" t="s">
        <v>154</v>
      </c>
    </row>
    <row r="863" spans="1:14" ht="15" customHeight="1" x14ac:dyDescent="0.3">
      <c r="A863" s="18" t="s">
        <v>2011</v>
      </c>
      <c r="B863" s="19" t="s">
        <v>15</v>
      </c>
      <c r="C863" s="18" t="s">
        <v>2012</v>
      </c>
      <c r="D863" s="18" t="s">
        <v>17</v>
      </c>
      <c r="E863" s="18" t="s">
        <v>117</v>
      </c>
      <c r="F863" s="18" t="s">
        <v>1637</v>
      </c>
      <c r="G863" s="18" t="s">
        <v>1019</v>
      </c>
      <c r="H863" s="18" t="s">
        <v>2013</v>
      </c>
      <c r="I863" s="20" t="s">
        <v>2017</v>
      </c>
      <c r="J863" s="18" t="s">
        <v>58</v>
      </c>
      <c r="K863" s="18" t="s">
        <v>24</v>
      </c>
      <c r="L863" s="18" t="s">
        <v>25</v>
      </c>
      <c r="N863" s="18" t="s">
        <v>154</v>
      </c>
    </row>
    <row r="864" spans="1:14" ht="15" customHeight="1" x14ac:dyDescent="0.3">
      <c r="A864" s="18" t="s">
        <v>2011</v>
      </c>
      <c r="B864" s="19" t="s">
        <v>15</v>
      </c>
      <c r="C864" s="18" t="s">
        <v>2012</v>
      </c>
      <c r="D864" s="18" t="s">
        <v>17</v>
      </c>
      <c r="E864" s="18" t="s">
        <v>117</v>
      </c>
      <c r="F864" s="18" t="s">
        <v>1648</v>
      </c>
      <c r="G864" s="18" t="s">
        <v>1019</v>
      </c>
      <c r="H864" s="18" t="s">
        <v>2013</v>
      </c>
      <c r="I864" s="20" t="s">
        <v>2018</v>
      </c>
      <c r="J864" s="18" t="s">
        <v>58</v>
      </c>
      <c r="K864" s="18" t="s">
        <v>24</v>
      </c>
      <c r="L864" s="18" t="s">
        <v>25</v>
      </c>
      <c r="N864" s="18" t="s">
        <v>154</v>
      </c>
    </row>
    <row r="865" spans="1:14" ht="15" customHeight="1" x14ac:dyDescent="0.3">
      <c r="A865" s="18" t="s">
        <v>2011</v>
      </c>
      <c r="B865" s="19" t="s">
        <v>15</v>
      </c>
      <c r="C865" s="18" t="s">
        <v>2012</v>
      </c>
      <c r="D865" s="18" t="s">
        <v>17</v>
      </c>
      <c r="E865" s="18" t="s">
        <v>117</v>
      </c>
      <c r="F865" s="18" t="s">
        <v>575</v>
      </c>
      <c r="G865" s="18" t="s">
        <v>263</v>
      </c>
      <c r="H865" s="18" t="s">
        <v>2013</v>
      </c>
      <c r="I865" s="20" t="s">
        <v>2019</v>
      </c>
      <c r="J865" s="18" t="s">
        <v>58</v>
      </c>
      <c r="K865" s="18" t="s">
        <v>24</v>
      </c>
      <c r="L865" s="18" t="s">
        <v>25</v>
      </c>
      <c r="N865" s="18" t="s">
        <v>154</v>
      </c>
    </row>
    <row r="866" spans="1:14" ht="15" customHeight="1" x14ac:dyDescent="0.3">
      <c r="A866" s="18" t="s">
        <v>2011</v>
      </c>
      <c r="B866" s="19" t="s">
        <v>15</v>
      </c>
      <c r="C866" s="18" t="s">
        <v>2012</v>
      </c>
      <c r="D866" s="18" t="s">
        <v>17</v>
      </c>
      <c r="E866" s="18" t="s">
        <v>117</v>
      </c>
      <c r="F866" s="18" t="s">
        <v>2020</v>
      </c>
      <c r="G866" s="18" t="s">
        <v>619</v>
      </c>
      <c r="H866" s="18" t="s">
        <v>2013</v>
      </c>
      <c r="I866" s="20" t="s">
        <v>2021</v>
      </c>
      <c r="J866" s="18" t="s">
        <v>58</v>
      </c>
      <c r="K866" s="18" t="s">
        <v>24</v>
      </c>
      <c r="L866" s="18" t="s">
        <v>25</v>
      </c>
      <c r="N866" s="18" t="s">
        <v>154</v>
      </c>
    </row>
    <row r="867" spans="1:14" ht="15" customHeight="1" x14ac:dyDescent="0.3">
      <c r="A867" s="18" t="s">
        <v>2011</v>
      </c>
      <c r="B867" s="19" t="s">
        <v>15</v>
      </c>
      <c r="C867" s="18" t="s">
        <v>2012</v>
      </c>
      <c r="D867" s="18" t="s">
        <v>17</v>
      </c>
      <c r="E867" s="18" t="s">
        <v>117</v>
      </c>
      <c r="F867" s="18" t="s">
        <v>2022</v>
      </c>
      <c r="G867" s="18" t="s">
        <v>1019</v>
      </c>
      <c r="H867" s="18" t="s">
        <v>2013</v>
      </c>
      <c r="I867" s="20" t="s">
        <v>2023</v>
      </c>
      <c r="J867" s="18" t="s">
        <v>58</v>
      </c>
      <c r="K867" s="18" t="s">
        <v>24</v>
      </c>
      <c r="L867" s="18" t="s">
        <v>25</v>
      </c>
      <c r="N867" s="18" t="s">
        <v>154</v>
      </c>
    </row>
    <row r="868" spans="1:14" ht="15" customHeight="1" x14ac:dyDescent="0.3">
      <c r="A868" s="18" t="s">
        <v>2011</v>
      </c>
      <c r="B868" s="19" t="s">
        <v>15</v>
      </c>
      <c r="C868" s="18" t="s">
        <v>2012</v>
      </c>
      <c r="D868" s="18" t="s">
        <v>17</v>
      </c>
      <c r="E868" s="18" t="s">
        <v>18</v>
      </c>
      <c r="F868" s="18" t="s">
        <v>2024</v>
      </c>
      <c r="G868" s="18" t="s">
        <v>1019</v>
      </c>
      <c r="H868" s="18" t="s">
        <v>2013</v>
      </c>
      <c r="I868" s="20" t="s">
        <v>2025</v>
      </c>
      <c r="J868" s="18" t="s">
        <v>30</v>
      </c>
      <c r="K868" s="18" t="s">
        <v>24</v>
      </c>
      <c r="L868" s="18" t="s">
        <v>25</v>
      </c>
      <c r="N868" s="18" t="s">
        <v>154</v>
      </c>
    </row>
    <row r="869" spans="1:14" ht="15" customHeight="1" x14ac:dyDescent="0.3">
      <c r="A869" s="18" t="s">
        <v>2011</v>
      </c>
      <c r="B869" s="19" t="s">
        <v>15</v>
      </c>
      <c r="C869" s="18" t="s">
        <v>2012</v>
      </c>
      <c r="D869" s="18" t="s">
        <v>17</v>
      </c>
      <c r="E869" s="18" t="s">
        <v>18</v>
      </c>
      <c r="F869" s="18" t="s">
        <v>356</v>
      </c>
      <c r="G869" s="18" t="s">
        <v>273</v>
      </c>
      <c r="H869" s="18" t="s">
        <v>2013</v>
      </c>
      <c r="I869" s="20" t="s">
        <v>2026</v>
      </c>
      <c r="J869" s="18" t="s">
        <v>30</v>
      </c>
      <c r="K869" s="18" t="s">
        <v>24</v>
      </c>
      <c r="L869" s="18" t="s">
        <v>25</v>
      </c>
      <c r="N869" s="18" t="s">
        <v>154</v>
      </c>
    </row>
    <row r="870" spans="1:14" ht="15" customHeight="1" x14ac:dyDescent="0.3">
      <c r="A870" s="18" t="s">
        <v>2011</v>
      </c>
      <c r="B870" s="19" t="s">
        <v>15</v>
      </c>
      <c r="C870" s="18" t="s">
        <v>2012</v>
      </c>
      <c r="D870" s="18" t="s">
        <v>17</v>
      </c>
      <c r="E870" s="18" t="s">
        <v>18</v>
      </c>
      <c r="F870" s="18" t="s">
        <v>2027</v>
      </c>
      <c r="G870" s="18" t="s">
        <v>619</v>
      </c>
      <c r="H870" s="18" t="s">
        <v>2013</v>
      </c>
      <c r="I870" s="20" t="s">
        <v>2028</v>
      </c>
      <c r="J870" s="18" t="s">
        <v>30</v>
      </c>
      <c r="K870" s="18" t="s">
        <v>24</v>
      </c>
      <c r="L870" s="18" t="s">
        <v>25</v>
      </c>
      <c r="N870" s="18" t="s">
        <v>154</v>
      </c>
    </row>
    <row r="871" spans="1:14" ht="15" customHeight="1" x14ac:dyDescent="0.3">
      <c r="A871" s="18" t="s">
        <v>2011</v>
      </c>
      <c r="B871" s="19" t="s">
        <v>15</v>
      </c>
      <c r="C871" s="18" t="s">
        <v>2012</v>
      </c>
      <c r="D871" s="18" t="s">
        <v>17</v>
      </c>
      <c r="E871" s="18" t="s">
        <v>18</v>
      </c>
      <c r="F871" s="18" t="s">
        <v>1653</v>
      </c>
      <c r="G871" s="18" t="s">
        <v>1019</v>
      </c>
      <c r="H871" s="18" t="s">
        <v>2013</v>
      </c>
      <c r="I871" s="20" t="s">
        <v>2029</v>
      </c>
      <c r="J871" s="18" t="s">
        <v>30</v>
      </c>
      <c r="K871" s="18" t="s">
        <v>24</v>
      </c>
      <c r="L871" s="18" t="s">
        <v>25</v>
      </c>
      <c r="N871" s="18" t="s">
        <v>154</v>
      </c>
    </row>
    <row r="872" spans="1:14" ht="15" customHeight="1" x14ac:dyDescent="0.3">
      <c r="A872" s="18" t="s">
        <v>2011</v>
      </c>
      <c r="B872" s="19" t="s">
        <v>15</v>
      </c>
      <c r="C872" s="18" t="s">
        <v>2012</v>
      </c>
      <c r="D872" s="18" t="s">
        <v>17</v>
      </c>
      <c r="E872" s="18" t="s">
        <v>55</v>
      </c>
      <c r="F872" s="18" t="s">
        <v>2030</v>
      </c>
      <c r="G872" s="18" t="s">
        <v>1019</v>
      </c>
      <c r="H872" s="18" t="s">
        <v>2013</v>
      </c>
      <c r="I872" s="20" t="s">
        <v>2031</v>
      </c>
      <c r="J872" s="18" t="s">
        <v>58</v>
      </c>
      <c r="K872" s="18" t="s">
        <v>24</v>
      </c>
      <c r="L872" s="18" t="s">
        <v>25</v>
      </c>
      <c r="N872" s="18" t="s">
        <v>154</v>
      </c>
    </row>
    <row r="873" spans="1:14" ht="15" customHeight="1" x14ac:dyDescent="0.3">
      <c r="A873" s="18" t="s">
        <v>2011</v>
      </c>
      <c r="B873" s="19" t="s">
        <v>15</v>
      </c>
      <c r="C873" s="18" t="s">
        <v>2012</v>
      </c>
      <c r="D873" s="18" t="s">
        <v>17</v>
      </c>
      <c r="E873" s="18" t="s">
        <v>55</v>
      </c>
      <c r="F873" s="18" t="s">
        <v>2027</v>
      </c>
      <c r="G873" s="18" t="s">
        <v>619</v>
      </c>
      <c r="H873" s="18" t="s">
        <v>2013</v>
      </c>
      <c r="I873" s="20" t="s">
        <v>2032</v>
      </c>
      <c r="J873" s="18" t="s">
        <v>58</v>
      </c>
      <c r="K873" s="18" t="s">
        <v>24</v>
      </c>
      <c r="L873" s="18" t="s">
        <v>25</v>
      </c>
      <c r="N873" s="18" t="s">
        <v>154</v>
      </c>
    </row>
    <row r="874" spans="1:14" ht="15" customHeight="1" x14ac:dyDescent="0.3">
      <c r="A874" s="18" t="s">
        <v>2033</v>
      </c>
      <c r="B874" s="19" t="s">
        <v>15</v>
      </c>
      <c r="C874" s="18" t="s">
        <v>816</v>
      </c>
      <c r="D874" s="18" t="s">
        <v>116</v>
      </c>
      <c r="E874" s="18" t="s">
        <v>117</v>
      </c>
      <c r="F874" s="18" t="s">
        <v>2034</v>
      </c>
      <c r="G874" s="18" t="s">
        <v>1704</v>
      </c>
      <c r="H874" s="18" t="s">
        <v>2035</v>
      </c>
      <c r="I874" s="20" t="s">
        <v>2036</v>
      </c>
      <c r="J874" s="18" t="s">
        <v>58</v>
      </c>
      <c r="K874" s="18" t="s">
        <v>24</v>
      </c>
      <c r="L874" s="18" t="s">
        <v>25</v>
      </c>
      <c r="N874" s="18" t="s">
        <v>820</v>
      </c>
    </row>
    <row r="875" spans="1:14" ht="15" customHeight="1" x14ac:dyDescent="0.3">
      <c r="A875" s="18" t="s">
        <v>2033</v>
      </c>
      <c r="B875" s="19" t="s">
        <v>15</v>
      </c>
      <c r="C875" s="18" t="s">
        <v>816</v>
      </c>
      <c r="D875" s="18" t="s">
        <v>116</v>
      </c>
      <c r="E875" s="18" t="s">
        <v>117</v>
      </c>
      <c r="F875" s="18" t="s">
        <v>765</v>
      </c>
      <c r="G875" s="18" t="s">
        <v>429</v>
      </c>
      <c r="H875" s="18" t="s">
        <v>2037</v>
      </c>
      <c r="I875" s="20" t="s">
        <v>2038</v>
      </c>
      <c r="J875" s="18" t="s">
        <v>58</v>
      </c>
      <c r="K875" s="18" t="s">
        <v>24</v>
      </c>
      <c r="L875" s="18" t="s">
        <v>25</v>
      </c>
      <c r="N875" s="18" t="s">
        <v>820</v>
      </c>
    </row>
    <row r="876" spans="1:14" ht="15" customHeight="1" x14ac:dyDescent="0.3">
      <c r="A876" s="18" t="s">
        <v>2033</v>
      </c>
      <c r="B876" s="19" t="s">
        <v>15</v>
      </c>
      <c r="C876" s="18" t="s">
        <v>2039</v>
      </c>
      <c r="D876" s="18" t="s">
        <v>116</v>
      </c>
      <c r="E876" s="18" t="s">
        <v>117</v>
      </c>
      <c r="F876" s="18" t="s">
        <v>974</v>
      </c>
      <c r="G876" s="18" t="s">
        <v>263</v>
      </c>
      <c r="H876" s="18" t="s">
        <v>2040</v>
      </c>
      <c r="I876" s="20" t="s">
        <v>2041</v>
      </c>
      <c r="J876" s="18" t="s">
        <v>58</v>
      </c>
      <c r="K876" s="18" t="s">
        <v>24</v>
      </c>
      <c r="L876" s="18" t="s">
        <v>25</v>
      </c>
      <c r="N876" s="18" t="s">
        <v>820</v>
      </c>
    </row>
    <row r="877" spans="1:14" ht="15" customHeight="1" x14ac:dyDescent="0.3">
      <c r="A877" s="18" t="s">
        <v>2033</v>
      </c>
      <c r="B877" s="19" t="s">
        <v>15</v>
      </c>
      <c r="C877" s="18" t="s">
        <v>816</v>
      </c>
      <c r="D877" s="18" t="s">
        <v>116</v>
      </c>
      <c r="E877" s="18" t="s">
        <v>117</v>
      </c>
      <c r="F877" s="18" t="s">
        <v>1294</v>
      </c>
      <c r="G877" s="18" t="s">
        <v>1295</v>
      </c>
      <c r="H877" s="18" t="s">
        <v>2042</v>
      </c>
      <c r="I877" s="20" t="s">
        <v>2043</v>
      </c>
      <c r="J877" s="18" t="s">
        <v>58</v>
      </c>
      <c r="K877" s="18" t="s">
        <v>24</v>
      </c>
      <c r="L877" s="18" t="s">
        <v>25</v>
      </c>
      <c r="N877" s="18" t="s">
        <v>820</v>
      </c>
    </row>
    <row r="878" spans="1:14" ht="15" customHeight="1" x14ac:dyDescent="0.3">
      <c r="A878" s="18" t="s">
        <v>2033</v>
      </c>
      <c r="B878" s="19" t="s">
        <v>15</v>
      </c>
      <c r="C878" s="18" t="s">
        <v>816</v>
      </c>
      <c r="D878" s="18" t="s">
        <v>116</v>
      </c>
      <c r="E878" s="18" t="s">
        <v>117</v>
      </c>
      <c r="F878" s="18" t="s">
        <v>1629</v>
      </c>
      <c r="G878" s="18" t="s">
        <v>219</v>
      </c>
      <c r="H878" s="18" t="s">
        <v>2044</v>
      </c>
      <c r="I878" s="20" t="s">
        <v>2045</v>
      </c>
      <c r="J878" s="18" t="s">
        <v>58</v>
      </c>
      <c r="K878" s="18" t="s">
        <v>24</v>
      </c>
      <c r="L878" s="18" t="s">
        <v>25</v>
      </c>
      <c r="N878" s="18" t="s">
        <v>820</v>
      </c>
    </row>
    <row r="879" spans="1:14" ht="15" customHeight="1" x14ac:dyDescent="0.3">
      <c r="A879" s="18" t="s">
        <v>2033</v>
      </c>
      <c r="B879" s="19" t="s">
        <v>15</v>
      </c>
      <c r="C879" s="18" t="s">
        <v>816</v>
      </c>
      <c r="D879" s="18" t="s">
        <v>116</v>
      </c>
      <c r="E879" s="18" t="s">
        <v>117</v>
      </c>
      <c r="F879" s="18" t="s">
        <v>2046</v>
      </c>
      <c r="G879" s="18" t="s">
        <v>2047</v>
      </c>
      <c r="H879" s="18" t="s">
        <v>2037</v>
      </c>
      <c r="I879" s="20" t="s">
        <v>2048</v>
      </c>
      <c r="J879" s="18" t="s">
        <v>58</v>
      </c>
      <c r="K879" s="18" t="s">
        <v>24</v>
      </c>
      <c r="L879" s="18" t="s">
        <v>25</v>
      </c>
      <c r="N879" s="18" t="s">
        <v>820</v>
      </c>
    </row>
    <row r="880" spans="1:14" ht="15" customHeight="1" x14ac:dyDescent="0.3">
      <c r="A880" s="18" t="s">
        <v>2033</v>
      </c>
      <c r="B880" s="19" t="s">
        <v>15</v>
      </c>
      <c r="C880" s="18" t="s">
        <v>816</v>
      </c>
      <c r="D880" s="18" t="s">
        <v>116</v>
      </c>
      <c r="E880" s="18" t="s">
        <v>117</v>
      </c>
      <c r="F880" s="18" t="s">
        <v>2049</v>
      </c>
      <c r="G880" s="18" t="s">
        <v>1019</v>
      </c>
      <c r="H880" s="18" t="s">
        <v>2050</v>
      </c>
      <c r="I880" s="20" t="s">
        <v>2051</v>
      </c>
      <c r="J880" s="18" t="s">
        <v>58</v>
      </c>
      <c r="K880" s="18" t="s">
        <v>24</v>
      </c>
      <c r="L880" s="18" t="s">
        <v>25</v>
      </c>
      <c r="N880" s="18" t="s">
        <v>820</v>
      </c>
    </row>
    <row r="881" spans="1:14" ht="15" customHeight="1" x14ac:dyDescent="0.3">
      <c r="A881" s="18" t="s">
        <v>2033</v>
      </c>
      <c r="B881" s="19" t="s">
        <v>15</v>
      </c>
      <c r="C881" s="18" t="s">
        <v>816</v>
      </c>
      <c r="D881" s="18" t="s">
        <v>116</v>
      </c>
      <c r="E881" s="18" t="s">
        <v>117</v>
      </c>
      <c r="F881" s="18" t="s">
        <v>2052</v>
      </c>
      <c r="G881" s="18" t="s">
        <v>1075</v>
      </c>
      <c r="H881" s="18" t="s">
        <v>2053</v>
      </c>
      <c r="I881" s="20" t="s">
        <v>2054</v>
      </c>
      <c r="J881" s="18" t="s">
        <v>58</v>
      </c>
      <c r="K881" s="18" t="s">
        <v>24</v>
      </c>
      <c r="L881" s="18" t="s">
        <v>25</v>
      </c>
      <c r="N881" s="18" t="s">
        <v>820</v>
      </c>
    </row>
    <row r="882" spans="1:14" ht="15" customHeight="1" x14ac:dyDescent="0.3">
      <c r="A882" s="18" t="s">
        <v>2033</v>
      </c>
      <c r="B882" s="19" t="s">
        <v>15</v>
      </c>
      <c r="C882" s="18" t="s">
        <v>816</v>
      </c>
      <c r="D882" s="18" t="s">
        <v>116</v>
      </c>
      <c r="E882" s="18" t="s">
        <v>117</v>
      </c>
      <c r="F882" s="18" t="s">
        <v>2055</v>
      </c>
      <c r="G882" s="18" t="s">
        <v>41</v>
      </c>
      <c r="H882" s="18" t="s">
        <v>2053</v>
      </c>
      <c r="I882" s="20" t="s">
        <v>2056</v>
      </c>
      <c r="J882" s="18" t="s">
        <v>58</v>
      </c>
      <c r="K882" s="18" t="s">
        <v>24</v>
      </c>
      <c r="L882" s="18" t="s">
        <v>25</v>
      </c>
      <c r="N882" s="18" t="s">
        <v>820</v>
      </c>
    </row>
    <row r="883" spans="1:14" ht="15" customHeight="1" x14ac:dyDescent="0.3">
      <c r="A883" s="18" t="s">
        <v>2033</v>
      </c>
      <c r="B883" s="19" t="s">
        <v>15</v>
      </c>
      <c r="C883" s="18" t="s">
        <v>816</v>
      </c>
      <c r="D883" s="18" t="s">
        <v>116</v>
      </c>
      <c r="E883" s="18" t="s">
        <v>117</v>
      </c>
      <c r="F883" s="18" t="s">
        <v>2057</v>
      </c>
      <c r="G883" s="18" t="s">
        <v>536</v>
      </c>
      <c r="H883" s="18" t="s">
        <v>2053</v>
      </c>
      <c r="I883" s="20" t="s">
        <v>2058</v>
      </c>
      <c r="J883" s="18" t="s">
        <v>58</v>
      </c>
      <c r="K883" s="18" t="s">
        <v>24</v>
      </c>
      <c r="L883" s="18" t="s">
        <v>25</v>
      </c>
      <c r="N883" s="18" t="s">
        <v>820</v>
      </c>
    </row>
    <row r="884" spans="1:14" ht="15" customHeight="1" x14ac:dyDescent="0.3">
      <c r="A884" s="18" t="s">
        <v>2033</v>
      </c>
      <c r="B884" s="19" t="s">
        <v>15</v>
      </c>
      <c r="C884" s="18" t="s">
        <v>816</v>
      </c>
      <c r="D884" s="18" t="s">
        <v>116</v>
      </c>
      <c r="E884" s="18" t="s">
        <v>117</v>
      </c>
      <c r="F884" s="18" t="s">
        <v>2059</v>
      </c>
      <c r="G884" s="18" t="s">
        <v>913</v>
      </c>
      <c r="H884" s="18" t="s">
        <v>2037</v>
      </c>
      <c r="I884" s="20" t="s">
        <v>2060</v>
      </c>
      <c r="J884" s="18" t="s">
        <v>58</v>
      </c>
      <c r="K884" s="18" t="s">
        <v>24</v>
      </c>
      <c r="L884" s="18" t="s">
        <v>25</v>
      </c>
      <c r="N884" s="18" t="s">
        <v>820</v>
      </c>
    </row>
    <row r="885" spans="1:14" ht="15" customHeight="1" x14ac:dyDescent="0.3">
      <c r="A885" s="18" t="s">
        <v>2033</v>
      </c>
      <c r="B885" s="19" t="s">
        <v>15</v>
      </c>
      <c r="C885" s="18" t="s">
        <v>816</v>
      </c>
      <c r="D885" s="18" t="s">
        <v>116</v>
      </c>
      <c r="E885" s="18" t="s">
        <v>117</v>
      </c>
      <c r="F885" s="18" t="s">
        <v>2061</v>
      </c>
      <c r="G885" s="18" t="s">
        <v>2047</v>
      </c>
      <c r="H885" s="18" t="s">
        <v>2037</v>
      </c>
      <c r="I885" s="20" t="s">
        <v>2062</v>
      </c>
      <c r="J885" s="18" t="s">
        <v>58</v>
      </c>
      <c r="K885" s="18" t="s">
        <v>24</v>
      </c>
      <c r="L885" s="18" t="s">
        <v>25</v>
      </c>
      <c r="N885" s="18" t="s">
        <v>820</v>
      </c>
    </row>
    <row r="886" spans="1:14" ht="15" customHeight="1" x14ac:dyDescent="0.3">
      <c r="A886" s="18" t="s">
        <v>2033</v>
      </c>
      <c r="B886" s="19" t="s">
        <v>15</v>
      </c>
      <c r="C886" s="18" t="s">
        <v>816</v>
      </c>
      <c r="D886" s="18" t="s">
        <v>116</v>
      </c>
      <c r="E886" s="18" t="s">
        <v>117</v>
      </c>
      <c r="F886" s="18" t="s">
        <v>2063</v>
      </c>
      <c r="G886" s="18" t="s">
        <v>340</v>
      </c>
      <c r="H886" s="18" t="s">
        <v>2050</v>
      </c>
      <c r="I886" s="20" t="s">
        <v>2064</v>
      </c>
      <c r="J886" s="18" t="s">
        <v>58</v>
      </c>
      <c r="K886" s="18" t="s">
        <v>24</v>
      </c>
      <c r="L886" s="18" t="s">
        <v>25</v>
      </c>
      <c r="N886" s="18" t="s">
        <v>820</v>
      </c>
    </row>
    <row r="887" spans="1:14" ht="15" customHeight="1" x14ac:dyDescent="0.3">
      <c r="A887" s="18" t="s">
        <v>2033</v>
      </c>
      <c r="B887" s="19" t="s">
        <v>15</v>
      </c>
      <c r="C887" s="18" t="s">
        <v>816</v>
      </c>
      <c r="D887" s="18" t="s">
        <v>116</v>
      </c>
      <c r="E887" s="18" t="s">
        <v>117</v>
      </c>
      <c r="F887" s="18" t="s">
        <v>128</v>
      </c>
      <c r="G887" s="18" t="s">
        <v>47</v>
      </c>
      <c r="H887" s="18" t="s">
        <v>2053</v>
      </c>
      <c r="I887" s="20" t="s">
        <v>2065</v>
      </c>
      <c r="J887" s="18" t="s">
        <v>58</v>
      </c>
      <c r="K887" s="18" t="s">
        <v>24</v>
      </c>
      <c r="L887" s="18" t="s">
        <v>25</v>
      </c>
      <c r="N887" s="18" t="s">
        <v>820</v>
      </c>
    </row>
    <row r="888" spans="1:14" ht="15" customHeight="1" x14ac:dyDescent="0.3">
      <c r="A888" s="18" t="s">
        <v>2033</v>
      </c>
      <c r="B888" s="19" t="s">
        <v>15</v>
      </c>
      <c r="C888" s="18" t="s">
        <v>816</v>
      </c>
      <c r="D888" s="18" t="s">
        <v>116</v>
      </c>
      <c r="E888" s="18" t="s">
        <v>117</v>
      </c>
      <c r="F888" s="18" t="s">
        <v>2020</v>
      </c>
      <c r="G888" s="18" t="s">
        <v>619</v>
      </c>
      <c r="H888" s="18" t="s">
        <v>2053</v>
      </c>
      <c r="I888" s="20" t="s">
        <v>2066</v>
      </c>
      <c r="J888" s="18" t="s">
        <v>58</v>
      </c>
      <c r="K888" s="18" t="s">
        <v>24</v>
      </c>
      <c r="L888" s="18" t="s">
        <v>25</v>
      </c>
      <c r="N888" s="18" t="s">
        <v>820</v>
      </c>
    </row>
    <row r="889" spans="1:14" ht="15" customHeight="1" x14ac:dyDescent="0.3">
      <c r="A889" s="18" t="s">
        <v>2033</v>
      </c>
      <c r="B889" s="19" t="s">
        <v>15</v>
      </c>
      <c r="C889" s="18" t="s">
        <v>816</v>
      </c>
      <c r="D889" s="18" t="s">
        <v>116</v>
      </c>
      <c r="E889" s="18" t="s">
        <v>117</v>
      </c>
      <c r="F889" s="18" t="s">
        <v>2067</v>
      </c>
      <c r="G889" s="18" t="s">
        <v>1502</v>
      </c>
      <c r="H889" s="18" t="s">
        <v>2037</v>
      </c>
      <c r="I889" s="20" t="s">
        <v>2068</v>
      </c>
      <c r="J889" s="18" t="s">
        <v>58</v>
      </c>
      <c r="K889" s="18" t="s">
        <v>24</v>
      </c>
      <c r="L889" s="18" t="s">
        <v>25</v>
      </c>
      <c r="N889" s="18" t="s">
        <v>820</v>
      </c>
    </row>
    <row r="890" spans="1:14" ht="15" customHeight="1" x14ac:dyDescent="0.3">
      <c r="A890" s="18" t="s">
        <v>2033</v>
      </c>
      <c r="B890" s="19" t="s">
        <v>15</v>
      </c>
      <c r="C890" s="18" t="s">
        <v>816</v>
      </c>
      <c r="D890" s="18" t="s">
        <v>116</v>
      </c>
      <c r="E890" s="18" t="s">
        <v>117</v>
      </c>
      <c r="F890" s="18" t="s">
        <v>2069</v>
      </c>
      <c r="G890" s="18" t="s">
        <v>160</v>
      </c>
      <c r="H890" s="18" t="s">
        <v>2050</v>
      </c>
      <c r="I890" s="20" t="s">
        <v>2070</v>
      </c>
      <c r="J890" s="18" t="s">
        <v>58</v>
      </c>
      <c r="K890" s="18" t="s">
        <v>24</v>
      </c>
      <c r="L890" s="18" t="s">
        <v>25</v>
      </c>
      <c r="N890" s="18" t="s">
        <v>820</v>
      </c>
    </row>
    <row r="891" spans="1:14" ht="15" customHeight="1" x14ac:dyDescent="0.3">
      <c r="A891" s="18" t="s">
        <v>2033</v>
      </c>
      <c r="B891" s="19" t="s">
        <v>15</v>
      </c>
      <c r="C891" s="18" t="s">
        <v>816</v>
      </c>
      <c r="D891" s="18" t="s">
        <v>116</v>
      </c>
      <c r="E891" s="18" t="s">
        <v>117</v>
      </c>
      <c r="F891" s="18" t="s">
        <v>2071</v>
      </c>
      <c r="G891" s="18" t="s">
        <v>913</v>
      </c>
      <c r="H891" s="18" t="s">
        <v>2037</v>
      </c>
      <c r="I891" s="20" t="s">
        <v>2072</v>
      </c>
      <c r="J891" s="18" t="s">
        <v>58</v>
      </c>
      <c r="K891" s="18" t="s">
        <v>24</v>
      </c>
      <c r="L891" s="18" t="s">
        <v>25</v>
      </c>
      <c r="N891" s="18" t="s">
        <v>820</v>
      </c>
    </row>
    <row r="892" spans="1:14" ht="15" customHeight="1" x14ac:dyDescent="0.3">
      <c r="A892" s="18" t="s">
        <v>2033</v>
      </c>
      <c r="B892" s="19" t="s">
        <v>15</v>
      </c>
      <c r="C892" s="18" t="s">
        <v>816</v>
      </c>
      <c r="D892" s="18" t="s">
        <v>116</v>
      </c>
      <c r="E892" s="18" t="s">
        <v>117</v>
      </c>
      <c r="F892" s="18" t="s">
        <v>2073</v>
      </c>
      <c r="G892" s="18" t="s">
        <v>1009</v>
      </c>
      <c r="H892" s="18" t="s">
        <v>2037</v>
      </c>
      <c r="I892" s="20" t="s">
        <v>2074</v>
      </c>
      <c r="J892" s="18" t="s">
        <v>58</v>
      </c>
      <c r="K892" s="18" t="s">
        <v>24</v>
      </c>
      <c r="L892" s="18" t="s">
        <v>25</v>
      </c>
      <c r="N892" s="18" t="s">
        <v>820</v>
      </c>
    </row>
    <row r="893" spans="1:14" ht="15" customHeight="1" x14ac:dyDescent="0.3">
      <c r="A893" s="18" t="s">
        <v>2033</v>
      </c>
      <c r="B893" s="19" t="s">
        <v>15</v>
      </c>
      <c r="C893" s="18" t="s">
        <v>816</v>
      </c>
      <c r="D893" s="18" t="s">
        <v>116</v>
      </c>
      <c r="E893" s="18" t="s">
        <v>117</v>
      </c>
      <c r="F893" s="18" t="s">
        <v>2075</v>
      </c>
      <c r="G893" s="18" t="s">
        <v>47</v>
      </c>
      <c r="H893" s="18" t="s">
        <v>2053</v>
      </c>
      <c r="I893" s="20" t="s">
        <v>2076</v>
      </c>
      <c r="J893" s="18" t="s">
        <v>58</v>
      </c>
      <c r="K893" s="18" t="s">
        <v>24</v>
      </c>
      <c r="L893" s="18" t="s">
        <v>25</v>
      </c>
      <c r="N893" s="18" t="s">
        <v>820</v>
      </c>
    </row>
    <row r="894" spans="1:14" ht="15" customHeight="1" x14ac:dyDescent="0.3">
      <c r="A894" s="18" t="s">
        <v>2033</v>
      </c>
      <c r="B894" s="19" t="s">
        <v>15</v>
      </c>
      <c r="C894" s="18" t="s">
        <v>816</v>
      </c>
      <c r="D894" s="18" t="s">
        <v>116</v>
      </c>
      <c r="E894" s="18" t="s">
        <v>117</v>
      </c>
      <c r="F894" s="18" t="s">
        <v>2077</v>
      </c>
      <c r="G894" s="18" t="s">
        <v>41</v>
      </c>
      <c r="H894" s="18" t="s">
        <v>2053</v>
      </c>
      <c r="I894" s="20" t="s">
        <v>2078</v>
      </c>
      <c r="J894" s="18" t="s">
        <v>58</v>
      </c>
      <c r="K894" s="18" t="s">
        <v>24</v>
      </c>
      <c r="L894" s="18" t="s">
        <v>25</v>
      </c>
      <c r="N894" s="18" t="s">
        <v>820</v>
      </c>
    </row>
    <row r="895" spans="1:14" ht="15" customHeight="1" x14ac:dyDescent="0.3">
      <c r="A895" s="18" t="s">
        <v>2033</v>
      </c>
      <c r="B895" s="19" t="s">
        <v>15</v>
      </c>
      <c r="C895" s="18" t="s">
        <v>816</v>
      </c>
      <c r="D895" s="18" t="s">
        <v>116</v>
      </c>
      <c r="E895" s="18" t="s">
        <v>117</v>
      </c>
      <c r="F895" s="18" t="s">
        <v>2079</v>
      </c>
      <c r="G895" s="18" t="s">
        <v>536</v>
      </c>
      <c r="H895" s="18" t="s">
        <v>2053</v>
      </c>
      <c r="I895" s="20" t="s">
        <v>2080</v>
      </c>
      <c r="J895" s="18" t="s">
        <v>58</v>
      </c>
      <c r="K895" s="18" t="s">
        <v>24</v>
      </c>
      <c r="L895" s="18" t="s">
        <v>25</v>
      </c>
      <c r="N895" s="18" t="s">
        <v>820</v>
      </c>
    </row>
    <row r="896" spans="1:14" ht="15" customHeight="1" x14ac:dyDescent="0.3">
      <c r="A896" s="18" t="s">
        <v>2033</v>
      </c>
      <c r="B896" s="19" t="s">
        <v>15</v>
      </c>
      <c r="C896" s="18" t="s">
        <v>816</v>
      </c>
      <c r="D896" s="18" t="s">
        <v>116</v>
      </c>
      <c r="E896" s="18" t="s">
        <v>117</v>
      </c>
      <c r="F896" s="18" t="s">
        <v>2081</v>
      </c>
      <c r="G896" s="18" t="s">
        <v>2082</v>
      </c>
      <c r="H896" s="18" t="s">
        <v>2037</v>
      </c>
      <c r="I896" s="20" t="s">
        <v>2083</v>
      </c>
      <c r="J896" s="18" t="s">
        <v>58</v>
      </c>
      <c r="K896" s="18" t="s">
        <v>24</v>
      </c>
      <c r="L896" s="18" t="s">
        <v>25</v>
      </c>
      <c r="N896" s="18" t="s">
        <v>820</v>
      </c>
    </row>
    <row r="897" spans="1:14" ht="15" customHeight="1" x14ac:dyDescent="0.3">
      <c r="A897" s="18" t="s">
        <v>2033</v>
      </c>
      <c r="B897" s="19" t="s">
        <v>15</v>
      </c>
      <c r="C897" s="18" t="s">
        <v>816</v>
      </c>
      <c r="D897" s="18" t="s">
        <v>116</v>
      </c>
      <c r="E897" s="18" t="s">
        <v>18</v>
      </c>
      <c r="F897" s="18" t="s">
        <v>2084</v>
      </c>
      <c r="G897" s="18" t="s">
        <v>1704</v>
      </c>
      <c r="H897" s="18" t="s">
        <v>2085</v>
      </c>
      <c r="I897" s="20" t="s">
        <v>2086</v>
      </c>
      <c r="J897" s="18" t="s">
        <v>30</v>
      </c>
      <c r="K897" s="18" t="s">
        <v>24</v>
      </c>
      <c r="L897" s="18" t="s">
        <v>25</v>
      </c>
      <c r="N897" s="18" t="s">
        <v>820</v>
      </c>
    </row>
    <row r="898" spans="1:14" ht="15" customHeight="1" x14ac:dyDescent="0.3">
      <c r="A898" s="18" t="s">
        <v>2033</v>
      </c>
      <c r="B898" s="19" t="s">
        <v>15</v>
      </c>
      <c r="C898" s="18" t="s">
        <v>816</v>
      </c>
      <c r="D898" s="18" t="s">
        <v>116</v>
      </c>
      <c r="E898" s="18" t="s">
        <v>18</v>
      </c>
      <c r="F898" s="18" t="s">
        <v>2087</v>
      </c>
      <c r="G898" s="18" t="s">
        <v>160</v>
      </c>
      <c r="H898" s="18" t="s">
        <v>2042</v>
      </c>
      <c r="I898" s="20" t="s">
        <v>2088</v>
      </c>
      <c r="J898" s="18" t="s">
        <v>30</v>
      </c>
      <c r="K898" s="18" t="s">
        <v>24</v>
      </c>
      <c r="L898" s="18" t="s">
        <v>25</v>
      </c>
      <c r="N898" s="18" t="s">
        <v>820</v>
      </c>
    </row>
    <row r="899" spans="1:14" ht="15" customHeight="1" x14ac:dyDescent="0.3">
      <c r="A899" s="18" t="s">
        <v>2033</v>
      </c>
      <c r="B899" s="19" t="s">
        <v>15</v>
      </c>
      <c r="C899" s="18" t="s">
        <v>816</v>
      </c>
      <c r="D899" s="18" t="s">
        <v>116</v>
      </c>
      <c r="E899" s="18" t="s">
        <v>18</v>
      </c>
      <c r="F899" s="18" t="s">
        <v>2089</v>
      </c>
      <c r="G899" s="18" t="s">
        <v>913</v>
      </c>
      <c r="H899" s="18" t="s">
        <v>2037</v>
      </c>
      <c r="I899" s="20" t="s">
        <v>2090</v>
      </c>
      <c r="J899" s="18" t="s">
        <v>30</v>
      </c>
      <c r="K899" s="18" t="s">
        <v>24</v>
      </c>
      <c r="L899" s="18" t="s">
        <v>25</v>
      </c>
      <c r="N899" s="18" t="s">
        <v>820</v>
      </c>
    </row>
    <row r="900" spans="1:14" ht="15" customHeight="1" x14ac:dyDescent="0.3">
      <c r="A900" s="18" t="s">
        <v>2033</v>
      </c>
      <c r="B900" s="19" t="s">
        <v>15</v>
      </c>
      <c r="C900" s="18" t="s">
        <v>816</v>
      </c>
      <c r="D900" s="18" t="s">
        <v>116</v>
      </c>
      <c r="E900" s="18" t="s">
        <v>18</v>
      </c>
      <c r="F900" s="18" t="s">
        <v>1019</v>
      </c>
      <c r="G900" s="18" t="s">
        <v>1019</v>
      </c>
      <c r="H900" s="18" t="s">
        <v>2091</v>
      </c>
      <c r="I900" s="20" t="s">
        <v>2092</v>
      </c>
      <c r="J900" s="18" t="s">
        <v>30</v>
      </c>
      <c r="K900" s="18" t="s">
        <v>24</v>
      </c>
      <c r="L900" s="18" t="s">
        <v>25</v>
      </c>
      <c r="N900" s="18" t="s">
        <v>820</v>
      </c>
    </row>
    <row r="901" spans="1:14" ht="15" customHeight="1" x14ac:dyDescent="0.3">
      <c r="A901" s="18" t="s">
        <v>2033</v>
      </c>
      <c r="B901" s="19" t="s">
        <v>15</v>
      </c>
      <c r="C901" s="18" t="s">
        <v>816</v>
      </c>
      <c r="D901" s="18" t="s">
        <v>116</v>
      </c>
      <c r="E901" s="18" t="s">
        <v>18</v>
      </c>
      <c r="F901" s="18" t="s">
        <v>272</v>
      </c>
      <c r="G901" s="18" t="s">
        <v>273</v>
      </c>
      <c r="H901" s="18" t="s">
        <v>2091</v>
      </c>
      <c r="I901" s="20" t="s">
        <v>2093</v>
      </c>
      <c r="J901" s="18" t="s">
        <v>30</v>
      </c>
      <c r="K901" s="18" t="s">
        <v>24</v>
      </c>
      <c r="L901" s="18" t="s">
        <v>25</v>
      </c>
      <c r="N901" s="18" t="s">
        <v>820</v>
      </c>
    </row>
    <row r="902" spans="1:14" ht="15" customHeight="1" x14ac:dyDescent="0.3">
      <c r="A902" s="18" t="s">
        <v>2033</v>
      </c>
      <c r="B902" s="19" t="s">
        <v>15</v>
      </c>
      <c r="C902" s="18" t="s">
        <v>816</v>
      </c>
      <c r="D902" s="18" t="s">
        <v>116</v>
      </c>
      <c r="E902" s="18" t="s">
        <v>18</v>
      </c>
      <c r="F902" s="18" t="s">
        <v>381</v>
      </c>
      <c r="G902" s="18" t="s">
        <v>381</v>
      </c>
      <c r="H902" s="18" t="s">
        <v>2094</v>
      </c>
      <c r="I902" s="20" t="s">
        <v>2095</v>
      </c>
      <c r="J902" s="18" t="s">
        <v>23</v>
      </c>
      <c r="K902" s="18" t="s">
        <v>24</v>
      </c>
      <c r="L902" s="18" t="s">
        <v>25</v>
      </c>
      <c r="N902" s="18" t="s">
        <v>820</v>
      </c>
    </row>
    <row r="903" spans="1:14" ht="15" customHeight="1" x14ac:dyDescent="0.3">
      <c r="A903" s="18" t="s">
        <v>2033</v>
      </c>
      <c r="B903" s="19" t="s">
        <v>15</v>
      </c>
      <c r="C903" s="18" t="s">
        <v>816</v>
      </c>
      <c r="D903" s="18" t="s">
        <v>116</v>
      </c>
      <c r="E903" s="18" t="s">
        <v>18</v>
      </c>
      <c r="F903" s="18" t="s">
        <v>221</v>
      </c>
      <c r="G903" s="18" t="s">
        <v>212</v>
      </c>
      <c r="H903" s="18" t="s">
        <v>2044</v>
      </c>
      <c r="I903" s="20" t="s">
        <v>2096</v>
      </c>
      <c r="J903" s="18" t="s">
        <v>30</v>
      </c>
      <c r="K903" s="18" t="s">
        <v>24</v>
      </c>
      <c r="L903" s="18" t="s">
        <v>25</v>
      </c>
      <c r="N903" s="18" t="s">
        <v>820</v>
      </c>
    </row>
    <row r="904" spans="1:14" ht="15" customHeight="1" x14ac:dyDescent="0.3">
      <c r="A904" s="18" t="s">
        <v>2033</v>
      </c>
      <c r="B904" s="19" t="s">
        <v>15</v>
      </c>
      <c r="C904" s="18" t="s">
        <v>816</v>
      </c>
      <c r="D904" s="18" t="s">
        <v>116</v>
      </c>
      <c r="E904" s="18" t="s">
        <v>18</v>
      </c>
      <c r="F904" s="18" t="s">
        <v>1072</v>
      </c>
      <c r="G904" s="18" t="s">
        <v>47</v>
      </c>
      <c r="H904" s="18" t="s">
        <v>2097</v>
      </c>
      <c r="I904" s="20" t="s">
        <v>2098</v>
      </c>
      <c r="J904" s="18" t="s">
        <v>30</v>
      </c>
      <c r="K904" s="18" t="s">
        <v>24</v>
      </c>
      <c r="L904" s="18" t="s">
        <v>25</v>
      </c>
      <c r="N904" s="18" t="s">
        <v>820</v>
      </c>
    </row>
    <row r="905" spans="1:14" ht="15" customHeight="1" x14ac:dyDescent="0.3">
      <c r="A905" s="18" t="s">
        <v>2033</v>
      </c>
      <c r="B905" s="19" t="s">
        <v>15</v>
      </c>
      <c r="C905" s="18" t="s">
        <v>816</v>
      </c>
      <c r="D905" s="18" t="s">
        <v>116</v>
      </c>
      <c r="E905" s="18" t="s">
        <v>18</v>
      </c>
      <c r="F905" s="18" t="s">
        <v>2099</v>
      </c>
      <c r="G905" s="18" t="s">
        <v>1502</v>
      </c>
      <c r="H905" s="18" t="s">
        <v>2037</v>
      </c>
      <c r="I905" s="20" t="s">
        <v>2100</v>
      </c>
      <c r="J905" s="18" t="s">
        <v>30</v>
      </c>
      <c r="K905" s="18" t="s">
        <v>24</v>
      </c>
      <c r="L905" s="18" t="s">
        <v>25</v>
      </c>
      <c r="N905" s="18" t="s">
        <v>820</v>
      </c>
    </row>
    <row r="906" spans="1:14" ht="15" customHeight="1" x14ac:dyDescent="0.3">
      <c r="A906" s="18" t="s">
        <v>2033</v>
      </c>
      <c r="B906" s="19" t="s">
        <v>15</v>
      </c>
      <c r="C906" s="18" t="s">
        <v>816</v>
      </c>
      <c r="D906" s="18" t="s">
        <v>116</v>
      </c>
      <c r="E906" s="18" t="s">
        <v>18</v>
      </c>
      <c r="F906" s="18" t="s">
        <v>1450</v>
      </c>
      <c r="G906" s="18" t="s">
        <v>41</v>
      </c>
      <c r="H906" s="18" t="s">
        <v>2097</v>
      </c>
      <c r="I906" s="20" t="s">
        <v>2101</v>
      </c>
      <c r="J906" s="18" t="s">
        <v>30</v>
      </c>
      <c r="K906" s="18" t="s">
        <v>24</v>
      </c>
      <c r="L906" s="18" t="s">
        <v>25</v>
      </c>
      <c r="N906" s="18" t="s">
        <v>820</v>
      </c>
    </row>
    <row r="907" spans="1:14" ht="15" customHeight="1" x14ac:dyDescent="0.3">
      <c r="A907" s="18" t="s">
        <v>2033</v>
      </c>
      <c r="B907" s="19" t="s">
        <v>15</v>
      </c>
      <c r="C907" s="18" t="s">
        <v>816</v>
      </c>
      <c r="D907" s="18" t="s">
        <v>116</v>
      </c>
      <c r="E907" s="18" t="s">
        <v>18</v>
      </c>
      <c r="F907" s="18" t="s">
        <v>1102</v>
      </c>
      <c r="G907" s="18" t="s">
        <v>263</v>
      </c>
      <c r="H907" s="18" t="s">
        <v>2091</v>
      </c>
      <c r="I907" s="20" t="s">
        <v>2102</v>
      </c>
      <c r="J907" s="18" t="s">
        <v>30</v>
      </c>
      <c r="K907" s="18" t="s">
        <v>24</v>
      </c>
      <c r="L907" s="18" t="s">
        <v>25</v>
      </c>
      <c r="N907" s="18" t="s">
        <v>820</v>
      </c>
    </row>
    <row r="908" spans="1:14" ht="15" customHeight="1" x14ac:dyDescent="0.3">
      <c r="A908" s="18" t="s">
        <v>2033</v>
      </c>
      <c r="B908" s="19" t="s">
        <v>15</v>
      </c>
      <c r="C908" s="18" t="s">
        <v>816</v>
      </c>
      <c r="D908" s="18" t="s">
        <v>116</v>
      </c>
      <c r="E908" s="18" t="s">
        <v>18</v>
      </c>
      <c r="F908" s="18" t="s">
        <v>2027</v>
      </c>
      <c r="G908" s="18" t="s">
        <v>619</v>
      </c>
      <c r="H908" s="18" t="s">
        <v>2097</v>
      </c>
      <c r="I908" s="20" t="s">
        <v>2103</v>
      </c>
      <c r="J908" s="18" t="s">
        <v>30</v>
      </c>
      <c r="K908" s="18" t="s">
        <v>24</v>
      </c>
      <c r="L908" s="18" t="s">
        <v>25</v>
      </c>
      <c r="N908" s="18" t="s">
        <v>820</v>
      </c>
    </row>
    <row r="909" spans="1:14" ht="15" customHeight="1" x14ac:dyDescent="0.3">
      <c r="A909" s="18" t="s">
        <v>2033</v>
      </c>
      <c r="B909" s="19" t="s">
        <v>15</v>
      </c>
      <c r="C909" s="18" t="s">
        <v>816</v>
      </c>
      <c r="D909" s="18" t="s">
        <v>116</v>
      </c>
      <c r="E909" s="18" t="s">
        <v>18</v>
      </c>
      <c r="F909" s="18" t="s">
        <v>2104</v>
      </c>
      <c r="G909" s="18" t="s">
        <v>619</v>
      </c>
      <c r="H909" s="18" t="s">
        <v>2105</v>
      </c>
      <c r="I909" s="20" t="s">
        <v>2106</v>
      </c>
      <c r="J909" s="18" t="s">
        <v>30</v>
      </c>
      <c r="K909" s="18" t="s">
        <v>91</v>
      </c>
      <c r="L909" s="18" t="s">
        <v>25</v>
      </c>
      <c r="N909" s="18" t="s">
        <v>820</v>
      </c>
    </row>
    <row r="910" spans="1:14" ht="15" customHeight="1" x14ac:dyDescent="0.3">
      <c r="A910" s="18" t="s">
        <v>2033</v>
      </c>
      <c r="B910" s="19" t="s">
        <v>15</v>
      </c>
      <c r="C910" s="18" t="s">
        <v>816</v>
      </c>
      <c r="D910" s="18" t="s">
        <v>116</v>
      </c>
      <c r="E910" s="18" t="s">
        <v>18</v>
      </c>
      <c r="F910" s="18" t="s">
        <v>2107</v>
      </c>
      <c r="G910" s="18" t="s">
        <v>606</v>
      </c>
      <c r="H910" s="18" t="s">
        <v>2037</v>
      </c>
      <c r="I910" s="20" t="s">
        <v>2108</v>
      </c>
      <c r="J910" s="18" t="s">
        <v>30</v>
      </c>
      <c r="K910" s="18" t="s">
        <v>24</v>
      </c>
      <c r="L910" s="18" t="s">
        <v>25</v>
      </c>
      <c r="N910" s="18" t="s">
        <v>820</v>
      </c>
    </row>
    <row r="911" spans="1:14" ht="15" customHeight="1" x14ac:dyDescent="0.3">
      <c r="A911" s="18" t="s">
        <v>2033</v>
      </c>
      <c r="B911" s="19" t="s">
        <v>15</v>
      </c>
      <c r="C911" s="18" t="s">
        <v>816</v>
      </c>
      <c r="D911" s="18" t="s">
        <v>116</v>
      </c>
      <c r="E911" s="18" t="s">
        <v>18</v>
      </c>
      <c r="F911" s="18" t="s">
        <v>874</v>
      </c>
      <c r="G911" s="18" t="s">
        <v>20</v>
      </c>
      <c r="H911" s="18" t="s">
        <v>2109</v>
      </c>
      <c r="I911" s="20" t="s">
        <v>2110</v>
      </c>
      <c r="J911" s="18" t="s">
        <v>23</v>
      </c>
      <c r="K911" s="18" t="s">
        <v>24</v>
      </c>
      <c r="L911" s="18" t="s">
        <v>25</v>
      </c>
      <c r="N911" s="18" t="s">
        <v>820</v>
      </c>
    </row>
    <row r="912" spans="1:14" ht="15" customHeight="1" x14ac:dyDescent="0.3">
      <c r="A912" s="18" t="s">
        <v>2033</v>
      </c>
      <c r="B912" s="19" t="s">
        <v>15</v>
      </c>
      <c r="C912" s="18" t="s">
        <v>816</v>
      </c>
      <c r="D912" s="18" t="s">
        <v>116</v>
      </c>
      <c r="E912" s="18" t="s">
        <v>18</v>
      </c>
      <c r="F912" s="18" t="s">
        <v>537</v>
      </c>
      <c r="G912" s="18" t="s">
        <v>536</v>
      </c>
      <c r="H912" s="18" t="s">
        <v>2097</v>
      </c>
      <c r="I912" s="20" t="s">
        <v>2111</v>
      </c>
      <c r="J912" s="18" t="s">
        <v>30</v>
      </c>
      <c r="K912" s="18" t="s">
        <v>24</v>
      </c>
      <c r="L912" s="18" t="s">
        <v>25</v>
      </c>
      <c r="N912" s="18" t="s">
        <v>820</v>
      </c>
    </row>
    <row r="913" spans="1:14" ht="15" customHeight="1" x14ac:dyDescent="0.3">
      <c r="A913" s="18" t="s">
        <v>2033</v>
      </c>
      <c r="B913" s="19" t="s">
        <v>15</v>
      </c>
      <c r="C913" s="18" t="s">
        <v>816</v>
      </c>
      <c r="D913" s="18" t="s">
        <v>116</v>
      </c>
      <c r="E913" s="18" t="s">
        <v>55</v>
      </c>
      <c r="F913" s="18" t="s">
        <v>2084</v>
      </c>
      <c r="G913" s="18" t="s">
        <v>1704</v>
      </c>
      <c r="H913" s="18" t="s">
        <v>2035</v>
      </c>
      <c r="I913" s="20" t="s">
        <v>2112</v>
      </c>
      <c r="J913" s="18" t="s">
        <v>73</v>
      </c>
      <c r="K913" s="18" t="s">
        <v>24</v>
      </c>
      <c r="L913" s="18" t="s">
        <v>25</v>
      </c>
      <c r="N913" s="18" t="s">
        <v>820</v>
      </c>
    </row>
    <row r="914" spans="1:14" ht="15" customHeight="1" x14ac:dyDescent="0.3">
      <c r="A914" s="18" t="s">
        <v>2033</v>
      </c>
      <c r="B914" s="19" t="s">
        <v>15</v>
      </c>
      <c r="C914" s="18" t="s">
        <v>816</v>
      </c>
      <c r="D914" s="18" t="s">
        <v>116</v>
      </c>
      <c r="E914" s="18" t="s">
        <v>55</v>
      </c>
      <c r="F914" s="18" t="s">
        <v>2113</v>
      </c>
      <c r="G914" s="18" t="s">
        <v>1019</v>
      </c>
      <c r="H914" s="18" t="s">
        <v>2114</v>
      </c>
      <c r="I914" s="20" t="s">
        <v>2115</v>
      </c>
      <c r="J914" s="18" t="s">
        <v>58</v>
      </c>
      <c r="K914" s="18" t="s">
        <v>24</v>
      </c>
      <c r="L914" s="18" t="s">
        <v>25</v>
      </c>
      <c r="N914" s="18" t="s">
        <v>820</v>
      </c>
    </row>
    <row r="915" spans="1:14" ht="15" customHeight="1" x14ac:dyDescent="0.3">
      <c r="A915" s="18" t="s">
        <v>2033</v>
      </c>
      <c r="B915" s="19" t="s">
        <v>15</v>
      </c>
      <c r="C915" s="18" t="s">
        <v>816</v>
      </c>
      <c r="D915" s="18" t="s">
        <v>116</v>
      </c>
      <c r="E915" s="18" t="s">
        <v>55</v>
      </c>
      <c r="F915" s="18" t="s">
        <v>1947</v>
      </c>
      <c r="G915" s="18" t="s">
        <v>85</v>
      </c>
      <c r="H915" s="18" t="s">
        <v>2044</v>
      </c>
      <c r="I915" s="20" t="s">
        <v>2116</v>
      </c>
      <c r="J915" s="18" t="s">
        <v>58</v>
      </c>
      <c r="K915" s="18" t="s">
        <v>24</v>
      </c>
      <c r="L915" s="18" t="s">
        <v>25</v>
      </c>
      <c r="N915" s="18" t="s">
        <v>820</v>
      </c>
    </row>
    <row r="916" spans="1:14" ht="15" customHeight="1" x14ac:dyDescent="0.3">
      <c r="A916" s="18" t="s">
        <v>2033</v>
      </c>
      <c r="B916" s="19" t="s">
        <v>15</v>
      </c>
      <c r="C916" s="18" t="s">
        <v>816</v>
      </c>
      <c r="D916" s="18" t="s">
        <v>116</v>
      </c>
      <c r="E916" s="18" t="s">
        <v>55</v>
      </c>
      <c r="F916" s="18" t="s">
        <v>2117</v>
      </c>
      <c r="G916" s="18" t="s">
        <v>263</v>
      </c>
      <c r="H916" s="18" t="s">
        <v>2118</v>
      </c>
      <c r="I916" s="20" t="s">
        <v>2119</v>
      </c>
      <c r="J916" s="18" t="s">
        <v>58</v>
      </c>
      <c r="K916" s="18" t="s">
        <v>24</v>
      </c>
      <c r="L916" s="18" t="s">
        <v>25</v>
      </c>
      <c r="N916" s="18" t="s">
        <v>820</v>
      </c>
    </row>
    <row r="917" spans="1:14" ht="15" customHeight="1" x14ac:dyDescent="0.3">
      <c r="A917" s="18" t="s">
        <v>2033</v>
      </c>
      <c r="B917" s="19" t="s">
        <v>15</v>
      </c>
      <c r="C917" s="18" t="s">
        <v>816</v>
      </c>
      <c r="D917" s="18" t="s">
        <v>116</v>
      </c>
      <c r="E917" s="18" t="s">
        <v>55</v>
      </c>
      <c r="F917" s="18" t="s">
        <v>2120</v>
      </c>
      <c r="G917" s="18" t="s">
        <v>273</v>
      </c>
      <c r="H917" s="18" t="s">
        <v>2118</v>
      </c>
      <c r="I917" s="20" t="s">
        <v>2121</v>
      </c>
      <c r="J917" s="18" t="s">
        <v>58</v>
      </c>
      <c r="K917" s="18" t="s">
        <v>24</v>
      </c>
      <c r="L917" s="18" t="s">
        <v>25</v>
      </c>
      <c r="N917" s="18" t="s">
        <v>820</v>
      </c>
    </row>
    <row r="918" spans="1:14" ht="15" customHeight="1" x14ac:dyDescent="0.3">
      <c r="A918" s="18" t="s">
        <v>2033</v>
      </c>
      <c r="B918" s="19" t="s">
        <v>15</v>
      </c>
      <c r="C918" s="18" t="s">
        <v>816</v>
      </c>
      <c r="D918" s="18" t="s">
        <v>116</v>
      </c>
      <c r="E918" s="18" t="s">
        <v>55</v>
      </c>
      <c r="F918" s="18" t="s">
        <v>1529</v>
      </c>
      <c r="G918" s="18" t="s">
        <v>1527</v>
      </c>
      <c r="H918" s="18" t="s">
        <v>2118</v>
      </c>
      <c r="I918" s="20" t="s">
        <v>2122</v>
      </c>
      <c r="J918" s="18" t="s">
        <v>58</v>
      </c>
      <c r="K918" s="18" t="s">
        <v>24</v>
      </c>
      <c r="L918" s="18" t="s">
        <v>25</v>
      </c>
      <c r="N918" s="18" t="s">
        <v>820</v>
      </c>
    </row>
    <row r="919" spans="1:14" ht="15" customHeight="1" x14ac:dyDescent="0.3">
      <c r="A919" s="18" t="s">
        <v>2033</v>
      </c>
      <c r="B919" s="19" t="s">
        <v>15</v>
      </c>
      <c r="C919" s="18" t="s">
        <v>816</v>
      </c>
      <c r="D919" s="18" t="s">
        <v>116</v>
      </c>
      <c r="E919" s="18" t="s">
        <v>55</v>
      </c>
      <c r="F919" s="18" t="s">
        <v>381</v>
      </c>
      <c r="G919" s="18" t="s">
        <v>381</v>
      </c>
      <c r="H919" s="18" t="s">
        <v>2094</v>
      </c>
      <c r="I919" s="20" t="s">
        <v>2123</v>
      </c>
      <c r="J919" s="18" t="s">
        <v>73</v>
      </c>
      <c r="K919" s="18" t="s">
        <v>24</v>
      </c>
      <c r="L919" s="18" t="s">
        <v>25</v>
      </c>
      <c r="N919" s="18" t="s">
        <v>820</v>
      </c>
    </row>
    <row r="920" spans="1:14" ht="15" customHeight="1" x14ac:dyDescent="0.3">
      <c r="A920" s="18" t="s">
        <v>2033</v>
      </c>
      <c r="B920" s="19" t="s">
        <v>15</v>
      </c>
      <c r="C920" s="18" t="s">
        <v>816</v>
      </c>
      <c r="D920" s="18" t="s">
        <v>116</v>
      </c>
      <c r="E920" s="18" t="s">
        <v>55</v>
      </c>
      <c r="F920" s="18" t="s">
        <v>2124</v>
      </c>
      <c r="G920" s="18" t="s">
        <v>913</v>
      </c>
      <c r="H920" s="18" t="s">
        <v>2037</v>
      </c>
      <c r="I920" s="20" t="s">
        <v>2125</v>
      </c>
      <c r="J920" s="18" t="s">
        <v>73</v>
      </c>
      <c r="K920" s="18" t="s">
        <v>24</v>
      </c>
      <c r="L920" s="18" t="s">
        <v>25</v>
      </c>
      <c r="N920" s="18" t="s">
        <v>820</v>
      </c>
    </row>
    <row r="921" spans="1:14" ht="15" customHeight="1" x14ac:dyDescent="0.3">
      <c r="A921" s="18" t="s">
        <v>2033</v>
      </c>
      <c r="B921" s="19" t="s">
        <v>15</v>
      </c>
      <c r="C921" s="18" t="s">
        <v>816</v>
      </c>
      <c r="D921" s="18" t="s">
        <v>116</v>
      </c>
      <c r="E921" s="18" t="s">
        <v>55</v>
      </c>
      <c r="F921" s="18" t="s">
        <v>2126</v>
      </c>
      <c r="G921" s="18" t="s">
        <v>47</v>
      </c>
      <c r="H921" s="18" t="s">
        <v>2127</v>
      </c>
      <c r="I921" s="20" t="s">
        <v>2128</v>
      </c>
      <c r="J921" s="18" t="s">
        <v>58</v>
      </c>
      <c r="K921" s="18" t="s">
        <v>24</v>
      </c>
      <c r="L921" s="18" t="s">
        <v>25</v>
      </c>
      <c r="N921" s="18" t="s">
        <v>820</v>
      </c>
    </row>
    <row r="922" spans="1:14" ht="15" customHeight="1" x14ac:dyDescent="0.3">
      <c r="A922" s="18" t="s">
        <v>2033</v>
      </c>
      <c r="B922" s="19" t="s">
        <v>15</v>
      </c>
      <c r="C922" s="18" t="s">
        <v>816</v>
      </c>
      <c r="D922" s="18" t="s">
        <v>116</v>
      </c>
      <c r="E922" s="18" t="s">
        <v>55</v>
      </c>
      <c r="F922" s="18" t="s">
        <v>2129</v>
      </c>
      <c r="G922" s="18" t="s">
        <v>47</v>
      </c>
      <c r="H922" s="18" t="s">
        <v>2127</v>
      </c>
      <c r="I922" s="20" t="s">
        <v>2130</v>
      </c>
      <c r="J922" s="18" t="s">
        <v>58</v>
      </c>
      <c r="K922" s="18" t="s">
        <v>24</v>
      </c>
      <c r="L922" s="18" t="s">
        <v>25</v>
      </c>
      <c r="N922" s="18" t="s">
        <v>820</v>
      </c>
    </row>
    <row r="923" spans="1:14" ht="15" customHeight="1" x14ac:dyDescent="0.3">
      <c r="A923" s="18" t="s">
        <v>2033</v>
      </c>
      <c r="B923" s="19" t="s">
        <v>15</v>
      </c>
      <c r="C923" s="18" t="s">
        <v>816</v>
      </c>
      <c r="D923" s="18" t="s">
        <v>116</v>
      </c>
      <c r="E923" s="18" t="s">
        <v>55</v>
      </c>
      <c r="F923" s="18" t="s">
        <v>2099</v>
      </c>
      <c r="G923" s="18" t="s">
        <v>1502</v>
      </c>
      <c r="H923" s="18" t="s">
        <v>2037</v>
      </c>
      <c r="I923" s="20" t="s">
        <v>2131</v>
      </c>
      <c r="J923" s="18" t="s">
        <v>58</v>
      </c>
      <c r="K923" s="18" t="s">
        <v>24</v>
      </c>
      <c r="L923" s="18" t="s">
        <v>25</v>
      </c>
      <c r="N923" s="18" t="s">
        <v>820</v>
      </c>
    </row>
    <row r="924" spans="1:14" ht="15" customHeight="1" x14ac:dyDescent="0.3">
      <c r="A924" s="18" t="s">
        <v>2033</v>
      </c>
      <c r="B924" s="19" t="s">
        <v>15</v>
      </c>
      <c r="C924" s="18" t="s">
        <v>816</v>
      </c>
      <c r="D924" s="18" t="s">
        <v>116</v>
      </c>
      <c r="E924" s="18" t="s">
        <v>55</v>
      </c>
      <c r="F924" s="18" t="s">
        <v>2132</v>
      </c>
      <c r="G924" s="18" t="s">
        <v>381</v>
      </c>
      <c r="H924" s="18" t="s">
        <v>2133</v>
      </c>
      <c r="I924" s="20" t="s">
        <v>2134</v>
      </c>
      <c r="J924" s="18" t="s">
        <v>58</v>
      </c>
      <c r="K924" s="18" t="s">
        <v>24</v>
      </c>
      <c r="L924" s="18" t="s">
        <v>25</v>
      </c>
      <c r="M924" s="18" t="s">
        <v>39</v>
      </c>
      <c r="N924" s="18" t="s">
        <v>820</v>
      </c>
    </row>
    <row r="925" spans="1:14" ht="15" customHeight="1" x14ac:dyDescent="0.3">
      <c r="A925" s="18" t="s">
        <v>2033</v>
      </c>
      <c r="B925" s="19" t="s">
        <v>15</v>
      </c>
      <c r="C925" s="18" t="s">
        <v>816</v>
      </c>
      <c r="D925" s="18" t="s">
        <v>116</v>
      </c>
      <c r="E925" s="18" t="s">
        <v>55</v>
      </c>
      <c r="F925" s="18" t="s">
        <v>2135</v>
      </c>
      <c r="G925" s="18" t="s">
        <v>263</v>
      </c>
      <c r="H925" s="18" t="s">
        <v>2118</v>
      </c>
      <c r="I925" s="20" t="s">
        <v>2136</v>
      </c>
      <c r="J925" s="18" t="s">
        <v>73</v>
      </c>
      <c r="K925" s="18" t="s">
        <v>24</v>
      </c>
      <c r="L925" s="18" t="s">
        <v>25</v>
      </c>
      <c r="N925" s="18" t="s">
        <v>820</v>
      </c>
    </row>
    <row r="926" spans="1:14" ht="15" customHeight="1" x14ac:dyDescent="0.3">
      <c r="A926" s="18" t="s">
        <v>2033</v>
      </c>
      <c r="B926" s="19" t="s">
        <v>15</v>
      </c>
      <c r="C926" s="18" t="s">
        <v>816</v>
      </c>
      <c r="D926" s="18" t="s">
        <v>116</v>
      </c>
      <c r="E926" s="18" t="s">
        <v>55</v>
      </c>
      <c r="F926" s="18" t="s">
        <v>826</v>
      </c>
      <c r="G926" s="18" t="s">
        <v>826</v>
      </c>
      <c r="H926" s="18" t="s">
        <v>2127</v>
      </c>
      <c r="I926" s="20" t="s">
        <v>2137</v>
      </c>
      <c r="J926" s="18" t="s">
        <v>58</v>
      </c>
      <c r="K926" s="18" t="s">
        <v>24</v>
      </c>
      <c r="L926" s="18" t="s">
        <v>25</v>
      </c>
      <c r="N926" s="18" t="s">
        <v>820</v>
      </c>
    </row>
    <row r="927" spans="1:14" ht="15" customHeight="1" x14ac:dyDescent="0.3">
      <c r="A927" s="18" t="s">
        <v>2033</v>
      </c>
      <c r="B927" s="19" t="s">
        <v>15</v>
      </c>
      <c r="C927" s="18" t="s">
        <v>816</v>
      </c>
      <c r="D927" s="18" t="s">
        <v>116</v>
      </c>
      <c r="E927" s="18" t="s">
        <v>55</v>
      </c>
      <c r="F927" s="18" t="s">
        <v>2138</v>
      </c>
      <c r="G927" s="18" t="s">
        <v>263</v>
      </c>
      <c r="H927" s="18" t="s">
        <v>2118</v>
      </c>
      <c r="I927" s="20" t="s">
        <v>2139</v>
      </c>
      <c r="J927" s="18" t="s">
        <v>73</v>
      </c>
      <c r="K927" s="18" t="s">
        <v>24</v>
      </c>
      <c r="L927" s="18" t="s">
        <v>25</v>
      </c>
      <c r="N927" s="18" t="s">
        <v>820</v>
      </c>
    </row>
    <row r="928" spans="1:14" ht="15" customHeight="1" x14ac:dyDescent="0.3">
      <c r="A928" s="18" t="s">
        <v>2033</v>
      </c>
      <c r="B928" s="19" t="s">
        <v>15</v>
      </c>
      <c r="C928" s="18" t="s">
        <v>816</v>
      </c>
      <c r="D928" s="18" t="s">
        <v>116</v>
      </c>
      <c r="E928" s="18" t="s">
        <v>74</v>
      </c>
      <c r="F928" s="18" t="s">
        <v>391</v>
      </c>
      <c r="G928" s="18" t="s">
        <v>433</v>
      </c>
      <c r="H928" s="18" t="s">
        <v>2140</v>
      </c>
      <c r="I928" s="20" t="s">
        <v>2141</v>
      </c>
      <c r="J928" s="18" t="s">
        <v>2142</v>
      </c>
      <c r="K928" s="18" t="s">
        <v>293</v>
      </c>
      <c r="L928" s="18" t="s">
        <v>25</v>
      </c>
      <c r="M928" s="18" t="s">
        <v>39</v>
      </c>
      <c r="N928" s="18" t="s">
        <v>820</v>
      </c>
    </row>
    <row r="929" spans="1:14" ht="15" customHeight="1" x14ac:dyDescent="0.3">
      <c r="A929" s="18" t="s">
        <v>2033</v>
      </c>
      <c r="B929" s="19" t="s">
        <v>15</v>
      </c>
      <c r="C929" s="18" t="s">
        <v>816</v>
      </c>
      <c r="D929" s="18" t="s">
        <v>116</v>
      </c>
      <c r="E929" s="18" t="s">
        <v>74</v>
      </c>
      <c r="F929" s="18" t="s">
        <v>2143</v>
      </c>
      <c r="G929" s="18" t="s">
        <v>2047</v>
      </c>
      <c r="H929" s="18" t="s">
        <v>2144</v>
      </c>
      <c r="I929" s="20" t="s">
        <v>2145</v>
      </c>
      <c r="J929" s="18" t="s">
        <v>2146</v>
      </c>
      <c r="K929" s="18" t="s">
        <v>24</v>
      </c>
      <c r="L929" s="18" t="s">
        <v>25</v>
      </c>
      <c r="N929" s="18" t="s">
        <v>820</v>
      </c>
    </row>
    <row r="930" spans="1:14" ht="15" customHeight="1" x14ac:dyDescent="0.3">
      <c r="A930" s="18" t="s">
        <v>2033</v>
      </c>
      <c r="B930" s="19" t="s">
        <v>15</v>
      </c>
      <c r="C930" s="18" t="s">
        <v>816</v>
      </c>
      <c r="D930" s="18" t="s">
        <v>116</v>
      </c>
      <c r="E930" s="18" t="s">
        <v>74</v>
      </c>
      <c r="F930" s="18" t="s">
        <v>2147</v>
      </c>
      <c r="G930" s="18" t="s">
        <v>41</v>
      </c>
      <c r="H930" s="18" t="s">
        <v>2148</v>
      </c>
      <c r="I930" s="20" t="s">
        <v>2149</v>
      </c>
      <c r="J930" s="18" t="s">
        <v>2150</v>
      </c>
      <c r="K930" s="18" t="s">
        <v>91</v>
      </c>
      <c r="L930" s="18" t="s">
        <v>25</v>
      </c>
      <c r="N930" s="18" t="s">
        <v>820</v>
      </c>
    </row>
    <row r="931" spans="1:14" ht="15" customHeight="1" x14ac:dyDescent="0.3">
      <c r="A931" s="18" t="s">
        <v>2033</v>
      </c>
      <c r="B931" s="19" t="s">
        <v>15</v>
      </c>
      <c r="C931" s="18" t="s">
        <v>816</v>
      </c>
      <c r="D931" s="18" t="s">
        <v>116</v>
      </c>
      <c r="E931" s="18" t="s">
        <v>74</v>
      </c>
      <c r="F931" s="18" t="s">
        <v>2151</v>
      </c>
      <c r="G931" s="18" t="s">
        <v>340</v>
      </c>
      <c r="H931" s="18" t="s">
        <v>2152</v>
      </c>
      <c r="I931" s="20" t="s">
        <v>2153</v>
      </c>
      <c r="J931" s="18" t="s">
        <v>1884</v>
      </c>
      <c r="K931" s="18" t="s">
        <v>91</v>
      </c>
      <c r="L931" s="18" t="s">
        <v>25</v>
      </c>
      <c r="N931" s="18" t="s">
        <v>820</v>
      </c>
    </row>
    <row r="932" spans="1:14" ht="15" customHeight="1" x14ac:dyDescent="0.3">
      <c r="A932" s="18" t="s">
        <v>2033</v>
      </c>
      <c r="B932" s="19" t="s">
        <v>15</v>
      </c>
      <c r="C932" s="18" t="s">
        <v>816</v>
      </c>
      <c r="D932" s="18" t="s">
        <v>116</v>
      </c>
      <c r="E932" s="18" t="s">
        <v>74</v>
      </c>
      <c r="F932" s="18" t="s">
        <v>2154</v>
      </c>
      <c r="G932" s="18" t="s">
        <v>41</v>
      </c>
      <c r="H932" s="18" t="s">
        <v>601</v>
      </c>
      <c r="I932" s="20" t="s">
        <v>2155</v>
      </c>
      <c r="J932" s="18" t="s">
        <v>394</v>
      </c>
      <c r="K932" s="18" t="s">
        <v>293</v>
      </c>
      <c r="L932" s="18" t="s">
        <v>25</v>
      </c>
      <c r="N932" s="18" t="s">
        <v>820</v>
      </c>
    </row>
    <row r="933" spans="1:14" ht="15" customHeight="1" x14ac:dyDescent="0.3">
      <c r="A933" s="18" t="s">
        <v>2033</v>
      </c>
      <c r="B933" s="19" t="s">
        <v>15</v>
      </c>
      <c r="C933" s="18" t="s">
        <v>816</v>
      </c>
      <c r="D933" s="18" t="s">
        <v>116</v>
      </c>
      <c r="E933" s="18" t="s">
        <v>74</v>
      </c>
      <c r="F933" s="18" t="s">
        <v>2156</v>
      </c>
      <c r="G933" s="18" t="s">
        <v>1753</v>
      </c>
      <c r="H933" s="18" t="s">
        <v>2157</v>
      </c>
      <c r="I933" s="20" t="s">
        <v>2158</v>
      </c>
      <c r="J933" s="18" t="s">
        <v>1884</v>
      </c>
      <c r="K933" s="18" t="s">
        <v>24</v>
      </c>
      <c r="L933" s="18" t="s">
        <v>25</v>
      </c>
      <c r="M933" s="18" t="s">
        <v>39</v>
      </c>
      <c r="N933" s="18" t="s">
        <v>820</v>
      </c>
    </row>
    <row r="934" spans="1:14" ht="15" customHeight="1" x14ac:dyDescent="0.3">
      <c r="A934" s="18" t="s">
        <v>2033</v>
      </c>
      <c r="B934" s="19" t="s">
        <v>15</v>
      </c>
      <c r="C934" s="18" t="s">
        <v>816</v>
      </c>
      <c r="D934" s="18" t="s">
        <v>116</v>
      </c>
      <c r="E934" s="18" t="s">
        <v>74</v>
      </c>
      <c r="F934" s="18" t="s">
        <v>2159</v>
      </c>
      <c r="G934" s="18" t="s">
        <v>2047</v>
      </c>
      <c r="H934" s="18" t="s">
        <v>2144</v>
      </c>
      <c r="I934" s="20" t="s">
        <v>2160</v>
      </c>
      <c r="J934" s="18" t="s">
        <v>1884</v>
      </c>
      <c r="K934" s="18" t="s">
        <v>293</v>
      </c>
      <c r="L934" s="18" t="s">
        <v>25</v>
      </c>
      <c r="N934" s="18" t="s">
        <v>820</v>
      </c>
    </row>
    <row r="935" spans="1:14" ht="15" customHeight="1" x14ac:dyDescent="0.3">
      <c r="A935" s="18" t="s">
        <v>2033</v>
      </c>
      <c r="B935" s="19" t="s">
        <v>15</v>
      </c>
      <c r="C935" s="18" t="s">
        <v>816</v>
      </c>
      <c r="D935" s="18" t="s">
        <v>116</v>
      </c>
      <c r="E935" s="18" t="s">
        <v>74</v>
      </c>
      <c r="F935" s="18" t="s">
        <v>2161</v>
      </c>
      <c r="G935" s="18" t="s">
        <v>1704</v>
      </c>
      <c r="H935" s="18" t="s">
        <v>2144</v>
      </c>
      <c r="I935" s="20" t="s">
        <v>2162</v>
      </c>
      <c r="J935" s="18" t="s">
        <v>1884</v>
      </c>
      <c r="K935" s="18" t="s">
        <v>293</v>
      </c>
      <c r="L935" s="18" t="s">
        <v>25</v>
      </c>
      <c r="N935" s="18" t="s">
        <v>820</v>
      </c>
    </row>
    <row r="936" spans="1:14" ht="15" customHeight="1" x14ac:dyDescent="0.3">
      <c r="A936" s="18" t="s">
        <v>2033</v>
      </c>
      <c r="B936" s="19" t="s">
        <v>15</v>
      </c>
      <c r="C936" s="18" t="s">
        <v>816</v>
      </c>
      <c r="D936" s="18" t="s">
        <v>116</v>
      </c>
      <c r="E936" s="18" t="s">
        <v>74</v>
      </c>
      <c r="F936" s="18" t="s">
        <v>2163</v>
      </c>
      <c r="G936" s="18" t="s">
        <v>20</v>
      </c>
      <c r="H936" s="18" t="s">
        <v>2140</v>
      </c>
      <c r="I936" s="20" t="s">
        <v>2164</v>
      </c>
      <c r="J936" s="18" t="s">
        <v>1884</v>
      </c>
      <c r="K936" s="18" t="s">
        <v>24</v>
      </c>
      <c r="L936" s="18" t="s">
        <v>25</v>
      </c>
      <c r="M936" s="18" t="s">
        <v>39</v>
      </c>
      <c r="N936" s="18" t="s">
        <v>820</v>
      </c>
    </row>
    <row r="937" spans="1:14" ht="15" customHeight="1" x14ac:dyDescent="0.3">
      <c r="A937" s="18" t="s">
        <v>2033</v>
      </c>
      <c r="B937" s="19" t="s">
        <v>15</v>
      </c>
      <c r="C937" s="18" t="s">
        <v>816</v>
      </c>
      <c r="D937" s="18" t="s">
        <v>116</v>
      </c>
      <c r="E937" s="18" t="s">
        <v>74</v>
      </c>
      <c r="F937" s="18" t="s">
        <v>2165</v>
      </c>
      <c r="G937" s="18" t="s">
        <v>536</v>
      </c>
      <c r="H937" s="18" t="s">
        <v>2148</v>
      </c>
      <c r="I937" s="20" t="s">
        <v>2166</v>
      </c>
      <c r="J937" s="18" t="s">
        <v>394</v>
      </c>
      <c r="K937" s="18" t="s">
        <v>91</v>
      </c>
      <c r="L937" s="18" t="s">
        <v>25</v>
      </c>
      <c r="N937" s="18" t="s">
        <v>820</v>
      </c>
    </row>
    <row r="938" spans="1:14" ht="15" customHeight="1" x14ac:dyDescent="0.3">
      <c r="A938" s="18" t="s">
        <v>2033</v>
      </c>
      <c r="B938" s="19" t="s">
        <v>15</v>
      </c>
      <c r="C938" s="18" t="s">
        <v>816</v>
      </c>
      <c r="D938" s="18" t="s">
        <v>116</v>
      </c>
      <c r="E938" s="18" t="s">
        <v>74</v>
      </c>
      <c r="F938" s="18" t="s">
        <v>2167</v>
      </c>
      <c r="G938" s="18" t="s">
        <v>536</v>
      </c>
      <c r="H938" s="18" t="s">
        <v>2148</v>
      </c>
      <c r="I938" s="20" t="s">
        <v>2168</v>
      </c>
      <c r="J938" s="18" t="s">
        <v>199</v>
      </c>
      <c r="K938" s="18" t="s">
        <v>91</v>
      </c>
      <c r="L938" s="18" t="s">
        <v>25</v>
      </c>
      <c r="M938" s="18" t="s">
        <v>39</v>
      </c>
      <c r="N938" s="18" t="s">
        <v>820</v>
      </c>
    </row>
    <row r="939" spans="1:14" ht="15" customHeight="1" x14ac:dyDescent="0.3">
      <c r="A939" s="18" t="s">
        <v>2033</v>
      </c>
      <c r="B939" s="19" t="s">
        <v>15</v>
      </c>
      <c r="C939" s="18" t="s">
        <v>816</v>
      </c>
      <c r="D939" s="18" t="s">
        <v>116</v>
      </c>
      <c r="E939" s="18" t="s">
        <v>74</v>
      </c>
      <c r="F939" s="18" t="s">
        <v>2169</v>
      </c>
      <c r="G939" s="18" t="s">
        <v>536</v>
      </c>
      <c r="H939" s="18" t="s">
        <v>2148</v>
      </c>
      <c r="I939" s="20" t="s">
        <v>2170</v>
      </c>
      <c r="J939" s="18" t="s">
        <v>1884</v>
      </c>
      <c r="K939" s="18" t="s">
        <v>24</v>
      </c>
      <c r="L939" s="18" t="s">
        <v>25</v>
      </c>
      <c r="M939" s="18" t="s">
        <v>39</v>
      </c>
      <c r="N939" s="18" t="s">
        <v>820</v>
      </c>
    </row>
    <row r="940" spans="1:14" ht="15" customHeight="1" x14ac:dyDescent="0.3">
      <c r="A940" s="18" t="s">
        <v>2171</v>
      </c>
      <c r="B940" s="19" t="s">
        <v>15</v>
      </c>
      <c r="C940" s="18" t="s">
        <v>1842</v>
      </c>
      <c r="D940" s="18" t="s">
        <v>116</v>
      </c>
      <c r="E940" s="18" t="s">
        <v>117</v>
      </c>
      <c r="F940" s="18" t="s">
        <v>1623</v>
      </c>
      <c r="G940" s="18" t="s">
        <v>1295</v>
      </c>
      <c r="H940" s="18" t="s">
        <v>2172</v>
      </c>
      <c r="I940" s="20" t="s">
        <v>2173</v>
      </c>
      <c r="J940" s="18" t="s">
        <v>58</v>
      </c>
      <c r="K940" s="18" t="s">
        <v>24</v>
      </c>
      <c r="L940" s="18" t="s">
        <v>25</v>
      </c>
      <c r="N940" s="18" t="s">
        <v>154</v>
      </c>
    </row>
    <row r="941" spans="1:14" ht="15" customHeight="1" x14ac:dyDescent="0.3">
      <c r="A941" s="18" t="s">
        <v>2171</v>
      </c>
      <c r="B941" s="19" t="s">
        <v>15</v>
      </c>
      <c r="C941" s="18" t="s">
        <v>2174</v>
      </c>
      <c r="D941" s="18" t="s">
        <v>116</v>
      </c>
      <c r="E941" s="18" t="s">
        <v>117</v>
      </c>
      <c r="F941" s="18" t="s">
        <v>2175</v>
      </c>
      <c r="G941" s="18" t="s">
        <v>41</v>
      </c>
      <c r="H941" s="18" t="s">
        <v>2176</v>
      </c>
      <c r="I941" s="20" t="s">
        <v>2177</v>
      </c>
      <c r="J941" s="18" t="s">
        <v>58</v>
      </c>
      <c r="K941" s="18" t="s">
        <v>24</v>
      </c>
      <c r="L941" s="18" t="s">
        <v>25</v>
      </c>
      <c r="N941" s="18" t="s">
        <v>973</v>
      </c>
    </row>
    <row r="942" spans="1:14" ht="15" customHeight="1" x14ac:dyDescent="0.3">
      <c r="A942" s="18" t="s">
        <v>2171</v>
      </c>
      <c r="B942" s="19" t="s">
        <v>15</v>
      </c>
      <c r="C942" s="18" t="s">
        <v>1842</v>
      </c>
      <c r="D942" s="18" t="s">
        <v>116</v>
      </c>
      <c r="E942" s="18" t="s">
        <v>117</v>
      </c>
      <c r="F942" s="18" t="s">
        <v>970</v>
      </c>
      <c r="G942" s="18" t="s">
        <v>913</v>
      </c>
      <c r="H942" s="18" t="s">
        <v>2178</v>
      </c>
      <c r="I942" s="20" t="s">
        <v>2179</v>
      </c>
      <c r="J942" s="18" t="s">
        <v>58</v>
      </c>
      <c r="K942" s="18" t="s">
        <v>24</v>
      </c>
      <c r="L942" s="18" t="s">
        <v>25</v>
      </c>
      <c r="N942" s="18" t="s">
        <v>154</v>
      </c>
    </row>
    <row r="943" spans="1:14" ht="15" customHeight="1" x14ac:dyDescent="0.3">
      <c r="A943" s="18" t="s">
        <v>2171</v>
      </c>
      <c r="B943" s="19" t="s">
        <v>15</v>
      </c>
      <c r="C943" s="18" t="s">
        <v>1842</v>
      </c>
      <c r="D943" s="18" t="s">
        <v>116</v>
      </c>
      <c r="E943" s="18" t="s">
        <v>117</v>
      </c>
      <c r="F943" s="18" t="s">
        <v>1192</v>
      </c>
      <c r="G943" s="18" t="s">
        <v>606</v>
      </c>
      <c r="H943" s="18" t="s">
        <v>2180</v>
      </c>
      <c r="I943" s="20" t="s">
        <v>2181</v>
      </c>
      <c r="J943" s="18" t="s">
        <v>58</v>
      </c>
      <c r="K943" s="18" t="s">
        <v>24</v>
      </c>
      <c r="L943" s="18" t="s">
        <v>25</v>
      </c>
      <c r="N943" s="18" t="s">
        <v>154</v>
      </c>
    </row>
    <row r="944" spans="1:14" ht="15" customHeight="1" x14ac:dyDescent="0.3">
      <c r="A944" s="18" t="s">
        <v>2171</v>
      </c>
      <c r="B944" s="19" t="s">
        <v>15</v>
      </c>
      <c r="C944" s="18" t="s">
        <v>1842</v>
      </c>
      <c r="D944" s="18" t="s">
        <v>116</v>
      </c>
      <c r="E944" s="18" t="s">
        <v>117</v>
      </c>
      <c r="F944" s="18" t="s">
        <v>2182</v>
      </c>
      <c r="G944" s="18" t="s">
        <v>1075</v>
      </c>
      <c r="H944" s="18" t="s">
        <v>2180</v>
      </c>
      <c r="I944" s="20" t="s">
        <v>2183</v>
      </c>
      <c r="J944" s="18" t="s">
        <v>58</v>
      </c>
      <c r="K944" s="18" t="s">
        <v>24</v>
      </c>
      <c r="L944" s="18" t="s">
        <v>25</v>
      </c>
      <c r="N944" s="18" t="s">
        <v>154</v>
      </c>
    </row>
    <row r="945" spans="1:14" ht="15" customHeight="1" x14ac:dyDescent="0.3">
      <c r="A945" s="18" t="s">
        <v>2171</v>
      </c>
      <c r="B945" s="19" t="s">
        <v>15</v>
      </c>
      <c r="C945" s="18" t="s">
        <v>1842</v>
      </c>
      <c r="D945" s="18" t="s">
        <v>116</v>
      </c>
      <c r="E945" s="18" t="s">
        <v>117</v>
      </c>
      <c r="F945" s="18" t="s">
        <v>976</v>
      </c>
      <c r="G945" s="18" t="s">
        <v>606</v>
      </c>
      <c r="H945" s="18" t="s">
        <v>2184</v>
      </c>
      <c r="I945" s="20" t="s">
        <v>2185</v>
      </c>
      <c r="J945" s="18" t="s">
        <v>58</v>
      </c>
      <c r="K945" s="18" t="s">
        <v>24</v>
      </c>
      <c r="L945" s="18" t="s">
        <v>25</v>
      </c>
      <c r="N945" s="18" t="s">
        <v>154</v>
      </c>
    </row>
    <row r="946" spans="1:14" ht="15" customHeight="1" x14ac:dyDescent="0.3">
      <c r="A946" s="18" t="s">
        <v>2171</v>
      </c>
      <c r="B946" s="19" t="s">
        <v>15</v>
      </c>
      <c r="C946" s="18" t="s">
        <v>1842</v>
      </c>
      <c r="D946" s="18" t="s">
        <v>116</v>
      </c>
      <c r="E946" s="18" t="s">
        <v>117</v>
      </c>
      <c r="F946" s="18" t="s">
        <v>2186</v>
      </c>
      <c r="G946" s="18" t="s">
        <v>606</v>
      </c>
      <c r="H946" s="18" t="s">
        <v>2184</v>
      </c>
      <c r="I946" s="20" t="s">
        <v>2187</v>
      </c>
      <c r="J946" s="18" t="s">
        <v>58</v>
      </c>
      <c r="K946" s="18" t="s">
        <v>24</v>
      </c>
      <c r="L946" s="18" t="s">
        <v>25</v>
      </c>
      <c r="N946" s="18" t="s">
        <v>154</v>
      </c>
    </row>
    <row r="947" spans="1:14" ht="15" customHeight="1" x14ac:dyDescent="0.3">
      <c r="A947" s="18" t="s">
        <v>2171</v>
      </c>
      <c r="B947" s="19" t="s">
        <v>15</v>
      </c>
      <c r="C947" s="18" t="s">
        <v>1842</v>
      </c>
      <c r="D947" s="18" t="s">
        <v>116</v>
      </c>
      <c r="E947" s="18" t="s">
        <v>117</v>
      </c>
      <c r="F947" s="18" t="s">
        <v>1466</v>
      </c>
      <c r="G947" s="18" t="s">
        <v>47</v>
      </c>
      <c r="H947" s="18" t="s">
        <v>2180</v>
      </c>
      <c r="I947" s="20" t="s">
        <v>2188</v>
      </c>
      <c r="J947" s="18" t="s">
        <v>58</v>
      </c>
      <c r="K947" s="18" t="s">
        <v>24</v>
      </c>
      <c r="L947" s="18" t="s">
        <v>25</v>
      </c>
      <c r="N947" s="18" t="s">
        <v>154</v>
      </c>
    </row>
    <row r="948" spans="1:14" ht="15" customHeight="1" x14ac:dyDescent="0.3">
      <c r="A948" s="18" t="s">
        <v>2171</v>
      </c>
      <c r="B948" s="19" t="s">
        <v>15</v>
      </c>
      <c r="C948" s="18" t="s">
        <v>2174</v>
      </c>
      <c r="D948" s="18" t="s">
        <v>116</v>
      </c>
      <c r="E948" s="18" t="s">
        <v>117</v>
      </c>
      <c r="F948" s="18" t="s">
        <v>349</v>
      </c>
      <c r="G948" s="18" t="s">
        <v>160</v>
      </c>
      <c r="H948" s="18" t="s">
        <v>2176</v>
      </c>
      <c r="I948" s="20" t="s">
        <v>2189</v>
      </c>
      <c r="J948" s="18" t="s">
        <v>58</v>
      </c>
      <c r="K948" s="18" t="s">
        <v>24</v>
      </c>
      <c r="L948" s="18" t="s">
        <v>25</v>
      </c>
      <c r="N948" s="18" t="s">
        <v>973</v>
      </c>
    </row>
    <row r="949" spans="1:14" ht="15" customHeight="1" x14ac:dyDescent="0.3">
      <c r="A949" s="18" t="s">
        <v>2171</v>
      </c>
      <c r="B949" s="19" t="s">
        <v>15</v>
      </c>
      <c r="C949" s="18" t="s">
        <v>1842</v>
      </c>
      <c r="D949" s="18" t="s">
        <v>116</v>
      </c>
      <c r="E949" s="18" t="s">
        <v>117</v>
      </c>
      <c r="F949" s="18" t="s">
        <v>211</v>
      </c>
      <c r="G949" s="18" t="s">
        <v>212</v>
      </c>
      <c r="H949" s="18" t="s">
        <v>2180</v>
      </c>
      <c r="I949" s="20" t="s">
        <v>2190</v>
      </c>
      <c r="J949" s="18" t="s">
        <v>58</v>
      </c>
      <c r="K949" s="18" t="s">
        <v>24</v>
      </c>
      <c r="L949" s="18" t="s">
        <v>25</v>
      </c>
      <c r="N949" s="18" t="s">
        <v>154</v>
      </c>
    </row>
    <row r="950" spans="1:14" ht="15" customHeight="1" x14ac:dyDescent="0.3">
      <c r="A950" s="18" t="s">
        <v>2171</v>
      </c>
      <c r="B950" s="19" t="s">
        <v>15</v>
      </c>
      <c r="C950" s="18" t="s">
        <v>1842</v>
      </c>
      <c r="D950" s="18" t="s">
        <v>116</v>
      </c>
      <c r="E950" s="18" t="s">
        <v>117</v>
      </c>
      <c r="F950" s="18" t="s">
        <v>1806</v>
      </c>
      <c r="G950" s="18" t="s">
        <v>85</v>
      </c>
      <c r="H950" s="18" t="s">
        <v>2180</v>
      </c>
      <c r="I950" s="20" t="s">
        <v>2191</v>
      </c>
      <c r="J950" s="18" t="s">
        <v>58</v>
      </c>
      <c r="K950" s="18" t="s">
        <v>24</v>
      </c>
      <c r="L950" s="18" t="s">
        <v>25</v>
      </c>
      <c r="N950" s="18" t="s">
        <v>154</v>
      </c>
    </row>
    <row r="951" spans="1:14" ht="15" customHeight="1" x14ac:dyDescent="0.3">
      <c r="A951" s="18" t="s">
        <v>2171</v>
      </c>
      <c r="B951" s="19" t="s">
        <v>15</v>
      </c>
      <c r="C951" s="18" t="s">
        <v>2192</v>
      </c>
      <c r="D951" s="18" t="s">
        <v>116</v>
      </c>
      <c r="E951" s="18" t="s">
        <v>117</v>
      </c>
      <c r="F951" s="18" t="s">
        <v>2193</v>
      </c>
      <c r="G951" s="18" t="s">
        <v>1634</v>
      </c>
      <c r="H951" s="18" t="s">
        <v>2184</v>
      </c>
      <c r="I951" s="20" t="s">
        <v>2194</v>
      </c>
      <c r="J951" s="18" t="s">
        <v>58</v>
      </c>
      <c r="K951" s="18" t="s">
        <v>24</v>
      </c>
      <c r="L951" s="18" t="s">
        <v>25</v>
      </c>
      <c r="N951" s="18" t="s">
        <v>154</v>
      </c>
    </row>
    <row r="952" spans="1:14" ht="15" customHeight="1" x14ac:dyDescent="0.3">
      <c r="A952" s="18" t="s">
        <v>2171</v>
      </c>
      <c r="B952" s="19" t="s">
        <v>15</v>
      </c>
      <c r="C952" s="18" t="s">
        <v>2195</v>
      </c>
      <c r="D952" s="18" t="s">
        <v>116</v>
      </c>
      <c r="E952" s="18" t="s">
        <v>117</v>
      </c>
      <c r="F952" s="18" t="s">
        <v>2196</v>
      </c>
      <c r="G952" s="18" t="s">
        <v>920</v>
      </c>
      <c r="H952" s="18" t="s">
        <v>2184</v>
      </c>
      <c r="I952" s="20" t="s">
        <v>2197</v>
      </c>
      <c r="J952" s="18" t="s">
        <v>58</v>
      </c>
      <c r="K952" s="18" t="s">
        <v>24</v>
      </c>
      <c r="L952" s="18" t="s">
        <v>25</v>
      </c>
      <c r="N952" s="18" t="s">
        <v>154</v>
      </c>
    </row>
    <row r="953" spans="1:14" ht="15" customHeight="1" x14ac:dyDescent="0.3">
      <c r="A953" s="18" t="s">
        <v>2171</v>
      </c>
      <c r="B953" s="19" t="s">
        <v>15</v>
      </c>
      <c r="C953" s="18" t="s">
        <v>2192</v>
      </c>
      <c r="D953" s="18" t="s">
        <v>116</v>
      </c>
      <c r="E953" s="18" t="s">
        <v>117</v>
      </c>
      <c r="F953" s="18" t="s">
        <v>2198</v>
      </c>
      <c r="G953" s="18" t="s">
        <v>2199</v>
      </c>
      <c r="H953" s="18" t="s">
        <v>2184</v>
      </c>
      <c r="I953" s="20" t="s">
        <v>2200</v>
      </c>
      <c r="J953" s="18" t="s">
        <v>58</v>
      </c>
      <c r="K953" s="18" t="s">
        <v>24</v>
      </c>
      <c r="L953" s="18" t="s">
        <v>25</v>
      </c>
      <c r="N953" s="18" t="s">
        <v>154</v>
      </c>
    </row>
    <row r="954" spans="1:14" ht="15" customHeight="1" x14ac:dyDescent="0.3">
      <c r="A954" s="18" t="s">
        <v>2171</v>
      </c>
      <c r="B954" s="19" t="s">
        <v>15</v>
      </c>
      <c r="C954" s="18" t="s">
        <v>1842</v>
      </c>
      <c r="D954" s="18" t="s">
        <v>116</v>
      </c>
      <c r="E954" s="18" t="s">
        <v>117</v>
      </c>
      <c r="F954" s="18" t="s">
        <v>1301</v>
      </c>
      <c r="G954" s="18" t="s">
        <v>160</v>
      </c>
      <c r="H954" s="18" t="s">
        <v>2172</v>
      </c>
      <c r="I954" s="20" t="s">
        <v>2201</v>
      </c>
      <c r="J954" s="18" t="s">
        <v>58</v>
      </c>
      <c r="K954" s="18" t="s">
        <v>24</v>
      </c>
      <c r="L954" s="18" t="s">
        <v>25</v>
      </c>
      <c r="N954" s="18" t="s">
        <v>154</v>
      </c>
    </row>
    <row r="955" spans="1:14" ht="15" customHeight="1" x14ac:dyDescent="0.3">
      <c r="A955" s="18" t="s">
        <v>2171</v>
      </c>
      <c r="B955" s="19" t="s">
        <v>15</v>
      </c>
      <c r="C955" s="18" t="s">
        <v>1842</v>
      </c>
      <c r="D955" s="18" t="s">
        <v>116</v>
      </c>
      <c r="E955" s="18" t="s">
        <v>117</v>
      </c>
      <c r="F955" s="18" t="s">
        <v>1571</v>
      </c>
      <c r="G955" s="18" t="s">
        <v>47</v>
      </c>
      <c r="H955" s="18" t="s">
        <v>2180</v>
      </c>
      <c r="I955" s="20" t="s">
        <v>2202</v>
      </c>
      <c r="J955" s="18" t="s">
        <v>58</v>
      </c>
      <c r="K955" s="18" t="s">
        <v>24</v>
      </c>
      <c r="L955" s="18" t="s">
        <v>25</v>
      </c>
      <c r="N955" s="18" t="s">
        <v>154</v>
      </c>
    </row>
    <row r="956" spans="1:14" ht="15" customHeight="1" x14ac:dyDescent="0.3">
      <c r="A956" s="18" t="s">
        <v>2171</v>
      </c>
      <c r="B956" s="19" t="s">
        <v>15</v>
      </c>
      <c r="C956" s="18" t="s">
        <v>1842</v>
      </c>
      <c r="D956" s="18" t="s">
        <v>116</v>
      </c>
      <c r="E956" s="18" t="s">
        <v>117</v>
      </c>
      <c r="F956" s="18" t="s">
        <v>2203</v>
      </c>
      <c r="G956" s="18" t="s">
        <v>47</v>
      </c>
      <c r="H956" s="18" t="s">
        <v>2180</v>
      </c>
      <c r="I956" s="20" t="s">
        <v>2204</v>
      </c>
      <c r="J956" s="18" t="s">
        <v>58</v>
      </c>
      <c r="K956" s="18" t="s">
        <v>24</v>
      </c>
      <c r="L956" s="18" t="s">
        <v>25</v>
      </c>
      <c r="N956" s="18" t="s">
        <v>154</v>
      </c>
    </row>
    <row r="957" spans="1:14" ht="15" customHeight="1" x14ac:dyDescent="0.3">
      <c r="A957" s="18" t="s">
        <v>2171</v>
      </c>
      <c r="B957" s="19" t="s">
        <v>15</v>
      </c>
      <c r="C957" s="18" t="s">
        <v>2174</v>
      </c>
      <c r="D957" s="18" t="s">
        <v>116</v>
      </c>
      <c r="E957" s="18" t="s">
        <v>117</v>
      </c>
      <c r="F957" s="18" t="s">
        <v>2205</v>
      </c>
      <c r="G957" s="18" t="s">
        <v>47</v>
      </c>
      <c r="H957" s="18" t="s">
        <v>2176</v>
      </c>
      <c r="I957" s="20" t="s">
        <v>2206</v>
      </c>
      <c r="J957" s="18" t="s">
        <v>58</v>
      </c>
      <c r="K957" s="18" t="s">
        <v>24</v>
      </c>
      <c r="L957" s="18" t="s">
        <v>25</v>
      </c>
      <c r="N957" s="18" t="s">
        <v>973</v>
      </c>
    </row>
    <row r="958" spans="1:14" ht="15" customHeight="1" x14ac:dyDescent="0.3">
      <c r="A958" s="18" t="s">
        <v>2171</v>
      </c>
      <c r="B958" s="19" t="s">
        <v>15</v>
      </c>
      <c r="C958" s="18" t="s">
        <v>1842</v>
      </c>
      <c r="D958" s="18" t="s">
        <v>116</v>
      </c>
      <c r="E958" s="18" t="s">
        <v>117</v>
      </c>
      <c r="F958" s="18" t="s">
        <v>2207</v>
      </c>
      <c r="G958" s="18" t="s">
        <v>1009</v>
      </c>
      <c r="H958" s="18" t="s">
        <v>2172</v>
      </c>
      <c r="I958" s="20" t="s">
        <v>2208</v>
      </c>
      <c r="J958" s="18" t="s">
        <v>58</v>
      </c>
      <c r="K958" s="18" t="s">
        <v>24</v>
      </c>
      <c r="L958" s="18" t="s">
        <v>25</v>
      </c>
      <c r="N958" s="18" t="s">
        <v>154</v>
      </c>
    </row>
    <row r="959" spans="1:14" ht="15" customHeight="1" x14ac:dyDescent="0.3">
      <c r="A959" s="18" t="s">
        <v>2171</v>
      </c>
      <c r="B959" s="19" t="s">
        <v>15</v>
      </c>
      <c r="C959" s="18" t="s">
        <v>1842</v>
      </c>
      <c r="D959" s="18" t="s">
        <v>116</v>
      </c>
      <c r="E959" s="18" t="s">
        <v>117</v>
      </c>
      <c r="F959" s="18" t="s">
        <v>2209</v>
      </c>
      <c r="G959" s="18" t="s">
        <v>1204</v>
      </c>
      <c r="H959" s="18" t="s">
        <v>2180</v>
      </c>
      <c r="I959" s="20" t="s">
        <v>2210</v>
      </c>
      <c r="J959" s="18" t="s">
        <v>58</v>
      </c>
      <c r="K959" s="18" t="s">
        <v>24</v>
      </c>
      <c r="L959" s="18" t="s">
        <v>25</v>
      </c>
      <c r="N959" s="18" t="s">
        <v>154</v>
      </c>
    </row>
    <row r="960" spans="1:14" ht="15" customHeight="1" x14ac:dyDescent="0.3">
      <c r="A960" s="18" t="s">
        <v>2171</v>
      </c>
      <c r="B960" s="19" t="s">
        <v>15</v>
      </c>
      <c r="C960" s="18" t="s">
        <v>1842</v>
      </c>
      <c r="D960" s="18" t="s">
        <v>116</v>
      </c>
      <c r="E960" s="18" t="s">
        <v>117</v>
      </c>
      <c r="F960" s="18" t="s">
        <v>2211</v>
      </c>
      <c r="G960" s="18" t="s">
        <v>1204</v>
      </c>
      <c r="H960" s="18" t="s">
        <v>2180</v>
      </c>
      <c r="I960" s="20" t="s">
        <v>2212</v>
      </c>
      <c r="J960" s="18" t="s">
        <v>58</v>
      </c>
      <c r="K960" s="18" t="s">
        <v>24</v>
      </c>
      <c r="L960" s="18" t="s">
        <v>25</v>
      </c>
      <c r="N960" s="18" t="s">
        <v>154</v>
      </c>
    </row>
    <row r="961" spans="1:14" ht="15" customHeight="1" x14ac:dyDescent="0.3">
      <c r="A961" s="18" t="s">
        <v>2171</v>
      </c>
      <c r="B961" s="19" t="s">
        <v>15</v>
      </c>
      <c r="C961" s="18" t="s">
        <v>1842</v>
      </c>
      <c r="D961" s="18" t="s">
        <v>116</v>
      </c>
      <c r="E961" s="18" t="s">
        <v>117</v>
      </c>
      <c r="F961" s="18" t="s">
        <v>2213</v>
      </c>
      <c r="G961" s="18" t="s">
        <v>979</v>
      </c>
      <c r="H961" s="18" t="s">
        <v>2178</v>
      </c>
      <c r="I961" s="20" t="s">
        <v>2214</v>
      </c>
      <c r="J961" s="18" t="s">
        <v>58</v>
      </c>
      <c r="K961" s="18" t="s">
        <v>24</v>
      </c>
      <c r="L961" s="18" t="s">
        <v>25</v>
      </c>
      <c r="N961" s="18" t="s">
        <v>154</v>
      </c>
    </row>
    <row r="962" spans="1:14" ht="15" customHeight="1" x14ac:dyDescent="0.3">
      <c r="A962" s="18" t="s">
        <v>2171</v>
      </c>
      <c r="B962" s="19" t="s">
        <v>15</v>
      </c>
      <c r="C962" s="18" t="s">
        <v>2192</v>
      </c>
      <c r="D962" s="18" t="s">
        <v>116</v>
      </c>
      <c r="E962" s="18" t="s">
        <v>117</v>
      </c>
      <c r="F962" s="18" t="s">
        <v>2215</v>
      </c>
      <c r="G962" s="18" t="s">
        <v>1634</v>
      </c>
      <c r="H962" s="18" t="s">
        <v>2184</v>
      </c>
      <c r="I962" s="20" t="s">
        <v>2216</v>
      </c>
      <c r="J962" s="18" t="s">
        <v>58</v>
      </c>
      <c r="K962" s="18" t="s">
        <v>24</v>
      </c>
      <c r="L962" s="18" t="s">
        <v>25</v>
      </c>
      <c r="N962" s="18" t="s">
        <v>154</v>
      </c>
    </row>
    <row r="963" spans="1:14" ht="15" customHeight="1" x14ac:dyDescent="0.3">
      <c r="A963" s="18" t="s">
        <v>2171</v>
      </c>
      <c r="B963" s="19" t="s">
        <v>15</v>
      </c>
      <c r="C963" s="18" t="s">
        <v>2217</v>
      </c>
      <c r="D963" s="18" t="s">
        <v>116</v>
      </c>
      <c r="E963" s="18" t="s">
        <v>117</v>
      </c>
      <c r="F963" s="18" t="s">
        <v>572</v>
      </c>
      <c r="G963" s="18" t="s">
        <v>263</v>
      </c>
      <c r="H963" s="18" t="s">
        <v>2178</v>
      </c>
      <c r="I963" s="20" t="s">
        <v>2218</v>
      </c>
      <c r="J963" s="18" t="s">
        <v>58</v>
      </c>
      <c r="K963" s="18" t="s">
        <v>24</v>
      </c>
      <c r="L963" s="18" t="s">
        <v>25</v>
      </c>
      <c r="N963" s="18" t="s">
        <v>154</v>
      </c>
    </row>
    <row r="964" spans="1:14" ht="15" customHeight="1" x14ac:dyDescent="0.3">
      <c r="A964" s="18" t="s">
        <v>2171</v>
      </c>
      <c r="B964" s="19" t="s">
        <v>15</v>
      </c>
      <c r="C964" s="18" t="s">
        <v>2219</v>
      </c>
      <c r="D964" s="18" t="s">
        <v>116</v>
      </c>
      <c r="E964" s="18" t="s">
        <v>117</v>
      </c>
      <c r="F964" s="18" t="s">
        <v>2220</v>
      </c>
      <c r="G964" s="18" t="s">
        <v>2047</v>
      </c>
      <c r="H964" s="18" t="s">
        <v>2184</v>
      </c>
      <c r="I964" s="20" t="s">
        <v>2221</v>
      </c>
      <c r="J964" s="18" t="s">
        <v>58</v>
      </c>
      <c r="K964" s="18" t="s">
        <v>24</v>
      </c>
      <c r="L964" s="18" t="s">
        <v>25</v>
      </c>
      <c r="N964" s="18" t="s">
        <v>973</v>
      </c>
    </row>
    <row r="965" spans="1:14" ht="15" customHeight="1" x14ac:dyDescent="0.3">
      <c r="A965" s="18" t="s">
        <v>2171</v>
      </c>
      <c r="B965" s="19" t="s">
        <v>15</v>
      </c>
      <c r="C965" s="18" t="s">
        <v>2192</v>
      </c>
      <c r="D965" s="18" t="s">
        <v>116</v>
      </c>
      <c r="E965" s="18" t="s">
        <v>117</v>
      </c>
      <c r="F965" s="18" t="s">
        <v>2222</v>
      </c>
      <c r="G965" s="18" t="s">
        <v>1009</v>
      </c>
      <c r="H965" s="18" t="s">
        <v>2184</v>
      </c>
      <c r="I965" s="20" t="s">
        <v>2223</v>
      </c>
      <c r="J965" s="18" t="s">
        <v>58</v>
      </c>
      <c r="K965" s="18" t="s">
        <v>24</v>
      </c>
      <c r="L965" s="18" t="s">
        <v>25</v>
      </c>
      <c r="N965" s="18" t="s">
        <v>154</v>
      </c>
    </row>
    <row r="966" spans="1:14" ht="15" customHeight="1" x14ac:dyDescent="0.3">
      <c r="A966" s="18" t="s">
        <v>2171</v>
      </c>
      <c r="B966" s="19" t="s">
        <v>15</v>
      </c>
      <c r="C966" s="18" t="s">
        <v>2174</v>
      </c>
      <c r="D966" s="18" t="s">
        <v>116</v>
      </c>
      <c r="E966" s="18" t="s">
        <v>117</v>
      </c>
      <c r="F966" s="18" t="s">
        <v>2224</v>
      </c>
      <c r="G966" s="18" t="s">
        <v>207</v>
      </c>
      <c r="H966" s="18" t="s">
        <v>2176</v>
      </c>
      <c r="I966" s="20" t="s">
        <v>2225</v>
      </c>
      <c r="J966" s="18" t="s">
        <v>58</v>
      </c>
      <c r="K966" s="18" t="s">
        <v>24</v>
      </c>
      <c r="L966" s="18" t="s">
        <v>25</v>
      </c>
      <c r="N966" s="18" t="s">
        <v>973</v>
      </c>
    </row>
    <row r="967" spans="1:14" ht="15" customHeight="1" x14ac:dyDescent="0.3">
      <c r="A967" s="18" t="s">
        <v>2171</v>
      </c>
      <c r="B967" s="19" t="s">
        <v>15</v>
      </c>
      <c r="C967" s="18" t="s">
        <v>1842</v>
      </c>
      <c r="D967" s="18" t="s">
        <v>116</v>
      </c>
      <c r="E967" s="18" t="s">
        <v>117</v>
      </c>
      <c r="F967" s="18" t="s">
        <v>2226</v>
      </c>
      <c r="G967" s="18" t="s">
        <v>51</v>
      </c>
      <c r="H967" s="18" t="s">
        <v>2180</v>
      </c>
      <c r="I967" s="20" t="s">
        <v>2227</v>
      </c>
      <c r="J967" s="18" t="s">
        <v>58</v>
      </c>
      <c r="K967" s="18" t="s">
        <v>24</v>
      </c>
      <c r="L967" s="18" t="s">
        <v>25</v>
      </c>
      <c r="N967" s="18" t="s">
        <v>154</v>
      </c>
    </row>
    <row r="968" spans="1:14" ht="15" customHeight="1" x14ac:dyDescent="0.3">
      <c r="A968" s="18" t="s">
        <v>2171</v>
      </c>
      <c r="B968" s="19" t="s">
        <v>15</v>
      </c>
      <c r="C968" s="18" t="s">
        <v>2174</v>
      </c>
      <c r="D968" s="18" t="s">
        <v>116</v>
      </c>
      <c r="E968" s="18" t="s">
        <v>117</v>
      </c>
      <c r="F968" s="18" t="s">
        <v>2228</v>
      </c>
      <c r="G968" s="18" t="s">
        <v>536</v>
      </c>
      <c r="H968" s="18" t="s">
        <v>2176</v>
      </c>
      <c r="I968" s="20" t="s">
        <v>2229</v>
      </c>
      <c r="J968" s="18" t="s">
        <v>58</v>
      </c>
      <c r="K968" s="18" t="s">
        <v>24</v>
      </c>
      <c r="L968" s="18" t="s">
        <v>25</v>
      </c>
      <c r="N968" s="18" t="s">
        <v>973</v>
      </c>
    </row>
    <row r="969" spans="1:14" ht="15" customHeight="1" x14ac:dyDescent="0.3">
      <c r="A969" s="18" t="s">
        <v>2171</v>
      </c>
      <c r="B969" s="19" t="s">
        <v>15</v>
      </c>
      <c r="C969" s="18" t="s">
        <v>1842</v>
      </c>
      <c r="D969" s="18" t="s">
        <v>116</v>
      </c>
      <c r="E969" s="18" t="s">
        <v>117</v>
      </c>
      <c r="F969" s="18" t="s">
        <v>2230</v>
      </c>
      <c r="G969" s="18" t="s">
        <v>28</v>
      </c>
      <c r="H969" s="18" t="s">
        <v>2172</v>
      </c>
      <c r="I969" s="20" t="s">
        <v>2231</v>
      </c>
      <c r="J969" s="18" t="s">
        <v>58</v>
      </c>
      <c r="K969" s="18" t="s">
        <v>24</v>
      </c>
      <c r="L969" s="18" t="s">
        <v>25</v>
      </c>
      <c r="N969" s="18" t="s">
        <v>154</v>
      </c>
    </row>
    <row r="970" spans="1:14" ht="15" customHeight="1" x14ac:dyDescent="0.3">
      <c r="A970" s="18" t="s">
        <v>2171</v>
      </c>
      <c r="B970" s="19" t="s">
        <v>15</v>
      </c>
      <c r="C970" s="18" t="s">
        <v>2174</v>
      </c>
      <c r="D970" s="18" t="s">
        <v>116</v>
      </c>
      <c r="E970" s="18" t="s">
        <v>117</v>
      </c>
      <c r="F970" s="18" t="s">
        <v>1587</v>
      </c>
      <c r="G970" s="18" t="s">
        <v>47</v>
      </c>
      <c r="H970" s="18" t="s">
        <v>2176</v>
      </c>
      <c r="I970" s="20" t="s">
        <v>2232</v>
      </c>
      <c r="J970" s="18" t="s">
        <v>58</v>
      </c>
      <c r="K970" s="18" t="s">
        <v>24</v>
      </c>
      <c r="L970" s="18" t="s">
        <v>25</v>
      </c>
      <c r="N970" s="18" t="s">
        <v>973</v>
      </c>
    </row>
    <row r="971" spans="1:14" ht="15" customHeight="1" x14ac:dyDescent="0.3">
      <c r="A971" s="18" t="s">
        <v>2171</v>
      </c>
      <c r="B971" s="19" t="s">
        <v>15</v>
      </c>
      <c r="C971" s="18" t="s">
        <v>1842</v>
      </c>
      <c r="D971" s="18" t="s">
        <v>116</v>
      </c>
      <c r="E971" s="18" t="s">
        <v>117</v>
      </c>
      <c r="F971" s="18" t="s">
        <v>2233</v>
      </c>
      <c r="G971" s="18" t="s">
        <v>165</v>
      </c>
      <c r="H971" s="18" t="s">
        <v>2172</v>
      </c>
      <c r="I971" s="20" t="s">
        <v>2234</v>
      </c>
      <c r="J971" s="18" t="s">
        <v>58</v>
      </c>
      <c r="K971" s="18" t="s">
        <v>24</v>
      </c>
      <c r="L971" s="18" t="s">
        <v>25</v>
      </c>
      <c r="N971" s="18" t="s">
        <v>154</v>
      </c>
    </row>
    <row r="972" spans="1:14" ht="15" customHeight="1" x14ac:dyDescent="0.3">
      <c r="A972" s="18" t="s">
        <v>2171</v>
      </c>
      <c r="B972" s="19" t="s">
        <v>15</v>
      </c>
      <c r="C972" s="18" t="s">
        <v>596</v>
      </c>
      <c r="D972" s="18" t="s">
        <v>116</v>
      </c>
      <c r="E972" s="18" t="s">
        <v>117</v>
      </c>
      <c r="F972" s="18" t="s">
        <v>2235</v>
      </c>
      <c r="G972" s="18" t="s">
        <v>1634</v>
      </c>
      <c r="H972" s="18" t="s">
        <v>2236</v>
      </c>
      <c r="I972" s="20" t="s">
        <v>2237</v>
      </c>
      <c r="J972" s="18" t="s">
        <v>58</v>
      </c>
      <c r="K972" s="18" t="s">
        <v>24</v>
      </c>
      <c r="L972" s="18" t="s">
        <v>25</v>
      </c>
      <c r="N972" s="18" t="s">
        <v>154</v>
      </c>
    </row>
    <row r="973" spans="1:14" ht="15" customHeight="1" x14ac:dyDescent="0.3">
      <c r="A973" s="18" t="s">
        <v>2171</v>
      </c>
      <c r="B973" s="19" t="s">
        <v>15</v>
      </c>
      <c r="C973" s="18" t="s">
        <v>1842</v>
      </c>
      <c r="D973" s="18" t="s">
        <v>116</v>
      </c>
      <c r="E973" s="18" t="s">
        <v>117</v>
      </c>
      <c r="F973" s="18" t="s">
        <v>2238</v>
      </c>
      <c r="G973" s="18" t="s">
        <v>2047</v>
      </c>
      <c r="H973" s="18" t="s">
        <v>2184</v>
      </c>
      <c r="I973" s="20" t="s">
        <v>2239</v>
      </c>
      <c r="J973" s="18" t="s">
        <v>58</v>
      </c>
      <c r="K973" s="18" t="s">
        <v>24</v>
      </c>
      <c r="L973" s="18" t="s">
        <v>25</v>
      </c>
      <c r="N973" s="18" t="s">
        <v>154</v>
      </c>
    </row>
    <row r="974" spans="1:14" ht="15" customHeight="1" x14ac:dyDescent="0.3">
      <c r="A974" s="18" t="s">
        <v>2171</v>
      </c>
      <c r="B974" s="19" t="s">
        <v>15</v>
      </c>
      <c r="C974" s="18" t="s">
        <v>1842</v>
      </c>
      <c r="D974" s="18" t="s">
        <v>116</v>
      </c>
      <c r="E974" s="18" t="s">
        <v>117</v>
      </c>
      <c r="F974" s="18" t="s">
        <v>2047</v>
      </c>
      <c r="G974" s="18" t="s">
        <v>2047</v>
      </c>
      <c r="H974" s="18" t="s">
        <v>2184</v>
      </c>
      <c r="I974" s="20" t="s">
        <v>2240</v>
      </c>
      <c r="J974" s="18" t="s">
        <v>58</v>
      </c>
      <c r="K974" s="18" t="s">
        <v>24</v>
      </c>
      <c r="L974" s="18" t="s">
        <v>25</v>
      </c>
      <c r="N974" s="18" t="s">
        <v>154</v>
      </c>
    </row>
    <row r="975" spans="1:14" ht="15" customHeight="1" x14ac:dyDescent="0.3">
      <c r="A975" s="18" t="s">
        <v>2171</v>
      </c>
      <c r="B975" s="19" t="s">
        <v>15</v>
      </c>
      <c r="C975" s="18" t="s">
        <v>1842</v>
      </c>
      <c r="D975" s="18" t="s">
        <v>116</v>
      </c>
      <c r="E975" s="18" t="s">
        <v>117</v>
      </c>
      <c r="F975" s="18" t="s">
        <v>2241</v>
      </c>
      <c r="G975" s="18" t="s">
        <v>2242</v>
      </c>
      <c r="H975" s="18" t="s">
        <v>2184</v>
      </c>
      <c r="I975" s="20" t="s">
        <v>2243</v>
      </c>
      <c r="J975" s="18" t="s">
        <v>58</v>
      </c>
      <c r="K975" s="18" t="s">
        <v>24</v>
      </c>
      <c r="L975" s="18" t="s">
        <v>25</v>
      </c>
      <c r="N975" s="18" t="s">
        <v>154</v>
      </c>
    </row>
    <row r="976" spans="1:14" ht="15" customHeight="1" x14ac:dyDescent="0.3">
      <c r="A976" s="18" t="s">
        <v>2171</v>
      </c>
      <c r="B976" s="19" t="s">
        <v>15</v>
      </c>
      <c r="C976" s="18" t="s">
        <v>1842</v>
      </c>
      <c r="D976" s="18" t="s">
        <v>116</v>
      </c>
      <c r="E976" s="18" t="s">
        <v>117</v>
      </c>
      <c r="F976" s="18" t="s">
        <v>2244</v>
      </c>
      <c r="G976" s="18" t="s">
        <v>2245</v>
      </c>
      <c r="H976" s="18" t="s">
        <v>2172</v>
      </c>
      <c r="I976" s="20" t="s">
        <v>2246</v>
      </c>
      <c r="J976" s="18" t="s">
        <v>58</v>
      </c>
      <c r="K976" s="18" t="s">
        <v>24</v>
      </c>
      <c r="L976" s="18" t="s">
        <v>25</v>
      </c>
      <c r="N976" s="18" t="s">
        <v>154</v>
      </c>
    </row>
    <row r="977" spans="1:14" ht="15" customHeight="1" x14ac:dyDescent="0.3">
      <c r="A977" s="18" t="s">
        <v>2171</v>
      </c>
      <c r="B977" s="19" t="s">
        <v>15</v>
      </c>
      <c r="C977" s="18" t="s">
        <v>1842</v>
      </c>
      <c r="D977" s="18" t="s">
        <v>116</v>
      </c>
      <c r="E977" s="18" t="s">
        <v>117</v>
      </c>
      <c r="F977" s="18" t="s">
        <v>2247</v>
      </c>
      <c r="G977" s="18" t="s">
        <v>2248</v>
      </c>
      <c r="H977" s="18" t="s">
        <v>2180</v>
      </c>
      <c r="I977" s="20" t="s">
        <v>2249</v>
      </c>
      <c r="J977" s="18" t="s">
        <v>58</v>
      </c>
      <c r="K977" s="18" t="s">
        <v>24</v>
      </c>
      <c r="L977" s="18" t="s">
        <v>25</v>
      </c>
      <c r="N977" s="18" t="s">
        <v>154</v>
      </c>
    </row>
    <row r="978" spans="1:14" ht="15" customHeight="1" x14ac:dyDescent="0.3">
      <c r="A978" s="18" t="s">
        <v>2171</v>
      </c>
      <c r="B978" s="19" t="s">
        <v>15</v>
      </c>
      <c r="C978" s="18" t="s">
        <v>1842</v>
      </c>
      <c r="D978" s="18" t="s">
        <v>116</v>
      </c>
      <c r="E978" s="18" t="s">
        <v>117</v>
      </c>
      <c r="F978" s="18" t="s">
        <v>2250</v>
      </c>
      <c r="G978" s="18" t="s">
        <v>1502</v>
      </c>
      <c r="H978" s="18" t="s">
        <v>2180</v>
      </c>
      <c r="I978" s="20" t="s">
        <v>2251</v>
      </c>
      <c r="J978" s="18" t="s">
        <v>58</v>
      </c>
      <c r="K978" s="18" t="s">
        <v>24</v>
      </c>
      <c r="L978" s="18" t="s">
        <v>25</v>
      </c>
      <c r="N978" s="18" t="s">
        <v>154</v>
      </c>
    </row>
    <row r="979" spans="1:14" ht="15" customHeight="1" x14ac:dyDescent="0.3">
      <c r="A979" s="18" t="s">
        <v>2171</v>
      </c>
      <c r="B979" s="19" t="s">
        <v>15</v>
      </c>
      <c r="C979" s="18" t="s">
        <v>1842</v>
      </c>
      <c r="D979" s="18" t="s">
        <v>116</v>
      </c>
      <c r="E979" s="18" t="s">
        <v>117</v>
      </c>
      <c r="F979" s="18" t="s">
        <v>2252</v>
      </c>
      <c r="G979" s="18" t="s">
        <v>2199</v>
      </c>
      <c r="H979" s="18" t="s">
        <v>2184</v>
      </c>
      <c r="I979" s="20" t="s">
        <v>2253</v>
      </c>
      <c r="J979" s="18" t="s">
        <v>58</v>
      </c>
      <c r="K979" s="18" t="s">
        <v>24</v>
      </c>
      <c r="L979" s="18" t="s">
        <v>25</v>
      </c>
      <c r="N979" s="18" t="s">
        <v>154</v>
      </c>
    </row>
    <row r="980" spans="1:14" ht="15" customHeight="1" x14ac:dyDescent="0.3">
      <c r="A980" s="18" t="s">
        <v>2171</v>
      </c>
      <c r="B980" s="19" t="s">
        <v>15</v>
      </c>
      <c r="C980" s="18" t="s">
        <v>2192</v>
      </c>
      <c r="D980" s="18" t="s">
        <v>116</v>
      </c>
      <c r="E980" s="18" t="s">
        <v>117</v>
      </c>
      <c r="F980" s="18" t="s">
        <v>1650</v>
      </c>
      <c r="G980" s="18" t="s">
        <v>1634</v>
      </c>
      <c r="H980" s="18" t="s">
        <v>2184</v>
      </c>
      <c r="I980" s="20" t="s">
        <v>2254</v>
      </c>
      <c r="J980" s="18" t="s">
        <v>58</v>
      </c>
      <c r="K980" s="18" t="s">
        <v>24</v>
      </c>
      <c r="L980" s="18" t="s">
        <v>25</v>
      </c>
      <c r="N980" s="18" t="s">
        <v>154</v>
      </c>
    </row>
    <row r="981" spans="1:14" ht="15" customHeight="1" x14ac:dyDescent="0.3">
      <c r="A981" s="18" t="s">
        <v>2171</v>
      </c>
      <c r="B981" s="19" t="s">
        <v>15</v>
      </c>
      <c r="C981" s="18" t="s">
        <v>1842</v>
      </c>
      <c r="D981" s="18" t="s">
        <v>116</v>
      </c>
      <c r="E981" s="18" t="s">
        <v>117</v>
      </c>
      <c r="F981" s="18" t="s">
        <v>2255</v>
      </c>
      <c r="G981" s="18" t="s">
        <v>270</v>
      </c>
      <c r="H981" s="18" t="s">
        <v>2172</v>
      </c>
      <c r="I981" s="20" t="s">
        <v>2256</v>
      </c>
      <c r="J981" s="18" t="s">
        <v>58</v>
      </c>
      <c r="K981" s="18" t="s">
        <v>24</v>
      </c>
      <c r="L981" s="18" t="s">
        <v>25</v>
      </c>
      <c r="N981" s="18" t="s">
        <v>154</v>
      </c>
    </row>
    <row r="982" spans="1:14" ht="15" customHeight="1" x14ac:dyDescent="0.3">
      <c r="A982" s="18" t="s">
        <v>2171</v>
      </c>
      <c r="B982" s="19" t="s">
        <v>15</v>
      </c>
      <c r="C982" s="18" t="s">
        <v>1842</v>
      </c>
      <c r="D982" s="18" t="s">
        <v>116</v>
      </c>
      <c r="E982" s="18" t="s">
        <v>117</v>
      </c>
      <c r="F982" s="18" t="s">
        <v>2257</v>
      </c>
      <c r="G982" s="18" t="s">
        <v>263</v>
      </c>
      <c r="H982" s="18" t="s">
        <v>2172</v>
      </c>
      <c r="I982" s="20" t="s">
        <v>2258</v>
      </c>
      <c r="J982" s="18" t="s">
        <v>58</v>
      </c>
      <c r="K982" s="18" t="s">
        <v>24</v>
      </c>
      <c r="L982" s="18" t="s">
        <v>25</v>
      </c>
      <c r="N982" s="18" t="s">
        <v>154</v>
      </c>
    </row>
    <row r="983" spans="1:14" ht="15" customHeight="1" x14ac:dyDescent="0.3">
      <c r="A983" s="18" t="s">
        <v>2171</v>
      </c>
      <c r="B983" s="19" t="s">
        <v>15</v>
      </c>
      <c r="C983" s="18" t="s">
        <v>2174</v>
      </c>
      <c r="D983" s="18" t="s">
        <v>116</v>
      </c>
      <c r="E983" s="18" t="s">
        <v>117</v>
      </c>
      <c r="F983" s="18" t="s">
        <v>2020</v>
      </c>
      <c r="G983" s="18" t="s">
        <v>619</v>
      </c>
      <c r="H983" s="18" t="s">
        <v>2176</v>
      </c>
      <c r="I983" s="20" t="s">
        <v>2259</v>
      </c>
      <c r="J983" s="18" t="s">
        <v>58</v>
      </c>
      <c r="K983" s="18" t="s">
        <v>24</v>
      </c>
      <c r="L983" s="18" t="s">
        <v>25</v>
      </c>
      <c r="N983" s="18" t="s">
        <v>973</v>
      </c>
    </row>
    <row r="984" spans="1:14" ht="15" customHeight="1" x14ac:dyDescent="0.3">
      <c r="A984" s="18" t="s">
        <v>2171</v>
      </c>
      <c r="B984" s="19" t="s">
        <v>15</v>
      </c>
      <c r="C984" s="18" t="s">
        <v>1842</v>
      </c>
      <c r="D984" s="18" t="s">
        <v>116</v>
      </c>
      <c r="E984" s="18" t="s">
        <v>117</v>
      </c>
      <c r="F984" s="18" t="s">
        <v>2260</v>
      </c>
      <c r="G984" s="18" t="s">
        <v>913</v>
      </c>
      <c r="H984" s="18" t="s">
        <v>2184</v>
      </c>
      <c r="I984" s="20" t="s">
        <v>2261</v>
      </c>
      <c r="J984" s="18" t="s">
        <v>58</v>
      </c>
      <c r="K984" s="18" t="s">
        <v>24</v>
      </c>
      <c r="L984" s="18" t="s">
        <v>25</v>
      </c>
      <c r="N984" s="18" t="s">
        <v>154</v>
      </c>
    </row>
    <row r="985" spans="1:14" ht="15" customHeight="1" x14ac:dyDescent="0.3">
      <c r="A985" s="18" t="s">
        <v>2171</v>
      </c>
      <c r="B985" s="19" t="s">
        <v>15</v>
      </c>
      <c r="C985" s="18" t="s">
        <v>1842</v>
      </c>
      <c r="D985" s="18" t="s">
        <v>116</v>
      </c>
      <c r="E985" s="18" t="s">
        <v>117</v>
      </c>
      <c r="F985" s="18" t="s">
        <v>2262</v>
      </c>
      <c r="G985" s="18" t="s">
        <v>35</v>
      </c>
      <c r="H985" s="18" t="s">
        <v>2180</v>
      </c>
      <c r="I985" s="20" t="s">
        <v>2263</v>
      </c>
      <c r="J985" s="18" t="s">
        <v>58</v>
      </c>
      <c r="K985" s="18" t="s">
        <v>24</v>
      </c>
      <c r="L985" s="18" t="s">
        <v>25</v>
      </c>
      <c r="N985" s="18" t="s">
        <v>154</v>
      </c>
    </row>
    <row r="986" spans="1:14" ht="15" customHeight="1" x14ac:dyDescent="0.3">
      <c r="A986" s="18" t="s">
        <v>2171</v>
      </c>
      <c r="B986" s="19" t="s">
        <v>15</v>
      </c>
      <c r="C986" s="18" t="s">
        <v>1842</v>
      </c>
      <c r="D986" s="18" t="s">
        <v>116</v>
      </c>
      <c r="E986" s="18" t="s">
        <v>117</v>
      </c>
      <c r="F986" s="18" t="s">
        <v>2264</v>
      </c>
      <c r="G986" s="18" t="s">
        <v>2199</v>
      </c>
      <c r="H986" s="18" t="s">
        <v>2184</v>
      </c>
      <c r="I986" s="20" t="s">
        <v>2265</v>
      </c>
      <c r="J986" s="18" t="s">
        <v>58</v>
      </c>
      <c r="K986" s="18" t="s">
        <v>24</v>
      </c>
      <c r="L986" s="18" t="s">
        <v>25</v>
      </c>
      <c r="N986" s="18" t="s">
        <v>154</v>
      </c>
    </row>
    <row r="987" spans="1:14" ht="15" customHeight="1" x14ac:dyDescent="0.3">
      <c r="A987" s="18" t="s">
        <v>2171</v>
      </c>
      <c r="B987" s="19" t="s">
        <v>15</v>
      </c>
      <c r="C987" s="18" t="s">
        <v>596</v>
      </c>
      <c r="D987" s="18" t="s">
        <v>116</v>
      </c>
      <c r="E987" s="18" t="s">
        <v>117</v>
      </c>
      <c r="F987" s="18" t="s">
        <v>2266</v>
      </c>
      <c r="G987" s="18" t="s">
        <v>979</v>
      </c>
      <c r="H987" s="18" t="s">
        <v>2236</v>
      </c>
      <c r="I987" s="20" t="s">
        <v>2267</v>
      </c>
      <c r="J987" s="18" t="s">
        <v>58</v>
      </c>
      <c r="K987" s="18" t="s">
        <v>24</v>
      </c>
      <c r="L987" s="18" t="s">
        <v>25</v>
      </c>
      <c r="N987" s="18" t="s">
        <v>154</v>
      </c>
    </row>
    <row r="988" spans="1:14" ht="15" customHeight="1" x14ac:dyDescent="0.3">
      <c r="A988" s="18" t="s">
        <v>2171</v>
      </c>
      <c r="B988" s="19" t="s">
        <v>15</v>
      </c>
      <c r="C988" s="18" t="s">
        <v>596</v>
      </c>
      <c r="D988" s="18" t="s">
        <v>116</v>
      </c>
      <c r="E988" s="18" t="s">
        <v>117</v>
      </c>
      <c r="F988" s="18" t="s">
        <v>2268</v>
      </c>
      <c r="G988" s="18" t="s">
        <v>20</v>
      </c>
      <c r="H988" s="18" t="s">
        <v>2178</v>
      </c>
      <c r="I988" s="20" t="s">
        <v>2269</v>
      </c>
      <c r="J988" s="18" t="s">
        <v>58</v>
      </c>
      <c r="K988" s="18" t="s">
        <v>24</v>
      </c>
      <c r="L988" s="18" t="s">
        <v>25</v>
      </c>
      <c r="N988" s="18" t="s">
        <v>154</v>
      </c>
    </row>
    <row r="989" spans="1:14" ht="15" customHeight="1" x14ac:dyDescent="0.3">
      <c r="A989" s="18" t="s">
        <v>2171</v>
      </c>
      <c r="B989" s="19" t="s">
        <v>15</v>
      </c>
      <c r="C989" s="18" t="s">
        <v>1842</v>
      </c>
      <c r="D989" s="18" t="s">
        <v>116</v>
      </c>
      <c r="E989" s="18" t="s">
        <v>117</v>
      </c>
      <c r="F989" s="18" t="s">
        <v>2270</v>
      </c>
      <c r="G989" s="18" t="s">
        <v>1019</v>
      </c>
      <c r="H989" s="18" t="s">
        <v>2172</v>
      </c>
      <c r="I989" s="20" t="s">
        <v>2271</v>
      </c>
      <c r="J989" s="18" t="s">
        <v>58</v>
      </c>
      <c r="K989" s="18" t="s">
        <v>24</v>
      </c>
      <c r="L989" s="18" t="s">
        <v>25</v>
      </c>
      <c r="N989" s="18" t="s">
        <v>154</v>
      </c>
    </row>
    <row r="990" spans="1:14" ht="15" customHeight="1" x14ac:dyDescent="0.3">
      <c r="A990" s="18" t="s">
        <v>2171</v>
      </c>
      <c r="B990" s="19" t="s">
        <v>15</v>
      </c>
      <c r="C990" s="18" t="s">
        <v>596</v>
      </c>
      <c r="D990" s="18" t="s">
        <v>116</v>
      </c>
      <c r="E990" s="18" t="s">
        <v>117</v>
      </c>
      <c r="F990" s="18" t="s">
        <v>2272</v>
      </c>
      <c r="G990" s="18" t="s">
        <v>1019</v>
      </c>
      <c r="H990" s="18" t="s">
        <v>2236</v>
      </c>
      <c r="I990" s="20" t="s">
        <v>2273</v>
      </c>
      <c r="J990" s="18" t="s">
        <v>58</v>
      </c>
      <c r="K990" s="18" t="s">
        <v>24</v>
      </c>
      <c r="L990" s="18" t="s">
        <v>25</v>
      </c>
      <c r="N990" s="18" t="s">
        <v>154</v>
      </c>
    </row>
    <row r="991" spans="1:14" ht="15" customHeight="1" x14ac:dyDescent="0.3">
      <c r="A991" s="18" t="s">
        <v>2171</v>
      </c>
      <c r="B991" s="19" t="s">
        <v>15</v>
      </c>
      <c r="C991" s="18" t="s">
        <v>1842</v>
      </c>
      <c r="D991" s="18" t="s">
        <v>116</v>
      </c>
      <c r="E991" s="18" t="s">
        <v>117</v>
      </c>
      <c r="F991" s="18" t="s">
        <v>2081</v>
      </c>
      <c r="G991" s="18" t="s">
        <v>913</v>
      </c>
      <c r="H991" s="18" t="s">
        <v>2184</v>
      </c>
      <c r="I991" s="20" t="s">
        <v>2274</v>
      </c>
      <c r="J991" s="18" t="s">
        <v>58</v>
      </c>
      <c r="K991" s="18" t="s">
        <v>24</v>
      </c>
      <c r="L991" s="18" t="s">
        <v>25</v>
      </c>
      <c r="N991" s="18" t="s">
        <v>154</v>
      </c>
    </row>
    <row r="992" spans="1:14" ht="15" customHeight="1" x14ac:dyDescent="0.3">
      <c r="A992" s="18" t="s">
        <v>2171</v>
      </c>
      <c r="B992" s="19" t="s">
        <v>15</v>
      </c>
      <c r="C992" s="18" t="s">
        <v>1842</v>
      </c>
      <c r="D992" s="18" t="s">
        <v>116</v>
      </c>
      <c r="E992" s="18" t="s">
        <v>18</v>
      </c>
      <c r="F992" s="18" t="s">
        <v>2275</v>
      </c>
      <c r="G992" s="18" t="s">
        <v>2245</v>
      </c>
      <c r="H992" s="18" t="s">
        <v>2172</v>
      </c>
      <c r="I992" s="20" t="s">
        <v>2276</v>
      </c>
      <c r="J992" s="18" t="s">
        <v>30</v>
      </c>
      <c r="K992" s="18" t="s">
        <v>24</v>
      </c>
      <c r="L992" s="18" t="s">
        <v>25</v>
      </c>
      <c r="N992" s="18" t="s">
        <v>154</v>
      </c>
    </row>
    <row r="993" spans="1:14" ht="15" customHeight="1" x14ac:dyDescent="0.3">
      <c r="A993" s="18" t="s">
        <v>2171</v>
      </c>
      <c r="B993" s="19" t="s">
        <v>15</v>
      </c>
      <c r="C993" s="18" t="s">
        <v>1842</v>
      </c>
      <c r="D993" s="18" t="s">
        <v>116</v>
      </c>
      <c r="E993" s="18" t="s">
        <v>18</v>
      </c>
      <c r="F993" s="18" t="s">
        <v>2277</v>
      </c>
      <c r="G993" s="18" t="s">
        <v>151</v>
      </c>
      <c r="H993" s="18" t="s">
        <v>2172</v>
      </c>
      <c r="I993" s="20" t="s">
        <v>2278</v>
      </c>
      <c r="J993" s="18" t="s">
        <v>30</v>
      </c>
      <c r="K993" s="18" t="s">
        <v>24</v>
      </c>
      <c r="L993" s="18" t="s">
        <v>25</v>
      </c>
      <c r="N993" s="18" t="s">
        <v>154</v>
      </c>
    </row>
    <row r="994" spans="1:14" ht="15" customHeight="1" x14ac:dyDescent="0.3">
      <c r="A994" s="18" t="s">
        <v>2171</v>
      </c>
      <c r="B994" s="19" t="s">
        <v>15</v>
      </c>
      <c r="C994" s="18" t="s">
        <v>1842</v>
      </c>
      <c r="D994" s="18" t="s">
        <v>116</v>
      </c>
      <c r="E994" s="18" t="s">
        <v>18</v>
      </c>
      <c r="F994" s="18" t="s">
        <v>2279</v>
      </c>
      <c r="G994" s="18" t="s">
        <v>606</v>
      </c>
      <c r="H994" s="18" t="s">
        <v>2184</v>
      </c>
      <c r="I994" s="20" t="s">
        <v>2280</v>
      </c>
      <c r="J994" s="18" t="s">
        <v>30</v>
      </c>
      <c r="K994" s="18" t="s">
        <v>24</v>
      </c>
      <c r="L994" s="18" t="s">
        <v>25</v>
      </c>
      <c r="N994" s="18" t="s">
        <v>154</v>
      </c>
    </row>
    <row r="995" spans="1:14" ht="15" customHeight="1" x14ac:dyDescent="0.3">
      <c r="A995" s="18" t="s">
        <v>2171</v>
      </c>
      <c r="B995" s="19" t="s">
        <v>15</v>
      </c>
      <c r="C995" s="18" t="s">
        <v>1842</v>
      </c>
      <c r="D995" s="18" t="s">
        <v>116</v>
      </c>
      <c r="E995" s="18" t="s">
        <v>18</v>
      </c>
      <c r="F995" s="18" t="s">
        <v>616</v>
      </c>
      <c r="G995" s="18" t="s">
        <v>429</v>
      </c>
      <c r="H995" s="18" t="s">
        <v>2178</v>
      </c>
      <c r="I995" s="20" t="s">
        <v>2281</v>
      </c>
      <c r="J995" s="18" t="s">
        <v>23</v>
      </c>
      <c r="K995" s="18" t="s">
        <v>24</v>
      </c>
      <c r="L995" s="18" t="s">
        <v>25</v>
      </c>
      <c r="N995" s="18" t="s">
        <v>154</v>
      </c>
    </row>
    <row r="996" spans="1:14" ht="15" customHeight="1" x14ac:dyDescent="0.3">
      <c r="A996" s="18" t="s">
        <v>2171</v>
      </c>
      <c r="B996" s="19" t="s">
        <v>15</v>
      </c>
      <c r="C996" s="18" t="s">
        <v>1842</v>
      </c>
      <c r="D996" s="18" t="s">
        <v>116</v>
      </c>
      <c r="E996" s="18" t="s">
        <v>18</v>
      </c>
      <c r="F996" s="18" t="s">
        <v>1806</v>
      </c>
      <c r="G996" s="18" t="s">
        <v>85</v>
      </c>
      <c r="H996" s="18" t="s">
        <v>2180</v>
      </c>
      <c r="I996" s="20" t="s">
        <v>2282</v>
      </c>
      <c r="J996" s="18" t="s">
        <v>30</v>
      </c>
      <c r="K996" s="18" t="s">
        <v>24</v>
      </c>
      <c r="L996" s="18" t="s">
        <v>25</v>
      </c>
      <c r="N996" s="18" t="s">
        <v>154</v>
      </c>
    </row>
    <row r="997" spans="1:14" ht="15" customHeight="1" x14ac:dyDescent="0.3">
      <c r="A997" s="18" t="s">
        <v>2171</v>
      </c>
      <c r="B997" s="19" t="s">
        <v>15</v>
      </c>
      <c r="C997" s="18" t="s">
        <v>2174</v>
      </c>
      <c r="D997" s="18" t="s">
        <v>116</v>
      </c>
      <c r="E997" s="18" t="s">
        <v>18</v>
      </c>
      <c r="F997" s="18" t="s">
        <v>2283</v>
      </c>
      <c r="G997" s="18" t="s">
        <v>47</v>
      </c>
      <c r="H997" s="18" t="s">
        <v>2176</v>
      </c>
      <c r="I997" s="20" t="s">
        <v>2284</v>
      </c>
      <c r="J997" s="18" t="s">
        <v>30</v>
      </c>
      <c r="K997" s="18" t="s">
        <v>24</v>
      </c>
      <c r="L997" s="18" t="s">
        <v>25</v>
      </c>
      <c r="N997" s="18" t="s">
        <v>973</v>
      </c>
    </row>
    <row r="998" spans="1:14" ht="15" customHeight="1" x14ac:dyDescent="0.3">
      <c r="A998" s="18" t="s">
        <v>2171</v>
      </c>
      <c r="B998" s="19" t="s">
        <v>15</v>
      </c>
      <c r="C998" s="18" t="s">
        <v>1842</v>
      </c>
      <c r="D998" s="18" t="s">
        <v>116</v>
      </c>
      <c r="E998" s="18" t="s">
        <v>18</v>
      </c>
      <c r="F998" s="18" t="s">
        <v>1019</v>
      </c>
      <c r="G998" s="18" t="s">
        <v>1019</v>
      </c>
      <c r="H998" s="18" t="s">
        <v>2172</v>
      </c>
      <c r="I998" s="20" t="s">
        <v>2285</v>
      </c>
      <c r="J998" s="18" t="s">
        <v>30</v>
      </c>
      <c r="K998" s="18" t="s">
        <v>24</v>
      </c>
      <c r="L998" s="18" t="s">
        <v>25</v>
      </c>
      <c r="N998" s="18" t="s">
        <v>154</v>
      </c>
    </row>
    <row r="999" spans="1:14" ht="15" customHeight="1" x14ac:dyDescent="0.3">
      <c r="A999" s="18" t="s">
        <v>2171</v>
      </c>
      <c r="B999" s="19" t="s">
        <v>15</v>
      </c>
      <c r="C999" s="18" t="s">
        <v>1842</v>
      </c>
      <c r="D999" s="18" t="s">
        <v>116</v>
      </c>
      <c r="E999" s="18" t="s">
        <v>18</v>
      </c>
      <c r="F999" s="18" t="s">
        <v>987</v>
      </c>
      <c r="G999" s="18" t="s">
        <v>20</v>
      </c>
      <c r="H999" s="18" t="s">
        <v>2178</v>
      </c>
      <c r="I999" s="20" t="s">
        <v>2286</v>
      </c>
      <c r="J999" s="18" t="s">
        <v>23</v>
      </c>
      <c r="K999" s="18" t="s">
        <v>24</v>
      </c>
      <c r="L999" s="18" t="s">
        <v>25</v>
      </c>
      <c r="N999" s="18" t="s">
        <v>154</v>
      </c>
    </row>
    <row r="1000" spans="1:14" ht="15" customHeight="1" x14ac:dyDescent="0.3">
      <c r="A1000" s="18" t="s">
        <v>2171</v>
      </c>
      <c r="B1000" s="19" t="s">
        <v>15</v>
      </c>
      <c r="C1000" s="18" t="s">
        <v>596</v>
      </c>
      <c r="D1000" s="18" t="s">
        <v>116</v>
      </c>
      <c r="E1000" s="18" t="s">
        <v>18</v>
      </c>
      <c r="F1000" s="18" t="s">
        <v>2287</v>
      </c>
      <c r="G1000" s="18" t="s">
        <v>536</v>
      </c>
      <c r="H1000" s="18" t="s">
        <v>2236</v>
      </c>
      <c r="I1000" s="20" t="s">
        <v>2288</v>
      </c>
      <c r="J1000" s="18" t="s">
        <v>30</v>
      </c>
      <c r="K1000" s="18" t="s">
        <v>24</v>
      </c>
      <c r="L1000" s="18" t="s">
        <v>25</v>
      </c>
      <c r="N1000" s="18" t="s">
        <v>154</v>
      </c>
    </row>
    <row r="1001" spans="1:14" ht="15" customHeight="1" x14ac:dyDescent="0.3">
      <c r="A1001" s="18" t="s">
        <v>2171</v>
      </c>
      <c r="B1001" s="19" t="s">
        <v>15</v>
      </c>
      <c r="C1001" s="18" t="s">
        <v>1842</v>
      </c>
      <c r="D1001" s="18" t="s">
        <v>116</v>
      </c>
      <c r="E1001" s="18" t="s">
        <v>18</v>
      </c>
      <c r="F1001" s="18" t="s">
        <v>2207</v>
      </c>
      <c r="G1001" s="18" t="s">
        <v>1009</v>
      </c>
      <c r="H1001" s="18" t="s">
        <v>2172</v>
      </c>
      <c r="I1001" s="20" t="s">
        <v>2289</v>
      </c>
      <c r="J1001" s="18" t="s">
        <v>30</v>
      </c>
      <c r="K1001" s="18" t="s">
        <v>24</v>
      </c>
      <c r="L1001" s="18" t="s">
        <v>25</v>
      </c>
      <c r="N1001" s="18" t="s">
        <v>154</v>
      </c>
    </row>
    <row r="1002" spans="1:14" ht="15" customHeight="1" x14ac:dyDescent="0.3">
      <c r="A1002" s="18" t="s">
        <v>2171</v>
      </c>
      <c r="B1002" s="19" t="s">
        <v>15</v>
      </c>
      <c r="C1002" s="18" t="s">
        <v>1842</v>
      </c>
      <c r="D1002" s="18" t="s">
        <v>116</v>
      </c>
      <c r="E1002" s="18" t="s">
        <v>18</v>
      </c>
      <c r="F1002" s="18" t="s">
        <v>272</v>
      </c>
      <c r="G1002" s="18" t="s">
        <v>273</v>
      </c>
      <c r="H1002" s="18" t="s">
        <v>2172</v>
      </c>
      <c r="I1002" s="20" t="s">
        <v>2290</v>
      </c>
      <c r="J1002" s="18" t="s">
        <v>30</v>
      </c>
      <c r="K1002" s="18" t="s">
        <v>24</v>
      </c>
      <c r="L1002" s="18" t="s">
        <v>25</v>
      </c>
      <c r="N1002" s="18" t="s">
        <v>154</v>
      </c>
    </row>
    <row r="1003" spans="1:14" ht="15" customHeight="1" x14ac:dyDescent="0.3">
      <c r="A1003" s="18" t="s">
        <v>2171</v>
      </c>
      <c r="B1003" s="19" t="s">
        <v>15</v>
      </c>
      <c r="C1003" s="18" t="s">
        <v>1842</v>
      </c>
      <c r="D1003" s="18" t="s">
        <v>116</v>
      </c>
      <c r="E1003" s="18" t="s">
        <v>18</v>
      </c>
      <c r="F1003" s="18" t="s">
        <v>356</v>
      </c>
      <c r="G1003" s="18" t="s">
        <v>273</v>
      </c>
      <c r="H1003" s="18" t="s">
        <v>2172</v>
      </c>
      <c r="I1003" s="20" t="s">
        <v>2291</v>
      </c>
      <c r="J1003" s="18" t="s">
        <v>30</v>
      </c>
      <c r="K1003" s="18" t="s">
        <v>24</v>
      </c>
      <c r="L1003" s="18" t="s">
        <v>25</v>
      </c>
      <c r="N1003" s="18" t="s">
        <v>154</v>
      </c>
    </row>
    <row r="1004" spans="1:14" ht="15" customHeight="1" x14ac:dyDescent="0.3">
      <c r="A1004" s="18" t="s">
        <v>2171</v>
      </c>
      <c r="B1004" s="19" t="s">
        <v>15</v>
      </c>
      <c r="C1004" s="18" t="s">
        <v>1842</v>
      </c>
      <c r="D1004" s="18" t="s">
        <v>116</v>
      </c>
      <c r="E1004" s="18" t="s">
        <v>18</v>
      </c>
      <c r="F1004" s="18" t="s">
        <v>381</v>
      </c>
      <c r="G1004" s="18" t="s">
        <v>381</v>
      </c>
      <c r="H1004" s="18" t="s">
        <v>2178</v>
      </c>
      <c r="I1004" s="20" t="s">
        <v>2292</v>
      </c>
      <c r="J1004" s="18" t="s">
        <v>23</v>
      </c>
      <c r="K1004" s="18" t="s">
        <v>24</v>
      </c>
      <c r="L1004" s="18" t="s">
        <v>25</v>
      </c>
      <c r="N1004" s="18" t="s">
        <v>154</v>
      </c>
    </row>
    <row r="1005" spans="1:14" ht="15" customHeight="1" x14ac:dyDescent="0.3">
      <c r="A1005" s="18" t="s">
        <v>2171</v>
      </c>
      <c r="B1005" s="19" t="s">
        <v>15</v>
      </c>
      <c r="C1005" s="18" t="s">
        <v>1842</v>
      </c>
      <c r="D1005" s="18" t="s">
        <v>116</v>
      </c>
      <c r="E1005" s="18" t="s">
        <v>18</v>
      </c>
      <c r="F1005" s="18" t="s">
        <v>624</v>
      </c>
      <c r="G1005" s="18" t="s">
        <v>920</v>
      </c>
      <c r="H1005" s="18" t="s">
        <v>2184</v>
      </c>
      <c r="I1005" s="20" t="s">
        <v>2293</v>
      </c>
      <c r="J1005" s="18" t="s">
        <v>30</v>
      </c>
      <c r="K1005" s="18" t="s">
        <v>24</v>
      </c>
      <c r="L1005" s="18" t="s">
        <v>25</v>
      </c>
      <c r="N1005" s="18" t="s">
        <v>154</v>
      </c>
    </row>
    <row r="1006" spans="1:14" ht="15" customHeight="1" x14ac:dyDescent="0.3">
      <c r="A1006" s="18" t="s">
        <v>2171</v>
      </c>
      <c r="B1006" s="19" t="s">
        <v>15</v>
      </c>
      <c r="C1006" s="18" t="s">
        <v>1842</v>
      </c>
      <c r="D1006" s="18" t="s">
        <v>116</v>
      </c>
      <c r="E1006" s="18" t="s">
        <v>18</v>
      </c>
      <c r="F1006" s="18" t="s">
        <v>2294</v>
      </c>
      <c r="G1006" s="18" t="s">
        <v>1704</v>
      </c>
      <c r="H1006" s="18" t="s">
        <v>2184</v>
      </c>
      <c r="I1006" s="20" t="s">
        <v>2295</v>
      </c>
      <c r="J1006" s="18" t="s">
        <v>30</v>
      </c>
      <c r="K1006" s="18" t="s">
        <v>24</v>
      </c>
      <c r="L1006" s="18" t="s">
        <v>25</v>
      </c>
      <c r="N1006" s="18" t="s">
        <v>154</v>
      </c>
    </row>
    <row r="1007" spans="1:14" ht="15" customHeight="1" x14ac:dyDescent="0.3">
      <c r="A1007" s="18" t="s">
        <v>2171</v>
      </c>
      <c r="B1007" s="19" t="s">
        <v>15</v>
      </c>
      <c r="C1007" s="18" t="s">
        <v>1842</v>
      </c>
      <c r="D1007" s="18" t="s">
        <v>116</v>
      </c>
      <c r="E1007" s="18" t="s">
        <v>18</v>
      </c>
      <c r="F1007" s="18" t="s">
        <v>2124</v>
      </c>
      <c r="G1007" s="18" t="s">
        <v>913</v>
      </c>
      <c r="H1007" s="18" t="s">
        <v>2184</v>
      </c>
      <c r="I1007" s="20" t="s">
        <v>2296</v>
      </c>
      <c r="J1007" s="18" t="s">
        <v>30</v>
      </c>
      <c r="K1007" s="18" t="s">
        <v>24</v>
      </c>
      <c r="L1007" s="18" t="s">
        <v>25</v>
      </c>
      <c r="N1007" s="18" t="s">
        <v>154</v>
      </c>
    </row>
    <row r="1008" spans="1:14" ht="15" customHeight="1" x14ac:dyDescent="0.3">
      <c r="A1008" s="18" t="s">
        <v>2171</v>
      </c>
      <c r="B1008" s="19" t="s">
        <v>15</v>
      </c>
      <c r="C1008" s="18" t="s">
        <v>1842</v>
      </c>
      <c r="D1008" s="18" t="s">
        <v>116</v>
      </c>
      <c r="E1008" s="18" t="s">
        <v>18</v>
      </c>
      <c r="F1008" s="18" t="s">
        <v>221</v>
      </c>
      <c r="G1008" s="18" t="s">
        <v>212</v>
      </c>
      <c r="H1008" s="18" t="s">
        <v>2180</v>
      </c>
      <c r="I1008" s="20" t="s">
        <v>2297</v>
      </c>
      <c r="J1008" s="18" t="s">
        <v>30</v>
      </c>
      <c r="K1008" s="18" t="s">
        <v>24</v>
      </c>
      <c r="L1008" s="18" t="s">
        <v>25</v>
      </c>
      <c r="N1008" s="18" t="s">
        <v>154</v>
      </c>
    </row>
    <row r="1009" spans="1:14" ht="15" customHeight="1" x14ac:dyDescent="0.3">
      <c r="A1009" s="18" t="s">
        <v>2171</v>
      </c>
      <c r="B1009" s="19" t="s">
        <v>15</v>
      </c>
      <c r="C1009" s="18" t="s">
        <v>1842</v>
      </c>
      <c r="D1009" s="18" t="s">
        <v>116</v>
      </c>
      <c r="E1009" s="18" t="s">
        <v>18</v>
      </c>
      <c r="F1009" s="18" t="s">
        <v>1244</v>
      </c>
      <c r="G1009" s="18" t="s">
        <v>1204</v>
      </c>
      <c r="H1009" s="18" t="s">
        <v>2180</v>
      </c>
      <c r="I1009" s="20" t="s">
        <v>2298</v>
      </c>
      <c r="J1009" s="18" t="s">
        <v>30</v>
      </c>
      <c r="K1009" s="18" t="s">
        <v>24</v>
      </c>
      <c r="L1009" s="18" t="s">
        <v>25</v>
      </c>
      <c r="N1009" s="18" t="s">
        <v>154</v>
      </c>
    </row>
    <row r="1010" spans="1:14" ht="15" customHeight="1" x14ac:dyDescent="0.3">
      <c r="A1010" s="18" t="s">
        <v>2171</v>
      </c>
      <c r="B1010" s="19" t="s">
        <v>15</v>
      </c>
      <c r="C1010" s="18" t="s">
        <v>1842</v>
      </c>
      <c r="D1010" s="18" t="s">
        <v>116</v>
      </c>
      <c r="E1010" s="18" t="s">
        <v>18</v>
      </c>
      <c r="F1010" s="18" t="s">
        <v>1072</v>
      </c>
      <c r="G1010" s="18" t="s">
        <v>47</v>
      </c>
      <c r="H1010" s="18" t="s">
        <v>2180</v>
      </c>
      <c r="I1010" s="20" t="s">
        <v>2299</v>
      </c>
      <c r="J1010" s="18" t="s">
        <v>30</v>
      </c>
      <c r="K1010" s="18" t="s">
        <v>24</v>
      </c>
      <c r="L1010" s="18" t="s">
        <v>25</v>
      </c>
      <c r="N1010" s="18" t="s">
        <v>154</v>
      </c>
    </row>
    <row r="1011" spans="1:14" ht="15" customHeight="1" x14ac:dyDescent="0.3">
      <c r="A1011" s="18" t="s">
        <v>2171</v>
      </c>
      <c r="B1011" s="19" t="s">
        <v>15</v>
      </c>
      <c r="C1011" s="18" t="s">
        <v>1842</v>
      </c>
      <c r="D1011" s="18" t="s">
        <v>116</v>
      </c>
      <c r="E1011" s="18" t="s">
        <v>18</v>
      </c>
      <c r="F1011" s="18" t="s">
        <v>34</v>
      </c>
      <c r="G1011" s="18" t="s">
        <v>35</v>
      </c>
      <c r="H1011" s="18" t="s">
        <v>2180</v>
      </c>
      <c r="I1011" s="20" t="s">
        <v>2300</v>
      </c>
      <c r="J1011" s="18" t="s">
        <v>30</v>
      </c>
      <c r="K1011" s="18" t="s">
        <v>24</v>
      </c>
      <c r="L1011" s="18" t="s">
        <v>25</v>
      </c>
      <c r="N1011" s="18" t="s">
        <v>154</v>
      </c>
    </row>
    <row r="1012" spans="1:14" ht="15" customHeight="1" x14ac:dyDescent="0.3">
      <c r="A1012" s="18" t="s">
        <v>2171</v>
      </c>
      <c r="B1012" s="19" t="s">
        <v>15</v>
      </c>
      <c r="C1012" s="18" t="s">
        <v>1842</v>
      </c>
      <c r="D1012" s="18" t="s">
        <v>116</v>
      </c>
      <c r="E1012" s="18" t="s">
        <v>18</v>
      </c>
      <c r="F1012" s="18" t="s">
        <v>1250</v>
      </c>
      <c r="G1012" s="18" t="s">
        <v>1251</v>
      </c>
      <c r="H1012" s="18" t="s">
        <v>2180</v>
      </c>
      <c r="I1012" s="20" t="s">
        <v>2301</v>
      </c>
      <c r="J1012" s="18" t="s">
        <v>30</v>
      </c>
      <c r="K1012" s="18" t="s">
        <v>24</v>
      </c>
      <c r="L1012" s="18" t="s">
        <v>25</v>
      </c>
      <c r="N1012" s="18" t="s">
        <v>154</v>
      </c>
    </row>
    <row r="1013" spans="1:14" ht="15" customHeight="1" x14ac:dyDescent="0.3">
      <c r="A1013" s="18" t="s">
        <v>2171</v>
      </c>
      <c r="B1013" s="19" t="s">
        <v>15</v>
      </c>
      <c r="C1013" s="18" t="s">
        <v>1842</v>
      </c>
      <c r="D1013" s="18" t="s">
        <v>116</v>
      </c>
      <c r="E1013" s="18" t="s">
        <v>18</v>
      </c>
      <c r="F1013" s="18" t="s">
        <v>2302</v>
      </c>
      <c r="G1013" s="18" t="s">
        <v>2242</v>
      </c>
      <c r="H1013" s="18" t="s">
        <v>2184</v>
      </c>
      <c r="I1013" s="20" t="s">
        <v>2303</v>
      </c>
      <c r="J1013" s="18" t="s">
        <v>30</v>
      </c>
      <c r="K1013" s="18" t="s">
        <v>24</v>
      </c>
      <c r="L1013" s="18" t="s">
        <v>25</v>
      </c>
      <c r="N1013" s="18" t="s">
        <v>154</v>
      </c>
    </row>
    <row r="1014" spans="1:14" ht="15" customHeight="1" x14ac:dyDescent="0.3">
      <c r="A1014" s="18" t="s">
        <v>2171</v>
      </c>
      <c r="B1014" s="19" t="s">
        <v>15</v>
      </c>
      <c r="C1014" s="18" t="s">
        <v>1842</v>
      </c>
      <c r="D1014" s="18" t="s">
        <v>116</v>
      </c>
      <c r="E1014" s="18" t="s">
        <v>18</v>
      </c>
      <c r="F1014" s="18" t="s">
        <v>2304</v>
      </c>
      <c r="G1014" s="18" t="s">
        <v>1204</v>
      </c>
      <c r="H1014" s="18" t="s">
        <v>2180</v>
      </c>
      <c r="I1014" s="20" t="s">
        <v>2305</v>
      </c>
      <c r="J1014" s="18" t="s">
        <v>30</v>
      </c>
      <c r="K1014" s="18" t="s">
        <v>24</v>
      </c>
      <c r="L1014" s="18" t="s">
        <v>25</v>
      </c>
      <c r="N1014" s="18" t="s">
        <v>154</v>
      </c>
    </row>
    <row r="1015" spans="1:14" ht="15" customHeight="1" x14ac:dyDescent="0.3">
      <c r="A1015" s="18" t="s">
        <v>2171</v>
      </c>
      <c r="B1015" s="19" t="s">
        <v>15</v>
      </c>
      <c r="C1015" s="18" t="s">
        <v>1842</v>
      </c>
      <c r="D1015" s="18" t="s">
        <v>116</v>
      </c>
      <c r="E1015" s="18" t="s">
        <v>18</v>
      </c>
      <c r="F1015" s="18" t="s">
        <v>2099</v>
      </c>
      <c r="G1015" s="18" t="s">
        <v>1502</v>
      </c>
      <c r="H1015" s="18" t="s">
        <v>2184</v>
      </c>
      <c r="I1015" s="20" t="s">
        <v>2306</v>
      </c>
      <c r="J1015" s="18" t="s">
        <v>30</v>
      </c>
      <c r="K1015" s="18" t="s">
        <v>24</v>
      </c>
      <c r="L1015" s="18" t="s">
        <v>25</v>
      </c>
      <c r="N1015" s="18" t="s">
        <v>154</v>
      </c>
    </row>
    <row r="1016" spans="1:14" ht="15" customHeight="1" x14ac:dyDescent="0.3">
      <c r="A1016" s="18" t="s">
        <v>2171</v>
      </c>
      <c r="B1016" s="19" t="s">
        <v>15</v>
      </c>
      <c r="C1016" s="18" t="s">
        <v>1842</v>
      </c>
      <c r="D1016" s="18" t="s">
        <v>116</v>
      </c>
      <c r="E1016" s="18" t="s">
        <v>18</v>
      </c>
      <c r="F1016" s="18" t="s">
        <v>1253</v>
      </c>
      <c r="G1016" s="18" t="s">
        <v>63</v>
      </c>
      <c r="H1016" s="18" t="s">
        <v>2180</v>
      </c>
      <c r="I1016" s="20" t="s">
        <v>2307</v>
      </c>
      <c r="J1016" s="18" t="s">
        <v>30</v>
      </c>
      <c r="K1016" s="18" t="s">
        <v>24</v>
      </c>
      <c r="L1016" s="18" t="s">
        <v>25</v>
      </c>
      <c r="N1016" s="18" t="s">
        <v>154</v>
      </c>
    </row>
    <row r="1017" spans="1:14" ht="15" customHeight="1" x14ac:dyDescent="0.3">
      <c r="A1017" s="18" t="s">
        <v>2171</v>
      </c>
      <c r="B1017" s="19" t="s">
        <v>15</v>
      </c>
      <c r="C1017" s="18" t="s">
        <v>1842</v>
      </c>
      <c r="D1017" s="18" t="s">
        <v>116</v>
      </c>
      <c r="E1017" s="18" t="s">
        <v>18</v>
      </c>
      <c r="F1017" s="18" t="s">
        <v>2308</v>
      </c>
      <c r="G1017" s="18" t="s">
        <v>2082</v>
      </c>
      <c r="H1017" s="18" t="s">
        <v>2184</v>
      </c>
      <c r="I1017" s="20" t="s">
        <v>2309</v>
      </c>
      <c r="J1017" s="18" t="s">
        <v>30</v>
      </c>
      <c r="K1017" s="18" t="s">
        <v>24</v>
      </c>
      <c r="L1017" s="18" t="s">
        <v>25</v>
      </c>
      <c r="N1017" s="18" t="s">
        <v>154</v>
      </c>
    </row>
    <row r="1018" spans="1:14" ht="15" customHeight="1" x14ac:dyDescent="0.3">
      <c r="A1018" s="18" t="s">
        <v>2171</v>
      </c>
      <c r="B1018" s="19" t="s">
        <v>15</v>
      </c>
      <c r="C1018" s="18" t="s">
        <v>1842</v>
      </c>
      <c r="D1018" s="18" t="s">
        <v>116</v>
      </c>
      <c r="E1018" s="18" t="s">
        <v>18</v>
      </c>
      <c r="F1018" s="18" t="s">
        <v>578</v>
      </c>
      <c r="G1018" s="18" t="s">
        <v>80</v>
      </c>
      <c r="H1018" s="18" t="s">
        <v>2178</v>
      </c>
      <c r="I1018" s="20" t="s">
        <v>2310</v>
      </c>
      <c r="J1018" s="18" t="s">
        <v>23</v>
      </c>
      <c r="K1018" s="18" t="s">
        <v>24</v>
      </c>
      <c r="L1018" s="18" t="s">
        <v>25</v>
      </c>
      <c r="N1018" s="18" t="s">
        <v>154</v>
      </c>
    </row>
    <row r="1019" spans="1:14" ht="15" customHeight="1" x14ac:dyDescent="0.3">
      <c r="A1019" s="18" t="s">
        <v>2171</v>
      </c>
      <c r="B1019" s="19" t="s">
        <v>15</v>
      </c>
      <c r="C1019" s="18" t="s">
        <v>596</v>
      </c>
      <c r="D1019" s="18" t="s">
        <v>116</v>
      </c>
      <c r="E1019" s="18" t="s">
        <v>18</v>
      </c>
      <c r="F1019" s="18" t="s">
        <v>580</v>
      </c>
      <c r="G1019" s="18" t="s">
        <v>20</v>
      </c>
      <c r="H1019" s="18" t="s">
        <v>2311</v>
      </c>
      <c r="I1019" s="20" t="s">
        <v>2312</v>
      </c>
      <c r="J1019" s="18" t="s">
        <v>23</v>
      </c>
      <c r="K1019" s="18" t="s">
        <v>24</v>
      </c>
      <c r="L1019" s="18" t="s">
        <v>25</v>
      </c>
      <c r="N1019" s="18" t="s">
        <v>154</v>
      </c>
    </row>
    <row r="1020" spans="1:14" ht="15" customHeight="1" x14ac:dyDescent="0.3">
      <c r="A1020" s="18" t="s">
        <v>2171</v>
      </c>
      <c r="B1020" s="19" t="s">
        <v>15</v>
      </c>
      <c r="C1020" s="18" t="s">
        <v>1842</v>
      </c>
      <c r="D1020" s="18" t="s">
        <v>116</v>
      </c>
      <c r="E1020" s="18" t="s">
        <v>18</v>
      </c>
      <c r="F1020" s="18" t="s">
        <v>572</v>
      </c>
      <c r="G1020" s="18" t="s">
        <v>263</v>
      </c>
      <c r="H1020" s="18" t="s">
        <v>2172</v>
      </c>
      <c r="I1020" s="20" t="s">
        <v>2313</v>
      </c>
      <c r="J1020" s="18" t="s">
        <v>30</v>
      </c>
      <c r="K1020" s="18" t="s">
        <v>24</v>
      </c>
      <c r="L1020" s="18" t="s">
        <v>25</v>
      </c>
      <c r="N1020" s="18" t="s">
        <v>154</v>
      </c>
    </row>
    <row r="1021" spans="1:14" ht="15" customHeight="1" x14ac:dyDescent="0.3">
      <c r="A1021" s="18" t="s">
        <v>2171</v>
      </c>
      <c r="B1021" s="19" t="s">
        <v>15</v>
      </c>
      <c r="C1021" s="18" t="s">
        <v>1842</v>
      </c>
      <c r="D1021" s="18" t="s">
        <v>116</v>
      </c>
      <c r="E1021" s="18" t="s">
        <v>18</v>
      </c>
      <c r="F1021" s="18" t="s">
        <v>40</v>
      </c>
      <c r="G1021" s="18" t="s">
        <v>41</v>
      </c>
      <c r="H1021" s="18" t="s">
        <v>2180</v>
      </c>
      <c r="I1021" s="20" t="s">
        <v>2314</v>
      </c>
      <c r="J1021" s="18" t="s">
        <v>30</v>
      </c>
      <c r="K1021" s="18" t="s">
        <v>24</v>
      </c>
      <c r="L1021" s="18" t="s">
        <v>25</v>
      </c>
      <c r="N1021" s="18" t="s">
        <v>154</v>
      </c>
    </row>
    <row r="1022" spans="1:14" ht="15" customHeight="1" x14ac:dyDescent="0.3">
      <c r="A1022" s="18" t="s">
        <v>2171</v>
      </c>
      <c r="B1022" s="19" t="s">
        <v>15</v>
      </c>
      <c r="C1022" s="18" t="s">
        <v>1842</v>
      </c>
      <c r="D1022" s="18" t="s">
        <v>116</v>
      </c>
      <c r="E1022" s="18" t="s">
        <v>18</v>
      </c>
      <c r="F1022" s="18" t="s">
        <v>2315</v>
      </c>
      <c r="G1022" s="18" t="s">
        <v>219</v>
      </c>
      <c r="H1022" s="18" t="s">
        <v>2180</v>
      </c>
      <c r="I1022" s="20" t="s">
        <v>2316</v>
      </c>
      <c r="J1022" s="18" t="s">
        <v>30</v>
      </c>
      <c r="K1022" s="18" t="s">
        <v>24</v>
      </c>
      <c r="L1022" s="18" t="s">
        <v>25</v>
      </c>
      <c r="N1022" s="18" t="s">
        <v>154</v>
      </c>
    </row>
    <row r="1023" spans="1:14" ht="15" customHeight="1" x14ac:dyDescent="0.3">
      <c r="A1023" s="18" t="s">
        <v>2171</v>
      </c>
      <c r="B1023" s="19" t="s">
        <v>15</v>
      </c>
      <c r="C1023" s="18" t="s">
        <v>2174</v>
      </c>
      <c r="D1023" s="18" t="s">
        <v>116</v>
      </c>
      <c r="E1023" s="18" t="s">
        <v>18</v>
      </c>
      <c r="F1023" s="18" t="s">
        <v>2317</v>
      </c>
      <c r="G1023" s="18" t="s">
        <v>41</v>
      </c>
      <c r="H1023" s="18" t="s">
        <v>2176</v>
      </c>
      <c r="I1023" s="20" t="s">
        <v>2318</v>
      </c>
      <c r="J1023" s="18" t="s">
        <v>30</v>
      </c>
      <c r="K1023" s="18" t="s">
        <v>24</v>
      </c>
      <c r="L1023" s="18" t="s">
        <v>25</v>
      </c>
      <c r="N1023" s="18" t="s">
        <v>973</v>
      </c>
    </row>
    <row r="1024" spans="1:14" ht="15" customHeight="1" x14ac:dyDescent="0.3">
      <c r="A1024" s="18" t="s">
        <v>2171</v>
      </c>
      <c r="B1024" s="19" t="s">
        <v>15</v>
      </c>
      <c r="C1024" s="18" t="s">
        <v>2174</v>
      </c>
      <c r="D1024" s="18" t="s">
        <v>116</v>
      </c>
      <c r="E1024" s="18" t="s">
        <v>18</v>
      </c>
      <c r="F1024" s="18" t="s">
        <v>2319</v>
      </c>
      <c r="G1024" s="18" t="s">
        <v>47</v>
      </c>
      <c r="H1024" s="18" t="s">
        <v>2176</v>
      </c>
      <c r="I1024" s="20" t="s">
        <v>2320</v>
      </c>
      <c r="J1024" s="18" t="s">
        <v>30</v>
      </c>
      <c r="K1024" s="18" t="s">
        <v>24</v>
      </c>
      <c r="L1024" s="18" t="s">
        <v>25</v>
      </c>
      <c r="N1024" s="18" t="s">
        <v>973</v>
      </c>
    </row>
    <row r="1025" spans="1:14" ht="15" customHeight="1" x14ac:dyDescent="0.3">
      <c r="A1025" s="18" t="s">
        <v>2171</v>
      </c>
      <c r="B1025" s="19" t="s">
        <v>15</v>
      </c>
      <c r="C1025" s="18" t="s">
        <v>2174</v>
      </c>
      <c r="D1025" s="18" t="s">
        <v>116</v>
      </c>
      <c r="E1025" s="18" t="s">
        <v>18</v>
      </c>
      <c r="F1025" s="18" t="s">
        <v>1130</v>
      </c>
      <c r="G1025" s="18" t="s">
        <v>1340</v>
      </c>
      <c r="H1025" s="18" t="s">
        <v>2176</v>
      </c>
      <c r="I1025" s="20" t="s">
        <v>2321</v>
      </c>
      <c r="J1025" s="18" t="s">
        <v>30</v>
      </c>
      <c r="K1025" s="18" t="s">
        <v>24</v>
      </c>
      <c r="L1025" s="18" t="s">
        <v>25</v>
      </c>
      <c r="N1025" s="18" t="s">
        <v>973</v>
      </c>
    </row>
    <row r="1026" spans="1:14" ht="15" customHeight="1" x14ac:dyDescent="0.3">
      <c r="A1026" s="18" t="s">
        <v>2171</v>
      </c>
      <c r="B1026" s="19" t="s">
        <v>15</v>
      </c>
      <c r="C1026" s="18" t="s">
        <v>1842</v>
      </c>
      <c r="D1026" s="18" t="s">
        <v>116</v>
      </c>
      <c r="E1026" s="18" t="s">
        <v>18</v>
      </c>
      <c r="F1026" s="18" t="s">
        <v>2322</v>
      </c>
      <c r="G1026" s="18" t="s">
        <v>298</v>
      </c>
      <c r="H1026" s="18" t="s">
        <v>2172</v>
      </c>
      <c r="I1026" s="20" t="s">
        <v>2323</v>
      </c>
      <c r="J1026" s="18" t="s">
        <v>30</v>
      </c>
      <c r="K1026" s="18" t="s">
        <v>24</v>
      </c>
      <c r="L1026" s="18" t="s">
        <v>1369</v>
      </c>
      <c r="N1026" s="18" t="s">
        <v>154</v>
      </c>
    </row>
    <row r="1027" spans="1:14" ht="15" customHeight="1" x14ac:dyDescent="0.3">
      <c r="A1027" s="18" t="s">
        <v>2171</v>
      </c>
      <c r="B1027" s="19" t="s">
        <v>15</v>
      </c>
      <c r="C1027" s="18" t="s">
        <v>1842</v>
      </c>
      <c r="D1027" s="18" t="s">
        <v>116</v>
      </c>
      <c r="E1027" s="18" t="s">
        <v>18</v>
      </c>
      <c r="F1027" s="18" t="s">
        <v>2324</v>
      </c>
      <c r="G1027" s="18" t="s">
        <v>298</v>
      </c>
      <c r="H1027" s="18" t="s">
        <v>2172</v>
      </c>
      <c r="I1027" s="20" t="s">
        <v>2325</v>
      </c>
      <c r="J1027" s="18" t="s">
        <v>30</v>
      </c>
      <c r="K1027" s="18" t="s">
        <v>24</v>
      </c>
      <c r="L1027" s="18" t="s">
        <v>25</v>
      </c>
      <c r="N1027" s="18" t="s">
        <v>154</v>
      </c>
    </row>
    <row r="1028" spans="1:14" ht="15" customHeight="1" x14ac:dyDescent="0.3">
      <c r="A1028" s="18" t="s">
        <v>2171</v>
      </c>
      <c r="B1028" s="19" t="s">
        <v>15</v>
      </c>
      <c r="C1028" s="18" t="s">
        <v>2174</v>
      </c>
      <c r="D1028" s="18" t="s">
        <v>116</v>
      </c>
      <c r="E1028" s="18" t="s">
        <v>18</v>
      </c>
      <c r="F1028" s="18" t="s">
        <v>1832</v>
      </c>
      <c r="G1028" s="18" t="s">
        <v>207</v>
      </c>
      <c r="H1028" s="18" t="s">
        <v>2176</v>
      </c>
      <c r="I1028" s="20" t="s">
        <v>2326</v>
      </c>
      <c r="J1028" s="18" t="s">
        <v>30</v>
      </c>
      <c r="K1028" s="18" t="s">
        <v>24</v>
      </c>
      <c r="L1028" s="18" t="s">
        <v>25</v>
      </c>
      <c r="N1028" s="18" t="s">
        <v>973</v>
      </c>
    </row>
    <row r="1029" spans="1:14" ht="15" customHeight="1" x14ac:dyDescent="0.3">
      <c r="A1029" s="18" t="s">
        <v>2171</v>
      </c>
      <c r="B1029" s="19" t="s">
        <v>15</v>
      </c>
      <c r="C1029" s="18" t="s">
        <v>2174</v>
      </c>
      <c r="D1029" s="18" t="s">
        <v>116</v>
      </c>
      <c r="E1029" s="18" t="s">
        <v>18</v>
      </c>
      <c r="F1029" s="18" t="s">
        <v>2327</v>
      </c>
      <c r="G1029" s="18" t="s">
        <v>160</v>
      </c>
      <c r="H1029" s="18" t="s">
        <v>2176</v>
      </c>
      <c r="I1029" s="20" t="s">
        <v>2328</v>
      </c>
      <c r="J1029" s="18" t="s">
        <v>30</v>
      </c>
      <c r="K1029" s="18" t="s">
        <v>24</v>
      </c>
      <c r="L1029" s="18" t="s">
        <v>25</v>
      </c>
      <c r="N1029" s="18" t="s">
        <v>973</v>
      </c>
    </row>
    <row r="1030" spans="1:14" ht="15" customHeight="1" x14ac:dyDescent="0.3">
      <c r="A1030" s="18" t="s">
        <v>2171</v>
      </c>
      <c r="B1030" s="19" t="s">
        <v>15</v>
      </c>
      <c r="C1030" s="18" t="s">
        <v>1842</v>
      </c>
      <c r="D1030" s="18" t="s">
        <v>116</v>
      </c>
      <c r="E1030" s="18" t="s">
        <v>18</v>
      </c>
      <c r="F1030" s="18" t="s">
        <v>2329</v>
      </c>
      <c r="G1030" s="18" t="s">
        <v>165</v>
      </c>
      <c r="H1030" s="18" t="s">
        <v>2172</v>
      </c>
      <c r="I1030" s="20" t="s">
        <v>2330</v>
      </c>
      <c r="J1030" s="18" t="s">
        <v>30</v>
      </c>
      <c r="K1030" s="18" t="s">
        <v>24</v>
      </c>
      <c r="L1030" s="18" t="s">
        <v>25</v>
      </c>
      <c r="N1030" s="18" t="s">
        <v>154</v>
      </c>
    </row>
    <row r="1031" spans="1:14" ht="15" customHeight="1" x14ac:dyDescent="0.3">
      <c r="A1031" s="18" t="s">
        <v>2171</v>
      </c>
      <c r="B1031" s="19" t="s">
        <v>15</v>
      </c>
      <c r="C1031" s="18" t="s">
        <v>1842</v>
      </c>
      <c r="D1031" s="18" t="s">
        <v>116</v>
      </c>
      <c r="E1031" s="18" t="s">
        <v>18</v>
      </c>
      <c r="F1031" s="18" t="s">
        <v>582</v>
      </c>
      <c r="G1031" s="18" t="s">
        <v>20</v>
      </c>
      <c r="H1031" s="18" t="s">
        <v>2178</v>
      </c>
      <c r="I1031" s="20" t="s">
        <v>2331</v>
      </c>
      <c r="J1031" s="18" t="s">
        <v>23</v>
      </c>
      <c r="K1031" s="18" t="s">
        <v>24</v>
      </c>
      <c r="L1031" s="18" t="s">
        <v>25</v>
      </c>
      <c r="N1031" s="18" t="s">
        <v>154</v>
      </c>
    </row>
    <row r="1032" spans="1:14" ht="15" customHeight="1" x14ac:dyDescent="0.3">
      <c r="A1032" s="18" t="s">
        <v>2171</v>
      </c>
      <c r="B1032" s="19" t="s">
        <v>15</v>
      </c>
      <c r="C1032" s="18" t="s">
        <v>1842</v>
      </c>
      <c r="D1032" s="18" t="s">
        <v>116</v>
      </c>
      <c r="E1032" s="18" t="s">
        <v>18</v>
      </c>
      <c r="F1032" s="18" t="s">
        <v>2332</v>
      </c>
      <c r="G1032" s="18" t="s">
        <v>312</v>
      </c>
      <c r="H1032" s="18" t="s">
        <v>2172</v>
      </c>
      <c r="I1032" s="20" t="s">
        <v>2333</v>
      </c>
      <c r="J1032" s="18" t="s">
        <v>30</v>
      </c>
      <c r="K1032" s="18" t="s">
        <v>24</v>
      </c>
      <c r="L1032" s="18" t="s">
        <v>25</v>
      </c>
      <c r="N1032" s="18" t="s">
        <v>154</v>
      </c>
    </row>
    <row r="1033" spans="1:14" ht="15" customHeight="1" x14ac:dyDescent="0.3">
      <c r="A1033" s="18" t="s">
        <v>2171</v>
      </c>
      <c r="B1033" s="19" t="s">
        <v>15</v>
      </c>
      <c r="C1033" s="18" t="s">
        <v>1842</v>
      </c>
      <c r="D1033" s="18" t="s">
        <v>116</v>
      </c>
      <c r="E1033" s="18" t="s">
        <v>18</v>
      </c>
      <c r="F1033" s="18" t="s">
        <v>2334</v>
      </c>
      <c r="G1033" s="18" t="s">
        <v>1634</v>
      </c>
      <c r="H1033" s="18" t="s">
        <v>2184</v>
      </c>
      <c r="I1033" s="20" t="s">
        <v>2335</v>
      </c>
      <c r="J1033" s="18" t="s">
        <v>30</v>
      </c>
      <c r="K1033" s="18" t="s">
        <v>24</v>
      </c>
      <c r="L1033" s="18" t="s">
        <v>25</v>
      </c>
      <c r="N1033" s="18" t="s">
        <v>154</v>
      </c>
    </row>
    <row r="1034" spans="1:14" ht="15" customHeight="1" x14ac:dyDescent="0.3">
      <c r="A1034" s="18" t="s">
        <v>2171</v>
      </c>
      <c r="B1034" s="19" t="s">
        <v>15</v>
      </c>
      <c r="C1034" s="18" t="s">
        <v>2174</v>
      </c>
      <c r="D1034" s="18" t="s">
        <v>116</v>
      </c>
      <c r="E1034" s="18" t="s">
        <v>18</v>
      </c>
      <c r="F1034" s="18" t="s">
        <v>2027</v>
      </c>
      <c r="G1034" s="18" t="s">
        <v>619</v>
      </c>
      <c r="H1034" s="18" t="s">
        <v>2176</v>
      </c>
      <c r="I1034" s="20" t="s">
        <v>2336</v>
      </c>
      <c r="J1034" s="18" t="s">
        <v>30</v>
      </c>
      <c r="K1034" s="18" t="s">
        <v>24</v>
      </c>
      <c r="L1034" s="18" t="s">
        <v>25</v>
      </c>
      <c r="N1034" s="18" t="s">
        <v>973</v>
      </c>
    </row>
    <row r="1035" spans="1:14" ht="15" customHeight="1" x14ac:dyDescent="0.3">
      <c r="A1035" s="18" t="s">
        <v>2171</v>
      </c>
      <c r="B1035" s="19" t="s">
        <v>15</v>
      </c>
      <c r="C1035" s="18" t="s">
        <v>1842</v>
      </c>
      <c r="D1035" s="18" t="s">
        <v>116</v>
      </c>
      <c r="E1035" s="18" t="s">
        <v>18</v>
      </c>
      <c r="F1035" s="18" t="s">
        <v>2337</v>
      </c>
      <c r="G1035" s="18" t="s">
        <v>433</v>
      </c>
      <c r="H1035" s="18" t="s">
        <v>2180</v>
      </c>
      <c r="I1035" s="20" t="s">
        <v>2338</v>
      </c>
      <c r="J1035" s="18" t="s">
        <v>30</v>
      </c>
      <c r="K1035" s="18" t="s">
        <v>24</v>
      </c>
      <c r="L1035" s="18" t="s">
        <v>25</v>
      </c>
      <c r="N1035" s="18" t="s">
        <v>154</v>
      </c>
    </row>
    <row r="1036" spans="1:14" ht="15" customHeight="1" x14ac:dyDescent="0.3">
      <c r="A1036" s="18" t="s">
        <v>2171</v>
      </c>
      <c r="B1036" s="19" t="s">
        <v>15</v>
      </c>
      <c r="C1036" s="18" t="s">
        <v>1842</v>
      </c>
      <c r="D1036" s="18" t="s">
        <v>116</v>
      </c>
      <c r="E1036" s="18" t="s">
        <v>18</v>
      </c>
      <c r="F1036" s="18" t="s">
        <v>1110</v>
      </c>
      <c r="G1036" s="18" t="s">
        <v>47</v>
      </c>
      <c r="H1036" s="18" t="s">
        <v>2180</v>
      </c>
      <c r="I1036" s="20" t="s">
        <v>2339</v>
      </c>
      <c r="J1036" s="18" t="s">
        <v>30</v>
      </c>
      <c r="K1036" s="18" t="s">
        <v>24</v>
      </c>
      <c r="L1036" s="18" t="s">
        <v>25</v>
      </c>
      <c r="N1036" s="18" t="s">
        <v>154</v>
      </c>
    </row>
    <row r="1037" spans="1:14" ht="15" customHeight="1" x14ac:dyDescent="0.3">
      <c r="A1037" s="18" t="s">
        <v>2171</v>
      </c>
      <c r="B1037" s="19" t="s">
        <v>15</v>
      </c>
      <c r="C1037" s="18" t="s">
        <v>2174</v>
      </c>
      <c r="D1037" s="18" t="s">
        <v>116</v>
      </c>
      <c r="E1037" s="18" t="s">
        <v>18</v>
      </c>
      <c r="F1037" s="18" t="s">
        <v>537</v>
      </c>
      <c r="G1037" s="18" t="s">
        <v>536</v>
      </c>
      <c r="H1037" s="18" t="s">
        <v>2176</v>
      </c>
      <c r="I1037" s="20" t="s">
        <v>2340</v>
      </c>
      <c r="J1037" s="18" t="s">
        <v>30</v>
      </c>
      <c r="K1037" s="18" t="s">
        <v>24</v>
      </c>
      <c r="L1037" s="18" t="s">
        <v>25</v>
      </c>
      <c r="N1037" s="18" t="s">
        <v>973</v>
      </c>
    </row>
    <row r="1038" spans="1:14" ht="15" customHeight="1" x14ac:dyDescent="0.3">
      <c r="A1038" s="18" t="s">
        <v>2171</v>
      </c>
      <c r="B1038" s="19" t="s">
        <v>15</v>
      </c>
      <c r="C1038" s="18" t="s">
        <v>2174</v>
      </c>
      <c r="D1038" s="18" t="s">
        <v>116</v>
      </c>
      <c r="E1038" s="18" t="s">
        <v>55</v>
      </c>
      <c r="F1038" s="18" t="s">
        <v>2341</v>
      </c>
      <c r="G1038" s="18" t="s">
        <v>1059</v>
      </c>
      <c r="H1038" s="18" t="s">
        <v>2176</v>
      </c>
      <c r="I1038" s="20" t="s">
        <v>2342</v>
      </c>
      <c r="J1038" s="18" t="s">
        <v>73</v>
      </c>
      <c r="K1038" s="18" t="s">
        <v>24</v>
      </c>
      <c r="L1038" s="18" t="s">
        <v>25</v>
      </c>
      <c r="N1038" s="18" t="s">
        <v>973</v>
      </c>
    </row>
    <row r="1039" spans="1:14" ht="15" customHeight="1" x14ac:dyDescent="0.3">
      <c r="A1039" s="18" t="s">
        <v>2171</v>
      </c>
      <c r="B1039" s="19" t="s">
        <v>15</v>
      </c>
      <c r="C1039" s="18" t="s">
        <v>1842</v>
      </c>
      <c r="D1039" s="18" t="s">
        <v>116</v>
      </c>
      <c r="E1039" s="18" t="s">
        <v>55</v>
      </c>
      <c r="F1039" s="18" t="s">
        <v>2343</v>
      </c>
      <c r="G1039" s="18" t="s">
        <v>2047</v>
      </c>
      <c r="H1039" s="18" t="s">
        <v>2184</v>
      </c>
      <c r="I1039" s="20" t="s">
        <v>2344</v>
      </c>
      <c r="J1039" s="18" t="s">
        <v>58</v>
      </c>
      <c r="K1039" s="18" t="s">
        <v>24</v>
      </c>
      <c r="L1039" s="18" t="s">
        <v>25</v>
      </c>
      <c r="N1039" s="18" t="s">
        <v>154</v>
      </c>
    </row>
    <row r="1040" spans="1:14" ht="15" customHeight="1" x14ac:dyDescent="0.3">
      <c r="A1040" s="18" t="s">
        <v>2171</v>
      </c>
      <c r="B1040" s="19" t="s">
        <v>15</v>
      </c>
      <c r="C1040" s="18" t="s">
        <v>1842</v>
      </c>
      <c r="D1040" s="18" t="s">
        <v>116</v>
      </c>
      <c r="E1040" s="18" t="s">
        <v>55</v>
      </c>
      <c r="F1040" s="18" t="s">
        <v>2345</v>
      </c>
      <c r="G1040" s="18" t="s">
        <v>1009</v>
      </c>
      <c r="H1040" s="18" t="s">
        <v>2184</v>
      </c>
      <c r="I1040" s="20" t="s">
        <v>2346</v>
      </c>
      <c r="J1040" s="18" t="s">
        <v>199</v>
      </c>
      <c r="K1040" s="18" t="s">
        <v>24</v>
      </c>
      <c r="L1040" s="18" t="s">
        <v>25</v>
      </c>
      <c r="N1040" s="18" t="s">
        <v>154</v>
      </c>
    </row>
    <row r="1041" spans="1:14" ht="15" customHeight="1" x14ac:dyDescent="0.3">
      <c r="A1041" s="18" t="s">
        <v>2171</v>
      </c>
      <c r="B1041" s="19" t="s">
        <v>15</v>
      </c>
      <c r="C1041" s="18" t="s">
        <v>1842</v>
      </c>
      <c r="D1041" s="18" t="s">
        <v>116</v>
      </c>
      <c r="E1041" s="18" t="s">
        <v>55</v>
      </c>
      <c r="F1041" s="18" t="s">
        <v>1947</v>
      </c>
      <c r="G1041" s="18" t="s">
        <v>85</v>
      </c>
      <c r="H1041" s="18" t="s">
        <v>2180</v>
      </c>
      <c r="I1041" s="20" t="s">
        <v>2347</v>
      </c>
      <c r="J1041" s="18" t="s">
        <v>58</v>
      </c>
      <c r="K1041" s="18" t="s">
        <v>24</v>
      </c>
      <c r="L1041" s="18" t="s">
        <v>25</v>
      </c>
      <c r="N1041" s="18" t="s">
        <v>154</v>
      </c>
    </row>
    <row r="1042" spans="1:14" ht="15" customHeight="1" x14ac:dyDescent="0.3">
      <c r="A1042" s="18" t="s">
        <v>2171</v>
      </c>
      <c r="B1042" s="19" t="s">
        <v>15</v>
      </c>
      <c r="C1042" s="18" t="s">
        <v>2174</v>
      </c>
      <c r="D1042" s="18" t="s">
        <v>116</v>
      </c>
      <c r="E1042" s="18" t="s">
        <v>55</v>
      </c>
      <c r="F1042" s="18" t="s">
        <v>2348</v>
      </c>
      <c r="G1042" s="18" t="s">
        <v>47</v>
      </c>
      <c r="H1042" s="18" t="s">
        <v>2176</v>
      </c>
      <c r="I1042" s="20" t="s">
        <v>2349</v>
      </c>
      <c r="J1042" s="18" t="s">
        <v>58</v>
      </c>
      <c r="K1042" s="18" t="s">
        <v>24</v>
      </c>
      <c r="L1042" s="18" t="s">
        <v>25</v>
      </c>
      <c r="N1042" s="18" t="s">
        <v>973</v>
      </c>
    </row>
    <row r="1043" spans="1:14" ht="15" customHeight="1" x14ac:dyDescent="0.3">
      <c r="A1043" s="18" t="s">
        <v>2171</v>
      </c>
      <c r="B1043" s="19" t="s">
        <v>15</v>
      </c>
      <c r="C1043" s="18" t="s">
        <v>1842</v>
      </c>
      <c r="D1043" s="18" t="s">
        <v>116</v>
      </c>
      <c r="E1043" s="18" t="s">
        <v>55</v>
      </c>
      <c r="F1043" s="18" t="s">
        <v>2350</v>
      </c>
      <c r="G1043" s="18" t="s">
        <v>47</v>
      </c>
      <c r="H1043" s="18" t="s">
        <v>2180</v>
      </c>
      <c r="I1043" s="20" t="s">
        <v>2351</v>
      </c>
      <c r="J1043" s="18" t="s">
        <v>199</v>
      </c>
      <c r="K1043" s="18" t="s">
        <v>24</v>
      </c>
      <c r="L1043" s="18" t="s">
        <v>25</v>
      </c>
      <c r="N1043" s="18" t="s">
        <v>154</v>
      </c>
    </row>
    <row r="1044" spans="1:14" ht="15" customHeight="1" x14ac:dyDescent="0.3">
      <c r="A1044" s="18" t="s">
        <v>2171</v>
      </c>
      <c r="B1044" s="19" t="s">
        <v>15</v>
      </c>
      <c r="C1044" s="18" t="s">
        <v>1842</v>
      </c>
      <c r="D1044" s="18" t="s">
        <v>116</v>
      </c>
      <c r="E1044" s="18" t="s">
        <v>55</v>
      </c>
      <c r="F1044" s="18" t="s">
        <v>2207</v>
      </c>
      <c r="G1044" s="18" t="s">
        <v>1009</v>
      </c>
      <c r="H1044" s="18" t="s">
        <v>2172</v>
      </c>
      <c r="I1044" s="20" t="s">
        <v>2352</v>
      </c>
      <c r="J1044" s="18" t="s">
        <v>58</v>
      </c>
      <c r="K1044" s="18" t="s">
        <v>24</v>
      </c>
      <c r="L1044" s="18" t="s">
        <v>25</v>
      </c>
      <c r="N1044" s="18" t="s">
        <v>154</v>
      </c>
    </row>
    <row r="1045" spans="1:14" ht="15" customHeight="1" x14ac:dyDescent="0.3">
      <c r="A1045" s="18" t="s">
        <v>2171</v>
      </c>
      <c r="B1045" s="19" t="s">
        <v>15</v>
      </c>
      <c r="C1045" s="18" t="s">
        <v>1842</v>
      </c>
      <c r="D1045" s="18" t="s">
        <v>116</v>
      </c>
      <c r="E1045" s="18" t="s">
        <v>55</v>
      </c>
      <c r="F1045" s="18" t="s">
        <v>2353</v>
      </c>
      <c r="G1045" s="18" t="s">
        <v>273</v>
      </c>
      <c r="H1045" s="18" t="s">
        <v>2172</v>
      </c>
      <c r="I1045" s="20" t="s">
        <v>2354</v>
      </c>
      <c r="J1045" s="18" t="s">
        <v>58</v>
      </c>
      <c r="K1045" s="18" t="s">
        <v>24</v>
      </c>
      <c r="L1045" s="18" t="s">
        <v>25</v>
      </c>
      <c r="N1045" s="18" t="s">
        <v>154</v>
      </c>
    </row>
    <row r="1046" spans="1:14" ht="15" customHeight="1" x14ac:dyDescent="0.3">
      <c r="A1046" s="18" t="s">
        <v>2171</v>
      </c>
      <c r="B1046" s="19" t="s">
        <v>15</v>
      </c>
      <c r="C1046" s="18" t="s">
        <v>1842</v>
      </c>
      <c r="D1046" s="18" t="s">
        <v>116</v>
      </c>
      <c r="E1046" s="18" t="s">
        <v>55</v>
      </c>
      <c r="F1046" s="18" t="s">
        <v>278</v>
      </c>
      <c r="G1046" s="18" t="s">
        <v>1527</v>
      </c>
      <c r="H1046" s="18" t="s">
        <v>2172</v>
      </c>
      <c r="I1046" s="20" t="s">
        <v>2355</v>
      </c>
      <c r="J1046" s="18" t="s">
        <v>58</v>
      </c>
      <c r="K1046" s="18" t="s">
        <v>24</v>
      </c>
      <c r="L1046" s="18" t="s">
        <v>25</v>
      </c>
      <c r="N1046" s="18" t="s">
        <v>154</v>
      </c>
    </row>
    <row r="1047" spans="1:14" ht="15" customHeight="1" x14ac:dyDescent="0.3">
      <c r="A1047" s="18" t="s">
        <v>2171</v>
      </c>
      <c r="B1047" s="19" t="s">
        <v>15</v>
      </c>
      <c r="C1047" s="18" t="s">
        <v>1842</v>
      </c>
      <c r="D1047" s="18" t="s">
        <v>116</v>
      </c>
      <c r="E1047" s="18" t="s">
        <v>55</v>
      </c>
      <c r="F1047" s="18" t="s">
        <v>2356</v>
      </c>
      <c r="G1047" s="18" t="s">
        <v>273</v>
      </c>
      <c r="H1047" s="18" t="s">
        <v>2172</v>
      </c>
      <c r="I1047" s="20" t="s">
        <v>2357</v>
      </c>
      <c r="J1047" s="18" t="s">
        <v>58</v>
      </c>
      <c r="K1047" s="18" t="s">
        <v>24</v>
      </c>
      <c r="L1047" s="18" t="s">
        <v>25</v>
      </c>
      <c r="N1047" s="18" t="s">
        <v>154</v>
      </c>
    </row>
    <row r="1048" spans="1:14" ht="15" customHeight="1" x14ac:dyDescent="0.3">
      <c r="A1048" s="18" t="s">
        <v>2171</v>
      </c>
      <c r="B1048" s="19" t="s">
        <v>15</v>
      </c>
      <c r="C1048" s="18" t="s">
        <v>1842</v>
      </c>
      <c r="D1048" s="18" t="s">
        <v>116</v>
      </c>
      <c r="E1048" s="18" t="s">
        <v>55</v>
      </c>
      <c r="F1048" s="18" t="s">
        <v>2358</v>
      </c>
      <c r="G1048" s="18" t="s">
        <v>41</v>
      </c>
      <c r="H1048" s="18" t="s">
        <v>2180</v>
      </c>
      <c r="I1048" s="20" t="s">
        <v>2359</v>
      </c>
      <c r="J1048" s="18" t="s">
        <v>73</v>
      </c>
      <c r="K1048" s="18" t="s">
        <v>24</v>
      </c>
      <c r="L1048" s="18" t="s">
        <v>25</v>
      </c>
      <c r="N1048" s="18" t="s">
        <v>154</v>
      </c>
    </row>
    <row r="1049" spans="1:14" ht="15" customHeight="1" x14ac:dyDescent="0.3">
      <c r="A1049" s="18" t="s">
        <v>2171</v>
      </c>
      <c r="B1049" s="19" t="s">
        <v>15</v>
      </c>
      <c r="C1049" s="18" t="s">
        <v>1842</v>
      </c>
      <c r="D1049" s="18" t="s">
        <v>116</v>
      </c>
      <c r="E1049" s="18" t="s">
        <v>55</v>
      </c>
      <c r="F1049" s="18" t="s">
        <v>1741</v>
      </c>
      <c r="G1049" s="18" t="s">
        <v>1204</v>
      </c>
      <c r="H1049" s="18" t="s">
        <v>2180</v>
      </c>
      <c r="I1049" s="20" t="s">
        <v>2360</v>
      </c>
      <c r="J1049" s="18" t="s">
        <v>58</v>
      </c>
      <c r="K1049" s="18" t="s">
        <v>24</v>
      </c>
      <c r="L1049" s="18" t="s">
        <v>25</v>
      </c>
      <c r="N1049" s="18" t="s">
        <v>154</v>
      </c>
    </row>
    <row r="1050" spans="1:14" ht="15" customHeight="1" x14ac:dyDescent="0.3">
      <c r="A1050" s="18" t="s">
        <v>2171</v>
      </c>
      <c r="B1050" s="19" t="s">
        <v>15</v>
      </c>
      <c r="C1050" s="18" t="s">
        <v>1842</v>
      </c>
      <c r="D1050" s="18" t="s">
        <v>116</v>
      </c>
      <c r="E1050" s="18" t="s">
        <v>55</v>
      </c>
      <c r="F1050" s="18" t="s">
        <v>2361</v>
      </c>
      <c r="G1050" s="18" t="s">
        <v>381</v>
      </c>
      <c r="H1050" s="18" t="s">
        <v>2178</v>
      </c>
      <c r="I1050" s="20" t="s">
        <v>2362</v>
      </c>
      <c r="J1050" s="18" t="s">
        <v>73</v>
      </c>
      <c r="K1050" s="18" t="s">
        <v>24</v>
      </c>
      <c r="L1050" s="18" t="s">
        <v>25</v>
      </c>
      <c r="N1050" s="18" t="s">
        <v>154</v>
      </c>
    </row>
    <row r="1051" spans="1:14" ht="15" customHeight="1" x14ac:dyDescent="0.3">
      <c r="A1051" s="18" t="s">
        <v>2171</v>
      </c>
      <c r="B1051" s="19" t="s">
        <v>15</v>
      </c>
      <c r="C1051" s="18" t="s">
        <v>1842</v>
      </c>
      <c r="D1051" s="18" t="s">
        <v>116</v>
      </c>
      <c r="E1051" s="18" t="s">
        <v>55</v>
      </c>
      <c r="F1051" s="18" t="s">
        <v>642</v>
      </c>
      <c r="G1051" s="18" t="s">
        <v>381</v>
      </c>
      <c r="H1051" s="18" t="s">
        <v>2178</v>
      </c>
      <c r="I1051" s="20" t="s">
        <v>2363</v>
      </c>
      <c r="J1051" s="18" t="s">
        <v>73</v>
      </c>
      <c r="K1051" s="18" t="s">
        <v>24</v>
      </c>
      <c r="L1051" s="18" t="s">
        <v>25</v>
      </c>
      <c r="N1051" s="18" t="s">
        <v>154</v>
      </c>
    </row>
    <row r="1052" spans="1:14" ht="15" customHeight="1" x14ac:dyDescent="0.3">
      <c r="A1052" s="18" t="s">
        <v>2171</v>
      </c>
      <c r="B1052" s="19" t="s">
        <v>15</v>
      </c>
      <c r="C1052" s="18" t="s">
        <v>1842</v>
      </c>
      <c r="D1052" s="18" t="s">
        <v>116</v>
      </c>
      <c r="E1052" s="18" t="s">
        <v>55</v>
      </c>
      <c r="F1052" s="18" t="s">
        <v>2364</v>
      </c>
      <c r="G1052" s="18" t="s">
        <v>920</v>
      </c>
      <c r="H1052" s="18" t="s">
        <v>2184</v>
      </c>
      <c r="I1052" s="20" t="s">
        <v>2365</v>
      </c>
      <c r="J1052" s="18" t="s">
        <v>58</v>
      </c>
      <c r="K1052" s="18" t="s">
        <v>24</v>
      </c>
      <c r="L1052" s="18" t="s">
        <v>25</v>
      </c>
      <c r="N1052" s="18" t="s">
        <v>154</v>
      </c>
    </row>
    <row r="1053" spans="1:14" ht="15" customHeight="1" x14ac:dyDescent="0.3">
      <c r="A1053" s="18" t="s">
        <v>2171</v>
      </c>
      <c r="B1053" s="19" t="s">
        <v>15</v>
      </c>
      <c r="C1053" s="18" t="s">
        <v>1842</v>
      </c>
      <c r="D1053" s="18" t="s">
        <v>116</v>
      </c>
      <c r="E1053" s="18" t="s">
        <v>55</v>
      </c>
      <c r="F1053" s="18" t="s">
        <v>2366</v>
      </c>
      <c r="G1053" s="18" t="s">
        <v>920</v>
      </c>
      <c r="H1053" s="18" t="s">
        <v>2367</v>
      </c>
      <c r="I1053" s="20" t="s">
        <v>2368</v>
      </c>
      <c r="J1053" s="18" t="s">
        <v>58</v>
      </c>
      <c r="K1053" s="18" t="s">
        <v>24</v>
      </c>
      <c r="L1053" s="18" t="s">
        <v>25</v>
      </c>
      <c r="N1053" s="18" t="s">
        <v>154</v>
      </c>
    </row>
    <row r="1054" spans="1:14" ht="15" customHeight="1" x14ac:dyDescent="0.3">
      <c r="A1054" s="18" t="s">
        <v>2171</v>
      </c>
      <c r="B1054" s="19" t="s">
        <v>15</v>
      </c>
      <c r="C1054" s="18" t="s">
        <v>1842</v>
      </c>
      <c r="D1054" s="18" t="s">
        <v>116</v>
      </c>
      <c r="E1054" s="18" t="s">
        <v>55</v>
      </c>
      <c r="F1054" s="18" t="s">
        <v>383</v>
      </c>
      <c r="G1054" s="18" t="s">
        <v>381</v>
      </c>
      <c r="H1054" s="18" t="s">
        <v>2178</v>
      </c>
      <c r="I1054" s="20" t="s">
        <v>2369</v>
      </c>
      <c r="J1054" s="18" t="s">
        <v>73</v>
      </c>
      <c r="K1054" s="18" t="s">
        <v>24</v>
      </c>
      <c r="L1054" s="18" t="s">
        <v>25</v>
      </c>
      <c r="N1054" s="18" t="s">
        <v>154</v>
      </c>
    </row>
    <row r="1055" spans="1:14" ht="15" customHeight="1" x14ac:dyDescent="0.3">
      <c r="A1055" s="18" t="s">
        <v>2171</v>
      </c>
      <c r="B1055" s="19" t="s">
        <v>15</v>
      </c>
      <c r="C1055" s="18" t="s">
        <v>1842</v>
      </c>
      <c r="D1055" s="18" t="s">
        <v>116</v>
      </c>
      <c r="E1055" s="18" t="s">
        <v>55</v>
      </c>
      <c r="F1055" s="18" t="s">
        <v>404</v>
      </c>
      <c r="G1055" s="18" t="s">
        <v>381</v>
      </c>
      <c r="H1055" s="18" t="s">
        <v>2178</v>
      </c>
      <c r="I1055" s="20" t="s">
        <v>2370</v>
      </c>
      <c r="J1055" s="18" t="s">
        <v>73</v>
      </c>
      <c r="K1055" s="18" t="s">
        <v>24</v>
      </c>
      <c r="L1055" s="18" t="s">
        <v>25</v>
      </c>
      <c r="M1055" s="18" t="s">
        <v>39</v>
      </c>
      <c r="N1055" s="18" t="s">
        <v>154</v>
      </c>
    </row>
    <row r="1056" spans="1:14" ht="15" customHeight="1" x14ac:dyDescent="0.3">
      <c r="A1056" s="18" t="s">
        <v>2171</v>
      </c>
      <c r="B1056" s="19" t="s">
        <v>15</v>
      </c>
      <c r="C1056" s="18" t="s">
        <v>1842</v>
      </c>
      <c r="D1056" s="18" t="s">
        <v>116</v>
      </c>
      <c r="E1056" s="18" t="s">
        <v>55</v>
      </c>
      <c r="F1056" s="18" t="s">
        <v>519</v>
      </c>
      <c r="G1056" s="18" t="s">
        <v>381</v>
      </c>
      <c r="H1056" s="18" t="s">
        <v>2178</v>
      </c>
      <c r="I1056" s="20" t="s">
        <v>2371</v>
      </c>
      <c r="J1056" s="18" t="s">
        <v>58</v>
      </c>
      <c r="K1056" s="18" t="s">
        <v>24</v>
      </c>
      <c r="L1056" s="18" t="s">
        <v>25</v>
      </c>
      <c r="N1056" s="18" t="s">
        <v>154</v>
      </c>
    </row>
    <row r="1057" spans="1:14" ht="15" customHeight="1" x14ac:dyDescent="0.3">
      <c r="A1057" s="18" t="s">
        <v>2171</v>
      </c>
      <c r="B1057" s="19" t="s">
        <v>15</v>
      </c>
      <c r="C1057" s="18" t="s">
        <v>1842</v>
      </c>
      <c r="D1057" s="18" t="s">
        <v>116</v>
      </c>
      <c r="E1057" s="18" t="s">
        <v>55</v>
      </c>
      <c r="F1057" s="18" t="s">
        <v>1239</v>
      </c>
      <c r="G1057" s="18" t="s">
        <v>63</v>
      </c>
      <c r="H1057" s="18" t="s">
        <v>2180</v>
      </c>
      <c r="I1057" s="20" t="s">
        <v>2372</v>
      </c>
      <c r="J1057" s="18" t="s">
        <v>58</v>
      </c>
      <c r="K1057" s="18" t="s">
        <v>24</v>
      </c>
      <c r="L1057" s="18" t="s">
        <v>25</v>
      </c>
      <c r="N1057" s="18" t="s">
        <v>154</v>
      </c>
    </row>
    <row r="1058" spans="1:14" ht="15" customHeight="1" x14ac:dyDescent="0.3">
      <c r="A1058" s="18" t="s">
        <v>2171</v>
      </c>
      <c r="B1058" s="19" t="s">
        <v>15</v>
      </c>
      <c r="C1058" s="18" t="s">
        <v>1842</v>
      </c>
      <c r="D1058" s="18" t="s">
        <v>116</v>
      </c>
      <c r="E1058" s="18" t="s">
        <v>55</v>
      </c>
      <c r="F1058" s="18" t="s">
        <v>2373</v>
      </c>
      <c r="G1058" s="18" t="s">
        <v>606</v>
      </c>
      <c r="H1058" s="18" t="s">
        <v>2184</v>
      </c>
      <c r="I1058" s="20" t="s">
        <v>2374</v>
      </c>
      <c r="J1058" s="18" t="s">
        <v>58</v>
      </c>
      <c r="K1058" s="18" t="s">
        <v>24</v>
      </c>
      <c r="L1058" s="18" t="s">
        <v>25</v>
      </c>
      <c r="N1058" s="18" t="s">
        <v>154</v>
      </c>
    </row>
    <row r="1059" spans="1:14" ht="15" customHeight="1" x14ac:dyDescent="0.3">
      <c r="A1059" s="18" t="s">
        <v>2171</v>
      </c>
      <c r="B1059" s="19" t="s">
        <v>15</v>
      </c>
      <c r="C1059" s="18" t="s">
        <v>1842</v>
      </c>
      <c r="D1059" s="18" t="s">
        <v>116</v>
      </c>
      <c r="E1059" s="18" t="s">
        <v>55</v>
      </c>
      <c r="F1059" s="18" t="s">
        <v>221</v>
      </c>
      <c r="G1059" s="18" t="s">
        <v>212</v>
      </c>
      <c r="H1059" s="18" t="s">
        <v>2180</v>
      </c>
      <c r="I1059" s="20" t="s">
        <v>2375</v>
      </c>
      <c r="J1059" s="18" t="s">
        <v>58</v>
      </c>
      <c r="K1059" s="18" t="s">
        <v>24</v>
      </c>
      <c r="L1059" s="18" t="s">
        <v>25</v>
      </c>
      <c r="N1059" s="18" t="s">
        <v>154</v>
      </c>
    </row>
    <row r="1060" spans="1:14" ht="15" customHeight="1" x14ac:dyDescent="0.3">
      <c r="A1060" s="18" t="s">
        <v>2171</v>
      </c>
      <c r="B1060" s="19" t="s">
        <v>15</v>
      </c>
      <c r="C1060" s="18" t="s">
        <v>1842</v>
      </c>
      <c r="D1060" s="18" t="s">
        <v>116</v>
      </c>
      <c r="E1060" s="18" t="s">
        <v>55</v>
      </c>
      <c r="F1060" s="18" t="s">
        <v>1244</v>
      </c>
      <c r="G1060" s="18" t="s">
        <v>1204</v>
      </c>
      <c r="H1060" s="18" t="s">
        <v>2180</v>
      </c>
      <c r="I1060" s="20" t="s">
        <v>2376</v>
      </c>
      <c r="J1060" s="18" t="s">
        <v>58</v>
      </c>
      <c r="K1060" s="18" t="s">
        <v>24</v>
      </c>
      <c r="L1060" s="18" t="s">
        <v>25</v>
      </c>
      <c r="N1060" s="18" t="s">
        <v>154</v>
      </c>
    </row>
    <row r="1061" spans="1:14" ht="15" customHeight="1" x14ac:dyDescent="0.3">
      <c r="A1061" s="18" t="s">
        <v>2171</v>
      </c>
      <c r="B1061" s="19" t="s">
        <v>15</v>
      </c>
      <c r="C1061" s="18" t="s">
        <v>1842</v>
      </c>
      <c r="D1061" s="18" t="s">
        <v>116</v>
      </c>
      <c r="E1061" s="18" t="s">
        <v>55</v>
      </c>
      <c r="F1061" s="18" t="s">
        <v>34</v>
      </c>
      <c r="G1061" s="18" t="s">
        <v>35</v>
      </c>
      <c r="H1061" s="18" t="s">
        <v>2180</v>
      </c>
      <c r="I1061" s="20" t="s">
        <v>2377</v>
      </c>
      <c r="J1061" s="18" t="s">
        <v>58</v>
      </c>
      <c r="K1061" s="18" t="s">
        <v>24</v>
      </c>
      <c r="L1061" s="18" t="s">
        <v>25</v>
      </c>
      <c r="N1061" s="18" t="s">
        <v>154</v>
      </c>
    </row>
    <row r="1062" spans="1:14" ht="15" customHeight="1" x14ac:dyDescent="0.3">
      <c r="A1062" s="18" t="s">
        <v>2171</v>
      </c>
      <c r="B1062" s="19" t="s">
        <v>15</v>
      </c>
      <c r="C1062" s="18" t="s">
        <v>1842</v>
      </c>
      <c r="D1062" s="18" t="s">
        <v>116</v>
      </c>
      <c r="E1062" s="18" t="s">
        <v>55</v>
      </c>
      <c r="F1062" s="18" t="s">
        <v>1250</v>
      </c>
      <c r="G1062" s="18" t="s">
        <v>1251</v>
      </c>
      <c r="H1062" s="18" t="s">
        <v>2180</v>
      </c>
      <c r="I1062" s="20" t="s">
        <v>2378</v>
      </c>
      <c r="J1062" s="18" t="s">
        <v>58</v>
      </c>
      <c r="K1062" s="18" t="s">
        <v>24</v>
      </c>
      <c r="L1062" s="18" t="s">
        <v>25</v>
      </c>
      <c r="N1062" s="18" t="s">
        <v>154</v>
      </c>
    </row>
    <row r="1063" spans="1:14" ht="15" customHeight="1" x14ac:dyDescent="0.3">
      <c r="A1063" s="18" t="s">
        <v>2171</v>
      </c>
      <c r="B1063" s="19" t="s">
        <v>15</v>
      </c>
      <c r="C1063" s="18" t="s">
        <v>1842</v>
      </c>
      <c r="D1063" s="18" t="s">
        <v>116</v>
      </c>
      <c r="E1063" s="18" t="s">
        <v>55</v>
      </c>
      <c r="F1063" s="18" t="s">
        <v>2379</v>
      </c>
      <c r="G1063" s="18" t="s">
        <v>2380</v>
      </c>
      <c r="H1063" s="18" t="s">
        <v>2172</v>
      </c>
      <c r="I1063" s="20" t="s">
        <v>2381</v>
      </c>
      <c r="J1063" s="18" t="s">
        <v>58</v>
      </c>
      <c r="K1063" s="18" t="s">
        <v>24</v>
      </c>
      <c r="L1063" s="18" t="s">
        <v>25</v>
      </c>
      <c r="N1063" s="18" t="s">
        <v>154</v>
      </c>
    </row>
    <row r="1064" spans="1:14" ht="15" customHeight="1" x14ac:dyDescent="0.3">
      <c r="A1064" s="18" t="s">
        <v>2171</v>
      </c>
      <c r="B1064" s="19" t="s">
        <v>15</v>
      </c>
      <c r="C1064" s="18" t="s">
        <v>1842</v>
      </c>
      <c r="D1064" s="18" t="s">
        <v>116</v>
      </c>
      <c r="E1064" s="18" t="s">
        <v>55</v>
      </c>
      <c r="F1064" s="18" t="s">
        <v>281</v>
      </c>
      <c r="G1064" s="18" t="s">
        <v>1860</v>
      </c>
      <c r="H1064" s="18" t="s">
        <v>2172</v>
      </c>
      <c r="I1064" s="20" t="s">
        <v>2382</v>
      </c>
      <c r="J1064" s="18" t="s">
        <v>58</v>
      </c>
      <c r="K1064" s="18" t="s">
        <v>24</v>
      </c>
      <c r="L1064" s="18" t="s">
        <v>25</v>
      </c>
      <c r="N1064" s="18" t="s">
        <v>154</v>
      </c>
    </row>
    <row r="1065" spans="1:14" ht="15" customHeight="1" x14ac:dyDescent="0.3">
      <c r="A1065" s="18" t="s">
        <v>2171</v>
      </c>
      <c r="B1065" s="19" t="s">
        <v>15</v>
      </c>
      <c r="C1065" s="18" t="s">
        <v>1842</v>
      </c>
      <c r="D1065" s="18" t="s">
        <v>116</v>
      </c>
      <c r="E1065" s="18" t="s">
        <v>55</v>
      </c>
      <c r="F1065" s="18" t="s">
        <v>284</v>
      </c>
      <c r="G1065" s="18" t="s">
        <v>1860</v>
      </c>
      <c r="H1065" s="18" t="s">
        <v>2172</v>
      </c>
      <c r="I1065" s="20" t="s">
        <v>2383</v>
      </c>
      <c r="J1065" s="18" t="s">
        <v>58</v>
      </c>
      <c r="K1065" s="18" t="s">
        <v>24</v>
      </c>
      <c r="L1065" s="18" t="s">
        <v>25</v>
      </c>
      <c r="N1065" s="18" t="s">
        <v>154</v>
      </c>
    </row>
    <row r="1066" spans="1:14" ht="15" customHeight="1" x14ac:dyDescent="0.3">
      <c r="A1066" s="18" t="s">
        <v>2171</v>
      </c>
      <c r="B1066" s="19" t="s">
        <v>15</v>
      </c>
      <c r="C1066" s="18" t="s">
        <v>1842</v>
      </c>
      <c r="D1066" s="18" t="s">
        <v>116</v>
      </c>
      <c r="E1066" s="18" t="s">
        <v>55</v>
      </c>
      <c r="F1066" s="18" t="s">
        <v>2384</v>
      </c>
      <c r="G1066" s="18" t="s">
        <v>1019</v>
      </c>
      <c r="H1066" s="18" t="s">
        <v>2172</v>
      </c>
      <c r="I1066" s="20" t="s">
        <v>2385</v>
      </c>
      <c r="J1066" s="18" t="s">
        <v>1267</v>
      </c>
      <c r="K1066" s="18" t="s">
        <v>24</v>
      </c>
      <c r="L1066" s="18" t="s">
        <v>25</v>
      </c>
      <c r="N1066" s="18" t="s">
        <v>154</v>
      </c>
    </row>
    <row r="1067" spans="1:14" ht="15" customHeight="1" x14ac:dyDescent="0.3">
      <c r="A1067" s="18" t="s">
        <v>2171</v>
      </c>
      <c r="B1067" s="19" t="s">
        <v>15</v>
      </c>
      <c r="C1067" s="18" t="s">
        <v>1842</v>
      </c>
      <c r="D1067" s="18" t="s">
        <v>116</v>
      </c>
      <c r="E1067" s="18" t="s">
        <v>55</v>
      </c>
      <c r="F1067" s="18" t="s">
        <v>2386</v>
      </c>
      <c r="G1067" s="18" t="s">
        <v>41</v>
      </c>
      <c r="H1067" s="18" t="s">
        <v>2180</v>
      </c>
      <c r="I1067" s="20" t="s">
        <v>2387</v>
      </c>
      <c r="J1067" s="18" t="s">
        <v>199</v>
      </c>
      <c r="K1067" s="18" t="s">
        <v>24</v>
      </c>
      <c r="L1067" s="18" t="s">
        <v>25</v>
      </c>
      <c r="N1067" s="18" t="s">
        <v>154</v>
      </c>
    </row>
    <row r="1068" spans="1:14" ht="15" customHeight="1" x14ac:dyDescent="0.3">
      <c r="A1068" s="18" t="s">
        <v>2171</v>
      </c>
      <c r="B1068" s="19" t="s">
        <v>15</v>
      </c>
      <c r="C1068" s="18" t="s">
        <v>1842</v>
      </c>
      <c r="D1068" s="18" t="s">
        <v>116</v>
      </c>
      <c r="E1068" s="18" t="s">
        <v>55</v>
      </c>
      <c r="F1068" s="18" t="s">
        <v>2388</v>
      </c>
      <c r="G1068" s="18" t="s">
        <v>41</v>
      </c>
      <c r="H1068" s="18" t="s">
        <v>2180</v>
      </c>
      <c r="I1068" s="20" t="s">
        <v>2389</v>
      </c>
      <c r="J1068" s="18" t="s">
        <v>1267</v>
      </c>
      <c r="K1068" s="18" t="s">
        <v>24</v>
      </c>
      <c r="L1068" s="18" t="s">
        <v>25</v>
      </c>
      <c r="N1068" s="18" t="s">
        <v>154</v>
      </c>
    </row>
    <row r="1069" spans="1:14" ht="15" customHeight="1" x14ac:dyDescent="0.3">
      <c r="A1069" s="18" t="s">
        <v>2171</v>
      </c>
      <c r="B1069" s="19" t="s">
        <v>15</v>
      </c>
      <c r="C1069" s="18" t="s">
        <v>1842</v>
      </c>
      <c r="D1069" s="18" t="s">
        <v>116</v>
      </c>
      <c r="E1069" s="18" t="s">
        <v>55</v>
      </c>
      <c r="F1069" s="18" t="s">
        <v>2390</v>
      </c>
      <c r="G1069" s="18" t="s">
        <v>41</v>
      </c>
      <c r="H1069" s="18" t="s">
        <v>2391</v>
      </c>
      <c r="I1069" s="20" t="s">
        <v>2392</v>
      </c>
      <c r="J1069" s="18" t="s">
        <v>1267</v>
      </c>
      <c r="K1069" s="18" t="s">
        <v>24</v>
      </c>
      <c r="L1069" s="18" t="s">
        <v>25</v>
      </c>
      <c r="N1069" s="18" t="s">
        <v>154</v>
      </c>
    </row>
    <row r="1070" spans="1:14" ht="15" customHeight="1" x14ac:dyDescent="0.3">
      <c r="A1070" s="18" t="s">
        <v>2171</v>
      </c>
      <c r="B1070" s="19" t="s">
        <v>15</v>
      </c>
      <c r="C1070" s="18" t="s">
        <v>1842</v>
      </c>
      <c r="D1070" s="18" t="s">
        <v>116</v>
      </c>
      <c r="E1070" s="18" t="s">
        <v>55</v>
      </c>
      <c r="F1070" s="18" t="s">
        <v>2393</v>
      </c>
      <c r="G1070" s="18" t="s">
        <v>2199</v>
      </c>
      <c r="H1070" s="18" t="s">
        <v>2184</v>
      </c>
      <c r="I1070" s="20" t="s">
        <v>2394</v>
      </c>
      <c r="J1070" s="18" t="s">
        <v>58</v>
      </c>
      <c r="K1070" s="18" t="s">
        <v>24</v>
      </c>
      <c r="L1070" s="18" t="s">
        <v>25</v>
      </c>
      <c r="N1070" s="18" t="s">
        <v>154</v>
      </c>
    </row>
    <row r="1071" spans="1:14" ht="15" customHeight="1" x14ac:dyDescent="0.3">
      <c r="A1071" s="18" t="s">
        <v>2171</v>
      </c>
      <c r="B1071" s="19" t="s">
        <v>15</v>
      </c>
      <c r="C1071" s="18" t="s">
        <v>1842</v>
      </c>
      <c r="D1071" s="18" t="s">
        <v>116</v>
      </c>
      <c r="E1071" s="18" t="s">
        <v>55</v>
      </c>
      <c r="F1071" s="18" t="s">
        <v>2395</v>
      </c>
      <c r="G1071" s="18" t="s">
        <v>2396</v>
      </c>
      <c r="H1071" s="18" t="s">
        <v>2397</v>
      </c>
      <c r="I1071" s="20" t="s">
        <v>2398</v>
      </c>
      <c r="J1071" s="18" t="s">
        <v>199</v>
      </c>
      <c r="K1071" s="18" t="s">
        <v>24</v>
      </c>
      <c r="L1071" s="18" t="s">
        <v>25</v>
      </c>
      <c r="N1071" s="18" t="s">
        <v>154</v>
      </c>
    </row>
    <row r="1072" spans="1:14" ht="15" customHeight="1" x14ac:dyDescent="0.3">
      <c r="A1072" s="18" t="s">
        <v>2171</v>
      </c>
      <c r="B1072" s="19" t="s">
        <v>15</v>
      </c>
      <c r="C1072" s="18" t="s">
        <v>1842</v>
      </c>
      <c r="D1072" s="18" t="s">
        <v>116</v>
      </c>
      <c r="E1072" s="18" t="s">
        <v>55</v>
      </c>
      <c r="F1072" s="18" t="s">
        <v>1587</v>
      </c>
      <c r="G1072" s="18" t="s">
        <v>47</v>
      </c>
      <c r="H1072" s="18" t="s">
        <v>2180</v>
      </c>
      <c r="I1072" s="20" t="s">
        <v>2399</v>
      </c>
      <c r="J1072" s="18" t="s">
        <v>58</v>
      </c>
      <c r="K1072" s="18" t="s">
        <v>24</v>
      </c>
      <c r="L1072" s="18" t="s">
        <v>25</v>
      </c>
      <c r="N1072" s="18" t="s">
        <v>154</v>
      </c>
    </row>
    <row r="1073" spans="1:14" ht="15" customHeight="1" x14ac:dyDescent="0.3">
      <c r="A1073" s="18" t="s">
        <v>2171</v>
      </c>
      <c r="B1073" s="19" t="s">
        <v>15</v>
      </c>
      <c r="C1073" s="18" t="s">
        <v>1842</v>
      </c>
      <c r="D1073" s="18" t="s">
        <v>116</v>
      </c>
      <c r="E1073" s="18" t="s">
        <v>55</v>
      </c>
      <c r="F1073" s="18" t="s">
        <v>2400</v>
      </c>
      <c r="G1073" s="18" t="s">
        <v>63</v>
      </c>
      <c r="H1073" s="18" t="s">
        <v>2401</v>
      </c>
      <c r="I1073" s="20" t="s">
        <v>2402</v>
      </c>
      <c r="J1073" s="18" t="s">
        <v>73</v>
      </c>
      <c r="K1073" s="18" t="s">
        <v>24</v>
      </c>
      <c r="L1073" s="18" t="s">
        <v>25</v>
      </c>
      <c r="N1073" s="18" t="s">
        <v>154</v>
      </c>
    </row>
    <row r="1074" spans="1:14" ht="15" customHeight="1" x14ac:dyDescent="0.3">
      <c r="A1074" s="18" t="s">
        <v>2171</v>
      </c>
      <c r="B1074" s="19" t="s">
        <v>15</v>
      </c>
      <c r="C1074" s="18" t="s">
        <v>1842</v>
      </c>
      <c r="D1074" s="18" t="s">
        <v>116</v>
      </c>
      <c r="E1074" s="18" t="s">
        <v>55</v>
      </c>
      <c r="F1074" s="18" t="s">
        <v>2403</v>
      </c>
      <c r="G1074" s="18" t="s">
        <v>2404</v>
      </c>
      <c r="H1074" s="18" t="s">
        <v>2405</v>
      </c>
      <c r="I1074" s="20" t="s">
        <v>2406</v>
      </c>
      <c r="J1074" s="18" t="s">
        <v>58</v>
      </c>
      <c r="K1074" s="18" t="s">
        <v>24</v>
      </c>
      <c r="L1074" s="18" t="s">
        <v>25</v>
      </c>
      <c r="N1074" s="18" t="s">
        <v>154</v>
      </c>
    </row>
    <row r="1075" spans="1:14" ht="15" customHeight="1" x14ac:dyDescent="0.3">
      <c r="A1075" s="18" t="s">
        <v>2171</v>
      </c>
      <c r="B1075" s="19" t="s">
        <v>15</v>
      </c>
      <c r="C1075" s="18" t="s">
        <v>1842</v>
      </c>
      <c r="D1075" s="18" t="s">
        <v>116</v>
      </c>
      <c r="E1075" s="18" t="s">
        <v>55</v>
      </c>
      <c r="F1075" s="18" t="s">
        <v>2407</v>
      </c>
      <c r="G1075" s="18" t="s">
        <v>63</v>
      </c>
      <c r="H1075" s="18" t="s">
        <v>2405</v>
      </c>
      <c r="I1075" s="20" t="s">
        <v>2408</v>
      </c>
      <c r="J1075" s="18" t="s">
        <v>73</v>
      </c>
      <c r="K1075" s="18" t="s">
        <v>24</v>
      </c>
      <c r="L1075" s="18" t="s">
        <v>25</v>
      </c>
      <c r="N1075" s="18" t="s">
        <v>154</v>
      </c>
    </row>
    <row r="1076" spans="1:14" ht="15" customHeight="1" x14ac:dyDescent="0.3">
      <c r="A1076" s="18" t="s">
        <v>2171</v>
      </c>
      <c r="B1076" s="19" t="s">
        <v>15</v>
      </c>
      <c r="C1076" s="18" t="s">
        <v>1842</v>
      </c>
      <c r="D1076" s="18" t="s">
        <v>116</v>
      </c>
      <c r="E1076" s="18" t="s">
        <v>55</v>
      </c>
      <c r="F1076" s="18" t="s">
        <v>1769</v>
      </c>
      <c r="G1076" s="18" t="s">
        <v>51</v>
      </c>
      <c r="H1076" s="18" t="s">
        <v>2180</v>
      </c>
      <c r="I1076" s="20" t="s">
        <v>2409</v>
      </c>
      <c r="J1076" s="18" t="s">
        <v>58</v>
      </c>
      <c r="K1076" s="18" t="s">
        <v>24</v>
      </c>
      <c r="L1076" s="18" t="s">
        <v>25</v>
      </c>
      <c r="N1076" s="18" t="s">
        <v>154</v>
      </c>
    </row>
    <row r="1077" spans="1:14" ht="15" customHeight="1" x14ac:dyDescent="0.3">
      <c r="A1077" s="18" t="s">
        <v>2171</v>
      </c>
      <c r="B1077" s="19" t="s">
        <v>15</v>
      </c>
      <c r="C1077" s="18" t="s">
        <v>2174</v>
      </c>
      <c r="D1077" s="18" t="s">
        <v>116</v>
      </c>
      <c r="E1077" s="18" t="s">
        <v>55</v>
      </c>
      <c r="F1077" s="18" t="s">
        <v>2410</v>
      </c>
      <c r="G1077" s="18" t="s">
        <v>207</v>
      </c>
      <c r="H1077" s="18" t="s">
        <v>2176</v>
      </c>
      <c r="I1077" s="20" t="s">
        <v>2411</v>
      </c>
      <c r="J1077" s="18" t="s">
        <v>73</v>
      </c>
      <c r="K1077" s="18" t="s">
        <v>24</v>
      </c>
      <c r="L1077" s="18" t="s">
        <v>25</v>
      </c>
      <c r="N1077" s="18" t="s">
        <v>973</v>
      </c>
    </row>
    <row r="1078" spans="1:14" ht="15" customHeight="1" x14ac:dyDescent="0.3">
      <c r="A1078" s="18" t="s">
        <v>2171</v>
      </c>
      <c r="B1078" s="19" t="s">
        <v>15</v>
      </c>
      <c r="C1078" s="18" t="s">
        <v>1842</v>
      </c>
      <c r="D1078" s="18" t="s">
        <v>116</v>
      </c>
      <c r="E1078" s="18" t="s">
        <v>55</v>
      </c>
      <c r="F1078" s="18" t="s">
        <v>2412</v>
      </c>
      <c r="G1078" s="18" t="s">
        <v>197</v>
      </c>
      <c r="H1078" s="18" t="s">
        <v>2172</v>
      </c>
      <c r="I1078" s="20" t="s">
        <v>2413</v>
      </c>
      <c r="J1078" s="18" t="s">
        <v>58</v>
      </c>
      <c r="K1078" s="18" t="s">
        <v>24</v>
      </c>
      <c r="L1078" s="18" t="s">
        <v>25</v>
      </c>
      <c r="N1078" s="18" t="s">
        <v>154</v>
      </c>
    </row>
    <row r="1079" spans="1:14" ht="15" customHeight="1" x14ac:dyDescent="0.3">
      <c r="A1079" s="18" t="s">
        <v>2171</v>
      </c>
      <c r="B1079" s="19" t="s">
        <v>15</v>
      </c>
      <c r="C1079" s="18" t="s">
        <v>1842</v>
      </c>
      <c r="D1079" s="18" t="s">
        <v>116</v>
      </c>
      <c r="E1079" s="18" t="s">
        <v>55</v>
      </c>
      <c r="F1079" s="18" t="s">
        <v>2414</v>
      </c>
      <c r="G1079" s="18" t="s">
        <v>606</v>
      </c>
      <c r="H1079" s="18" t="s">
        <v>2184</v>
      </c>
      <c r="I1079" s="20" t="s">
        <v>2415</v>
      </c>
      <c r="J1079" s="18" t="s">
        <v>58</v>
      </c>
      <c r="K1079" s="18" t="s">
        <v>24</v>
      </c>
      <c r="L1079" s="18" t="s">
        <v>25</v>
      </c>
      <c r="N1079" s="18" t="s">
        <v>154</v>
      </c>
    </row>
    <row r="1080" spans="1:14" ht="15" customHeight="1" x14ac:dyDescent="0.3">
      <c r="A1080" s="18" t="s">
        <v>2171</v>
      </c>
      <c r="B1080" s="19" t="s">
        <v>15</v>
      </c>
      <c r="C1080" s="18" t="s">
        <v>1842</v>
      </c>
      <c r="D1080" s="18" t="s">
        <v>116</v>
      </c>
      <c r="E1080" s="18" t="s">
        <v>55</v>
      </c>
      <c r="F1080" s="18" t="s">
        <v>2416</v>
      </c>
      <c r="G1080" s="18" t="s">
        <v>913</v>
      </c>
      <c r="H1080" s="18" t="s">
        <v>2184</v>
      </c>
      <c r="I1080" s="20" t="s">
        <v>2417</v>
      </c>
      <c r="J1080" s="18" t="s">
        <v>58</v>
      </c>
      <c r="K1080" s="18" t="s">
        <v>24</v>
      </c>
      <c r="L1080" s="18" t="s">
        <v>25</v>
      </c>
      <c r="N1080" s="18" t="s">
        <v>154</v>
      </c>
    </row>
    <row r="1081" spans="1:14" ht="15" customHeight="1" x14ac:dyDescent="0.3">
      <c r="A1081" s="18" t="s">
        <v>2171</v>
      </c>
      <c r="B1081" s="19" t="s">
        <v>15</v>
      </c>
      <c r="C1081" s="18" t="s">
        <v>2174</v>
      </c>
      <c r="D1081" s="18" t="s">
        <v>116</v>
      </c>
      <c r="E1081" s="18" t="s">
        <v>55</v>
      </c>
      <c r="F1081" s="18" t="s">
        <v>2418</v>
      </c>
      <c r="G1081" s="18" t="s">
        <v>619</v>
      </c>
      <c r="H1081" s="18" t="s">
        <v>2176</v>
      </c>
      <c r="I1081" s="20" t="s">
        <v>2419</v>
      </c>
      <c r="J1081" s="18" t="s">
        <v>73</v>
      </c>
      <c r="K1081" s="18" t="s">
        <v>24</v>
      </c>
      <c r="L1081" s="18" t="s">
        <v>25</v>
      </c>
      <c r="N1081" s="18" t="s">
        <v>973</v>
      </c>
    </row>
    <row r="1082" spans="1:14" ht="15" customHeight="1" x14ac:dyDescent="0.3">
      <c r="A1082" s="18" t="s">
        <v>2171</v>
      </c>
      <c r="B1082" s="19" t="s">
        <v>15</v>
      </c>
      <c r="C1082" s="18" t="s">
        <v>1842</v>
      </c>
      <c r="D1082" s="18" t="s">
        <v>116</v>
      </c>
      <c r="E1082" s="18" t="s">
        <v>55</v>
      </c>
      <c r="F1082" s="18" t="s">
        <v>2420</v>
      </c>
      <c r="G1082" s="18" t="s">
        <v>273</v>
      </c>
      <c r="H1082" s="18" t="s">
        <v>2172</v>
      </c>
      <c r="I1082" s="20" t="s">
        <v>2421</v>
      </c>
      <c r="J1082" s="18" t="s">
        <v>58</v>
      </c>
      <c r="K1082" s="18" t="s">
        <v>24</v>
      </c>
      <c r="L1082" s="18" t="s">
        <v>25</v>
      </c>
      <c r="N1082" s="18" t="s">
        <v>154</v>
      </c>
    </row>
    <row r="1083" spans="1:14" ht="15" customHeight="1" x14ac:dyDescent="0.3">
      <c r="A1083" s="18" t="s">
        <v>2171</v>
      </c>
      <c r="B1083" s="19" t="s">
        <v>15</v>
      </c>
      <c r="C1083" s="18" t="s">
        <v>1842</v>
      </c>
      <c r="D1083" s="18" t="s">
        <v>116</v>
      </c>
      <c r="E1083" s="18" t="s">
        <v>55</v>
      </c>
      <c r="F1083" s="18" t="s">
        <v>2422</v>
      </c>
      <c r="G1083" s="18" t="s">
        <v>1502</v>
      </c>
      <c r="H1083" s="18" t="s">
        <v>2423</v>
      </c>
      <c r="I1083" s="20" t="s">
        <v>2424</v>
      </c>
      <c r="J1083" s="18" t="s">
        <v>58</v>
      </c>
      <c r="K1083" s="18" t="s">
        <v>24</v>
      </c>
      <c r="L1083" s="18" t="s">
        <v>25</v>
      </c>
      <c r="N1083" s="18" t="s">
        <v>154</v>
      </c>
    </row>
    <row r="1084" spans="1:14" ht="15" customHeight="1" x14ac:dyDescent="0.3">
      <c r="A1084" s="18" t="s">
        <v>2171</v>
      </c>
      <c r="B1084" s="19" t="s">
        <v>15</v>
      </c>
      <c r="C1084" s="18" t="s">
        <v>1842</v>
      </c>
      <c r="D1084" s="18" t="s">
        <v>116</v>
      </c>
      <c r="E1084" s="18" t="s">
        <v>55</v>
      </c>
      <c r="F1084" s="18" t="s">
        <v>2425</v>
      </c>
      <c r="G1084" s="18" t="s">
        <v>913</v>
      </c>
      <c r="H1084" s="18" t="s">
        <v>2184</v>
      </c>
      <c r="I1084" s="20" t="s">
        <v>2426</v>
      </c>
      <c r="J1084" s="18" t="s">
        <v>199</v>
      </c>
      <c r="K1084" s="18" t="s">
        <v>24</v>
      </c>
      <c r="L1084" s="18" t="s">
        <v>25</v>
      </c>
      <c r="N1084" s="18" t="s">
        <v>154</v>
      </c>
    </row>
    <row r="1085" spans="1:14" ht="15" customHeight="1" x14ac:dyDescent="0.3">
      <c r="A1085" s="18" t="s">
        <v>2171</v>
      </c>
      <c r="B1085" s="19" t="s">
        <v>15</v>
      </c>
      <c r="C1085" s="18" t="s">
        <v>1842</v>
      </c>
      <c r="D1085" s="18" t="s">
        <v>116</v>
      </c>
      <c r="E1085" s="18" t="s">
        <v>55</v>
      </c>
      <c r="F1085" s="18" t="s">
        <v>2427</v>
      </c>
      <c r="G1085" s="18" t="s">
        <v>2428</v>
      </c>
      <c r="H1085" s="18" t="s">
        <v>2184</v>
      </c>
      <c r="I1085" s="20" t="s">
        <v>2429</v>
      </c>
      <c r="J1085" s="18" t="s">
        <v>58</v>
      </c>
      <c r="K1085" s="18" t="s">
        <v>24</v>
      </c>
      <c r="L1085" s="18" t="s">
        <v>25</v>
      </c>
      <c r="N1085" s="18" t="s">
        <v>154</v>
      </c>
    </row>
    <row r="1086" spans="1:14" ht="15" customHeight="1" x14ac:dyDescent="0.3">
      <c r="A1086" s="18" t="s">
        <v>2171</v>
      </c>
      <c r="B1086" s="19" t="s">
        <v>15</v>
      </c>
      <c r="C1086" s="18" t="s">
        <v>1842</v>
      </c>
      <c r="D1086" s="18" t="s">
        <v>116</v>
      </c>
      <c r="E1086" s="18" t="s">
        <v>55</v>
      </c>
      <c r="F1086" s="18" t="s">
        <v>2430</v>
      </c>
      <c r="G1086" s="18" t="s">
        <v>273</v>
      </c>
      <c r="H1086" s="18" t="s">
        <v>2172</v>
      </c>
      <c r="I1086" s="20" t="s">
        <v>2431</v>
      </c>
      <c r="J1086" s="18" t="s">
        <v>58</v>
      </c>
      <c r="K1086" s="18" t="s">
        <v>24</v>
      </c>
      <c r="L1086" s="18" t="s">
        <v>25</v>
      </c>
      <c r="N1086" s="18" t="s">
        <v>154</v>
      </c>
    </row>
    <row r="1087" spans="1:14" ht="15" customHeight="1" x14ac:dyDescent="0.3">
      <c r="A1087" s="18" t="s">
        <v>2171</v>
      </c>
      <c r="B1087" s="19" t="s">
        <v>15</v>
      </c>
      <c r="C1087" s="18" t="s">
        <v>1842</v>
      </c>
      <c r="D1087" s="18" t="s">
        <v>116</v>
      </c>
      <c r="E1087" s="18" t="s">
        <v>55</v>
      </c>
      <c r="F1087" s="18" t="s">
        <v>2432</v>
      </c>
      <c r="G1087" s="18" t="s">
        <v>2242</v>
      </c>
      <c r="H1087" s="18" t="s">
        <v>2184</v>
      </c>
      <c r="I1087" s="20" t="s">
        <v>2433</v>
      </c>
      <c r="J1087" s="18" t="s">
        <v>58</v>
      </c>
      <c r="K1087" s="18" t="s">
        <v>24</v>
      </c>
      <c r="L1087" s="18" t="s">
        <v>25</v>
      </c>
      <c r="N1087" s="18" t="s">
        <v>154</v>
      </c>
    </row>
    <row r="1088" spans="1:14" ht="15" customHeight="1" x14ac:dyDescent="0.3">
      <c r="A1088" s="18" t="s">
        <v>2171</v>
      </c>
      <c r="B1088" s="19" t="s">
        <v>15</v>
      </c>
      <c r="C1088" s="18" t="s">
        <v>1842</v>
      </c>
      <c r="D1088" s="18" t="s">
        <v>116</v>
      </c>
      <c r="E1088" s="18" t="s">
        <v>55</v>
      </c>
      <c r="F1088" s="18" t="s">
        <v>2434</v>
      </c>
      <c r="G1088" s="18" t="s">
        <v>298</v>
      </c>
      <c r="H1088" s="18" t="s">
        <v>2172</v>
      </c>
      <c r="I1088" s="20" t="s">
        <v>2435</v>
      </c>
      <c r="J1088" s="18" t="s">
        <v>58</v>
      </c>
      <c r="K1088" s="18" t="s">
        <v>24</v>
      </c>
      <c r="L1088" s="18" t="s">
        <v>25</v>
      </c>
      <c r="N1088" s="18" t="s">
        <v>154</v>
      </c>
    </row>
    <row r="1089" spans="1:14" ht="15" customHeight="1" x14ac:dyDescent="0.3">
      <c r="A1089" s="18" t="s">
        <v>2171</v>
      </c>
      <c r="B1089" s="19" t="s">
        <v>15</v>
      </c>
      <c r="C1089" s="18" t="s">
        <v>1842</v>
      </c>
      <c r="D1089" s="18" t="s">
        <v>116</v>
      </c>
      <c r="E1089" s="18" t="s">
        <v>74</v>
      </c>
      <c r="F1089" s="18" t="s">
        <v>2436</v>
      </c>
      <c r="G1089" s="18" t="s">
        <v>41</v>
      </c>
      <c r="H1089" s="18" t="s">
        <v>2437</v>
      </c>
      <c r="I1089" s="20" t="s">
        <v>2438</v>
      </c>
      <c r="J1089" s="18" t="s">
        <v>1128</v>
      </c>
      <c r="K1089" s="18" t="s">
        <v>24</v>
      </c>
      <c r="L1089" s="18" t="s">
        <v>25</v>
      </c>
      <c r="N1089" s="18" t="s">
        <v>154</v>
      </c>
    </row>
    <row r="1090" spans="1:14" ht="15" customHeight="1" x14ac:dyDescent="0.3">
      <c r="A1090" s="18" t="s">
        <v>2171</v>
      </c>
      <c r="B1090" s="19" t="s">
        <v>15</v>
      </c>
      <c r="C1090" s="18" t="s">
        <v>1842</v>
      </c>
      <c r="D1090" s="18" t="s">
        <v>116</v>
      </c>
      <c r="E1090" s="18" t="s">
        <v>74</v>
      </c>
      <c r="F1090" s="18" t="s">
        <v>391</v>
      </c>
      <c r="G1090" s="18" t="s">
        <v>433</v>
      </c>
      <c r="H1090" s="18" t="s">
        <v>2439</v>
      </c>
      <c r="I1090" s="20" t="s">
        <v>2440</v>
      </c>
      <c r="J1090" s="18" t="s">
        <v>1128</v>
      </c>
      <c r="K1090" s="18" t="s">
        <v>24</v>
      </c>
      <c r="L1090" s="18" t="s">
        <v>25</v>
      </c>
      <c r="N1090" s="18" t="s">
        <v>154</v>
      </c>
    </row>
    <row r="1091" spans="1:14" ht="15" customHeight="1" x14ac:dyDescent="0.3">
      <c r="A1091" s="18" t="s">
        <v>2171</v>
      </c>
      <c r="B1091" s="19" t="s">
        <v>15</v>
      </c>
      <c r="C1091" s="18" t="s">
        <v>816</v>
      </c>
      <c r="D1091" s="18" t="s">
        <v>116</v>
      </c>
      <c r="E1091" s="18" t="s">
        <v>74</v>
      </c>
      <c r="F1091" s="18" t="s">
        <v>2441</v>
      </c>
      <c r="G1091" s="18" t="s">
        <v>1009</v>
      </c>
      <c r="H1091" s="18" t="s">
        <v>2442</v>
      </c>
      <c r="I1091" s="20" t="s">
        <v>2443</v>
      </c>
      <c r="J1091" s="18" t="s">
        <v>1128</v>
      </c>
      <c r="K1091" s="18" t="s">
        <v>24</v>
      </c>
      <c r="L1091" s="18" t="s">
        <v>25</v>
      </c>
      <c r="N1091" s="18" t="s">
        <v>820</v>
      </c>
    </row>
    <row r="1092" spans="1:14" ht="15" customHeight="1" x14ac:dyDescent="0.3">
      <c r="A1092" s="18" t="s">
        <v>2171</v>
      </c>
      <c r="B1092" s="19" t="s">
        <v>15</v>
      </c>
      <c r="C1092" s="18" t="s">
        <v>1842</v>
      </c>
      <c r="D1092" s="18" t="s">
        <v>116</v>
      </c>
      <c r="E1092" s="18" t="s">
        <v>74</v>
      </c>
      <c r="F1092" s="18" t="s">
        <v>2444</v>
      </c>
      <c r="G1092" s="18" t="s">
        <v>273</v>
      </c>
      <c r="H1092" s="18" t="s">
        <v>2439</v>
      </c>
      <c r="I1092" s="20" t="s">
        <v>2445</v>
      </c>
      <c r="J1092" s="18" t="s">
        <v>2446</v>
      </c>
      <c r="K1092" s="18" t="s">
        <v>24</v>
      </c>
      <c r="L1092" s="18" t="s">
        <v>25</v>
      </c>
      <c r="N1092" s="18" t="s">
        <v>154</v>
      </c>
    </row>
    <row r="1093" spans="1:14" ht="15" customHeight="1" x14ac:dyDescent="0.3">
      <c r="A1093" s="18" t="s">
        <v>2171</v>
      </c>
      <c r="B1093" s="19" t="s">
        <v>15</v>
      </c>
      <c r="C1093" s="18" t="s">
        <v>1842</v>
      </c>
      <c r="D1093" s="18" t="s">
        <v>116</v>
      </c>
      <c r="E1093" s="18" t="s">
        <v>74</v>
      </c>
      <c r="F1093" s="18" t="s">
        <v>2447</v>
      </c>
      <c r="G1093" s="18" t="s">
        <v>433</v>
      </c>
      <c r="H1093" s="18" t="s">
        <v>2439</v>
      </c>
      <c r="I1093" s="20" t="s">
        <v>2448</v>
      </c>
      <c r="J1093" s="18" t="s">
        <v>1128</v>
      </c>
      <c r="K1093" s="18" t="s">
        <v>24</v>
      </c>
      <c r="L1093" s="18" t="s">
        <v>25</v>
      </c>
      <c r="N1093" s="18" t="s">
        <v>154</v>
      </c>
    </row>
    <row r="1094" spans="1:14" ht="15" customHeight="1" x14ac:dyDescent="0.3">
      <c r="A1094" s="18" t="s">
        <v>2171</v>
      </c>
      <c r="B1094" s="19" t="s">
        <v>15</v>
      </c>
      <c r="C1094" s="18" t="s">
        <v>2174</v>
      </c>
      <c r="D1094" s="18" t="s">
        <v>116</v>
      </c>
      <c r="E1094" s="18" t="s">
        <v>74</v>
      </c>
      <c r="F1094" s="18" t="s">
        <v>1354</v>
      </c>
      <c r="G1094" s="18" t="s">
        <v>41</v>
      </c>
      <c r="H1094" s="18" t="s">
        <v>2449</v>
      </c>
      <c r="I1094" s="20" t="s">
        <v>2450</v>
      </c>
      <c r="J1094" s="18" t="s">
        <v>1128</v>
      </c>
      <c r="K1094" s="18" t="s">
        <v>24</v>
      </c>
      <c r="L1094" s="18" t="s">
        <v>25</v>
      </c>
      <c r="N1094" s="18" t="s">
        <v>973</v>
      </c>
    </row>
    <row r="1095" spans="1:14" ht="15" customHeight="1" x14ac:dyDescent="0.3">
      <c r="A1095" s="18" t="s">
        <v>2171</v>
      </c>
      <c r="B1095" s="19" t="s">
        <v>15</v>
      </c>
      <c r="C1095" s="18" t="s">
        <v>1842</v>
      </c>
      <c r="D1095" s="18" t="s">
        <v>116</v>
      </c>
      <c r="E1095" s="18" t="s">
        <v>74</v>
      </c>
      <c r="F1095" s="18" t="s">
        <v>2451</v>
      </c>
      <c r="G1095" s="18" t="s">
        <v>41</v>
      </c>
      <c r="H1095" s="18" t="s">
        <v>2437</v>
      </c>
      <c r="I1095" s="20" t="s">
        <v>2452</v>
      </c>
      <c r="J1095" s="18" t="s">
        <v>1128</v>
      </c>
      <c r="K1095" s="18" t="s">
        <v>24</v>
      </c>
      <c r="L1095" s="18" t="s">
        <v>25</v>
      </c>
      <c r="N1095" s="18" t="s">
        <v>154</v>
      </c>
    </row>
    <row r="1096" spans="1:14" ht="15" customHeight="1" x14ac:dyDescent="0.3">
      <c r="A1096" s="18" t="s">
        <v>2171</v>
      </c>
      <c r="B1096" s="19" t="s">
        <v>15</v>
      </c>
      <c r="C1096" s="18" t="s">
        <v>1842</v>
      </c>
      <c r="D1096" s="18" t="s">
        <v>116</v>
      </c>
      <c r="E1096" s="18" t="s">
        <v>74</v>
      </c>
      <c r="F1096" s="18" t="s">
        <v>2453</v>
      </c>
      <c r="G1096" s="18" t="s">
        <v>41</v>
      </c>
      <c r="H1096" s="18" t="s">
        <v>2437</v>
      </c>
      <c r="I1096" s="20" t="s">
        <v>2454</v>
      </c>
      <c r="J1096" s="18" t="s">
        <v>1128</v>
      </c>
      <c r="K1096" s="18" t="s">
        <v>24</v>
      </c>
      <c r="L1096" s="18" t="s">
        <v>25</v>
      </c>
      <c r="N1096" s="18" t="s">
        <v>154</v>
      </c>
    </row>
    <row r="1097" spans="1:14" ht="15" customHeight="1" x14ac:dyDescent="0.3">
      <c r="A1097" s="18" t="s">
        <v>2171</v>
      </c>
      <c r="B1097" s="19" t="s">
        <v>15</v>
      </c>
      <c r="C1097" s="18" t="s">
        <v>1842</v>
      </c>
      <c r="D1097" s="18" t="s">
        <v>116</v>
      </c>
      <c r="E1097" s="18" t="s">
        <v>74</v>
      </c>
      <c r="F1097" s="18" t="s">
        <v>2455</v>
      </c>
      <c r="G1097" s="18" t="s">
        <v>41</v>
      </c>
      <c r="H1097" s="18" t="s">
        <v>2437</v>
      </c>
      <c r="I1097" s="20" t="s">
        <v>2456</v>
      </c>
      <c r="J1097" s="18" t="s">
        <v>1128</v>
      </c>
      <c r="K1097" s="18" t="s">
        <v>24</v>
      </c>
      <c r="L1097" s="18" t="s">
        <v>25</v>
      </c>
      <c r="N1097" s="18" t="s">
        <v>154</v>
      </c>
    </row>
    <row r="1098" spans="1:14" ht="15" customHeight="1" x14ac:dyDescent="0.3">
      <c r="A1098" s="18" t="s">
        <v>2171</v>
      </c>
      <c r="B1098" s="19" t="s">
        <v>15</v>
      </c>
      <c r="C1098" s="18" t="s">
        <v>1842</v>
      </c>
      <c r="D1098" s="18" t="s">
        <v>116</v>
      </c>
      <c r="E1098" s="18" t="s">
        <v>74</v>
      </c>
      <c r="F1098" s="18" t="s">
        <v>2457</v>
      </c>
      <c r="G1098" s="18" t="s">
        <v>381</v>
      </c>
      <c r="H1098" s="18" t="s">
        <v>2439</v>
      </c>
      <c r="I1098" s="20" t="s">
        <v>2458</v>
      </c>
      <c r="J1098" s="18" t="s">
        <v>1128</v>
      </c>
      <c r="K1098" s="18" t="s">
        <v>24</v>
      </c>
      <c r="L1098" s="18" t="s">
        <v>25</v>
      </c>
      <c r="N1098" s="18" t="s">
        <v>154</v>
      </c>
    </row>
    <row r="1099" spans="1:14" ht="15" customHeight="1" x14ac:dyDescent="0.3">
      <c r="A1099" s="18" t="s">
        <v>2171</v>
      </c>
      <c r="B1099" s="19" t="s">
        <v>15</v>
      </c>
      <c r="C1099" s="18" t="s">
        <v>1842</v>
      </c>
      <c r="D1099" s="18" t="s">
        <v>116</v>
      </c>
      <c r="E1099" s="18" t="s">
        <v>74</v>
      </c>
      <c r="F1099" s="18" t="s">
        <v>2459</v>
      </c>
      <c r="G1099" s="18" t="s">
        <v>273</v>
      </c>
      <c r="H1099" s="18" t="s">
        <v>2460</v>
      </c>
      <c r="I1099" s="20" t="s">
        <v>2461</v>
      </c>
      <c r="J1099" s="18" t="s">
        <v>1128</v>
      </c>
      <c r="K1099" s="18" t="s">
        <v>24</v>
      </c>
      <c r="L1099" s="18" t="s">
        <v>25</v>
      </c>
      <c r="N1099" s="18" t="s">
        <v>154</v>
      </c>
    </row>
    <row r="1100" spans="1:14" ht="15" customHeight="1" x14ac:dyDescent="0.3">
      <c r="A1100" s="18" t="s">
        <v>2171</v>
      </c>
      <c r="B1100" s="19" t="s">
        <v>15</v>
      </c>
      <c r="C1100" s="18" t="s">
        <v>1842</v>
      </c>
      <c r="D1100" s="18" t="s">
        <v>116</v>
      </c>
      <c r="E1100" s="18" t="s">
        <v>74</v>
      </c>
      <c r="F1100" s="18" t="s">
        <v>2462</v>
      </c>
      <c r="G1100" s="18" t="s">
        <v>312</v>
      </c>
      <c r="H1100" s="18" t="s">
        <v>2463</v>
      </c>
      <c r="I1100" s="20" t="s">
        <v>2464</v>
      </c>
      <c r="J1100" s="18" t="s">
        <v>199</v>
      </c>
      <c r="K1100" s="18" t="s">
        <v>24</v>
      </c>
      <c r="L1100" s="18" t="s">
        <v>25</v>
      </c>
      <c r="N1100" s="18" t="s">
        <v>154</v>
      </c>
    </row>
    <row r="1101" spans="1:14" ht="15" customHeight="1" x14ac:dyDescent="0.3">
      <c r="A1101" s="18" t="s">
        <v>2171</v>
      </c>
      <c r="B1101" s="19" t="s">
        <v>15</v>
      </c>
      <c r="C1101" s="18" t="s">
        <v>2174</v>
      </c>
      <c r="D1101" s="18" t="s">
        <v>116</v>
      </c>
      <c r="E1101" s="18" t="s">
        <v>74</v>
      </c>
      <c r="F1101" s="18" t="s">
        <v>1318</v>
      </c>
      <c r="G1101" s="18" t="s">
        <v>207</v>
      </c>
      <c r="H1101" s="18" t="s">
        <v>2449</v>
      </c>
      <c r="I1101" s="20" t="s">
        <v>2465</v>
      </c>
      <c r="J1101" s="18" t="s">
        <v>394</v>
      </c>
      <c r="K1101" s="18" t="s">
        <v>24</v>
      </c>
      <c r="L1101" s="18" t="s">
        <v>25</v>
      </c>
      <c r="N1101" s="18" t="s">
        <v>973</v>
      </c>
    </row>
    <row r="1102" spans="1:14" ht="15" customHeight="1" x14ac:dyDescent="0.3">
      <c r="A1102" s="18" t="s">
        <v>2171</v>
      </c>
      <c r="B1102" s="19" t="s">
        <v>15</v>
      </c>
      <c r="C1102" s="18" t="s">
        <v>2174</v>
      </c>
      <c r="D1102" s="18" t="s">
        <v>116</v>
      </c>
      <c r="E1102" s="18" t="s">
        <v>74</v>
      </c>
      <c r="F1102" s="18" t="s">
        <v>2466</v>
      </c>
      <c r="G1102" s="18" t="s">
        <v>207</v>
      </c>
      <c r="H1102" s="18" t="s">
        <v>2449</v>
      </c>
      <c r="I1102" s="20" t="s">
        <v>2467</v>
      </c>
      <c r="J1102" s="18" t="s">
        <v>1128</v>
      </c>
      <c r="K1102" s="18" t="s">
        <v>24</v>
      </c>
      <c r="L1102" s="18" t="s">
        <v>25</v>
      </c>
      <c r="N1102" s="18" t="s">
        <v>973</v>
      </c>
    </row>
    <row r="1103" spans="1:14" ht="15" customHeight="1" x14ac:dyDescent="0.3">
      <c r="A1103" s="18" t="s">
        <v>2171</v>
      </c>
      <c r="B1103" s="19" t="s">
        <v>15</v>
      </c>
      <c r="C1103" s="18" t="s">
        <v>1842</v>
      </c>
      <c r="D1103" s="18" t="s">
        <v>116</v>
      </c>
      <c r="E1103" s="18" t="s">
        <v>74</v>
      </c>
      <c r="F1103" s="18" t="s">
        <v>2468</v>
      </c>
      <c r="G1103" s="18" t="s">
        <v>433</v>
      </c>
      <c r="H1103" s="18" t="s">
        <v>2439</v>
      </c>
      <c r="I1103" s="20" t="s">
        <v>2469</v>
      </c>
      <c r="J1103" s="18" t="s">
        <v>1128</v>
      </c>
      <c r="K1103" s="18" t="s">
        <v>24</v>
      </c>
      <c r="L1103" s="18" t="s">
        <v>25</v>
      </c>
      <c r="N1103" s="18" t="s">
        <v>154</v>
      </c>
    </row>
    <row r="1104" spans="1:14" ht="15" customHeight="1" x14ac:dyDescent="0.3">
      <c r="A1104" s="18" t="s">
        <v>2171</v>
      </c>
      <c r="B1104" s="19" t="s">
        <v>15</v>
      </c>
      <c r="C1104" s="18" t="s">
        <v>1842</v>
      </c>
      <c r="D1104" s="18" t="s">
        <v>116</v>
      </c>
      <c r="E1104" s="18" t="s">
        <v>74</v>
      </c>
      <c r="F1104" s="18" t="s">
        <v>2470</v>
      </c>
      <c r="G1104" s="18" t="s">
        <v>41</v>
      </c>
      <c r="H1104" s="18" t="s">
        <v>2439</v>
      </c>
      <c r="I1104" s="20" t="s">
        <v>2471</v>
      </c>
      <c r="J1104" s="18" t="s">
        <v>1128</v>
      </c>
      <c r="K1104" s="18" t="s">
        <v>24</v>
      </c>
      <c r="L1104" s="18" t="s">
        <v>25</v>
      </c>
      <c r="N1104" s="18" t="s">
        <v>154</v>
      </c>
    </row>
    <row r="1105" spans="1:14" ht="15" customHeight="1" x14ac:dyDescent="0.3">
      <c r="A1105" s="18" t="s">
        <v>2171</v>
      </c>
      <c r="B1105" s="19" t="s">
        <v>15</v>
      </c>
      <c r="C1105" s="18" t="s">
        <v>1842</v>
      </c>
      <c r="D1105" s="18" t="s">
        <v>116</v>
      </c>
      <c r="E1105" s="18" t="s">
        <v>74</v>
      </c>
      <c r="F1105" s="18" t="s">
        <v>2472</v>
      </c>
      <c r="G1105" s="18" t="s">
        <v>85</v>
      </c>
      <c r="H1105" s="18" t="s">
        <v>2437</v>
      </c>
      <c r="I1105" s="20" t="s">
        <v>2473</v>
      </c>
      <c r="J1105" s="18" t="s">
        <v>1128</v>
      </c>
      <c r="K1105" s="18" t="s">
        <v>24</v>
      </c>
      <c r="L1105" s="18" t="s">
        <v>25</v>
      </c>
      <c r="N1105" s="18" t="s">
        <v>154</v>
      </c>
    </row>
    <row r="1106" spans="1:14" ht="15" customHeight="1" x14ac:dyDescent="0.3">
      <c r="A1106" s="18" t="s">
        <v>2171</v>
      </c>
      <c r="B1106" s="19" t="s">
        <v>15</v>
      </c>
      <c r="C1106" s="18" t="s">
        <v>1842</v>
      </c>
      <c r="D1106" s="18" t="s">
        <v>116</v>
      </c>
      <c r="E1106" s="18" t="s">
        <v>74</v>
      </c>
      <c r="F1106" s="18" t="s">
        <v>1612</v>
      </c>
      <c r="G1106" s="18" t="s">
        <v>41</v>
      </c>
      <c r="H1106" s="18" t="s">
        <v>2437</v>
      </c>
      <c r="I1106" s="20" t="s">
        <v>2474</v>
      </c>
      <c r="J1106" s="18" t="s">
        <v>394</v>
      </c>
      <c r="K1106" s="18" t="s">
        <v>293</v>
      </c>
      <c r="L1106" s="18" t="s">
        <v>25</v>
      </c>
      <c r="N1106" s="18" t="s">
        <v>154</v>
      </c>
    </row>
    <row r="1107" spans="1:14" ht="15" customHeight="1" x14ac:dyDescent="0.3">
      <c r="A1107" s="18" t="s">
        <v>2475</v>
      </c>
      <c r="B1107" s="19" t="s">
        <v>15</v>
      </c>
      <c r="C1107" s="18" t="s">
        <v>2476</v>
      </c>
      <c r="D1107" s="18" t="s">
        <v>116</v>
      </c>
      <c r="E1107" s="18" t="s">
        <v>117</v>
      </c>
      <c r="F1107" s="18" t="s">
        <v>1192</v>
      </c>
      <c r="G1107" s="18" t="s">
        <v>606</v>
      </c>
      <c r="H1107" s="18" t="s">
        <v>2477</v>
      </c>
      <c r="I1107" s="20" t="s">
        <v>2478</v>
      </c>
      <c r="J1107" s="18" t="s">
        <v>58</v>
      </c>
      <c r="K1107" s="18" t="s">
        <v>24</v>
      </c>
      <c r="L1107" s="18" t="s">
        <v>25</v>
      </c>
      <c r="N1107" s="18" t="s">
        <v>807</v>
      </c>
    </row>
    <row r="1108" spans="1:14" ht="15" customHeight="1" x14ac:dyDescent="0.3">
      <c r="A1108" s="18" t="s">
        <v>2475</v>
      </c>
      <c r="B1108" s="19" t="s">
        <v>15</v>
      </c>
      <c r="C1108" s="18" t="s">
        <v>2476</v>
      </c>
      <c r="D1108" s="18" t="s">
        <v>116</v>
      </c>
      <c r="E1108" s="18" t="s">
        <v>117</v>
      </c>
      <c r="F1108" s="18" t="s">
        <v>2479</v>
      </c>
      <c r="G1108" s="18" t="s">
        <v>270</v>
      </c>
      <c r="H1108" s="18" t="s">
        <v>2480</v>
      </c>
      <c r="I1108" s="20" t="s">
        <v>2481</v>
      </c>
      <c r="J1108" s="18" t="s">
        <v>58</v>
      </c>
      <c r="K1108" s="18" t="s">
        <v>24</v>
      </c>
      <c r="L1108" s="18" t="s">
        <v>25</v>
      </c>
      <c r="N1108" s="18" t="s">
        <v>807</v>
      </c>
    </row>
    <row r="1109" spans="1:14" ht="15" customHeight="1" x14ac:dyDescent="0.3">
      <c r="A1109" s="18" t="s">
        <v>2475</v>
      </c>
      <c r="B1109" s="19" t="s">
        <v>15</v>
      </c>
      <c r="C1109" s="18" t="s">
        <v>2476</v>
      </c>
      <c r="D1109" s="18" t="s">
        <v>116</v>
      </c>
      <c r="E1109" s="18" t="s">
        <v>117</v>
      </c>
      <c r="F1109" s="18" t="s">
        <v>2482</v>
      </c>
      <c r="G1109" s="18" t="s">
        <v>1075</v>
      </c>
      <c r="H1109" s="18" t="s">
        <v>2483</v>
      </c>
      <c r="I1109" s="20" t="s">
        <v>2484</v>
      </c>
      <c r="J1109" s="18" t="s">
        <v>58</v>
      </c>
      <c r="K1109" s="18" t="s">
        <v>24</v>
      </c>
      <c r="L1109" s="18" t="s">
        <v>25</v>
      </c>
      <c r="N1109" s="18" t="s">
        <v>807</v>
      </c>
    </row>
    <row r="1110" spans="1:14" ht="15" customHeight="1" x14ac:dyDescent="0.3">
      <c r="A1110" s="18" t="s">
        <v>2475</v>
      </c>
      <c r="B1110" s="19" t="s">
        <v>15</v>
      </c>
      <c r="C1110" s="18" t="s">
        <v>2476</v>
      </c>
      <c r="D1110" s="18" t="s">
        <v>116</v>
      </c>
      <c r="E1110" s="18" t="s">
        <v>117</v>
      </c>
      <c r="F1110" s="18" t="s">
        <v>2485</v>
      </c>
      <c r="G1110" s="18" t="s">
        <v>160</v>
      </c>
      <c r="H1110" s="18" t="s">
        <v>2486</v>
      </c>
      <c r="I1110" s="20" t="s">
        <v>2487</v>
      </c>
      <c r="J1110" s="18" t="s">
        <v>58</v>
      </c>
      <c r="K1110" s="18" t="s">
        <v>24</v>
      </c>
      <c r="L1110" s="18" t="s">
        <v>25</v>
      </c>
      <c r="N1110" s="18" t="s">
        <v>807</v>
      </c>
    </row>
    <row r="1111" spans="1:14" ht="15" customHeight="1" x14ac:dyDescent="0.3">
      <c r="A1111" s="18" t="s">
        <v>2475</v>
      </c>
      <c r="B1111" s="19" t="s">
        <v>15</v>
      </c>
      <c r="C1111" s="18" t="s">
        <v>2476</v>
      </c>
      <c r="D1111" s="18" t="s">
        <v>116</v>
      </c>
      <c r="E1111" s="18" t="s">
        <v>117</v>
      </c>
      <c r="F1111" s="18" t="s">
        <v>2488</v>
      </c>
      <c r="G1111" s="18" t="s">
        <v>2489</v>
      </c>
      <c r="H1111" s="18" t="s">
        <v>2490</v>
      </c>
      <c r="I1111" s="20" t="s">
        <v>2491</v>
      </c>
      <c r="J1111" s="18" t="s">
        <v>58</v>
      </c>
      <c r="K1111" s="18" t="s">
        <v>24</v>
      </c>
      <c r="L1111" s="18" t="s">
        <v>25</v>
      </c>
      <c r="N1111" s="18" t="s">
        <v>807</v>
      </c>
    </row>
    <row r="1112" spans="1:14" ht="15" customHeight="1" x14ac:dyDescent="0.3">
      <c r="A1112" s="18" t="s">
        <v>2475</v>
      </c>
      <c r="B1112" s="19" t="s">
        <v>15</v>
      </c>
      <c r="C1112" s="18" t="s">
        <v>2476</v>
      </c>
      <c r="D1112" s="18" t="s">
        <v>116</v>
      </c>
      <c r="E1112" s="18" t="s">
        <v>117</v>
      </c>
      <c r="F1112" s="18" t="s">
        <v>211</v>
      </c>
      <c r="G1112" s="18" t="s">
        <v>212</v>
      </c>
      <c r="H1112" s="18" t="s">
        <v>2490</v>
      </c>
      <c r="I1112" s="20" t="s">
        <v>2492</v>
      </c>
      <c r="J1112" s="18" t="s">
        <v>58</v>
      </c>
      <c r="K1112" s="18" t="s">
        <v>24</v>
      </c>
      <c r="L1112" s="18" t="s">
        <v>25</v>
      </c>
      <c r="N1112" s="18" t="s">
        <v>807</v>
      </c>
    </row>
    <row r="1113" spans="1:14" ht="15" customHeight="1" x14ac:dyDescent="0.3">
      <c r="A1113" s="18" t="s">
        <v>2475</v>
      </c>
      <c r="B1113" s="19" t="s">
        <v>15</v>
      </c>
      <c r="C1113" s="18" t="s">
        <v>2476</v>
      </c>
      <c r="D1113" s="18" t="s">
        <v>116</v>
      </c>
      <c r="E1113" s="18" t="s">
        <v>117</v>
      </c>
      <c r="F1113" s="18" t="s">
        <v>2196</v>
      </c>
      <c r="G1113" s="18" t="s">
        <v>920</v>
      </c>
      <c r="H1113" s="18" t="s">
        <v>2493</v>
      </c>
      <c r="I1113" s="20" t="s">
        <v>2494</v>
      </c>
      <c r="J1113" s="18" t="s">
        <v>58</v>
      </c>
      <c r="K1113" s="18" t="s">
        <v>24</v>
      </c>
      <c r="L1113" s="18" t="s">
        <v>25</v>
      </c>
      <c r="N1113" s="18" t="s">
        <v>807</v>
      </c>
    </row>
    <row r="1114" spans="1:14" ht="15" customHeight="1" x14ac:dyDescent="0.3">
      <c r="A1114" s="18" t="s">
        <v>2475</v>
      </c>
      <c r="B1114" s="19" t="s">
        <v>15</v>
      </c>
      <c r="C1114" s="18" t="s">
        <v>2476</v>
      </c>
      <c r="D1114" s="18" t="s">
        <v>116</v>
      </c>
      <c r="E1114" s="18" t="s">
        <v>117</v>
      </c>
      <c r="F1114" s="18" t="s">
        <v>2495</v>
      </c>
      <c r="G1114" s="18" t="s">
        <v>263</v>
      </c>
      <c r="H1114" s="18" t="s">
        <v>2496</v>
      </c>
      <c r="I1114" s="20" t="s">
        <v>2497</v>
      </c>
      <c r="J1114" s="18" t="s">
        <v>58</v>
      </c>
      <c r="K1114" s="18" t="s">
        <v>24</v>
      </c>
      <c r="L1114" s="18" t="s">
        <v>25</v>
      </c>
      <c r="N1114" s="18" t="s">
        <v>807</v>
      </c>
    </row>
    <row r="1115" spans="1:14" ht="15" customHeight="1" x14ac:dyDescent="0.3">
      <c r="A1115" s="18" t="s">
        <v>2475</v>
      </c>
      <c r="B1115" s="19" t="s">
        <v>15</v>
      </c>
      <c r="C1115" s="18" t="s">
        <v>2476</v>
      </c>
      <c r="D1115" s="18" t="s">
        <v>116</v>
      </c>
      <c r="E1115" s="18" t="s">
        <v>117</v>
      </c>
      <c r="F1115" s="18" t="s">
        <v>2498</v>
      </c>
      <c r="G1115" s="18" t="s">
        <v>47</v>
      </c>
      <c r="H1115" s="18" t="s">
        <v>2490</v>
      </c>
      <c r="I1115" s="20" t="s">
        <v>2499</v>
      </c>
      <c r="J1115" s="18" t="s">
        <v>58</v>
      </c>
      <c r="K1115" s="18" t="s">
        <v>24</v>
      </c>
      <c r="L1115" s="18" t="s">
        <v>25</v>
      </c>
      <c r="N1115" s="18" t="s">
        <v>807</v>
      </c>
    </row>
    <row r="1116" spans="1:14" ht="15" customHeight="1" x14ac:dyDescent="0.3">
      <c r="A1116" s="18" t="s">
        <v>2475</v>
      </c>
      <c r="B1116" s="19" t="s">
        <v>15</v>
      </c>
      <c r="C1116" s="18" t="s">
        <v>2476</v>
      </c>
      <c r="D1116" s="18" t="s">
        <v>116</v>
      </c>
      <c r="E1116" s="18" t="s">
        <v>117</v>
      </c>
      <c r="F1116" s="18" t="s">
        <v>1301</v>
      </c>
      <c r="G1116" s="18" t="s">
        <v>160</v>
      </c>
      <c r="H1116" s="18" t="s">
        <v>2490</v>
      </c>
      <c r="I1116" s="20" t="s">
        <v>2500</v>
      </c>
      <c r="J1116" s="18" t="s">
        <v>58</v>
      </c>
      <c r="K1116" s="18" t="s">
        <v>24</v>
      </c>
      <c r="L1116" s="18" t="s">
        <v>25</v>
      </c>
      <c r="N1116" s="18" t="s">
        <v>807</v>
      </c>
    </row>
    <row r="1117" spans="1:14" ht="15" customHeight="1" x14ac:dyDescent="0.3">
      <c r="A1117" s="18" t="s">
        <v>2475</v>
      </c>
      <c r="B1117" s="19" t="s">
        <v>15</v>
      </c>
      <c r="C1117" s="18" t="s">
        <v>2476</v>
      </c>
      <c r="D1117" s="18" t="s">
        <v>116</v>
      </c>
      <c r="E1117" s="18" t="s">
        <v>117</v>
      </c>
      <c r="F1117" s="18" t="s">
        <v>1019</v>
      </c>
      <c r="G1117" s="18" t="s">
        <v>1019</v>
      </c>
      <c r="H1117" s="18" t="s">
        <v>2496</v>
      </c>
      <c r="I1117" s="20" t="s">
        <v>2501</v>
      </c>
      <c r="J1117" s="18" t="s">
        <v>58</v>
      </c>
      <c r="K1117" s="18" t="s">
        <v>24</v>
      </c>
      <c r="L1117" s="18" t="s">
        <v>25</v>
      </c>
      <c r="N1117" s="18" t="s">
        <v>807</v>
      </c>
    </row>
    <row r="1118" spans="1:14" ht="15" customHeight="1" x14ac:dyDescent="0.3">
      <c r="A1118" s="18" t="s">
        <v>2475</v>
      </c>
      <c r="B1118" s="19" t="s">
        <v>15</v>
      </c>
      <c r="C1118" s="18" t="s">
        <v>2476</v>
      </c>
      <c r="D1118" s="18" t="s">
        <v>116</v>
      </c>
      <c r="E1118" s="18" t="s">
        <v>117</v>
      </c>
      <c r="F1118" s="18" t="s">
        <v>2502</v>
      </c>
      <c r="G1118" s="18" t="s">
        <v>1019</v>
      </c>
      <c r="H1118" s="18" t="s">
        <v>2496</v>
      </c>
      <c r="I1118" s="20" t="s">
        <v>2503</v>
      </c>
      <c r="J1118" s="18" t="s">
        <v>58</v>
      </c>
      <c r="K1118" s="18" t="s">
        <v>24</v>
      </c>
      <c r="L1118" s="18" t="s">
        <v>25</v>
      </c>
      <c r="N1118" s="18" t="s">
        <v>807</v>
      </c>
    </row>
    <row r="1119" spans="1:14" ht="15" customHeight="1" x14ac:dyDescent="0.3">
      <c r="A1119" s="18" t="s">
        <v>2475</v>
      </c>
      <c r="B1119" s="19" t="s">
        <v>15</v>
      </c>
      <c r="C1119" s="18" t="s">
        <v>2476</v>
      </c>
      <c r="D1119" s="18" t="s">
        <v>116</v>
      </c>
      <c r="E1119" s="18" t="s">
        <v>117</v>
      </c>
      <c r="F1119" s="18" t="s">
        <v>2504</v>
      </c>
      <c r="G1119" s="18" t="s">
        <v>63</v>
      </c>
      <c r="H1119" s="18" t="s">
        <v>2490</v>
      </c>
      <c r="I1119" s="20" t="s">
        <v>2505</v>
      </c>
      <c r="J1119" s="18" t="s">
        <v>58</v>
      </c>
      <c r="K1119" s="18" t="s">
        <v>24</v>
      </c>
      <c r="L1119" s="18" t="s">
        <v>25</v>
      </c>
      <c r="N1119" s="18" t="s">
        <v>807</v>
      </c>
    </row>
    <row r="1120" spans="1:14" ht="15" customHeight="1" x14ac:dyDescent="0.3">
      <c r="A1120" s="18" t="s">
        <v>2475</v>
      </c>
      <c r="B1120" s="19" t="s">
        <v>15</v>
      </c>
      <c r="C1120" s="18" t="s">
        <v>2476</v>
      </c>
      <c r="D1120" s="18" t="s">
        <v>116</v>
      </c>
      <c r="E1120" s="18" t="s">
        <v>117</v>
      </c>
      <c r="F1120" s="18" t="s">
        <v>2506</v>
      </c>
      <c r="G1120" s="18" t="s">
        <v>1204</v>
      </c>
      <c r="H1120" s="18" t="s">
        <v>2493</v>
      </c>
      <c r="I1120" s="20" t="s">
        <v>2507</v>
      </c>
      <c r="J1120" s="18" t="s">
        <v>58</v>
      </c>
      <c r="K1120" s="18" t="s">
        <v>24</v>
      </c>
      <c r="L1120" s="18" t="s">
        <v>25</v>
      </c>
      <c r="N1120" s="18" t="s">
        <v>807</v>
      </c>
    </row>
    <row r="1121" spans="1:14" ht="15" customHeight="1" x14ac:dyDescent="0.3">
      <c r="A1121" s="18" t="s">
        <v>2475</v>
      </c>
      <c r="B1121" s="19" t="s">
        <v>15</v>
      </c>
      <c r="C1121" s="18" t="s">
        <v>2476</v>
      </c>
      <c r="D1121" s="18" t="s">
        <v>116</v>
      </c>
      <c r="E1121" s="18" t="s">
        <v>117</v>
      </c>
      <c r="F1121" s="18" t="s">
        <v>2508</v>
      </c>
      <c r="G1121" s="18" t="s">
        <v>1204</v>
      </c>
      <c r="H1121" s="18" t="s">
        <v>2490</v>
      </c>
      <c r="I1121" s="20" t="s">
        <v>2509</v>
      </c>
      <c r="J1121" s="18" t="s">
        <v>58</v>
      </c>
      <c r="K1121" s="18" t="s">
        <v>24</v>
      </c>
      <c r="L1121" s="18" t="s">
        <v>25</v>
      </c>
      <c r="N1121" s="18" t="s">
        <v>807</v>
      </c>
    </row>
    <row r="1122" spans="1:14" ht="15" customHeight="1" x14ac:dyDescent="0.3">
      <c r="A1122" s="18" t="s">
        <v>2475</v>
      </c>
      <c r="B1122" s="19" t="s">
        <v>15</v>
      </c>
      <c r="C1122" s="18" t="s">
        <v>2476</v>
      </c>
      <c r="D1122" s="18" t="s">
        <v>116</v>
      </c>
      <c r="E1122" s="18" t="s">
        <v>117</v>
      </c>
      <c r="F1122" s="18" t="s">
        <v>2047</v>
      </c>
      <c r="G1122" s="18" t="s">
        <v>2047</v>
      </c>
      <c r="H1122" s="18" t="s">
        <v>2493</v>
      </c>
      <c r="I1122" s="20" t="s">
        <v>2510</v>
      </c>
      <c r="J1122" s="18" t="s">
        <v>58</v>
      </c>
      <c r="K1122" s="18" t="s">
        <v>24</v>
      </c>
      <c r="L1122" s="18" t="s">
        <v>25</v>
      </c>
      <c r="N1122" s="18" t="s">
        <v>807</v>
      </c>
    </row>
    <row r="1123" spans="1:14" ht="15" customHeight="1" x14ac:dyDescent="0.3">
      <c r="A1123" s="18" t="s">
        <v>2475</v>
      </c>
      <c r="B1123" s="19" t="s">
        <v>15</v>
      </c>
      <c r="C1123" s="18" t="s">
        <v>2476</v>
      </c>
      <c r="D1123" s="18" t="s">
        <v>116</v>
      </c>
      <c r="E1123" s="18" t="s">
        <v>117</v>
      </c>
      <c r="F1123" s="18" t="s">
        <v>1223</v>
      </c>
      <c r="G1123" s="18" t="s">
        <v>44</v>
      </c>
      <c r="H1123" s="18" t="s">
        <v>2493</v>
      </c>
      <c r="I1123" s="20" t="s">
        <v>2511</v>
      </c>
      <c r="J1123" s="18" t="s">
        <v>58</v>
      </c>
      <c r="K1123" s="18" t="s">
        <v>24</v>
      </c>
      <c r="L1123" s="18" t="s">
        <v>25</v>
      </c>
      <c r="N1123" s="18" t="s">
        <v>807</v>
      </c>
    </row>
    <row r="1124" spans="1:14" ht="15" customHeight="1" x14ac:dyDescent="0.3">
      <c r="A1124" s="18" t="s">
        <v>2475</v>
      </c>
      <c r="B1124" s="19" t="s">
        <v>15</v>
      </c>
      <c r="C1124" s="18" t="s">
        <v>2476</v>
      </c>
      <c r="D1124" s="18" t="s">
        <v>116</v>
      </c>
      <c r="E1124" s="18" t="s">
        <v>117</v>
      </c>
      <c r="F1124" s="18" t="s">
        <v>2512</v>
      </c>
      <c r="G1124" s="18" t="s">
        <v>1295</v>
      </c>
      <c r="H1124" s="18" t="s">
        <v>2496</v>
      </c>
      <c r="I1124" s="20" t="s">
        <v>2513</v>
      </c>
      <c r="J1124" s="18" t="s">
        <v>58</v>
      </c>
      <c r="K1124" s="18" t="s">
        <v>24</v>
      </c>
      <c r="L1124" s="18" t="s">
        <v>25</v>
      </c>
      <c r="N1124" s="18" t="s">
        <v>807</v>
      </c>
    </row>
    <row r="1125" spans="1:14" ht="15" customHeight="1" x14ac:dyDescent="0.3">
      <c r="A1125" s="18" t="s">
        <v>2475</v>
      </c>
      <c r="B1125" s="19" t="s">
        <v>15</v>
      </c>
      <c r="C1125" s="18" t="s">
        <v>2476</v>
      </c>
      <c r="D1125" s="18" t="s">
        <v>116</v>
      </c>
      <c r="E1125" s="18" t="s">
        <v>117</v>
      </c>
      <c r="F1125" s="18" t="s">
        <v>2514</v>
      </c>
      <c r="G1125" s="18" t="s">
        <v>2242</v>
      </c>
      <c r="H1125" s="18" t="s">
        <v>2493</v>
      </c>
      <c r="I1125" s="20" t="s">
        <v>2515</v>
      </c>
      <c r="J1125" s="18" t="s">
        <v>58</v>
      </c>
      <c r="K1125" s="18" t="s">
        <v>24</v>
      </c>
      <c r="L1125" s="18" t="s">
        <v>25</v>
      </c>
      <c r="N1125" s="18" t="s">
        <v>807</v>
      </c>
    </row>
    <row r="1126" spans="1:14" ht="15" customHeight="1" x14ac:dyDescent="0.3">
      <c r="A1126" s="18" t="s">
        <v>2475</v>
      </c>
      <c r="B1126" s="19" t="s">
        <v>15</v>
      </c>
      <c r="C1126" s="18" t="s">
        <v>2476</v>
      </c>
      <c r="D1126" s="18" t="s">
        <v>116</v>
      </c>
      <c r="E1126" s="18" t="s">
        <v>117</v>
      </c>
      <c r="F1126" s="18" t="s">
        <v>2516</v>
      </c>
      <c r="G1126" s="18" t="s">
        <v>2199</v>
      </c>
      <c r="H1126" s="18" t="s">
        <v>2493</v>
      </c>
      <c r="I1126" s="20" t="s">
        <v>2517</v>
      </c>
      <c r="J1126" s="18" t="s">
        <v>58</v>
      </c>
      <c r="K1126" s="18" t="s">
        <v>24</v>
      </c>
      <c r="L1126" s="18" t="s">
        <v>25</v>
      </c>
      <c r="N1126" s="18" t="s">
        <v>807</v>
      </c>
    </row>
    <row r="1127" spans="1:14" ht="15" customHeight="1" x14ac:dyDescent="0.3">
      <c r="A1127" s="18" t="s">
        <v>2475</v>
      </c>
      <c r="B1127" s="19" t="s">
        <v>15</v>
      </c>
      <c r="C1127" s="18" t="s">
        <v>2476</v>
      </c>
      <c r="D1127" s="18" t="s">
        <v>116</v>
      </c>
      <c r="E1127" s="18" t="s">
        <v>117</v>
      </c>
      <c r="F1127" s="18" t="s">
        <v>128</v>
      </c>
      <c r="G1127" s="18" t="s">
        <v>47</v>
      </c>
      <c r="H1127" s="18" t="s">
        <v>2490</v>
      </c>
      <c r="I1127" s="20" t="s">
        <v>2518</v>
      </c>
      <c r="J1127" s="18" t="s">
        <v>58</v>
      </c>
      <c r="K1127" s="18" t="s">
        <v>24</v>
      </c>
      <c r="L1127" s="18" t="s">
        <v>25</v>
      </c>
      <c r="N1127" s="18" t="s">
        <v>807</v>
      </c>
    </row>
    <row r="1128" spans="1:14" ht="15" customHeight="1" x14ac:dyDescent="0.3">
      <c r="A1128" s="18" t="s">
        <v>2475</v>
      </c>
      <c r="B1128" s="19" t="s">
        <v>15</v>
      </c>
      <c r="C1128" s="18" t="s">
        <v>2519</v>
      </c>
      <c r="D1128" s="18" t="s">
        <v>116</v>
      </c>
      <c r="E1128" s="18" t="s">
        <v>117</v>
      </c>
      <c r="F1128" s="18" t="s">
        <v>2520</v>
      </c>
      <c r="G1128" s="18" t="s">
        <v>1634</v>
      </c>
      <c r="H1128" s="18" t="s">
        <v>2521</v>
      </c>
      <c r="I1128" s="20" t="s">
        <v>2522</v>
      </c>
      <c r="J1128" s="18" t="s">
        <v>58</v>
      </c>
      <c r="K1128" s="18" t="s">
        <v>24</v>
      </c>
      <c r="L1128" s="18" t="s">
        <v>25</v>
      </c>
      <c r="N1128" s="18" t="s">
        <v>973</v>
      </c>
    </row>
    <row r="1129" spans="1:14" ht="15" customHeight="1" x14ac:dyDescent="0.3">
      <c r="A1129" s="18" t="s">
        <v>2475</v>
      </c>
      <c r="B1129" s="19" t="s">
        <v>15</v>
      </c>
      <c r="C1129" s="18" t="s">
        <v>2476</v>
      </c>
      <c r="D1129" s="18" t="s">
        <v>116</v>
      </c>
      <c r="E1129" s="18" t="s">
        <v>117</v>
      </c>
      <c r="F1129" s="18" t="s">
        <v>2523</v>
      </c>
      <c r="G1129" s="18" t="s">
        <v>1075</v>
      </c>
      <c r="H1129" s="18" t="s">
        <v>2490</v>
      </c>
      <c r="I1129" s="20" t="s">
        <v>2524</v>
      </c>
      <c r="J1129" s="18" t="s">
        <v>58</v>
      </c>
      <c r="K1129" s="18" t="s">
        <v>24</v>
      </c>
      <c r="L1129" s="18" t="s">
        <v>25</v>
      </c>
      <c r="N1129" s="18" t="s">
        <v>807</v>
      </c>
    </row>
    <row r="1130" spans="1:14" ht="15" customHeight="1" x14ac:dyDescent="0.3">
      <c r="A1130" s="18" t="s">
        <v>2475</v>
      </c>
      <c r="B1130" s="19" t="s">
        <v>15</v>
      </c>
      <c r="C1130" s="18" t="s">
        <v>2476</v>
      </c>
      <c r="D1130" s="18" t="s">
        <v>116</v>
      </c>
      <c r="E1130" s="18" t="s">
        <v>117</v>
      </c>
      <c r="F1130" s="18" t="s">
        <v>2525</v>
      </c>
      <c r="G1130" s="18" t="s">
        <v>273</v>
      </c>
      <c r="H1130" s="18" t="s">
        <v>2496</v>
      </c>
      <c r="I1130" s="20" t="s">
        <v>2526</v>
      </c>
      <c r="J1130" s="18" t="s">
        <v>58</v>
      </c>
      <c r="K1130" s="18" t="s">
        <v>24</v>
      </c>
      <c r="L1130" s="18" t="s">
        <v>25</v>
      </c>
      <c r="N1130" s="18" t="s">
        <v>807</v>
      </c>
    </row>
    <row r="1131" spans="1:14" ht="15" customHeight="1" x14ac:dyDescent="0.3">
      <c r="A1131" s="18" t="s">
        <v>2475</v>
      </c>
      <c r="B1131" s="19" t="s">
        <v>15</v>
      </c>
      <c r="C1131" s="18" t="s">
        <v>2476</v>
      </c>
      <c r="D1131" s="18" t="s">
        <v>116</v>
      </c>
      <c r="E1131" s="18" t="s">
        <v>117</v>
      </c>
      <c r="F1131" s="18" t="s">
        <v>1235</v>
      </c>
      <c r="G1131" s="18" t="s">
        <v>47</v>
      </c>
      <c r="H1131" s="18" t="s">
        <v>2490</v>
      </c>
      <c r="I1131" s="20" t="s">
        <v>2527</v>
      </c>
      <c r="J1131" s="18" t="s">
        <v>58</v>
      </c>
      <c r="K1131" s="18" t="s">
        <v>24</v>
      </c>
      <c r="L1131" s="18" t="s">
        <v>25</v>
      </c>
      <c r="N1131" s="18" t="s">
        <v>807</v>
      </c>
    </row>
    <row r="1132" spans="1:14" ht="15" customHeight="1" x14ac:dyDescent="0.3">
      <c r="A1132" s="18" t="s">
        <v>2475</v>
      </c>
      <c r="B1132" s="19" t="s">
        <v>15</v>
      </c>
      <c r="C1132" s="18" t="s">
        <v>2528</v>
      </c>
      <c r="D1132" s="18" t="s">
        <v>116</v>
      </c>
      <c r="E1132" s="18" t="s">
        <v>117</v>
      </c>
      <c r="F1132" s="18" t="s">
        <v>2529</v>
      </c>
      <c r="G1132" s="18" t="s">
        <v>536</v>
      </c>
      <c r="H1132" s="18" t="s">
        <v>2530</v>
      </c>
      <c r="I1132" s="20" t="s">
        <v>2531</v>
      </c>
      <c r="J1132" s="18" t="s">
        <v>58</v>
      </c>
      <c r="K1132" s="18" t="s">
        <v>24</v>
      </c>
      <c r="L1132" s="18" t="s">
        <v>25</v>
      </c>
      <c r="N1132" s="18" t="s">
        <v>973</v>
      </c>
    </row>
    <row r="1133" spans="1:14" ht="15" customHeight="1" x14ac:dyDescent="0.3">
      <c r="A1133" s="18" t="s">
        <v>2475</v>
      </c>
      <c r="B1133" s="19" t="s">
        <v>15</v>
      </c>
      <c r="C1133" s="18" t="s">
        <v>2476</v>
      </c>
      <c r="D1133" s="18" t="s">
        <v>116</v>
      </c>
      <c r="E1133" s="18" t="s">
        <v>18</v>
      </c>
      <c r="F1133" s="18" t="s">
        <v>2084</v>
      </c>
      <c r="G1133" s="18" t="s">
        <v>1704</v>
      </c>
      <c r="H1133" s="18" t="s">
        <v>2477</v>
      </c>
      <c r="I1133" s="20" t="s">
        <v>2532</v>
      </c>
      <c r="J1133" s="18" t="s">
        <v>30</v>
      </c>
      <c r="K1133" s="18" t="s">
        <v>24</v>
      </c>
      <c r="L1133" s="18" t="s">
        <v>25</v>
      </c>
      <c r="N1133" s="18" t="s">
        <v>807</v>
      </c>
    </row>
    <row r="1134" spans="1:14" ht="15" customHeight="1" x14ac:dyDescent="0.3">
      <c r="A1134" s="18" t="s">
        <v>2475</v>
      </c>
      <c r="B1134" s="19" t="s">
        <v>15</v>
      </c>
      <c r="C1134" s="18" t="s">
        <v>2476</v>
      </c>
      <c r="D1134" s="18" t="s">
        <v>116</v>
      </c>
      <c r="E1134" s="18" t="s">
        <v>18</v>
      </c>
      <c r="F1134" s="18" t="s">
        <v>2533</v>
      </c>
      <c r="G1134" s="18" t="s">
        <v>913</v>
      </c>
      <c r="H1134" s="18" t="s">
        <v>2493</v>
      </c>
      <c r="I1134" s="20" t="s">
        <v>2534</v>
      </c>
      <c r="J1134" s="18" t="s">
        <v>30</v>
      </c>
      <c r="K1134" s="18" t="s">
        <v>24</v>
      </c>
      <c r="L1134" s="18" t="s">
        <v>25</v>
      </c>
      <c r="N1134" s="18" t="s">
        <v>807</v>
      </c>
    </row>
    <row r="1135" spans="1:14" ht="15" customHeight="1" x14ac:dyDescent="0.3">
      <c r="A1135" s="18" t="s">
        <v>2475</v>
      </c>
      <c r="B1135" s="19" t="s">
        <v>15</v>
      </c>
      <c r="C1135" s="18" t="s">
        <v>2476</v>
      </c>
      <c r="D1135" s="18" t="s">
        <v>116</v>
      </c>
      <c r="E1135" s="18" t="s">
        <v>18</v>
      </c>
      <c r="F1135" s="18" t="s">
        <v>616</v>
      </c>
      <c r="G1135" s="18" t="s">
        <v>429</v>
      </c>
      <c r="H1135" s="18" t="s">
        <v>2535</v>
      </c>
      <c r="I1135" s="20" t="s">
        <v>2536</v>
      </c>
      <c r="J1135" s="18" t="s">
        <v>23</v>
      </c>
      <c r="K1135" s="18" t="s">
        <v>24</v>
      </c>
      <c r="L1135" s="18" t="s">
        <v>25</v>
      </c>
      <c r="N1135" s="18" t="s">
        <v>807</v>
      </c>
    </row>
    <row r="1136" spans="1:14" ht="15" customHeight="1" x14ac:dyDescent="0.3">
      <c r="A1136" s="18" t="s">
        <v>2475</v>
      </c>
      <c r="B1136" s="19" t="s">
        <v>15</v>
      </c>
      <c r="C1136" s="18" t="s">
        <v>2476</v>
      </c>
      <c r="D1136" s="18" t="s">
        <v>116</v>
      </c>
      <c r="E1136" s="18" t="s">
        <v>18</v>
      </c>
      <c r="F1136" s="18" t="s">
        <v>2537</v>
      </c>
      <c r="G1136" s="18" t="s">
        <v>160</v>
      </c>
      <c r="H1136" s="18" t="s">
        <v>2486</v>
      </c>
      <c r="I1136" s="20" t="s">
        <v>2538</v>
      </c>
      <c r="J1136" s="18" t="s">
        <v>30</v>
      </c>
      <c r="K1136" s="18" t="s">
        <v>24</v>
      </c>
      <c r="L1136" s="18" t="s">
        <v>25</v>
      </c>
      <c r="N1136" s="18" t="s">
        <v>807</v>
      </c>
    </row>
    <row r="1137" spans="1:14" ht="15" customHeight="1" x14ac:dyDescent="0.3">
      <c r="A1137" s="18" t="s">
        <v>2475</v>
      </c>
      <c r="B1137" s="19" t="s">
        <v>15</v>
      </c>
      <c r="C1137" s="18" t="s">
        <v>2476</v>
      </c>
      <c r="D1137" s="18" t="s">
        <v>116</v>
      </c>
      <c r="E1137" s="18" t="s">
        <v>18</v>
      </c>
      <c r="F1137" s="18" t="s">
        <v>2539</v>
      </c>
      <c r="G1137" s="18" t="s">
        <v>28</v>
      </c>
      <c r="H1137" s="18" t="s">
        <v>2540</v>
      </c>
      <c r="I1137" s="20" t="s">
        <v>2541</v>
      </c>
      <c r="J1137" s="18" t="s">
        <v>30</v>
      </c>
      <c r="K1137" s="18" t="s">
        <v>24</v>
      </c>
      <c r="L1137" s="18" t="s">
        <v>25</v>
      </c>
      <c r="N1137" s="18" t="s">
        <v>807</v>
      </c>
    </row>
    <row r="1138" spans="1:14" ht="15" customHeight="1" x14ac:dyDescent="0.3">
      <c r="A1138" s="18" t="s">
        <v>2475</v>
      </c>
      <c r="B1138" s="19" t="s">
        <v>15</v>
      </c>
      <c r="C1138" s="18" t="s">
        <v>2476</v>
      </c>
      <c r="D1138" s="18" t="s">
        <v>116</v>
      </c>
      <c r="E1138" s="18" t="s">
        <v>18</v>
      </c>
      <c r="F1138" s="18" t="s">
        <v>2542</v>
      </c>
      <c r="G1138" s="18" t="s">
        <v>28</v>
      </c>
      <c r="H1138" s="18" t="s">
        <v>2540</v>
      </c>
      <c r="I1138" s="20" t="s">
        <v>2543</v>
      </c>
      <c r="J1138" s="18" t="s">
        <v>30</v>
      </c>
      <c r="K1138" s="18" t="s">
        <v>24</v>
      </c>
      <c r="L1138" s="18" t="s">
        <v>25</v>
      </c>
      <c r="N1138" s="18" t="s">
        <v>807</v>
      </c>
    </row>
    <row r="1139" spans="1:14" ht="15" customHeight="1" x14ac:dyDescent="0.3">
      <c r="A1139" s="18" t="s">
        <v>2475</v>
      </c>
      <c r="B1139" s="19" t="s">
        <v>15</v>
      </c>
      <c r="C1139" s="18" t="s">
        <v>2476</v>
      </c>
      <c r="D1139" s="18" t="s">
        <v>116</v>
      </c>
      <c r="E1139" s="18" t="s">
        <v>18</v>
      </c>
      <c r="F1139" s="18" t="s">
        <v>2544</v>
      </c>
      <c r="G1139" s="18" t="s">
        <v>1019</v>
      </c>
      <c r="H1139" s="18" t="s">
        <v>2480</v>
      </c>
      <c r="I1139" s="20" t="s">
        <v>2545</v>
      </c>
      <c r="J1139" s="18" t="s">
        <v>30</v>
      </c>
      <c r="K1139" s="18" t="s">
        <v>24</v>
      </c>
      <c r="L1139" s="18" t="s">
        <v>25</v>
      </c>
      <c r="N1139" s="18" t="s">
        <v>807</v>
      </c>
    </row>
    <row r="1140" spans="1:14" ht="15" customHeight="1" x14ac:dyDescent="0.3">
      <c r="A1140" s="18" t="s">
        <v>2475</v>
      </c>
      <c r="B1140" s="19" t="s">
        <v>15</v>
      </c>
      <c r="C1140" s="18" t="s">
        <v>2476</v>
      </c>
      <c r="D1140" s="18" t="s">
        <v>116</v>
      </c>
      <c r="E1140" s="18" t="s">
        <v>18</v>
      </c>
      <c r="F1140" s="18" t="s">
        <v>272</v>
      </c>
      <c r="G1140" s="18" t="s">
        <v>273</v>
      </c>
      <c r="H1140" s="18" t="s">
        <v>2496</v>
      </c>
      <c r="I1140" s="20" t="s">
        <v>2546</v>
      </c>
      <c r="J1140" s="18" t="s">
        <v>30</v>
      </c>
      <c r="K1140" s="18" t="s">
        <v>24</v>
      </c>
      <c r="L1140" s="18" t="s">
        <v>25</v>
      </c>
      <c r="N1140" s="18" t="s">
        <v>807</v>
      </c>
    </row>
    <row r="1141" spans="1:14" ht="15" customHeight="1" x14ac:dyDescent="0.3">
      <c r="A1141" s="18" t="s">
        <v>2475</v>
      </c>
      <c r="B1141" s="19" t="s">
        <v>15</v>
      </c>
      <c r="C1141" s="18" t="s">
        <v>2476</v>
      </c>
      <c r="D1141" s="18" t="s">
        <v>116</v>
      </c>
      <c r="E1141" s="18" t="s">
        <v>18</v>
      </c>
      <c r="F1141" s="18" t="s">
        <v>381</v>
      </c>
      <c r="G1141" s="18" t="s">
        <v>381</v>
      </c>
      <c r="H1141" s="18" t="s">
        <v>2547</v>
      </c>
      <c r="I1141" s="20" t="s">
        <v>2548</v>
      </c>
      <c r="J1141" s="18" t="s">
        <v>23</v>
      </c>
      <c r="K1141" s="18" t="s">
        <v>24</v>
      </c>
      <c r="L1141" s="18" t="s">
        <v>25</v>
      </c>
      <c r="N1141" s="18" t="s">
        <v>807</v>
      </c>
    </row>
    <row r="1142" spans="1:14" ht="15" customHeight="1" x14ac:dyDescent="0.3">
      <c r="A1142" s="18" t="s">
        <v>2475</v>
      </c>
      <c r="B1142" s="19" t="s">
        <v>15</v>
      </c>
      <c r="C1142" s="18" t="s">
        <v>2476</v>
      </c>
      <c r="D1142" s="18" t="s">
        <v>116</v>
      </c>
      <c r="E1142" s="18" t="s">
        <v>18</v>
      </c>
      <c r="F1142" s="18" t="s">
        <v>624</v>
      </c>
      <c r="G1142" s="18" t="s">
        <v>920</v>
      </c>
      <c r="H1142" s="18" t="s">
        <v>2493</v>
      </c>
      <c r="I1142" s="20" t="s">
        <v>2549</v>
      </c>
      <c r="J1142" s="18" t="s">
        <v>30</v>
      </c>
      <c r="K1142" s="18" t="s">
        <v>24</v>
      </c>
      <c r="L1142" s="18" t="s">
        <v>25</v>
      </c>
      <c r="N1142" s="18" t="s">
        <v>807</v>
      </c>
    </row>
    <row r="1143" spans="1:14" ht="15" customHeight="1" x14ac:dyDescent="0.3">
      <c r="A1143" s="18" t="s">
        <v>2475</v>
      </c>
      <c r="B1143" s="19" t="s">
        <v>15</v>
      </c>
      <c r="C1143" s="18" t="s">
        <v>2476</v>
      </c>
      <c r="D1143" s="18" t="s">
        <v>116</v>
      </c>
      <c r="E1143" s="18" t="s">
        <v>18</v>
      </c>
      <c r="F1143" s="18" t="s">
        <v>221</v>
      </c>
      <c r="G1143" s="18" t="s">
        <v>212</v>
      </c>
      <c r="H1143" s="18" t="s">
        <v>2483</v>
      </c>
      <c r="I1143" s="20" t="s">
        <v>2550</v>
      </c>
      <c r="J1143" s="18" t="s">
        <v>30</v>
      </c>
      <c r="K1143" s="18" t="s">
        <v>24</v>
      </c>
      <c r="L1143" s="18" t="s">
        <v>25</v>
      </c>
      <c r="N1143" s="18" t="s">
        <v>807</v>
      </c>
    </row>
    <row r="1144" spans="1:14" ht="15" customHeight="1" x14ac:dyDescent="0.3">
      <c r="A1144" s="18" t="s">
        <v>2475</v>
      </c>
      <c r="B1144" s="19" t="s">
        <v>15</v>
      </c>
      <c r="C1144" s="18" t="s">
        <v>2476</v>
      </c>
      <c r="D1144" s="18" t="s">
        <v>116</v>
      </c>
      <c r="E1144" s="18" t="s">
        <v>18</v>
      </c>
      <c r="F1144" s="18" t="s">
        <v>2551</v>
      </c>
      <c r="G1144" s="18" t="s">
        <v>1204</v>
      </c>
      <c r="H1144" s="18" t="s">
        <v>2552</v>
      </c>
      <c r="I1144" s="20" t="s">
        <v>2553</v>
      </c>
      <c r="J1144" s="18" t="s">
        <v>30</v>
      </c>
      <c r="K1144" s="18" t="s">
        <v>24</v>
      </c>
      <c r="L1144" s="18" t="s">
        <v>25</v>
      </c>
      <c r="N1144" s="18" t="s">
        <v>807</v>
      </c>
    </row>
    <row r="1145" spans="1:14" ht="15" customHeight="1" x14ac:dyDescent="0.3">
      <c r="A1145" s="18" t="s">
        <v>2475</v>
      </c>
      <c r="B1145" s="19" t="s">
        <v>15</v>
      </c>
      <c r="C1145" s="18" t="s">
        <v>2476</v>
      </c>
      <c r="D1145" s="18" t="s">
        <v>116</v>
      </c>
      <c r="E1145" s="18" t="s">
        <v>18</v>
      </c>
      <c r="F1145" s="18" t="s">
        <v>1072</v>
      </c>
      <c r="G1145" s="18" t="s">
        <v>47</v>
      </c>
      <c r="H1145" s="18" t="s">
        <v>2552</v>
      </c>
      <c r="I1145" s="20" t="s">
        <v>2554</v>
      </c>
      <c r="J1145" s="18" t="s">
        <v>30</v>
      </c>
      <c r="K1145" s="18" t="s">
        <v>24</v>
      </c>
      <c r="L1145" s="18" t="s">
        <v>25</v>
      </c>
      <c r="N1145" s="18" t="s">
        <v>807</v>
      </c>
    </row>
    <row r="1146" spans="1:14" ht="15" customHeight="1" x14ac:dyDescent="0.3">
      <c r="A1146" s="18" t="s">
        <v>2475</v>
      </c>
      <c r="B1146" s="19" t="s">
        <v>15</v>
      </c>
      <c r="C1146" s="18" t="s">
        <v>2476</v>
      </c>
      <c r="D1146" s="18" t="s">
        <v>116</v>
      </c>
      <c r="E1146" s="18" t="s">
        <v>18</v>
      </c>
      <c r="F1146" s="18" t="s">
        <v>2555</v>
      </c>
      <c r="G1146" s="18" t="s">
        <v>1204</v>
      </c>
      <c r="H1146" s="18" t="s">
        <v>2552</v>
      </c>
      <c r="I1146" s="20" t="s">
        <v>2556</v>
      </c>
      <c r="J1146" s="18" t="s">
        <v>30</v>
      </c>
      <c r="K1146" s="18" t="s">
        <v>24</v>
      </c>
      <c r="L1146" s="18" t="s">
        <v>25</v>
      </c>
      <c r="N1146" s="18" t="s">
        <v>807</v>
      </c>
    </row>
    <row r="1147" spans="1:14" ht="15" customHeight="1" x14ac:dyDescent="0.3">
      <c r="A1147" s="18" t="s">
        <v>2475</v>
      </c>
      <c r="B1147" s="19" t="s">
        <v>15</v>
      </c>
      <c r="C1147" s="18" t="s">
        <v>2476</v>
      </c>
      <c r="D1147" s="18" t="s">
        <v>116</v>
      </c>
      <c r="E1147" s="18" t="s">
        <v>18</v>
      </c>
      <c r="F1147" s="18" t="s">
        <v>1348</v>
      </c>
      <c r="G1147" s="18" t="s">
        <v>44</v>
      </c>
      <c r="H1147" s="18" t="s">
        <v>2493</v>
      </c>
      <c r="I1147" s="20" t="s">
        <v>2557</v>
      </c>
      <c r="J1147" s="18" t="s">
        <v>30</v>
      </c>
      <c r="K1147" s="18" t="s">
        <v>24</v>
      </c>
      <c r="L1147" s="18" t="s">
        <v>25</v>
      </c>
      <c r="N1147" s="18" t="s">
        <v>807</v>
      </c>
    </row>
    <row r="1148" spans="1:14" ht="15" customHeight="1" x14ac:dyDescent="0.3">
      <c r="A1148" s="18" t="s">
        <v>2475</v>
      </c>
      <c r="B1148" s="19" t="s">
        <v>15</v>
      </c>
      <c r="C1148" s="18" t="s">
        <v>2476</v>
      </c>
      <c r="D1148" s="18" t="s">
        <v>116</v>
      </c>
      <c r="E1148" s="18" t="s">
        <v>18</v>
      </c>
      <c r="F1148" s="18" t="s">
        <v>1253</v>
      </c>
      <c r="G1148" s="18" t="s">
        <v>63</v>
      </c>
      <c r="H1148" s="18" t="s">
        <v>2552</v>
      </c>
      <c r="I1148" s="20" t="s">
        <v>2558</v>
      </c>
      <c r="J1148" s="18" t="s">
        <v>30</v>
      </c>
      <c r="K1148" s="18" t="s">
        <v>24</v>
      </c>
      <c r="L1148" s="18" t="s">
        <v>25</v>
      </c>
      <c r="N1148" s="18" t="s">
        <v>807</v>
      </c>
    </row>
    <row r="1149" spans="1:14" ht="15" customHeight="1" x14ac:dyDescent="0.3">
      <c r="A1149" s="18" t="s">
        <v>2475</v>
      </c>
      <c r="B1149" s="19" t="s">
        <v>15</v>
      </c>
      <c r="C1149" s="18" t="s">
        <v>2476</v>
      </c>
      <c r="D1149" s="18" t="s">
        <v>116</v>
      </c>
      <c r="E1149" s="18" t="s">
        <v>18</v>
      </c>
      <c r="F1149" s="18" t="s">
        <v>2559</v>
      </c>
      <c r="G1149" s="18" t="s">
        <v>429</v>
      </c>
      <c r="H1149" s="18" t="s">
        <v>2547</v>
      </c>
      <c r="I1149" s="20" t="s">
        <v>2560</v>
      </c>
      <c r="J1149" s="18" t="s">
        <v>23</v>
      </c>
      <c r="K1149" s="18" t="s">
        <v>24</v>
      </c>
      <c r="L1149" s="18" t="s">
        <v>25</v>
      </c>
      <c r="N1149" s="18" t="s">
        <v>807</v>
      </c>
    </row>
    <row r="1150" spans="1:14" ht="15" customHeight="1" x14ac:dyDescent="0.3">
      <c r="A1150" s="18" t="s">
        <v>2475</v>
      </c>
      <c r="B1150" s="19" t="s">
        <v>15</v>
      </c>
      <c r="C1150" s="18" t="s">
        <v>2476</v>
      </c>
      <c r="D1150" s="18" t="s">
        <v>116</v>
      </c>
      <c r="E1150" s="18" t="s">
        <v>18</v>
      </c>
      <c r="F1150" s="18" t="s">
        <v>580</v>
      </c>
      <c r="G1150" s="18" t="s">
        <v>20</v>
      </c>
      <c r="H1150" s="18" t="s">
        <v>2547</v>
      </c>
      <c r="I1150" s="20" t="s">
        <v>2561</v>
      </c>
      <c r="J1150" s="18" t="s">
        <v>23</v>
      </c>
      <c r="K1150" s="18" t="s">
        <v>24</v>
      </c>
      <c r="L1150" s="18" t="s">
        <v>25</v>
      </c>
      <c r="N1150" s="18" t="s">
        <v>807</v>
      </c>
    </row>
    <row r="1151" spans="1:14" ht="15" customHeight="1" x14ac:dyDescent="0.3">
      <c r="A1151" s="18" t="s">
        <v>2475</v>
      </c>
      <c r="B1151" s="19" t="s">
        <v>15</v>
      </c>
      <c r="C1151" s="18" t="s">
        <v>2519</v>
      </c>
      <c r="D1151" s="18" t="s">
        <v>116</v>
      </c>
      <c r="E1151" s="18" t="s">
        <v>18</v>
      </c>
      <c r="F1151" s="18" t="s">
        <v>40</v>
      </c>
      <c r="G1151" s="18" t="s">
        <v>41</v>
      </c>
      <c r="H1151" s="18" t="s">
        <v>2521</v>
      </c>
      <c r="I1151" s="20" t="s">
        <v>2562</v>
      </c>
      <c r="J1151" s="18" t="s">
        <v>30</v>
      </c>
      <c r="K1151" s="18" t="s">
        <v>24</v>
      </c>
      <c r="L1151" s="18" t="s">
        <v>25</v>
      </c>
      <c r="N1151" s="18" t="s">
        <v>973</v>
      </c>
    </row>
    <row r="1152" spans="1:14" ht="15" customHeight="1" x14ac:dyDescent="0.3">
      <c r="A1152" s="18" t="s">
        <v>2475</v>
      </c>
      <c r="B1152" s="19" t="s">
        <v>15</v>
      </c>
      <c r="C1152" s="18" t="s">
        <v>2519</v>
      </c>
      <c r="D1152" s="18" t="s">
        <v>116</v>
      </c>
      <c r="E1152" s="18" t="s">
        <v>18</v>
      </c>
      <c r="F1152" s="18" t="s">
        <v>1959</v>
      </c>
      <c r="G1152" s="18" t="s">
        <v>219</v>
      </c>
      <c r="H1152" s="18" t="s">
        <v>2521</v>
      </c>
      <c r="I1152" s="20" t="s">
        <v>2563</v>
      </c>
      <c r="J1152" s="18" t="s">
        <v>30</v>
      </c>
      <c r="K1152" s="18" t="s">
        <v>24</v>
      </c>
      <c r="L1152" s="18" t="s">
        <v>25</v>
      </c>
      <c r="N1152" s="18" t="s">
        <v>973</v>
      </c>
    </row>
    <row r="1153" spans="1:14" ht="15" customHeight="1" x14ac:dyDescent="0.3">
      <c r="A1153" s="18" t="s">
        <v>2475</v>
      </c>
      <c r="B1153" s="19" t="s">
        <v>15</v>
      </c>
      <c r="C1153" s="18" t="s">
        <v>2476</v>
      </c>
      <c r="D1153" s="18" t="s">
        <v>116</v>
      </c>
      <c r="E1153" s="18" t="s">
        <v>18</v>
      </c>
      <c r="F1153" s="18" t="s">
        <v>774</v>
      </c>
      <c r="G1153" s="18" t="s">
        <v>429</v>
      </c>
      <c r="H1153" s="18" t="s">
        <v>2547</v>
      </c>
      <c r="I1153" s="20" t="s">
        <v>2564</v>
      </c>
      <c r="J1153" s="18" t="s">
        <v>23</v>
      </c>
      <c r="K1153" s="18" t="s">
        <v>24</v>
      </c>
      <c r="L1153" s="18" t="s">
        <v>25</v>
      </c>
      <c r="N1153" s="18" t="s">
        <v>807</v>
      </c>
    </row>
    <row r="1154" spans="1:14" ht="15" customHeight="1" x14ac:dyDescent="0.3">
      <c r="A1154" s="18" t="s">
        <v>2475</v>
      </c>
      <c r="B1154" s="19" t="s">
        <v>15</v>
      </c>
      <c r="C1154" s="18" t="s">
        <v>2476</v>
      </c>
      <c r="D1154" s="18" t="s">
        <v>116</v>
      </c>
      <c r="E1154" s="18" t="s">
        <v>18</v>
      </c>
      <c r="F1154" s="18" t="s">
        <v>2565</v>
      </c>
      <c r="G1154" s="18" t="s">
        <v>47</v>
      </c>
      <c r="H1154" s="18" t="s">
        <v>2552</v>
      </c>
      <c r="I1154" s="20" t="s">
        <v>2566</v>
      </c>
      <c r="J1154" s="18" t="s">
        <v>30</v>
      </c>
      <c r="K1154" s="18" t="s">
        <v>24</v>
      </c>
      <c r="L1154" s="18" t="s">
        <v>25</v>
      </c>
      <c r="N1154" s="18" t="s">
        <v>807</v>
      </c>
    </row>
    <row r="1155" spans="1:14" ht="15" customHeight="1" x14ac:dyDescent="0.3">
      <c r="A1155" s="18" t="s">
        <v>2475</v>
      </c>
      <c r="B1155" s="19" t="s">
        <v>15</v>
      </c>
      <c r="C1155" s="18" t="s">
        <v>2476</v>
      </c>
      <c r="D1155" s="18" t="s">
        <v>116</v>
      </c>
      <c r="E1155" s="18" t="s">
        <v>18</v>
      </c>
      <c r="F1155" s="18" t="s">
        <v>2567</v>
      </c>
      <c r="G1155" s="18" t="s">
        <v>165</v>
      </c>
      <c r="H1155" s="18" t="s">
        <v>2540</v>
      </c>
      <c r="I1155" s="20" t="s">
        <v>2568</v>
      </c>
      <c r="J1155" s="18" t="s">
        <v>30</v>
      </c>
      <c r="K1155" s="18" t="s">
        <v>24</v>
      </c>
      <c r="L1155" s="18" t="s">
        <v>25</v>
      </c>
      <c r="N1155" s="18" t="s">
        <v>807</v>
      </c>
    </row>
    <row r="1156" spans="1:14" ht="15" customHeight="1" x14ac:dyDescent="0.3">
      <c r="A1156" s="18" t="s">
        <v>2475</v>
      </c>
      <c r="B1156" s="19" t="s">
        <v>15</v>
      </c>
      <c r="C1156" s="18" t="s">
        <v>2476</v>
      </c>
      <c r="D1156" s="18" t="s">
        <v>116</v>
      </c>
      <c r="E1156" s="18" t="s">
        <v>18</v>
      </c>
      <c r="F1156" s="18" t="s">
        <v>2569</v>
      </c>
      <c r="G1156" s="18" t="s">
        <v>165</v>
      </c>
      <c r="H1156" s="18" t="s">
        <v>2540</v>
      </c>
      <c r="I1156" s="20" t="s">
        <v>2570</v>
      </c>
      <c r="J1156" s="18" t="s">
        <v>30</v>
      </c>
      <c r="K1156" s="18" t="s">
        <v>24</v>
      </c>
      <c r="L1156" s="18" t="s">
        <v>25</v>
      </c>
      <c r="N1156" s="18" t="s">
        <v>807</v>
      </c>
    </row>
    <row r="1157" spans="1:14" ht="15" customHeight="1" x14ac:dyDescent="0.3">
      <c r="A1157" s="18" t="s">
        <v>2475</v>
      </c>
      <c r="B1157" s="19" t="s">
        <v>15</v>
      </c>
      <c r="C1157" s="18" t="s">
        <v>2476</v>
      </c>
      <c r="D1157" s="18" t="s">
        <v>116</v>
      </c>
      <c r="E1157" s="18" t="s">
        <v>18</v>
      </c>
      <c r="F1157" s="18" t="s">
        <v>2571</v>
      </c>
      <c r="G1157" s="18" t="s">
        <v>165</v>
      </c>
      <c r="H1157" s="18" t="s">
        <v>2540</v>
      </c>
      <c r="I1157" s="20" t="s">
        <v>2572</v>
      </c>
      <c r="J1157" s="18" t="s">
        <v>30</v>
      </c>
      <c r="K1157" s="18" t="s">
        <v>24</v>
      </c>
      <c r="L1157" s="18" t="s">
        <v>25</v>
      </c>
      <c r="N1157" s="18" t="s">
        <v>807</v>
      </c>
    </row>
    <row r="1158" spans="1:14" ht="15" customHeight="1" x14ac:dyDescent="0.3">
      <c r="A1158" s="18" t="s">
        <v>2475</v>
      </c>
      <c r="B1158" s="19" t="s">
        <v>15</v>
      </c>
      <c r="C1158" s="18" t="s">
        <v>2476</v>
      </c>
      <c r="D1158" s="18" t="s">
        <v>116</v>
      </c>
      <c r="E1158" s="18" t="s">
        <v>18</v>
      </c>
      <c r="F1158" s="18" t="s">
        <v>2573</v>
      </c>
      <c r="G1158" s="18" t="s">
        <v>2574</v>
      </c>
      <c r="H1158" s="18" t="s">
        <v>2540</v>
      </c>
      <c r="I1158" s="20" t="s">
        <v>2575</v>
      </c>
      <c r="J1158" s="18" t="s">
        <v>30</v>
      </c>
      <c r="K1158" s="18" t="s">
        <v>24</v>
      </c>
      <c r="L1158" s="18" t="s">
        <v>25</v>
      </c>
      <c r="N1158" s="18" t="s">
        <v>807</v>
      </c>
    </row>
    <row r="1159" spans="1:14" ht="15" customHeight="1" x14ac:dyDescent="0.3">
      <c r="A1159" s="18" t="s">
        <v>2475</v>
      </c>
      <c r="B1159" s="19" t="s">
        <v>15</v>
      </c>
      <c r="C1159" s="18" t="s">
        <v>2476</v>
      </c>
      <c r="D1159" s="18" t="s">
        <v>116</v>
      </c>
      <c r="E1159" s="18" t="s">
        <v>18</v>
      </c>
      <c r="F1159" s="18" t="s">
        <v>2576</v>
      </c>
      <c r="G1159" s="18" t="s">
        <v>270</v>
      </c>
      <c r="H1159" s="18" t="s">
        <v>2496</v>
      </c>
      <c r="I1159" s="20" t="s">
        <v>2577</v>
      </c>
      <c r="J1159" s="18" t="s">
        <v>30</v>
      </c>
      <c r="K1159" s="18" t="s">
        <v>24</v>
      </c>
      <c r="L1159" s="18" t="s">
        <v>25</v>
      </c>
      <c r="N1159" s="18" t="s">
        <v>807</v>
      </c>
    </row>
    <row r="1160" spans="1:14" ht="15" customHeight="1" x14ac:dyDescent="0.3">
      <c r="A1160" s="18" t="s">
        <v>2475</v>
      </c>
      <c r="B1160" s="19" t="s">
        <v>15</v>
      </c>
      <c r="C1160" s="18" t="s">
        <v>2476</v>
      </c>
      <c r="D1160" s="18" t="s">
        <v>116</v>
      </c>
      <c r="E1160" s="18" t="s">
        <v>18</v>
      </c>
      <c r="F1160" s="18" t="s">
        <v>1102</v>
      </c>
      <c r="G1160" s="18" t="s">
        <v>263</v>
      </c>
      <c r="H1160" s="18" t="s">
        <v>2496</v>
      </c>
      <c r="I1160" s="20" t="s">
        <v>2578</v>
      </c>
      <c r="J1160" s="18" t="s">
        <v>30</v>
      </c>
      <c r="K1160" s="18" t="s">
        <v>24</v>
      </c>
      <c r="L1160" s="18" t="s">
        <v>25</v>
      </c>
      <c r="N1160" s="18" t="s">
        <v>807</v>
      </c>
    </row>
    <row r="1161" spans="1:14" ht="15" customHeight="1" x14ac:dyDescent="0.3">
      <c r="A1161" s="18" t="s">
        <v>2475</v>
      </c>
      <c r="B1161" s="19" t="s">
        <v>15</v>
      </c>
      <c r="C1161" s="18" t="s">
        <v>2519</v>
      </c>
      <c r="D1161" s="18" t="s">
        <v>116</v>
      </c>
      <c r="E1161" s="18" t="s">
        <v>18</v>
      </c>
      <c r="F1161" s="18" t="s">
        <v>2027</v>
      </c>
      <c r="G1161" s="18" t="s">
        <v>619</v>
      </c>
      <c r="H1161" s="18" t="s">
        <v>2521</v>
      </c>
      <c r="I1161" s="20" t="s">
        <v>2579</v>
      </c>
      <c r="J1161" s="18" t="s">
        <v>30</v>
      </c>
      <c r="K1161" s="18" t="s">
        <v>24</v>
      </c>
      <c r="L1161" s="18" t="s">
        <v>25</v>
      </c>
      <c r="N1161" s="18" t="s">
        <v>973</v>
      </c>
    </row>
    <row r="1162" spans="1:14" ht="15" customHeight="1" x14ac:dyDescent="0.3">
      <c r="A1162" s="18" t="s">
        <v>2475</v>
      </c>
      <c r="B1162" s="19" t="s">
        <v>15</v>
      </c>
      <c r="C1162" s="18" t="s">
        <v>2476</v>
      </c>
      <c r="D1162" s="18" t="s">
        <v>116</v>
      </c>
      <c r="E1162" s="18" t="s">
        <v>18</v>
      </c>
      <c r="F1162" s="18" t="s">
        <v>2580</v>
      </c>
      <c r="G1162" s="18" t="s">
        <v>1019</v>
      </c>
      <c r="H1162" s="18" t="s">
        <v>2496</v>
      </c>
      <c r="I1162" s="20" t="s">
        <v>2581</v>
      </c>
      <c r="J1162" s="18" t="s">
        <v>30</v>
      </c>
      <c r="K1162" s="18" t="s">
        <v>24</v>
      </c>
      <c r="L1162" s="18" t="s">
        <v>25</v>
      </c>
      <c r="N1162" s="18" t="s">
        <v>807</v>
      </c>
    </row>
    <row r="1163" spans="1:14" ht="15" customHeight="1" x14ac:dyDescent="0.3">
      <c r="A1163" s="18" t="s">
        <v>2475</v>
      </c>
      <c r="B1163" s="19" t="s">
        <v>15</v>
      </c>
      <c r="C1163" s="18" t="s">
        <v>2519</v>
      </c>
      <c r="D1163" s="18" t="s">
        <v>116</v>
      </c>
      <c r="E1163" s="18" t="s">
        <v>18</v>
      </c>
      <c r="F1163" s="18" t="s">
        <v>537</v>
      </c>
      <c r="G1163" s="18" t="s">
        <v>536</v>
      </c>
      <c r="H1163" s="18" t="s">
        <v>2521</v>
      </c>
      <c r="I1163" s="20" t="s">
        <v>2582</v>
      </c>
      <c r="J1163" s="18" t="s">
        <v>30</v>
      </c>
      <c r="K1163" s="18" t="s">
        <v>24</v>
      </c>
      <c r="L1163" s="18" t="s">
        <v>25</v>
      </c>
      <c r="N1163" s="18" t="s">
        <v>973</v>
      </c>
    </row>
    <row r="1164" spans="1:14" ht="15" customHeight="1" x14ac:dyDescent="0.3">
      <c r="A1164" s="18" t="s">
        <v>2475</v>
      </c>
      <c r="B1164" s="19" t="s">
        <v>15</v>
      </c>
      <c r="C1164" s="18" t="s">
        <v>2476</v>
      </c>
      <c r="D1164" s="18" t="s">
        <v>116</v>
      </c>
      <c r="E1164" s="18" t="s">
        <v>55</v>
      </c>
      <c r="F1164" s="18" t="s">
        <v>2583</v>
      </c>
      <c r="G1164" s="18" t="s">
        <v>1019</v>
      </c>
      <c r="H1164" s="18" t="s">
        <v>2480</v>
      </c>
      <c r="I1164" s="20" t="s">
        <v>2584</v>
      </c>
      <c r="J1164" s="18" t="s">
        <v>58</v>
      </c>
      <c r="K1164" s="18" t="s">
        <v>24</v>
      </c>
      <c r="L1164" s="18" t="s">
        <v>25</v>
      </c>
      <c r="N1164" s="18" t="s">
        <v>807</v>
      </c>
    </row>
    <row r="1165" spans="1:14" ht="15" customHeight="1" x14ac:dyDescent="0.3">
      <c r="A1165" s="18" t="s">
        <v>2475</v>
      </c>
      <c r="B1165" s="19" t="s">
        <v>15</v>
      </c>
      <c r="C1165" s="18" t="s">
        <v>2476</v>
      </c>
      <c r="D1165" s="18" t="s">
        <v>116</v>
      </c>
      <c r="E1165" s="18" t="s">
        <v>55</v>
      </c>
      <c r="F1165" s="18" t="s">
        <v>2488</v>
      </c>
      <c r="G1165" s="18" t="s">
        <v>2489</v>
      </c>
      <c r="H1165" s="18" t="s">
        <v>2552</v>
      </c>
      <c r="I1165" s="20" t="s">
        <v>2585</v>
      </c>
      <c r="J1165" s="18" t="s">
        <v>58</v>
      </c>
      <c r="K1165" s="18" t="s">
        <v>24</v>
      </c>
      <c r="L1165" s="18" t="s">
        <v>25</v>
      </c>
      <c r="M1165" s="18" t="s">
        <v>39</v>
      </c>
      <c r="N1165" s="18" t="s">
        <v>807</v>
      </c>
    </row>
    <row r="1166" spans="1:14" ht="15" customHeight="1" x14ac:dyDescent="0.3">
      <c r="A1166" s="18" t="s">
        <v>2475</v>
      </c>
      <c r="B1166" s="19" t="s">
        <v>15</v>
      </c>
      <c r="C1166" s="18" t="s">
        <v>2476</v>
      </c>
      <c r="D1166" s="18" t="s">
        <v>116</v>
      </c>
      <c r="E1166" s="18" t="s">
        <v>55</v>
      </c>
      <c r="F1166" s="18" t="s">
        <v>391</v>
      </c>
      <c r="G1166" s="18" t="s">
        <v>433</v>
      </c>
      <c r="H1166" s="18" t="s">
        <v>2535</v>
      </c>
      <c r="I1166" s="20" t="s">
        <v>2586</v>
      </c>
      <c r="J1166" s="18" t="s">
        <v>73</v>
      </c>
      <c r="K1166" s="18" t="s">
        <v>24</v>
      </c>
      <c r="L1166" s="18" t="s">
        <v>25</v>
      </c>
      <c r="N1166" s="18" t="s">
        <v>807</v>
      </c>
    </row>
    <row r="1167" spans="1:14" ht="15" customHeight="1" x14ac:dyDescent="0.3">
      <c r="A1167" s="18" t="s">
        <v>2475</v>
      </c>
      <c r="B1167" s="19" t="s">
        <v>15</v>
      </c>
      <c r="C1167" s="18" t="s">
        <v>2476</v>
      </c>
      <c r="D1167" s="18" t="s">
        <v>116</v>
      </c>
      <c r="E1167" s="18" t="s">
        <v>55</v>
      </c>
      <c r="F1167" s="18" t="s">
        <v>2587</v>
      </c>
      <c r="G1167" s="18" t="s">
        <v>28</v>
      </c>
      <c r="H1167" s="18" t="s">
        <v>2486</v>
      </c>
      <c r="I1167" s="20" t="s">
        <v>2588</v>
      </c>
      <c r="J1167" s="18" t="s">
        <v>58</v>
      </c>
      <c r="K1167" s="18" t="s">
        <v>24</v>
      </c>
      <c r="L1167" s="18" t="s">
        <v>25</v>
      </c>
      <c r="N1167" s="18" t="s">
        <v>807</v>
      </c>
    </row>
    <row r="1168" spans="1:14" ht="15" customHeight="1" x14ac:dyDescent="0.3">
      <c r="A1168" s="18" t="s">
        <v>2475</v>
      </c>
      <c r="B1168" s="19" t="s">
        <v>15</v>
      </c>
      <c r="C1168" s="18" t="s">
        <v>2476</v>
      </c>
      <c r="D1168" s="18" t="s">
        <v>116</v>
      </c>
      <c r="E1168" s="18" t="s">
        <v>55</v>
      </c>
      <c r="F1168" s="18" t="s">
        <v>2589</v>
      </c>
      <c r="G1168" s="18" t="s">
        <v>28</v>
      </c>
      <c r="H1168" s="18" t="s">
        <v>2540</v>
      </c>
      <c r="I1168" s="20" t="s">
        <v>2590</v>
      </c>
      <c r="J1168" s="18" t="s">
        <v>58</v>
      </c>
      <c r="K1168" s="18" t="s">
        <v>24</v>
      </c>
      <c r="L1168" s="18" t="s">
        <v>25</v>
      </c>
      <c r="N1168" s="18" t="s">
        <v>807</v>
      </c>
    </row>
    <row r="1169" spans="1:14" ht="15" customHeight="1" x14ac:dyDescent="0.3">
      <c r="A1169" s="18" t="s">
        <v>2475</v>
      </c>
      <c r="B1169" s="19" t="s">
        <v>15</v>
      </c>
      <c r="C1169" s="18" t="s">
        <v>2476</v>
      </c>
      <c r="D1169" s="18" t="s">
        <v>116</v>
      </c>
      <c r="E1169" s="18" t="s">
        <v>55</v>
      </c>
      <c r="F1169" s="18" t="s">
        <v>2591</v>
      </c>
      <c r="G1169" s="18" t="s">
        <v>28</v>
      </c>
      <c r="H1169" s="18" t="s">
        <v>2540</v>
      </c>
      <c r="I1169" s="20" t="s">
        <v>2592</v>
      </c>
      <c r="J1169" s="18" t="s">
        <v>58</v>
      </c>
      <c r="K1169" s="18" t="s">
        <v>24</v>
      </c>
      <c r="L1169" s="18" t="s">
        <v>25</v>
      </c>
      <c r="N1169" s="18" t="s">
        <v>807</v>
      </c>
    </row>
    <row r="1170" spans="1:14" ht="15" customHeight="1" x14ac:dyDescent="0.3">
      <c r="A1170" s="18" t="s">
        <v>2475</v>
      </c>
      <c r="B1170" s="19" t="s">
        <v>15</v>
      </c>
      <c r="C1170" s="18" t="s">
        <v>2476</v>
      </c>
      <c r="D1170" s="18" t="s">
        <v>116</v>
      </c>
      <c r="E1170" s="18" t="s">
        <v>55</v>
      </c>
      <c r="F1170" s="18" t="s">
        <v>2593</v>
      </c>
      <c r="G1170" s="18" t="s">
        <v>273</v>
      </c>
      <c r="H1170" s="18" t="s">
        <v>2496</v>
      </c>
      <c r="I1170" s="20" t="s">
        <v>2594</v>
      </c>
      <c r="J1170" s="18" t="s">
        <v>58</v>
      </c>
      <c r="K1170" s="18" t="s">
        <v>24</v>
      </c>
      <c r="L1170" s="18" t="s">
        <v>25</v>
      </c>
      <c r="N1170" s="18" t="s">
        <v>807</v>
      </c>
    </row>
    <row r="1171" spans="1:14" ht="15" customHeight="1" x14ac:dyDescent="0.3">
      <c r="A1171" s="18" t="s">
        <v>2475</v>
      </c>
      <c r="B1171" s="19" t="s">
        <v>15</v>
      </c>
      <c r="C1171" s="18" t="s">
        <v>2476</v>
      </c>
      <c r="D1171" s="18" t="s">
        <v>116</v>
      </c>
      <c r="E1171" s="18" t="s">
        <v>55</v>
      </c>
      <c r="F1171" s="18" t="s">
        <v>1529</v>
      </c>
      <c r="G1171" s="18" t="s">
        <v>1527</v>
      </c>
      <c r="H1171" s="18" t="s">
        <v>2496</v>
      </c>
      <c r="I1171" s="20" t="s">
        <v>2595</v>
      </c>
      <c r="J1171" s="18" t="s">
        <v>58</v>
      </c>
      <c r="K1171" s="18" t="s">
        <v>24</v>
      </c>
      <c r="L1171" s="18" t="s">
        <v>25</v>
      </c>
      <c r="N1171" s="18" t="s">
        <v>807</v>
      </c>
    </row>
    <row r="1172" spans="1:14" ht="15" customHeight="1" x14ac:dyDescent="0.3">
      <c r="A1172" s="18" t="s">
        <v>2475</v>
      </c>
      <c r="B1172" s="19" t="s">
        <v>15</v>
      </c>
      <c r="C1172" s="18" t="s">
        <v>2476</v>
      </c>
      <c r="D1172" s="18" t="s">
        <v>116</v>
      </c>
      <c r="E1172" s="18" t="s">
        <v>55</v>
      </c>
      <c r="F1172" s="18" t="s">
        <v>2366</v>
      </c>
      <c r="G1172" s="18" t="s">
        <v>920</v>
      </c>
      <c r="H1172" s="18" t="s">
        <v>2596</v>
      </c>
      <c r="I1172" s="20" t="s">
        <v>2597</v>
      </c>
      <c r="J1172" s="18" t="s">
        <v>58</v>
      </c>
      <c r="K1172" s="18" t="s">
        <v>24</v>
      </c>
      <c r="L1172" s="18" t="s">
        <v>25</v>
      </c>
      <c r="N1172" s="18" t="s">
        <v>807</v>
      </c>
    </row>
    <row r="1173" spans="1:14" ht="15" customHeight="1" x14ac:dyDescent="0.3">
      <c r="A1173" s="18" t="s">
        <v>2475</v>
      </c>
      <c r="B1173" s="19" t="s">
        <v>15</v>
      </c>
      <c r="C1173" s="18" t="s">
        <v>2476</v>
      </c>
      <c r="D1173" s="18" t="s">
        <v>116</v>
      </c>
      <c r="E1173" s="18" t="s">
        <v>55</v>
      </c>
      <c r="F1173" s="18" t="s">
        <v>2294</v>
      </c>
      <c r="G1173" s="18" t="s">
        <v>1704</v>
      </c>
      <c r="H1173" s="18" t="s">
        <v>2493</v>
      </c>
      <c r="I1173" s="20" t="s">
        <v>2598</v>
      </c>
      <c r="J1173" s="18" t="s">
        <v>58</v>
      </c>
      <c r="K1173" s="18" t="s">
        <v>24</v>
      </c>
      <c r="L1173" s="18" t="s">
        <v>25</v>
      </c>
      <c r="N1173" s="18" t="s">
        <v>807</v>
      </c>
    </row>
    <row r="1174" spans="1:14" ht="15" customHeight="1" x14ac:dyDescent="0.3">
      <c r="A1174" s="18" t="s">
        <v>2475</v>
      </c>
      <c r="B1174" s="19" t="s">
        <v>15</v>
      </c>
      <c r="C1174" s="18" t="s">
        <v>2476</v>
      </c>
      <c r="D1174" s="18" t="s">
        <v>116</v>
      </c>
      <c r="E1174" s="18" t="s">
        <v>55</v>
      </c>
      <c r="F1174" s="18" t="s">
        <v>221</v>
      </c>
      <c r="G1174" s="18" t="s">
        <v>212</v>
      </c>
      <c r="H1174" s="18" t="s">
        <v>2483</v>
      </c>
      <c r="I1174" s="20" t="s">
        <v>2599</v>
      </c>
      <c r="J1174" s="18" t="s">
        <v>58</v>
      </c>
      <c r="K1174" s="18" t="s">
        <v>24</v>
      </c>
      <c r="L1174" s="18" t="s">
        <v>25</v>
      </c>
      <c r="N1174" s="18" t="s">
        <v>807</v>
      </c>
    </row>
    <row r="1175" spans="1:14" ht="15" customHeight="1" x14ac:dyDescent="0.3">
      <c r="A1175" s="18" t="s">
        <v>2475</v>
      </c>
      <c r="B1175" s="19" t="s">
        <v>15</v>
      </c>
      <c r="C1175" s="18" t="s">
        <v>2476</v>
      </c>
      <c r="D1175" s="18" t="s">
        <v>116</v>
      </c>
      <c r="E1175" s="18" t="s">
        <v>55</v>
      </c>
      <c r="F1175" s="18" t="s">
        <v>2600</v>
      </c>
      <c r="G1175" s="18" t="s">
        <v>47</v>
      </c>
      <c r="H1175" s="18" t="s">
        <v>2552</v>
      </c>
      <c r="I1175" s="20" t="s">
        <v>2601</v>
      </c>
      <c r="J1175" s="18" t="s">
        <v>58</v>
      </c>
      <c r="K1175" s="18" t="s">
        <v>24</v>
      </c>
      <c r="L1175" s="18" t="s">
        <v>25</v>
      </c>
      <c r="N1175" s="18" t="s">
        <v>807</v>
      </c>
    </row>
    <row r="1176" spans="1:14" ht="15" customHeight="1" x14ac:dyDescent="0.3">
      <c r="A1176" s="18" t="s">
        <v>2475</v>
      </c>
      <c r="B1176" s="19" t="s">
        <v>15</v>
      </c>
      <c r="C1176" s="18" t="s">
        <v>2476</v>
      </c>
      <c r="D1176" s="18" t="s">
        <v>116</v>
      </c>
      <c r="E1176" s="18" t="s">
        <v>55</v>
      </c>
      <c r="F1176" s="18" t="s">
        <v>2302</v>
      </c>
      <c r="G1176" s="18" t="s">
        <v>2242</v>
      </c>
      <c r="H1176" s="18" t="s">
        <v>2493</v>
      </c>
      <c r="I1176" s="20" t="s">
        <v>2602</v>
      </c>
      <c r="J1176" s="18" t="s">
        <v>58</v>
      </c>
      <c r="K1176" s="18" t="s">
        <v>24</v>
      </c>
      <c r="L1176" s="18" t="s">
        <v>25</v>
      </c>
      <c r="M1176" s="18" t="s">
        <v>39</v>
      </c>
      <c r="N1176" s="18" t="s">
        <v>807</v>
      </c>
    </row>
    <row r="1177" spans="1:14" ht="15" customHeight="1" x14ac:dyDescent="0.3">
      <c r="A1177" s="18" t="s">
        <v>2475</v>
      </c>
      <c r="B1177" s="19" t="s">
        <v>15</v>
      </c>
      <c r="C1177" s="18" t="s">
        <v>2476</v>
      </c>
      <c r="D1177" s="18" t="s">
        <v>116</v>
      </c>
      <c r="E1177" s="18" t="s">
        <v>55</v>
      </c>
      <c r="F1177" s="18" t="s">
        <v>1366</v>
      </c>
      <c r="G1177" s="18" t="s">
        <v>1858</v>
      </c>
      <c r="H1177" s="18" t="s">
        <v>2603</v>
      </c>
      <c r="I1177" s="20" t="s">
        <v>2604</v>
      </c>
      <c r="J1177" s="18" t="s">
        <v>73</v>
      </c>
      <c r="K1177" s="18" t="s">
        <v>24</v>
      </c>
      <c r="L1177" s="18" t="s">
        <v>1369</v>
      </c>
      <c r="N1177" s="18" t="s">
        <v>807</v>
      </c>
    </row>
    <row r="1178" spans="1:14" ht="15" customHeight="1" x14ac:dyDescent="0.3">
      <c r="A1178" s="18" t="s">
        <v>2475</v>
      </c>
      <c r="B1178" s="19" t="s">
        <v>15</v>
      </c>
      <c r="C1178" s="18" t="s">
        <v>2476</v>
      </c>
      <c r="D1178" s="18" t="s">
        <v>116</v>
      </c>
      <c r="E1178" s="18" t="s">
        <v>55</v>
      </c>
      <c r="F1178" s="18" t="s">
        <v>2605</v>
      </c>
      <c r="G1178" s="18" t="s">
        <v>2380</v>
      </c>
      <c r="H1178" s="18" t="s">
        <v>2540</v>
      </c>
      <c r="I1178" s="20" t="s">
        <v>2606</v>
      </c>
      <c r="J1178" s="18" t="s">
        <v>58</v>
      </c>
      <c r="K1178" s="18" t="s">
        <v>24</v>
      </c>
      <c r="L1178" s="18" t="s">
        <v>25</v>
      </c>
      <c r="N1178" s="18" t="s">
        <v>807</v>
      </c>
    </row>
    <row r="1179" spans="1:14" ht="15" customHeight="1" x14ac:dyDescent="0.3">
      <c r="A1179" s="18" t="s">
        <v>2475</v>
      </c>
      <c r="B1179" s="19" t="s">
        <v>15</v>
      </c>
      <c r="C1179" s="18" t="s">
        <v>2476</v>
      </c>
      <c r="D1179" s="18" t="s">
        <v>116</v>
      </c>
      <c r="E1179" s="18" t="s">
        <v>55</v>
      </c>
      <c r="F1179" s="18" t="s">
        <v>281</v>
      </c>
      <c r="G1179" s="18" t="s">
        <v>1860</v>
      </c>
      <c r="H1179" s="18" t="s">
        <v>2603</v>
      </c>
      <c r="I1179" s="20" t="s">
        <v>2607</v>
      </c>
      <c r="J1179" s="18" t="s">
        <v>58</v>
      </c>
      <c r="K1179" s="18" t="s">
        <v>24</v>
      </c>
      <c r="L1179" s="18" t="s">
        <v>25</v>
      </c>
      <c r="N1179" s="18" t="s">
        <v>807</v>
      </c>
    </row>
    <row r="1180" spans="1:14" ht="15" customHeight="1" x14ac:dyDescent="0.3">
      <c r="A1180" s="18" t="s">
        <v>2475</v>
      </c>
      <c r="B1180" s="19" t="s">
        <v>15</v>
      </c>
      <c r="C1180" s="18" t="s">
        <v>2476</v>
      </c>
      <c r="D1180" s="18" t="s">
        <v>116</v>
      </c>
      <c r="E1180" s="18" t="s">
        <v>55</v>
      </c>
      <c r="F1180" s="18" t="s">
        <v>2132</v>
      </c>
      <c r="G1180" s="18" t="s">
        <v>381</v>
      </c>
      <c r="H1180" s="18" t="s">
        <v>2608</v>
      </c>
      <c r="I1180" s="20" t="s">
        <v>2609</v>
      </c>
      <c r="J1180" s="18" t="s">
        <v>58</v>
      </c>
      <c r="K1180" s="18" t="s">
        <v>24</v>
      </c>
      <c r="L1180" s="18" t="s">
        <v>25</v>
      </c>
      <c r="M1180" s="18" t="s">
        <v>39</v>
      </c>
      <c r="N1180" s="18" t="s">
        <v>807</v>
      </c>
    </row>
    <row r="1181" spans="1:14" ht="15" customHeight="1" x14ac:dyDescent="0.3">
      <c r="A1181" s="18" t="s">
        <v>2475</v>
      </c>
      <c r="B1181" s="19" t="s">
        <v>15</v>
      </c>
      <c r="C1181" s="18" t="s">
        <v>2476</v>
      </c>
      <c r="D1181" s="18" t="s">
        <v>116</v>
      </c>
      <c r="E1181" s="18" t="s">
        <v>55</v>
      </c>
      <c r="F1181" s="18" t="s">
        <v>2610</v>
      </c>
      <c r="G1181" s="18" t="s">
        <v>263</v>
      </c>
      <c r="H1181" s="18" t="s">
        <v>2603</v>
      </c>
      <c r="I1181" s="20" t="s">
        <v>2611</v>
      </c>
      <c r="J1181" s="18" t="s">
        <v>73</v>
      </c>
      <c r="K1181" s="18" t="s">
        <v>24</v>
      </c>
      <c r="L1181" s="18" t="s">
        <v>25</v>
      </c>
      <c r="N1181" s="18" t="s">
        <v>807</v>
      </c>
    </row>
    <row r="1182" spans="1:14" ht="15" customHeight="1" x14ac:dyDescent="0.3">
      <c r="A1182" s="18" t="s">
        <v>2475</v>
      </c>
      <c r="B1182" s="19" t="s">
        <v>15</v>
      </c>
      <c r="C1182" s="18" t="s">
        <v>2519</v>
      </c>
      <c r="D1182" s="18" t="s">
        <v>116</v>
      </c>
      <c r="E1182" s="18" t="s">
        <v>55</v>
      </c>
      <c r="F1182" s="18" t="s">
        <v>1088</v>
      </c>
      <c r="G1182" s="18" t="s">
        <v>41</v>
      </c>
      <c r="H1182" s="18" t="s">
        <v>2521</v>
      </c>
      <c r="I1182" s="20" t="s">
        <v>2612</v>
      </c>
      <c r="J1182" s="18" t="s">
        <v>58</v>
      </c>
      <c r="K1182" s="18" t="s">
        <v>24</v>
      </c>
      <c r="L1182" s="18" t="s">
        <v>25</v>
      </c>
      <c r="N1182" s="18" t="s">
        <v>973</v>
      </c>
    </row>
    <row r="1183" spans="1:14" ht="15" customHeight="1" x14ac:dyDescent="0.3">
      <c r="A1183" s="18" t="s">
        <v>2475</v>
      </c>
      <c r="B1183" s="19" t="s">
        <v>15</v>
      </c>
      <c r="C1183" s="18" t="s">
        <v>2519</v>
      </c>
      <c r="D1183" s="18" t="s">
        <v>116</v>
      </c>
      <c r="E1183" s="18" t="s">
        <v>55</v>
      </c>
      <c r="F1183" s="18" t="s">
        <v>2613</v>
      </c>
      <c r="G1183" s="18" t="s">
        <v>41</v>
      </c>
      <c r="H1183" s="18" t="s">
        <v>2521</v>
      </c>
      <c r="I1183" s="20" t="s">
        <v>2614</v>
      </c>
      <c r="J1183" s="18" t="s">
        <v>73</v>
      </c>
      <c r="K1183" s="18" t="s">
        <v>24</v>
      </c>
      <c r="L1183" s="18" t="s">
        <v>25</v>
      </c>
      <c r="N1183" s="18" t="s">
        <v>973</v>
      </c>
    </row>
    <row r="1184" spans="1:14" ht="15" customHeight="1" x14ac:dyDescent="0.3">
      <c r="A1184" s="18" t="s">
        <v>2475</v>
      </c>
      <c r="B1184" s="19" t="s">
        <v>15</v>
      </c>
      <c r="C1184" s="18" t="s">
        <v>2476</v>
      </c>
      <c r="D1184" s="18" t="s">
        <v>116</v>
      </c>
      <c r="E1184" s="18" t="s">
        <v>55</v>
      </c>
      <c r="F1184" s="18" t="s">
        <v>2615</v>
      </c>
      <c r="G1184" s="18" t="s">
        <v>913</v>
      </c>
      <c r="H1184" s="18" t="s">
        <v>2493</v>
      </c>
      <c r="I1184" s="20" t="s">
        <v>2616</v>
      </c>
      <c r="J1184" s="18" t="s">
        <v>58</v>
      </c>
      <c r="K1184" s="18" t="s">
        <v>24</v>
      </c>
      <c r="L1184" s="18" t="s">
        <v>25</v>
      </c>
      <c r="N1184" s="18" t="s">
        <v>807</v>
      </c>
    </row>
    <row r="1185" spans="1:14" ht="15" customHeight="1" x14ac:dyDescent="0.3">
      <c r="A1185" s="18" t="s">
        <v>2475</v>
      </c>
      <c r="B1185" s="19" t="s">
        <v>15</v>
      </c>
      <c r="C1185" s="18" t="s">
        <v>2476</v>
      </c>
      <c r="D1185" s="18" t="s">
        <v>116</v>
      </c>
      <c r="E1185" s="18" t="s">
        <v>55</v>
      </c>
      <c r="F1185" s="18" t="s">
        <v>2617</v>
      </c>
      <c r="G1185" s="18" t="s">
        <v>263</v>
      </c>
      <c r="H1185" s="18" t="s">
        <v>2603</v>
      </c>
      <c r="I1185" s="20" t="s">
        <v>2618</v>
      </c>
      <c r="J1185" s="18" t="s">
        <v>73</v>
      </c>
      <c r="K1185" s="18" t="s">
        <v>24</v>
      </c>
      <c r="L1185" s="18" t="s">
        <v>25</v>
      </c>
      <c r="N1185" s="18" t="s">
        <v>807</v>
      </c>
    </row>
    <row r="1186" spans="1:14" ht="15" customHeight="1" x14ac:dyDescent="0.3">
      <c r="A1186" s="18" t="s">
        <v>2475</v>
      </c>
      <c r="B1186" s="19" t="s">
        <v>15</v>
      </c>
      <c r="C1186" s="18" t="s">
        <v>2476</v>
      </c>
      <c r="D1186" s="18" t="s">
        <v>116</v>
      </c>
      <c r="E1186" s="18" t="s">
        <v>55</v>
      </c>
      <c r="F1186" s="18" t="s">
        <v>2574</v>
      </c>
      <c r="G1186" s="18" t="s">
        <v>165</v>
      </c>
      <c r="H1186" s="18" t="s">
        <v>2540</v>
      </c>
      <c r="I1186" s="20" t="s">
        <v>2619</v>
      </c>
      <c r="J1186" s="18" t="s">
        <v>58</v>
      </c>
      <c r="K1186" s="18" t="s">
        <v>24</v>
      </c>
      <c r="L1186" s="18" t="s">
        <v>25</v>
      </c>
      <c r="N1186" s="18" t="s">
        <v>807</v>
      </c>
    </row>
    <row r="1187" spans="1:14" ht="15" customHeight="1" x14ac:dyDescent="0.3">
      <c r="A1187" s="18" t="s">
        <v>2475</v>
      </c>
      <c r="B1187" s="19" t="s">
        <v>15</v>
      </c>
      <c r="C1187" s="18" t="s">
        <v>2476</v>
      </c>
      <c r="D1187" s="18" t="s">
        <v>116</v>
      </c>
      <c r="E1187" s="18" t="s">
        <v>55</v>
      </c>
      <c r="F1187" s="18" t="s">
        <v>2620</v>
      </c>
      <c r="G1187" s="18" t="s">
        <v>160</v>
      </c>
      <c r="H1187" s="18" t="s">
        <v>2540</v>
      </c>
      <c r="I1187" s="20" t="s">
        <v>2621</v>
      </c>
      <c r="J1187" s="18" t="s">
        <v>58</v>
      </c>
      <c r="K1187" s="18" t="s">
        <v>24</v>
      </c>
      <c r="L1187" s="18" t="s">
        <v>25</v>
      </c>
      <c r="N1187" s="18" t="s">
        <v>807</v>
      </c>
    </row>
    <row r="1188" spans="1:14" ht="15" customHeight="1" x14ac:dyDescent="0.3">
      <c r="A1188" s="18" t="s">
        <v>2475</v>
      </c>
      <c r="B1188" s="19" t="s">
        <v>15</v>
      </c>
      <c r="C1188" s="18" t="s">
        <v>2519</v>
      </c>
      <c r="D1188" s="18" t="s">
        <v>116</v>
      </c>
      <c r="E1188" s="18" t="s">
        <v>55</v>
      </c>
      <c r="F1188" s="18" t="s">
        <v>2622</v>
      </c>
      <c r="G1188" s="18" t="s">
        <v>619</v>
      </c>
      <c r="H1188" s="18" t="s">
        <v>2521</v>
      </c>
      <c r="I1188" s="20" t="s">
        <v>2623</v>
      </c>
      <c r="J1188" s="18" t="s">
        <v>73</v>
      </c>
      <c r="K1188" s="18" t="s">
        <v>24</v>
      </c>
      <c r="L1188" s="18" t="s">
        <v>25</v>
      </c>
      <c r="N1188" s="18" t="s">
        <v>973</v>
      </c>
    </row>
    <row r="1189" spans="1:14" ht="15" customHeight="1" x14ac:dyDescent="0.3">
      <c r="A1189" s="18" t="s">
        <v>2475</v>
      </c>
      <c r="B1189" s="19" t="s">
        <v>15</v>
      </c>
      <c r="C1189" s="18" t="s">
        <v>2476</v>
      </c>
      <c r="D1189" s="18" t="s">
        <v>116</v>
      </c>
      <c r="E1189" s="18" t="s">
        <v>55</v>
      </c>
      <c r="F1189" s="18" t="s">
        <v>2624</v>
      </c>
      <c r="G1189" s="18" t="s">
        <v>273</v>
      </c>
      <c r="H1189" s="18" t="s">
        <v>2603</v>
      </c>
      <c r="I1189" s="20" t="s">
        <v>2625</v>
      </c>
      <c r="J1189" s="18" t="s">
        <v>73</v>
      </c>
      <c r="K1189" s="18" t="s">
        <v>24</v>
      </c>
      <c r="L1189" s="18" t="s">
        <v>25</v>
      </c>
      <c r="M1189" s="18" t="s">
        <v>39</v>
      </c>
      <c r="N1189" s="18" t="s">
        <v>807</v>
      </c>
    </row>
    <row r="1190" spans="1:14" ht="15" customHeight="1" x14ac:dyDescent="0.3">
      <c r="A1190" s="18" t="s">
        <v>2475</v>
      </c>
      <c r="B1190" s="19" t="s">
        <v>15</v>
      </c>
      <c r="C1190" s="18" t="s">
        <v>2476</v>
      </c>
      <c r="D1190" s="18" t="s">
        <v>116</v>
      </c>
      <c r="E1190" s="18" t="s">
        <v>74</v>
      </c>
      <c r="F1190" s="18" t="s">
        <v>2626</v>
      </c>
      <c r="G1190" s="18" t="s">
        <v>273</v>
      </c>
      <c r="H1190" s="18" t="s">
        <v>2152</v>
      </c>
      <c r="I1190" s="20" t="s">
        <v>2627</v>
      </c>
      <c r="J1190" s="18" t="s">
        <v>1884</v>
      </c>
      <c r="K1190" s="18" t="s">
        <v>24</v>
      </c>
      <c r="L1190" s="18" t="s">
        <v>25</v>
      </c>
      <c r="N1190" s="18" t="s">
        <v>807</v>
      </c>
    </row>
    <row r="1191" spans="1:14" ht="15" customHeight="1" x14ac:dyDescent="0.3">
      <c r="A1191" s="18" t="s">
        <v>2475</v>
      </c>
      <c r="B1191" s="19" t="s">
        <v>15</v>
      </c>
      <c r="C1191" s="18" t="s">
        <v>2476</v>
      </c>
      <c r="D1191" s="18" t="s">
        <v>116</v>
      </c>
      <c r="E1191" s="18" t="s">
        <v>74</v>
      </c>
      <c r="F1191" s="18" t="s">
        <v>2628</v>
      </c>
      <c r="G1191" s="18" t="s">
        <v>2199</v>
      </c>
      <c r="H1191" s="18" t="s">
        <v>2144</v>
      </c>
      <c r="I1191" s="20" t="s">
        <v>2629</v>
      </c>
      <c r="J1191" s="18" t="s">
        <v>1884</v>
      </c>
      <c r="K1191" s="18" t="s">
        <v>24</v>
      </c>
      <c r="L1191" s="18" t="s">
        <v>25</v>
      </c>
      <c r="N1191" s="18" t="s">
        <v>807</v>
      </c>
    </row>
    <row r="1192" spans="1:14" ht="15" customHeight="1" x14ac:dyDescent="0.3">
      <c r="A1192" s="18" t="s">
        <v>2475</v>
      </c>
      <c r="B1192" s="19" t="s">
        <v>15</v>
      </c>
      <c r="C1192" s="18" t="s">
        <v>2630</v>
      </c>
      <c r="D1192" s="18" t="s">
        <v>116</v>
      </c>
      <c r="E1192" s="18" t="s">
        <v>74</v>
      </c>
      <c r="F1192" s="18" t="s">
        <v>2631</v>
      </c>
      <c r="G1192" s="18" t="s">
        <v>2199</v>
      </c>
      <c r="H1192" s="18" t="s">
        <v>2632</v>
      </c>
      <c r="I1192" s="20" t="s">
        <v>2633</v>
      </c>
      <c r="J1192" s="18" t="s">
        <v>2634</v>
      </c>
      <c r="K1192" s="18" t="s">
        <v>91</v>
      </c>
      <c r="L1192" s="18" t="s">
        <v>25</v>
      </c>
      <c r="N1192" s="18" t="s">
        <v>807</v>
      </c>
    </row>
    <row r="1193" spans="1:14" ht="15" customHeight="1" x14ac:dyDescent="0.3">
      <c r="A1193" s="18" t="s">
        <v>2475</v>
      </c>
      <c r="B1193" s="19" t="s">
        <v>15</v>
      </c>
      <c r="C1193" s="18" t="s">
        <v>2476</v>
      </c>
      <c r="D1193" s="18" t="s">
        <v>116</v>
      </c>
      <c r="E1193" s="18" t="s">
        <v>74</v>
      </c>
      <c r="F1193" s="18" t="s">
        <v>2635</v>
      </c>
      <c r="G1193" s="18" t="s">
        <v>429</v>
      </c>
      <c r="H1193" s="18" t="s">
        <v>2636</v>
      </c>
      <c r="I1193" s="20" t="s">
        <v>2637</v>
      </c>
      <c r="J1193" s="18" t="s">
        <v>1884</v>
      </c>
      <c r="K1193" s="18" t="s">
        <v>24</v>
      </c>
      <c r="L1193" s="18" t="s">
        <v>25</v>
      </c>
      <c r="N1193" s="18" t="s">
        <v>807</v>
      </c>
    </row>
    <row r="1194" spans="1:14" ht="15" customHeight="1" x14ac:dyDescent="0.3">
      <c r="A1194" s="18" t="s">
        <v>2475</v>
      </c>
      <c r="B1194" s="19" t="s">
        <v>15</v>
      </c>
      <c r="C1194" s="18" t="s">
        <v>2476</v>
      </c>
      <c r="D1194" s="18" t="s">
        <v>116</v>
      </c>
      <c r="E1194" s="18" t="s">
        <v>74</v>
      </c>
      <c r="F1194" s="18" t="s">
        <v>2638</v>
      </c>
      <c r="G1194" s="18" t="s">
        <v>429</v>
      </c>
      <c r="H1194" s="18" t="s">
        <v>2636</v>
      </c>
      <c r="I1194" s="20" t="s">
        <v>2639</v>
      </c>
      <c r="J1194" s="18" t="s">
        <v>1884</v>
      </c>
      <c r="K1194" s="18" t="s">
        <v>24</v>
      </c>
      <c r="L1194" s="18" t="s">
        <v>25</v>
      </c>
      <c r="N1194" s="18" t="s">
        <v>807</v>
      </c>
    </row>
    <row r="1195" spans="1:14" ht="15" customHeight="1" x14ac:dyDescent="0.3">
      <c r="A1195" s="18" t="s">
        <v>2475</v>
      </c>
      <c r="B1195" s="19" t="s">
        <v>15</v>
      </c>
      <c r="C1195" s="18" t="s">
        <v>2630</v>
      </c>
      <c r="D1195" s="18" t="s">
        <v>116</v>
      </c>
      <c r="E1195" s="18" t="s">
        <v>74</v>
      </c>
      <c r="F1195" s="18" t="s">
        <v>2640</v>
      </c>
      <c r="G1195" s="18" t="s">
        <v>41</v>
      </c>
      <c r="H1195" s="18" t="s">
        <v>2641</v>
      </c>
      <c r="I1195" s="20" t="s">
        <v>2642</v>
      </c>
      <c r="J1195" s="18" t="s">
        <v>2643</v>
      </c>
      <c r="K1195" s="18" t="s">
        <v>91</v>
      </c>
      <c r="L1195" s="18" t="s">
        <v>25</v>
      </c>
      <c r="N1195" s="18" t="s">
        <v>807</v>
      </c>
    </row>
    <row r="1196" spans="1:14" ht="15" customHeight="1" x14ac:dyDescent="0.3">
      <c r="A1196" s="18" t="s">
        <v>2475</v>
      </c>
      <c r="B1196" s="19" t="s">
        <v>15</v>
      </c>
      <c r="C1196" s="18" t="s">
        <v>2476</v>
      </c>
      <c r="D1196" s="18" t="s">
        <v>116</v>
      </c>
      <c r="E1196" s="18" t="s">
        <v>74</v>
      </c>
      <c r="F1196" s="18" t="s">
        <v>53</v>
      </c>
      <c r="G1196" s="18" t="s">
        <v>41</v>
      </c>
      <c r="H1196" s="18" t="s">
        <v>2636</v>
      </c>
      <c r="I1196" s="20" t="s">
        <v>2644</v>
      </c>
      <c r="J1196" s="18" t="s">
        <v>1884</v>
      </c>
      <c r="K1196" s="18" t="s">
        <v>24</v>
      </c>
      <c r="L1196" s="18" t="s">
        <v>25</v>
      </c>
      <c r="N1196" s="18" t="s">
        <v>807</v>
      </c>
    </row>
    <row r="1197" spans="1:14" ht="15" customHeight="1" x14ac:dyDescent="0.3">
      <c r="A1197" s="18" t="s">
        <v>2475</v>
      </c>
      <c r="B1197" s="19" t="s">
        <v>15</v>
      </c>
      <c r="C1197" s="18" t="s">
        <v>2476</v>
      </c>
      <c r="D1197" s="18" t="s">
        <v>116</v>
      </c>
      <c r="E1197" s="18" t="s">
        <v>74</v>
      </c>
      <c r="F1197" s="18" t="s">
        <v>1223</v>
      </c>
      <c r="G1197" s="18" t="s">
        <v>44</v>
      </c>
      <c r="H1197" s="18" t="s">
        <v>2144</v>
      </c>
      <c r="I1197" s="20" t="s">
        <v>2645</v>
      </c>
      <c r="J1197" s="18" t="s">
        <v>1884</v>
      </c>
      <c r="K1197" s="18" t="s">
        <v>24</v>
      </c>
      <c r="L1197" s="18" t="s">
        <v>25</v>
      </c>
      <c r="N1197" s="18" t="s">
        <v>807</v>
      </c>
    </row>
    <row r="1198" spans="1:14" ht="15" customHeight="1" x14ac:dyDescent="0.3">
      <c r="A1198" s="18" t="s">
        <v>2475</v>
      </c>
      <c r="B1198" s="19" t="s">
        <v>15</v>
      </c>
      <c r="C1198" s="18" t="s">
        <v>2630</v>
      </c>
      <c r="D1198" s="18" t="s">
        <v>116</v>
      </c>
      <c r="E1198" s="18" t="s">
        <v>74</v>
      </c>
      <c r="F1198" s="18" t="s">
        <v>2646</v>
      </c>
      <c r="G1198" s="18" t="s">
        <v>44</v>
      </c>
      <c r="H1198" s="18" t="s">
        <v>2641</v>
      </c>
      <c r="I1198" s="20" t="s">
        <v>2647</v>
      </c>
      <c r="J1198" s="18" t="s">
        <v>2643</v>
      </c>
      <c r="K1198" s="18" t="s">
        <v>91</v>
      </c>
      <c r="L1198" s="18" t="s">
        <v>25</v>
      </c>
      <c r="N1198" s="18" t="s">
        <v>807</v>
      </c>
    </row>
    <row r="1199" spans="1:14" ht="15" customHeight="1" x14ac:dyDescent="0.3">
      <c r="A1199" s="18" t="s">
        <v>2475</v>
      </c>
      <c r="B1199" s="19" t="s">
        <v>15</v>
      </c>
      <c r="C1199" s="18" t="s">
        <v>2476</v>
      </c>
      <c r="D1199" s="18" t="s">
        <v>116</v>
      </c>
      <c r="E1199" s="18" t="s">
        <v>74</v>
      </c>
      <c r="F1199" s="18" t="s">
        <v>1225</v>
      </c>
      <c r="G1199" s="18" t="s">
        <v>212</v>
      </c>
      <c r="H1199" s="18" t="s">
        <v>2648</v>
      </c>
      <c r="I1199" s="20" t="s">
        <v>2649</v>
      </c>
      <c r="J1199" s="18" t="s">
        <v>1884</v>
      </c>
      <c r="K1199" s="18" t="s">
        <v>24</v>
      </c>
      <c r="L1199" s="18" t="s">
        <v>25</v>
      </c>
      <c r="N1199" s="18" t="s">
        <v>807</v>
      </c>
    </row>
    <row r="1200" spans="1:14" ht="15" customHeight="1" x14ac:dyDescent="0.3">
      <c r="A1200" s="18" t="s">
        <v>2475</v>
      </c>
      <c r="B1200" s="19" t="s">
        <v>15</v>
      </c>
      <c r="C1200" s="18" t="s">
        <v>2630</v>
      </c>
      <c r="D1200" s="18" t="s">
        <v>116</v>
      </c>
      <c r="E1200" s="18" t="s">
        <v>74</v>
      </c>
      <c r="F1200" s="18" t="s">
        <v>2650</v>
      </c>
      <c r="G1200" s="18" t="s">
        <v>212</v>
      </c>
      <c r="H1200" s="18" t="s">
        <v>2651</v>
      </c>
      <c r="I1200" s="20" t="s">
        <v>2652</v>
      </c>
      <c r="J1200" s="18" t="s">
        <v>2643</v>
      </c>
      <c r="K1200" s="18" t="s">
        <v>91</v>
      </c>
      <c r="L1200" s="18" t="s">
        <v>25</v>
      </c>
      <c r="N1200" s="18" t="s">
        <v>807</v>
      </c>
    </row>
    <row r="1201" spans="1:14" ht="15" customHeight="1" x14ac:dyDescent="0.3">
      <c r="A1201" s="18" t="s">
        <v>2475</v>
      </c>
      <c r="B1201" s="19" t="s">
        <v>15</v>
      </c>
      <c r="C1201" s="18" t="s">
        <v>2476</v>
      </c>
      <c r="D1201" s="18" t="s">
        <v>116</v>
      </c>
      <c r="E1201" s="18" t="s">
        <v>74</v>
      </c>
      <c r="F1201" s="18" t="s">
        <v>2653</v>
      </c>
      <c r="G1201" s="18" t="s">
        <v>263</v>
      </c>
      <c r="H1201" s="18" t="s">
        <v>2152</v>
      </c>
      <c r="I1201" s="20" t="s">
        <v>2654</v>
      </c>
      <c r="J1201" s="18" t="s">
        <v>1884</v>
      </c>
      <c r="K1201" s="18" t="s">
        <v>24</v>
      </c>
      <c r="L1201" s="18" t="s">
        <v>25</v>
      </c>
      <c r="N1201" s="18" t="s">
        <v>807</v>
      </c>
    </row>
    <row r="1202" spans="1:14" ht="15" customHeight="1" x14ac:dyDescent="0.3">
      <c r="A1202" s="18" t="s">
        <v>2475</v>
      </c>
      <c r="B1202" s="19" t="s">
        <v>15</v>
      </c>
      <c r="C1202" s="18" t="s">
        <v>2476</v>
      </c>
      <c r="D1202" s="18" t="s">
        <v>116</v>
      </c>
      <c r="E1202" s="18" t="s">
        <v>74</v>
      </c>
      <c r="F1202" s="18" t="s">
        <v>2655</v>
      </c>
      <c r="G1202" s="18" t="s">
        <v>263</v>
      </c>
      <c r="H1202" s="18" t="s">
        <v>2152</v>
      </c>
      <c r="I1202" s="20" t="s">
        <v>2656</v>
      </c>
      <c r="J1202" s="18" t="s">
        <v>1884</v>
      </c>
      <c r="K1202" s="18" t="s">
        <v>24</v>
      </c>
      <c r="L1202" s="18" t="s">
        <v>25</v>
      </c>
      <c r="N1202" s="18" t="s">
        <v>807</v>
      </c>
    </row>
    <row r="1203" spans="1:14" ht="15" customHeight="1" x14ac:dyDescent="0.3">
      <c r="A1203" s="18" t="s">
        <v>2475</v>
      </c>
      <c r="B1203" s="19" t="s">
        <v>15</v>
      </c>
      <c r="C1203" s="18" t="s">
        <v>2630</v>
      </c>
      <c r="D1203" s="18" t="s">
        <v>116</v>
      </c>
      <c r="E1203" s="18" t="s">
        <v>74</v>
      </c>
      <c r="F1203" s="18" t="s">
        <v>2657</v>
      </c>
      <c r="G1203" s="18" t="s">
        <v>1753</v>
      </c>
      <c r="H1203" s="18" t="s">
        <v>2651</v>
      </c>
      <c r="I1203" s="20" t="s">
        <v>2658</v>
      </c>
      <c r="J1203" s="18" t="s">
        <v>2643</v>
      </c>
      <c r="K1203" s="18" t="s">
        <v>91</v>
      </c>
      <c r="L1203" s="18" t="s">
        <v>25</v>
      </c>
      <c r="N1203" s="18" t="s">
        <v>807</v>
      </c>
    </row>
    <row r="1204" spans="1:14" ht="15" customHeight="1" x14ac:dyDescent="0.3">
      <c r="A1204" s="18" t="s">
        <v>2659</v>
      </c>
      <c r="B1204" s="19" t="s">
        <v>15</v>
      </c>
      <c r="C1204" s="18" t="s">
        <v>918</v>
      </c>
      <c r="D1204" s="18" t="s">
        <v>116</v>
      </c>
      <c r="E1204" s="18" t="s">
        <v>117</v>
      </c>
      <c r="F1204" s="18" t="s">
        <v>2660</v>
      </c>
      <c r="G1204" s="18" t="s">
        <v>2661</v>
      </c>
      <c r="H1204" s="18" t="s">
        <v>2662</v>
      </c>
      <c r="I1204" s="20" t="s">
        <v>2663</v>
      </c>
      <c r="J1204" s="18" t="s">
        <v>58</v>
      </c>
      <c r="K1204" s="18" t="s">
        <v>24</v>
      </c>
      <c r="L1204" s="18" t="s">
        <v>25</v>
      </c>
      <c r="N1204" s="18" t="s">
        <v>807</v>
      </c>
    </row>
    <row r="1205" spans="1:14" ht="15" customHeight="1" x14ac:dyDescent="0.3">
      <c r="A1205" s="18" t="s">
        <v>2659</v>
      </c>
      <c r="B1205" s="19" t="s">
        <v>15</v>
      </c>
      <c r="C1205" s="18" t="s">
        <v>918</v>
      </c>
      <c r="D1205" s="18" t="s">
        <v>116</v>
      </c>
      <c r="E1205" s="18" t="s">
        <v>117</v>
      </c>
      <c r="F1205" s="18" t="s">
        <v>2664</v>
      </c>
      <c r="G1205" s="18" t="s">
        <v>913</v>
      </c>
      <c r="H1205" s="18" t="s">
        <v>2662</v>
      </c>
      <c r="I1205" s="20" t="s">
        <v>2665</v>
      </c>
      <c r="J1205" s="18" t="s">
        <v>58</v>
      </c>
      <c r="K1205" s="18" t="s">
        <v>24</v>
      </c>
      <c r="L1205" s="18" t="s">
        <v>25</v>
      </c>
      <c r="N1205" s="18" t="s">
        <v>807</v>
      </c>
    </row>
    <row r="1206" spans="1:14" ht="15" customHeight="1" x14ac:dyDescent="0.3">
      <c r="A1206" s="18" t="s">
        <v>2659</v>
      </c>
      <c r="B1206" s="19" t="s">
        <v>15</v>
      </c>
      <c r="C1206" s="18" t="s">
        <v>918</v>
      </c>
      <c r="D1206" s="18" t="s">
        <v>116</v>
      </c>
      <c r="E1206" s="18" t="s">
        <v>117</v>
      </c>
      <c r="F1206" s="18" t="s">
        <v>2666</v>
      </c>
      <c r="G1206" s="18" t="s">
        <v>47</v>
      </c>
      <c r="H1206" s="18" t="s">
        <v>2667</v>
      </c>
      <c r="I1206" s="20" t="s">
        <v>2668</v>
      </c>
      <c r="J1206" s="18" t="s">
        <v>58</v>
      </c>
      <c r="K1206" s="18" t="s">
        <v>24</v>
      </c>
      <c r="L1206" s="18" t="s">
        <v>25</v>
      </c>
      <c r="N1206" s="18" t="s">
        <v>807</v>
      </c>
    </row>
    <row r="1207" spans="1:14" ht="15" customHeight="1" x14ac:dyDescent="0.3">
      <c r="A1207" s="18" t="s">
        <v>2659</v>
      </c>
      <c r="B1207" s="19" t="s">
        <v>15</v>
      </c>
      <c r="C1207" s="18" t="s">
        <v>918</v>
      </c>
      <c r="D1207" s="18" t="s">
        <v>116</v>
      </c>
      <c r="E1207" s="18" t="s">
        <v>117</v>
      </c>
      <c r="F1207" s="18" t="s">
        <v>2669</v>
      </c>
      <c r="G1207" s="18" t="s">
        <v>2670</v>
      </c>
      <c r="H1207" s="18" t="s">
        <v>2662</v>
      </c>
      <c r="I1207" s="20" t="s">
        <v>2671</v>
      </c>
      <c r="J1207" s="18" t="s">
        <v>58</v>
      </c>
      <c r="K1207" s="18" t="s">
        <v>24</v>
      </c>
      <c r="L1207" s="18" t="s">
        <v>25</v>
      </c>
      <c r="N1207" s="18" t="s">
        <v>807</v>
      </c>
    </row>
    <row r="1208" spans="1:14" ht="15" customHeight="1" x14ac:dyDescent="0.3">
      <c r="A1208" s="18" t="s">
        <v>2659</v>
      </c>
      <c r="B1208" s="19" t="s">
        <v>15</v>
      </c>
      <c r="C1208" s="18" t="s">
        <v>918</v>
      </c>
      <c r="D1208" s="18" t="s">
        <v>116</v>
      </c>
      <c r="E1208" s="18" t="s">
        <v>117</v>
      </c>
      <c r="F1208" s="18" t="s">
        <v>2672</v>
      </c>
      <c r="G1208" s="18" t="s">
        <v>1211</v>
      </c>
      <c r="H1208" s="18" t="s">
        <v>2662</v>
      </c>
      <c r="I1208" s="20" t="s">
        <v>2673</v>
      </c>
      <c r="J1208" s="18" t="s">
        <v>58</v>
      </c>
      <c r="K1208" s="18" t="s">
        <v>24</v>
      </c>
      <c r="L1208" s="18" t="s">
        <v>25</v>
      </c>
      <c r="N1208" s="18" t="s">
        <v>807</v>
      </c>
    </row>
    <row r="1209" spans="1:14" ht="15" customHeight="1" x14ac:dyDescent="0.3">
      <c r="A1209" s="18" t="s">
        <v>2659</v>
      </c>
      <c r="B1209" s="19" t="s">
        <v>15</v>
      </c>
      <c r="C1209" s="18" t="s">
        <v>2674</v>
      </c>
      <c r="D1209" s="18" t="s">
        <v>116</v>
      </c>
      <c r="E1209" s="18" t="s">
        <v>117</v>
      </c>
      <c r="F1209" s="18" t="s">
        <v>85</v>
      </c>
      <c r="G1209" s="18" t="s">
        <v>85</v>
      </c>
      <c r="H1209" s="18" t="s">
        <v>2675</v>
      </c>
      <c r="I1209" s="20" t="s">
        <v>2676</v>
      </c>
      <c r="J1209" s="18" t="s">
        <v>58</v>
      </c>
      <c r="K1209" s="18" t="s">
        <v>24</v>
      </c>
      <c r="L1209" s="18" t="s">
        <v>25</v>
      </c>
      <c r="N1209" s="18" t="s">
        <v>973</v>
      </c>
    </row>
    <row r="1210" spans="1:14" ht="15" customHeight="1" x14ac:dyDescent="0.3">
      <c r="A1210" s="18" t="s">
        <v>2659</v>
      </c>
      <c r="B1210" s="19" t="s">
        <v>15</v>
      </c>
      <c r="C1210" s="18" t="s">
        <v>918</v>
      </c>
      <c r="D1210" s="18" t="s">
        <v>116</v>
      </c>
      <c r="E1210" s="18" t="s">
        <v>117</v>
      </c>
      <c r="F1210" s="18" t="s">
        <v>546</v>
      </c>
      <c r="G1210" s="18" t="s">
        <v>85</v>
      </c>
      <c r="H1210" s="18" t="s">
        <v>2667</v>
      </c>
      <c r="I1210" s="20" t="s">
        <v>2677</v>
      </c>
      <c r="J1210" s="18" t="s">
        <v>58</v>
      </c>
      <c r="K1210" s="18" t="s">
        <v>24</v>
      </c>
      <c r="L1210" s="18" t="s">
        <v>25</v>
      </c>
      <c r="N1210" s="18" t="s">
        <v>807</v>
      </c>
    </row>
    <row r="1211" spans="1:14" ht="15" customHeight="1" x14ac:dyDescent="0.3">
      <c r="A1211" s="18" t="s">
        <v>2659</v>
      </c>
      <c r="B1211" s="19" t="s">
        <v>15</v>
      </c>
      <c r="C1211" s="18" t="s">
        <v>918</v>
      </c>
      <c r="D1211" s="18" t="s">
        <v>116</v>
      </c>
      <c r="E1211" s="18" t="s">
        <v>117</v>
      </c>
      <c r="F1211" s="18" t="s">
        <v>2678</v>
      </c>
      <c r="G1211" s="18" t="s">
        <v>913</v>
      </c>
      <c r="H1211" s="18" t="s">
        <v>2662</v>
      </c>
      <c r="I1211" s="20" t="s">
        <v>2679</v>
      </c>
      <c r="J1211" s="18" t="s">
        <v>58</v>
      </c>
      <c r="K1211" s="18" t="s">
        <v>24</v>
      </c>
      <c r="L1211" s="18" t="s">
        <v>25</v>
      </c>
      <c r="N1211" s="18" t="s">
        <v>807</v>
      </c>
    </row>
    <row r="1212" spans="1:14" ht="15" customHeight="1" x14ac:dyDescent="0.3">
      <c r="A1212" s="18" t="s">
        <v>2659</v>
      </c>
      <c r="B1212" s="19" t="s">
        <v>15</v>
      </c>
      <c r="C1212" s="18" t="s">
        <v>918</v>
      </c>
      <c r="D1212" s="18" t="s">
        <v>116</v>
      </c>
      <c r="E1212" s="18" t="s">
        <v>117</v>
      </c>
      <c r="F1212" s="18" t="s">
        <v>2680</v>
      </c>
      <c r="G1212" s="18" t="s">
        <v>637</v>
      </c>
      <c r="H1212" s="18" t="s">
        <v>2662</v>
      </c>
      <c r="I1212" s="20" t="s">
        <v>2681</v>
      </c>
      <c r="J1212" s="18" t="s">
        <v>58</v>
      </c>
      <c r="K1212" s="18" t="s">
        <v>24</v>
      </c>
      <c r="L1212" s="18" t="s">
        <v>25</v>
      </c>
      <c r="N1212" s="18" t="s">
        <v>807</v>
      </c>
    </row>
    <row r="1213" spans="1:14" ht="15" customHeight="1" x14ac:dyDescent="0.3">
      <c r="A1213" s="18" t="s">
        <v>2659</v>
      </c>
      <c r="B1213" s="19" t="s">
        <v>15</v>
      </c>
      <c r="C1213" s="18" t="s">
        <v>918</v>
      </c>
      <c r="D1213" s="18" t="s">
        <v>116</v>
      </c>
      <c r="E1213" s="18" t="s">
        <v>117</v>
      </c>
      <c r="F1213" s="18" t="s">
        <v>2682</v>
      </c>
      <c r="G1213" s="18" t="s">
        <v>47</v>
      </c>
      <c r="H1213" s="18" t="s">
        <v>2667</v>
      </c>
      <c r="I1213" s="20" t="s">
        <v>2683</v>
      </c>
      <c r="J1213" s="18" t="s">
        <v>58</v>
      </c>
      <c r="K1213" s="18" t="s">
        <v>24</v>
      </c>
      <c r="L1213" s="18" t="s">
        <v>25</v>
      </c>
      <c r="N1213" s="18" t="s">
        <v>807</v>
      </c>
    </row>
    <row r="1214" spans="1:14" ht="15" customHeight="1" x14ac:dyDescent="0.3">
      <c r="A1214" s="18" t="s">
        <v>2659</v>
      </c>
      <c r="B1214" s="19" t="s">
        <v>15</v>
      </c>
      <c r="C1214" s="18" t="s">
        <v>2684</v>
      </c>
      <c r="D1214" s="18" t="s">
        <v>116</v>
      </c>
      <c r="E1214" s="18" t="s">
        <v>117</v>
      </c>
      <c r="F1214" s="18" t="s">
        <v>2685</v>
      </c>
      <c r="G1214" s="18" t="s">
        <v>28</v>
      </c>
      <c r="H1214" s="18" t="s">
        <v>2686</v>
      </c>
      <c r="I1214" s="20" t="s">
        <v>2687</v>
      </c>
      <c r="J1214" s="18" t="s">
        <v>58</v>
      </c>
      <c r="K1214" s="18" t="s">
        <v>24</v>
      </c>
      <c r="L1214" s="18" t="s">
        <v>25</v>
      </c>
      <c r="N1214" s="18" t="s">
        <v>807</v>
      </c>
    </row>
    <row r="1215" spans="1:14" ht="15" customHeight="1" x14ac:dyDescent="0.3">
      <c r="A1215" s="18" t="s">
        <v>2659</v>
      </c>
      <c r="B1215" s="19" t="s">
        <v>15</v>
      </c>
      <c r="C1215" s="18" t="s">
        <v>2674</v>
      </c>
      <c r="D1215" s="18" t="s">
        <v>116</v>
      </c>
      <c r="E1215" s="18" t="s">
        <v>117</v>
      </c>
      <c r="F1215" s="18" t="s">
        <v>2688</v>
      </c>
      <c r="G1215" s="18" t="s">
        <v>28</v>
      </c>
      <c r="H1215" s="18" t="s">
        <v>2675</v>
      </c>
      <c r="I1215" s="20" t="s">
        <v>2689</v>
      </c>
      <c r="J1215" s="18" t="s">
        <v>58</v>
      </c>
      <c r="K1215" s="18" t="s">
        <v>24</v>
      </c>
      <c r="L1215" s="18" t="s">
        <v>25</v>
      </c>
      <c r="N1215" s="18" t="s">
        <v>973</v>
      </c>
    </row>
    <row r="1216" spans="1:14" ht="15" customHeight="1" x14ac:dyDescent="0.3">
      <c r="A1216" s="18" t="s">
        <v>2659</v>
      </c>
      <c r="B1216" s="19" t="s">
        <v>15</v>
      </c>
      <c r="C1216" s="18" t="s">
        <v>918</v>
      </c>
      <c r="D1216" s="18" t="s">
        <v>116</v>
      </c>
      <c r="E1216" s="18" t="s">
        <v>117</v>
      </c>
      <c r="F1216" s="18" t="s">
        <v>1019</v>
      </c>
      <c r="G1216" s="18" t="s">
        <v>1019</v>
      </c>
      <c r="H1216" s="18" t="s">
        <v>2690</v>
      </c>
      <c r="I1216" s="20" t="s">
        <v>2691</v>
      </c>
      <c r="J1216" s="18" t="s">
        <v>58</v>
      </c>
      <c r="K1216" s="18" t="s">
        <v>24</v>
      </c>
      <c r="L1216" s="18" t="s">
        <v>25</v>
      </c>
      <c r="N1216" s="18" t="s">
        <v>807</v>
      </c>
    </row>
    <row r="1217" spans="1:14" ht="15" customHeight="1" x14ac:dyDescent="0.3">
      <c r="A1217" s="18" t="s">
        <v>2659</v>
      </c>
      <c r="B1217" s="19" t="s">
        <v>15</v>
      </c>
      <c r="C1217" s="18" t="s">
        <v>2674</v>
      </c>
      <c r="D1217" s="18" t="s">
        <v>116</v>
      </c>
      <c r="E1217" s="18" t="s">
        <v>117</v>
      </c>
      <c r="F1217" s="18" t="s">
        <v>2692</v>
      </c>
      <c r="G1217" s="18" t="s">
        <v>47</v>
      </c>
      <c r="H1217" s="18" t="s">
        <v>2675</v>
      </c>
      <c r="I1217" s="20" t="s">
        <v>2693</v>
      </c>
      <c r="J1217" s="18" t="s">
        <v>58</v>
      </c>
      <c r="K1217" s="18" t="s">
        <v>24</v>
      </c>
      <c r="L1217" s="18" t="s">
        <v>25</v>
      </c>
      <c r="N1217" s="18" t="s">
        <v>973</v>
      </c>
    </row>
    <row r="1218" spans="1:14" ht="15" customHeight="1" x14ac:dyDescent="0.3">
      <c r="A1218" s="18" t="s">
        <v>2659</v>
      </c>
      <c r="B1218" s="19" t="s">
        <v>15</v>
      </c>
      <c r="C1218" s="18" t="s">
        <v>918</v>
      </c>
      <c r="D1218" s="18" t="s">
        <v>116</v>
      </c>
      <c r="E1218" s="18" t="s">
        <v>117</v>
      </c>
      <c r="F1218" s="18" t="s">
        <v>1920</v>
      </c>
      <c r="G1218" s="18" t="s">
        <v>207</v>
      </c>
      <c r="H1218" s="18" t="s">
        <v>2667</v>
      </c>
      <c r="I1218" s="20" t="s">
        <v>2694</v>
      </c>
      <c r="J1218" s="18" t="s">
        <v>58</v>
      </c>
      <c r="K1218" s="18" t="s">
        <v>24</v>
      </c>
      <c r="L1218" s="18" t="s">
        <v>25</v>
      </c>
      <c r="N1218" s="18" t="s">
        <v>807</v>
      </c>
    </row>
    <row r="1219" spans="1:14" ht="15" customHeight="1" x14ac:dyDescent="0.3">
      <c r="A1219" s="18" t="s">
        <v>2659</v>
      </c>
      <c r="B1219" s="19" t="s">
        <v>15</v>
      </c>
      <c r="C1219" s="18" t="s">
        <v>2674</v>
      </c>
      <c r="D1219" s="18" t="s">
        <v>116</v>
      </c>
      <c r="E1219" s="18" t="s">
        <v>117</v>
      </c>
      <c r="F1219" s="18" t="s">
        <v>2695</v>
      </c>
      <c r="G1219" s="18" t="s">
        <v>207</v>
      </c>
      <c r="H1219" s="18" t="s">
        <v>2675</v>
      </c>
      <c r="I1219" s="20" t="s">
        <v>2696</v>
      </c>
      <c r="J1219" s="18" t="s">
        <v>58</v>
      </c>
      <c r="K1219" s="18" t="s">
        <v>24</v>
      </c>
      <c r="L1219" s="18" t="s">
        <v>25</v>
      </c>
      <c r="N1219" s="18" t="s">
        <v>973</v>
      </c>
    </row>
    <row r="1220" spans="1:14" ht="15" customHeight="1" x14ac:dyDescent="0.3">
      <c r="A1220" s="18" t="s">
        <v>2659</v>
      </c>
      <c r="B1220" s="19" t="s">
        <v>15</v>
      </c>
      <c r="C1220" s="18" t="s">
        <v>2674</v>
      </c>
      <c r="D1220" s="18" t="s">
        <v>116</v>
      </c>
      <c r="E1220" s="18" t="s">
        <v>117</v>
      </c>
      <c r="F1220" s="18" t="s">
        <v>2697</v>
      </c>
      <c r="G1220" s="18" t="s">
        <v>93</v>
      </c>
      <c r="H1220" s="18" t="s">
        <v>2675</v>
      </c>
      <c r="I1220" s="20" t="s">
        <v>2698</v>
      </c>
      <c r="J1220" s="18" t="s">
        <v>58</v>
      </c>
      <c r="K1220" s="18" t="s">
        <v>24</v>
      </c>
      <c r="L1220" s="18" t="s">
        <v>25</v>
      </c>
      <c r="N1220" s="18" t="s">
        <v>973</v>
      </c>
    </row>
    <row r="1221" spans="1:14" ht="15" customHeight="1" x14ac:dyDescent="0.3">
      <c r="A1221" s="18" t="s">
        <v>2659</v>
      </c>
      <c r="B1221" s="19" t="s">
        <v>15</v>
      </c>
      <c r="C1221" s="18" t="s">
        <v>2674</v>
      </c>
      <c r="D1221" s="18" t="s">
        <v>116</v>
      </c>
      <c r="E1221" s="18" t="s">
        <v>117</v>
      </c>
      <c r="F1221" s="18" t="s">
        <v>2699</v>
      </c>
      <c r="G1221" s="18" t="s">
        <v>41</v>
      </c>
      <c r="H1221" s="18" t="s">
        <v>2675</v>
      </c>
      <c r="I1221" s="20" t="s">
        <v>2700</v>
      </c>
      <c r="J1221" s="18" t="s">
        <v>58</v>
      </c>
      <c r="K1221" s="18" t="s">
        <v>24</v>
      </c>
      <c r="L1221" s="18" t="s">
        <v>25</v>
      </c>
      <c r="N1221" s="18" t="s">
        <v>973</v>
      </c>
    </row>
    <row r="1222" spans="1:14" ht="15" customHeight="1" x14ac:dyDescent="0.3">
      <c r="A1222" s="18" t="s">
        <v>2659</v>
      </c>
      <c r="B1222" s="19" t="s">
        <v>15</v>
      </c>
      <c r="C1222" s="18" t="s">
        <v>918</v>
      </c>
      <c r="D1222" s="18" t="s">
        <v>116</v>
      </c>
      <c r="E1222" s="18" t="s">
        <v>117</v>
      </c>
      <c r="F1222" s="18" t="s">
        <v>2701</v>
      </c>
      <c r="G1222" s="18" t="s">
        <v>537</v>
      </c>
      <c r="H1222" s="18" t="s">
        <v>2662</v>
      </c>
      <c r="I1222" s="20" t="s">
        <v>2702</v>
      </c>
      <c r="J1222" s="18" t="s">
        <v>58</v>
      </c>
      <c r="K1222" s="18" t="s">
        <v>24</v>
      </c>
      <c r="L1222" s="18" t="s">
        <v>25</v>
      </c>
      <c r="N1222" s="18" t="s">
        <v>807</v>
      </c>
    </row>
    <row r="1223" spans="1:14" ht="15" customHeight="1" x14ac:dyDescent="0.3">
      <c r="A1223" s="18" t="s">
        <v>2659</v>
      </c>
      <c r="B1223" s="19" t="s">
        <v>15</v>
      </c>
      <c r="C1223" s="18" t="s">
        <v>918</v>
      </c>
      <c r="D1223" s="18" t="s">
        <v>116</v>
      </c>
      <c r="E1223" s="18" t="s">
        <v>117</v>
      </c>
      <c r="F1223" s="18" t="s">
        <v>2703</v>
      </c>
      <c r="G1223" s="18" t="s">
        <v>619</v>
      </c>
      <c r="H1223" s="18" t="s">
        <v>2667</v>
      </c>
      <c r="I1223" s="20" t="s">
        <v>2704</v>
      </c>
      <c r="J1223" s="18" t="s">
        <v>58</v>
      </c>
      <c r="K1223" s="18" t="s">
        <v>24</v>
      </c>
      <c r="L1223" s="18" t="s">
        <v>25</v>
      </c>
      <c r="N1223" s="18" t="s">
        <v>807</v>
      </c>
    </row>
    <row r="1224" spans="1:14" ht="15" customHeight="1" x14ac:dyDescent="0.3">
      <c r="A1224" s="18" t="s">
        <v>2659</v>
      </c>
      <c r="B1224" s="19" t="s">
        <v>15</v>
      </c>
      <c r="C1224" s="18" t="s">
        <v>2705</v>
      </c>
      <c r="D1224" s="18" t="s">
        <v>116</v>
      </c>
      <c r="E1224" s="18" t="s">
        <v>117</v>
      </c>
      <c r="F1224" s="18" t="s">
        <v>2706</v>
      </c>
      <c r="G1224" s="18" t="s">
        <v>1291</v>
      </c>
      <c r="H1224" s="18" t="s">
        <v>2707</v>
      </c>
      <c r="I1224" s="20" t="s">
        <v>2708</v>
      </c>
      <c r="J1224" s="18" t="s">
        <v>58</v>
      </c>
      <c r="K1224" s="18" t="s">
        <v>24</v>
      </c>
      <c r="L1224" s="18" t="s">
        <v>25</v>
      </c>
      <c r="N1224" s="18" t="s">
        <v>807</v>
      </c>
    </row>
    <row r="1225" spans="1:14" ht="15" customHeight="1" x14ac:dyDescent="0.3">
      <c r="A1225" s="18" t="s">
        <v>2659</v>
      </c>
      <c r="B1225" s="19" t="s">
        <v>15</v>
      </c>
      <c r="C1225" s="18" t="s">
        <v>918</v>
      </c>
      <c r="D1225" s="18" t="s">
        <v>116</v>
      </c>
      <c r="E1225" s="18" t="s">
        <v>117</v>
      </c>
      <c r="F1225" s="18" t="s">
        <v>2709</v>
      </c>
      <c r="G1225" s="18" t="s">
        <v>2670</v>
      </c>
      <c r="H1225" s="18" t="s">
        <v>2662</v>
      </c>
      <c r="I1225" s="20" t="s">
        <v>2710</v>
      </c>
      <c r="J1225" s="18" t="s">
        <v>58</v>
      </c>
      <c r="K1225" s="18" t="s">
        <v>24</v>
      </c>
      <c r="L1225" s="18" t="s">
        <v>25</v>
      </c>
      <c r="N1225" s="18" t="s">
        <v>807</v>
      </c>
    </row>
    <row r="1226" spans="1:14" ht="15" customHeight="1" x14ac:dyDescent="0.3">
      <c r="A1226" s="18" t="s">
        <v>2659</v>
      </c>
      <c r="B1226" s="19" t="s">
        <v>15</v>
      </c>
      <c r="C1226" s="18" t="s">
        <v>918</v>
      </c>
      <c r="D1226" s="18" t="s">
        <v>116</v>
      </c>
      <c r="E1226" s="18" t="s">
        <v>117</v>
      </c>
      <c r="F1226" s="18" t="s">
        <v>1832</v>
      </c>
      <c r="G1226" s="18" t="s">
        <v>207</v>
      </c>
      <c r="H1226" s="18" t="s">
        <v>2667</v>
      </c>
      <c r="I1226" s="20" t="s">
        <v>2711</v>
      </c>
      <c r="J1226" s="18" t="s">
        <v>58</v>
      </c>
      <c r="K1226" s="18" t="s">
        <v>24</v>
      </c>
      <c r="L1226" s="18" t="s">
        <v>25</v>
      </c>
      <c r="N1226" s="18" t="s">
        <v>807</v>
      </c>
    </row>
    <row r="1227" spans="1:14" ht="15" customHeight="1" x14ac:dyDescent="0.3">
      <c r="A1227" s="18" t="s">
        <v>2659</v>
      </c>
      <c r="B1227" s="19" t="s">
        <v>15</v>
      </c>
      <c r="C1227" s="18" t="s">
        <v>918</v>
      </c>
      <c r="D1227" s="18" t="s">
        <v>116</v>
      </c>
      <c r="E1227" s="18" t="s">
        <v>117</v>
      </c>
      <c r="F1227" s="18" t="s">
        <v>1217</v>
      </c>
      <c r="G1227" s="18" t="s">
        <v>637</v>
      </c>
      <c r="H1227" s="18" t="s">
        <v>2662</v>
      </c>
      <c r="I1227" s="20" t="s">
        <v>2712</v>
      </c>
      <c r="J1227" s="18" t="s">
        <v>58</v>
      </c>
      <c r="K1227" s="18" t="s">
        <v>24</v>
      </c>
      <c r="L1227" s="18" t="s">
        <v>25</v>
      </c>
      <c r="N1227" s="18" t="s">
        <v>807</v>
      </c>
    </row>
    <row r="1228" spans="1:14" ht="15" customHeight="1" x14ac:dyDescent="0.3">
      <c r="A1228" s="18" t="s">
        <v>2659</v>
      </c>
      <c r="B1228" s="19" t="s">
        <v>15</v>
      </c>
      <c r="C1228" s="18" t="s">
        <v>918</v>
      </c>
      <c r="D1228" s="18" t="s">
        <v>116</v>
      </c>
      <c r="E1228" s="18" t="s">
        <v>117</v>
      </c>
      <c r="F1228" s="18" t="s">
        <v>2713</v>
      </c>
      <c r="G1228" s="18" t="s">
        <v>2661</v>
      </c>
      <c r="H1228" s="18" t="s">
        <v>2662</v>
      </c>
      <c r="I1228" s="20" t="s">
        <v>2714</v>
      </c>
      <c r="J1228" s="18" t="s">
        <v>58</v>
      </c>
      <c r="K1228" s="18" t="s">
        <v>24</v>
      </c>
      <c r="L1228" s="18" t="s">
        <v>25</v>
      </c>
      <c r="N1228" s="18" t="s">
        <v>807</v>
      </c>
    </row>
    <row r="1229" spans="1:14" ht="15" customHeight="1" x14ac:dyDescent="0.3">
      <c r="A1229" s="18" t="s">
        <v>2659</v>
      </c>
      <c r="B1229" s="19" t="s">
        <v>15</v>
      </c>
      <c r="C1229" s="18" t="s">
        <v>918</v>
      </c>
      <c r="D1229" s="18" t="s">
        <v>116</v>
      </c>
      <c r="E1229" s="18" t="s">
        <v>117</v>
      </c>
      <c r="F1229" s="18" t="s">
        <v>2715</v>
      </c>
      <c r="G1229" s="18" t="s">
        <v>2670</v>
      </c>
      <c r="H1229" s="18" t="s">
        <v>2662</v>
      </c>
      <c r="I1229" s="20" t="s">
        <v>2716</v>
      </c>
      <c r="J1229" s="18" t="s">
        <v>58</v>
      </c>
      <c r="K1229" s="18" t="s">
        <v>24</v>
      </c>
      <c r="L1229" s="18" t="s">
        <v>25</v>
      </c>
      <c r="N1229" s="18" t="s">
        <v>807</v>
      </c>
    </row>
    <row r="1230" spans="1:14" ht="15" customHeight="1" x14ac:dyDescent="0.3">
      <c r="A1230" s="18" t="s">
        <v>2659</v>
      </c>
      <c r="B1230" s="19" t="s">
        <v>15</v>
      </c>
      <c r="C1230" s="18" t="s">
        <v>918</v>
      </c>
      <c r="D1230" s="18" t="s">
        <v>116</v>
      </c>
      <c r="E1230" s="18" t="s">
        <v>117</v>
      </c>
      <c r="F1230" s="18" t="s">
        <v>2717</v>
      </c>
      <c r="G1230" s="18" t="s">
        <v>913</v>
      </c>
      <c r="H1230" s="18" t="s">
        <v>2662</v>
      </c>
      <c r="I1230" s="20" t="s">
        <v>2718</v>
      </c>
      <c r="J1230" s="18" t="s">
        <v>58</v>
      </c>
      <c r="K1230" s="18" t="s">
        <v>24</v>
      </c>
      <c r="L1230" s="18" t="s">
        <v>25</v>
      </c>
      <c r="N1230" s="18" t="s">
        <v>807</v>
      </c>
    </row>
    <row r="1231" spans="1:14" ht="15" customHeight="1" x14ac:dyDescent="0.3">
      <c r="A1231" s="18" t="s">
        <v>2659</v>
      </c>
      <c r="B1231" s="19" t="s">
        <v>15</v>
      </c>
      <c r="C1231" s="18" t="s">
        <v>918</v>
      </c>
      <c r="D1231" s="18" t="s">
        <v>116</v>
      </c>
      <c r="E1231" s="18" t="s">
        <v>117</v>
      </c>
      <c r="F1231" s="18" t="s">
        <v>2719</v>
      </c>
      <c r="G1231" s="18" t="s">
        <v>1211</v>
      </c>
      <c r="H1231" s="18" t="s">
        <v>2662</v>
      </c>
      <c r="I1231" s="20" t="s">
        <v>2720</v>
      </c>
      <c r="J1231" s="18" t="s">
        <v>58</v>
      </c>
      <c r="K1231" s="18" t="s">
        <v>24</v>
      </c>
      <c r="L1231" s="18" t="s">
        <v>25</v>
      </c>
      <c r="N1231" s="18" t="s">
        <v>807</v>
      </c>
    </row>
    <row r="1232" spans="1:14" ht="15" customHeight="1" x14ac:dyDescent="0.3">
      <c r="A1232" s="18" t="s">
        <v>2659</v>
      </c>
      <c r="B1232" s="19" t="s">
        <v>15</v>
      </c>
      <c r="C1232" s="18" t="s">
        <v>2674</v>
      </c>
      <c r="D1232" s="18" t="s">
        <v>116</v>
      </c>
      <c r="E1232" s="18" t="s">
        <v>117</v>
      </c>
      <c r="F1232" s="18" t="s">
        <v>128</v>
      </c>
      <c r="G1232" s="18" t="s">
        <v>47</v>
      </c>
      <c r="H1232" s="18" t="s">
        <v>2675</v>
      </c>
      <c r="I1232" s="20" t="s">
        <v>2721</v>
      </c>
      <c r="J1232" s="18" t="s">
        <v>58</v>
      </c>
      <c r="K1232" s="18" t="s">
        <v>24</v>
      </c>
      <c r="L1232" s="18" t="s">
        <v>25</v>
      </c>
      <c r="N1232" s="18" t="s">
        <v>973</v>
      </c>
    </row>
    <row r="1233" spans="1:14" ht="15" customHeight="1" x14ac:dyDescent="0.3">
      <c r="A1233" s="18" t="s">
        <v>2659</v>
      </c>
      <c r="B1233" s="19" t="s">
        <v>15</v>
      </c>
      <c r="C1233" s="18" t="s">
        <v>918</v>
      </c>
      <c r="D1233" s="18" t="s">
        <v>116</v>
      </c>
      <c r="E1233" s="18" t="s">
        <v>117</v>
      </c>
      <c r="F1233" s="18" t="s">
        <v>2020</v>
      </c>
      <c r="G1233" s="18" t="s">
        <v>619</v>
      </c>
      <c r="H1233" s="18" t="s">
        <v>2667</v>
      </c>
      <c r="I1233" s="20" t="s">
        <v>2722</v>
      </c>
      <c r="J1233" s="18" t="s">
        <v>58</v>
      </c>
      <c r="K1233" s="18" t="s">
        <v>24</v>
      </c>
      <c r="L1233" s="18" t="s">
        <v>25</v>
      </c>
      <c r="N1233" s="18" t="s">
        <v>807</v>
      </c>
    </row>
    <row r="1234" spans="1:14" ht="15" customHeight="1" x14ac:dyDescent="0.3">
      <c r="A1234" s="18" t="s">
        <v>2659</v>
      </c>
      <c r="B1234" s="19" t="s">
        <v>15</v>
      </c>
      <c r="C1234" s="18" t="s">
        <v>918</v>
      </c>
      <c r="D1234" s="18" t="s">
        <v>116</v>
      </c>
      <c r="E1234" s="18" t="s">
        <v>117</v>
      </c>
      <c r="F1234" s="18" t="s">
        <v>2723</v>
      </c>
      <c r="G1234" s="18" t="s">
        <v>1211</v>
      </c>
      <c r="H1234" s="18" t="s">
        <v>2662</v>
      </c>
      <c r="I1234" s="20" t="s">
        <v>2724</v>
      </c>
      <c r="J1234" s="18" t="s">
        <v>58</v>
      </c>
      <c r="K1234" s="18" t="s">
        <v>24</v>
      </c>
      <c r="L1234" s="18" t="s">
        <v>25</v>
      </c>
      <c r="N1234" s="18" t="s">
        <v>807</v>
      </c>
    </row>
    <row r="1235" spans="1:14" ht="15" customHeight="1" x14ac:dyDescent="0.3">
      <c r="A1235" s="18" t="s">
        <v>2659</v>
      </c>
      <c r="B1235" s="19" t="s">
        <v>15</v>
      </c>
      <c r="C1235" s="18" t="s">
        <v>2674</v>
      </c>
      <c r="D1235" s="18" t="s">
        <v>116</v>
      </c>
      <c r="E1235" s="18" t="s">
        <v>117</v>
      </c>
      <c r="F1235" s="18" t="s">
        <v>1235</v>
      </c>
      <c r="G1235" s="18" t="s">
        <v>47</v>
      </c>
      <c r="H1235" s="18" t="s">
        <v>2675</v>
      </c>
      <c r="I1235" s="20" t="s">
        <v>2725</v>
      </c>
      <c r="J1235" s="18" t="s">
        <v>58</v>
      </c>
      <c r="K1235" s="18" t="s">
        <v>24</v>
      </c>
      <c r="L1235" s="18" t="s">
        <v>25</v>
      </c>
      <c r="N1235" s="18" t="s">
        <v>973</v>
      </c>
    </row>
    <row r="1236" spans="1:14" ht="15" customHeight="1" x14ac:dyDescent="0.3">
      <c r="A1236" s="18" t="s">
        <v>2659</v>
      </c>
      <c r="B1236" s="19" t="s">
        <v>15</v>
      </c>
      <c r="C1236" s="18" t="s">
        <v>918</v>
      </c>
      <c r="D1236" s="18" t="s">
        <v>116</v>
      </c>
      <c r="E1236" s="18" t="s">
        <v>117</v>
      </c>
      <c r="F1236" s="18" t="s">
        <v>2726</v>
      </c>
      <c r="G1236" s="18" t="s">
        <v>913</v>
      </c>
      <c r="H1236" s="18" t="s">
        <v>2662</v>
      </c>
      <c r="I1236" s="20" t="s">
        <v>2727</v>
      </c>
      <c r="J1236" s="18" t="s">
        <v>58</v>
      </c>
      <c r="K1236" s="18" t="s">
        <v>24</v>
      </c>
      <c r="L1236" s="18" t="s">
        <v>25</v>
      </c>
      <c r="N1236" s="18" t="s">
        <v>807</v>
      </c>
    </row>
    <row r="1237" spans="1:14" ht="15" customHeight="1" x14ac:dyDescent="0.3">
      <c r="A1237" s="18" t="s">
        <v>2659</v>
      </c>
      <c r="B1237" s="19" t="s">
        <v>15</v>
      </c>
      <c r="C1237" s="18" t="s">
        <v>918</v>
      </c>
      <c r="D1237" s="18" t="s">
        <v>116</v>
      </c>
      <c r="E1237" s="18" t="s">
        <v>18</v>
      </c>
      <c r="F1237" s="18" t="s">
        <v>2728</v>
      </c>
      <c r="G1237" s="18" t="s">
        <v>2661</v>
      </c>
      <c r="H1237" s="18" t="s">
        <v>2662</v>
      </c>
      <c r="I1237" s="20" t="s">
        <v>2729</v>
      </c>
      <c r="J1237" s="18" t="s">
        <v>30</v>
      </c>
      <c r="K1237" s="18" t="s">
        <v>24</v>
      </c>
      <c r="L1237" s="18" t="s">
        <v>25</v>
      </c>
      <c r="N1237" s="18" t="s">
        <v>807</v>
      </c>
    </row>
    <row r="1238" spans="1:14" ht="15" customHeight="1" x14ac:dyDescent="0.3">
      <c r="A1238" s="18" t="s">
        <v>2659</v>
      </c>
      <c r="B1238" s="19" t="s">
        <v>15</v>
      </c>
      <c r="C1238" s="18" t="s">
        <v>918</v>
      </c>
      <c r="D1238" s="18" t="s">
        <v>116</v>
      </c>
      <c r="E1238" s="18" t="s">
        <v>18</v>
      </c>
      <c r="F1238" s="18" t="s">
        <v>2084</v>
      </c>
      <c r="G1238" s="18" t="s">
        <v>2661</v>
      </c>
      <c r="H1238" s="18" t="s">
        <v>2662</v>
      </c>
      <c r="I1238" s="20" t="s">
        <v>2730</v>
      </c>
      <c r="J1238" s="18" t="s">
        <v>30</v>
      </c>
      <c r="K1238" s="18" t="s">
        <v>24</v>
      </c>
      <c r="L1238" s="18" t="s">
        <v>25</v>
      </c>
      <c r="N1238" s="18" t="s">
        <v>807</v>
      </c>
    </row>
    <row r="1239" spans="1:14" ht="15" customHeight="1" x14ac:dyDescent="0.3">
      <c r="A1239" s="18" t="s">
        <v>2659</v>
      </c>
      <c r="B1239" s="19" t="s">
        <v>15</v>
      </c>
      <c r="C1239" s="18" t="s">
        <v>918</v>
      </c>
      <c r="D1239" s="18" t="s">
        <v>116</v>
      </c>
      <c r="E1239" s="18" t="s">
        <v>18</v>
      </c>
      <c r="F1239" s="18" t="s">
        <v>2731</v>
      </c>
      <c r="G1239" s="18" t="s">
        <v>2661</v>
      </c>
      <c r="H1239" s="18" t="s">
        <v>2662</v>
      </c>
      <c r="I1239" s="20" t="s">
        <v>2732</v>
      </c>
      <c r="J1239" s="18" t="s">
        <v>30</v>
      </c>
      <c r="K1239" s="18" t="s">
        <v>24</v>
      </c>
      <c r="L1239" s="18" t="s">
        <v>25</v>
      </c>
      <c r="M1239" s="18" t="s">
        <v>39</v>
      </c>
      <c r="N1239" s="18" t="s">
        <v>807</v>
      </c>
    </row>
    <row r="1240" spans="1:14" ht="15" customHeight="1" x14ac:dyDescent="0.3">
      <c r="A1240" s="18" t="s">
        <v>2659</v>
      </c>
      <c r="B1240" s="19" t="s">
        <v>15</v>
      </c>
      <c r="C1240" s="18" t="s">
        <v>918</v>
      </c>
      <c r="D1240" s="18" t="s">
        <v>116</v>
      </c>
      <c r="E1240" s="18" t="s">
        <v>18</v>
      </c>
      <c r="F1240" s="18" t="s">
        <v>2733</v>
      </c>
      <c r="G1240" s="18" t="s">
        <v>263</v>
      </c>
      <c r="H1240" s="18" t="s">
        <v>2690</v>
      </c>
      <c r="I1240" s="20" t="s">
        <v>2734</v>
      </c>
      <c r="J1240" s="18" t="s">
        <v>30</v>
      </c>
      <c r="K1240" s="18" t="s">
        <v>24</v>
      </c>
      <c r="L1240" s="18" t="s">
        <v>25</v>
      </c>
      <c r="N1240" s="18" t="s">
        <v>807</v>
      </c>
    </row>
    <row r="1241" spans="1:14" ht="15" customHeight="1" x14ac:dyDescent="0.3">
      <c r="A1241" s="18" t="s">
        <v>2659</v>
      </c>
      <c r="B1241" s="19" t="s">
        <v>15</v>
      </c>
      <c r="C1241" s="18" t="s">
        <v>918</v>
      </c>
      <c r="D1241" s="18" t="s">
        <v>116</v>
      </c>
      <c r="E1241" s="18" t="s">
        <v>18</v>
      </c>
      <c r="F1241" s="18" t="s">
        <v>2277</v>
      </c>
      <c r="G1241" s="18" t="s">
        <v>151</v>
      </c>
      <c r="H1241" s="18" t="s">
        <v>2690</v>
      </c>
      <c r="I1241" s="20" t="s">
        <v>2735</v>
      </c>
      <c r="J1241" s="18" t="s">
        <v>30</v>
      </c>
      <c r="K1241" s="18" t="s">
        <v>24</v>
      </c>
      <c r="L1241" s="18" t="s">
        <v>25</v>
      </c>
      <c r="N1241" s="18" t="s">
        <v>807</v>
      </c>
    </row>
    <row r="1242" spans="1:14" ht="15" customHeight="1" x14ac:dyDescent="0.3">
      <c r="A1242" s="18" t="s">
        <v>2659</v>
      </c>
      <c r="B1242" s="19" t="s">
        <v>15</v>
      </c>
      <c r="C1242" s="18" t="s">
        <v>918</v>
      </c>
      <c r="D1242" s="18" t="s">
        <v>116</v>
      </c>
      <c r="E1242" s="18" t="s">
        <v>18</v>
      </c>
      <c r="F1242" s="18" t="s">
        <v>2736</v>
      </c>
      <c r="G1242" s="18" t="s">
        <v>270</v>
      </c>
      <c r="H1242" s="18" t="s">
        <v>2667</v>
      </c>
      <c r="I1242" s="20" t="s">
        <v>2737</v>
      </c>
      <c r="J1242" s="18" t="s">
        <v>30</v>
      </c>
      <c r="K1242" s="18" t="s">
        <v>24</v>
      </c>
      <c r="L1242" s="18" t="s">
        <v>25</v>
      </c>
      <c r="N1242" s="18" t="s">
        <v>807</v>
      </c>
    </row>
    <row r="1243" spans="1:14" ht="15" customHeight="1" x14ac:dyDescent="0.3">
      <c r="A1243" s="18" t="s">
        <v>2659</v>
      </c>
      <c r="B1243" s="19" t="s">
        <v>15</v>
      </c>
      <c r="C1243" s="18" t="s">
        <v>918</v>
      </c>
      <c r="D1243" s="18" t="s">
        <v>116</v>
      </c>
      <c r="E1243" s="18" t="s">
        <v>18</v>
      </c>
      <c r="F1243" s="18" t="s">
        <v>2738</v>
      </c>
      <c r="G1243" s="18" t="s">
        <v>429</v>
      </c>
      <c r="H1243" s="18" t="s">
        <v>2739</v>
      </c>
      <c r="I1243" s="20" t="s">
        <v>2740</v>
      </c>
      <c r="J1243" s="18" t="s">
        <v>23</v>
      </c>
      <c r="K1243" s="18" t="s">
        <v>24</v>
      </c>
      <c r="L1243" s="18" t="s">
        <v>25</v>
      </c>
      <c r="N1243" s="18" t="s">
        <v>807</v>
      </c>
    </row>
    <row r="1244" spans="1:14" ht="15" customHeight="1" x14ac:dyDescent="0.3">
      <c r="A1244" s="18" t="s">
        <v>2659</v>
      </c>
      <c r="B1244" s="19" t="s">
        <v>15</v>
      </c>
      <c r="C1244" s="18" t="s">
        <v>918</v>
      </c>
      <c r="D1244" s="18" t="s">
        <v>116</v>
      </c>
      <c r="E1244" s="18" t="s">
        <v>18</v>
      </c>
      <c r="F1244" s="18" t="s">
        <v>2741</v>
      </c>
      <c r="G1244" s="18" t="s">
        <v>1211</v>
      </c>
      <c r="H1244" s="18" t="s">
        <v>2662</v>
      </c>
      <c r="I1244" s="20" t="s">
        <v>2742</v>
      </c>
      <c r="J1244" s="18" t="s">
        <v>30</v>
      </c>
      <c r="K1244" s="18" t="s">
        <v>24</v>
      </c>
      <c r="L1244" s="18" t="s">
        <v>25</v>
      </c>
      <c r="M1244" s="18" t="s">
        <v>39</v>
      </c>
      <c r="N1244" s="18" t="s">
        <v>807</v>
      </c>
    </row>
    <row r="1245" spans="1:14" ht="15" customHeight="1" x14ac:dyDescent="0.3">
      <c r="A1245" s="18" t="s">
        <v>2659</v>
      </c>
      <c r="B1245" s="19" t="s">
        <v>15</v>
      </c>
      <c r="C1245" s="18" t="s">
        <v>918</v>
      </c>
      <c r="D1245" s="18" t="s">
        <v>116</v>
      </c>
      <c r="E1245" s="18" t="s">
        <v>18</v>
      </c>
      <c r="F1245" s="18" t="s">
        <v>2743</v>
      </c>
      <c r="G1245" s="18" t="s">
        <v>606</v>
      </c>
      <c r="H1245" s="18" t="s">
        <v>2662</v>
      </c>
      <c r="I1245" s="20" t="s">
        <v>2744</v>
      </c>
      <c r="J1245" s="18" t="s">
        <v>30</v>
      </c>
      <c r="K1245" s="18" t="s">
        <v>24</v>
      </c>
      <c r="L1245" s="18" t="s">
        <v>25</v>
      </c>
      <c r="N1245" s="18" t="s">
        <v>807</v>
      </c>
    </row>
    <row r="1246" spans="1:14" ht="15" customHeight="1" x14ac:dyDescent="0.3">
      <c r="A1246" s="18" t="s">
        <v>2659</v>
      </c>
      <c r="B1246" s="19" t="s">
        <v>15</v>
      </c>
      <c r="C1246" s="18" t="s">
        <v>2674</v>
      </c>
      <c r="D1246" s="18" t="s">
        <v>116</v>
      </c>
      <c r="E1246" s="18" t="s">
        <v>18</v>
      </c>
      <c r="F1246" s="18" t="s">
        <v>2745</v>
      </c>
      <c r="G1246" s="18" t="s">
        <v>606</v>
      </c>
      <c r="H1246" s="18" t="s">
        <v>2675</v>
      </c>
      <c r="I1246" s="20" t="s">
        <v>2746</v>
      </c>
      <c r="J1246" s="18" t="s">
        <v>30</v>
      </c>
      <c r="K1246" s="18" t="s">
        <v>24</v>
      </c>
      <c r="L1246" s="18" t="s">
        <v>25</v>
      </c>
      <c r="N1246" s="18" t="s">
        <v>973</v>
      </c>
    </row>
    <row r="1247" spans="1:14" ht="15" customHeight="1" x14ac:dyDescent="0.3">
      <c r="A1247" s="18" t="s">
        <v>2659</v>
      </c>
      <c r="B1247" s="19" t="s">
        <v>15</v>
      </c>
      <c r="C1247" s="18" t="s">
        <v>918</v>
      </c>
      <c r="D1247" s="18" t="s">
        <v>116</v>
      </c>
      <c r="E1247" s="18" t="s">
        <v>18</v>
      </c>
      <c r="F1247" s="18" t="s">
        <v>2747</v>
      </c>
      <c r="G1247" s="18" t="s">
        <v>47</v>
      </c>
      <c r="H1247" s="18" t="s">
        <v>2667</v>
      </c>
      <c r="I1247" s="20" t="s">
        <v>2748</v>
      </c>
      <c r="J1247" s="18" t="s">
        <v>30</v>
      </c>
      <c r="K1247" s="18" t="s">
        <v>24</v>
      </c>
      <c r="L1247" s="18" t="s">
        <v>25</v>
      </c>
      <c r="N1247" s="18" t="s">
        <v>807</v>
      </c>
    </row>
    <row r="1248" spans="1:14" ht="15" customHeight="1" x14ac:dyDescent="0.3">
      <c r="A1248" s="18" t="s">
        <v>2659</v>
      </c>
      <c r="B1248" s="19" t="s">
        <v>15</v>
      </c>
      <c r="C1248" s="18" t="s">
        <v>918</v>
      </c>
      <c r="D1248" s="18" t="s">
        <v>116</v>
      </c>
      <c r="E1248" s="18" t="s">
        <v>18</v>
      </c>
      <c r="F1248" s="18" t="s">
        <v>616</v>
      </c>
      <c r="G1248" s="18" t="s">
        <v>429</v>
      </c>
      <c r="H1248" s="18" t="s">
        <v>2739</v>
      </c>
      <c r="I1248" s="20" t="s">
        <v>2749</v>
      </c>
      <c r="J1248" s="18" t="s">
        <v>23</v>
      </c>
      <c r="K1248" s="18" t="s">
        <v>24</v>
      </c>
      <c r="L1248" s="18" t="s">
        <v>25</v>
      </c>
      <c r="N1248" s="18" t="s">
        <v>807</v>
      </c>
    </row>
    <row r="1249" spans="1:14" ht="15" customHeight="1" x14ac:dyDescent="0.3">
      <c r="A1249" s="18" t="s">
        <v>2659</v>
      </c>
      <c r="B1249" s="19" t="s">
        <v>15</v>
      </c>
      <c r="C1249" s="18" t="s">
        <v>918</v>
      </c>
      <c r="D1249" s="18" t="s">
        <v>116</v>
      </c>
      <c r="E1249" s="18" t="s">
        <v>18</v>
      </c>
      <c r="F1249" s="18" t="s">
        <v>2750</v>
      </c>
      <c r="G1249" s="18" t="s">
        <v>2751</v>
      </c>
      <c r="H1249" s="18" t="s">
        <v>2662</v>
      </c>
      <c r="I1249" s="20" t="s">
        <v>2752</v>
      </c>
      <c r="J1249" s="18" t="s">
        <v>30</v>
      </c>
      <c r="K1249" s="18" t="s">
        <v>24</v>
      </c>
      <c r="L1249" s="18" t="s">
        <v>25</v>
      </c>
      <c r="N1249" s="18" t="s">
        <v>807</v>
      </c>
    </row>
    <row r="1250" spans="1:14" ht="15" customHeight="1" x14ac:dyDescent="0.3">
      <c r="A1250" s="18" t="s">
        <v>2659</v>
      </c>
      <c r="B1250" s="19" t="s">
        <v>15</v>
      </c>
      <c r="C1250" s="18" t="s">
        <v>918</v>
      </c>
      <c r="D1250" s="18" t="s">
        <v>116</v>
      </c>
      <c r="E1250" s="18" t="s">
        <v>18</v>
      </c>
      <c r="F1250" s="18" t="s">
        <v>2753</v>
      </c>
      <c r="G1250" s="18" t="s">
        <v>207</v>
      </c>
      <c r="H1250" s="18" t="s">
        <v>2690</v>
      </c>
      <c r="I1250" s="20" t="s">
        <v>2754</v>
      </c>
      <c r="J1250" s="18" t="s">
        <v>30</v>
      </c>
      <c r="K1250" s="18" t="s">
        <v>24</v>
      </c>
      <c r="L1250" s="18" t="s">
        <v>25</v>
      </c>
      <c r="N1250" s="18" t="s">
        <v>807</v>
      </c>
    </row>
    <row r="1251" spans="1:14" ht="15" customHeight="1" x14ac:dyDescent="0.3">
      <c r="A1251" s="18" t="s">
        <v>2659</v>
      </c>
      <c r="B1251" s="19" t="s">
        <v>15</v>
      </c>
      <c r="C1251" s="18" t="s">
        <v>918</v>
      </c>
      <c r="D1251" s="18" t="s">
        <v>116</v>
      </c>
      <c r="E1251" s="18" t="s">
        <v>18</v>
      </c>
      <c r="F1251" s="18" t="s">
        <v>2755</v>
      </c>
      <c r="G1251" s="18" t="s">
        <v>1340</v>
      </c>
      <c r="H1251" s="18" t="s">
        <v>2690</v>
      </c>
      <c r="I1251" s="20" t="s">
        <v>2756</v>
      </c>
      <c r="J1251" s="18" t="s">
        <v>30</v>
      </c>
      <c r="K1251" s="18" t="s">
        <v>24</v>
      </c>
      <c r="L1251" s="18" t="s">
        <v>25</v>
      </c>
      <c r="N1251" s="18" t="s">
        <v>807</v>
      </c>
    </row>
    <row r="1252" spans="1:14" ht="15" customHeight="1" x14ac:dyDescent="0.3">
      <c r="A1252" s="18" t="s">
        <v>2659</v>
      </c>
      <c r="B1252" s="19" t="s">
        <v>15</v>
      </c>
      <c r="C1252" s="18" t="s">
        <v>918</v>
      </c>
      <c r="D1252" s="18" t="s">
        <v>116</v>
      </c>
      <c r="E1252" s="18" t="s">
        <v>18</v>
      </c>
      <c r="F1252" s="18" t="s">
        <v>2757</v>
      </c>
      <c r="G1252" s="18" t="s">
        <v>1291</v>
      </c>
      <c r="H1252" s="18" t="s">
        <v>2690</v>
      </c>
      <c r="I1252" s="20" t="s">
        <v>2758</v>
      </c>
      <c r="J1252" s="18" t="s">
        <v>30</v>
      </c>
      <c r="K1252" s="18" t="s">
        <v>24</v>
      </c>
      <c r="L1252" s="18" t="s">
        <v>25</v>
      </c>
      <c r="N1252" s="18" t="s">
        <v>807</v>
      </c>
    </row>
    <row r="1253" spans="1:14" ht="15" customHeight="1" x14ac:dyDescent="0.3">
      <c r="A1253" s="18" t="s">
        <v>2659</v>
      </c>
      <c r="B1253" s="19" t="s">
        <v>15</v>
      </c>
      <c r="C1253" s="18" t="s">
        <v>918</v>
      </c>
      <c r="D1253" s="18" t="s">
        <v>116</v>
      </c>
      <c r="E1253" s="18" t="s">
        <v>18</v>
      </c>
      <c r="F1253" s="18" t="s">
        <v>2759</v>
      </c>
      <c r="G1253" s="18" t="s">
        <v>219</v>
      </c>
      <c r="H1253" s="18" t="s">
        <v>2667</v>
      </c>
      <c r="I1253" s="20" t="s">
        <v>2760</v>
      </c>
      <c r="J1253" s="18" t="s">
        <v>30</v>
      </c>
      <c r="K1253" s="18" t="s">
        <v>24</v>
      </c>
      <c r="L1253" s="18" t="s">
        <v>25</v>
      </c>
      <c r="N1253" s="18" t="s">
        <v>807</v>
      </c>
    </row>
    <row r="1254" spans="1:14" ht="15" customHeight="1" x14ac:dyDescent="0.3">
      <c r="A1254" s="18" t="s">
        <v>2659</v>
      </c>
      <c r="B1254" s="19" t="s">
        <v>15</v>
      </c>
      <c r="C1254" s="18" t="s">
        <v>2674</v>
      </c>
      <c r="D1254" s="18" t="s">
        <v>116</v>
      </c>
      <c r="E1254" s="18" t="s">
        <v>18</v>
      </c>
      <c r="F1254" s="18" t="s">
        <v>2761</v>
      </c>
      <c r="G1254" s="18" t="s">
        <v>85</v>
      </c>
      <c r="H1254" s="18" t="s">
        <v>2675</v>
      </c>
      <c r="I1254" s="20" t="s">
        <v>2762</v>
      </c>
      <c r="J1254" s="18" t="s">
        <v>30</v>
      </c>
      <c r="K1254" s="18" t="s">
        <v>24</v>
      </c>
      <c r="L1254" s="18" t="s">
        <v>25</v>
      </c>
      <c r="N1254" s="18" t="s">
        <v>973</v>
      </c>
    </row>
    <row r="1255" spans="1:14" ht="15" customHeight="1" x14ac:dyDescent="0.3">
      <c r="A1255" s="18" t="s">
        <v>2659</v>
      </c>
      <c r="B1255" s="19" t="s">
        <v>15</v>
      </c>
      <c r="C1255" s="18" t="s">
        <v>918</v>
      </c>
      <c r="D1255" s="18" t="s">
        <v>116</v>
      </c>
      <c r="E1255" s="18" t="s">
        <v>18</v>
      </c>
      <c r="F1255" s="18" t="s">
        <v>2763</v>
      </c>
      <c r="G1255" s="18" t="s">
        <v>85</v>
      </c>
      <c r="H1255" s="18" t="s">
        <v>2667</v>
      </c>
      <c r="I1255" s="20" t="s">
        <v>2764</v>
      </c>
      <c r="J1255" s="18" t="s">
        <v>30</v>
      </c>
      <c r="K1255" s="18" t="s">
        <v>24</v>
      </c>
      <c r="L1255" s="18" t="s">
        <v>25</v>
      </c>
      <c r="N1255" s="18" t="s">
        <v>807</v>
      </c>
    </row>
    <row r="1256" spans="1:14" ht="15" customHeight="1" x14ac:dyDescent="0.3">
      <c r="A1256" s="18" t="s">
        <v>2659</v>
      </c>
      <c r="B1256" s="19" t="s">
        <v>15</v>
      </c>
      <c r="C1256" s="18" t="s">
        <v>918</v>
      </c>
      <c r="D1256" s="18" t="s">
        <v>116</v>
      </c>
      <c r="E1256" s="18" t="s">
        <v>18</v>
      </c>
      <c r="F1256" s="18" t="s">
        <v>2765</v>
      </c>
      <c r="G1256" s="18" t="s">
        <v>85</v>
      </c>
      <c r="H1256" s="18" t="s">
        <v>2667</v>
      </c>
      <c r="I1256" s="20" t="s">
        <v>2766</v>
      </c>
      <c r="J1256" s="18" t="s">
        <v>30</v>
      </c>
      <c r="K1256" s="18" t="s">
        <v>24</v>
      </c>
      <c r="L1256" s="18" t="s">
        <v>25</v>
      </c>
      <c r="N1256" s="18" t="s">
        <v>807</v>
      </c>
    </row>
    <row r="1257" spans="1:14" ht="15" customHeight="1" x14ac:dyDescent="0.3">
      <c r="A1257" s="18" t="s">
        <v>2659</v>
      </c>
      <c r="B1257" s="19" t="s">
        <v>15</v>
      </c>
      <c r="C1257" s="18" t="s">
        <v>918</v>
      </c>
      <c r="D1257" s="18" t="s">
        <v>116</v>
      </c>
      <c r="E1257" s="18" t="s">
        <v>18</v>
      </c>
      <c r="F1257" s="18" t="s">
        <v>2767</v>
      </c>
      <c r="G1257" s="18" t="s">
        <v>1019</v>
      </c>
      <c r="H1257" s="18" t="s">
        <v>2690</v>
      </c>
      <c r="I1257" s="20" t="s">
        <v>2768</v>
      </c>
      <c r="J1257" s="18" t="s">
        <v>30</v>
      </c>
      <c r="K1257" s="18" t="s">
        <v>24</v>
      </c>
      <c r="L1257" s="18" t="s">
        <v>25</v>
      </c>
      <c r="N1257" s="18" t="s">
        <v>807</v>
      </c>
    </row>
    <row r="1258" spans="1:14" ht="15" customHeight="1" x14ac:dyDescent="0.3">
      <c r="A1258" s="18" t="s">
        <v>2659</v>
      </c>
      <c r="B1258" s="19" t="s">
        <v>15</v>
      </c>
      <c r="C1258" s="18" t="s">
        <v>918</v>
      </c>
      <c r="D1258" s="18" t="s">
        <v>116</v>
      </c>
      <c r="E1258" s="18" t="s">
        <v>18</v>
      </c>
      <c r="F1258" s="18" t="s">
        <v>987</v>
      </c>
      <c r="G1258" s="18" t="s">
        <v>20</v>
      </c>
      <c r="H1258" s="18" t="s">
        <v>2739</v>
      </c>
      <c r="I1258" s="20" t="s">
        <v>2769</v>
      </c>
      <c r="J1258" s="18" t="s">
        <v>23</v>
      </c>
      <c r="K1258" s="18" t="s">
        <v>24</v>
      </c>
      <c r="L1258" s="18" t="s">
        <v>25</v>
      </c>
      <c r="N1258" s="18" t="s">
        <v>807</v>
      </c>
    </row>
    <row r="1259" spans="1:14" ht="15" customHeight="1" x14ac:dyDescent="0.3">
      <c r="A1259" s="18" t="s">
        <v>2659</v>
      </c>
      <c r="B1259" s="19" t="s">
        <v>15</v>
      </c>
      <c r="C1259" s="18" t="s">
        <v>918</v>
      </c>
      <c r="D1259" s="18" t="s">
        <v>116</v>
      </c>
      <c r="E1259" s="18" t="s">
        <v>18</v>
      </c>
      <c r="F1259" s="18" t="s">
        <v>272</v>
      </c>
      <c r="G1259" s="18" t="s">
        <v>273</v>
      </c>
      <c r="H1259" s="18" t="s">
        <v>2690</v>
      </c>
      <c r="I1259" s="20" t="s">
        <v>2770</v>
      </c>
      <c r="J1259" s="18" t="s">
        <v>30</v>
      </c>
      <c r="K1259" s="18" t="s">
        <v>24</v>
      </c>
      <c r="L1259" s="18" t="s">
        <v>25</v>
      </c>
      <c r="N1259" s="18" t="s">
        <v>807</v>
      </c>
    </row>
    <row r="1260" spans="1:14" ht="15" customHeight="1" x14ac:dyDescent="0.3">
      <c r="A1260" s="18" t="s">
        <v>2659</v>
      </c>
      <c r="B1260" s="19" t="s">
        <v>15</v>
      </c>
      <c r="C1260" s="18" t="s">
        <v>918</v>
      </c>
      <c r="D1260" s="18" t="s">
        <v>116</v>
      </c>
      <c r="E1260" s="18" t="s">
        <v>18</v>
      </c>
      <c r="F1260" s="18" t="s">
        <v>624</v>
      </c>
      <c r="G1260" s="18" t="s">
        <v>625</v>
      </c>
      <c r="H1260" s="18" t="s">
        <v>2662</v>
      </c>
      <c r="I1260" s="20" t="s">
        <v>2771</v>
      </c>
      <c r="J1260" s="18" t="s">
        <v>30</v>
      </c>
      <c r="K1260" s="18" t="s">
        <v>24</v>
      </c>
      <c r="L1260" s="18" t="s">
        <v>25</v>
      </c>
      <c r="N1260" s="18" t="s">
        <v>807</v>
      </c>
    </row>
    <row r="1261" spans="1:14" ht="15" customHeight="1" x14ac:dyDescent="0.3">
      <c r="A1261" s="18" t="s">
        <v>2659</v>
      </c>
      <c r="B1261" s="19" t="s">
        <v>15</v>
      </c>
      <c r="C1261" s="18" t="s">
        <v>918</v>
      </c>
      <c r="D1261" s="18" t="s">
        <v>116</v>
      </c>
      <c r="E1261" s="18" t="s">
        <v>18</v>
      </c>
      <c r="F1261" s="18" t="s">
        <v>2772</v>
      </c>
      <c r="G1261" s="18" t="s">
        <v>2661</v>
      </c>
      <c r="H1261" s="18" t="s">
        <v>2662</v>
      </c>
      <c r="I1261" s="20" t="s">
        <v>2773</v>
      </c>
      <c r="J1261" s="18" t="s">
        <v>30</v>
      </c>
      <c r="K1261" s="18" t="s">
        <v>24</v>
      </c>
      <c r="L1261" s="18" t="s">
        <v>25</v>
      </c>
      <c r="N1261" s="18" t="s">
        <v>807</v>
      </c>
    </row>
    <row r="1262" spans="1:14" ht="15" customHeight="1" x14ac:dyDescent="0.3">
      <c r="A1262" s="18" t="s">
        <v>2659</v>
      </c>
      <c r="B1262" s="19" t="s">
        <v>15</v>
      </c>
      <c r="C1262" s="18" t="s">
        <v>2674</v>
      </c>
      <c r="D1262" s="18" t="s">
        <v>116</v>
      </c>
      <c r="E1262" s="18" t="s">
        <v>18</v>
      </c>
      <c r="F1262" s="18" t="s">
        <v>1072</v>
      </c>
      <c r="G1262" s="18" t="s">
        <v>47</v>
      </c>
      <c r="H1262" s="18" t="s">
        <v>2675</v>
      </c>
      <c r="I1262" s="20" t="s">
        <v>2774</v>
      </c>
      <c r="J1262" s="18" t="s">
        <v>30</v>
      </c>
      <c r="K1262" s="18" t="s">
        <v>24</v>
      </c>
      <c r="L1262" s="18" t="s">
        <v>25</v>
      </c>
      <c r="N1262" s="18" t="s">
        <v>973</v>
      </c>
    </row>
    <row r="1263" spans="1:14" ht="15" customHeight="1" x14ac:dyDescent="0.3">
      <c r="A1263" s="18" t="s">
        <v>2659</v>
      </c>
      <c r="B1263" s="19" t="s">
        <v>15</v>
      </c>
      <c r="C1263" s="18" t="s">
        <v>918</v>
      </c>
      <c r="D1263" s="18" t="s">
        <v>116</v>
      </c>
      <c r="E1263" s="18" t="s">
        <v>18</v>
      </c>
      <c r="F1263" s="18" t="s">
        <v>2775</v>
      </c>
      <c r="G1263" s="18" t="s">
        <v>2574</v>
      </c>
      <c r="H1263" s="18" t="s">
        <v>2690</v>
      </c>
      <c r="I1263" s="20" t="s">
        <v>2776</v>
      </c>
      <c r="J1263" s="18" t="s">
        <v>30</v>
      </c>
      <c r="K1263" s="18" t="s">
        <v>24</v>
      </c>
      <c r="L1263" s="18" t="s">
        <v>25</v>
      </c>
      <c r="N1263" s="18" t="s">
        <v>807</v>
      </c>
    </row>
    <row r="1264" spans="1:14" ht="15" customHeight="1" x14ac:dyDescent="0.3">
      <c r="A1264" s="18" t="s">
        <v>2659</v>
      </c>
      <c r="B1264" s="19" t="s">
        <v>15</v>
      </c>
      <c r="C1264" s="18" t="s">
        <v>918</v>
      </c>
      <c r="D1264" s="18" t="s">
        <v>116</v>
      </c>
      <c r="E1264" s="18" t="s">
        <v>18</v>
      </c>
      <c r="F1264" s="18" t="s">
        <v>578</v>
      </c>
      <c r="G1264" s="18" t="s">
        <v>80</v>
      </c>
      <c r="H1264" s="18" t="s">
        <v>2739</v>
      </c>
      <c r="I1264" s="20" t="s">
        <v>2777</v>
      </c>
      <c r="J1264" s="18" t="s">
        <v>23</v>
      </c>
      <c r="K1264" s="18" t="s">
        <v>24</v>
      </c>
      <c r="L1264" s="18" t="s">
        <v>25</v>
      </c>
      <c r="N1264" s="18" t="s">
        <v>807</v>
      </c>
    </row>
    <row r="1265" spans="1:14" ht="15" customHeight="1" x14ac:dyDescent="0.3">
      <c r="A1265" s="18" t="s">
        <v>2659</v>
      </c>
      <c r="B1265" s="19" t="s">
        <v>15</v>
      </c>
      <c r="C1265" s="18" t="s">
        <v>918</v>
      </c>
      <c r="D1265" s="18" t="s">
        <v>116</v>
      </c>
      <c r="E1265" s="18" t="s">
        <v>18</v>
      </c>
      <c r="F1265" s="18" t="s">
        <v>1079</v>
      </c>
      <c r="G1265" s="18" t="s">
        <v>564</v>
      </c>
      <c r="H1265" s="18" t="s">
        <v>2667</v>
      </c>
      <c r="I1265" s="20" t="s">
        <v>2778</v>
      </c>
      <c r="J1265" s="18" t="s">
        <v>30</v>
      </c>
      <c r="K1265" s="18" t="s">
        <v>24</v>
      </c>
      <c r="L1265" s="18" t="s">
        <v>25</v>
      </c>
      <c r="N1265" s="18" t="s">
        <v>807</v>
      </c>
    </row>
    <row r="1266" spans="1:14" ht="15" customHeight="1" x14ac:dyDescent="0.3">
      <c r="A1266" s="18" t="s">
        <v>2659</v>
      </c>
      <c r="B1266" s="19" t="s">
        <v>15</v>
      </c>
      <c r="C1266" s="18" t="s">
        <v>918</v>
      </c>
      <c r="D1266" s="18" t="s">
        <v>116</v>
      </c>
      <c r="E1266" s="18" t="s">
        <v>18</v>
      </c>
      <c r="F1266" s="18" t="s">
        <v>2559</v>
      </c>
      <c r="G1266" s="18" t="s">
        <v>429</v>
      </c>
      <c r="H1266" s="18" t="s">
        <v>2739</v>
      </c>
      <c r="I1266" s="20" t="s">
        <v>2779</v>
      </c>
      <c r="J1266" s="18" t="s">
        <v>23</v>
      </c>
      <c r="K1266" s="18" t="s">
        <v>24</v>
      </c>
      <c r="L1266" s="18" t="s">
        <v>25</v>
      </c>
      <c r="N1266" s="18" t="s">
        <v>807</v>
      </c>
    </row>
    <row r="1267" spans="1:14" ht="15" customHeight="1" x14ac:dyDescent="0.3">
      <c r="A1267" s="18" t="s">
        <v>2659</v>
      </c>
      <c r="B1267" s="19" t="s">
        <v>15</v>
      </c>
      <c r="C1267" s="18" t="s">
        <v>918</v>
      </c>
      <c r="D1267" s="18" t="s">
        <v>116</v>
      </c>
      <c r="E1267" s="18" t="s">
        <v>18</v>
      </c>
      <c r="F1267" s="18" t="s">
        <v>580</v>
      </c>
      <c r="G1267" s="18" t="s">
        <v>20</v>
      </c>
      <c r="H1267" s="18" t="s">
        <v>2739</v>
      </c>
      <c r="I1267" s="20" t="s">
        <v>2780</v>
      </c>
      <c r="J1267" s="18" t="s">
        <v>23</v>
      </c>
      <c r="K1267" s="18" t="s">
        <v>24</v>
      </c>
      <c r="L1267" s="18" t="s">
        <v>25</v>
      </c>
      <c r="N1267" s="18" t="s">
        <v>807</v>
      </c>
    </row>
    <row r="1268" spans="1:14" ht="15" customHeight="1" x14ac:dyDescent="0.3">
      <c r="A1268" s="18" t="s">
        <v>2659</v>
      </c>
      <c r="B1268" s="19" t="s">
        <v>15</v>
      </c>
      <c r="C1268" s="18" t="s">
        <v>918</v>
      </c>
      <c r="D1268" s="18" t="s">
        <v>116</v>
      </c>
      <c r="E1268" s="18" t="s">
        <v>18</v>
      </c>
      <c r="F1268" s="18" t="s">
        <v>628</v>
      </c>
      <c r="G1268" s="18" t="s">
        <v>629</v>
      </c>
      <c r="H1268" s="18" t="s">
        <v>2662</v>
      </c>
      <c r="I1268" s="20" t="s">
        <v>2781</v>
      </c>
      <c r="J1268" s="18" t="s">
        <v>30</v>
      </c>
      <c r="K1268" s="18" t="s">
        <v>24</v>
      </c>
      <c r="L1268" s="18" t="s">
        <v>25</v>
      </c>
      <c r="N1268" s="18" t="s">
        <v>807</v>
      </c>
    </row>
    <row r="1269" spans="1:14" ht="15" customHeight="1" x14ac:dyDescent="0.3">
      <c r="A1269" s="18" t="s">
        <v>2659</v>
      </c>
      <c r="B1269" s="19" t="s">
        <v>15</v>
      </c>
      <c r="C1269" s="18" t="s">
        <v>918</v>
      </c>
      <c r="D1269" s="18" t="s">
        <v>116</v>
      </c>
      <c r="E1269" s="18" t="s">
        <v>18</v>
      </c>
      <c r="F1269" s="18" t="s">
        <v>572</v>
      </c>
      <c r="G1269" s="18" t="s">
        <v>263</v>
      </c>
      <c r="H1269" s="18" t="s">
        <v>2690</v>
      </c>
      <c r="I1269" s="20" t="s">
        <v>2782</v>
      </c>
      <c r="J1269" s="18" t="s">
        <v>30</v>
      </c>
      <c r="K1269" s="18" t="s">
        <v>24</v>
      </c>
      <c r="L1269" s="18" t="s">
        <v>25</v>
      </c>
      <c r="N1269" s="18" t="s">
        <v>807</v>
      </c>
    </row>
    <row r="1270" spans="1:14" ht="15" customHeight="1" x14ac:dyDescent="0.3">
      <c r="A1270" s="18" t="s">
        <v>2659</v>
      </c>
      <c r="B1270" s="19" t="s">
        <v>15</v>
      </c>
      <c r="C1270" s="18" t="s">
        <v>2674</v>
      </c>
      <c r="D1270" s="18" t="s">
        <v>116</v>
      </c>
      <c r="E1270" s="18" t="s">
        <v>18</v>
      </c>
      <c r="F1270" s="18" t="s">
        <v>40</v>
      </c>
      <c r="G1270" s="18" t="s">
        <v>41</v>
      </c>
      <c r="H1270" s="18" t="s">
        <v>2675</v>
      </c>
      <c r="I1270" s="20" t="s">
        <v>2783</v>
      </c>
      <c r="J1270" s="18" t="s">
        <v>30</v>
      </c>
      <c r="K1270" s="18" t="s">
        <v>24</v>
      </c>
      <c r="L1270" s="18" t="s">
        <v>25</v>
      </c>
      <c r="N1270" s="18" t="s">
        <v>973</v>
      </c>
    </row>
    <row r="1271" spans="1:14" ht="15" customHeight="1" x14ac:dyDescent="0.3">
      <c r="A1271" s="18" t="s">
        <v>2659</v>
      </c>
      <c r="B1271" s="19" t="s">
        <v>15</v>
      </c>
      <c r="C1271" s="18" t="s">
        <v>918</v>
      </c>
      <c r="D1271" s="18" t="s">
        <v>116</v>
      </c>
      <c r="E1271" s="18" t="s">
        <v>18</v>
      </c>
      <c r="F1271" s="18" t="s">
        <v>1450</v>
      </c>
      <c r="G1271" s="18" t="s">
        <v>41</v>
      </c>
      <c r="H1271" s="18" t="s">
        <v>2667</v>
      </c>
      <c r="I1271" s="20" t="s">
        <v>2784</v>
      </c>
      <c r="J1271" s="18" t="s">
        <v>30</v>
      </c>
      <c r="K1271" s="18" t="s">
        <v>24</v>
      </c>
      <c r="L1271" s="18" t="s">
        <v>25</v>
      </c>
      <c r="N1271" s="18" t="s">
        <v>807</v>
      </c>
    </row>
    <row r="1272" spans="1:14" ht="15" customHeight="1" x14ac:dyDescent="0.3">
      <c r="A1272" s="18" t="s">
        <v>2659</v>
      </c>
      <c r="B1272" s="19" t="s">
        <v>15</v>
      </c>
      <c r="C1272" s="18" t="s">
        <v>918</v>
      </c>
      <c r="D1272" s="18" t="s">
        <v>116</v>
      </c>
      <c r="E1272" s="18" t="s">
        <v>18</v>
      </c>
      <c r="F1272" s="18" t="s">
        <v>1088</v>
      </c>
      <c r="G1272" s="18" t="s">
        <v>41</v>
      </c>
      <c r="H1272" s="18" t="s">
        <v>2667</v>
      </c>
      <c r="I1272" s="20" t="s">
        <v>2785</v>
      </c>
      <c r="J1272" s="18" t="s">
        <v>30</v>
      </c>
      <c r="K1272" s="18" t="s">
        <v>24</v>
      </c>
      <c r="L1272" s="18" t="s">
        <v>25</v>
      </c>
      <c r="N1272" s="18" t="s">
        <v>807</v>
      </c>
    </row>
    <row r="1273" spans="1:14" ht="15" customHeight="1" x14ac:dyDescent="0.3">
      <c r="A1273" s="18" t="s">
        <v>2659</v>
      </c>
      <c r="B1273" s="19" t="s">
        <v>15</v>
      </c>
      <c r="C1273" s="18" t="s">
        <v>2674</v>
      </c>
      <c r="D1273" s="18" t="s">
        <v>116</v>
      </c>
      <c r="E1273" s="18" t="s">
        <v>18</v>
      </c>
      <c r="F1273" s="18" t="s">
        <v>2786</v>
      </c>
      <c r="G1273" s="18" t="s">
        <v>212</v>
      </c>
      <c r="H1273" s="18" t="s">
        <v>2675</v>
      </c>
      <c r="I1273" s="20" t="s">
        <v>2787</v>
      </c>
      <c r="J1273" s="18" t="s">
        <v>30</v>
      </c>
      <c r="K1273" s="18" t="s">
        <v>24</v>
      </c>
      <c r="L1273" s="18" t="s">
        <v>25</v>
      </c>
      <c r="N1273" s="18" t="s">
        <v>973</v>
      </c>
    </row>
    <row r="1274" spans="1:14" ht="15" customHeight="1" x14ac:dyDescent="0.3">
      <c r="A1274" s="18" t="s">
        <v>2659</v>
      </c>
      <c r="B1274" s="19" t="s">
        <v>15</v>
      </c>
      <c r="C1274" s="18" t="s">
        <v>2674</v>
      </c>
      <c r="D1274" s="18" t="s">
        <v>116</v>
      </c>
      <c r="E1274" s="18" t="s">
        <v>18</v>
      </c>
      <c r="F1274" s="18" t="s">
        <v>2788</v>
      </c>
      <c r="G1274" s="18" t="s">
        <v>41</v>
      </c>
      <c r="H1274" s="18" t="s">
        <v>2675</v>
      </c>
      <c r="I1274" s="20" t="s">
        <v>2789</v>
      </c>
      <c r="J1274" s="18" t="s">
        <v>30</v>
      </c>
      <c r="K1274" s="18" t="s">
        <v>24</v>
      </c>
      <c r="L1274" s="18" t="s">
        <v>25</v>
      </c>
      <c r="N1274" s="18" t="s">
        <v>973</v>
      </c>
    </row>
    <row r="1275" spans="1:14" ht="15" customHeight="1" x14ac:dyDescent="0.3">
      <c r="A1275" s="18" t="s">
        <v>2659</v>
      </c>
      <c r="B1275" s="19" t="s">
        <v>15</v>
      </c>
      <c r="C1275" s="18" t="s">
        <v>918</v>
      </c>
      <c r="D1275" s="18" t="s">
        <v>116</v>
      </c>
      <c r="E1275" s="18" t="s">
        <v>18</v>
      </c>
      <c r="F1275" s="18" t="s">
        <v>774</v>
      </c>
      <c r="G1275" s="18" t="s">
        <v>429</v>
      </c>
      <c r="H1275" s="18" t="s">
        <v>2739</v>
      </c>
      <c r="I1275" s="20" t="s">
        <v>2790</v>
      </c>
      <c r="J1275" s="18" t="s">
        <v>23</v>
      </c>
      <c r="K1275" s="18" t="s">
        <v>24</v>
      </c>
      <c r="L1275" s="18" t="s">
        <v>25</v>
      </c>
      <c r="N1275" s="18" t="s">
        <v>807</v>
      </c>
    </row>
    <row r="1276" spans="1:14" ht="15" customHeight="1" x14ac:dyDescent="0.3">
      <c r="A1276" s="18" t="s">
        <v>2659</v>
      </c>
      <c r="B1276" s="19" t="s">
        <v>15</v>
      </c>
      <c r="C1276" s="18" t="s">
        <v>918</v>
      </c>
      <c r="D1276" s="18" t="s">
        <v>116</v>
      </c>
      <c r="E1276" s="18" t="s">
        <v>18</v>
      </c>
      <c r="F1276" s="18" t="s">
        <v>1577</v>
      </c>
      <c r="G1276" s="18" t="s">
        <v>41</v>
      </c>
      <c r="H1276" s="18" t="s">
        <v>2667</v>
      </c>
      <c r="I1276" s="20" t="s">
        <v>2791</v>
      </c>
      <c r="J1276" s="18" t="s">
        <v>30</v>
      </c>
      <c r="K1276" s="18" t="s">
        <v>24</v>
      </c>
      <c r="L1276" s="18" t="s">
        <v>25</v>
      </c>
      <c r="N1276" s="18" t="s">
        <v>807</v>
      </c>
    </row>
    <row r="1277" spans="1:14" ht="15" customHeight="1" x14ac:dyDescent="0.3">
      <c r="A1277" s="18" t="s">
        <v>2659</v>
      </c>
      <c r="B1277" s="19" t="s">
        <v>15</v>
      </c>
      <c r="C1277" s="18" t="s">
        <v>918</v>
      </c>
      <c r="D1277" s="18" t="s">
        <v>116</v>
      </c>
      <c r="E1277" s="18" t="s">
        <v>18</v>
      </c>
      <c r="F1277" s="18" t="s">
        <v>2792</v>
      </c>
      <c r="G1277" s="18" t="s">
        <v>2793</v>
      </c>
      <c r="H1277" s="18" t="s">
        <v>2690</v>
      </c>
      <c r="I1277" s="20" t="s">
        <v>2794</v>
      </c>
      <c r="J1277" s="18" t="s">
        <v>30</v>
      </c>
      <c r="K1277" s="18" t="s">
        <v>24</v>
      </c>
      <c r="L1277" s="18" t="s">
        <v>25</v>
      </c>
      <c r="N1277" s="18" t="s">
        <v>807</v>
      </c>
    </row>
    <row r="1278" spans="1:14" ht="15" customHeight="1" x14ac:dyDescent="0.3">
      <c r="A1278" s="18" t="s">
        <v>2659</v>
      </c>
      <c r="B1278" s="19" t="s">
        <v>15</v>
      </c>
      <c r="C1278" s="18" t="s">
        <v>2674</v>
      </c>
      <c r="D1278" s="18" t="s">
        <v>116</v>
      </c>
      <c r="E1278" s="18" t="s">
        <v>18</v>
      </c>
      <c r="F1278" s="18" t="s">
        <v>1832</v>
      </c>
      <c r="G1278" s="18" t="s">
        <v>207</v>
      </c>
      <c r="H1278" s="18" t="s">
        <v>2675</v>
      </c>
      <c r="I1278" s="20" t="s">
        <v>2795</v>
      </c>
      <c r="J1278" s="18" t="s">
        <v>30</v>
      </c>
      <c r="K1278" s="18" t="s">
        <v>24</v>
      </c>
      <c r="L1278" s="18" t="s">
        <v>25</v>
      </c>
      <c r="N1278" s="18" t="s">
        <v>973</v>
      </c>
    </row>
    <row r="1279" spans="1:14" ht="15" customHeight="1" x14ac:dyDescent="0.3">
      <c r="A1279" s="18" t="s">
        <v>2659</v>
      </c>
      <c r="B1279" s="19" t="s">
        <v>15</v>
      </c>
      <c r="C1279" s="18" t="s">
        <v>918</v>
      </c>
      <c r="D1279" s="18" t="s">
        <v>116</v>
      </c>
      <c r="E1279" s="18" t="s">
        <v>18</v>
      </c>
      <c r="F1279" s="18" t="s">
        <v>2796</v>
      </c>
      <c r="G1279" s="18" t="s">
        <v>207</v>
      </c>
      <c r="H1279" s="18" t="s">
        <v>2667</v>
      </c>
      <c r="I1279" s="20" t="s">
        <v>2797</v>
      </c>
      <c r="J1279" s="18" t="s">
        <v>30</v>
      </c>
      <c r="K1279" s="18" t="s">
        <v>24</v>
      </c>
      <c r="L1279" s="18" t="s">
        <v>25</v>
      </c>
      <c r="N1279" s="18" t="s">
        <v>807</v>
      </c>
    </row>
    <row r="1280" spans="1:14" ht="15" customHeight="1" x14ac:dyDescent="0.3">
      <c r="A1280" s="18" t="s">
        <v>2659</v>
      </c>
      <c r="B1280" s="19" t="s">
        <v>15</v>
      </c>
      <c r="C1280" s="18" t="s">
        <v>918</v>
      </c>
      <c r="D1280" s="18" t="s">
        <v>116</v>
      </c>
      <c r="E1280" s="18" t="s">
        <v>18</v>
      </c>
      <c r="F1280" s="18" t="s">
        <v>2798</v>
      </c>
      <c r="G1280" s="18" t="s">
        <v>1502</v>
      </c>
      <c r="H1280" s="18" t="s">
        <v>2739</v>
      </c>
      <c r="I1280" s="20" t="s">
        <v>2799</v>
      </c>
      <c r="J1280" s="18" t="s">
        <v>23</v>
      </c>
      <c r="K1280" s="18" t="s">
        <v>24</v>
      </c>
      <c r="L1280" s="18" t="s">
        <v>25</v>
      </c>
      <c r="N1280" s="18" t="s">
        <v>807</v>
      </c>
    </row>
    <row r="1281" spans="1:14" ht="15" customHeight="1" x14ac:dyDescent="0.3">
      <c r="A1281" s="18" t="s">
        <v>2659</v>
      </c>
      <c r="B1281" s="19" t="s">
        <v>15</v>
      </c>
      <c r="C1281" s="18" t="s">
        <v>2674</v>
      </c>
      <c r="D1281" s="18" t="s">
        <v>116</v>
      </c>
      <c r="E1281" s="18" t="s">
        <v>18</v>
      </c>
      <c r="F1281" s="18" t="s">
        <v>2800</v>
      </c>
      <c r="G1281" s="18" t="s">
        <v>47</v>
      </c>
      <c r="H1281" s="18" t="s">
        <v>2675</v>
      </c>
      <c r="I1281" s="20" t="s">
        <v>2801</v>
      </c>
      <c r="J1281" s="18" t="s">
        <v>30</v>
      </c>
      <c r="K1281" s="18" t="s">
        <v>24</v>
      </c>
      <c r="L1281" s="18" t="s">
        <v>25</v>
      </c>
      <c r="M1281" s="18" t="s">
        <v>39</v>
      </c>
      <c r="N1281" s="18" t="s">
        <v>973</v>
      </c>
    </row>
    <row r="1282" spans="1:14" ht="15" customHeight="1" x14ac:dyDescent="0.3">
      <c r="A1282" s="18" t="s">
        <v>2659</v>
      </c>
      <c r="B1282" s="19" t="s">
        <v>15</v>
      </c>
      <c r="C1282" s="18" t="s">
        <v>918</v>
      </c>
      <c r="D1282" s="18" t="s">
        <v>116</v>
      </c>
      <c r="E1282" s="18" t="s">
        <v>18</v>
      </c>
      <c r="F1282" s="18" t="s">
        <v>2802</v>
      </c>
      <c r="G1282" s="18" t="s">
        <v>619</v>
      </c>
      <c r="H1282" s="18" t="s">
        <v>2667</v>
      </c>
      <c r="I1282" s="20" t="s">
        <v>2803</v>
      </c>
      <c r="J1282" s="18" t="s">
        <v>30</v>
      </c>
      <c r="K1282" s="18" t="s">
        <v>24</v>
      </c>
      <c r="L1282" s="18" t="s">
        <v>25</v>
      </c>
      <c r="N1282" s="18" t="s">
        <v>807</v>
      </c>
    </row>
    <row r="1283" spans="1:14" ht="15" customHeight="1" x14ac:dyDescent="0.3">
      <c r="A1283" s="18" t="s">
        <v>2659</v>
      </c>
      <c r="B1283" s="19" t="s">
        <v>15</v>
      </c>
      <c r="C1283" s="18" t="s">
        <v>918</v>
      </c>
      <c r="D1283" s="18" t="s">
        <v>116</v>
      </c>
      <c r="E1283" s="18" t="s">
        <v>18</v>
      </c>
      <c r="F1283" s="18" t="s">
        <v>2804</v>
      </c>
      <c r="G1283" s="18" t="s">
        <v>2245</v>
      </c>
      <c r="H1283" s="18" t="s">
        <v>2690</v>
      </c>
      <c r="I1283" s="20" t="s">
        <v>2805</v>
      </c>
      <c r="J1283" s="18" t="s">
        <v>30</v>
      </c>
      <c r="K1283" s="18" t="s">
        <v>24</v>
      </c>
      <c r="L1283" s="18" t="s">
        <v>25</v>
      </c>
      <c r="N1283" s="18" t="s">
        <v>807</v>
      </c>
    </row>
    <row r="1284" spans="1:14" ht="15" customHeight="1" x14ac:dyDescent="0.3">
      <c r="A1284" s="18" t="s">
        <v>2659</v>
      </c>
      <c r="B1284" s="19" t="s">
        <v>15</v>
      </c>
      <c r="C1284" s="18" t="s">
        <v>918</v>
      </c>
      <c r="D1284" s="18" t="s">
        <v>116</v>
      </c>
      <c r="E1284" s="18" t="s">
        <v>18</v>
      </c>
      <c r="F1284" s="18" t="s">
        <v>2260</v>
      </c>
      <c r="G1284" s="18" t="s">
        <v>913</v>
      </c>
      <c r="H1284" s="18" t="s">
        <v>2662</v>
      </c>
      <c r="I1284" s="20" t="s">
        <v>2806</v>
      </c>
      <c r="J1284" s="18" t="s">
        <v>30</v>
      </c>
      <c r="K1284" s="18" t="s">
        <v>24</v>
      </c>
      <c r="L1284" s="18" t="s">
        <v>25</v>
      </c>
      <c r="N1284" s="18" t="s">
        <v>807</v>
      </c>
    </row>
    <row r="1285" spans="1:14" ht="15" customHeight="1" x14ac:dyDescent="0.3">
      <c r="A1285" s="18" t="s">
        <v>2659</v>
      </c>
      <c r="B1285" s="19" t="s">
        <v>15</v>
      </c>
      <c r="C1285" s="18" t="s">
        <v>918</v>
      </c>
      <c r="D1285" s="18" t="s">
        <v>116</v>
      </c>
      <c r="E1285" s="18" t="s">
        <v>18</v>
      </c>
      <c r="F1285" s="18" t="s">
        <v>2807</v>
      </c>
      <c r="G1285" s="18" t="s">
        <v>1211</v>
      </c>
      <c r="H1285" s="18" t="s">
        <v>2662</v>
      </c>
      <c r="I1285" s="20" t="s">
        <v>2808</v>
      </c>
      <c r="J1285" s="18" t="s">
        <v>30</v>
      </c>
      <c r="K1285" s="18" t="s">
        <v>24</v>
      </c>
      <c r="L1285" s="18" t="s">
        <v>25</v>
      </c>
      <c r="N1285" s="18" t="s">
        <v>807</v>
      </c>
    </row>
    <row r="1286" spans="1:14" ht="15" customHeight="1" x14ac:dyDescent="0.3">
      <c r="A1286" s="18" t="s">
        <v>2659</v>
      </c>
      <c r="B1286" s="19" t="s">
        <v>15</v>
      </c>
      <c r="C1286" s="18" t="s">
        <v>918</v>
      </c>
      <c r="D1286" s="18" t="s">
        <v>116</v>
      </c>
      <c r="E1286" s="18" t="s">
        <v>18</v>
      </c>
      <c r="F1286" s="18" t="s">
        <v>874</v>
      </c>
      <c r="G1286" s="18" t="s">
        <v>20</v>
      </c>
      <c r="H1286" s="18" t="s">
        <v>2739</v>
      </c>
      <c r="I1286" s="20" t="s">
        <v>2809</v>
      </c>
      <c r="J1286" s="18" t="s">
        <v>23</v>
      </c>
      <c r="K1286" s="18" t="s">
        <v>24</v>
      </c>
      <c r="L1286" s="18" t="s">
        <v>25</v>
      </c>
      <c r="N1286" s="18" t="s">
        <v>807</v>
      </c>
    </row>
    <row r="1287" spans="1:14" ht="15" customHeight="1" x14ac:dyDescent="0.3">
      <c r="A1287" s="18" t="s">
        <v>2659</v>
      </c>
      <c r="B1287" s="19" t="s">
        <v>15</v>
      </c>
      <c r="C1287" s="18" t="s">
        <v>918</v>
      </c>
      <c r="D1287" s="18" t="s">
        <v>116</v>
      </c>
      <c r="E1287" s="18" t="s">
        <v>18</v>
      </c>
      <c r="F1287" s="18" t="s">
        <v>537</v>
      </c>
      <c r="G1287" s="18" t="s">
        <v>537</v>
      </c>
      <c r="H1287" s="18" t="s">
        <v>2690</v>
      </c>
      <c r="I1287" s="20" t="s">
        <v>2810</v>
      </c>
      <c r="J1287" s="18" t="s">
        <v>30</v>
      </c>
      <c r="K1287" s="18" t="s">
        <v>24</v>
      </c>
      <c r="L1287" s="18" t="s">
        <v>25</v>
      </c>
      <c r="N1287" s="18" t="s">
        <v>807</v>
      </c>
    </row>
    <row r="1288" spans="1:14" ht="15" customHeight="1" x14ac:dyDescent="0.3">
      <c r="A1288" s="18" t="s">
        <v>2659</v>
      </c>
      <c r="B1288" s="19" t="s">
        <v>15</v>
      </c>
      <c r="C1288" s="18" t="s">
        <v>918</v>
      </c>
      <c r="D1288" s="18" t="s">
        <v>116</v>
      </c>
      <c r="E1288" s="18" t="s">
        <v>18</v>
      </c>
      <c r="F1288" s="18" t="s">
        <v>2811</v>
      </c>
      <c r="G1288" s="18" t="s">
        <v>537</v>
      </c>
      <c r="H1288" s="18" t="s">
        <v>2662</v>
      </c>
      <c r="I1288" s="20" t="s">
        <v>2812</v>
      </c>
      <c r="J1288" s="18" t="s">
        <v>30</v>
      </c>
      <c r="K1288" s="18" t="s">
        <v>24</v>
      </c>
      <c r="L1288" s="18" t="s">
        <v>25</v>
      </c>
      <c r="N1288" s="18" t="s">
        <v>807</v>
      </c>
    </row>
    <row r="1289" spans="1:14" ht="15" customHeight="1" x14ac:dyDescent="0.3">
      <c r="A1289" s="18" t="s">
        <v>2659</v>
      </c>
      <c r="B1289" s="19" t="s">
        <v>15</v>
      </c>
      <c r="C1289" s="18" t="s">
        <v>918</v>
      </c>
      <c r="D1289" s="18" t="s">
        <v>116</v>
      </c>
      <c r="E1289" s="18" t="s">
        <v>18</v>
      </c>
      <c r="F1289" s="18" t="s">
        <v>2813</v>
      </c>
      <c r="G1289" s="18" t="s">
        <v>2814</v>
      </c>
      <c r="H1289" s="18" t="s">
        <v>2662</v>
      </c>
      <c r="I1289" s="20" t="s">
        <v>2815</v>
      </c>
      <c r="J1289" s="18" t="s">
        <v>30</v>
      </c>
      <c r="K1289" s="18" t="s">
        <v>24</v>
      </c>
      <c r="L1289" s="18" t="s">
        <v>25</v>
      </c>
      <c r="N1289" s="18" t="s">
        <v>807</v>
      </c>
    </row>
    <row r="1290" spans="1:14" ht="15" customHeight="1" x14ac:dyDescent="0.3">
      <c r="A1290" s="18" t="s">
        <v>2659</v>
      </c>
      <c r="B1290" s="19" t="s">
        <v>15</v>
      </c>
      <c r="C1290" s="18" t="s">
        <v>918</v>
      </c>
      <c r="D1290" s="18" t="s">
        <v>116</v>
      </c>
      <c r="E1290" s="18" t="s">
        <v>55</v>
      </c>
      <c r="F1290" s="18" t="s">
        <v>2728</v>
      </c>
      <c r="G1290" s="18" t="s">
        <v>2661</v>
      </c>
      <c r="H1290" s="18" t="s">
        <v>2662</v>
      </c>
      <c r="I1290" s="20" t="s">
        <v>2816</v>
      </c>
      <c r="J1290" s="18" t="s">
        <v>58</v>
      </c>
      <c r="K1290" s="18" t="s">
        <v>24</v>
      </c>
      <c r="L1290" s="18" t="s">
        <v>25</v>
      </c>
      <c r="N1290" s="18" t="s">
        <v>807</v>
      </c>
    </row>
    <row r="1291" spans="1:14" ht="15" customHeight="1" x14ac:dyDescent="0.3">
      <c r="A1291" s="18" t="s">
        <v>2659</v>
      </c>
      <c r="B1291" s="19" t="s">
        <v>15</v>
      </c>
      <c r="C1291" s="18" t="s">
        <v>918</v>
      </c>
      <c r="D1291" s="18" t="s">
        <v>116</v>
      </c>
      <c r="E1291" s="18" t="s">
        <v>55</v>
      </c>
      <c r="F1291" s="18" t="s">
        <v>2817</v>
      </c>
      <c r="G1291" s="18" t="s">
        <v>564</v>
      </c>
      <c r="H1291" s="18" t="s">
        <v>2667</v>
      </c>
      <c r="I1291" s="20" t="s">
        <v>2818</v>
      </c>
      <c r="J1291" s="18" t="s">
        <v>58</v>
      </c>
      <c r="K1291" s="18" t="s">
        <v>24</v>
      </c>
      <c r="L1291" s="18" t="s">
        <v>25</v>
      </c>
      <c r="N1291" s="18" t="s">
        <v>807</v>
      </c>
    </row>
    <row r="1292" spans="1:14" ht="15" customHeight="1" x14ac:dyDescent="0.3">
      <c r="A1292" s="18" t="s">
        <v>2659</v>
      </c>
      <c r="B1292" s="19" t="s">
        <v>15</v>
      </c>
      <c r="C1292" s="18" t="s">
        <v>918</v>
      </c>
      <c r="D1292" s="18" t="s">
        <v>116</v>
      </c>
      <c r="E1292" s="18" t="s">
        <v>55</v>
      </c>
      <c r="F1292" s="18" t="s">
        <v>2819</v>
      </c>
      <c r="G1292" s="18" t="s">
        <v>564</v>
      </c>
      <c r="H1292" s="18" t="s">
        <v>2667</v>
      </c>
      <c r="I1292" s="20" t="s">
        <v>2820</v>
      </c>
      <c r="J1292" s="18" t="s">
        <v>58</v>
      </c>
      <c r="K1292" s="18" t="s">
        <v>24</v>
      </c>
      <c r="L1292" s="18" t="s">
        <v>25</v>
      </c>
      <c r="N1292" s="18" t="s">
        <v>807</v>
      </c>
    </row>
    <row r="1293" spans="1:14" ht="15" customHeight="1" x14ac:dyDescent="0.3">
      <c r="A1293" s="18" t="s">
        <v>2659</v>
      </c>
      <c r="B1293" s="19" t="s">
        <v>15</v>
      </c>
      <c r="C1293" s="18" t="s">
        <v>918</v>
      </c>
      <c r="D1293" s="18" t="s">
        <v>116</v>
      </c>
      <c r="E1293" s="18" t="s">
        <v>55</v>
      </c>
      <c r="F1293" s="18" t="s">
        <v>2738</v>
      </c>
      <c r="G1293" s="18" t="s">
        <v>429</v>
      </c>
      <c r="H1293" s="18" t="s">
        <v>2739</v>
      </c>
      <c r="I1293" s="20" t="s">
        <v>2821</v>
      </c>
      <c r="J1293" s="18" t="s">
        <v>58</v>
      </c>
      <c r="K1293" s="18" t="s">
        <v>24</v>
      </c>
      <c r="L1293" s="18" t="s">
        <v>25</v>
      </c>
      <c r="N1293" s="18" t="s">
        <v>807</v>
      </c>
    </row>
    <row r="1294" spans="1:14" ht="15" customHeight="1" x14ac:dyDescent="0.3">
      <c r="A1294" s="18" t="s">
        <v>2659</v>
      </c>
      <c r="B1294" s="19" t="s">
        <v>15</v>
      </c>
      <c r="C1294" s="18" t="s">
        <v>918</v>
      </c>
      <c r="D1294" s="18" t="s">
        <v>116</v>
      </c>
      <c r="E1294" s="18" t="s">
        <v>55</v>
      </c>
      <c r="F1294" s="18" t="s">
        <v>2822</v>
      </c>
      <c r="G1294" s="18" t="s">
        <v>85</v>
      </c>
      <c r="H1294" s="18" t="s">
        <v>2667</v>
      </c>
      <c r="I1294" s="20" t="s">
        <v>2823</v>
      </c>
      <c r="J1294" s="18" t="s">
        <v>58</v>
      </c>
      <c r="K1294" s="18" t="s">
        <v>24</v>
      </c>
      <c r="L1294" s="18" t="s">
        <v>25</v>
      </c>
      <c r="N1294" s="18" t="s">
        <v>807</v>
      </c>
    </row>
    <row r="1295" spans="1:14" ht="15" customHeight="1" x14ac:dyDescent="0.3">
      <c r="A1295" s="18" t="s">
        <v>2659</v>
      </c>
      <c r="B1295" s="19" t="s">
        <v>15</v>
      </c>
      <c r="C1295" s="18" t="s">
        <v>918</v>
      </c>
      <c r="D1295" s="18" t="s">
        <v>116</v>
      </c>
      <c r="E1295" s="18" t="s">
        <v>55</v>
      </c>
      <c r="F1295" s="18" t="s">
        <v>2743</v>
      </c>
      <c r="G1295" s="18" t="s">
        <v>606</v>
      </c>
      <c r="H1295" s="18" t="s">
        <v>2662</v>
      </c>
      <c r="I1295" s="20" t="s">
        <v>2824</v>
      </c>
      <c r="J1295" s="18" t="s">
        <v>58</v>
      </c>
      <c r="K1295" s="18" t="s">
        <v>24</v>
      </c>
      <c r="L1295" s="18" t="s">
        <v>25</v>
      </c>
      <c r="N1295" s="18" t="s">
        <v>807</v>
      </c>
    </row>
    <row r="1296" spans="1:14" ht="15" customHeight="1" x14ac:dyDescent="0.3">
      <c r="A1296" s="18" t="s">
        <v>2659</v>
      </c>
      <c r="B1296" s="19" t="s">
        <v>15</v>
      </c>
      <c r="C1296" s="18" t="s">
        <v>918</v>
      </c>
      <c r="D1296" s="18" t="s">
        <v>116</v>
      </c>
      <c r="E1296" s="18" t="s">
        <v>55</v>
      </c>
      <c r="F1296" s="18" t="s">
        <v>616</v>
      </c>
      <c r="G1296" s="18" t="s">
        <v>429</v>
      </c>
      <c r="H1296" s="18" t="s">
        <v>2739</v>
      </c>
      <c r="I1296" s="20" t="s">
        <v>2825</v>
      </c>
      <c r="J1296" s="18" t="s">
        <v>58</v>
      </c>
      <c r="K1296" s="18" t="s">
        <v>24</v>
      </c>
      <c r="L1296" s="18" t="s">
        <v>25</v>
      </c>
      <c r="N1296" s="18" t="s">
        <v>807</v>
      </c>
    </row>
    <row r="1297" spans="1:14" ht="15" customHeight="1" x14ac:dyDescent="0.3">
      <c r="A1297" s="18" t="s">
        <v>2659</v>
      </c>
      <c r="B1297" s="19" t="s">
        <v>15</v>
      </c>
      <c r="C1297" s="18" t="s">
        <v>918</v>
      </c>
      <c r="D1297" s="18" t="s">
        <v>116</v>
      </c>
      <c r="E1297" s="18" t="s">
        <v>55</v>
      </c>
      <c r="F1297" s="18" t="s">
        <v>2826</v>
      </c>
      <c r="G1297" s="18" t="s">
        <v>207</v>
      </c>
      <c r="H1297" s="18" t="s">
        <v>2690</v>
      </c>
      <c r="I1297" s="20" t="s">
        <v>2827</v>
      </c>
      <c r="J1297" s="18" t="s">
        <v>58</v>
      </c>
      <c r="K1297" s="18" t="s">
        <v>24</v>
      </c>
      <c r="L1297" s="18" t="s">
        <v>25</v>
      </c>
      <c r="M1297" s="18" t="s">
        <v>39</v>
      </c>
      <c r="N1297" s="18" t="s">
        <v>807</v>
      </c>
    </row>
    <row r="1298" spans="1:14" ht="15" customHeight="1" x14ac:dyDescent="0.3">
      <c r="A1298" s="18" t="s">
        <v>2659</v>
      </c>
      <c r="B1298" s="19" t="s">
        <v>15</v>
      </c>
      <c r="C1298" s="18" t="s">
        <v>918</v>
      </c>
      <c r="D1298" s="18" t="s">
        <v>116</v>
      </c>
      <c r="E1298" s="18" t="s">
        <v>55</v>
      </c>
      <c r="F1298" s="18" t="s">
        <v>2828</v>
      </c>
      <c r="G1298" s="18" t="s">
        <v>1340</v>
      </c>
      <c r="H1298" s="18" t="s">
        <v>2690</v>
      </c>
      <c r="I1298" s="20" t="s">
        <v>2829</v>
      </c>
      <c r="J1298" s="18" t="s">
        <v>58</v>
      </c>
      <c r="K1298" s="18" t="s">
        <v>24</v>
      </c>
      <c r="L1298" s="18" t="s">
        <v>25</v>
      </c>
      <c r="N1298" s="18" t="s">
        <v>807</v>
      </c>
    </row>
    <row r="1299" spans="1:14" ht="15" customHeight="1" x14ac:dyDescent="0.3">
      <c r="A1299" s="18" t="s">
        <v>2659</v>
      </c>
      <c r="B1299" s="19" t="s">
        <v>15</v>
      </c>
      <c r="C1299" s="18" t="s">
        <v>2674</v>
      </c>
      <c r="D1299" s="18" t="s">
        <v>116</v>
      </c>
      <c r="E1299" s="18" t="s">
        <v>55</v>
      </c>
      <c r="F1299" s="18" t="s">
        <v>1263</v>
      </c>
      <c r="G1299" s="18" t="s">
        <v>207</v>
      </c>
      <c r="H1299" s="18" t="s">
        <v>2675</v>
      </c>
      <c r="I1299" s="20" t="s">
        <v>2830</v>
      </c>
      <c r="J1299" s="18" t="s">
        <v>58</v>
      </c>
      <c r="K1299" s="18" t="s">
        <v>24</v>
      </c>
      <c r="L1299" s="18" t="s">
        <v>25</v>
      </c>
      <c r="M1299" s="18" t="s">
        <v>39</v>
      </c>
      <c r="N1299" s="18" t="s">
        <v>973</v>
      </c>
    </row>
    <row r="1300" spans="1:14" ht="15" customHeight="1" x14ac:dyDescent="0.3">
      <c r="A1300" s="18" t="s">
        <v>2659</v>
      </c>
      <c r="B1300" s="19" t="s">
        <v>15</v>
      </c>
      <c r="C1300" s="18" t="s">
        <v>918</v>
      </c>
      <c r="D1300" s="18" t="s">
        <v>116</v>
      </c>
      <c r="E1300" s="18" t="s">
        <v>55</v>
      </c>
      <c r="F1300" s="18" t="s">
        <v>2831</v>
      </c>
      <c r="G1300" s="18" t="s">
        <v>85</v>
      </c>
      <c r="H1300" s="18" t="s">
        <v>2667</v>
      </c>
      <c r="I1300" s="20" t="s">
        <v>2832</v>
      </c>
      <c r="J1300" s="18" t="s">
        <v>58</v>
      </c>
      <c r="K1300" s="18" t="s">
        <v>24</v>
      </c>
      <c r="L1300" s="18" t="s">
        <v>25</v>
      </c>
      <c r="N1300" s="18" t="s">
        <v>807</v>
      </c>
    </row>
    <row r="1301" spans="1:14" ht="15" customHeight="1" x14ac:dyDescent="0.3">
      <c r="A1301" s="18" t="s">
        <v>2659</v>
      </c>
      <c r="B1301" s="19" t="s">
        <v>15</v>
      </c>
      <c r="C1301" s="18" t="s">
        <v>918</v>
      </c>
      <c r="D1301" s="18" t="s">
        <v>116</v>
      </c>
      <c r="E1301" s="18" t="s">
        <v>55</v>
      </c>
      <c r="F1301" s="18" t="s">
        <v>2765</v>
      </c>
      <c r="G1301" s="18" t="s">
        <v>85</v>
      </c>
      <c r="H1301" s="18" t="s">
        <v>2667</v>
      </c>
      <c r="I1301" s="20" t="s">
        <v>2833</v>
      </c>
      <c r="J1301" s="18" t="s">
        <v>58</v>
      </c>
      <c r="K1301" s="18" t="s">
        <v>24</v>
      </c>
      <c r="L1301" s="18" t="s">
        <v>25</v>
      </c>
      <c r="N1301" s="18" t="s">
        <v>807</v>
      </c>
    </row>
    <row r="1302" spans="1:14" ht="15" customHeight="1" x14ac:dyDescent="0.3">
      <c r="A1302" s="18" t="s">
        <v>2659</v>
      </c>
      <c r="B1302" s="19" t="s">
        <v>15</v>
      </c>
      <c r="C1302" s="18" t="s">
        <v>918</v>
      </c>
      <c r="D1302" s="18" t="s">
        <v>116</v>
      </c>
      <c r="E1302" s="18" t="s">
        <v>55</v>
      </c>
      <c r="F1302" s="18" t="s">
        <v>2834</v>
      </c>
      <c r="G1302" s="18" t="s">
        <v>41</v>
      </c>
      <c r="H1302" s="18" t="s">
        <v>2667</v>
      </c>
      <c r="I1302" s="20" t="s">
        <v>2835</v>
      </c>
      <c r="J1302" s="18" t="s">
        <v>58</v>
      </c>
      <c r="K1302" s="18" t="s">
        <v>24</v>
      </c>
      <c r="L1302" s="18" t="s">
        <v>25</v>
      </c>
      <c r="N1302" s="18" t="s">
        <v>807</v>
      </c>
    </row>
    <row r="1303" spans="1:14" ht="15" customHeight="1" x14ac:dyDescent="0.3">
      <c r="A1303" s="18" t="s">
        <v>2659</v>
      </c>
      <c r="B1303" s="19" t="s">
        <v>15</v>
      </c>
      <c r="C1303" s="18" t="s">
        <v>918</v>
      </c>
      <c r="D1303" s="18" t="s">
        <v>116</v>
      </c>
      <c r="E1303" s="18" t="s">
        <v>55</v>
      </c>
      <c r="F1303" s="18" t="s">
        <v>2836</v>
      </c>
      <c r="G1303" s="18" t="s">
        <v>1211</v>
      </c>
      <c r="H1303" s="18" t="s">
        <v>2662</v>
      </c>
      <c r="I1303" s="20" t="s">
        <v>2837</v>
      </c>
      <c r="J1303" s="18" t="s">
        <v>58</v>
      </c>
      <c r="K1303" s="18" t="s">
        <v>24</v>
      </c>
      <c r="L1303" s="18" t="s">
        <v>25</v>
      </c>
      <c r="N1303" s="18" t="s">
        <v>807</v>
      </c>
    </row>
    <row r="1304" spans="1:14" ht="15" customHeight="1" x14ac:dyDescent="0.3">
      <c r="A1304" s="18" t="s">
        <v>2659</v>
      </c>
      <c r="B1304" s="19" t="s">
        <v>15</v>
      </c>
      <c r="C1304" s="18" t="s">
        <v>918</v>
      </c>
      <c r="D1304" s="18" t="s">
        <v>116</v>
      </c>
      <c r="E1304" s="18" t="s">
        <v>55</v>
      </c>
      <c r="F1304" s="18" t="s">
        <v>2838</v>
      </c>
      <c r="G1304" s="18" t="s">
        <v>537</v>
      </c>
      <c r="H1304" s="18" t="s">
        <v>2662</v>
      </c>
      <c r="I1304" s="20" t="s">
        <v>2839</v>
      </c>
      <c r="J1304" s="18" t="s">
        <v>73</v>
      </c>
      <c r="K1304" s="18" t="s">
        <v>24</v>
      </c>
      <c r="L1304" s="18" t="s">
        <v>25</v>
      </c>
      <c r="M1304" s="18" t="s">
        <v>39</v>
      </c>
      <c r="N1304" s="18" t="s">
        <v>807</v>
      </c>
    </row>
    <row r="1305" spans="1:14" ht="15" customHeight="1" x14ac:dyDescent="0.3">
      <c r="A1305" s="18" t="s">
        <v>2659</v>
      </c>
      <c r="B1305" s="19" t="s">
        <v>15</v>
      </c>
      <c r="C1305" s="18" t="s">
        <v>918</v>
      </c>
      <c r="D1305" s="18" t="s">
        <v>116</v>
      </c>
      <c r="E1305" s="18" t="s">
        <v>55</v>
      </c>
      <c r="F1305" s="18" t="s">
        <v>2840</v>
      </c>
      <c r="G1305" s="18" t="s">
        <v>2841</v>
      </c>
      <c r="H1305" s="18" t="s">
        <v>2690</v>
      </c>
      <c r="I1305" s="20" t="s">
        <v>2842</v>
      </c>
      <c r="J1305" s="18" t="s">
        <v>58</v>
      </c>
      <c r="K1305" s="18" t="s">
        <v>24</v>
      </c>
      <c r="L1305" s="18" t="s">
        <v>25</v>
      </c>
      <c r="N1305" s="18" t="s">
        <v>807</v>
      </c>
    </row>
    <row r="1306" spans="1:14" ht="15" customHeight="1" x14ac:dyDescent="0.3">
      <c r="A1306" s="18" t="s">
        <v>2659</v>
      </c>
      <c r="B1306" s="19" t="s">
        <v>15</v>
      </c>
      <c r="C1306" s="18" t="s">
        <v>918</v>
      </c>
      <c r="D1306" s="18" t="s">
        <v>116</v>
      </c>
      <c r="E1306" s="18" t="s">
        <v>55</v>
      </c>
      <c r="F1306" s="18" t="s">
        <v>2843</v>
      </c>
      <c r="G1306" s="18" t="s">
        <v>1527</v>
      </c>
      <c r="H1306" s="18" t="s">
        <v>2690</v>
      </c>
      <c r="I1306" s="20" t="s">
        <v>2844</v>
      </c>
      <c r="J1306" s="18" t="s">
        <v>73</v>
      </c>
      <c r="K1306" s="18" t="s">
        <v>24</v>
      </c>
      <c r="L1306" s="18" t="s">
        <v>25</v>
      </c>
      <c r="N1306" s="18" t="s">
        <v>807</v>
      </c>
    </row>
    <row r="1307" spans="1:14" ht="15" customHeight="1" x14ac:dyDescent="0.3">
      <c r="A1307" s="18" t="s">
        <v>2659</v>
      </c>
      <c r="B1307" s="19" t="s">
        <v>15</v>
      </c>
      <c r="C1307" s="18" t="s">
        <v>918</v>
      </c>
      <c r="D1307" s="18" t="s">
        <v>116</v>
      </c>
      <c r="E1307" s="18" t="s">
        <v>55</v>
      </c>
      <c r="F1307" s="18" t="s">
        <v>2845</v>
      </c>
      <c r="G1307" s="18" t="s">
        <v>2846</v>
      </c>
      <c r="H1307" s="18" t="s">
        <v>2690</v>
      </c>
      <c r="I1307" s="20" t="s">
        <v>2847</v>
      </c>
      <c r="J1307" s="18" t="s">
        <v>58</v>
      </c>
      <c r="K1307" s="18" t="s">
        <v>24</v>
      </c>
      <c r="L1307" s="18" t="s">
        <v>25</v>
      </c>
      <c r="N1307" s="18" t="s">
        <v>807</v>
      </c>
    </row>
    <row r="1308" spans="1:14" ht="15" customHeight="1" x14ac:dyDescent="0.3">
      <c r="A1308" s="18" t="s">
        <v>2659</v>
      </c>
      <c r="B1308" s="19" t="s">
        <v>15</v>
      </c>
      <c r="C1308" s="18" t="s">
        <v>918</v>
      </c>
      <c r="D1308" s="18" t="s">
        <v>116</v>
      </c>
      <c r="E1308" s="18" t="s">
        <v>55</v>
      </c>
      <c r="F1308" s="18" t="s">
        <v>2848</v>
      </c>
      <c r="G1308" s="18" t="s">
        <v>273</v>
      </c>
      <c r="H1308" s="18" t="s">
        <v>2690</v>
      </c>
      <c r="I1308" s="20" t="s">
        <v>2849</v>
      </c>
      <c r="J1308" s="18" t="s">
        <v>58</v>
      </c>
      <c r="K1308" s="18" t="s">
        <v>24</v>
      </c>
      <c r="L1308" s="18" t="s">
        <v>25</v>
      </c>
      <c r="N1308" s="18" t="s">
        <v>807</v>
      </c>
    </row>
    <row r="1309" spans="1:14" ht="15" customHeight="1" x14ac:dyDescent="0.3">
      <c r="A1309" s="18" t="s">
        <v>2659</v>
      </c>
      <c r="B1309" s="19" t="s">
        <v>15</v>
      </c>
      <c r="C1309" s="18" t="s">
        <v>918</v>
      </c>
      <c r="D1309" s="18" t="s">
        <v>116</v>
      </c>
      <c r="E1309" s="18" t="s">
        <v>55</v>
      </c>
      <c r="F1309" s="18" t="s">
        <v>2850</v>
      </c>
      <c r="G1309" s="18" t="s">
        <v>273</v>
      </c>
      <c r="H1309" s="18" t="s">
        <v>2690</v>
      </c>
      <c r="I1309" s="20" t="s">
        <v>2851</v>
      </c>
      <c r="J1309" s="18" t="s">
        <v>58</v>
      </c>
      <c r="K1309" s="18" t="s">
        <v>24</v>
      </c>
      <c r="L1309" s="18" t="s">
        <v>25</v>
      </c>
      <c r="N1309" s="18" t="s">
        <v>807</v>
      </c>
    </row>
    <row r="1310" spans="1:14" ht="15" customHeight="1" x14ac:dyDescent="0.3">
      <c r="A1310" s="18" t="s">
        <v>2659</v>
      </c>
      <c r="B1310" s="19" t="s">
        <v>15</v>
      </c>
      <c r="C1310" s="18" t="s">
        <v>918</v>
      </c>
      <c r="D1310" s="18" t="s">
        <v>116</v>
      </c>
      <c r="E1310" s="18" t="s">
        <v>55</v>
      </c>
      <c r="F1310" s="18" t="s">
        <v>2852</v>
      </c>
      <c r="G1310" s="18" t="s">
        <v>273</v>
      </c>
      <c r="H1310" s="18" t="s">
        <v>2690</v>
      </c>
      <c r="I1310" s="20" t="s">
        <v>2853</v>
      </c>
      <c r="J1310" s="18" t="s">
        <v>58</v>
      </c>
      <c r="K1310" s="18" t="s">
        <v>24</v>
      </c>
      <c r="L1310" s="18" t="s">
        <v>25</v>
      </c>
      <c r="N1310" s="18" t="s">
        <v>807</v>
      </c>
    </row>
    <row r="1311" spans="1:14" ht="15" customHeight="1" x14ac:dyDescent="0.3">
      <c r="A1311" s="18" t="s">
        <v>2659</v>
      </c>
      <c r="B1311" s="19" t="s">
        <v>15</v>
      </c>
      <c r="C1311" s="18" t="s">
        <v>918</v>
      </c>
      <c r="D1311" s="18" t="s">
        <v>116</v>
      </c>
      <c r="E1311" s="18" t="s">
        <v>55</v>
      </c>
      <c r="F1311" s="18" t="s">
        <v>2772</v>
      </c>
      <c r="G1311" s="18" t="s">
        <v>2661</v>
      </c>
      <c r="H1311" s="18" t="s">
        <v>2662</v>
      </c>
      <c r="I1311" s="20" t="s">
        <v>2854</v>
      </c>
      <c r="J1311" s="18" t="s">
        <v>58</v>
      </c>
      <c r="K1311" s="18" t="s">
        <v>24</v>
      </c>
      <c r="L1311" s="18" t="s">
        <v>25</v>
      </c>
      <c r="N1311" s="18" t="s">
        <v>807</v>
      </c>
    </row>
    <row r="1312" spans="1:14" ht="15" customHeight="1" x14ac:dyDescent="0.3">
      <c r="A1312" s="18" t="s">
        <v>2659</v>
      </c>
      <c r="B1312" s="19" t="s">
        <v>15</v>
      </c>
      <c r="C1312" s="18" t="s">
        <v>918</v>
      </c>
      <c r="D1312" s="18" t="s">
        <v>116</v>
      </c>
      <c r="E1312" s="18" t="s">
        <v>55</v>
      </c>
      <c r="F1312" s="18" t="s">
        <v>2124</v>
      </c>
      <c r="G1312" s="18" t="s">
        <v>913</v>
      </c>
      <c r="H1312" s="18" t="s">
        <v>2662</v>
      </c>
      <c r="I1312" s="20" t="s">
        <v>2855</v>
      </c>
      <c r="J1312" s="18" t="s">
        <v>58</v>
      </c>
      <c r="K1312" s="18" t="s">
        <v>24</v>
      </c>
      <c r="L1312" s="18" t="s">
        <v>25</v>
      </c>
      <c r="N1312" s="18" t="s">
        <v>807</v>
      </c>
    </row>
    <row r="1313" spans="1:14" ht="15" customHeight="1" x14ac:dyDescent="0.3">
      <c r="A1313" s="18" t="s">
        <v>2659</v>
      </c>
      <c r="B1313" s="19" t="s">
        <v>15</v>
      </c>
      <c r="C1313" s="18" t="s">
        <v>918</v>
      </c>
      <c r="D1313" s="18" t="s">
        <v>116</v>
      </c>
      <c r="E1313" s="18" t="s">
        <v>55</v>
      </c>
      <c r="F1313" s="18" t="s">
        <v>2856</v>
      </c>
      <c r="G1313" s="18" t="s">
        <v>2857</v>
      </c>
      <c r="H1313" s="18" t="s">
        <v>2690</v>
      </c>
      <c r="I1313" s="20" t="s">
        <v>2858</v>
      </c>
      <c r="J1313" s="18" t="s">
        <v>58</v>
      </c>
      <c r="K1313" s="18" t="s">
        <v>24</v>
      </c>
      <c r="L1313" s="18" t="s">
        <v>25</v>
      </c>
      <c r="M1313" s="18" t="s">
        <v>39</v>
      </c>
      <c r="N1313" s="18" t="s">
        <v>807</v>
      </c>
    </row>
    <row r="1314" spans="1:14" ht="15" customHeight="1" x14ac:dyDescent="0.3">
      <c r="A1314" s="18" t="s">
        <v>2659</v>
      </c>
      <c r="B1314" s="19" t="s">
        <v>15</v>
      </c>
      <c r="C1314" s="18" t="s">
        <v>918</v>
      </c>
      <c r="D1314" s="18" t="s">
        <v>116</v>
      </c>
      <c r="E1314" s="18" t="s">
        <v>55</v>
      </c>
      <c r="F1314" s="18" t="s">
        <v>2859</v>
      </c>
      <c r="G1314" s="18" t="s">
        <v>273</v>
      </c>
      <c r="H1314" s="18" t="s">
        <v>2690</v>
      </c>
      <c r="I1314" s="20" t="s">
        <v>2860</v>
      </c>
      <c r="J1314" s="18" t="s">
        <v>58</v>
      </c>
      <c r="K1314" s="18" t="s">
        <v>24</v>
      </c>
      <c r="L1314" s="18" t="s">
        <v>25</v>
      </c>
      <c r="N1314" s="18" t="s">
        <v>807</v>
      </c>
    </row>
    <row r="1315" spans="1:14" ht="15" customHeight="1" x14ac:dyDescent="0.3">
      <c r="A1315" s="18" t="s">
        <v>2659</v>
      </c>
      <c r="B1315" s="19" t="s">
        <v>15</v>
      </c>
      <c r="C1315" s="18" t="s">
        <v>918</v>
      </c>
      <c r="D1315" s="18" t="s">
        <v>116</v>
      </c>
      <c r="E1315" s="18" t="s">
        <v>55</v>
      </c>
      <c r="F1315" s="18" t="s">
        <v>2861</v>
      </c>
      <c r="G1315" s="18" t="s">
        <v>2862</v>
      </c>
      <c r="H1315" s="18" t="s">
        <v>2690</v>
      </c>
      <c r="I1315" s="20" t="s">
        <v>2863</v>
      </c>
      <c r="J1315" s="18" t="s">
        <v>58</v>
      </c>
      <c r="K1315" s="18" t="s">
        <v>24</v>
      </c>
      <c r="L1315" s="18" t="s">
        <v>25</v>
      </c>
      <c r="N1315" s="18" t="s">
        <v>807</v>
      </c>
    </row>
    <row r="1316" spans="1:14" ht="15" customHeight="1" x14ac:dyDescent="0.3">
      <c r="A1316" s="18" t="s">
        <v>2659</v>
      </c>
      <c r="B1316" s="19" t="s">
        <v>15</v>
      </c>
      <c r="C1316" s="18" t="s">
        <v>918</v>
      </c>
      <c r="D1316" s="18" t="s">
        <v>116</v>
      </c>
      <c r="E1316" s="18" t="s">
        <v>55</v>
      </c>
      <c r="F1316" s="18" t="s">
        <v>2864</v>
      </c>
      <c r="G1316" s="18" t="s">
        <v>2865</v>
      </c>
      <c r="H1316" s="18" t="s">
        <v>2690</v>
      </c>
      <c r="I1316" s="20" t="s">
        <v>2866</v>
      </c>
      <c r="J1316" s="18" t="s">
        <v>58</v>
      </c>
      <c r="K1316" s="18" t="s">
        <v>24</v>
      </c>
      <c r="L1316" s="18" t="s">
        <v>25</v>
      </c>
      <c r="N1316" s="18" t="s">
        <v>807</v>
      </c>
    </row>
    <row r="1317" spans="1:14" ht="15" customHeight="1" x14ac:dyDescent="0.3">
      <c r="A1317" s="18" t="s">
        <v>2659</v>
      </c>
      <c r="B1317" s="19" t="s">
        <v>15</v>
      </c>
      <c r="C1317" s="18" t="s">
        <v>918</v>
      </c>
      <c r="D1317" s="18" t="s">
        <v>116</v>
      </c>
      <c r="E1317" s="18" t="s">
        <v>55</v>
      </c>
      <c r="F1317" s="18" t="s">
        <v>2867</v>
      </c>
      <c r="G1317" s="18" t="s">
        <v>80</v>
      </c>
      <c r="H1317" s="18" t="s">
        <v>2739</v>
      </c>
      <c r="I1317" s="20" t="s">
        <v>2868</v>
      </c>
      <c r="J1317" s="18" t="s">
        <v>58</v>
      </c>
      <c r="K1317" s="18" t="s">
        <v>24</v>
      </c>
      <c r="L1317" s="18" t="s">
        <v>25</v>
      </c>
      <c r="N1317" s="18" t="s">
        <v>807</v>
      </c>
    </row>
    <row r="1318" spans="1:14" ht="15" customHeight="1" x14ac:dyDescent="0.3">
      <c r="A1318" s="18" t="s">
        <v>2659</v>
      </c>
      <c r="B1318" s="19" t="s">
        <v>15</v>
      </c>
      <c r="C1318" s="18" t="s">
        <v>918</v>
      </c>
      <c r="D1318" s="18" t="s">
        <v>116</v>
      </c>
      <c r="E1318" s="18" t="s">
        <v>55</v>
      </c>
      <c r="F1318" s="18" t="s">
        <v>2869</v>
      </c>
      <c r="G1318" s="18" t="s">
        <v>429</v>
      </c>
      <c r="H1318" s="18" t="s">
        <v>2739</v>
      </c>
      <c r="I1318" s="20" t="s">
        <v>2870</v>
      </c>
      <c r="J1318" s="18" t="s">
        <v>58</v>
      </c>
      <c r="K1318" s="18" t="s">
        <v>293</v>
      </c>
      <c r="L1318" s="18" t="s">
        <v>25</v>
      </c>
      <c r="N1318" s="18" t="s">
        <v>807</v>
      </c>
    </row>
    <row r="1319" spans="1:14" ht="15" customHeight="1" x14ac:dyDescent="0.3">
      <c r="A1319" s="18" t="s">
        <v>2659</v>
      </c>
      <c r="B1319" s="19" t="s">
        <v>15</v>
      </c>
      <c r="C1319" s="18" t="s">
        <v>918</v>
      </c>
      <c r="D1319" s="18" t="s">
        <v>116</v>
      </c>
      <c r="E1319" s="18" t="s">
        <v>55</v>
      </c>
      <c r="F1319" s="18" t="s">
        <v>580</v>
      </c>
      <c r="G1319" s="18" t="s">
        <v>20</v>
      </c>
      <c r="H1319" s="18" t="s">
        <v>2739</v>
      </c>
      <c r="I1319" s="20" t="s">
        <v>2871</v>
      </c>
      <c r="J1319" s="18" t="s">
        <v>58</v>
      </c>
      <c r="K1319" s="18" t="s">
        <v>24</v>
      </c>
      <c r="L1319" s="18" t="s">
        <v>25</v>
      </c>
      <c r="N1319" s="18" t="s">
        <v>807</v>
      </c>
    </row>
    <row r="1320" spans="1:14" ht="15" customHeight="1" x14ac:dyDescent="0.3">
      <c r="A1320" s="18" t="s">
        <v>2659</v>
      </c>
      <c r="B1320" s="19" t="s">
        <v>15</v>
      </c>
      <c r="C1320" s="18" t="s">
        <v>918</v>
      </c>
      <c r="D1320" s="18" t="s">
        <v>116</v>
      </c>
      <c r="E1320" s="18" t="s">
        <v>55</v>
      </c>
      <c r="F1320" s="18" t="s">
        <v>2610</v>
      </c>
      <c r="G1320" s="18" t="s">
        <v>263</v>
      </c>
      <c r="H1320" s="18" t="s">
        <v>2690</v>
      </c>
      <c r="I1320" s="20" t="s">
        <v>2872</v>
      </c>
      <c r="J1320" s="18" t="s">
        <v>58</v>
      </c>
      <c r="K1320" s="18" t="s">
        <v>24</v>
      </c>
      <c r="L1320" s="18" t="s">
        <v>25</v>
      </c>
      <c r="N1320" s="18" t="s">
        <v>807</v>
      </c>
    </row>
    <row r="1321" spans="1:14" ht="15" customHeight="1" x14ac:dyDescent="0.3">
      <c r="A1321" s="18" t="s">
        <v>2659</v>
      </c>
      <c r="B1321" s="19" t="s">
        <v>15</v>
      </c>
      <c r="C1321" s="18" t="s">
        <v>2674</v>
      </c>
      <c r="D1321" s="18" t="s">
        <v>116</v>
      </c>
      <c r="E1321" s="18" t="s">
        <v>55</v>
      </c>
      <c r="F1321" s="18" t="s">
        <v>40</v>
      </c>
      <c r="G1321" s="18" t="s">
        <v>41</v>
      </c>
      <c r="H1321" s="18" t="s">
        <v>2675</v>
      </c>
      <c r="I1321" s="20" t="s">
        <v>2873</v>
      </c>
      <c r="J1321" s="18" t="s">
        <v>58</v>
      </c>
      <c r="K1321" s="18" t="s">
        <v>24</v>
      </c>
      <c r="L1321" s="18" t="s">
        <v>25</v>
      </c>
      <c r="N1321" s="18" t="s">
        <v>973</v>
      </c>
    </row>
    <row r="1322" spans="1:14" ht="15" customHeight="1" x14ac:dyDescent="0.3">
      <c r="A1322" s="18" t="s">
        <v>2659</v>
      </c>
      <c r="B1322" s="19" t="s">
        <v>15</v>
      </c>
      <c r="C1322" s="18" t="s">
        <v>918</v>
      </c>
      <c r="D1322" s="18" t="s">
        <v>116</v>
      </c>
      <c r="E1322" s="18" t="s">
        <v>55</v>
      </c>
      <c r="F1322" s="18" t="s">
        <v>2222</v>
      </c>
      <c r="G1322" s="18" t="s">
        <v>1211</v>
      </c>
      <c r="H1322" s="18" t="s">
        <v>2662</v>
      </c>
      <c r="I1322" s="20" t="s">
        <v>2874</v>
      </c>
      <c r="J1322" s="18" t="s">
        <v>58</v>
      </c>
      <c r="K1322" s="18" t="s">
        <v>24</v>
      </c>
      <c r="L1322" s="18" t="s">
        <v>25</v>
      </c>
      <c r="N1322" s="18" t="s">
        <v>807</v>
      </c>
    </row>
    <row r="1323" spans="1:14" ht="15" customHeight="1" x14ac:dyDescent="0.3">
      <c r="A1323" s="18" t="s">
        <v>2659</v>
      </c>
      <c r="B1323" s="19" t="s">
        <v>15</v>
      </c>
      <c r="C1323" s="18" t="s">
        <v>918</v>
      </c>
      <c r="D1323" s="18" t="s">
        <v>116</v>
      </c>
      <c r="E1323" s="18" t="s">
        <v>55</v>
      </c>
      <c r="F1323" s="18" t="s">
        <v>1961</v>
      </c>
      <c r="G1323" s="18" t="s">
        <v>41</v>
      </c>
      <c r="H1323" s="18" t="s">
        <v>2667</v>
      </c>
      <c r="I1323" s="20" t="s">
        <v>2875</v>
      </c>
      <c r="J1323" s="18" t="s">
        <v>58</v>
      </c>
      <c r="K1323" s="18" t="s">
        <v>24</v>
      </c>
      <c r="L1323" s="18" t="s">
        <v>25</v>
      </c>
      <c r="N1323" s="18" t="s">
        <v>807</v>
      </c>
    </row>
    <row r="1324" spans="1:14" ht="15" customHeight="1" x14ac:dyDescent="0.3">
      <c r="A1324" s="18" t="s">
        <v>2659</v>
      </c>
      <c r="B1324" s="19" t="s">
        <v>15</v>
      </c>
      <c r="C1324" s="18" t="s">
        <v>918</v>
      </c>
      <c r="D1324" s="18" t="s">
        <v>116</v>
      </c>
      <c r="E1324" s="18" t="s">
        <v>55</v>
      </c>
      <c r="F1324" s="18" t="s">
        <v>2876</v>
      </c>
      <c r="G1324" s="18" t="s">
        <v>41</v>
      </c>
      <c r="H1324" s="18" t="s">
        <v>2662</v>
      </c>
      <c r="I1324" s="20" t="s">
        <v>2877</v>
      </c>
      <c r="J1324" s="18" t="s">
        <v>58</v>
      </c>
      <c r="K1324" s="18" t="s">
        <v>24</v>
      </c>
      <c r="L1324" s="18" t="s">
        <v>25</v>
      </c>
      <c r="N1324" s="18" t="s">
        <v>807</v>
      </c>
    </row>
    <row r="1325" spans="1:14" ht="15" customHeight="1" x14ac:dyDescent="0.3">
      <c r="A1325" s="18" t="s">
        <v>2659</v>
      </c>
      <c r="B1325" s="19" t="s">
        <v>15</v>
      </c>
      <c r="C1325" s="18" t="s">
        <v>918</v>
      </c>
      <c r="D1325" s="18" t="s">
        <v>116</v>
      </c>
      <c r="E1325" s="18" t="s">
        <v>55</v>
      </c>
      <c r="F1325" s="18" t="s">
        <v>1088</v>
      </c>
      <c r="G1325" s="18" t="s">
        <v>41</v>
      </c>
      <c r="H1325" s="18" t="s">
        <v>2667</v>
      </c>
      <c r="I1325" s="20" t="s">
        <v>2878</v>
      </c>
      <c r="J1325" s="18" t="s">
        <v>58</v>
      </c>
      <c r="K1325" s="18" t="s">
        <v>24</v>
      </c>
      <c r="L1325" s="18" t="s">
        <v>25</v>
      </c>
      <c r="N1325" s="18" t="s">
        <v>807</v>
      </c>
    </row>
    <row r="1326" spans="1:14" ht="15" customHeight="1" x14ac:dyDescent="0.3">
      <c r="A1326" s="18" t="s">
        <v>2659</v>
      </c>
      <c r="B1326" s="19" t="s">
        <v>15</v>
      </c>
      <c r="C1326" s="18" t="s">
        <v>918</v>
      </c>
      <c r="D1326" s="18" t="s">
        <v>116</v>
      </c>
      <c r="E1326" s="18" t="s">
        <v>55</v>
      </c>
      <c r="F1326" s="18" t="s">
        <v>2879</v>
      </c>
      <c r="G1326" s="18" t="s">
        <v>537</v>
      </c>
      <c r="H1326" s="18" t="s">
        <v>2690</v>
      </c>
      <c r="I1326" s="20" t="s">
        <v>2880</v>
      </c>
      <c r="J1326" s="18" t="s">
        <v>58</v>
      </c>
      <c r="K1326" s="18" t="s">
        <v>24</v>
      </c>
      <c r="L1326" s="18" t="s">
        <v>25</v>
      </c>
      <c r="N1326" s="18" t="s">
        <v>807</v>
      </c>
    </row>
    <row r="1327" spans="1:14" ht="15" customHeight="1" x14ac:dyDescent="0.3">
      <c r="A1327" s="18" t="s">
        <v>2659</v>
      </c>
      <c r="B1327" s="19" t="s">
        <v>15</v>
      </c>
      <c r="C1327" s="18" t="s">
        <v>918</v>
      </c>
      <c r="D1327" s="18" t="s">
        <v>116</v>
      </c>
      <c r="E1327" s="18" t="s">
        <v>55</v>
      </c>
      <c r="F1327" s="18" t="s">
        <v>774</v>
      </c>
      <c r="G1327" s="18" t="s">
        <v>429</v>
      </c>
      <c r="H1327" s="18" t="s">
        <v>2739</v>
      </c>
      <c r="I1327" s="20" t="s">
        <v>2881</v>
      </c>
      <c r="J1327" s="18" t="s">
        <v>73</v>
      </c>
      <c r="K1327" s="18" t="s">
        <v>24</v>
      </c>
      <c r="L1327" s="18" t="s">
        <v>25</v>
      </c>
      <c r="N1327" s="18" t="s">
        <v>807</v>
      </c>
    </row>
    <row r="1328" spans="1:14" ht="15" customHeight="1" x14ac:dyDescent="0.3">
      <c r="A1328" s="18" t="s">
        <v>2659</v>
      </c>
      <c r="B1328" s="19" t="s">
        <v>15</v>
      </c>
      <c r="C1328" s="18" t="s">
        <v>2674</v>
      </c>
      <c r="D1328" s="18" t="s">
        <v>116</v>
      </c>
      <c r="E1328" s="18" t="s">
        <v>55</v>
      </c>
      <c r="F1328" s="18" t="s">
        <v>2882</v>
      </c>
      <c r="G1328" s="18" t="s">
        <v>47</v>
      </c>
      <c r="H1328" s="18" t="s">
        <v>2675</v>
      </c>
      <c r="I1328" s="20" t="s">
        <v>2883</v>
      </c>
      <c r="J1328" s="18" t="s">
        <v>58</v>
      </c>
      <c r="K1328" s="18" t="s">
        <v>24</v>
      </c>
      <c r="L1328" s="18" t="s">
        <v>25</v>
      </c>
      <c r="M1328" s="18" t="s">
        <v>39</v>
      </c>
      <c r="N1328" s="18" t="s">
        <v>973</v>
      </c>
    </row>
    <row r="1329" spans="1:14" ht="15" customHeight="1" x14ac:dyDescent="0.3">
      <c r="A1329" s="18" t="s">
        <v>2659</v>
      </c>
      <c r="B1329" s="19" t="s">
        <v>15</v>
      </c>
      <c r="C1329" s="18" t="s">
        <v>918</v>
      </c>
      <c r="D1329" s="18" t="s">
        <v>116</v>
      </c>
      <c r="E1329" s="18" t="s">
        <v>55</v>
      </c>
      <c r="F1329" s="18" t="s">
        <v>2884</v>
      </c>
      <c r="G1329" s="18" t="s">
        <v>41</v>
      </c>
      <c r="H1329" s="18" t="s">
        <v>2667</v>
      </c>
      <c r="I1329" s="20" t="s">
        <v>2885</v>
      </c>
      <c r="J1329" s="18" t="s">
        <v>199</v>
      </c>
      <c r="K1329" s="18" t="s">
        <v>24</v>
      </c>
      <c r="L1329" s="18" t="s">
        <v>25</v>
      </c>
      <c r="N1329" s="18" t="s">
        <v>807</v>
      </c>
    </row>
    <row r="1330" spans="1:14" ht="15" customHeight="1" x14ac:dyDescent="0.3">
      <c r="A1330" s="18" t="s">
        <v>2659</v>
      </c>
      <c r="B1330" s="19" t="s">
        <v>15</v>
      </c>
      <c r="C1330" s="18" t="s">
        <v>918</v>
      </c>
      <c r="D1330" s="18" t="s">
        <v>116</v>
      </c>
      <c r="E1330" s="18" t="s">
        <v>55</v>
      </c>
      <c r="F1330" s="18" t="s">
        <v>2886</v>
      </c>
      <c r="G1330" s="18" t="s">
        <v>47</v>
      </c>
      <c r="H1330" s="18" t="s">
        <v>2690</v>
      </c>
      <c r="I1330" s="20" t="s">
        <v>2887</v>
      </c>
      <c r="J1330" s="18" t="s">
        <v>58</v>
      </c>
      <c r="K1330" s="18" t="s">
        <v>24</v>
      </c>
      <c r="L1330" s="18" t="s">
        <v>25</v>
      </c>
      <c r="M1330" s="18" t="s">
        <v>39</v>
      </c>
      <c r="N1330" s="18" t="s">
        <v>807</v>
      </c>
    </row>
    <row r="1331" spans="1:14" ht="15" customHeight="1" x14ac:dyDescent="0.3">
      <c r="A1331" s="18" t="s">
        <v>2659</v>
      </c>
      <c r="B1331" s="19" t="s">
        <v>15</v>
      </c>
      <c r="C1331" s="18" t="s">
        <v>918</v>
      </c>
      <c r="D1331" s="18" t="s">
        <v>116</v>
      </c>
      <c r="E1331" s="18" t="s">
        <v>55</v>
      </c>
      <c r="F1331" s="18" t="s">
        <v>2888</v>
      </c>
      <c r="G1331" s="18" t="s">
        <v>273</v>
      </c>
      <c r="H1331" s="18" t="s">
        <v>2690</v>
      </c>
      <c r="I1331" s="20" t="s">
        <v>2889</v>
      </c>
      <c r="J1331" s="18" t="s">
        <v>58</v>
      </c>
      <c r="K1331" s="18" t="s">
        <v>24</v>
      </c>
      <c r="L1331" s="18" t="s">
        <v>25</v>
      </c>
      <c r="N1331" s="18" t="s">
        <v>807</v>
      </c>
    </row>
    <row r="1332" spans="1:14" ht="15" customHeight="1" x14ac:dyDescent="0.3">
      <c r="A1332" s="18" t="s">
        <v>2659</v>
      </c>
      <c r="B1332" s="19" t="s">
        <v>15</v>
      </c>
      <c r="C1332" s="18" t="s">
        <v>918</v>
      </c>
      <c r="D1332" s="18" t="s">
        <v>116</v>
      </c>
      <c r="E1332" s="18" t="s">
        <v>55</v>
      </c>
      <c r="F1332" s="18" t="s">
        <v>1871</v>
      </c>
      <c r="G1332" s="18" t="s">
        <v>207</v>
      </c>
      <c r="H1332" s="18" t="s">
        <v>2690</v>
      </c>
      <c r="I1332" s="20" t="s">
        <v>2890</v>
      </c>
      <c r="J1332" s="18" t="s">
        <v>58</v>
      </c>
      <c r="K1332" s="18" t="s">
        <v>24</v>
      </c>
      <c r="L1332" s="18" t="s">
        <v>25</v>
      </c>
      <c r="N1332" s="18" t="s">
        <v>807</v>
      </c>
    </row>
    <row r="1333" spans="1:14" ht="15" customHeight="1" x14ac:dyDescent="0.3">
      <c r="A1333" s="18" t="s">
        <v>2659</v>
      </c>
      <c r="B1333" s="19" t="s">
        <v>15</v>
      </c>
      <c r="C1333" s="18" t="s">
        <v>918</v>
      </c>
      <c r="D1333" s="18" t="s">
        <v>116</v>
      </c>
      <c r="E1333" s="18" t="s">
        <v>55</v>
      </c>
      <c r="F1333" s="18" t="s">
        <v>2796</v>
      </c>
      <c r="G1333" s="18" t="s">
        <v>207</v>
      </c>
      <c r="H1333" s="18" t="s">
        <v>2667</v>
      </c>
      <c r="I1333" s="20" t="s">
        <v>2891</v>
      </c>
      <c r="J1333" s="18" t="s">
        <v>58</v>
      </c>
      <c r="K1333" s="18" t="s">
        <v>24</v>
      </c>
      <c r="L1333" s="18" t="s">
        <v>25</v>
      </c>
      <c r="N1333" s="18" t="s">
        <v>807</v>
      </c>
    </row>
    <row r="1334" spans="1:14" ht="15" customHeight="1" x14ac:dyDescent="0.3">
      <c r="A1334" s="18" t="s">
        <v>2659</v>
      </c>
      <c r="B1334" s="19" t="s">
        <v>15</v>
      </c>
      <c r="C1334" s="18" t="s">
        <v>918</v>
      </c>
      <c r="D1334" s="18" t="s">
        <v>116</v>
      </c>
      <c r="E1334" s="18" t="s">
        <v>55</v>
      </c>
      <c r="F1334" s="18" t="s">
        <v>2892</v>
      </c>
      <c r="G1334" s="18" t="s">
        <v>20</v>
      </c>
      <c r="H1334" s="18" t="s">
        <v>2739</v>
      </c>
      <c r="I1334" s="20" t="s">
        <v>2893</v>
      </c>
      <c r="J1334" s="18" t="s">
        <v>58</v>
      </c>
      <c r="K1334" s="18" t="s">
        <v>24</v>
      </c>
      <c r="L1334" s="18" t="s">
        <v>25</v>
      </c>
      <c r="N1334" s="18" t="s">
        <v>807</v>
      </c>
    </row>
    <row r="1335" spans="1:14" ht="15" customHeight="1" x14ac:dyDescent="0.3">
      <c r="A1335" s="18" t="s">
        <v>2659</v>
      </c>
      <c r="B1335" s="19" t="s">
        <v>15</v>
      </c>
      <c r="C1335" s="18" t="s">
        <v>918</v>
      </c>
      <c r="D1335" s="18" t="s">
        <v>116</v>
      </c>
      <c r="E1335" s="18" t="s">
        <v>55</v>
      </c>
      <c r="F1335" s="18" t="s">
        <v>2516</v>
      </c>
      <c r="G1335" s="18" t="s">
        <v>637</v>
      </c>
      <c r="H1335" s="18" t="s">
        <v>2662</v>
      </c>
      <c r="I1335" s="20" t="s">
        <v>2894</v>
      </c>
      <c r="J1335" s="18" t="s">
        <v>58</v>
      </c>
      <c r="K1335" s="18" t="s">
        <v>24</v>
      </c>
      <c r="L1335" s="18" t="s">
        <v>25</v>
      </c>
      <c r="N1335" s="18" t="s">
        <v>807</v>
      </c>
    </row>
    <row r="1336" spans="1:14" ht="15" customHeight="1" x14ac:dyDescent="0.3">
      <c r="A1336" s="18" t="s">
        <v>2659</v>
      </c>
      <c r="B1336" s="19" t="s">
        <v>15</v>
      </c>
      <c r="C1336" s="18" t="s">
        <v>918</v>
      </c>
      <c r="D1336" s="18" t="s">
        <v>116</v>
      </c>
      <c r="E1336" s="18" t="s">
        <v>55</v>
      </c>
      <c r="F1336" s="18" t="s">
        <v>2895</v>
      </c>
      <c r="G1336" s="18" t="s">
        <v>1502</v>
      </c>
      <c r="H1336" s="18" t="s">
        <v>2739</v>
      </c>
      <c r="I1336" s="20" t="s">
        <v>2896</v>
      </c>
      <c r="J1336" s="18" t="s">
        <v>73</v>
      </c>
      <c r="K1336" s="18" t="s">
        <v>24</v>
      </c>
      <c r="L1336" s="18" t="s">
        <v>25</v>
      </c>
      <c r="N1336" s="18" t="s">
        <v>807</v>
      </c>
    </row>
    <row r="1337" spans="1:14" ht="15" customHeight="1" x14ac:dyDescent="0.3">
      <c r="A1337" s="18" t="s">
        <v>2659</v>
      </c>
      <c r="B1337" s="19" t="s">
        <v>15</v>
      </c>
      <c r="C1337" s="18" t="s">
        <v>918</v>
      </c>
      <c r="D1337" s="18" t="s">
        <v>116</v>
      </c>
      <c r="E1337" s="18" t="s">
        <v>55</v>
      </c>
      <c r="F1337" s="18" t="s">
        <v>2897</v>
      </c>
      <c r="G1337" s="18" t="s">
        <v>913</v>
      </c>
      <c r="H1337" s="18" t="s">
        <v>2662</v>
      </c>
      <c r="I1337" s="20" t="s">
        <v>2898</v>
      </c>
      <c r="J1337" s="18" t="s">
        <v>58</v>
      </c>
      <c r="K1337" s="18" t="s">
        <v>24</v>
      </c>
      <c r="L1337" s="18" t="s">
        <v>25</v>
      </c>
      <c r="N1337" s="18" t="s">
        <v>807</v>
      </c>
    </row>
    <row r="1338" spans="1:14" ht="15" customHeight="1" x14ac:dyDescent="0.3">
      <c r="A1338" s="18" t="s">
        <v>2659</v>
      </c>
      <c r="B1338" s="19" t="s">
        <v>15</v>
      </c>
      <c r="C1338" s="18" t="s">
        <v>918</v>
      </c>
      <c r="D1338" s="18" t="s">
        <v>116</v>
      </c>
      <c r="E1338" s="18" t="s">
        <v>55</v>
      </c>
      <c r="F1338" s="18" t="s">
        <v>2899</v>
      </c>
      <c r="G1338" s="18" t="s">
        <v>41</v>
      </c>
      <c r="H1338" s="18" t="s">
        <v>2667</v>
      </c>
      <c r="I1338" s="20" t="s">
        <v>2900</v>
      </c>
      <c r="J1338" s="18" t="s">
        <v>58</v>
      </c>
      <c r="K1338" s="18" t="s">
        <v>24</v>
      </c>
      <c r="L1338" s="18" t="s">
        <v>25</v>
      </c>
      <c r="N1338" s="18" t="s">
        <v>807</v>
      </c>
    </row>
    <row r="1339" spans="1:14" ht="15" customHeight="1" x14ac:dyDescent="0.3">
      <c r="A1339" s="18" t="s">
        <v>2659</v>
      </c>
      <c r="B1339" s="19" t="s">
        <v>15</v>
      </c>
      <c r="C1339" s="18" t="s">
        <v>918</v>
      </c>
      <c r="D1339" s="18" t="s">
        <v>116</v>
      </c>
      <c r="E1339" s="18" t="s">
        <v>55</v>
      </c>
      <c r="F1339" s="18" t="s">
        <v>2027</v>
      </c>
      <c r="G1339" s="18" t="s">
        <v>619</v>
      </c>
      <c r="H1339" s="18" t="s">
        <v>2667</v>
      </c>
      <c r="I1339" s="20" t="s">
        <v>2901</v>
      </c>
      <c r="J1339" s="18" t="s">
        <v>58</v>
      </c>
      <c r="K1339" s="18" t="s">
        <v>24</v>
      </c>
      <c r="L1339" s="18" t="s">
        <v>25</v>
      </c>
      <c r="N1339" s="18" t="s">
        <v>807</v>
      </c>
    </row>
    <row r="1340" spans="1:14" ht="15" customHeight="1" x14ac:dyDescent="0.3">
      <c r="A1340" s="18" t="s">
        <v>2659</v>
      </c>
      <c r="B1340" s="19" t="s">
        <v>15</v>
      </c>
      <c r="C1340" s="18" t="s">
        <v>918</v>
      </c>
      <c r="D1340" s="18" t="s">
        <v>116</v>
      </c>
      <c r="E1340" s="18" t="s">
        <v>55</v>
      </c>
      <c r="F1340" s="18" t="s">
        <v>2902</v>
      </c>
      <c r="G1340" s="18" t="s">
        <v>537</v>
      </c>
      <c r="H1340" s="18" t="s">
        <v>2690</v>
      </c>
      <c r="I1340" s="20" t="s">
        <v>2903</v>
      </c>
      <c r="J1340" s="18" t="s">
        <v>58</v>
      </c>
      <c r="K1340" s="18" t="s">
        <v>24</v>
      </c>
      <c r="L1340" s="18" t="s">
        <v>25</v>
      </c>
      <c r="N1340" s="18" t="s">
        <v>807</v>
      </c>
    </row>
    <row r="1341" spans="1:14" ht="15" customHeight="1" x14ac:dyDescent="0.3">
      <c r="A1341" s="18" t="s">
        <v>2659</v>
      </c>
      <c r="B1341" s="19" t="s">
        <v>15</v>
      </c>
      <c r="C1341" s="18" t="s">
        <v>918</v>
      </c>
      <c r="D1341" s="18" t="s">
        <v>116</v>
      </c>
      <c r="E1341" s="18" t="s">
        <v>74</v>
      </c>
      <c r="F1341" s="18" t="s">
        <v>2904</v>
      </c>
      <c r="G1341" s="18" t="s">
        <v>273</v>
      </c>
      <c r="H1341" s="18" t="s">
        <v>2905</v>
      </c>
      <c r="I1341" s="20" t="s">
        <v>2906</v>
      </c>
      <c r="J1341" s="18" t="s">
        <v>2907</v>
      </c>
      <c r="K1341" s="18" t="s">
        <v>24</v>
      </c>
      <c r="L1341" s="18" t="s">
        <v>25</v>
      </c>
      <c r="N1341" s="18" t="s">
        <v>807</v>
      </c>
    </row>
    <row r="1342" spans="1:14" ht="15" customHeight="1" x14ac:dyDescent="0.3">
      <c r="A1342" s="18" t="s">
        <v>2659</v>
      </c>
      <c r="B1342" s="19" t="s">
        <v>15</v>
      </c>
      <c r="C1342" s="18" t="s">
        <v>918</v>
      </c>
      <c r="D1342" s="18" t="s">
        <v>116</v>
      </c>
      <c r="E1342" s="18" t="s">
        <v>74</v>
      </c>
      <c r="F1342" s="18" t="s">
        <v>2908</v>
      </c>
      <c r="G1342" s="18" t="s">
        <v>1019</v>
      </c>
      <c r="H1342" s="18" t="s">
        <v>2905</v>
      </c>
      <c r="I1342" s="20" t="s">
        <v>2909</v>
      </c>
      <c r="J1342" s="18" t="s">
        <v>2910</v>
      </c>
      <c r="K1342" s="18" t="s">
        <v>24</v>
      </c>
      <c r="L1342" s="18" t="s">
        <v>25</v>
      </c>
      <c r="N1342" s="18" t="s">
        <v>807</v>
      </c>
    </row>
    <row r="1343" spans="1:14" ht="15" customHeight="1" x14ac:dyDescent="0.3">
      <c r="A1343" s="18" t="s">
        <v>2659</v>
      </c>
      <c r="B1343" s="19" t="s">
        <v>15</v>
      </c>
      <c r="C1343" s="18" t="s">
        <v>918</v>
      </c>
      <c r="D1343" s="18" t="s">
        <v>116</v>
      </c>
      <c r="E1343" s="18" t="s">
        <v>74</v>
      </c>
      <c r="F1343" s="18" t="s">
        <v>2911</v>
      </c>
      <c r="G1343" s="18" t="s">
        <v>429</v>
      </c>
      <c r="H1343" s="18" t="s">
        <v>2912</v>
      </c>
      <c r="I1343" s="20" t="s">
        <v>2913</v>
      </c>
      <c r="J1343" s="18" t="s">
        <v>832</v>
      </c>
      <c r="K1343" s="18" t="s">
        <v>293</v>
      </c>
      <c r="L1343" s="18" t="s">
        <v>25</v>
      </c>
      <c r="N1343" s="18" t="s">
        <v>807</v>
      </c>
    </row>
    <row r="1344" spans="1:14" ht="15" customHeight="1" x14ac:dyDescent="0.3">
      <c r="A1344" s="18" t="s">
        <v>2659</v>
      </c>
      <c r="B1344" s="19" t="s">
        <v>15</v>
      </c>
      <c r="C1344" s="18" t="s">
        <v>918</v>
      </c>
      <c r="D1344" s="18" t="s">
        <v>116</v>
      </c>
      <c r="E1344" s="18" t="s">
        <v>74</v>
      </c>
      <c r="F1344" s="18" t="s">
        <v>2914</v>
      </c>
      <c r="G1344" s="18" t="s">
        <v>606</v>
      </c>
      <c r="H1344" s="18" t="s">
        <v>2912</v>
      </c>
      <c r="I1344" s="20" t="s">
        <v>2915</v>
      </c>
      <c r="J1344" s="18" t="s">
        <v>2916</v>
      </c>
      <c r="K1344" s="18" t="s">
        <v>24</v>
      </c>
      <c r="L1344" s="18" t="s">
        <v>25</v>
      </c>
      <c r="N1344" s="18" t="s">
        <v>807</v>
      </c>
    </row>
    <row r="1345" spans="1:14" ht="15" customHeight="1" x14ac:dyDescent="0.3">
      <c r="A1345" s="18" t="s">
        <v>2659</v>
      </c>
      <c r="B1345" s="19" t="s">
        <v>15</v>
      </c>
      <c r="C1345" s="18" t="s">
        <v>2674</v>
      </c>
      <c r="D1345" s="18" t="s">
        <v>116</v>
      </c>
      <c r="E1345" s="18" t="s">
        <v>74</v>
      </c>
      <c r="F1345" s="18" t="s">
        <v>1719</v>
      </c>
      <c r="G1345" s="18" t="s">
        <v>212</v>
      </c>
      <c r="H1345" s="18" t="s">
        <v>2917</v>
      </c>
      <c r="I1345" s="20" t="s">
        <v>2918</v>
      </c>
      <c r="J1345" s="18" t="s">
        <v>2919</v>
      </c>
      <c r="K1345" s="18" t="s">
        <v>24</v>
      </c>
      <c r="L1345" s="18" t="s">
        <v>25</v>
      </c>
      <c r="N1345" s="18" t="s">
        <v>973</v>
      </c>
    </row>
    <row r="1346" spans="1:14" ht="15" customHeight="1" x14ac:dyDescent="0.3">
      <c r="A1346" s="18" t="s">
        <v>2659</v>
      </c>
      <c r="B1346" s="19" t="s">
        <v>15</v>
      </c>
      <c r="C1346" s="18" t="s">
        <v>918</v>
      </c>
      <c r="D1346" s="18" t="s">
        <v>116</v>
      </c>
      <c r="E1346" s="18" t="s">
        <v>74</v>
      </c>
      <c r="F1346" s="18" t="s">
        <v>2920</v>
      </c>
      <c r="G1346" s="18" t="s">
        <v>2921</v>
      </c>
      <c r="H1346" s="18" t="s">
        <v>2905</v>
      </c>
      <c r="I1346" s="20" t="s">
        <v>2922</v>
      </c>
      <c r="J1346" s="18" t="s">
        <v>2923</v>
      </c>
      <c r="K1346" s="18" t="s">
        <v>24</v>
      </c>
      <c r="L1346" s="18" t="s">
        <v>25</v>
      </c>
      <c r="N1346" s="18" t="s">
        <v>807</v>
      </c>
    </row>
    <row r="1347" spans="1:14" ht="15" customHeight="1" x14ac:dyDescent="0.3">
      <c r="A1347" s="18" t="s">
        <v>2659</v>
      </c>
      <c r="B1347" s="19" t="s">
        <v>15</v>
      </c>
      <c r="C1347" s="18" t="s">
        <v>918</v>
      </c>
      <c r="D1347" s="18" t="s">
        <v>116</v>
      </c>
      <c r="E1347" s="18" t="s">
        <v>74</v>
      </c>
      <c r="F1347" s="18" t="s">
        <v>349</v>
      </c>
      <c r="G1347" s="18" t="s">
        <v>160</v>
      </c>
      <c r="H1347" s="18" t="s">
        <v>2905</v>
      </c>
      <c r="I1347" s="20" t="s">
        <v>2924</v>
      </c>
      <c r="J1347" s="18" t="s">
        <v>2925</v>
      </c>
      <c r="K1347" s="18" t="s">
        <v>24</v>
      </c>
      <c r="L1347" s="18" t="s">
        <v>25</v>
      </c>
      <c r="N1347" s="18" t="s">
        <v>807</v>
      </c>
    </row>
    <row r="1348" spans="1:14" ht="15" customHeight="1" x14ac:dyDescent="0.3">
      <c r="A1348" s="18" t="s">
        <v>2659</v>
      </c>
      <c r="B1348" s="19" t="s">
        <v>15</v>
      </c>
      <c r="C1348" s="18" t="s">
        <v>918</v>
      </c>
      <c r="D1348" s="18" t="s">
        <v>116</v>
      </c>
      <c r="E1348" s="18" t="s">
        <v>74</v>
      </c>
      <c r="F1348" s="18" t="s">
        <v>2926</v>
      </c>
      <c r="G1348" s="18" t="s">
        <v>207</v>
      </c>
      <c r="H1348" s="18" t="s">
        <v>2905</v>
      </c>
      <c r="I1348" s="20" t="s">
        <v>2927</v>
      </c>
      <c r="J1348" s="18" t="s">
        <v>2928</v>
      </c>
      <c r="K1348" s="18" t="s">
        <v>24</v>
      </c>
      <c r="L1348" s="18" t="s">
        <v>25</v>
      </c>
      <c r="N1348" s="18" t="s">
        <v>807</v>
      </c>
    </row>
    <row r="1349" spans="1:14" ht="15" customHeight="1" x14ac:dyDescent="0.3">
      <c r="A1349" s="18" t="s">
        <v>2659</v>
      </c>
      <c r="B1349" s="19" t="s">
        <v>15</v>
      </c>
      <c r="C1349" s="18" t="s">
        <v>918</v>
      </c>
      <c r="D1349" s="18" t="s">
        <v>116</v>
      </c>
      <c r="E1349" s="18" t="s">
        <v>74</v>
      </c>
      <c r="F1349" s="18" t="s">
        <v>2929</v>
      </c>
      <c r="G1349" s="18" t="s">
        <v>28</v>
      </c>
      <c r="H1349" s="18" t="s">
        <v>2905</v>
      </c>
      <c r="I1349" s="20" t="s">
        <v>2930</v>
      </c>
      <c r="J1349" s="18" t="s">
        <v>2931</v>
      </c>
      <c r="K1349" s="18" t="s">
        <v>24</v>
      </c>
      <c r="L1349" s="18" t="s">
        <v>25</v>
      </c>
      <c r="N1349" s="18" t="s">
        <v>807</v>
      </c>
    </row>
    <row r="1350" spans="1:14" ht="15" customHeight="1" x14ac:dyDescent="0.3">
      <c r="A1350" s="18" t="s">
        <v>2659</v>
      </c>
      <c r="B1350" s="19" t="s">
        <v>15</v>
      </c>
      <c r="C1350" s="18" t="s">
        <v>918</v>
      </c>
      <c r="D1350" s="18" t="s">
        <v>116</v>
      </c>
      <c r="E1350" s="18" t="s">
        <v>74</v>
      </c>
      <c r="F1350" s="18" t="s">
        <v>2932</v>
      </c>
      <c r="G1350" s="18" t="s">
        <v>1019</v>
      </c>
      <c r="H1350" s="18" t="s">
        <v>2905</v>
      </c>
      <c r="I1350" s="20" t="s">
        <v>2933</v>
      </c>
      <c r="J1350" s="18" t="s">
        <v>2934</v>
      </c>
      <c r="K1350" s="18" t="s">
        <v>24</v>
      </c>
      <c r="L1350" s="18" t="s">
        <v>25</v>
      </c>
      <c r="N1350" s="18" t="s">
        <v>807</v>
      </c>
    </row>
    <row r="1351" spans="1:14" ht="15" customHeight="1" x14ac:dyDescent="0.3">
      <c r="A1351" s="18" t="s">
        <v>2659</v>
      </c>
      <c r="B1351" s="19" t="s">
        <v>15</v>
      </c>
      <c r="C1351" s="18" t="s">
        <v>918</v>
      </c>
      <c r="D1351" s="18" t="s">
        <v>116</v>
      </c>
      <c r="E1351" s="18" t="s">
        <v>74</v>
      </c>
      <c r="F1351" s="18" t="s">
        <v>2935</v>
      </c>
      <c r="G1351" s="18" t="s">
        <v>429</v>
      </c>
      <c r="H1351" s="18" t="s">
        <v>2912</v>
      </c>
      <c r="I1351" s="20" t="s">
        <v>2936</v>
      </c>
      <c r="J1351" s="18" t="s">
        <v>2937</v>
      </c>
      <c r="K1351" s="18" t="s">
        <v>24</v>
      </c>
      <c r="L1351" s="18" t="s">
        <v>25</v>
      </c>
      <c r="N1351" s="18" t="s">
        <v>807</v>
      </c>
    </row>
    <row r="1352" spans="1:14" ht="15" customHeight="1" x14ac:dyDescent="0.3">
      <c r="A1352" s="18" t="s">
        <v>2659</v>
      </c>
      <c r="B1352" s="19" t="s">
        <v>15</v>
      </c>
      <c r="C1352" s="18" t="s">
        <v>918</v>
      </c>
      <c r="D1352" s="18" t="s">
        <v>116</v>
      </c>
      <c r="E1352" s="18" t="s">
        <v>74</v>
      </c>
      <c r="F1352" s="18" t="s">
        <v>2938</v>
      </c>
      <c r="G1352" s="18" t="s">
        <v>429</v>
      </c>
      <c r="H1352" s="18" t="s">
        <v>2912</v>
      </c>
      <c r="I1352" s="20" t="s">
        <v>2939</v>
      </c>
      <c r="J1352" s="18" t="s">
        <v>2940</v>
      </c>
      <c r="K1352" s="18" t="s">
        <v>24</v>
      </c>
      <c r="L1352" s="18" t="s">
        <v>25</v>
      </c>
      <c r="N1352" s="18" t="s">
        <v>807</v>
      </c>
    </row>
    <row r="1353" spans="1:14" ht="15" customHeight="1" x14ac:dyDescent="0.3">
      <c r="A1353" s="18" t="s">
        <v>2659</v>
      </c>
      <c r="B1353" s="19" t="s">
        <v>15</v>
      </c>
      <c r="C1353" s="18" t="s">
        <v>918</v>
      </c>
      <c r="D1353" s="18" t="s">
        <v>116</v>
      </c>
      <c r="E1353" s="18" t="s">
        <v>74</v>
      </c>
      <c r="F1353" s="18" t="s">
        <v>2941</v>
      </c>
      <c r="G1353" s="18" t="s">
        <v>273</v>
      </c>
      <c r="H1353" s="18" t="s">
        <v>2905</v>
      </c>
      <c r="I1353" s="20" t="s">
        <v>2942</v>
      </c>
      <c r="J1353" s="18" t="s">
        <v>2943</v>
      </c>
      <c r="K1353" s="18" t="s">
        <v>24</v>
      </c>
      <c r="L1353" s="18" t="s">
        <v>25</v>
      </c>
      <c r="N1353" s="18" t="s">
        <v>807</v>
      </c>
    </row>
    <row r="1354" spans="1:14" ht="15" customHeight="1" x14ac:dyDescent="0.3">
      <c r="A1354" s="18" t="s">
        <v>2659</v>
      </c>
      <c r="B1354" s="19" t="s">
        <v>15</v>
      </c>
      <c r="C1354" s="18" t="s">
        <v>918</v>
      </c>
      <c r="D1354" s="18" t="s">
        <v>116</v>
      </c>
      <c r="E1354" s="18" t="s">
        <v>74</v>
      </c>
      <c r="F1354" s="18" t="s">
        <v>2944</v>
      </c>
      <c r="G1354" s="18" t="s">
        <v>273</v>
      </c>
      <c r="H1354" s="18" t="s">
        <v>2905</v>
      </c>
      <c r="I1354" s="20" t="s">
        <v>2945</v>
      </c>
      <c r="J1354" s="18" t="s">
        <v>2946</v>
      </c>
      <c r="K1354" s="18" t="s">
        <v>24</v>
      </c>
      <c r="L1354" s="18" t="s">
        <v>25</v>
      </c>
      <c r="N1354" s="18" t="s">
        <v>807</v>
      </c>
    </row>
    <row r="1355" spans="1:14" ht="15" customHeight="1" x14ac:dyDescent="0.3">
      <c r="A1355" s="18" t="s">
        <v>2659</v>
      </c>
      <c r="B1355" s="19" t="s">
        <v>15</v>
      </c>
      <c r="C1355" s="18" t="s">
        <v>918</v>
      </c>
      <c r="D1355" s="18" t="s">
        <v>116</v>
      </c>
      <c r="E1355" s="18" t="s">
        <v>74</v>
      </c>
      <c r="F1355" s="18" t="s">
        <v>2848</v>
      </c>
      <c r="G1355" s="18" t="s">
        <v>273</v>
      </c>
      <c r="H1355" s="18" t="s">
        <v>2905</v>
      </c>
      <c r="I1355" s="20" t="s">
        <v>2947</v>
      </c>
      <c r="J1355" s="18" t="s">
        <v>2948</v>
      </c>
      <c r="K1355" s="18" t="s">
        <v>24</v>
      </c>
      <c r="L1355" s="18" t="s">
        <v>25</v>
      </c>
      <c r="N1355" s="18" t="s">
        <v>807</v>
      </c>
    </row>
    <row r="1356" spans="1:14" ht="15" customHeight="1" x14ac:dyDescent="0.3">
      <c r="A1356" s="18" t="s">
        <v>2659</v>
      </c>
      <c r="B1356" s="19" t="s">
        <v>15</v>
      </c>
      <c r="C1356" s="18" t="s">
        <v>918</v>
      </c>
      <c r="D1356" s="18" t="s">
        <v>116</v>
      </c>
      <c r="E1356" s="18" t="s">
        <v>74</v>
      </c>
      <c r="F1356" s="18" t="s">
        <v>2850</v>
      </c>
      <c r="G1356" s="18" t="s">
        <v>273</v>
      </c>
      <c r="H1356" s="18" t="s">
        <v>2905</v>
      </c>
      <c r="I1356" s="20" t="s">
        <v>2949</v>
      </c>
      <c r="J1356" s="18" t="s">
        <v>2950</v>
      </c>
      <c r="K1356" s="18" t="s">
        <v>24</v>
      </c>
      <c r="L1356" s="18" t="s">
        <v>25</v>
      </c>
      <c r="N1356" s="18" t="s">
        <v>807</v>
      </c>
    </row>
    <row r="1357" spans="1:14" ht="15" customHeight="1" x14ac:dyDescent="0.3">
      <c r="A1357" s="18" t="s">
        <v>2659</v>
      </c>
      <c r="B1357" s="19" t="s">
        <v>15</v>
      </c>
      <c r="C1357" s="18" t="s">
        <v>918</v>
      </c>
      <c r="D1357" s="18" t="s">
        <v>116</v>
      </c>
      <c r="E1357" s="18" t="s">
        <v>74</v>
      </c>
      <c r="F1357" s="18" t="s">
        <v>2951</v>
      </c>
      <c r="G1357" s="18" t="s">
        <v>273</v>
      </c>
      <c r="H1357" s="18" t="s">
        <v>2905</v>
      </c>
      <c r="I1357" s="20" t="s">
        <v>2952</v>
      </c>
      <c r="J1357" s="18" t="s">
        <v>2953</v>
      </c>
      <c r="K1357" s="18" t="s">
        <v>91</v>
      </c>
      <c r="L1357" s="18" t="s">
        <v>25</v>
      </c>
      <c r="N1357" s="18" t="s">
        <v>807</v>
      </c>
    </row>
    <row r="1358" spans="1:14" ht="15" customHeight="1" x14ac:dyDescent="0.3">
      <c r="A1358" s="18" t="s">
        <v>2659</v>
      </c>
      <c r="B1358" s="19" t="s">
        <v>15</v>
      </c>
      <c r="C1358" s="18" t="s">
        <v>918</v>
      </c>
      <c r="D1358" s="18" t="s">
        <v>116</v>
      </c>
      <c r="E1358" s="18" t="s">
        <v>74</v>
      </c>
      <c r="F1358" s="18" t="s">
        <v>2954</v>
      </c>
      <c r="G1358" s="18" t="s">
        <v>20</v>
      </c>
      <c r="H1358" s="18" t="s">
        <v>2912</v>
      </c>
      <c r="I1358" s="20" t="s">
        <v>2955</v>
      </c>
      <c r="J1358" s="18" t="s">
        <v>2956</v>
      </c>
      <c r="K1358" s="18" t="s">
        <v>24</v>
      </c>
      <c r="L1358" s="18" t="s">
        <v>25</v>
      </c>
      <c r="N1358" s="18" t="s">
        <v>807</v>
      </c>
    </row>
    <row r="1359" spans="1:14" ht="15" customHeight="1" x14ac:dyDescent="0.3">
      <c r="A1359" s="18" t="s">
        <v>2659</v>
      </c>
      <c r="B1359" s="19" t="s">
        <v>15</v>
      </c>
      <c r="C1359" s="18" t="s">
        <v>918</v>
      </c>
      <c r="D1359" s="18" t="s">
        <v>116</v>
      </c>
      <c r="E1359" s="18" t="s">
        <v>74</v>
      </c>
      <c r="F1359" s="18" t="s">
        <v>2957</v>
      </c>
      <c r="G1359" s="18" t="s">
        <v>920</v>
      </c>
      <c r="H1359" s="18" t="s">
        <v>2958</v>
      </c>
      <c r="I1359" s="20" t="s">
        <v>2959</v>
      </c>
      <c r="J1359" s="18" t="s">
        <v>2960</v>
      </c>
      <c r="K1359" s="18" t="s">
        <v>91</v>
      </c>
      <c r="L1359" s="18" t="s">
        <v>25</v>
      </c>
      <c r="N1359" s="18" t="s">
        <v>807</v>
      </c>
    </row>
    <row r="1360" spans="1:14" ht="15" customHeight="1" x14ac:dyDescent="0.3">
      <c r="A1360" s="18" t="s">
        <v>2659</v>
      </c>
      <c r="B1360" s="19" t="s">
        <v>15</v>
      </c>
      <c r="C1360" s="18" t="s">
        <v>918</v>
      </c>
      <c r="D1360" s="18" t="s">
        <v>116</v>
      </c>
      <c r="E1360" s="18" t="s">
        <v>74</v>
      </c>
      <c r="F1360" s="18" t="s">
        <v>2961</v>
      </c>
      <c r="G1360" s="18" t="s">
        <v>41</v>
      </c>
      <c r="H1360" s="18" t="s">
        <v>2912</v>
      </c>
      <c r="I1360" s="20" t="s">
        <v>2962</v>
      </c>
      <c r="J1360" s="18" t="s">
        <v>2963</v>
      </c>
      <c r="K1360" s="18" t="s">
        <v>24</v>
      </c>
      <c r="L1360" s="18" t="s">
        <v>25</v>
      </c>
      <c r="N1360" s="18" t="s">
        <v>807</v>
      </c>
    </row>
    <row r="1361" spans="1:14" ht="15" customHeight="1" x14ac:dyDescent="0.3">
      <c r="A1361" s="18" t="s">
        <v>2659</v>
      </c>
      <c r="B1361" s="19" t="s">
        <v>15</v>
      </c>
      <c r="C1361" s="18" t="s">
        <v>918</v>
      </c>
      <c r="D1361" s="18" t="s">
        <v>116</v>
      </c>
      <c r="E1361" s="18" t="s">
        <v>74</v>
      </c>
      <c r="F1361" s="18" t="s">
        <v>2964</v>
      </c>
      <c r="G1361" s="18" t="s">
        <v>1019</v>
      </c>
      <c r="H1361" s="18" t="s">
        <v>2905</v>
      </c>
      <c r="I1361" s="20" t="s">
        <v>2965</v>
      </c>
      <c r="J1361" s="18" t="s">
        <v>2966</v>
      </c>
      <c r="K1361" s="18" t="s">
        <v>24</v>
      </c>
      <c r="L1361" s="18" t="s">
        <v>25</v>
      </c>
      <c r="N1361" s="18" t="s">
        <v>807</v>
      </c>
    </row>
    <row r="1362" spans="1:14" ht="15" customHeight="1" x14ac:dyDescent="0.3">
      <c r="A1362" s="18" t="s">
        <v>2659</v>
      </c>
      <c r="B1362" s="19" t="s">
        <v>15</v>
      </c>
      <c r="C1362" s="18" t="s">
        <v>918</v>
      </c>
      <c r="D1362" s="18" t="s">
        <v>116</v>
      </c>
      <c r="E1362" s="18" t="s">
        <v>74</v>
      </c>
      <c r="F1362" s="18" t="s">
        <v>755</v>
      </c>
      <c r="G1362" s="18" t="s">
        <v>88</v>
      </c>
      <c r="H1362" s="18" t="s">
        <v>2912</v>
      </c>
      <c r="I1362" s="20" t="s">
        <v>2967</v>
      </c>
      <c r="J1362" s="18" t="s">
        <v>2968</v>
      </c>
      <c r="K1362" s="18" t="s">
        <v>24</v>
      </c>
      <c r="L1362" s="18" t="s">
        <v>25</v>
      </c>
      <c r="N1362" s="18" t="s">
        <v>807</v>
      </c>
    </row>
    <row r="1363" spans="1:14" ht="15" customHeight="1" x14ac:dyDescent="0.3">
      <c r="A1363" s="18" t="s">
        <v>2659</v>
      </c>
      <c r="B1363" s="19" t="s">
        <v>15</v>
      </c>
      <c r="C1363" s="18" t="s">
        <v>918</v>
      </c>
      <c r="D1363" s="18" t="s">
        <v>116</v>
      </c>
      <c r="E1363" s="18" t="s">
        <v>74</v>
      </c>
      <c r="F1363" s="18" t="s">
        <v>2969</v>
      </c>
      <c r="G1363" s="18" t="s">
        <v>28</v>
      </c>
      <c r="H1363" s="18" t="s">
        <v>2905</v>
      </c>
      <c r="I1363" s="20" t="s">
        <v>2970</v>
      </c>
      <c r="J1363" s="18" t="s">
        <v>2971</v>
      </c>
      <c r="K1363" s="18" t="s">
        <v>24</v>
      </c>
      <c r="L1363" s="18" t="s">
        <v>25</v>
      </c>
      <c r="N1363" s="18" t="s">
        <v>807</v>
      </c>
    </row>
    <row r="1364" spans="1:14" ht="15" customHeight="1" x14ac:dyDescent="0.3">
      <c r="A1364" s="18" t="s">
        <v>2659</v>
      </c>
      <c r="B1364" s="19" t="s">
        <v>15</v>
      </c>
      <c r="C1364" s="18" t="s">
        <v>918</v>
      </c>
      <c r="D1364" s="18" t="s">
        <v>116</v>
      </c>
      <c r="E1364" s="18" t="s">
        <v>74</v>
      </c>
      <c r="F1364" s="18" t="s">
        <v>2972</v>
      </c>
      <c r="G1364" s="18" t="s">
        <v>20</v>
      </c>
      <c r="H1364" s="18" t="s">
        <v>2912</v>
      </c>
      <c r="I1364" s="20" t="s">
        <v>2973</v>
      </c>
      <c r="J1364" s="18" t="s">
        <v>2974</v>
      </c>
      <c r="K1364" s="18" t="s">
        <v>24</v>
      </c>
      <c r="L1364" s="18" t="s">
        <v>25</v>
      </c>
      <c r="N1364" s="18" t="s">
        <v>807</v>
      </c>
    </row>
    <row r="1365" spans="1:14" ht="15" customHeight="1" x14ac:dyDescent="0.3">
      <c r="A1365" s="18" t="s">
        <v>2659</v>
      </c>
      <c r="B1365" s="19" t="s">
        <v>15</v>
      </c>
      <c r="C1365" s="18" t="s">
        <v>918</v>
      </c>
      <c r="D1365" s="18" t="s">
        <v>116</v>
      </c>
      <c r="E1365" s="18" t="s">
        <v>74</v>
      </c>
      <c r="F1365" s="18" t="s">
        <v>2975</v>
      </c>
      <c r="G1365" s="18" t="s">
        <v>263</v>
      </c>
      <c r="H1365" s="18" t="s">
        <v>2905</v>
      </c>
      <c r="I1365" s="20" t="s">
        <v>2976</v>
      </c>
      <c r="J1365" s="18" t="s">
        <v>2977</v>
      </c>
      <c r="K1365" s="18" t="s">
        <v>24</v>
      </c>
      <c r="L1365" s="18" t="s">
        <v>25</v>
      </c>
      <c r="N1365" s="18" t="s">
        <v>807</v>
      </c>
    </row>
    <row r="1366" spans="1:14" ht="15" customHeight="1" x14ac:dyDescent="0.3">
      <c r="A1366" s="18" t="s">
        <v>2659</v>
      </c>
      <c r="B1366" s="19" t="s">
        <v>15</v>
      </c>
      <c r="C1366" s="18" t="s">
        <v>918</v>
      </c>
      <c r="D1366" s="18" t="s">
        <v>116</v>
      </c>
      <c r="E1366" s="18" t="s">
        <v>74</v>
      </c>
      <c r="F1366" s="18" t="s">
        <v>2978</v>
      </c>
      <c r="G1366" s="18" t="s">
        <v>433</v>
      </c>
      <c r="H1366" s="18" t="s">
        <v>2912</v>
      </c>
      <c r="I1366" s="20" t="s">
        <v>2979</v>
      </c>
      <c r="J1366" s="18" t="s">
        <v>832</v>
      </c>
      <c r="K1366" s="18" t="s">
        <v>293</v>
      </c>
      <c r="L1366" s="18" t="s">
        <v>25</v>
      </c>
      <c r="N1366" s="18" t="s">
        <v>807</v>
      </c>
    </row>
    <row r="1367" spans="1:14" ht="15" customHeight="1" x14ac:dyDescent="0.3">
      <c r="A1367" s="18" t="s">
        <v>2659</v>
      </c>
      <c r="B1367" s="19" t="s">
        <v>15</v>
      </c>
      <c r="C1367" s="18" t="s">
        <v>918</v>
      </c>
      <c r="D1367" s="18" t="s">
        <v>116</v>
      </c>
      <c r="E1367" s="18" t="s">
        <v>74</v>
      </c>
      <c r="F1367" s="18" t="s">
        <v>2980</v>
      </c>
      <c r="G1367" s="18" t="s">
        <v>429</v>
      </c>
      <c r="H1367" s="18" t="s">
        <v>2912</v>
      </c>
      <c r="I1367" s="20" t="s">
        <v>2981</v>
      </c>
      <c r="J1367" s="18" t="s">
        <v>2982</v>
      </c>
      <c r="K1367" s="18" t="s">
        <v>24</v>
      </c>
      <c r="L1367" s="18" t="s">
        <v>25</v>
      </c>
      <c r="N1367" s="18" t="s">
        <v>807</v>
      </c>
    </row>
    <row r="1368" spans="1:14" ht="15" customHeight="1" x14ac:dyDescent="0.3">
      <c r="A1368" s="18" t="s">
        <v>2659</v>
      </c>
      <c r="B1368" s="19" t="s">
        <v>15</v>
      </c>
      <c r="C1368" s="18" t="s">
        <v>2674</v>
      </c>
      <c r="D1368" s="18" t="s">
        <v>116</v>
      </c>
      <c r="E1368" s="18" t="s">
        <v>74</v>
      </c>
      <c r="F1368" s="18" t="s">
        <v>2983</v>
      </c>
      <c r="G1368" s="18" t="s">
        <v>207</v>
      </c>
      <c r="H1368" s="18" t="s">
        <v>2917</v>
      </c>
      <c r="I1368" s="20" t="s">
        <v>2984</v>
      </c>
      <c r="J1368" s="18" t="s">
        <v>199</v>
      </c>
      <c r="K1368" s="18" t="s">
        <v>24</v>
      </c>
      <c r="L1368" s="18" t="s">
        <v>25</v>
      </c>
      <c r="N1368" s="18" t="s">
        <v>973</v>
      </c>
    </row>
    <row r="1369" spans="1:14" ht="15" customHeight="1" x14ac:dyDescent="0.3">
      <c r="A1369" s="18" t="s">
        <v>2659</v>
      </c>
      <c r="B1369" s="19" t="s">
        <v>15</v>
      </c>
      <c r="C1369" s="18" t="s">
        <v>918</v>
      </c>
      <c r="D1369" s="18" t="s">
        <v>116</v>
      </c>
      <c r="E1369" s="18" t="s">
        <v>74</v>
      </c>
      <c r="F1369" s="18" t="s">
        <v>2985</v>
      </c>
      <c r="G1369" s="18" t="s">
        <v>913</v>
      </c>
      <c r="H1369" s="18" t="s">
        <v>2912</v>
      </c>
      <c r="I1369" s="20" t="s">
        <v>2986</v>
      </c>
      <c r="J1369" s="18" t="s">
        <v>2987</v>
      </c>
      <c r="K1369" s="18" t="s">
        <v>24</v>
      </c>
      <c r="L1369" s="18" t="s">
        <v>25</v>
      </c>
      <c r="N1369" s="18" t="s">
        <v>807</v>
      </c>
    </row>
    <row r="1370" spans="1:14" ht="15" customHeight="1" x14ac:dyDescent="0.3">
      <c r="A1370" s="18" t="s">
        <v>2659</v>
      </c>
      <c r="B1370" s="19" t="s">
        <v>15</v>
      </c>
      <c r="C1370" s="18" t="s">
        <v>918</v>
      </c>
      <c r="D1370" s="18" t="s">
        <v>116</v>
      </c>
      <c r="E1370" s="18" t="s">
        <v>74</v>
      </c>
      <c r="F1370" s="18" t="s">
        <v>2988</v>
      </c>
      <c r="G1370" s="18" t="s">
        <v>429</v>
      </c>
      <c r="H1370" s="18" t="s">
        <v>2912</v>
      </c>
      <c r="I1370" s="20" t="s">
        <v>2989</v>
      </c>
      <c r="J1370" s="18" t="s">
        <v>832</v>
      </c>
      <c r="K1370" s="18" t="s">
        <v>293</v>
      </c>
      <c r="L1370" s="18" t="s">
        <v>25</v>
      </c>
      <c r="N1370" s="18" t="s">
        <v>807</v>
      </c>
    </row>
    <row r="1371" spans="1:14" ht="15" customHeight="1" x14ac:dyDescent="0.3">
      <c r="A1371" s="18" t="s">
        <v>2659</v>
      </c>
      <c r="B1371" s="19" t="s">
        <v>15</v>
      </c>
      <c r="C1371" s="18" t="s">
        <v>918</v>
      </c>
      <c r="D1371" s="18" t="s">
        <v>116</v>
      </c>
      <c r="E1371" s="18" t="s">
        <v>74</v>
      </c>
      <c r="F1371" s="18" t="s">
        <v>2990</v>
      </c>
      <c r="G1371" s="18" t="s">
        <v>429</v>
      </c>
      <c r="H1371" s="18" t="s">
        <v>2912</v>
      </c>
      <c r="I1371" s="20" t="s">
        <v>2991</v>
      </c>
      <c r="J1371" s="18" t="s">
        <v>2992</v>
      </c>
      <c r="K1371" s="18" t="s">
        <v>24</v>
      </c>
      <c r="L1371" s="18" t="s">
        <v>25</v>
      </c>
      <c r="N1371" s="18" t="s">
        <v>807</v>
      </c>
    </row>
    <row r="1372" spans="1:14" ht="15" customHeight="1" x14ac:dyDescent="0.3">
      <c r="A1372" s="18" t="s">
        <v>2659</v>
      </c>
      <c r="B1372" s="19" t="s">
        <v>15</v>
      </c>
      <c r="C1372" s="18" t="s">
        <v>918</v>
      </c>
      <c r="D1372" s="18" t="s">
        <v>116</v>
      </c>
      <c r="E1372" s="18" t="s">
        <v>74</v>
      </c>
      <c r="F1372" s="18" t="s">
        <v>2993</v>
      </c>
      <c r="G1372" s="18" t="s">
        <v>429</v>
      </c>
      <c r="H1372" s="18" t="s">
        <v>2912</v>
      </c>
      <c r="I1372" s="20" t="s">
        <v>2994</v>
      </c>
      <c r="J1372" s="18" t="s">
        <v>2995</v>
      </c>
      <c r="K1372" s="18" t="s">
        <v>24</v>
      </c>
      <c r="L1372" s="18" t="s">
        <v>25</v>
      </c>
      <c r="N1372" s="18" t="s">
        <v>807</v>
      </c>
    </row>
    <row r="1373" spans="1:14" ht="15" customHeight="1" x14ac:dyDescent="0.3">
      <c r="A1373" s="18" t="s">
        <v>2659</v>
      </c>
      <c r="B1373" s="19" t="s">
        <v>15</v>
      </c>
      <c r="C1373" s="18" t="s">
        <v>918</v>
      </c>
      <c r="D1373" s="18" t="s">
        <v>116</v>
      </c>
      <c r="E1373" s="18" t="s">
        <v>74</v>
      </c>
      <c r="F1373" s="18" t="s">
        <v>2996</v>
      </c>
      <c r="G1373" s="18" t="s">
        <v>273</v>
      </c>
      <c r="H1373" s="18" t="s">
        <v>2905</v>
      </c>
      <c r="I1373" s="20" t="s">
        <v>2997</v>
      </c>
      <c r="J1373" s="18" t="s">
        <v>2998</v>
      </c>
      <c r="K1373" s="18" t="s">
        <v>24</v>
      </c>
      <c r="L1373" s="18" t="s">
        <v>25</v>
      </c>
      <c r="N1373" s="18" t="s">
        <v>807</v>
      </c>
    </row>
    <row r="1374" spans="1:14" ht="15" customHeight="1" x14ac:dyDescent="0.3">
      <c r="A1374" s="18" t="s">
        <v>2659</v>
      </c>
      <c r="B1374" s="19" t="s">
        <v>15</v>
      </c>
      <c r="C1374" s="18" t="s">
        <v>918</v>
      </c>
      <c r="D1374" s="18" t="s">
        <v>116</v>
      </c>
      <c r="E1374" s="18" t="s">
        <v>74</v>
      </c>
      <c r="F1374" s="18" t="s">
        <v>2999</v>
      </c>
      <c r="G1374" s="18" t="s">
        <v>2245</v>
      </c>
      <c r="H1374" s="18" t="s">
        <v>2905</v>
      </c>
      <c r="I1374" s="20" t="s">
        <v>3000</v>
      </c>
      <c r="J1374" s="18" t="s">
        <v>3001</v>
      </c>
      <c r="K1374" s="18" t="s">
        <v>24</v>
      </c>
      <c r="L1374" s="18" t="s">
        <v>25</v>
      </c>
      <c r="N1374" s="18" t="s">
        <v>807</v>
      </c>
    </row>
    <row r="1375" spans="1:14" ht="15" customHeight="1" x14ac:dyDescent="0.3">
      <c r="A1375" s="18" t="s">
        <v>2659</v>
      </c>
      <c r="B1375" s="19" t="s">
        <v>15</v>
      </c>
      <c r="C1375" s="18" t="s">
        <v>918</v>
      </c>
      <c r="D1375" s="18" t="s">
        <v>116</v>
      </c>
      <c r="E1375" s="18" t="s">
        <v>74</v>
      </c>
      <c r="F1375" s="18" t="s">
        <v>3002</v>
      </c>
      <c r="G1375" s="18" t="s">
        <v>606</v>
      </c>
      <c r="H1375" s="18" t="s">
        <v>2912</v>
      </c>
      <c r="I1375" s="20" t="s">
        <v>3003</v>
      </c>
      <c r="J1375" s="18" t="s">
        <v>3004</v>
      </c>
      <c r="K1375" s="18" t="s">
        <v>24</v>
      </c>
      <c r="L1375" s="18" t="s">
        <v>25</v>
      </c>
      <c r="N1375" s="18" t="s">
        <v>807</v>
      </c>
    </row>
    <row r="1376" spans="1:14" ht="15" customHeight="1" x14ac:dyDescent="0.3">
      <c r="A1376" s="18" t="s">
        <v>3005</v>
      </c>
      <c r="B1376" s="19" t="s">
        <v>15</v>
      </c>
      <c r="C1376" s="18" t="s">
        <v>3006</v>
      </c>
      <c r="D1376" s="18" t="s">
        <v>116</v>
      </c>
      <c r="E1376" s="18" t="s">
        <v>117</v>
      </c>
      <c r="F1376" s="18" t="s">
        <v>970</v>
      </c>
      <c r="G1376" s="18" t="s">
        <v>913</v>
      </c>
      <c r="H1376" s="18" t="s">
        <v>3007</v>
      </c>
      <c r="I1376" s="20" t="s">
        <v>3008</v>
      </c>
      <c r="J1376" s="18" t="s">
        <v>58</v>
      </c>
      <c r="K1376" s="18" t="s">
        <v>24</v>
      </c>
      <c r="L1376" s="18" t="s">
        <v>25</v>
      </c>
      <c r="N1376" s="18" t="s">
        <v>807</v>
      </c>
    </row>
    <row r="1377" spans="1:14" ht="15" customHeight="1" x14ac:dyDescent="0.3">
      <c r="A1377" s="18" t="s">
        <v>3005</v>
      </c>
      <c r="B1377" s="19" t="s">
        <v>15</v>
      </c>
      <c r="C1377" s="18" t="s">
        <v>3009</v>
      </c>
      <c r="D1377" s="18" t="s">
        <v>116</v>
      </c>
      <c r="E1377" s="18" t="s">
        <v>117</v>
      </c>
      <c r="F1377" s="18" t="s">
        <v>3010</v>
      </c>
      <c r="G1377" s="18" t="s">
        <v>536</v>
      </c>
      <c r="H1377" s="18" t="s">
        <v>3011</v>
      </c>
      <c r="I1377" s="20" t="s">
        <v>3012</v>
      </c>
      <c r="J1377" s="18" t="s">
        <v>58</v>
      </c>
      <c r="K1377" s="18" t="s">
        <v>24</v>
      </c>
      <c r="L1377" s="18" t="s">
        <v>25</v>
      </c>
      <c r="N1377" s="18" t="s">
        <v>807</v>
      </c>
    </row>
    <row r="1378" spans="1:14" ht="15" customHeight="1" x14ac:dyDescent="0.3">
      <c r="A1378" s="18" t="s">
        <v>3005</v>
      </c>
      <c r="B1378" s="19" t="s">
        <v>15</v>
      </c>
      <c r="C1378" s="18" t="s">
        <v>3013</v>
      </c>
      <c r="D1378" s="18" t="s">
        <v>116</v>
      </c>
      <c r="E1378" s="18" t="s">
        <v>117</v>
      </c>
      <c r="F1378" s="18" t="s">
        <v>1626</v>
      </c>
      <c r="G1378" s="18" t="s">
        <v>536</v>
      </c>
      <c r="H1378" s="18" t="s">
        <v>3014</v>
      </c>
      <c r="I1378" s="20" t="s">
        <v>3015</v>
      </c>
      <c r="J1378" s="18" t="s">
        <v>58</v>
      </c>
      <c r="K1378" s="18" t="s">
        <v>24</v>
      </c>
      <c r="L1378" s="18" t="s">
        <v>25</v>
      </c>
      <c r="N1378" s="18" t="s">
        <v>973</v>
      </c>
    </row>
    <row r="1379" spans="1:14" ht="15" customHeight="1" x14ac:dyDescent="0.3">
      <c r="A1379" s="18" t="s">
        <v>3005</v>
      </c>
      <c r="B1379" s="19" t="s">
        <v>15</v>
      </c>
      <c r="C1379" s="18" t="s">
        <v>3009</v>
      </c>
      <c r="D1379" s="18" t="s">
        <v>116</v>
      </c>
      <c r="E1379" s="18" t="s">
        <v>117</v>
      </c>
      <c r="F1379" s="18" t="s">
        <v>1713</v>
      </c>
      <c r="G1379" s="18" t="s">
        <v>88</v>
      </c>
      <c r="H1379" s="18" t="s">
        <v>3016</v>
      </c>
      <c r="I1379" s="20" t="s">
        <v>3017</v>
      </c>
      <c r="J1379" s="18" t="s">
        <v>58</v>
      </c>
      <c r="K1379" s="18" t="s">
        <v>24</v>
      </c>
      <c r="L1379" s="18" t="s">
        <v>25</v>
      </c>
      <c r="N1379" s="18" t="s">
        <v>807</v>
      </c>
    </row>
    <row r="1380" spans="1:14" ht="15" customHeight="1" x14ac:dyDescent="0.3">
      <c r="A1380" s="18" t="s">
        <v>3005</v>
      </c>
      <c r="B1380" s="19" t="s">
        <v>15</v>
      </c>
      <c r="C1380" s="18" t="s">
        <v>3009</v>
      </c>
      <c r="D1380" s="18" t="s">
        <v>116</v>
      </c>
      <c r="E1380" s="18" t="s">
        <v>117</v>
      </c>
      <c r="F1380" s="18" t="s">
        <v>3018</v>
      </c>
      <c r="G1380" s="18" t="s">
        <v>88</v>
      </c>
      <c r="H1380" s="18" t="s">
        <v>3016</v>
      </c>
      <c r="I1380" s="20" t="s">
        <v>3019</v>
      </c>
      <c r="J1380" s="18" t="s">
        <v>58</v>
      </c>
      <c r="K1380" s="18" t="s">
        <v>24</v>
      </c>
      <c r="L1380" s="18" t="s">
        <v>25</v>
      </c>
      <c r="N1380" s="18" t="s">
        <v>807</v>
      </c>
    </row>
    <row r="1381" spans="1:14" ht="15" customHeight="1" x14ac:dyDescent="0.3">
      <c r="A1381" s="18" t="s">
        <v>3005</v>
      </c>
      <c r="B1381" s="19" t="s">
        <v>15</v>
      </c>
      <c r="C1381" s="18" t="s">
        <v>3013</v>
      </c>
      <c r="D1381" s="18" t="s">
        <v>116</v>
      </c>
      <c r="E1381" s="18" t="s">
        <v>117</v>
      </c>
      <c r="F1381" s="18" t="s">
        <v>765</v>
      </c>
      <c r="G1381" s="18" t="s">
        <v>429</v>
      </c>
      <c r="H1381" s="18" t="s">
        <v>3014</v>
      </c>
      <c r="I1381" s="20" t="s">
        <v>3020</v>
      </c>
      <c r="J1381" s="18" t="s">
        <v>58</v>
      </c>
      <c r="K1381" s="18" t="s">
        <v>24</v>
      </c>
      <c r="L1381" s="18" t="s">
        <v>25</v>
      </c>
      <c r="N1381" s="18" t="s">
        <v>973</v>
      </c>
    </row>
    <row r="1382" spans="1:14" ht="15" customHeight="1" x14ac:dyDescent="0.3">
      <c r="A1382" s="18" t="s">
        <v>3005</v>
      </c>
      <c r="B1382" s="19" t="s">
        <v>15</v>
      </c>
      <c r="C1382" s="18" t="s">
        <v>3009</v>
      </c>
      <c r="D1382" s="18" t="s">
        <v>116</v>
      </c>
      <c r="E1382" s="18" t="s">
        <v>117</v>
      </c>
      <c r="F1382" s="18" t="s">
        <v>3021</v>
      </c>
      <c r="G1382" s="18" t="s">
        <v>93</v>
      </c>
      <c r="H1382" s="18" t="s">
        <v>3016</v>
      </c>
      <c r="I1382" s="20" t="s">
        <v>3022</v>
      </c>
      <c r="J1382" s="18" t="s">
        <v>58</v>
      </c>
      <c r="K1382" s="18" t="s">
        <v>24</v>
      </c>
      <c r="L1382" s="18" t="s">
        <v>25</v>
      </c>
      <c r="N1382" s="18" t="s">
        <v>807</v>
      </c>
    </row>
    <row r="1383" spans="1:14" ht="15" customHeight="1" x14ac:dyDescent="0.3">
      <c r="A1383" s="18" t="s">
        <v>3005</v>
      </c>
      <c r="B1383" s="19" t="s">
        <v>15</v>
      </c>
      <c r="C1383" s="18" t="s">
        <v>3013</v>
      </c>
      <c r="D1383" s="18" t="s">
        <v>116</v>
      </c>
      <c r="E1383" s="18" t="s">
        <v>117</v>
      </c>
      <c r="F1383" s="18" t="s">
        <v>3023</v>
      </c>
      <c r="G1383" s="18" t="s">
        <v>637</v>
      </c>
      <c r="H1383" s="18" t="s">
        <v>3014</v>
      </c>
      <c r="I1383" s="20" t="s">
        <v>3024</v>
      </c>
      <c r="J1383" s="18" t="s">
        <v>58</v>
      </c>
      <c r="K1383" s="18" t="s">
        <v>24</v>
      </c>
      <c r="L1383" s="18" t="s">
        <v>25</v>
      </c>
      <c r="N1383" s="18" t="s">
        <v>973</v>
      </c>
    </row>
    <row r="1384" spans="1:14" ht="15" customHeight="1" x14ac:dyDescent="0.3">
      <c r="A1384" s="18" t="s">
        <v>3005</v>
      </c>
      <c r="B1384" s="19" t="s">
        <v>15</v>
      </c>
      <c r="C1384" s="18" t="s">
        <v>3025</v>
      </c>
      <c r="D1384" s="18" t="s">
        <v>116</v>
      </c>
      <c r="E1384" s="18" t="s">
        <v>117</v>
      </c>
      <c r="F1384" s="18" t="s">
        <v>2087</v>
      </c>
      <c r="G1384" s="18" t="s">
        <v>160</v>
      </c>
      <c r="H1384" s="18" t="s">
        <v>3026</v>
      </c>
      <c r="I1384" s="20" t="s">
        <v>3027</v>
      </c>
      <c r="J1384" s="18" t="s">
        <v>58</v>
      </c>
      <c r="K1384" s="18" t="s">
        <v>24</v>
      </c>
      <c r="L1384" s="18" t="s">
        <v>25</v>
      </c>
      <c r="N1384" s="18" t="s">
        <v>973</v>
      </c>
    </row>
    <row r="1385" spans="1:14" ht="15" customHeight="1" x14ac:dyDescent="0.3">
      <c r="A1385" s="18" t="s">
        <v>3005</v>
      </c>
      <c r="B1385" s="19" t="s">
        <v>15</v>
      </c>
      <c r="C1385" s="18" t="s">
        <v>3009</v>
      </c>
      <c r="D1385" s="18" t="s">
        <v>116</v>
      </c>
      <c r="E1385" s="18" t="s">
        <v>117</v>
      </c>
      <c r="F1385" s="18" t="s">
        <v>1195</v>
      </c>
      <c r="G1385" s="18" t="s">
        <v>35</v>
      </c>
      <c r="H1385" s="18" t="s">
        <v>3016</v>
      </c>
      <c r="I1385" s="20" t="s">
        <v>3028</v>
      </c>
      <c r="J1385" s="18" t="s">
        <v>58</v>
      </c>
      <c r="K1385" s="18" t="s">
        <v>24</v>
      </c>
      <c r="L1385" s="18" t="s">
        <v>25</v>
      </c>
      <c r="N1385" s="18" t="s">
        <v>807</v>
      </c>
    </row>
    <row r="1386" spans="1:14" ht="15" customHeight="1" x14ac:dyDescent="0.3">
      <c r="A1386" s="18" t="s">
        <v>3005</v>
      </c>
      <c r="B1386" s="19" t="s">
        <v>15</v>
      </c>
      <c r="C1386" s="18" t="s">
        <v>3009</v>
      </c>
      <c r="D1386" s="18" t="s">
        <v>116</v>
      </c>
      <c r="E1386" s="18" t="s">
        <v>117</v>
      </c>
      <c r="F1386" s="18" t="s">
        <v>3029</v>
      </c>
      <c r="G1386" s="18" t="s">
        <v>212</v>
      </c>
      <c r="H1386" s="18" t="s">
        <v>3016</v>
      </c>
      <c r="I1386" s="20" t="s">
        <v>3030</v>
      </c>
      <c r="J1386" s="18" t="s">
        <v>58</v>
      </c>
      <c r="K1386" s="18" t="s">
        <v>24</v>
      </c>
      <c r="L1386" s="18" t="s">
        <v>25</v>
      </c>
      <c r="N1386" s="18" t="s">
        <v>807</v>
      </c>
    </row>
    <row r="1387" spans="1:14" ht="15" customHeight="1" x14ac:dyDescent="0.3">
      <c r="A1387" s="18" t="s">
        <v>3005</v>
      </c>
      <c r="B1387" s="19" t="s">
        <v>15</v>
      </c>
      <c r="C1387" s="18" t="s">
        <v>3009</v>
      </c>
      <c r="D1387" s="18" t="s">
        <v>116</v>
      </c>
      <c r="E1387" s="18" t="s">
        <v>117</v>
      </c>
      <c r="F1387" s="18" t="s">
        <v>3031</v>
      </c>
      <c r="G1387" s="18" t="s">
        <v>47</v>
      </c>
      <c r="H1387" s="18" t="s">
        <v>3016</v>
      </c>
      <c r="I1387" s="20" t="s">
        <v>3032</v>
      </c>
      <c r="J1387" s="18" t="s">
        <v>58</v>
      </c>
      <c r="K1387" s="18" t="s">
        <v>24</v>
      </c>
      <c r="L1387" s="18" t="s">
        <v>25</v>
      </c>
      <c r="N1387" s="18" t="s">
        <v>807</v>
      </c>
    </row>
    <row r="1388" spans="1:14" ht="15" customHeight="1" x14ac:dyDescent="0.3">
      <c r="A1388" s="18" t="s">
        <v>3005</v>
      </c>
      <c r="B1388" s="19" t="s">
        <v>15</v>
      </c>
      <c r="C1388" s="18" t="s">
        <v>3009</v>
      </c>
      <c r="D1388" s="18" t="s">
        <v>116</v>
      </c>
      <c r="E1388" s="18" t="s">
        <v>117</v>
      </c>
      <c r="F1388" s="18" t="s">
        <v>349</v>
      </c>
      <c r="G1388" s="18" t="s">
        <v>160</v>
      </c>
      <c r="H1388" s="18" t="s">
        <v>3011</v>
      </c>
      <c r="I1388" s="20" t="s">
        <v>3033</v>
      </c>
      <c r="J1388" s="18" t="s">
        <v>58</v>
      </c>
      <c r="K1388" s="18" t="s">
        <v>24</v>
      </c>
      <c r="L1388" s="18" t="s">
        <v>25</v>
      </c>
      <c r="N1388" s="18" t="s">
        <v>807</v>
      </c>
    </row>
    <row r="1389" spans="1:14" ht="15" customHeight="1" x14ac:dyDescent="0.3">
      <c r="A1389" s="18" t="s">
        <v>3005</v>
      </c>
      <c r="B1389" s="19" t="s">
        <v>15</v>
      </c>
      <c r="C1389" s="18" t="s">
        <v>3009</v>
      </c>
      <c r="D1389" s="18" t="s">
        <v>116</v>
      </c>
      <c r="E1389" s="18" t="s">
        <v>117</v>
      </c>
      <c r="F1389" s="18" t="s">
        <v>211</v>
      </c>
      <c r="G1389" s="18" t="s">
        <v>212</v>
      </c>
      <c r="H1389" s="18" t="s">
        <v>3016</v>
      </c>
      <c r="I1389" s="20" t="s">
        <v>3034</v>
      </c>
      <c r="J1389" s="18" t="s">
        <v>58</v>
      </c>
      <c r="K1389" s="18" t="s">
        <v>24</v>
      </c>
      <c r="L1389" s="18" t="s">
        <v>25</v>
      </c>
      <c r="N1389" s="18" t="s">
        <v>807</v>
      </c>
    </row>
    <row r="1390" spans="1:14" ht="15" customHeight="1" x14ac:dyDescent="0.3">
      <c r="A1390" s="18" t="s">
        <v>3005</v>
      </c>
      <c r="B1390" s="19" t="s">
        <v>15</v>
      </c>
      <c r="C1390" s="18" t="s">
        <v>3013</v>
      </c>
      <c r="D1390" s="18" t="s">
        <v>116</v>
      </c>
      <c r="E1390" s="18" t="s">
        <v>117</v>
      </c>
      <c r="F1390" s="18" t="s">
        <v>1633</v>
      </c>
      <c r="G1390" s="18" t="s">
        <v>1634</v>
      </c>
      <c r="H1390" s="18" t="s">
        <v>3014</v>
      </c>
      <c r="I1390" s="20" t="s">
        <v>3035</v>
      </c>
      <c r="J1390" s="18" t="s">
        <v>58</v>
      </c>
      <c r="K1390" s="18" t="s">
        <v>24</v>
      </c>
      <c r="L1390" s="18" t="s">
        <v>25</v>
      </c>
      <c r="N1390" s="18" t="s">
        <v>973</v>
      </c>
    </row>
    <row r="1391" spans="1:14" ht="15" customHeight="1" x14ac:dyDescent="0.3">
      <c r="A1391" s="18" t="s">
        <v>3005</v>
      </c>
      <c r="B1391" s="19" t="s">
        <v>15</v>
      </c>
      <c r="C1391" s="18" t="s">
        <v>3009</v>
      </c>
      <c r="D1391" s="18" t="s">
        <v>116</v>
      </c>
      <c r="E1391" s="18" t="s">
        <v>117</v>
      </c>
      <c r="F1391" s="18" t="s">
        <v>2498</v>
      </c>
      <c r="G1391" s="18" t="s">
        <v>47</v>
      </c>
      <c r="H1391" s="18" t="s">
        <v>3016</v>
      </c>
      <c r="I1391" s="20" t="s">
        <v>3036</v>
      </c>
      <c r="J1391" s="18" t="s">
        <v>58</v>
      </c>
      <c r="K1391" s="18" t="s">
        <v>24</v>
      </c>
      <c r="L1391" s="18" t="s">
        <v>25</v>
      </c>
      <c r="N1391" s="18" t="s">
        <v>807</v>
      </c>
    </row>
    <row r="1392" spans="1:14" ht="15" customHeight="1" x14ac:dyDescent="0.3">
      <c r="A1392" s="18" t="s">
        <v>3005</v>
      </c>
      <c r="B1392" s="19" t="s">
        <v>15</v>
      </c>
      <c r="C1392" s="18" t="s">
        <v>3025</v>
      </c>
      <c r="D1392" s="18" t="s">
        <v>116</v>
      </c>
      <c r="E1392" s="18" t="s">
        <v>117</v>
      </c>
      <c r="F1392" s="18" t="s">
        <v>3037</v>
      </c>
      <c r="G1392" s="18" t="s">
        <v>160</v>
      </c>
      <c r="H1392" s="18" t="s">
        <v>3026</v>
      </c>
      <c r="I1392" s="20" t="s">
        <v>3038</v>
      </c>
      <c r="J1392" s="18" t="s">
        <v>58</v>
      </c>
      <c r="K1392" s="18" t="s">
        <v>24</v>
      </c>
      <c r="L1392" s="18" t="s">
        <v>25</v>
      </c>
      <c r="N1392" s="18" t="s">
        <v>973</v>
      </c>
    </row>
    <row r="1393" spans="1:14" ht="15" customHeight="1" x14ac:dyDescent="0.3">
      <c r="A1393" s="18" t="s">
        <v>3005</v>
      </c>
      <c r="B1393" s="19" t="s">
        <v>15</v>
      </c>
      <c r="C1393" s="18" t="s">
        <v>3009</v>
      </c>
      <c r="D1393" s="18" t="s">
        <v>116</v>
      </c>
      <c r="E1393" s="18" t="s">
        <v>117</v>
      </c>
      <c r="F1393" s="18" t="s">
        <v>1201</v>
      </c>
      <c r="G1393" s="18" t="s">
        <v>1075</v>
      </c>
      <c r="H1393" s="18" t="s">
        <v>3016</v>
      </c>
      <c r="I1393" s="20" t="s">
        <v>3039</v>
      </c>
      <c r="J1393" s="18" t="s">
        <v>58</v>
      </c>
      <c r="K1393" s="18" t="s">
        <v>24</v>
      </c>
      <c r="L1393" s="18" t="s">
        <v>25</v>
      </c>
      <c r="N1393" s="18" t="s">
        <v>807</v>
      </c>
    </row>
    <row r="1394" spans="1:14" ht="15" customHeight="1" x14ac:dyDescent="0.3">
      <c r="A1394" s="18" t="s">
        <v>3005</v>
      </c>
      <c r="B1394" s="19" t="s">
        <v>15</v>
      </c>
      <c r="C1394" s="18" t="s">
        <v>3009</v>
      </c>
      <c r="D1394" s="18" t="s">
        <v>116</v>
      </c>
      <c r="E1394" s="18" t="s">
        <v>117</v>
      </c>
      <c r="F1394" s="18" t="s">
        <v>1741</v>
      </c>
      <c r="G1394" s="18" t="s">
        <v>1204</v>
      </c>
      <c r="H1394" s="18" t="s">
        <v>3016</v>
      </c>
      <c r="I1394" s="20" t="s">
        <v>3040</v>
      </c>
      <c r="J1394" s="18" t="s">
        <v>58</v>
      </c>
      <c r="K1394" s="18" t="s">
        <v>24</v>
      </c>
      <c r="L1394" s="18" t="s">
        <v>25</v>
      </c>
      <c r="N1394" s="18" t="s">
        <v>807</v>
      </c>
    </row>
    <row r="1395" spans="1:14" ht="15" customHeight="1" x14ac:dyDescent="0.3">
      <c r="A1395" s="18" t="s">
        <v>3005</v>
      </c>
      <c r="B1395" s="19" t="s">
        <v>15</v>
      </c>
      <c r="C1395" s="18" t="s">
        <v>3006</v>
      </c>
      <c r="D1395" s="18" t="s">
        <v>116</v>
      </c>
      <c r="E1395" s="18" t="s">
        <v>117</v>
      </c>
      <c r="F1395" s="18" t="s">
        <v>978</v>
      </c>
      <c r="G1395" s="18" t="s">
        <v>979</v>
      </c>
      <c r="H1395" s="18" t="s">
        <v>3007</v>
      </c>
      <c r="I1395" s="20" t="s">
        <v>3041</v>
      </c>
      <c r="J1395" s="18" t="s">
        <v>58</v>
      </c>
      <c r="K1395" s="18" t="s">
        <v>24</v>
      </c>
      <c r="L1395" s="18" t="s">
        <v>25</v>
      </c>
      <c r="N1395" s="18" t="s">
        <v>807</v>
      </c>
    </row>
    <row r="1396" spans="1:14" ht="15" customHeight="1" x14ac:dyDescent="0.3">
      <c r="A1396" s="18" t="s">
        <v>3005</v>
      </c>
      <c r="B1396" s="19" t="s">
        <v>15</v>
      </c>
      <c r="C1396" s="18" t="s">
        <v>3009</v>
      </c>
      <c r="D1396" s="18" t="s">
        <v>116</v>
      </c>
      <c r="E1396" s="18" t="s">
        <v>117</v>
      </c>
      <c r="F1396" s="18" t="s">
        <v>3042</v>
      </c>
      <c r="G1396" s="18" t="s">
        <v>35</v>
      </c>
      <c r="H1396" s="18" t="s">
        <v>3016</v>
      </c>
      <c r="I1396" s="20" t="s">
        <v>3043</v>
      </c>
      <c r="J1396" s="18" t="s">
        <v>58</v>
      </c>
      <c r="K1396" s="18" t="s">
        <v>24</v>
      </c>
      <c r="L1396" s="18" t="s">
        <v>25</v>
      </c>
      <c r="N1396" s="18" t="s">
        <v>807</v>
      </c>
    </row>
    <row r="1397" spans="1:14" ht="15" customHeight="1" x14ac:dyDescent="0.3">
      <c r="A1397" s="18" t="s">
        <v>3005</v>
      </c>
      <c r="B1397" s="19" t="s">
        <v>15</v>
      </c>
      <c r="C1397" s="18" t="s">
        <v>3009</v>
      </c>
      <c r="D1397" s="18" t="s">
        <v>116</v>
      </c>
      <c r="E1397" s="18" t="s">
        <v>117</v>
      </c>
      <c r="F1397" s="18" t="s">
        <v>3044</v>
      </c>
      <c r="G1397" s="18" t="s">
        <v>63</v>
      </c>
      <c r="H1397" s="18" t="s">
        <v>3016</v>
      </c>
      <c r="I1397" s="20" t="s">
        <v>3045</v>
      </c>
      <c r="J1397" s="18" t="s">
        <v>58</v>
      </c>
      <c r="K1397" s="18" t="s">
        <v>24</v>
      </c>
      <c r="L1397" s="18" t="s">
        <v>25</v>
      </c>
      <c r="N1397" s="18" t="s">
        <v>807</v>
      </c>
    </row>
    <row r="1398" spans="1:14" ht="15" customHeight="1" x14ac:dyDescent="0.3">
      <c r="A1398" s="18" t="s">
        <v>3005</v>
      </c>
      <c r="B1398" s="19" t="s">
        <v>15</v>
      </c>
      <c r="C1398" s="18" t="s">
        <v>3009</v>
      </c>
      <c r="D1398" s="18" t="s">
        <v>116</v>
      </c>
      <c r="E1398" s="18" t="s">
        <v>117</v>
      </c>
      <c r="F1398" s="18" t="s">
        <v>3046</v>
      </c>
      <c r="G1398" s="18" t="s">
        <v>3047</v>
      </c>
      <c r="H1398" s="18" t="s">
        <v>3007</v>
      </c>
      <c r="I1398" s="20" t="s">
        <v>3048</v>
      </c>
      <c r="J1398" s="18" t="s">
        <v>58</v>
      </c>
      <c r="K1398" s="18" t="s">
        <v>24</v>
      </c>
      <c r="L1398" s="18" t="s">
        <v>25</v>
      </c>
      <c r="N1398" s="18" t="s">
        <v>807</v>
      </c>
    </row>
    <row r="1399" spans="1:14" ht="15" customHeight="1" x14ac:dyDescent="0.3">
      <c r="A1399" s="18" t="s">
        <v>3005</v>
      </c>
      <c r="B1399" s="19" t="s">
        <v>15</v>
      </c>
      <c r="C1399" s="18" t="s">
        <v>3009</v>
      </c>
      <c r="D1399" s="18" t="s">
        <v>116</v>
      </c>
      <c r="E1399" s="18" t="s">
        <v>117</v>
      </c>
      <c r="F1399" s="18" t="s">
        <v>572</v>
      </c>
      <c r="G1399" s="18" t="s">
        <v>263</v>
      </c>
      <c r="H1399" s="18" t="s">
        <v>3007</v>
      </c>
      <c r="I1399" s="20" t="s">
        <v>3049</v>
      </c>
      <c r="J1399" s="18" t="s">
        <v>58</v>
      </c>
      <c r="K1399" s="18" t="s">
        <v>24</v>
      </c>
      <c r="L1399" s="18" t="s">
        <v>25</v>
      </c>
      <c r="N1399" s="18" t="s">
        <v>807</v>
      </c>
    </row>
    <row r="1400" spans="1:14" ht="15" customHeight="1" x14ac:dyDescent="0.3">
      <c r="A1400" s="18" t="s">
        <v>3005</v>
      </c>
      <c r="B1400" s="19" t="s">
        <v>15</v>
      </c>
      <c r="C1400" s="18" t="s">
        <v>3009</v>
      </c>
      <c r="D1400" s="18" t="s">
        <v>116</v>
      </c>
      <c r="E1400" s="18" t="s">
        <v>117</v>
      </c>
      <c r="F1400" s="18" t="s">
        <v>3050</v>
      </c>
      <c r="G1400" s="18" t="s">
        <v>1204</v>
      </c>
      <c r="H1400" s="18" t="s">
        <v>3016</v>
      </c>
      <c r="I1400" s="20" t="s">
        <v>3051</v>
      </c>
      <c r="J1400" s="18" t="s">
        <v>58</v>
      </c>
      <c r="K1400" s="18" t="s">
        <v>24</v>
      </c>
      <c r="L1400" s="18" t="s">
        <v>25</v>
      </c>
      <c r="N1400" s="18" t="s">
        <v>807</v>
      </c>
    </row>
    <row r="1401" spans="1:14" ht="15" customHeight="1" x14ac:dyDescent="0.3">
      <c r="A1401" s="18" t="s">
        <v>3005</v>
      </c>
      <c r="B1401" s="19" t="s">
        <v>15</v>
      </c>
      <c r="C1401" s="18" t="s">
        <v>3013</v>
      </c>
      <c r="D1401" s="18" t="s">
        <v>116</v>
      </c>
      <c r="E1401" s="18" t="s">
        <v>117</v>
      </c>
      <c r="F1401" s="18" t="s">
        <v>1641</v>
      </c>
      <c r="G1401" s="18" t="s">
        <v>536</v>
      </c>
      <c r="H1401" s="18" t="s">
        <v>3014</v>
      </c>
      <c r="I1401" s="20" t="s">
        <v>3052</v>
      </c>
      <c r="J1401" s="18" t="s">
        <v>58</v>
      </c>
      <c r="K1401" s="18" t="s">
        <v>24</v>
      </c>
      <c r="L1401" s="18" t="s">
        <v>25</v>
      </c>
      <c r="N1401" s="18" t="s">
        <v>973</v>
      </c>
    </row>
    <row r="1402" spans="1:14" ht="15" customHeight="1" x14ac:dyDescent="0.3">
      <c r="A1402" s="18" t="s">
        <v>3005</v>
      </c>
      <c r="B1402" s="19" t="s">
        <v>15</v>
      </c>
      <c r="C1402" s="18" t="s">
        <v>3009</v>
      </c>
      <c r="D1402" s="18" t="s">
        <v>116</v>
      </c>
      <c r="E1402" s="18" t="s">
        <v>117</v>
      </c>
      <c r="F1402" s="18" t="s">
        <v>3053</v>
      </c>
      <c r="G1402" s="18" t="s">
        <v>63</v>
      </c>
      <c r="H1402" s="18" t="s">
        <v>3016</v>
      </c>
      <c r="I1402" s="20" t="s">
        <v>3054</v>
      </c>
      <c r="J1402" s="18" t="s">
        <v>58</v>
      </c>
      <c r="K1402" s="18" t="s">
        <v>24</v>
      </c>
      <c r="L1402" s="18" t="s">
        <v>25</v>
      </c>
      <c r="N1402" s="18" t="s">
        <v>807</v>
      </c>
    </row>
    <row r="1403" spans="1:14" ht="15" customHeight="1" x14ac:dyDescent="0.3">
      <c r="A1403" s="18" t="s">
        <v>3005</v>
      </c>
      <c r="B1403" s="19" t="s">
        <v>15</v>
      </c>
      <c r="C1403" s="18" t="s">
        <v>3009</v>
      </c>
      <c r="D1403" s="18" t="s">
        <v>116</v>
      </c>
      <c r="E1403" s="18" t="s">
        <v>117</v>
      </c>
      <c r="F1403" s="18" t="s">
        <v>3055</v>
      </c>
      <c r="G1403" s="18" t="s">
        <v>219</v>
      </c>
      <c r="H1403" s="18" t="s">
        <v>3016</v>
      </c>
      <c r="I1403" s="20" t="s">
        <v>3056</v>
      </c>
      <c r="J1403" s="18" t="s">
        <v>58</v>
      </c>
      <c r="K1403" s="18" t="s">
        <v>24</v>
      </c>
      <c r="L1403" s="18" t="s">
        <v>25</v>
      </c>
      <c r="N1403" s="18" t="s">
        <v>807</v>
      </c>
    </row>
    <row r="1404" spans="1:14" ht="15" customHeight="1" x14ac:dyDescent="0.3">
      <c r="A1404" s="18" t="s">
        <v>3005</v>
      </c>
      <c r="B1404" s="19" t="s">
        <v>15</v>
      </c>
      <c r="C1404" s="18" t="s">
        <v>3009</v>
      </c>
      <c r="D1404" s="18" t="s">
        <v>116</v>
      </c>
      <c r="E1404" s="18" t="s">
        <v>117</v>
      </c>
      <c r="F1404" s="18" t="s">
        <v>3057</v>
      </c>
      <c r="G1404" s="18" t="s">
        <v>63</v>
      </c>
      <c r="H1404" s="18" t="s">
        <v>3016</v>
      </c>
      <c r="I1404" s="20" t="s">
        <v>3058</v>
      </c>
      <c r="J1404" s="18" t="s">
        <v>58</v>
      </c>
      <c r="K1404" s="18" t="s">
        <v>24</v>
      </c>
      <c r="L1404" s="18" t="s">
        <v>25</v>
      </c>
      <c r="N1404" s="18" t="s">
        <v>807</v>
      </c>
    </row>
    <row r="1405" spans="1:14" ht="15" customHeight="1" x14ac:dyDescent="0.3">
      <c r="A1405" s="18" t="s">
        <v>3005</v>
      </c>
      <c r="B1405" s="19" t="s">
        <v>15</v>
      </c>
      <c r="C1405" s="18" t="s">
        <v>3025</v>
      </c>
      <c r="D1405" s="18" t="s">
        <v>116</v>
      </c>
      <c r="E1405" s="18" t="s">
        <v>117</v>
      </c>
      <c r="F1405" s="18" t="s">
        <v>3059</v>
      </c>
      <c r="G1405" s="18" t="s">
        <v>28</v>
      </c>
      <c r="H1405" s="18" t="s">
        <v>3026</v>
      </c>
      <c r="I1405" s="20" t="s">
        <v>3060</v>
      </c>
      <c r="J1405" s="18" t="s">
        <v>58</v>
      </c>
      <c r="K1405" s="18" t="s">
        <v>24</v>
      </c>
      <c r="L1405" s="18" t="s">
        <v>25</v>
      </c>
      <c r="N1405" s="18" t="s">
        <v>973</v>
      </c>
    </row>
    <row r="1406" spans="1:14" ht="15" customHeight="1" x14ac:dyDescent="0.3">
      <c r="A1406" s="18" t="s">
        <v>3005</v>
      </c>
      <c r="B1406" s="19" t="s">
        <v>15</v>
      </c>
      <c r="C1406" s="18" t="s">
        <v>3013</v>
      </c>
      <c r="D1406" s="18" t="s">
        <v>116</v>
      </c>
      <c r="E1406" s="18" t="s">
        <v>117</v>
      </c>
      <c r="F1406" s="18" t="s">
        <v>2059</v>
      </c>
      <c r="G1406" s="18" t="s">
        <v>913</v>
      </c>
      <c r="H1406" s="18" t="s">
        <v>3014</v>
      </c>
      <c r="I1406" s="20" t="s">
        <v>3061</v>
      </c>
      <c r="J1406" s="18" t="s">
        <v>58</v>
      </c>
      <c r="K1406" s="18" t="s">
        <v>24</v>
      </c>
      <c r="L1406" s="18" t="s">
        <v>25</v>
      </c>
      <c r="N1406" s="18" t="s">
        <v>973</v>
      </c>
    </row>
    <row r="1407" spans="1:14" ht="15" customHeight="1" x14ac:dyDescent="0.3">
      <c r="A1407" s="18" t="s">
        <v>3005</v>
      </c>
      <c r="B1407" s="19" t="s">
        <v>15</v>
      </c>
      <c r="C1407" s="18" t="s">
        <v>3009</v>
      </c>
      <c r="D1407" s="18" t="s">
        <v>116</v>
      </c>
      <c r="E1407" s="18" t="s">
        <v>117</v>
      </c>
      <c r="F1407" s="18" t="s">
        <v>3062</v>
      </c>
      <c r="G1407" s="18" t="s">
        <v>219</v>
      </c>
      <c r="H1407" s="18" t="s">
        <v>3016</v>
      </c>
      <c r="I1407" s="20" t="s">
        <v>3063</v>
      </c>
      <c r="J1407" s="18" t="s">
        <v>58</v>
      </c>
      <c r="K1407" s="18" t="s">
        <v>24</v>
      </c>
      <c r="L1407" s="18" t="s">
        <v>25</v>
      </c>
      <c r="N1407" s="18" t="s">
        <v>807</v>
      </c>
    </row>
    <row r="1408" spans="1:14" ht="15" customHeight="1" x14ac:dyDescent="0.3">
      <c r="A1408" s="18" t="s">
        <v>3005</v>
      </c>
      <c r="B1408" s="19" t="s">
        <v>15</v>
      </c>
      <c r="C1408" s="18" t="s">
        <v>3009</v>
      </c>
      <c r="D1408" s="18" t="s">
        <v>116</v>
      </c>
      <c r="E1408" s="18" t="s">
        <v>117</v>
      </c>
      <c r="F1408" s="18" t="s">
        <v>353</v>
      </c>
      <c r="G1408" s="18" t="s">
        <v>263</v>
      </c>
      <c r="H1408" s="18" t="s">
        <v>3011</v>
      </c>
      <c r="I1408" s="20" t="s">
        <v>3064</v>
      </c>
      <c r="J1408" s="18" t="s">
        <v>58</v>
      </c>
      <c r="K1408" s="18" t="s">
        <v>24</v>
      </c>
      <c r="L1408" s="18" t="s">
        <v>25</v>
      </c>
      <c r="N1408" s="18" t="s">
        <v>807</v>
      </c>
    </row>
    <row r="1409" spans="1:14" ht="15" customHeight="1" x14ac:dyDescent="0.3">
      <c r="A1409" s="18" t="s">
        <v>3005</v>
      </c>
      <c r="B1409" s="19" t="s">
        <v>15</v>
      </c>
      <c r="C1409" s="18" t="s">
        <v>3009</v>
      </c>
      <c r="D1409" s="18" t="s">
        <v>116</v>
      </c>
      <c r="E1409" s="18" t="s">
        <v>117</v>
      </c>
      <c r="F1409" s="18" t="s">
        <v>3065</v>
      </c>
      <c r="G1409" s="18" t="s">
        <v>263</v>
      </c>
      <c r="H1409" s="18" t="s">
        <v>3011</v>
      </c>
      <c r="I1409" s="20" t="s">
        <v>3066</v>
      </c>
      <c r="J1409" s="18" t="s">
        <v>58</v>
      </c>
      <c r="K1409" s="18" t="s">
        <v>24</v>
      </c>
      <c r="L1409" s="18" t="s">
        <v>25</v>
      </c>
      <c r="N1409" s="18" t="s">
        <v>807</v>
      </c>
    </row>
    <row r="1410" spans="1:14" ht="15" customHeight="1" x14ac:dyDescent="0.3">
      <c r="A1410" s="18" t="s">
        <v>3005</v>
      </c>
      <c r="B1410" s="19" t="s">
        <v>15</v>
      </c>
      <c r="C1410" s="18" t="s">
        <v>3009</v>
      </c>
      <c r="D1410" s="18" t="s">
        <v>116</v>
      </c>
      <c r="E1410" s="18" t="s">
        <v>117</v>
      </c>
      <c r="F1410" s="18" t="s">
        <v>3067</v>
      </c>
      <c r="G1410" s="18" t="s">
        <v>1295</v>
      </c>
      <c r="H1410" s="18" t="s">
        <v>3011</v>
      </c>
      <c r="I1410" s="20" t="s">
        <v>3068</v>
      </c>
      <c r="J1410" s="18" t="s">
        <v>58</v>
      </c>
      <c r="K1410" s="18" t="s">
        <v>24</v>
      </c>
      <c r="L1410" s="18" t="s">
        <v>25</v>
      </c>
      <c r="N1410" s="18" t="s">
        <v>807</v>
      </c>
    </row>
    <row r="1411" spans="1:14" ht="15" customHeight="1" x14ac:dyDescent="0.3">
      <c r="A1411" s="18" t="s">
        <v>3005</v>
      </c>
      <c r="B1411" s="19" t="s">
        <v>15</v>
      </c>
      <c r="C1411" s="18" t="s">
        <v>3006</v>
      </c>
      <c r="D1411" s="18" t="s">
        <v>116</v>
      </c>
      <c r="E1411" s="18" t="s">
        <v>117</v>
      </c>
      <c r="F1411" s="18" t="s">
        <v>1931</v>
      </c>
      <c r="G1411" s="18" t="s">
        <v>3069</v>
      </c>
      <c r="H1411" s="18" t="s">
        <v>3007</v>
      </c>
      <c r="I1411" s="20" t="s">
        <v>3070</v>
      </c>
      <c r="J1411" s="18" t="s">
        <v>58</v>
      </c>
      <c r="K1411" s="18" t="s">
        <v>24</v>
      </c>
      <c r="L1411" s="18" t="s">
        <v>25</v>
      </c>
      <c r="N1411" s="18" t="s">
        <v>807</v>
      </c>
    </row>
    <row r="1412" spans="1:14" ht="15" customHeight="1" x14ac:dyDescent="0.3">
      <c r="A1412" s="18" t="s">
        <v>3005</v>
      </c>
      <c r="B1412" s="19" t="s">
        <v>15</v>
      </c>
      <c r="C1412" s="18" t="s">
        <v>3013</v>
      </c>
      <c r="D1412" s="18" t="s">
        <v>116</v>
      </c>
      <c r="E1412" s="18" t="s">
        <v>117</v>
      </c>
      <c r="F1412" s="18" t="s">
        <v>3071</v>
      </c>
      <c r="G1412" s="18" t="s">
        <v>207</v>
      </c>
      <c r="H1412" s="18" t="s">
        <v>3014</v>
      </c>
      <c r="I1412" s="20" t="s">
        <v>3072</v>
      </c>
      <c r="J1412" s="18" t="s">
        <v>58</v>
      </c>
      <c r="K1412" s="18" t="s">
        <v>24</v>
      </c>
      <c r="L1412" s="18" t="s">
        <v>25</v>
      </c>
      <c r="N1412" s="18" t="s">
        <v>973</v>
      </c>
    </row>
    <row r="1413" spans="1:14" ht="15" customHeight="1" x14ac:dyDescent="0.3">
      <c r="A1413" s="18" t="s">
        <v>3005</v>
      </c>
      <c r="B1413" s="19" t="s">
        <v>15</v>
      </c>
      <c r="C1413" s="18" t="s">
        <v>3009</v>
      </c>
      <c r="D1413" s="18" t="s">
        <v>116</v>
      </c>
      <c r="E1413" s="18" t="s">
        <v>117</v>
      </c>
      <c r="F1413" s="18" t="s">
        <v>3073</v>
      </c>
      <c r="G1413" s="18" t="s">
        <v>165</v>
      </c>
      <c r="H1413" s="18" t="s">
        <v>3011</v>
      </c>
      <c r="I1413" s="20" t="s">
        <v>3074</v>
      </c>
      <c r="J1413" s="18" t="s">
        <v>58</v>
      </c>
      <c r="K1413" s="18" t="s">
        <v>24</v>
      </c>
      <c r="L1413" s="18" t="s">
        <v>25</v>
      </c>
      <c r="N1413" s="18" t="s">
        <v>807</v>
      </c>
    </row>
    <row r="1414" spans="1:14" ht="15" customHeight="1" x14ac:dyDescent="0.3">
      <c r="A1414" s="18" t="s">
        <v>3005</v>
      </c>
      <c r="B1414" s="19" t="s">
        <v>15</v>
      </c>
      <c r="C1414" s="18" t="s">
        <v>3009</v>
      </c>
      <c r="D1414" s="18" t="s">
        <v>116</v>
      </c>
      <c r="E1414" s="18" t="s">
        <v>117</v>
      </c>
      <c r="F1414" s="18" t="s">
        <v>3075</v>
      </c>
      <c r="G1414" s="18" t="s">
        <v>41</v>
      </c>
      <c r="H1414" s="18" t="s">
        <v>3016</v>
      </c>
      <c r="I1414" s="20" t="s">
        <v>3076</v>
      </c>
      <c r="J1414" s="18" t="s">
        <v>58</v>
      </c>
      <c r="K1414" s="18" t="s">
        <v>24</v>
      </c>
      <c r="L1414" s="18" t="s">
        <v>25</v>
      </c>
      <c r="N1414" s="18" t="s">
        <v>807</v>
      </c>
    </row>
    <row r="1415" spans="1:14" ht="15" customHeight="1" x14ac:dyDescent="0.3">
      <c r="A1415" s="18" t="s">
        <v>3005</v>
      </c>
      <c r="B1415" s="19" t="s">
        <v>15</v>
      </c>
      <c r="C1415" s="18" t="s">
        <v>3013</v>
      </c>
      <c r="D1415" s="18" t="s">
        <v>116</v>
      </c>
      <c r="E1415" s="18" t="s">
        <v>117</v>
      </c>
      <c r="F1415" s="18" t="s">
        <v>3077</v>
      </c>
      <c r="G1415" s="18" t="s">
        <v>536</v>
      </c>
      <c r="H1415" s="18" t="s">
        <v>3014</v>
      </c>
      <c r="I1415" s="20" t="s">
        <v>3078</v>
      </c>
      <c r="J1415" s="18" t="s">
        <v>58</v>
      </c>
      <c r="K1415" s="18" t="s">
        <v>24</v>
      </c>
      <c r="L1415" s="18" t="s">
        <v>25</v>
      </c>
      <c r="N1415" s="18" t="s">
        <v>973</v>
      </c>
    </row>
    <row r="1416" spans="1:14" ht="15" customHeight="1" x14ac:dyDescent="0.3">
      <c r="A1416" s="18" t="s">
        <v>3005</v>
      </c>
      <c r="B1416" s="19" t="s">
        <v>15</v>
      </c>
      <c r="C1416" s="18" t="s">
        <v>3009</v>
      </c>
      <c r="D1416" s="18" t="s">
        <v>116</v>
      </c>
      <c r="E1416" s="18" t="s">
        <v>117</v>
      </c>
      <c r="F1416" s="18" t="s">
        <v>1220</v>
      </c>
      <c r="G1416" s="18" t="s">
        <v>1251</v>
      </c>
      <c r="H1416" s="18" t="s">
        <v>3016</v>
      </c>
      <c r="I1416" s="20" t="s">
        <v>3079</v>
      </c>
      <c r="J1416" s="18" t="s">
        <v>58</v>
      </c>
      <c r="K1416" s="18" t="s">
        <v>24</v>
      </c>
      <c r="L1416" s="18" t="s">
        <v>25</v>
      </c>
      <c r="N1416" s="18" t="s">
        <v>807</v>
      </c>
    </row>
    <row r="1417" spans="1:14" ht="15" customHeight="1" x14ac:dyDescent="0.3">
      <c r="A1417" s="18" t="s">
        <v>3005</v>
      </c>
      <c r="B1417" s="19" t="s">
        <v>15</v>
      </c>
      <c r="C1417" s="18" t="s">
        <v>3009</v>
      </c>
      <c r="D1417" s="18" t="s">
        <v>116</v>
      </c>
      <c r="E1417" s="18" t="s">
        <v>117</v>
      </c>
      <c r="F1417" s="18" t="s">
        <v>3080</v>
      </c>
      <c r="G1417" s="18" t="s">
        <v>3081</v>
      </c>
      <c r="H1417" s="18" t="s">
        <v>3016</v>
      </c>
      <c r="I1417" s="20" t="s">
        <v>3082</v>
      </c>
      <c r="J1417" s="18" t="s">
        <v>58</v>
      </c>
      <c r="K1417" s="18" t="s">
        <v>24</v>
      </c>
      <c r="L1417" s="18" t="s">
        <v>25</v>
      </c>
      <c r="N1417" s="18" t="s">
        <v>807</v>
      </c>
    </row>
    <row r="1418" spans="1:14" ht="15" customHeight="1" x14ac:dyDescent="0.3">
      <c r="A1418" s="18" t="s">
        <v>3005</v>
      </c>
      <c r="B1418" s="19" t="s">
        <v>15</v>
      </c>
      <c r="C1418" s="18" t="s">
        <v>3009</v>
      </c>
      <c r="D1418" s="18" t="s">
        <v>116</v>
      </c>
      <c r="E1418" s="18" t="s">
        <v>117</v>
      </c>
      <c r="F1418" s="18" t="s">
        <v>3083</v>
      </c>
      <c r="G1418" s="18" t="s">
        <v>429</v>
      </c>
      <c r="H1418" s="18" t="s">
        <v>3007</v>
      </c>
      <c r="I1418" s="20" t="s">
        <v>3084</v>
      </c>
      <c r="J1418" s="18" t="s">
        <v>58</v>
      </c>
      <c r="K1418" s="18" t="s">
        <v>24</v>
      </c>
      <c r="L1418" s="18" t="s">
        <v>25</v>
      </c>
      <c r="N1418" s="18" t="s">
        <v>807</v>
      </c>
    </row>
    <row r="1419" spans="1:14" ht="15" customHeight="1" x14ac:dyDescent="0.3">
      <c r="A1419" s="18" t="s">
        <v>3005</v>
      </c>
      <c r="B1419" s="19" t="s">
        <v>15</v>
      </c>
      <c r="C1419" s="18" t="s">
        <v>3025</v>
      </c>
      <c r="D1419" s="18" t="s">
        <v>116</v>
      </c>
      <c r="E1419" s="18" t="s">
        <v>117</v>
      </c>
      <c r="F1419" s="18" t="s">
        <v>3085</v>
      </c>
      <c r="G1419" s="18" t="s">
        <v>35</v>
      </c>
      <c r="H1419" s="18" t="s">
        <v>3026</v>
      </c>
      <c r="I1419" s="20" t="s">
        <v>3086</v>
      </c>
      <c r="J1419" s="18" t="s">
        <v>58</v>
      </c>
      <c r="K1419" s="18" t="s">
        <v>24</v>
      </c>
      <c r="L1419" s="18" t="s">
        <v>25</v>
      </c>
      <c r="N1419" s="18" t="s">
        <v>973</v>
      </c>
    </row>
    <row r="1420" spans="1:14" ht="15" customHeight="1" x14ac:dyDescent="0.3">
      <c r="A1420" s="18" t="s">
        <v>3005</v>
      </c>
      <c r="B1420" s="19" t="s">
        <v>15</v>
      </c>
      <c r="C1420" s="18" t="s">
        <v>3013</v>
      </c>
      <c r="D1420" s="18" t="s">
        <v>116</v>
      </c>
      <c r="E1420" s="18" t="s">
        <v>117</v>
      </c>
      <c r="F1420" s="18" t="s">
        <v>3087</v>
      </c>
      <c r="G1420" s="18" t="s">
        <v>637</v>
      </c>
      <c r="H1420" s="18" t="s">
        <v>3014</v>
      </c>
      <c r="I1420" s="20" t="s">
        <v>3088</v>
      </c>
      <c r="J1420" s="18" t="s">
        <v>58</v>
      </c>
      <c r="K1420" s="18" t="s">
        <v>24</v>
      </c>
      <c r="L1420" s="18" t="s">
        <v>25</v>
      </c>
      <c r="N1420" s="18" t="s">
        <v>973</v>
      </c>
    </row>
    <row r="1421" spans="1:14" ht="15" customHeight="1" x14ac:dyDescent="0.3">
      <c r="A1421" s="18" t="s">
        <v>3005</v>
      </c>
      <c r="B1421" s="19" t="s">
        <v>15</v>
      </c>
      <c r="C1421" s="18" t="s">
        <v>3009</v>
      </c>
      <c r="D1421" s="18" t="s">
        <v>116</v>
      </c>
      <c r="E1421" s="18" t="s">
        <v>117</v>
      </c>
      <c r="F1421" s="18" t="s">
        <v>3089</v>
      </c>
      <c r="G1421" s="18" t="s">
        <v>35</v>
      </c>
      <c r="H1421" s="18" t="s">
        <v>3016</v>
      </c>
      <c r="I1421" s="20" t="s">
        <v>3090</v>
      </c>
      <c r="J1421" s="18" t="s">
        <v>58</v>
      </c>
      <c r="K1421" s="18" t="s">
        <v>24</v>
      </c>
      <c r="L1421" s="18" t="s">
        <v>25</v>
      </c>
      <c r="N1421" s="18" t="s">
        <v>807</v>
      </c>
    </row>
    <row r="1422" spans="1:14" ht="15" customHeight="1" x14ac:dyDescent="0.3">
      <c r="A1422" s="18" t="s">
        <v>3005</v>
      </c>
      <c r="B1422" s="19" t="s">
        <v>15</v>
      </c>
      <c r="C1422" s="18" t="s">
        <v>3013</v>
      </c>
      <c r="D1422" s="18" t="s">
        <v>116</v>
      </c>
      <c r="E1422" s="18" t="s">
        <v>117</v>
      </c>
      <c r="F1422" s="18" t="s">
        <v>3091</v>
      </c>
      <c r="G1422" s="18" t="s">
        <v>2242</v>
      </c>
      <c r="H1422" s="18" t="s">
        <v>3014</v>
      </c>
      <c r="I1422" s="20" t="s">
        <v>3092</v>
      </c>
      <c r="J1422" s="18" t="s">
        <v>58</v>
      </c>
      <c r="K1422" s="18" t="s">
        <v>24</v>
      </c>
      <c r="L1422" s="18" t="s">
        <v>25</v>
      </c>
      <c r="N1422" s="18" t="s">
        <v>973</v>
      </c>
    </row>
    <row r="1423" spans="1:14" ht="15" customHeight="1" x14ac:dyDescent="0.3">
      <c r="A1423" s="18" t="s">
        <v>3005</v>
      </c>
      <c r="B1423" s="19" t="s">
        <v>15</v>
      </c>
      <c r="C1423" s="18" t="s">
        <v>3009</v>
      </c>
      <c r="D1423" s="18" t="s">
        <v>116</v>
      </c>
      <c r="E1423" s="18" t="s">
        <v>117</v>
      </c>
      <c r="F1423" s="18" t="s">
        <v>3093</v>
      </c>
      <c r="G1423" s="18" t="s">
        <v>47</v>
      </c>
      <c r="H1423" s="18" t="s">
        <v>3016</v>
      </c>
      <c r="I1423" s="20" t="s">
        <v>3094</v>
      </c>
      <c r="J1423" s="18" t="s">
        <v>58</v>
      </c>
      <c r="K1423" s="18" t="s">
        <v>24</v>
      </c>
      <c r="L1423" s="18" t="s">
        <v>25</v>
      </c>
      <c r="N1423" s="18" t="s">
        <v>807</v>
      </c>
    </row>
    <row r="1424" spans="1:14" ht="15" customHeight="1" x14ac:dyDescent="0.3">
      <c r="A1424" s="18" t="s">
        <v>3005</v>
      </c>
      <c r="B1424" s="19" t="s">
        <v>15</v>
      </c>
      <c r="C1424" s="18" t="s">
        <v>3095</v>
      </c>
      <c r="D1424" s="18" t="s">
        <v>116</v>
      </c>
      <c r="E1424" s="18" t="s">
        <v>117</v>
      </c>
      <c r="F1424" s="18" t="s">
        <v>3096</v>
      </c>
      <c r="G1424" s="18" t="s">
        <v>47</v>
      </c>
      <c r="H1424" s="18" t="s">
        <v>3097</v>
      </c>
      <c r="I1424" s="20" t="s">
        <v>3098</v>
      </c>
      <c r="J1424" s="18" t="s">
        <v>58</v>
      </c>
      <c r="K1424" s="18" t="s">
        <v>24</v>
      </c>
      <c r="L1424" s="18" t="s">
        <v>25</v>
      </c>
      <c r="N1424" s="18" t="s">
        <v>973</v>
      </c>
    </row>
    <row r="1425" spans="1:14" ht="15" customHeight="1" x14ac:dyDescent="0.3">
      <c r="A1425" s="18" t="s">
        <v>3005</v>
      </c>
      <c r="B1425" s="19" t="s">
        <v>15</v>
      </c>
      <c r="C1425" s="18" t="s">
        <v>3009</v>
      </c>
      <c r="D1425" s="18" t="s">
        <v>116</v>
      </c>
      <c r="E1425" s="18" t="s">
        <v>117</v>
      </c>
      <c r="F1425" s="18" t="s">
        <v>3099</v>
      </c>
      <c r="G1425" s="18" t="s">
        <v>35</v>
      </c>
      <c r="H1425" s="18" t="s">
        <v>3016</v>
      </c>
      <c r="I1425" s="20" t="s">
        <v>3100</v>
      </c>
      <c r="J1425" s="18" t="s">
        <v>58</v>
      </c>
      <c r="K1425" s="18" t="s">
        <v>24</v>
      </c>
      <c r="L1425" s="18" t="s">
        <v>25</v>
      </c>
      <c r="N1425" s="18" t="s">
        <v>807</v>
      </c>
    </row>
    <row r="1426" spans="1:14" ht="15" customHeight="1" x14ac:dyDescent="0.3">
      <c r="A1426" s="18" t="s">
        <v>3005</v>
      </c>
      <c r="B1426" s="19" t="s">
        <v>15</v>
      </c>
      <c r="C1426" s="18" t="s">
        <v>3025</v>
      </c>
      <c r="D1426" s="18" t="s">
        <v>116</v>
      </c>
      <c r="E1426" s="18" t="s">
        <v>117</v>
      </c>
      <c r="F1426" s="18" t="s">
        <v>3101</v>
      </c>
      <c r="G1426" s="18" t="s">
        <v>47</v>
      </c>
      <c r="H1426" s="18" t="s">
        <v>3026</v>
      </c>
      <c r="I1426" s="20" t="s">
        <v>3102</v>
      </c>
      <c r="J1426" s="18" t="s">
        <v>58</v>
      </c>
      <c r="K1426" s="18" t="s">
        <v>24</v>
      </c>
      <c r="L1426" s="18" t="s">
        <v>25</v>
      </c>
      <c r="N1426" s="18" t="s">
        <v>973</v>
      </c>
    </row>
    <row r="1427" spans="1:14" ht="15" customHeight="1" x14ac:dyDescent="0.3">
      <c r="A1427" s="18" t="s">
        <v>3005</v>
      </c>
      <c r="B1427" s="19" t="s">
        <v>15</v>
      </c>
      <c r="C1427" s="18" t="s">
        <v>3009</v>
      </c>
      <c r="D1427" s="18" t="s">
        <v>116</v>
      </c>
      <c r="E1427" s="18" t="s">
        <v>117</v>
      </c>
      <c r="F1427" s="18" t="s">
        <v>3103</v>
      </c>
      <c r="G1427" s="18" t="s">
        <v>270</v>
      </c>
      <c r="H1427" s="18" t="s">
        <v>3011</v>
      </c>
      <c r="I1427" s="20" t="s">
        <v>3104</v>
      </c>
      <c r="J1427" s="18" t="s">
        <v>58</v>
      </c>
      <c r="K1427" s="18" t="s">
        <v>24</v>
      </c>
      <c r="L1427" s="18" t="s">
        <v>25</v>
      </c>
      <c r="N1427" s="18" t="s">
        <v>807</v>
      </c>
    </row>
    <row r="1428" spans="1:14" ht="15" customHeight="1" x14ac:dyDescent="0.3">
      <c r="A1428" s="18" t="s">
        <v>3005</v>
      </c>
      <c r="B1428" s="19" t="s">
        <v>15</v>
      </c>
      <c r="C1428" s="18" t="s">
        <v>3009</v>
      </c>
      <c r="D1428" s="18" t="s">
        <v>116</v>
      </c>
      <c r="E1428" s="18" t="s">
        <v>117</v>
      </c>
      <c r="F1428" s="18" t="s">
        <v>128</v>
      </c>
      <c r="G1428" s="18" t="s">
        <v>47</v>
      </c>
      <c r="H1428" s="18" t="s">
        <v>3016</v>
      </c>
      <c r="I1428" s="20" t="s">
        <v>3105</v>
      </c>
      <c r="J1428" s="18" t="s">
        <v>58</v>
      </c>
      <c r="K1428" s="18" t="s">
        <v>24</v>
      </c>
      <c r="L1428" s="18" t="s">
        <v>25</v>
      </c>
      <c r="N1428" s="18" t="s">
        <v>807</v>
      </c>
    </row>
    <row r="1429" spans="1:14" ht="15" customHeight="1" x14ac:dyDescent="0.3">
      <c r="A1429" s="18" t="s">
        <v>3005</v>
      </c>
      <c r="B1429" s="19" t="s">
        <v>15</v>
      </c>
      <c r="C1429" s="18" t="s">
        <v>3009</v>
      </c>
      <c r="D1429" s="18" t="s">
        <v>116</v>
      </c>
      <c r="E1429" s="18" t="s">
        <v>117</v>
      </c>
      <c r="F1429" s="18" t="s">
        <v>868</v>
      </c>
      <c r="G1429" s="18" t="s">
        <v>270</v>
      </c>
      <c r="H1429" s="18" t="s">
        <v>3007</v>
      </c>
      <c r="I1429" s="20" t="s">
        <v>3106</v>
      </c>
      <c r="J1429" s="18" t="s">
        <v>58</v>
      </c>
      <c r="K1429" s="18" t="s">
        <v>24</v>
      </c>
      <c r="L1429" s="18" t="s">
        <v>25</v>
      </c>
      <c r="N1429" s="18" t="s">
        <v>807</v>
      </c>
    </row>
    <row r="1430" spans="1:14" ht="15" customHeight="1" x14ac:dyDescent="0.3">
      <c r="A1430" s="18" t="s">
        <v>3005</v>
      </c>
      <c r="B1430" s="19" t="s">
        <v>15</v>
      </c>
      <c r="C1430" s="18" t="s">
        <v>3009</v>
      </c>
      <c r="D1430" s="18" t="s">
        <v>116</v>
      </c>
      <c r="E1430" s="18" t="s">
        <v>117</v>
      </c>
      <c r="F1430" s="18" t="s">
        <v>2020</v>
      </c>
      <c r="G1430" s="18" t="s">
        <v>619</v>
      </c>
      <c r="H1430" s="18" t="s">
        <v>3016</v>
      </c>
      <c r="I1430" s="20" t="s">
        <v>3107</v>
      </c>
      <c r="J1430" s="18" t="s">
        <v>58</v>
      </c>
      <c r="K1430" s="18" t="s">
        <v>24</v>
      </c>
      <c r="L1430" s="18" t="s">
        <v>25</v>
      </c>
      <c r="N1430" s="18" t="s">
        <v>807</v>
      </c>
    </row>
    <row r="1431" spans="1:14" ht="15" customHeight="1" x14ac:dyDescent="0.3">
      <c r="A1431" s="18" t="s">
        <v>3005</v>
      </c>
      <c r="B1431" s="19" t="s">
        <v>15</v>
      </c>
      <c r="C1431" s="18" t="s">
        <v>3009</v>
      </c>
      <c r="D1431" s="18" t="s">
        <v>116</v>
      </c>
      <c r="E1431" s="18" t="s">
        <v>117</v>
      </c>
      <c r="F1431" s="18" t="s">
        <v>3108</v>
      </c>
      <c r="G1431" s="18" t="s">
        <v>47</v>
      </c>
      <c r="H1431" s="18" t="s">
        <v>3016</v>
      </c>
      <c r="I1431" s="20" t="s">
        <v>3109</v>
      </c>
      <c r="J1431" s="18" t="s">
        <v>58</v>
      </c>
      <c r="K1431" s="18" t="s">
        <v>24</v>
      </c>
      <c r="L1431" s="18" t="s">
        <v>25</v>
      </c>
      <c r="N1431" s="18" t="s">
        <v>807</v>
      </c>
    </row>
    <row r="1432" spans="1:14" ht="15" customHeight="1" x14ac:dyDescent="0.3">
      <c r="A1432" s="18" t="s">
        <v>3005</v>
      </c>
      <c r="B1432" s="19" t="s">
        <v>15</v>
      </c>
      <c r="C1432" s="18" t="s">
        <v>3009</v>
      </c>
      <c r="D1432" s="18" t="s">
        <v>116</v>
      </c>
      <c r="E1432" s="18" t="s">
        <v>117</v>
      </c>
      <c r="F1432" s="18" t="s">
        <v>3110</v>
      </c>
      <c r="G1432" s="18" t="s">
        <v>35</v>
      </c>
      <c r="H1432" s="18" t="s">
        <v>3016</v>
      </c>
      <c r="I1432" s="20" t="s">
        <v>3111</v>
      </c>
      <c r="J1432" s="18" t="s">
        <v>58</v>
      </c>
      <c r="K1432" s="18" t="s">
        <v>24</v>
      </c>
      <c r="L1432" s="18" t="s">
        <v>25</v>
      </c>
      <c r="N1432" s="18" t="s">
        <v>807</v>
      </c>
    </row>
    <row r="1433" spans="1:14" ht="15" customHeight="1" x14ac:dyDescent="0.3">
      <c r="A1433" s="18" t="s">
        <v>3005</v>
      </c>
      <c r="B1433" s="19" t="s">
        <v>15</v>
      </c>
      <c r="C1433" s="18" t="s">
        <v>3009</v>
      </c>
      <c r="D1433" s="18" t="s">
        <v>116</v>
      </c>
      <c r="E1433" s="18" t="s">
        <v>117</v>
      </c>
      <c r="F1433" s="18" t="s">
        <v>3112</v>
      </c>
      <c r="G1433" s="18" t="s">
        <v>60</v>
      </c>
      <c r="H1433" s="18" t="s">
        <v>3016</v>
      </c>
      <c r="I1433" s="20" t="s">
        <v>3113</v>
      </c>
      <c r="J1433" s="18" t="s">
        <v>58</v>
      </c>
      <c r="K1433" s="18" t="s">
        <v>24</v>
      </c>
      <c r="L1433" s="18" t="s">
        <v>25</v>
      </c>
      <c r="N1433" s="18" t="s">
        <v>807</v>
      </c>
    </row>
    <row r="1434" spans="1:14" ht="15" customHeight="1" x14ac:dyDescent="0.3">
      <c r="A1434" s="18" t="s">
        <v>3005</v>
      </c>
      <c r="B1434" s="19" t="s">
        <v>15</v>
      </c>
      <c r="C1434" s="18" t="s">
        <v>3009</v>
      </c>
      <c r="D1434" s="18" t="s">
        <v>116</v>
      </c>
      <c r="E1434" s="18" t="s">
        <v>117</v>
      </c>
      <c r="F1434" s="18" t="s">
        <v>3114</v>
      </c>
      <c r="G1434" s="18" t="s">
        <v>47</v>
      </c>
      <c r="H1434" s="18" t="s">
        <v>3016</v>
      </c>
      <c r="I1434" s="20" t="s">
        <v>3115</v>
      </c>
      <c r="J1434" s="18" t="s">
        <v>58</v>
      </c>
      <c r="K1434" s="18" t="s">
        <v>24</v>
      </c>
      <c r="L1434" s="18" t="s">
        <v>25</v>
      </c>
      <c r="N1434" s="18" t="s">
        <v>807</v>
      </c>
    </row>
    <row r="1435" spans="1:14" ht="15" customHeight="1" x14ac:dyDescent="0.3">
      <c r="A1435" s="18" t="s">
        <v>3005</v>
      </c>
      <c r="B1435" s="19" t="s">
        <v>15</v>
      </c>
      <c r="C1435" s="18" t="s">
        <v>3009</v>
      </c>
      <c r="D1435" s="18" t="s">
        <v>116</v>
      </c>
      <c r="E1435" s="18" t="s">
        <v>117</v>
      </c>
      <c r="F1435" s="18" t="s">
        <v>1233</v>
      </c>
      <c r="G1435" s="18" t="s">
        <v>47</v>
      </c>
      <c r="H1435" s="18" t="s">
        <v>3016</v>
      </c>
      <c r="I1435" s="20" t="s">
        <v>3116</v>
      </c>
      <c r="J1435" s="18" t="s">
        <v>58</v>
      </c>
      <c r="K1435" s="18" t="s">
        <v>24</v>
      </c>
      <c r="L1435" s="18" t="s">
        <v>25</v>
      </c>
      <c r="N1435" s="18" t="s">
        <v>807</v>
      </c>
    </row>
    <row r="1436" spans="1:14" ht="15" customHeight="1" x14ac:dyDescent="0.3">
      <c r="A1436" s="18" t="s">
        <v>3005</v>
      </c>
      <c r="B1436" s="19" t="s">
        <v>15</v>
      </c>
      <c r="C1436" s="18" t="s">
        <v>3009</v>
      </c>
      <c r="D1436" s="18" t="s">
        <v>116</v>
      </c>
      <c r="E1436" s="18" t="s">
        <v>117</v>
      </c>
      <c r="F1436" s="18" t="s">
        <v>3117</v>
      </c>
      <c r="G1436" s="18" t="s">
        <v>35</v>
      </c>
      <c r="H1436" s="18" t="s">
        <v>3016</v>
      </c>
      <c r="I1436" s="20" t="s">
        <v>3118</v>
      </c>
      <c r="J1436" s="18" t="s">
        <v>58</v>
      </c>
      <c r="K1436" s="18" t="s">
        <v>24</v>
      </c>
      <c r="L1436" s="18" t="s">
        <v>25</v>
      </c>
      <c r="N1436" s="18" t="s">
        <v>807</v>
      </c>
    </row>
    <row r="1437" spans="1:14" ht="15" customHeight="1" x14ac:dyDescent="0.3">
      <c r="A1437" s="18" t="s">
        <v>3005</v>
      </c>
      <c r="B1437" s="19" t="s">
        <v>15</v>
      </c>
      <c r="C1437" s="18" t="s">
        <v>3025</v>
      </c>
      <c r="D1437" s="18" t="s">
        <v>116</v>
      </c>
      <c r="E1437" s="18" t="s">
        <v>117</v>
      </c>
      <c r="F1437" s="18" t="s">
        <v>720</v>
      </c>
      <c r="G1437" s="18" t="s">
        <v>20</v>
      </c>
      <c r="H1437" s="18" t="s">
        <v>3007</v>
      </c>
      <c r="I1437" s="20" t="s">
        <v>3119</v>
      </c>
      <c r="J1437" s="18" t="s">
        <v>58</v>
      </c>
      <c r="K1437" s="18" t="s">
        <v>24</v>
      </c>
      <c r="L1437" s="18" t="s">
        <v>25</v>
      </c>
      <c r="N1437" s="18" t="s">
        <v>973</v>
      </c>
    </row>
    <row r="1438" spans="1:14" ht="15" customHeight="1" x14ac:dyDescent="0.3">
      <c r="A1438" s="18" t="s">
        <v>3005</v>
      </c>
      <c r="B1438" s="19" t="s">
        <v>15</v>
      </c>
      <c r="C1438" s="18" t="s">
        <v>3013</v>
      </c>
      <c r="D1438" s="18" t="s">
        <v>116</v>
      </c>
      <c r="E1438" s="18" t="s">
        <v>117</v>
      </c>
      <c r="F1438" s="18" t="s">
        <v>3120</v>
      </c>
      <c r="G1438" s="18" t="s">
        <v>536</v>
      </c>
      <c r="H1438" s="18" t="s">
        <v>3014</v>
      </c>
      <c r="I1438" s="20" t="s">
        <v>3121</v>
      </c>
      <c r="J1438" s="18" t="s">
        <v>58</v>
      </c>
      <c r="K1438" s="18" t="s">
        <v>24</v>
      </c>
      <c r="L1438" s="18" t="s">
        <v>25</v>
      </c>
      <c r="N1438" s="18" t="s">
        <v>973</v>
      </c>
    </row>
    <row r="1439" spans="1:14" ht="15" customHeight="1" x14ac:dyDescent="0.3">
      <c r="A1439" s="18" t="s">
        <v>3005</v>
      </c>
      <c r="B1439" s="19" t="s">
        <v>15</v>
      </c>
      <c r="C1439" s="18" t="s">
        <v>3013</v>
      </c>
      <c r="D1439" s="18" t="s">
        <v>116</v>
      </c>
      <c r="E1439" s="18" t="s">
        <v>117</v>
      </c>
      <c r="F1439" s="18" t="s">
        <v>3122</v>
      </c>
      <c r="G1439" s="18" t="s">
        <v>536</v>
      </c>
      <c r="H1439" s="18" t="s">
        <v>3014</v>
      </c>
      <c r="I1439" s="20" t="s">
        <v>3123</v>
      </c>
      <c r="J1439" s="18" t="s">
        <v>58</v>
      </c>
      <c r="K1439" s="18" t="s">
        <v>24</v>
      </c>
      <c r="L1439" s="18" t="s">
        <v>25</v>
      </c>
      <c r="N1439" s="18" t="s">
        <v>973</v>
      </c>
    </row>
    <row r="1440" spans="1:14" ht="15" customHeight="1" x14ac:dyDescent="0.3">
      <c r="A1440" s="18" t="s">
        <v>3005</v>
      </c>
      <c r="B1440" s="19" t="s">
        <v>15</v>
      </c>
      <c r="C1440" s="18" t="s">
        <v>3009</v>
      </c>
      <c r="D1440" s="18" t="s">
        <v>116</v>
      </c>
      <c r="E1440" s="18" t="s">
        <v>117</v>
      </c>
      <c r="F1440" s="18" t="s">
        <v>3124</v>
      </c>
      <c r="G1440" s="18" t="s">
        <v>219</v>
      </c>
      <c r="H1440" s="18" t="s">
        <v>3016</v>
      </c>
      <c r="I1440" s="20" t="s">
        <v>3125</v>
      </c>
      <c r="J1440" s="18" t="s">
        <v>58</v>
      </c>
      <c r="K1440" s="18" t="s">
        <v>24</v>
      </c>
      <c r="L1440" s="18" t="s">
        <v>25</v>
      </c>
      <c r="N1440" s="18" t="s">
        <v>807</v>
      </c>
    </row>
    <row r="1441" spans="1:14" ht="15" customHeight="1" x14ac:dyDescent="0.3">
      <c r="A1441" s="18" t="s">
        <v>3005</v>
      </c>
      <c r="B1441" s="19" t="s">
        <v>15</v>
      </c>
      <c r="C1441" s="18" t="s">
        <v>3009</v>
      </c>
      <c r="D1441" s="18" t="s">
        <v>116</v>
      </c>
      <c r="E1441" s="18" t="s">
        <v>117</v>
      </c>
      <c r="F1441" s="18" t="s">
        <v>3126</v>
      </c>
      <c r="G1441" s="18" t="s">
        <v>60</v>
      </c>
      <c r="H1441" s="18" t="s">
        <v>3016</v>
      </c>
      <c r="I1441" s="20" t="s">
        <v>3127</v>
      </c>
      <c r="J1441" s="18" t="s">
        <v>58</v>
      </c>
      <c r="K1441" s="18" t="s">
        <v>24</v>
      </c>
      <c r="L1441" s="18" t="s">
        <v>25</v>
      </c>
      <c r="N1441" s="18" t="s">
        <v>807</v>
      </c>
    </row>
    <row r="1442" spans="1:14" ht="15" customHeight="1" x14ac:dyDescent="0.3">
      <c r="A1442" s="18" t="s">
        <v>3005</v>
      </c>
      <c r="B1442" s="19" t="s">
        <v>15</v>
      </c>
      <c r="C1442" s="18" t="s">
        <v>3009</v>
      </c>
      <c r="D1442" s="18" t="s">
        <v>116</v>
      </c>
      <c r="E1442" s="18" t="s">
        <v>18</v>
      </c>
      <c r="F1442" s="18" t="s">
        <v>3128</v>
      </c>
      <c r="G1442" s="18" t="s">
        <v>41</v>
      </c>
      <c r="H1442" s="18" t="s">
        <v>3016</v>
      </c>
      <c r="I1442" s="20" t="s">
        <v>3129</v>
      </c>
      <c r="J1442" s="18" t="s">
        <v>30</v>
      </c>
      <c r="K1442" s="18" t="s">
        <v>24</v>
      </c>
      <c r="L1442" s="18" t="s">
        <v>25</v>
      </c>
      <c r="N1442" s="18" t="s">
        <v>807</v>
      </c>
    </row>
    <row r="1443" spans="1:14" ht="15" customHeight="1" x14ac:dyDescent="0.3">
      <c r="A1443" s="18" t="s">
        <v>3005</v>
      </c>
      <c r="B1443" s="19" t="s">
        <v>15</v>
      </c>
      <c r="C1443" s="18" t="s">
        <v>3013</v>
      </c>
      <c r="D1443" s="18" t="s">
        <v>116</v>
      </c>
      <c r="E1443" s="18" t="s">
        <v>18</v>
      </c>
      <c r="F1443" s="18" t="s">
        <v>3130</v>
      </c>
      <c r="G1443" s="18" t="s">
        <v>536</v>
      </c>
      <c r="H1443" s="18" t="s">
        <v>3014</v>
      </c>
      <c r="I1443" s="20" t="s">
        <v>3131</v>
      </c>
      <c r="J1443" s="18" t="s">
        <v>30</v>
      </c>
      <c r="K1443" s="18" t="s">
        <v>24</v>
      </c>
      <c r="L1443" s="18" t="s">
        <v>25</v>
      </c>
      <c r="N1443" s="18" t="s">
        <v>973</v>
      </c>
    </row>
    <row r="1444" spans="1:14" ht="15" customHeight="1" x14ac:dyDescent="0.3">
      <c r="A1444" s="18" t="s">
        <v>3005</v>
      </c>
      <c r="B1444" s="19" t="s">
        <v>15</v>
      </c>
      <c r="C1444" s="18" t="s">
        <v>3025</v>
      </c>
      <c r="D1444" s="18" t="s">
        <v>116</v>
      </c>
      <c r="E1444" s="18" t="s">
        <v>18</v>
      </c>
      <c r="F1444" s="18" t="s">
        <v>3132</v>
      </c>
      <c r="G1444" s="18" t="s">
        <v>3133</v>
      </c>
      <c r="H1444" s="18" t="s">
        <v>3026</v>
      </c>
      <c r="I1444" s="20" t="s">
        <v>3134</v>
      </c>
      <c r="J1444" s="18" t="s">
        <v>30</v>
      </c>
      <c r="K1444" s="18" t="s">
        <v>24</v>
      </c>
      <c r="L1444" s="18" t="s">
        <v>25</v>
      </c>
      <c r="N1444" s="18" t="s">
        <v>973</v>
      </c>
    </row>
    <row r="1445" spans="1:14" ht="15" customHeight="1" x14ac:dyDescent="0.3">
      <c r="A1445" s="18" t="s">
        <v>3005</v>
      </c>
      <c r="B1445" s="19" t="s">
        <v>15</v>
      </c>
      <c r="C1445" s="18" t="s">
        <v>3013</v>
      </c>
      <c r="D1445" s="18" t="s">
        <v>116</v>
      </c>
      <c r="E1445" s="18" t="s">
        <v>18</v>
      </c>
      <c r="F1445" s="18" t="s">
        <v>3135</v>
      </c>
      <c r="G1445" s="18" t="s">
        <v>606</v>
      </c>
      <c r="H1445" s="18" t="s">
        <v>3014</v>
      </c>
      <c r="I1445" s="20" t="s">
        <v>3136</v>
      </c>
      <c r="J1445" s="18" t="s">
        <v>30</v>
      </c>
      <c r="K1445" s="18" t="s">
        <v>24</v>
      </c>
      <c r="L1445" s="18" t="s">
        <v>25</v>
      </c>
      <c r="N1445" s="18" t="s">
        <v>973</v>
      </c>
    </row>
    <row r="1446" spans="1:14" ht="15" customHeight="1" x14ac:dyDescent="0.3">
      <c r="A1446" s="18" t="s">
        <v>3005</v>
      </c>
      <c r="B1446" s="19" t="s">
        <v>15</v>
      </c>
      <c r="C1446" s="18" t="s">
        <v>3009</v>
      </c>
      <c r="D1446" s="18" t="s">
        <v>116</v>
      </c>
      <c r="E1446" s="18" t="s">
        <v>18</v>
      </c>
      <c r="F1446" s="18" t="s">
        <v>3137</v>
      </c>
      <c r="G1446" s="18" t="s">
        <v>3138</v>
      </c>
      <c r="H1446" s="18" t="s">
        <v>3016</v>
      </c>
      <c r="I1446" s="20" t="s">
        <v>3139</v>
      </c>
      <c r="J1446" s="18" t="s">
        <v>30</v>
      </c>
      <c r="K1446" s="18" t="s">
        <v>24</v>
      </c>
      <c r="L1446" s="18" t="s">
        <v>25</v>
      </c>
      <c r="N1446" s="18" t="s">
        <v>807</v>
      </c>
    </row>
    <row r="1447" spans="1:14" ht="15" customHeight="1" x14ac:dyDescent="0.3">
      <c r="A1447" s="18" t="s">
        <v>3005</v>
      </c>
      <c r="B1447" s="19" t="s">
        <v>15</v>
      </c>
      <c r="C1447" s="18" t="s">
        <v>3013</v>
      </c>
      <c r="D1447" s="18" t="s">
        <v>116</v>
      </c>
      <c r="E1447" s="18" t="s">
        <v>18</v>
      </c>
      <c r="F1447" s="18" t="s">
        <v>2743</v>
      </c>
      <c r="G1447" s="18" t="s">
        <v>606</v>
      </c>
      <c r="H1447" s="18" t="s">
        <v>3014</v>
      </c>
      <c r="I1447" s="20" t="s">
        <v>3140</v>
      </c>
      <c r="J1447" s="18" t="s">
        <v>30</v>
      </c>
      <c r="K1447" s="18" t="s">
        <v>24</v>
      </c>
      <c r="L1447" s="18" t="s">
        <v>25</v>
      </c>
      <c r="N1447" s="18" t="s">
        <v>973</v>
      </c>
    </row>
    <row r="1448" spans="1:14" ht="15" customHeight="1" x14ac:dyDescent="0.3">
      <c r="A1448" s="18" t="s">
        <v>3005</v>
      </c>
      <c r="B1448" s="19" t="s">
        <v>15</v>
      </c>
      <c r="C1448" s="18" t="s">
        <v>3009</v>
      </c>
      <c r="D1448" s="18" t="s">
        <v>116</v>
      </c>
      <c r="E1448" s="18" t="s">
        <v>18</v>
      </c>
      <c r="F1448" s="18" t="s">
        <v>3141</v>
      </c>
      <c r="G1448" s="18" t="s">
        <v>433</v>
      </c>
      <c r="H1448" s="18" t="s">
        <v>3016</v>
      </c>
      <c r="I1448" s="20" t="s">
        <v>3142</v>
      </c>
      <c r="J1448" s="18" t="s">
        <v>30</v>
      </c>
      <c r="K1448" s="18" t="s">
        <v>24</v>
      </c>
      <c r="L1448" s="18" t="s">
        <v>25</v>
      </c>
      <c r="M1448" s="18" t="s">
        <v>39</v>
      </c>
      <c r="N1448" s="18" t="s">
        <v>807</v>
      </c>
    </row>
    <row r="1449" spans="1:14" ht="15" customHeight="1" x14ac:dyDescent="0.3">
      <c r="A1449" s="18" t="s">
        <v>3005</v>
      </c>
      <c r="B1449" s="19" t="s">
        <v>15</v>
      </c>
      <c r="C1449" s="18" t="s">
        <v>3009</v>
      </c>
      <c r="D1449" s="18" t="s">
        <v>116</v>
      </c>
      <c r="E1449" s="18" t="s">
        <v>18</v>
      </c>
      <c r="F1449" s="18" t="s">
        <v>3143</v>
      </c>
      <c r="G1449" s="18" t="s">
        <v>160</v>
      </c>
      <c r="H1449" s="18" t="s">
        <v>3011</v>
      </c>
      <c r="I1449" s="20" t="s">
        <v>3144</v>
      </c>
      <c r="J1449" s="18" t="s">
        <v>30</v>
      </c>
      <c r="K1449" s="18" t="s">
        <v>24</v>
      </c>
      <c r="L1449" s="18" t="s">
        <v>25</v>
      </c>
      <c r="N1449" s="18" t="s">
        <v>807</v>
      </c>
    </row>
    <row r="1450" spans="1:14" ht="15" customHeight="1" x14ac:dyDescent="0.3">
      <c r="A1450" s="18" t="s">
        <v>3005</v>
      </c>
      <c r="B1450" s="19" t="s">
        <v>15</v>
      </c>
      <c r="C1450" s="18" t="s">
        <v>3009</v>
      </c>
      <c r="D1450" s="18" t="s">
        <v>116</v>
      </c>
      <c r="E1450" s="18" t="s">
        <v>18</v>
      </c>
      <c r="F1450" s="18" t="s">
        <v>1947</v>
      </c>
      <c r="G1450" s="18" t="s">
        <v>85</v>
      </c>
      <c r="H1450" s="18" t="s">
        <v>3016</v>
      </c>
      <c r="I1450" s="20" t="s">
        <v>3145</v>
      </c>
      <c r="J1450" s="18" t="s">
        <v>30</v>
      </c>
      <c r="K1450" s="18" t="s">
        <v>24</v>
      </c>
      <c r="L1450" s="18" t="s">
        <v>25</v>
      </c>
      <c r="N1450" s="18" t="s">
        <v>807</v>
      </c>
    </row>
    <row r="1451" spans="1:14" ht="15" customHeight="1" x14ac:dyDescent="0.3">
      <c r="A1451" s="18" t="s">
        <v>3005</v>
      </c>
      <c r="B1451" s="19" t="s">
        <v>15</v>
      </c>
      <c r="C1451" s="18" t="s">
        <v>3025</v>
      </c>
      <c r="D1451" s="18" t="s">
        <v>116</v>
      </c>
      <c r="E1451" s="18" t="s">
        <v>18</v>
      </c>
      <c r="F1451" s="18" t="s">
        <v>3146</v>
      </c>
      <c r="G1451" s="18" t="s">
        <v>160</v>
      </c>
      <c r="H1451" s="18" t="s">
        <v>3026</v>
      </c>
      <c r="I1451" s="20" t="s">
        <v>3147</v>
      </c>
      <c r="J1451" s="18" t="s">
        <v>30</v>
      </c>
      <c r="K1451" s="18" t="s">
        <v>24</v>
      </c>
      <c r="L1451" s="18" t="s">
        <v>25</v>
      </c>
      <c r="N1451" s="18" t="s">
        <v>973</v>
      </c>
    </row>
    <row r="1452" spans="1:14" ht="15" customHeight="1" x14ac:dyDescent="0.3">
      <c r="A1452" s="18" t="s">
        <v>3005</v>
      </c>
      <c r="B1452" s="19" t="s">
        <v>15</v>
      </c>
      <c r="C1452" s="18" t="s">
        <v>3025</v>
      </c>
      <c r="D1452" s="18" t="s">
        <v>116</v>
      </c>
      <c r="E1452" s="18" t="s">
        <v>18</v>
      </c>
      <c r="F1452" s="18" t="s">
        <v>3148</v>
      </c>
      <c r="G1452" s="18" t="s">
        <v>28</v>
      </c>
      <c r="H1452" s="18" t="s">
        <v>3026</v>
      </c>
      <c r="I1452" s="20" t="s">
        <v>3149</v>
      </c>
      <c r="J1452" s="18" t="s">
        <v>30</v>
      </c>
      <c r="K1452" s="18" t="s">
        <v>24</v>
      </c>
      <c r="L1452" s="18" t="s">
        <v>25</v>
      </c>
      <c r="N1452" s="18" t="s">
        <v>973</v>
      </c>
    </row>
    <row r="1453" spans="1:14" ht="15" customHeight="1" x14ac:dyDescent="0.3">
      <c r="A1453" s="18" t="s">
        <v>3005</v>
      </c>
      <c r="B1453" s="19" t="s">
        <v>15</v>
      </c>
      <c r="C1453" s="18" t="s">
        <v>3025</v>
      </c>
      <c r="D1453" s="18" t="s">
        <v>116</v>
      </c>
      <c r="E1453" s="18" t="s">
        <v>18</v>
      </c>
      <c r="F1453" s="18" t="s">
        <v>3150</v>
      </c>
      <c r="G1453" s="18" t="s">
        <v>28</v>
      </c>
      <c r="H1453" s="18" t="s">
        <v>3026</v>
      </c>
      <c r="I1453" s="20" t="s">
        <v>3151</v>
      </c>
      <c r="J1453" s="18" t="s">
        <v>30</v>
      </c>
      <c r="K1453" s="18" t="s">
        <v>24</v>
      </c>
      <c r="L1453" s="18" t="s">
        <v>25</v>
      </c>
      <c r="N1453" s="18" t="s">
        <v>973</v>
      </c>
    </row>
    <row r="1454" spans="1:14" ht="15" customHeight="1" x14ac:dyDescent="0.3">
      <c r="A1454" s="18" t="s">
        <v>3005</v>
      </c>
      <c r="B1454" s="19" t="s">
        <v>15</v>
      </c>
      <c r="C1454" s="18" t="s">
        <v>3025</v>
      </c>
      <c r="D1454" s="18" t="s">
        <v>116</v>
      </c>
      <c r="E1454" s="18" t="s">
        <v>18</v>
      </c>
      <c r="F1454" s="18" t="s">
        <v>3152</v>
      </c>
      <c r="G1454" s="18" t="s">
        <v>28</v>
      </c>
      <c r="H1454" s="18" t="s">
        <v>3026</v>
      </c>
      <c r="I1454" s="20" t="s">
        <v>3153</v>
      </c>
      <c r="J1454" s="18" t="s">
        <v>30</v>
      </c>
      <c r="K1454" s="18" t="s">
        <v>24</v>
      </c>
      <c r="L1454" s="18" t="s">
        <v>25</v>
      </c>
      <c r="N1454" s="18" t="s">
        <v>973</v>
      </c>
    </row>
    <row r="1455" spans="1:14" ht="15" customHeight="1" x14ac:dyDescent="0.3">
      <c r="A1455" s="18" t="s">
        <v>3005</v>
      </c>
      <c r="B1455" s="19" t="s">
        <v>15</v>
      </c>
      <c r="C1455" s="18" t="s">
        <v>3009</v>
      </c>
      <c r="D1455" s="18" t="s">
        <v>116</v>
      </c>
      <c r="E1455" s="18" t="s">
        <v>18</v>
      </c>
      <c r="F1455" s="18" t="s">
        <v>3154</v>
      </c>
      <c r="G1455" s="18" t="s">
        <v>1019</v>
      </c>
      <c r="H1455" s="18" t="s">
        <v>3011</v>
      </c>
      <c r="I1455" s="20" t="s">
        <v>3155</v>
      </c>
      <c r="J1455" s="18" t="s">
        <v>30</v>
      </c>
      <c r="K1455" s="18" t="s">
        <v>24</v>
      </c>
      <c r="L1455" s="18" t="s">
        <v>25</v>
      </c>
      <c r="N1455" s="18" t="s">
        <v>807</v>
      </c>
    </row>
    <row r="1456" spans="1:14" ht="15" customHeight="1" x14ac:dyDescent="0.3">
      <c r="A1456" s="18" t="s">
        <v>3005</v>
      </c>
      <c r="B1456" s="19" t="s">
        <v>15</v>
      </c>
      <c r="C1456" s="18" t="s">
        <v>3009</v>
      </c>
      <c r="D1456" s="18" t="s">
        <v>116</v>
      </c>
      <c r="E1456" s="18" t="s">
        <v>18</v>
      </c>
      <c r="F1456" s="18" t="s">
        <v>987</v>
      </c>
      <c r="G1456" s="18" t="s">
        <v>20</v>
      </c>
      <c r="H1456" s="18" t="s">
        <v>3007</v>
      </c>
      <c r="I1456" s="20" t="s">
        <v>3156</v>
      </c>
      <c r="J1456" s="18" t="s">
        <v>23</v>
      </c>
      <c r="K1456" s="18" t="s">
        <v>24</v>
      </c>
      <c r="L1456" s="18" t="s">
        <v>25</v>
      </c>
      <c r="N1456" s="18" t="s">
        <v>807</v>
      </c>
    </row>
    <row r="1457" spans="1:14" ht="15" customHeight="1" x14ac:dyDescent="0.3">
      <c r="A1457" s="18" t="s">
        <v>3005</v>
      </c>
      <c r="B1457" s="19" t="s">
        <v>15</v>
      </c>
      <c r="C1457" s="18" t="s">
        <v>3009</v>
      </c>
      <c r="D1457" s="18" t="s">
        <v>116</v>
      </c>
      <c r="E1457" s="18" t="s">
        <v>18</v>
      </c>
      <c r="F1457" s="18" t="s">
        <v>272</v>
      </c>
      <c r="G1457" s="18" t="s">
        <v>273</v>
      </c>
      <c r="H1457" s="18" t="s">
        <v>3011</v>
      </c>
      <c r="I1457" s="20" t="s">
        <v>3157</v>
      </c>
      <c r="J1457" s="18" t="s">
        <v>30</v>
      </c>
      <c r="K1457" s="18" t="s">
        <v>24</v>
      </c>
      <c r="L1457" s="18" t="s">
        <v>25</v>
      </c>
      <c r="N1457" s="18" t="s">
        <v>807</v>
      </c>
    </row>
    <row r="1458" spans="1:14" ht="15" customHeight="1" x14ac:dyDescent="0.3">
      <c r="A1458" s="18" t="s">
        <v>3005</v>
      </c>
      <c r="B1458" s="19" t="s">
        <v>15</v>
      </c>
      <c r="C1458" s="18" t="s">
        <v>3009</v>
      </c>
      <c r="D1458" s="18" t="s">
        <v>116</v>
      </c>
      <c r="E1458" s="18" t="s">
        <v>18</v>
      </c>
      <c r="F1458" s="18" t="s">
        <v>356</v>
      </c>
      <c r="G1458" s="18" t="s">
        <v>273</v>
      </c>
      <c r="H1458" s="18" t="s">
        <v>3011</v>
      </c>
      <c r="I1458" s="20" t="s">
        <v>3158</v>
      </c>
      <c r="J1458" s="18" t="s">
        <v>30</v>
      </c>
      <c r="K1458" s="18" t="s">
        <v>24</v>
      </c>
      <c r="L1458" s="18" t="s">
        <v>25</v>
      </c>
      <c r="N1458" s="18" t="s">
        <v>807</v>
      </c>
    </row>
    <row r="1459" spans="1:14" ht="15" customHeight="1" x14ac:dyDescent="0.3">
      <c r="A1459" s="18" t="s">
        <v>3005</v>
      </c>
      <c r="B1459" s="19" t="s">
        <v>15</v>
      </c>
      <c r="C1459" s="18" t="s">
        <v>3009</v>
      </c>
      <c r="D1459" s="18" t="s">
        <v>116</v>
      </c>
      <c r="E1459" s="18" t="s">
        <v>18</v>
      </c>
      <c r="F1459" s="18" t="s">
        <v>381</v>
      </c>
      <c r="G1459" s="18" t="s">
        <v>381</v>
      </c>
      <c r="H1459" s="18" t="s">
        <v>3007</v>
      </c>
      <c r="I1459" s="20" t="s">
        <v>3159</v>
      </c>
      <c r="J1459" s="18" t="s">
        <v>23</v>
      </c>
      <c r="K1459" s="18" t="s">
        <v>24</v>
      </c>
      <c r="L1459" s="18" t="s">
        <v>25</v>
      </c>
      <c r="N1459" s="18" t="s">
        <v>807</v>
      </c>
    </row>
    <row r="1460" spans="1:14" ht="15" customHeight="1" x14ac:dyDescent="0.3">
      <c r="A1460" s="18" t="s">
        <v>3005</v>
      </c>
      <c r="B1460" s="19" t="s">
        <v>15</v>
      </c>
      <c r="C1460" s="18" t="s">
        <v>3013</v>
      </c>
      <c r="D1460" s="18" t="s">
        <v>116</v>
      </c>
      <c r="E1460" s="18" t="s">
        <v>18</v>
      </c>
      <c r="F1460" s="18" t="s">
        <v>2124</v>
      </c>
      <c r="G1460" s="18" t="s">
        <v>913</v>
      </c>
      <c r="H1460" s="18" t="s">
        <v>3014</v>
      </c>
      <c r="I1460" s="20" t="s">
        <v>3160</v>
      </c>
      <c r="J1460" s="18" t="s">
        <v>30</v>
      </c>
      <c r="K1460" s="18" t="s">
        <v>24</v>
      </c>
      <c r="L1460" s="18" t="s">
        <v>25</v>
      </c>
      <c r="N1460" s="18" t="s">
        <v>973</v>
      </c>
    </row>
    <row r="1461" spans="1:14" ht="15" customHeight="1" x14ac:dyDescent="0.3">
      <c r="A1461" s="18" t="s">
        <v>3005</v>
      </c>
      <c r="B1461" s="19" t="s">
        <v>15</v>
      </c>
      <c r="C1461" s="18" t="s">
        <v>3009</v>
      </c>
      <c r="D1461" s="18" t="s">
        <v>116</v>
      </c>
      <c r="E1461" s="18" t="s">
        <v>18</v>
      </c>
      <c r="F1461" s="18" t="s">
        <v>3161</v>
      </c>
      <c r="G1461" s="18" t="s">
        <v>60</v>
      </c>
      <c r="H1461" s="18" t="s">
        <v>3016</v>
      </c>
      <c r="I1461" s="20" t="s">
        <v>3162</v>
      </c>
      <c r="J1461" s="18" t="s">
        <v>30</v>
      </c>
      <c r="K1461" s="18" t="s">
        <v>24</v>
      </c>
      <c r="L1461" s="18" t="s">
        <v>25</v>
      </c>
      <c r="N1461" s="18" t="s">
        <v>807</v>
      </c>
    </row>
    <row r="1462" spans="1:14" ht="15" customHeight="1" x14ac:dyDescent="0.3">
      <c r="A1462" s="18" t="s">
        <v>3005</v>
      </c>
      <c r="B1462" s="19" t="s">
        <v>15</v>
      </c>
      <c r="C1462" s="18" t="s">
        <v>3009</v>
      </c>
      <c r="D1462" s="18" t="s">
        <v>116</v>
      </c>
      <c r="E1462" s="18" t="s">
        <v>18</v>
      </c>
      <c r="F1462" s="18" t="s">
        <v>221</v>
      </c>
      <c r="G1462" s="18" t="s">
        <v>212</v>
      </c>
      <c r="H1462" s="18" t="s">
        <v>3016</v>
      </c>
      <c r="I1462" s="20" t="s">
        <v>3163</v>
      </c>
      <c r="J1462" s="18" t="s">
        <v>30</v>
      </c>
      <c r="K1462" s="18" t="s">
        <v>24</v>
      </c>
      <c r="L1462" s="18" t="s">
        <v>25</v>
      </c>
      <c r="N1462" s="18" t="s">
        <v>807</v>
      </c>
    </row>
    <row r="1463" spans="1:14" ht="15" customHeight="1" x14ac:dyDescent="0.3">
      <c r="A1463" s="18" t="s">
        <v>3005</v>
      </c>
      <c r="B1463" s="19" t="s">
        <v>15</v>
      </c>
      <c r="C1463" s="18" t="s">
        <v>3009</v>
      </c>
      <c r="D1463" s="18" t="s">
        <v>116</v>
      </c>
      <c r="E1463" s="18" t="s">
        <v>18</v>
      </c>
      <c r="F1463" s="18" t="s">
        <v>1244</v>
      </c>
      <c r="G1463" s="18" t="s">
        <v>1204</v>
      </c>
      <c r="H1463" s="18" t="s">
        <v>3016</v>
      </c>
      <c r="I1463" s="20" t="s">
        <v>3164</v>
      </c>
      <c r="J1463" s="18" t="s">
        <v>30</v>
      </c>
      <c r="K1463" s="18" t="s">
        <v>24</v>
      </c>
      <c r="L1463" s="18" t="s">
        <v>25</v>
      </c>
      <c r="N1463" s="18" t="s">
        <v>807</v>
      </c>
    </row>
    <row r="1464" spans="1:14" ht="15" customHeight="1" x14ac:dyDescent="0.3">
      <c r="A1464" s="18" t="s">
        <v>3005</v>
      </c>
      <c r="B1464" s="19" t="s">
        <v>15</v>
      </c>
      <c r="C1464" s="18" t="s">
        <v>3009</v>
      </c>
      <c r="D1464" s="18" t="s">
        <v>116</v>
      </c>
      <c r="E1464" s="18" t="s">
        <v>18</v>
      </c>
      <c r="F1464" s="18" t="s">
        <v>3165</v>
      </c>
      <c r="G1464" s="18" t="s">
        <v>3166</v>
      </c>
      <c r="H1464" s="18" t="s">
        <v>3016</v>
      </c>
      <c r="I1464" s="20" t="s">
        <v>3167</v>
      </c>
      <c r="J1464" s="18" t="s">
        <v>30</v>
      </c>
      <c r="K1464" s="18" t="s">
        <v>24</v>
      </c>
      <c r="L1464" s="18" t="s">
        <v>25</v>
      </c>
      <c r="N1464" s="18" t="s">
        <v>807</v>
      </c>
    </row>
    <row r="1465" spans="1:14" ht="15" customHeight="1" x14ac:dyDescent="0.3">
      <c r="A1465" s="18" t="s">
        <v>3005</v>
      </c>
      <c r="B1465" s="19" t="s">
        <v>15</v>
      </c>
      <c r="C1465" s="18" t="s">
        <v>3009</v>
      </c>
      <c r="D1465" s="18" t="s">
        <v>116</v>
      </c>
      <c r="E1465" s="18" t="s">
        <v>18</v>
      </c>
      <c r="F1465" s="18" t="s">
        <v>1072</v>
      </c>
      <c r="G1465" s="18" t="s">
        <v>47</v>
      </c>
      <c r="H1465" s="18" t="s">
        <v>3016</v>
      </c>
      <c r="I1465" s="20" t="s">
        <v>3168</v>
      </c>
      <c r="J1465" s="18" t="s">
        <v>30</v>
      </c>
      <c r="K1465" s="18" t="s">
        <v>24</v>
      </c>
      <c r="L1465" s="18" t="s">
        <v>25</v>
      </c>
      <c r="N1465" s="18" t="s">
        <v>807</v>
      </c>
    </row>
    <row r="1466" spans="1:14" ht="15" customHeight="1" x14ac:dyDescent="0.3">
      <c r="A1466" s="18" t="s">
        <v>3005</v>
      </c>
      <c r="B1466" s="19" t="s">
        <v>15</v>
      </c>
      <c r="C1466" s="18" t="s">
        <v>3009</v>
      </c>
      <c r="D1466" s="18" t="s">
        <v>116</v>
      </c>
      <c r="E1466" s="18" t="s">
        <v>18</v>
      </c>
      <c r="F1466" s="18" t="s">
        <v>34</v>
      </c>
      <c r="G1466" s="18" t="s">
        <v>35</v>
      </c>
      <c r="H1466" s="18" t="s">
        <v>3016</v>
      </c>
      <c r="I1466" s="20" t="s">
        <v>3169</v>
      </c>
      <c r="J1466" s="18" t="s">
        <v>30</v>
      </c>
      <c r="K1466" s="18" t="s">
        <v>24</v>
      </c>
      <c r="L1466" s="18" t="s">
        <v>25</v>
      </c>
      <c r="N1466" s="18" t="s">
        <v>807</v>
      </c>
    </row>
    <row r="1467" spans="1:14" ht="15" customHeight="1" x14ac:dyDescent="0.3">
      <c r="A1467" s="18" t="s">
        <v>3005</v>
      </c>
      <c r="B1467" s="19" t="s">
        <v>15</v>
      </c>
      <c r="C1467" s="18" t="s">
        <v>3009</v>
      </c>
      <c r="D1467" s="18" t="s">
        <v>116</v>
      </c>
      <c r="E1467" s="18" t="s">
        <v>18</v>
      </c>
      <c r="F1467" s="18" t="s">
        <v>3170</v>
      </c>
      <c r="G1467" s="18" t="s">
        <v>1204</v>
      </c>
      <c r="H1467" s="18" t="s">
        <v>3016</v>
      </c>
      <c r="I1467" s="20" t="s">
        <v>3171</v>
      </c>
      <c r="J1467" s="18" t="s">
        <v>30</v>
      </c>
      <c r="K1467" s="18" t="s">
        <v>24</v>
      </c>
      <c r="L1467" s="18" t="s">
        <v>25</v>
      </c>
      <c r="N1467" s="18" t="s">
        <v>807</v>
      </c>
    </row>
    <row r="1468" spans="1:14" ht="15" customHeight="1" x14ac:dyDescent="0.3">
      <c r="A1468" s="18" t="s">
        <v>3005</v>
      </c>
      <c r="B1468" s="19" t="s">
        <v>15</v>
      </c>
      <c r="C1468" s="18" t="s">
        <v>3009</v>
      </c>
      <c r="D1468" s="18" t="s">
        <v>116</v>
      </c>
      <c r="E1468" s="18" t="s">
        <v>18</v>
      </c>
      <c r="F1468" s="18" t="s">
        <v>1253</v>
      </c>
      <c r="G1468" s="18" t="s">
        <v>63</v>
      </c>
      <c r="H1468" s="18" t="s">
        <v>3016</v>
      </c>
      <c r="I1468" s="20" t="s">
        <v>3172</v>
      </c>
      <c r="J1468" s="18" t="s">
        <v>30</v>
      </c>
      <c r="K1468" s="18" t="s">
        <v>24</v>
      </c>
      <c r="L1468" s="18" t="s">
        <v>25</v>
      </c>
      <c r="N1468" s="18" t="s">
        <v>807</v>
      </c>
    </row>
    <row r="1469" spans="1:14" ht="15" customHeight="1" x14ac:dyDescent="0.3">
      <c r="A1469" s="18" t="s">
        <v>3005</v>
      </c>
      <c r="B1469" s="19" t="s">
        <v>15</v>
      </c>
      <c r="C1469" s="18" t="s">
        <v>3009</v>
      </c>
      <c r="D1469" s="18" t="s">
        <v>116</v>
      </c>
      <c r="E1469" s="18" t="s">
        <v>18</v>
      </c>
      <c r="F1469" s="18" t="s">
        <v>580</v>
      </c>
      <c r="G1469" s="18" t="s">
        <v>20</v>
      </c>
      <c r="H1469" s="18" t="s">
        <v>3007</v>
      </c>
      <c r="I1469" s="20" t="s">
        <v>3173</v>
      </c>
      <c r="J1469" s="18" t="s">
        <v>23</v>
      </c>
      <c r="K1469" s="18" t="s">
        <v>24</v>
      </c>
      <c r="L1469" s="18" t="s">
        <v>25</v>
      </c>
      <c r="N1469" s="18" t="s">
        <v>807</v>
      </c>
    </row>
    <row r="1470" spans="1:14" ht="15" customHeight="1" x14ac:dyDescent="0.3">
      <c r="A1470" s="18" t="s">
        <v>3005</v>
      </c>
      <c r="B1470" s="19" t="s">
        <v>15</v>
      </c>
      <c r="C1470" s="18" t="s">
        <v>3009</v>
      </c>
      <c r="D1470" s="18" t="s">
        <v>116</v>
      </c>
      <c r="E1470" s="18" t="s">
        <v>18</v>
      </c>
      <c r="F1470" s="18" t="s">
        <v>40</v>
      </c>
      <c r="G1470" s="18" t="s">
        <v>41</v>
      </c>
      <c r="H1470" s="18" t="s">
        <v>3016</v>
      </c>
      <c r="I1470" s="20" t="s">
        <v>3174</v>
      </c>
      <c r="J1470" s="18" t="s">
        <v>30</v>
      </c>
      <c r="K1470" s="18" t="s">
        <v>24</v>
      </c>
      <c r="L1470" s="18" t="s">
        <v>25</v>
      </c>
      <c r="N1470" s="18" t="s">
        <v>807</v>
      </c>
    </row>
    <row r="1471" spans="1:14" ht="15" customHeight="1" x14ac:dyDescent="0.3">
      <c r="A1471" s="18" t="s">
        <v>3005</v>
      </c>
      <c r="B1471" s="19" t="s">
        <v>15</v>
      </c>
      <c r="C1471" s="18" t="s">
        <v>3009</v>
      </c>
      <c r="D1471" s="18" t="s">
        <v>116</v>
      </c>
      <c r="E1471" s="18" t="s">
        <v>18</v>
      </c>
      <c r="F1471" s="18" t="s">
        <v>3175</v>
      </c>
      <c r="G1471" s="18" t="s">
        <v>41</v>
      </c>
      <c r="H1471" s="18" t="s">
        <v>3016</v>
      </c>
      <c r="I1471" s="20" t="s">
        <v>3176</v>
      </c>
      <c r="J1471" s="18" t="s">
        <v>30</v>
      </c>
      <c r="K1471" s="18" t="s">
        <v>24</v>
      </c>
      <c r="L1471" s="18" t="s">
        <v>25</v>
      </c>
      <c r="N1471" s="18" t="s">
        <v>807</v>
      </c>
    </row>
    <row r="1472" spans="1:14" ht="15" customHeight="1" x14ac:dyDescent="0.3">
      <c r="A1472" s="18" t="s">
        <v>3005</v>
      </c>
      <c r="B1472" s="19" t="s">
        <v>15</v>
      </c>
      <c r="C1472" s="18" t="s">
        <v>3013</v>
      </c>
      <c r="D1472" s="18" t="s">
        <v>116</v>
      </c>
      <c r="E1472" s="18" t="s">
        <v>18</v>
      </c>
      <c r="F1472" s="18" t="s">
        <v>3177</v>
      </c>
      <c r="G1472" s="18" t="s">
        <v>536</v>
      </c>
      <c r="H1472" s="18" t="s">
        <v>3014</v>
      </c>
      <c r="I1472" s="20" t="s">
        <v>3178</v>
      </c>
      <c r="J1472" s="18" t="s">
        <v>30</v>
      </c>
      <c r="K1472" s="18" t="s">
        <v>24</v>
      </c>
      <c r="L1472" s="18" t="s">
        <v>25</v>
      </c>
      <c r="N1472" s="18" t="s">
        <v>973</v>
      </c>
    </row>
    <row r="1473" spans="1:14" ht="15" customHeight="1" x14ac:dyDescent="0.3">
      <c r="A1473" s="18" t="s">
        <v>3005</v>
      </c>
      <c r="B1473" s="19" t="s">
        <v>15</v>
      </c>
      <c r="C1473" s="18" t="s">
        <v>3013</v>
      </c>
      <c r="D1473" s="18" t="s">
        <v>116</v>
      </c>
      <c r="E1473" s="18" t="s">
        <v>18</v>
      </c>
      <c r="F1473" s="18" t="s">
        <v>3179</v>
      </c>
      <c r="G1473" s="18" t="s">
        <v>1634</v>
      </c>
      <c r="H1473" s="18" t="s">
        <v>3014</v>
      </c>
      <c r="I1473" s="20" t="s">
        <v>3180</v>
      </c>
      <c r="J1473" s="18" t="s">
        <v>30</v>
      </c>
      <c r="K1473" s="18" t="s">
        <v>24</v>
      </c>
      <c r="L1473" s="18" t="s">
        <v>25</v>
      </c>
      <c r="N1473" s="18" t="s">
        <v>973</v>
      </c>
    </row>
    <row r="1474" spans="1:14" ht="15" customHeight="1" x14ac:dyDescent="0.3">
      <c r="A1474" s="18" t="s">
        <v>3005</v>
      </c>
      <c r="B1474" s="19" t="s">
        <v>15</v>
      </c>
      <c r="C1474" s="18" t="s">
        <v>3013</v>
      </c>
      <c r="D1474" s="18" t="s">
        <v>116</v>
      </c>
      <c r="E1474" s="18" t="s">
        <v>18</v>
      </c>
      <c r="F1474" s="18" t="s">
        <v>3181</v>
      </c>
      <c r="G1474" s="18" t="s">
        <v>536</v>
      </c>
      <c r="H1474" s="18" t="s">
        <v>3014</v>
      </c>
      <c r="I1474" s="20" t="s">
        <v>3182</v>
      </c>
      <c r="J1474" s="18" t="s">
        <v>30</v>
      </c>
      <c r="K1474" s="18" t="s">
        <v>24</v>
      </c>
      <c r="L1474" s="18" t="s">
        <v>25</v>
      </c>
      <c r="N1474" s="18" t="s">
        <v>973</v>
      </c>
    </row>
    <row r="1475" spans="1:14" ht="15" customHeight="1" x14ac:dyDescent="0.3">
      <c r="A1475" s="18" t="s">
        <v>3005</v>
      </c>
      <c r="B1475" s="19" t="s">
        <v>15</v>
      </c>
      <c r="C1475" s="18" t="s">
        <v>3009</v>
      </c>
      <c r="D1475" s="18" t="s">
        <v>116</v>
      </c>
      <c r="E1475" s="18" t="s">
        <v>18</v>
      </c>
      <c r="F1475" s="18" t="s">
        <v>3183</v>
      </c>
      <c r="G1475" s="18" t="s">
        <v>47</v>
      </c>
      <c r="H1475" s="18" t="s">
        <v>3016</v>
      </c>
      <c r="I1475" s="20" t="s">
        <v>3184</v>
      </c>
      <c r="J1475" s="18" t="s">
        <v>30</v>
      </c>
      <c r="K1475" s="18" t="s">
        <v>24</v>
      </c>
      <c r="L1475" s="18" t="s">
        <v>25</v>
      </c>
      <c r="N1475" s="18" t="s">
        <v>807</v>
      </c>
    </row>
    <row r="1476" spans="1:14" ht="15" customHeight="1" x14ac:dyDescent="0.3">
      <c r="A1476" s="18" t="s">
        <v>3005</v>
      </c>
      <c r="B1476" s="19" t="s">
        <v>15</v>
      </c>
      <c r="C1476" s="18" t="s">
        <v>3009</v>
      </c>
      <c r="D1476" s="18" t="s">
        <v>116</v>
      </c>
      <c r="E1476" s="18" t="s">
        <v>18</v>
      </c>
      <c r="F1476" s="18" t="s">
        <v>3185</v>
      </c>
      <c r="G1476" s="18" t="s">
        <v>312</v>
      </c>
      <c r="H1476" s="18" t="s">
        <v>3011</v>
      </c>
      <c r="I1476" s="20" t="s">
        <v>3186</v>
      </c>
      <c r="J1476" s="18" t="s">
        <v>30</v>
      </c>
      <c r="K1476" s="18" t="s">
        <v>24</v>
      </c>
      <c r="L1476" s="18" t="s">
        <v>25</v>
      </c>
      <c r="N1476" s="18" t="s">
        <v>807</v>
      </c>
    </row>
    <row r="1477" spans="1:14" ht="15" customHeight="1" x14ac:dyDescent="0.3">
      <c r="A1477" s="18" t="s">
        <v>3005</v>
      </c>
      <c r="B1477" s="19" t="s">
        <v>15</v>
      </c>
      <c r="C1477" s="18" t="s">
        <v>3009</v>
      </c>
      <c r="D1477" s="18" t="s">
        <v>116</v>
      </c>
      <c r="E1477" s="18" t="s">
        <v>18</v>
      </c>
      <c r="F1477" s="18" t="s">
        <v>1832</v>
      </c>
      <c r="G1477" s="18" t="s">
        <v>207</v>
      </c>
      <c r="H1477" s="18" t="s">
        <v>3016</v>
      </c>
      <c r="I1477" s="20" t="s">
        <v>3187</v>
      </c>
      <c r="J1477" s="18" t="s">
        <v>30</v>
      </c>
      <c r="K1477" s="18" t="s">
        <v>24</v>
      </c>
      <c r="L1477" s="18" t="s">
        <v>25</v>
      </c>
      <c r="N1477" s="18" t="s">
        <v>807</v>
      </c>
    </row>
    <row r="1478" spans="1:14" ht="15" customHeight="1" x14ac:dyDescent="0.3">
      <c r="A1478" s="18" t="s">
        <v>3005</v>
      </c>
      <c r="B1478" s="19" t="s">
        <v>15</v>
      </c>
      <c r="C1478" s="18" t="s">
        <v>3013</v>
      </c>
      <c r="D1478" s="18" t="s">
        <v>116</v>
      </c>
      <c r="E1478" s="18" t="s">
        <v>18</v>
      </c>
      <c r="F1478" s="18" t="s">
        <v>2410</v>
      </c>
      <c r="G1478" s="18" t="s">
        <v>207</v>
      </c>
      <c r="H1478" s="18" t="s">
        <v>3014</v>
      </c>
      <c r="I1478" s="20" t="s">
        <v>3188</v>
      </c>
      <c r="J1478" s="18" t="s">
        <v>30</v>
      </c>
      <c r="K1478" s="18" t="s">
        <v>24</v>
      </c>
      <c r="L1478" s="18" t="s">
        <v>25</v>
      </c>
      <c r="N1478" s="18" t="s">
        <v>973</v>
      </c>
    </row>
    <row r="1479" spans="1:14" ht="15" customHeight="1" x14ac:dyDescent="0.3">
      <c r="A1479" s="18" t="s">
        <v>3005</v>
      </c>
      <c r="B1479" s="19" t="s">
        <v>15</v>
      </c>
      <c r="C1479" s="18" t="s">
        <v>3025</v>
      </c>
      <c r="D1479" s="18" t="s">
        <v>116</v>
      </c>
      <c r="E1479" s="18" t="s">
        <v>18</v>
      </c>
      <c r="F1479" s="18" t="s">
        <v>3189</v>
      </c>
      <c r="G1479" s="18" t="s">
        <v>160</v>
      </c>
      <c r="H1479" s="18" t="s">
        <v>3026</v>
      </c>
      <c r="I1479" s="20" t="s">
        <v>3190</v>
      </c>
      <c r="J1479" s="18" t="s">
        <v>30</v>
      </c>
      <c r="K1479" s="18" t="s">
        <v>24</v>
      </c>
      <c r="L1479" s="18" t="s">
        <v>25</v>
      </c>
      <c r="N1479" s="18" t="s">
        <v>973</v>
      </c>
    </row>
    <row r="1480" spans="1:14" ht="15" customHeight="1" x14ac:dyDescent="0.3">
      <c r="A1480" s="18" t="s">
        <v>3005</v>
      </c>
      <c r="B1480" s="19" t="s">
        <v>15</v>
      </c>
      <c r="C1480" s="18" t="s">
        <v>3009</v>
      </c>
      <c r="D1480" s="18" t="s">
        <v>116</v>
      </c>
      <c r="E1480" s="18" t="s">
        <v>18</v>
      </c>
      <c r="F1480" s="18" t="s">
        <v>3191</v>
      </c>
      <c r="G1480" s="18" t="s">
        <v>212</v>
      </c>
      <c r="H1480" s="18" t="s">
        <v>3016</v>
      </c>
      <c r="I1480" s="20" t="s">
        <v>3192</v>
      </c>
      <c r="J1480" s="18" t="s">
        <v>30</v>
      </c>
      <c r="K1480" s="18" t="s">
        <v>24</v>
      </c>
      <c r="L1480" s="18" t="s">
        <v>25</v>
      </c>
      <c r="M1480" s="18" t="s">
        <v>39</v>
      </c>
      <c r="N1480" s="18" t="s">
        <v>807</v>
      </c>
    </row>
    <row r="1481" spans="1:14" ht="15" customHeight="1" x14ac:dyDescent="0.3">
      <c r="A1481" s="18" t="s">
        <v>3005</v>
      </c>
      <c r="B1481" s="19" t="s">
        <v>15</v>
      </c>
      <c r="C1481" s="18" t="s">
        <v>3009</v>
      </c>
      <c r="D1481" s="18" t="s">
        <v>116</v>
      </c>
      <c r="E1481" s="18" t="s">
        <v>18</v>
      </c>
      <c r="F1481" s="18" t="s">
        <v>3193</v>
      </c>
      <c r="G1481" s="18" t="s">
        <v>207</v>
      </c>
      <c r="H1481" s="18" t="s">
        <v>3011</v>
      </c>
      <c r="I1481" s="20" t="s">
        <v>3194</v>
      </c>
      <c r="J1481" s="18" t="s">
        <v>30</v>
      </c>
      <c r="K1481" s="18" t="s">
        <v>24</v>
      </c>
      <c r="L1481" s="18" t="s">
        <v>25</v>
      </c>
      <c r="N1481" s="18" t="s">
        <v>807</v>
      </c>
    </row>
    <row r="1482" spans="1:14" ht="15" customHeight="1" x14ac:dyDescent="0.3">
      <c r="A1482" s="18" t="s">
        <v>3005</v>
      </c>
      <c r="B1482" s="19" t="s">
        <v>15</v>
      </c>
      <c r="C1482" s="18" t="s">
        <v>3009</v>
      </c>
      <c r="D1482" s="18" t="s">
        <v>116</v>
      </c>
      <c r="E1482" s="18" t="s">
        <v>18</v>
      </c>
      <c r="F1482" s="18" t="s">
        <v>3195</v>
      </c>
      <c r="G1482" s="18" t="s">
        <v>207</v>
      </c>
      <c r="H1482" s="18" t="s">
        <v>3011</v>
      </c>
      <c r="I1482" s="20" t="s">
        <v>3196</v>
      </c>
      <c r="J1482" s="18" t="s">
        <v>30</v>
      </c>
      <c r="K1482" s="18" t="s">
        <v>91</v>
      </c>
      <c r="L1482" s="18" t="s">
        <v>25</v>
      </c>
      <c r="N1482" s="18" t="s">
        <v>807</v>
      </c>
    </row>
    <row r="1483" spans="1:14" ht="15" customHeight="1" x14ac:dyDescent="0.3">
      <c r="A1483" s="18" t="s">
        <v>3005</v>
      </c>
      <c r="B1483" s="19" t="s">
        <v>15</v>
      </c>
      <c r="C1483" s="18" t="s">
        <v>3009</v>
      </c>
      <c r="D1483" s="18" t="s">
        <v>116</v>
      </c>
      <c r="E1483" s="18" t="s">
        <v>18</v>
      </c>
      <c r="F1483" s="18" t="s">
        <v>1102</v>
      </c>
      <c r="G1483" s="18" t="s">
        <v>263</v>
      </c>
      <c r="H1483" s="18" t="s">
        <v>3011</v>
      </c>
      <c r="I1483" s="20" t="s">
        <v>3197</v>
      </c>
      <c r="J1483" s="18" t="s">
        <v>30</v>
      </c>
      <c r="K1483" s="18" t="s">
        <v>24</v>
      </c>
      <c r="L1483" s="18" t="s">
        <v>25</v>
      </c>
      <c r="N1483" s="18" t="s">
        <v>807</v>
      </c>
    </row>
    <row r="1484" spans="1:14" ht="15" customHeight="1" x14ac:dyDescent="0.3">
      <c r="A1484" s="18" t="s">
        <v>3005</v>
      </c>
      <c r="B1484" s="19" t="s">
        <v>15</v>
      </c>
      <c r="C1484" s="18" t="s">
        <v>3013</v>
      </c>
      <c r="D1484" s="18" t="s">
        <v>116</v>
      </c>
      <c r="E1484" s="18" t="s">
        <v>18</v>
      </c>
      <c r="F1484" s="18" t="s">
        <v>3198</v>
      </c>
      <c r="G1484" s="18" t="s">
        <v>913</v>
      </c>
      <c r="H1484" s="18" t="s">
        <v>3014</v>
      </c>
      <c r="I1484" s="20" t="s">
        <v>3199</v>
      </c>
      <c r="J1484" s="18" t="s">
        <v>30</v>
      </c>
      <c r="K1484" s="18" t="s">
        <v>24</v>
      </c>
      <c r="L1484" s="18" t="s">
        <v>25</v>
      </c>
      <c r="N1484" s="18" t="s">
        <v>973</v>
      </c>
    </row>
    <row r="1485" spans="1:14" ht="15" customHeight="1" x14ac:dyDescent="0.3">
      <c r="A1485" s="18" t="s">
        <v>3005</v>
      </c>
      <c r="B1485" s="19" t="s">
        <v>15</v>
      </c>
      <c r="C1485" s="18" t="s">
        <v>3009</v>
      </c>
      <c r="D1485" s="18" t="s">
        <v>116</v>
      </c>
      <c r="E1485" s="18" t="s">
        <v>18</v>
      </c>
      <c r="F1485" s="18" t="s">
        <v>2027</v>
      </c>
      <c r="G1485" s="18" t="s">
        <v>619</v>
      </c>
      <c r="H1485" s="18" t="s">
        <v>3016</v>
      </c>
      <c r="I1485" s="20" t="s">
        <v>3200</v>
      </c>
      <c r="J1485" s="18" t="s">
        <v>30</v>
      </c>
      <c r="K1485" s="18" t="s">
        <v>24</v>
      </c>
      <c r="L1485" s="18" t="s">
        <v>25</v>
      </c>
      <c r="N1485" s="18" t="s">
        <v>807</v>
      </c>
    </row>
    <row r="1486" spans="1:14" ht="15" customHeight="1" x14ac:dyDescent="0.3">
      <c r="A1486" s="18" t="s">
        <v>3005</v>
      </c>
      <c r="B1486" s="19" t="s">
        <v>15</v>
      </c>
      <c r="C1486" s="18" t="s">
        <v>3025</v>
      </c>
      <c r="D1486" s="18" t="s">
        <v>116</v>
      </c>
      <c r="E1486" s="18" t="s">
        <v>18</v>
      </c>
      <c r="F1486" s="18" t="s">
        <v>2069</v>
      </c>
      <c r="G1486" s="18" t="s">
        <v>160</v>
      </c>
      <c r="H1486" s="18" t="s">
        <v>3026</v>
      </c>
      <c r="I1486" s="20" t="s">
        <v>3201</v>
      </c>
      <c r="J1486" s="18" t="s">
        <v>30</v>
      </c>
      <c r="K1486" s="18" t="s">
        <v>24</v>
      </c>
      <c r="L1486" s="18" t="s">
        <v>25</v>
      </c>
      <c r="N1486" s="18" t="s">
        <v>973</v>
      </c>
    </row>
    <row r="1487" spans="1:14" ht="15" customHeight="1" x14ac:dyDescent="0.3">
      <c r="A1487" s="18" t="s">
        <v>3005</v>
      </c>
      <c r="B1487" s="19" t="s">
        <v>15</v>
      </c>
      <c r="C1487" s="18" t="s">
        <v>3025</v>
      </c>
      <c r="D1487" s="18" t="s">
        <v>116</v>
      </c>
      <c r="E1487" s="18" t="s">
        <v>18</v>
      </c>
      <c r="F1487" s="18" t="s">
        <v>164</v>
      </c>
      <c r="G1487" s="18" t="s">
        <v>2245</v>
      </c>
      <c r="H1487" s="18" t="s">
        <v>3026</v>
      </c>
      <c r="I1487" s="20" t="s">
        <v>3202</v>
      </c>
      <c r="J1487" s="18" t="s">
        <v>30</v>
      </c>
      <c r="K1487" s="18" t="s">
        <v>24</v>
      </c>
      <c r="L1487" s="18" t="s">
        <v>25</v>
      </c>
      <c r="N1487" s="18" t="s">
        <v>973</v>
      </c>
    </row>
    <row r="1488" spans="1:14" ht="15" customHeight="1" x14ac:dyDescent="0.3">
      <c r="A1488" s="18" t="s">
        <v>3005</v>
      </c>
      <c r="B1488" s="19" t="s">
        <v>15</v>
      </c>
      <c r="C1488" s="18" t="s">
        <v>3013</v>
      </c>
      <c r="D1488" s="18" t="s">
        <v>116</v>
      </c>
      <c r="E1488" s="18" t="s">
        <v>18</v>
      </c>
      <c r="F1488" s="18" t="s">
        <v>3203</v>
      </c>
      <c r="G1488" s="18" t="s">
        <v>536</v>
      </c>
      <c r="H1488" s="18" t="s">
        <v>3014</v>
      </c>
      <c r="I1488" s="20" t="s">
        <v>3204</v>
      </c>
      <c r="J1488" s="18" t="s">
        <v>30</v>
      </c>
      <c r="K1488" s="18" t="s">
        <v>24</v>
      </c>
      <c r="L1488" s="18" t="s">
        <v>25</v>
      </c>
      <c r="N1488" s="18" t="s">
        <v>973</v>
      </c>
    </row>
    <row r="1489" spans="1:14" ht="15" customHeight="1" x14ac:dyDescent="0.3">
      <c r="A1489" s="18" t="s">
        <v>3005</v>
      </c>
      <c r="B1489" s="19" t="s">
        <v>15</v>
      </c>
      <c r="C1489" s="18" t="s">
        <v>3009</v>
      </c>
      <c r="D1489" s="18" t="s">
        <v>116</v>
      </c>
      <c r="E1489" s="18" t="s">
        <v>18</v>
      </c>
      <c r="F1489" s="18" t="s">
        <v>874</v>
      </c>
      <c r="G1489" s="18" t="s">
        <v>20</v>
      </c>
      <c r="H1489" s="18" t="s">
        <v>3007</v>
      </c>
      <c r="I1489" s="20" t="s">
        <v>3205</v>
      </c>
      <c r="J1489" s="18" t="s">
        <v>23</v>
      </c>
      <c r="K1489" s="18" t="s">
        <v>24</v>
      </c>
      <c r="L1489" s="18" t="s">
        <v>25</v>
      </c>
      <c r="N1489" s="18" t="s">
        <v>807</v>
      </c>
    </row>
    <row r="1490" spans="1:14" ht="15" customHeight="1" x14ac:dyDescent="0.3">
      <c r="A1490" s="18" t="s">
        <v>3005</v>
      </c>
      <c r="B1490" s="19" t="s">
        <v>15</v>
      </c>
      <c r="C1490" s="18" t="s">
        <v>3009</v>
      </c>
      <c r="D1490" s="18" t="s">
        <v>116</v>
      </c>
      <c r="E1490" s="18" t="s">
        <v>18</v>
      </c>
      <c r="F1490" s="18" t="s">
        <v>778</v>
      </c>
      <c r="G1490" s="18" t="s">
        <v>20</v>
      </c>
      <c r="H1490" s="18" t="s">
        <v>3007</v>
      </c>
      <c r="I1490" s="20" t="s">
        <v>3206</v>
      </c>
      <c r="J1490" s="18" t="s">
        <v>23</v>
      </c>
      <c r="K1490" s="18" t="s">
        <v>24</v>
      </c>
      <c r="L1490" s="18" t="s">
        <v>25</v>
      </c>
      <c r="N1490" s="18" t="s">
        <v>807</v>
      </c>
    </row>
    <row r="1491" spans="1:14" ht="15" customHeight="1" x14ac:dyDescent="0.3">
      <c r="A1491" s="18" t="s">
        <v>3005</v>
      </c>
      <c r="B1491" s="19" t="s">
        <v>15</v>
      </c>
      <c r="C1491" s="18" t="s">
        <v>3009</v>
      </c>
      <c r="D1491" s="18" t="s">
        <v>116</v>
      </c>
      <c r="E1491" s="18" t="s">
        <v>18</v>
      </c>
      <c r="F1491" s="18" t="s">
        <v>3207</v>
      </c>
      <c r="G1491" s="18" t="s">
        <v>298</v>
      </c>
      <c r="H1491" s="18" t="s">
        <v>3016</v>
      </c>
      <c r="I1491" s="20" t="s">
        <v>3208</v>
      </c>
      <c r="J1491" s="18" t="s">
        <v>30</v>
      </c>
      <c r="K1491" s="18" t="s">
        <v>24</v>
      </c>
      <c r="L1491" s="18" t="s">
        <v>25</v>
      </c>
      <c r="M1491" s="18" t="s">
        <v>39</v>
      </c>
      <c r="N1491" s="18" t="s">
        <v>807</v>
      </c>
    </row>
    <row r="1492" spans="1:14" ht="15" customHeight="1" x14ac:dyDescent="0.3">
      <c r="A1492" s="18" t="s">
        <v>3005</v>
      </c>
      <c r="B1492" s="19" t="s">
        <v>15</v>
      </c>
      <c r="C1492" s="18" t="s">
        <v>3009</v>
      </c>
      <c r="D1492" s="18" t="s">
        <v>116</v>
      </c>
      <c r="E1492" s="18" t="s">
        <v>18</v>
      </c>
      <c r="F1492" s="18" t="s">
        <v>3209</v>
      </c>
      <c r="G1492" s="18" t="s">
        <v>298</v>
      </c>
      <c r="H1492" s="18" t="s">
        <v>3011</v>
      </c>
      <c r="I1492" s="20" t="s">
        <v>3210</v>
      </c>
      <c r="J1492" s="18" t="s">
        <v>23</v>
      </c>
      <c r="K1492" s="18" t="s">
        <v>24</v>
      </c>
      <c r="L1492" s="18" t="s">
        <v>25</v>
      </c>
      <c r="N1492" s="18" t="s">
        <v>807</v>
      </c>
    </row>
    <row r="1493" spans="1:14" ht="15" customHeight="1" x14ac:dyDescent="0.3">
      <c r="A1493" s="18" t="s">
        <v>3005</v>
      </c>
      <c r="B1493" s="19" t="s">
        <v>15</v>
      </c>
      <c r="C1493" s="18" t="s">
        <v>3013</v>
      </c>
      <c r="D1493" s="18" t="s">
        <v>116</v>
      </c>
      <c r="E1493" s="18" t="s">
        <v>18</v>
      </c>
      <c r="F1493" s="18" t="s">
        <v>537</v>
      </c>
      <c r="G1493" s="18" t="s">
        <v>536</v>
      </c>
      <c r="H1493" s="18" t="s">
        <v>3014</v>
      </c>
      <c r="I1493" s="20" t="s">
        <v>3211</v>
      </c>
      <c r="J1493" s="18" t="s">
        <v>30</v>
      </c>
      <c r="K1493" s="18" t="s">
        <v>24</v>
      </c>
      <c r="L1493" s="18" t="s">
        <v>25</v>
      </c>
      <c r="N1493" s="18" t="s">
        <v>973</v>
      </c>
    </row>
    <row r="1494" spans="1:14" ht="15" customHeight="1" x14ac:dyDescent="0.3">
      <c r="A1494" s="18" t="s">
        <v>3005</v>
      </c>
      <c r="B1494" s="19" t="s">
        <v>15</v>
      </c>
      <c r="C1494" s="18" t="s">
        <v>3009</v>
      </c>
      <c r="D1494" s="18" t="s">
        <v>116</v>
      </c>
      <c r="E1494" s="18" t="s">
        <v>55</v>
      </c>
      <c r="F1494" s="18" t="s">
        <v>3212</v>
      </c>
      <c r="G1494" s="18" t="s">
        <v>273</v>
      </c>
      <c r="H1494" s="18" t="s">
        <v>3011</v>
      </c>
      <c r="I1494" s="20" t="s">
        <v>3213</v>
      </c>
      <c r="J1494" s="18" t="s">
        <v>58</v>
      </c>
      <c r="K1494" s="18" t="s">
        <v>91</v>
      </c>
      <c r="L1494" s="18" t="s">
        <v>25</v>
      </c>
      <c r="N1494" s="18" t="s">
        <v>807</v>
      </c>
    </row>
    <row r="1495" spans="1:14" ht="15" customHeight="1" x14ac:dyDescent="0.3">
      <c r="A1495" s="18" t="s">
        <v>3005</v>
      </c>
      <c r="B1495" s="19" t="s">
        <v>15</v>
      </c>
      <c r="C1495" s="18" t="s">
        <v>3009</v>
      </c>
      <c r="D1495" s="18" t="s">
        <v>116</v>
      </c>
      <c r="E1495" s="18" t="s">
        <v>55</v>
      </c>
      <c r="F1495" s="18" t="s">
        <v>3128</v>
      </c>
      <c r="G1495" s="18" t="s">
        <v>41</v>
      </c>
      <c r="H1495" s="18" t="s">
        <v>3016</v>
      </c>
      <c r="I1495" s="20" t="s">
        <v>3214</v>
      </c>
      <c r="J1495" s="18" t="s">
        <v>58</v>
      </c>
      <c r="K1495" s="18" t="s">
        <v>24</v>
      </c>
      <c r="L1495" s="18" t="s">
        <v>25</v>
      </c>
      <c r="N1495" s="18" t="s">
        <v>807</v>
      </c>
    </row>
    <row r="1496" spans="1:14" ht="15" customHeight="1" x14ac:dyDescent="0.3">
      <c r="A1496" s="18" t="s">
        <v>3005</v>
      </c>
      <c r="B1496" s="19" t="s">
        <v>15</v>
      </c>
      <c r="C1496" s="18" t="s">
        <v>3013</v>
      </c>
      <c r="D1496" s="18" t="s">
        <v>116</v>
      </c>
      <c r="E1496" s="18" t="s">
        <v>55</v>
      </c>
      <c r="F1496" s="18" t="s">
        <v>3215</v>
      </c>
      <c r="G1496" s="18" t="s">
        <v>2242</v>
      </c>
      <c r="H1496" s="18" t="s">
        <v>3014</v>
      </c>
      <c r="I1496" s="20" t="s">
        <v>3216</v>
      </c>
      <c r="J1496" s="18" t="s">
        <v>58</v>
      </c>
      <c r="K1496" s="18" t="s">
        <v>24</v>
      </c>
      <c r="L1496" s="18" t="s">
        <v>25</v>
      </c>
      <c r="N1496" s="18" t="s">
        <v>973</v>
      </c>
    </row>
    <row r="1497" spans="1:14" ht="15" customHeight="1" x14ac:dyDescent="0.3">
      <c r="A1497" s="18" t="s">
        <v>3005</v>
      </c>
      <c r="B1497" s="19" t="s">
        <v>15</v>
      </c>
      <c r="C1497" s="18" t="s">
        <v>3025</v>
      </c>
      <c r="D1497" s="18" t="s">
        <v>116</v>
      </c>
      <c r="E1497" s="18" t="s">
        <v>55</v>
      </c>
      <c r="F1497" s="18" t="s">
        <v>3132</v>
      </c>
      <c r="G1497" s="18" t="s">
        <v>3133</v>
      </c>
      <c r="H1497" s="18" t="s">
        <v>3026</v>
      </c>
      <c r="I1497" s="20" t="s">
        <v>3217</v>
      </c>
      <c r="J1497" s="18" t="s">
        <v>58</v>
      </c>
      <c r="K1497" s="18" t="s">
        <v>24</v>
      </c>
      <c r="L1497" s="18" t="s">
        <v>25</v>
      </c>
      <c r="N1497" s="18" t="s">
        <v>973</v>
      </c>
    </row>
    <row r="1498" spans="1:14" ht="15" customHeight="1" x14ac:dyDescent="0.3">
      <c r="A1498" s="18" t="s">
        <v>3005</v>
      </c>
      <c r="B1498" s="19" t="s">
        <v>15</v>
      </c>
      <c r="C1498" s="18" t="s">
        <v>3025</v>
      </c>
      <c r="D1498" s="18" t="s">
        <v>116</v>
      </c>
      <c r="E1498" s="18" t="s">
        <v>55</v>
      </c>
      <c r="F1498" s="18" t="s">
        <v>3218</v>
      </c>
      <c r="G1498" s="18" t="s">
        <v>160</v>
      </c>
      <c r="H1498" s="18" t="s">
        <v>3026</v>
      </c>
      <c r="I1498" s="20" t="s">
        <v>3219</v>
      </c>
      <c r="J1498" s="18" t="s">
        <v>58</v>
      </c>
      <c r="K1498" s="18" t="s">
        <v>24</v>
      </c>
      <c r="L1498" s="18" t="s">
        <v>25</v>
      </c>
      <c r="N1498" s="18" t="s">
        <v>973</v>
      </c>
    </row>
    <row r="1499" spans="1:14" ht="15" customHeight="1" x14ac:dyDescent="0.3">
      <c r="A1499" s="18" t="s">
        <v>3005</v>
      </c>
      <c r="B1499" s="19" t="s">
        <v>15</v>
      </c>
      <c r="C1499" s="18" t="s">
        <v>3009</v>
      </c>
      <c r="D1499" s="18" t="s">
        <v>116</v>
      </c>
      <c r="E1499" s="18" t="s">
        <v>55</v>
      </c>
      <c r="F1499" s="18" t="s">
        <v>3220</v>
      </c>
      <c r="G1499" s="18" t="s">
        <v>1019</v>
      </c>
      <c r="H1499" s="18" t="s">
        <v>3011</v>
      </c>
      <c r="I1499" s="20" t="s">
        <v>3221</v>
      </c>
      <c r="J1499" s="18" t="s">
        <v>58</v>
      </c>
      <c r="K1499" s="18" t="s">
        <v>24</v>
      </c>
      <c r="L1499" s="18" t="s">
        <v>25</v>
      </c>
      <c r="N1499" s="18" t="s">
        <v>807</v>
      </c>
    </row>
    <row r="1500" spans="1:14" ht="15" customHeight="1" x14ac:dyDescent="0.3">
      <c r="A1500" s="18" t="s">
        <v>3005</v>
      </c>
      <c r="B1500" s="19" t="s">
        <v>15</v>
      </c>
      <c r="C1500" s="18" t="s">
        <v>3013</v>
      </c>
      <c r="D1500" s="18" t="s">
        <v>116</v>
      </c>
      <c r="E1500" s="18" t="s">
        <v>55</v>
      </c>
      <c r="F1500" s="18" t="s">
        <v>3222</v>
      </c>
      <c r="G1500" s="18" t="s">
        <v>606</v>
      </c>
      <c r="H1500" s="18" t="s">
        <v>3014</v>
      </c>
      <c r="I1500" s="20" t="s">
        <v>3223</v>
      </c>
      <c r="J1500" s="18" t="s">
        <v>58</v>
      </c>
      <c r="K1500" s="18" t="s">
        <v>24</v>
      </c>
      <c r="L1500" s="18" t="s">
        <v>25</v>
      </c>
      <c r="N1500" s="18" t="s">
        <v>973</v>
      </c>
    </row>
    <row r="1501" spans="1:14" ht="15" customHeight="1" x14ac:dyDescent="0.3">
      <c r="A1501" s="18" t="s">
        <v>3005</v>
      </c>
      <c r="B1501" s="19" t="s">
        <v>15</v>
      </c>
      <c r="C1501" s="18" t="s">
        <v>3013</v>
      </c>
      <c r="D1501" s="18" t="s">
        <v>116</v>
      </c>
      <c r="E1501" s="18" t="s">
        <v>55</v>
      </c>
      <c r="F1501" s="18" t="s">
        <v>3224</v>
      </c>
      <c r="G1501" s="18" t="s">
        <v>606</v>
      </c>
      <c r="H1501" s="18" t="s">
        <v>3014</v>
      </c>
      <c r="I1501" s="20" t="s">
        <v>3225</v>
      </c>
      <c r="J1501" s="18" t="s">
        <v>58</v>
      </c>
      <c r="K1501" s="18" t="s">
        <v>24</v>
      </c>
      <c r="L1501" s="18" t="s">
        <v>25</v>
      </c>
      <c r="M1501" s="18" t="s">
        <v>39</v>
      </c>
      <c r="N1501" s="18" t="s">
        <v>973</v>
      </c>
    </row>
    <row r="1502" spans="1:14" ht="15" customHeight="1" x14ac:dyDescent="0.3">
      <c r="A1502" s="18" t="s">
        <v>3005</v>
      </c>
      <c r="B1502" s="19" t="s">
        <v>15</v>
      </c>
      <c r="C1502" s="18" t="s">
        <v>3013</v>
      </c>
      <c r="D1502" s="18" t="s">
        <v>116</v>
      </c>
      <c r="E1502" s="18" t="s">
        <v>55</v>
      </c>
      <c r="F1502" s="18" t="s">
        <v>3226</v>
      </c>
      <c r="G1502" s="18" t="s">
        <v>606</v>
      </c>
      <c r="H1502" s="18" t="s">
        <v>3014</v>
      </c>
      <c r="I1502" s="20" t="s">
        <v>3227</v>
      </c>
      <c r="J1502" s="18" t="s">
        <v>58</v>
      </c>
      <c r="K1502" s="18" t="s">
        <v>24</v>
      </c>
      <c r="L1502" s="18" t="s">
        <v>25</v>
      </c>
      <c r="N1502" s="18" t="s">
        <v>973</v>
      </c>
    </row>
    <row r="1503" spans="1:14" ht="15" customHeight="1" x14ac:dyDescent="0.3">
      <c r="A1503" s="18" t="s">
        <v>3005</v>
      </c>
      <c r="B1503" s="19" t="s">
        <v>15</v>
      </c>
      <c r="C1503" s="18" t="s">
        <v>3009</v>
      </c>
      <c r="D1503" s="18" t="s">
        <v>116</v>
      </c>
      <c r="E1503" s="18" t="s">
        <v>55</v>
      </c>
      <c r="F1503" s="18" t="s">
        <v>3228</v>
      </c>
      <c r="G1503" s="18" t="s">
        <v>47</v>
      </c>
      <c r="H1503" s="18" t="s">
        <v>3016</v>
      </c>
      <c r="I1503" s="20" t="s">
        <v>3229</v>
      </c>
      <c r="J1503" s="18" t="s">
        <v>58</v>
      </c>
      <c r="K1503" s="18" t="s">
        <v>24</v>
      </c>
      <c r="L1503" s="18" t="s">
        <v>25</v>
      </c>
      <c r="N1503" s="18" t="s">
        <v>807</v>
      </c>
    </row>
    <row r="1504" spans="1:14" ht="15" customHeight="1" x14ac:dyDescent="0.3">
      <c r="A1504" s="18" t="s">
        <v>3005</v>
      </c>
      <c r="B1504" s="19" t="s">
        <v>15</v>
      </c>
      <c r="C1504" s="18" t="s">
        <v>3009</v>
      </c>
      <c r="D1504" s="18" t="s">
        <v>116</v>
      </c>
      <c r="E1504" s="18" t="s">
        <v>55</v>
      </c>
      <c r="F1504" s="18" t="s">
        <v>1061</v>
      </c>
      <c r="G1504" s="18" t="s">
        <v>47</v>
      </c>
      <c r="H1504" s="18" t="s">
        <v>3016</v>
      </c>
      <c r="I1504" s="20" t="s">
        <v>3230</v>
      </c>
      <c r="J1504" s="18" t="s">
        <v>58</v>
      </c>
      <c r="K1504" s="18" t="s">
        <v>24</v>
      </c>
      <c r="L1504" s="18" t="s">
        <v>25</v>
      </c>
      <c r="N1504" s="18" t="s">
        <v>807</v>
      </c>
    </row>
    <row r="1505" spans="1:14" ht="15" customHeight="1" x14ac:dyDescent="0.3">
      <c r="A1505" s="18" t="s">
        <v>3005</v>
      </c>
      <c r="B1505" s="19" t="s">
        <v>15</v>
      </c>
      <c r="C1505" s="18" t="s">
        <v>3009</v>
      </c>
      <c r="D1505" s="18" t="s">
        <v>116</v>
      </c>
      <c r="E1505" s="18" t="s">
        <v>55</v>
      </c>
      <c r="F1505" s="18" t="s">
        <v>3231</v>
      </c>
      <c r="G1505" s="18" t="s">
        <v>273</v>
      </c>
      <c r="H1505" s="18" t="s">
        <v>3011</v>
      </c>
      <c r="I1505" s="20" t="s">
        <v>3232</v>
      </c>
      <c r="J1505" s="18" t="s">
        <v>58</v>
      </c>
      <c r="K1505" s="18" t="s">
        <v>24</v>
      </c>
      <c r="L1505" s="18" t="s">
        <v>25</v>
      </c>
      <c r="N1505" s="18" t="s">
        <v>807</v>
      </c>
    </row>
    <row r="1506" spans="1:14" ht="15" customHeight="1" x14ac:dyDescent="0.3">
      <c r="A1506" s="18" t="s">
        <v>3005</v>
      </c>
      <c r="B1506" s="19" t="s">
        <v>15</v>
      </c>
      <c r="C1506" s="18" t="s">
        <v>3009</v>
      </c>
      <c r="D1506" s="18" t="s">
        <v>116</v>
      </c>
      <c r="E1506" s="18" t="s">
        <v>55</v>
      </c>
      <c r="F1506" s="18" t="s">
        <v>3233</v>
      </c>
      <c r="G1506" s="18" t="s">
        <v>273</v>
      </c>
      <c r="H1506" s="18" t="s">
        <v>3011</v>
      </c>
      <c r="I1506" s="20" t="s">
        <v>3234</v>
      </c>
      <c r="J1506" s="18" t="s">
        <v>58</v>
      </c>
      <c r="K1506" s="18" t="s">
        <v>24</v>
      </c>
      <c r="L1506" s="18" t="s">
        <v>25</v>
      </c>
      <c r="N1506" s="18" t="s">
        <v>807</v>
      </c>
    </row>
    <row r="1507" spans="1:14" ht="15" customHeight="1" x14ac:dyDescent="0.3">
      <c r="A1507" s="18" t="s">
        <v>3005</v>
      </c>
      <c r="B1507" s="19" t="s">
        <v>15</v>
      </c>
      <c r="C1507" s="18" t="s">
        <v>3009</v>
      </c>
      <c r="D1507" s="18" t="s">
        <v>116</v>
      </c>
      <c r="E1507" s="18" t="s">
        <v>55</v>
      </c>
      <c r="F1507" s="18" t="s">
        <v>3235</v>
      </c>
      <c r="G1507" s="18" t="s">
        <v>263</v>
      </c>
      <c r="H1507" s="18" t="s">
        <v>3011</v>
      </c>
      <c r="I1507" s="20" t="s">
        <v>3236</v>
      </c>
      <c r="J1507" s="18" t="s">
        <v>58</v>
      </c>
      <c r="K1507" s="18" t="s">
        <v>24</v>
      </c>
      <c r="L1507" s="18" t="s">
        <v>25</v>
      </c>
      <c r="N1507" s="18" t="s">
        <v>807</v>
      </c>
    </row>
    <row r="1508" spans="1:14" ht="15" customHeight="1" x14ac:dyDescent="0.3">
      <c r="A1508" s="18" t="s">
        <v>3005</v>
      </c>
      <c r="B1508" s="19" t="s">
        <v>15</v>
      </c>
      <c r="C1508" s="18" t="s">
        <v>210</v>
      </c>
      <c r="D1508" s="18" t="s">
        <v>116</v>
      </c>
      <c r="E1508" s="18" t="s">
        <v>55</v>
      </c>
      <c r="F1508" s="18" t="s">
        <v>3237</v>
      </c>
      <c r="G1508" s="18" t="s">
        <v>47</v>
      </c>
      <c r="H1508" s="18" t="s">
        <v>3238</v>
      </c>
      <c r="I1508" s="20" t="s">
        <v>3239</v>
      </c>
      <c r="J1508" s="18" t="s">
        <v>58</v>
      </c>
      <c r="K1508" s="18" t="s">
        <v>293</v>
      </c>
      <c r="L1508" s="18" t="s">
        <v>25</v>
      </c>
      <c r="N1508" s="18" t="s">
        <v>26</v>
      </c>
    </row>
    <row r="1509" spans="1:14" ht="15" customHeight="1" x14ac:dyDescent="0.3">
      <c r="A1509" s="18" t="s">
        <v>3005</v>
      </c>
      <c r="B1509" s="19" t="s">
        <v>15</v>
      </c>
      <c r="C1509" s="18" t="s">
        <v>3009</v>
      </c>
      <c r="D1509" s="18" t="s">
        <v>116</v>
      </c>
      <c r="E1509" s="18" t="s">
        <v>55</v>
      </c>
      <c r="F1509" s="18" t="s">
        <v>3143</v>
      </c>
      <c r="G1509" s="18" t="s">
        <v>160</v>
      </c>
      <c r="H1509" s="18" t="s">
        <v>3011</v>
      </c>
      <c r="I1509" s="20" t="s">
        <v>3240</v>
      </c>
      <c r="J1509" s="18" t="s">
        <v>58</v>
      </c>
      <c r="K1509" s="18" t="s">
        <v>24</v>
      </c>
      <c r="L1509" s="18" t="s">
        <v>25</v>
      </c>
      <c r="N1509" s="18" t="s">
        <v>807</v>
      </c>
    </row>
    <row r="1510" spans="1:14" ht="15" customHeight="1" x14ac:dyDescent="0.3">
      <c r="A1510" s="18" t="s">
        <v>3005</v>
      </c>
      <c r="B1510" s="19" t="s">
        <v>15</v>
      </c>
      <c r="C1510" s="18" t="s">
        <v>3009</v>
      </c>
      <c r="D1510" s="18" t="s">
        <v>116</v>
      </c>
      <c r="E1510" s="18" t="s">
        <v>55</v>
      </c>
      <c r="F1510" s="18" t="s">
        <v>85</v>
      </c>
      <c r="G1510" s="18" t="s">
        <v>85</v>
      </c>
      <c r="H1510" s="18" t="s">
        <v>3016</v>
      </c>
      <c r="I1510" s="20" t="s">
        <v>3241</v>
      </c>
      <c r="J1510" s="18" t="s">
        <v>73</v>
      </c>
      <c r="K1510" s="18" t="s">
        <v>24</v>
      </c>
      <c r="L1510" s="18" t="s">
        <v>25</v>
      </c>
      <c r="N1510" s="18" t="s">
        <v>807</v>
      </c>
    </row>
    <row r="1511" spans="1:14" ht="15" customHeight="1" x14ac:dyDescent="0.3">
      <c r="A1511" s="18" t="s">
        <v>3005</v>
      </c>
      <c r="B1511" s="19" t="s">
        <v>15</v>
      </c>
      <c r="C1511" s="18" t="s">
        <v>3009</v>
      </c>
      <c r="D1511" s="18" t="s">
        <v>116</v>
      </c>
      <c r="E1511" s="18" t="s">
        <v>55</v>
      </c>
      <c r="F1511" s="18" t="s">
        <v>2834</v>
      </c>
      <c r="G1511" s="18" t="s">
        <v>41</v>
      </c>
      <c r="H1511" s="18" t="s">
        <v>3016</v>
      </c>
      <c r="I1511" s="20" t="s">
        <v>3242</v>
      </c>
      <c r="J1511" s="18" t="s">
        <v>58</v>
      </c>
      <c r="K1511" s="18" t="s">
        <v>24</v>
      </c>
      <c r="L1511" s="18" t="s">
        <v>25</v>
      </c>
      <c r="N1511" s="18" t="s">
        <v>807</v>
      </c>
    </row>
    <row r="1512" spans="1:14" ht="15" customHeight="1" x14ac:dyDescent="0.3">
      <c r="A1512" s="18" t="s">
        <v>3005</v>
      </c>
      <c r="B1512" s="19" t="s">
        <v>15</v>
      </c>
      <c r="C1512" s="18" t="s">
        <v>3009</v>
      </c>
      <c r="D1512" s="18" t="s">
        <v>116</v>
      </c>
      <c r="E1512" s="18" t="s">
        <v>55</v>
      </c>
      <c r="F1512" s="18" t="s">
        <v>391</v>
      </c>
      <c r="G1512" s="18" t="s">
        <v>381</v>
      </c>
      <c r="H1512" s="18" t="s">
        <v>3007</v>
      </c>
      <c r="I1512" s="20" t="s">
        <v>3243</v>
      </c>
      <c r="J1512" s="18" t="s">
        <v>73</v>
      </c>
      <c r="K1512" s="18" t="s">
        <v>24</v>
      </c>
      <c r="L1512" s="18" t="s">
        <v>25</v>
      </c>
      <c r="N1512" s="18" t="s">
        <v>807</v>
      </c>
    </row>
    <row r="1513" spans="1:14" ht="15" customHeight="1" x14ac:dyDescent="0.3">
      <c r="A1513" s="18" t="s">
        <v>3005</v>
      </c>
      <c r="B1513" s="19" t="s">
        <v>15</v>
      </c>
      <c r="C1513" s="18" t="s">
        <v>3009</v>
      </c>
      <c r="D1513" s="18" t="s">
        <v>116</v>
      </c>
      <c r="E1513" s="18" t="s">
        <v>55</v>
      </c>
      <c r="F1513" s="18" t="s">
        <v>3244</v>
      </c>
      <c r="G1513" s="18" t="s">
        <v>47</v>
      </c>
      <c r="H1513" s="18" t="s">
        <v>3016</v>
      </c>
      <c r="I1513" s="20" t="s">
        <v>3245</v>
      </c>
      <c r="J1513" s="18" t="s">
        <v>58</v>
      </c>
      <c r="K1513" s="18" t="s">
        <v>24</v>
      </c>
      <c r="L1513" s="18" t="s">
        <v>25</v>
      </c>
      <c r="N1513" s="18" t="s">
        <v>807</v>
      </c>
    </row>
    <row r="1514" spans="1:14" ht="15" customHeight="1" x14ac:dyDescent="0.3">
      <c r="A1514" s="18" t="s">
        <v>3005</v>
      </c>
      <c r="B1514" s="19" t="s">
        <v>15</v>
      </c>
      <c r="C1514" s="18" t="s">
        <v>3025</v>
      </c>
      <c r="D1514" s="18" t="s">
        <v>116</v>
      </c>
      <c r="E1514" s="18" t="s">
        <v>55</v>
      </c>
      <c r="F1514" s="18" t="s">
        <v>2587</v>
      </c>
      <c r="G1514" s="18" t="s">
        <v>28</v>
      </c>
      <c r="H1514" s="18" t="s">
        <v>3026</v>
      </c>
      <c r="I1514" s="20" t="s">
        <v>3246</v>
      </c>
      <c r="J1514" s="18" t="s">
        <v>58</v>
      </c>
      <c r="K1514" s="18" t="s">
        <v>24</v>
      </c>
      <c r="L1514" s="18" t="s">
        <v>25</v>
      </c>
      <c r="N1514" s="18" t="s">
        <v>973</v>
      </c>
    </row>
    <row r="1515" spans="1:14" ht="15" customHeight="1" x14ac:dyDescent="0.3">
      <c r="A1515" s="18" t="s">
        <v>3005</v>
      </c>
      <c r="B1515" s="19" t="s">
        <v>15</v>
      </c>
      <c r="C1515" s="18" t="s">
        <v>3025</v>
      </c>
      <c r="D1515" s="18" t="s">
        <v>116</v>
      </c>
      <c r="E1515" s="18" t="s">
        <v>55</v>
      </c>
      <c r="F1515" s="18" t="s">
        <v>2688</v>
      </c>
      <c r="G1515" s="18" t="s">
        <v>28</v>
      </c>
      <c r="H1515" s="18" t="s">
        <v>3026</v>
      </c>
      <c r="I1515" s="20" t="s">
        <v>3247</v>
      </c>
      <c r="J1515" s="18" t="s">
        <v>58</v>
      </c>
      <c r="K1515" s="18" t="s">
        <v>24</v>
      </c>
      <c r="L1515" s="18" t="s">
        <v>25</v>
      </c>
      <c r="N1515" s="18" t="s">
        <v>973</v>
      </c>
    </row>
    <row r="1516" spans="1:14" ht="15" customHeight="1" x14ac:dyDescent="0.3">
      <c r="A1516" s="18" t="s">
        <v>3005</v>
      </c>
      <c r="B1516" s="19" t="s">
        <v>15</v>
      </c>
      <c r="C1516" s="18" t="s">
        <v>3025</v>
      </c>
      <c r="D1516" s="18" t="s">
        <v>116</v>
      </c>
      <c r="E1516" s="18" t="s">
        <v>55</v>
      </c>
      <c r="F1516" s="18" t="s">
        <v>3248</v>
      </c>
      <c r="G1516" s="18" t="s">
        <v>28</v>
      </c>
      <c r="H1516" s="18" t="s">
        <v>3026</v>
      </c>
      <c r="I1516" s="20" t="s">
        <v>3249</v>
      </c>
      <c r="J1516" s="18" t="s">
        <v>58</v>
      </c>
      <c r="K1516" s="18" t="s">
        <v>24</v>
      </c>
      <c r="L1516" s="18" t="s">
        <v>25</v>
      </c>
      <c r="N1516" s="18" t="s">
        <v>973</v>
      </c>
    </row>
    <row r="1517" spans="1:14" ht="15" customHeight="1" x14ac:dyDescent="0.3">
      <c r="A1517" s="18" t="s">
        <v>3005</v>
      </c>
      <c r="B1517" s="19" t="s">
        <v>15</v>
      </c>
      <c r="C1517" s="18" t="s">
        <v>3009</v>
      </c>
      <c r="D1517" s="18" t="s">
        <v>116</v>
      </c>
      <c r="E1517" s="18" t="s">
        <v>55</v>
      </c>
      <c r="F1517" s="18" t="s">
        <v>3250</v>
      </c>
      <c r="G1517" s="18" t="s">
        <v>1019</v>
      </c>
      <c r="H1517" s="18" t="s">
        <v>3011</v>
      </c>
      <c r="I1517" s="20" t="s">
        <v>3251</v>
      </c>
      <c r="J1517" s="18" t="s">
        <v>58</v>
      </c>
      <c r="K1517" s="18" t="s">
        <v>24</v>
      </c>
      <c r="L1517" s="18" t="s">
        <v>25</v>
      </c>
      <c r="M1517" s="18" t="s">
        <v>39</v>
      </c>
      <c r="N1517" s="18" t="s">
        <v>807</v>
      </c>
    </row>
    <row r="1518" spans="1:14" ht="15" customHeight="1" x14ac:dyDescent="0.3">
      <c r="A1518" s="18" t="s">
        <v>3005</v>
      </c>
      <c r="B1518" s="19" t="s">
        <v>15</v>
      </c>
      <c r="C1518" s="18" t="s">
        <v>3009</v>
      </c>
      <c r="D1518" s="18" t="s">
        <v>116</v>
      </c>
      <c r="E1518" s="18" t="s">
        <v>55</v>
      </c>
      <c r="F1518" s="18" t="s">
        <v>3252</v>
      </c>
      <c r="G1518" s="18" t="s">
        <v>3253</v>
      </c>
      <c r="H1518" s="18" t="s">
        <v>3011</v>
      </c>
      <c r="I1518" s="20" t="s">
        <v>3254</v>
      </c>
      <c r="J1518" s="18" t="s">
        <v>58</v>
      </c>
      <c r="K1518" s="18" t="s">
        <v>24</v>
      </c>
      <c r="L1518" s="18" t="s">
        <v>25</v>
      </c>
      <c r="N1518" s="18" t="s">
        <v>807</v>
      </c>
    </row>
    <row r="1519" spans="1:14" ht="15" customHeight="1" x14ac:dyDescent="0.3">
      <c r="A1519" s="18" t="s">
        <v>3005</v>
      </c>
      <c r="B1519" s="19" t="s">
        <v>15</v>
      </c>
      <c r="C1519" s="18" t="s">
        <v>3009</v>
      </c>
      <c r="D1519" s="18" t="s">
        <v>116</v>
      </c>
      <c r="E1519" s="18" t="s">
        <v>55</v>
      </c>
      <c r="F1519" s="18" t="s">
        <v>3255</v>
      </c>
      <c r="G1519" s="18" t="s">
        <v>41</v>
      </c>
      <c r="H1519" s="18" t="s">
        <v>3011</v>
      </c>
      <c r="I1519" s="20" t="s">
        <v>3256</v>
      </c>
      <c r="J1519" s="18" t="s">
        <v>58</v>
      </c>
      <c r="K1519" s="18" t="s">
        <v>24</v>
      </c>
      <c r="L1519" s="18" t="s">
        <v>25</v>
      </c>
      <c r="N1519" s="18" t="s">
        <v>807</v>
      </c>
    </row>
    <row r="1520" spans="1:14" ht="15" customHeight="1" x14ac:dyDescent="0.3">
      <c r="A1520" s="18" t="s">
        <v>3005</v>
      </c>
      <c r="B1520" s="19" t="s">
        <v>15</v>
      </c>
      <c r="C1520" s="18" t="s">
        <v>3013</v>
      </c>
      <c r="D1520" s="18" t="s">
        <v>116</v>
      </c>
      <c r="E1520" s="18" t="s">
        <v>55</v>
      </c>
      <c r="F1520" s="18" t="s">
        <v>3257</v>
      </c>
      <c r="G1520" s="18" t="s">
        <v>1069</v>
      </c>
      <c r="H1520" s="18" t="s">
        <v>3014</v>
      </c>
      <c r="I1520" s="20" t="s">
        <v>3258</v>
      </c>
      <c r="J1520" s="18" t="s">
        <v>58</v>
      </c>
      <c r="K1520" s="18" t="s">
        <v>24</v>
      </c>
      <c r="L1520" s="18" t="s">
        <v>25</v>
      </c>
      <c r="N1520" s="18" t="s">
        <v>973</v>
      </c>
    </row>
    <row r="1521" spans="1:14" ht="15" customHeight="1" x14ac:dyDescent="0.3">
      <c r="A1521" s="18" t="s">
        <v>3005</v>
      </c>
      <c r="B1521" s="19" t="s">
        <v>15</v>
      </c>
      <c r="C1521" s="18" t="s">
        <v>3009</v>
      </c>
      <c r="D1521" s="18" t="s">
        <v>116</v>
      </c>
      <c r="E1521" s="18" t="s">
        <v>55</v>
      </c>
      <c r="F1521" s="18" t="s">
        <v>3259</v>
      </c>
      <c r="G1521" s="18" t="s">
        <v>273</v>
      </c>
      <c r="H1521" s="18" t="s">
        <v>3011</v>
      </c>
      <c r="I1521" s="20" t="s">
        <v>3260</v>
      </c>
      <c r="J1521" s="18" t="s">
        <v>58</v>
      </c>
      <c r="K1521" s="18" t="s">
        <v>24</v>
      </c>
      <c r="L1521" s="18" t="s">
        <v>25</v>
      </c>
      <c r="N1521" s="18" t="s">
        <v>807</v>
      </c>
    </row>
    <row r="1522" spans="1:14" ht="15" customHeight="1" x14ac:dyDescent="0.3">
      <c r="A1522" s="18" t="s">
        <v>3005</v>
      </c>
      <c r="B1522" s="19" t="s">
        <v>15</v>
      </c>
      <c r="C1522" s="18" t="s">
        <v>3009</v>
      </c>
      <c r="D1522" s="18" t="s">
        <v>116</v>
      </c>
      <c r="E1522" s="18" t="s">
        <v>55</v>
      </c>
      <c r="F1522" s="18" t="s">
        <v>3261</v>
      </c>
      <c r="G1522" s="18" t="s">
        <v>273</v>
      </c>
      <c r="H1522" s="18" t="s">
        <v>3011</v>
      </c>
      <c r="I1522" s="20" t="s">
        <v>3262</v>
      </c>
      <c r="J1522" s="18" t="s">
        <v>58</v>
      </c>
      <c r="K1522" s="18" t="s">
        <v>24</v>
      </c>
      <c r="L1522" s="18" t="s">
        <v>25</v>
      </c>
      <c r="M1522" s="18" t="s">
        <v>39</v>
      </c>
      <c r="N1522" s="18" t="s">
        <v>807</v>
      </c>
    </row>
    <row r="1523" spans="1:14" ht="15" customHeight="1" x14ac:dyDescent="0.3">
      <c r="A1523" s="18" t="s">
        <v>3005</v>
      </c>
      <c r="B1523" s="19" t="s">
        <v>15</v>
      </c>
      <c r="C1523" s="18" t="s">
        <v>3009</v>
      </c>
      <c r="D1523" s="18" t="s">
        <v>116</v>
      </c>
      <c r="E1523" s="18" t="s">
        <v>55</v>
      </c>
      <c r="F1523" s="18" t="s">
        <v>275</v>
      </c>
      <c r="G1523" s="18" t="s">
        <v>276</v>
      </c>
      <c r="H1523" s="18" t="s">
        <v>3011</v>
      </c>
      <c r="I1523" s="20" t="s">
        <v>3263</v>
      </c>
      <c r="J1523" s="18" t="s">
        <v>73</v>
      </c>
      <c r="K1523" s="18" t="s">
        <v>24</v>
      </c>
      <c r="L1523" s="18" t="s">
        <v>25</v>
      </c>
      <c r="N1523" s="18" t="s">
        <v>807</v>
      </c>
    </row>
    <row r="1524" spans="1:14" ht="15" customHeight="1" x14ac:dyDescent="0.3">
      <c r="A1524" s="18" t="s">
        <v>3005</v>
      </c>
      <c r="B1524" s="19" t="s">
        <v>15</v>
      </c>
      <c r="C1524" s="18" t="s">
        <v>3009</v>
      </c>
      <c r="D1524" s="18" t="s">
        <v>116</v>
      </c>
      <c r="E1524" s="18" t="s">
        <v>55</v>
      </c>
      <c r="F1524" s="18" t="s">
        <v>278</v>
      </c>
      <c r="G1524" s="18" t="s">
        <v>276</v>
      </c>
      <c r="H1524" s="18" t="s">
        <v>3011</v>
      </c>
      <c r="I1524" s="20" t="s">
        <v>3264</v>
      </c>
      <c r="J1524" s="18" t="s">
        <v>58</v>
      </c>
      <c r="K1524" s="18" t="s">
        <v>24</v>
      </c>
      <c r="L1524" s="18" t="s">
        <v>25</v>
      </c>
      <c r="N1524" s="18" t="s">
        <v>807</v>
      </c>
    </row>
    <row r="1525" spans="1:14" ht="15" customHeight="1" x14ac:dyDescent="0.3">
      <c r="A1525" s="18" t="s">
        <v>3005</v>
      </c>
      <c r="B1525" s="19" t="s">
        <v>15</v>
      </c>
      <c r="C1525" s="18" t="s">
        <v>3009</v>
      </c>
      <c r="D1525" s="18" t="s">
        <v>116</v>
      </c>
      <c r="E1525" s="18" t="s">
        <v>55</v>
      </c>
      <c r="F1525" s="18" t="s">
        <v>3265</v>
      </c>
      <c r="G1525" s="18" t="s">
        <v>273</v>
      </c>
      <c r="H1525" s="18" t="s">
        <v>3011</v>
      </c>
      <c r="I1525" s="20" t="s">
        <v>3266</v>
      </c>
      <c r="J1525" s="18" t="s">
        <v>58</v>
      </c>
      <c r="K1525" s="18" t="s">
        <v>293</v>
      </c>
      <c r="L1525" s="18" t="s">
        <v>25</v>
      </c>
      <c r="N1525" s="18" t="s">
        <v>807</v>
      </c>
    </row>
    <row r="1526" spans="1:14" ht="15" customHeight="1" x14ac:dyDescent="0.3">
      <c r="A1526" s="18" t="s">
        <v>3005</v>
      </c>
      <c r="B1526" s="19" t="s">
        <v>15</v>
      </c>
      <c r="C1526" s="18" t="s">
        <v>3009</v>
      </c>
      <c r="D1526" s="18" t="s">
        <v>116</v>
      </c>
      <c r="E1526" s="18" t="s">
        <v>55</v>
      </c>
      <c r="F1526" s="18" t="s">
        <v>2358</v>
      </c>
      <c r="G1526" s="18" t="s">
        <v>41</v>
      </c>
      <c r="H1526" s="18" t="s">
        <v>3016</v>
      </c>
      <c r="I1526" s="20" t="s">
        <v>3267</v>
      </c>
      <c r="J1526" s="18" t="s">
        <v>73</v>
      </c>
      <c r="K1526" s="18" t="s">
        <v>24</v>
      </c>
      <c r="L1526" s="18" t="s">
        <v>25</v>
      </c>
      <c r="N1526" s="18" t="s">
        <v>807</v>
      </c>
    </row>
    <row r="1527" spans="1:14" ht="15" customHeight="1" x14ac:dyDescent="0.3">
      <c r="A1527" s="18" t="s">
        <v>3005</v>
      </c>
      <c r="B1527" s="19" t="s">
        <v>15</v>
      </c>
      <c r="C1527" s="18" t="s">
        <v>3009</v>
      </c>
      <c r="D1527" s="18" t="s">
        <v>116</v>
      </c>
      <c r="E1527" s="18" t="s">
        <v>55</v>
      </c>
      <c r="F1527" s="18" t="s">
        <v>3268</v>
      </c>
      <c r="G1527" s="18" t="s">
        <v>381</v>
      </c>
      <c r="H1527" s="18" t="s">
        <v>3007</v>
      </c>
      <c r="I1527" s="20" t="s">
        <v>3269</v>
      </c>
      <c r="J1527" s="18" t="s">
        <v>73</v>
      </c>
      <c r="K1527" s="18" t="s">
        <v>24</v>
      </c>
      <c r="L1527" s="18" t="s">
        <v>25</v>
      </c>
      <c r="N1527" s="18" t="s">
        <v>807</v>
      </c>
    </row>
    <row r="1528" spans="1:14" ht="15" customHeight="1" x14ac:dyDescent="0.3">
      <c r="A1528" s="18" t="s">
        <v>3005</v>
      </c>
      <c r="B1528" s="19" t="s">
        <v>15</v>
      </c>
      <c r="C1528" s="18" t="s">
        <v>3009</v>
      </c>
      <c r="D1528" s="18" t="s">
        <v>116</v>
      </c>
      <c r="E1528" s="18" t="s">
        <v>55</v>
      </c>
      <c r="F1528" s="18" t="s">
        <v>3270</v>
      </c>
      <c r="G1528" s="18" t="s">
        <v>381</v>
      </c>
      <c r="H1528" s="18" t="s">
        <v>3007</v>
      </c>
      <c r="I1528" s="20" t="s">
        <v>3271</v>
      </c>
      <c r="J1528" s="18" t="s">
        <v>73</v>
      </c>
      <c r="K1528" s="18" t="s">
        <v>24</v>
      </c>
      <c r="L1528" s="18" t="s">
        <v>25</v>
      </c>
      <c r="N1528" s="18" t="s">
        <v>807</v>
      </c>
    </row>
    <row r="1529" spans="1:14" ht="15" customHeight="1" x14ac:dyDescent="0.3">
      <c r="A1529" s="18" t="s">
        <v>3005</v>
      </c>
      <c r="B1529" s="19" t="s">
        <v>15</v>
      </c>
      <c r="C1529" s="18" t="s">
        <v>3009</v>
      </c>
      <c r="D1529" s="18" t="s">
        <v>116</v>
      </c>
      <c r="E1529" s="18" t="s">
        <v>55</v>
      </c>
      <c r="F1529" s="18" t="s">
        <v>3272</v>
      </c>
      <c r="G1529" s="18" t="s">
        <v>381</v>
      </c>
      <c r="H1529" s="18" t="s">
        <v>3007</v>
      </c>
      <c r="I1529" s="20" t="s">
        <v>3273</v>
      </c>
      <c r="J1529" s="18" t="s">
        <v>73</v>
      </c>
      <c r="K1529" s="18" t="s">
        <v>24</v>
      </c>
      <c r="L1529" s="18" t="s">
        <v>25</v>
      </c>
      <c r="N1529" s="18" t="s">
        <v>807</v>
      </c>
    </row>
    <row r="1530" spans="1:14" ht="15" customHeight="1" x14ac:dyDescent="0.3">
      <c r="A1530" s="18" t="s">
        <v>3005</v>
      </c>
      <c r="B1530" s="19" t="s">
        <v>15</v>
      </c>
      <c r="C1530" s="18" t="s">
        <v>3009</v>
      </c>
      <c r="D1530" s="18" t="s">
        <v>116</v>
      </c>
      <c r="E1530" s="18" t="s">
        <v>55</v>
      </c>
      <c r="F1530" s="18" t="s">
        <v>3274</v>
      </c>
      <c r="G1530" s="18" t="s">
        <v>381</v>
      </c>
      <c r="H1530" s="18" t="s">
        <v>3007</v>
      </c>
      <c r="I1530" s="20" t="s">
        <v>3275</v>
      </c>
      <c r="J1530" s="18" t="s">
        <v>58</v>
      </c>
      <c r="K1530" s="18" t="s">
        <v>24</v>
      </c>
      <c r="L1530" s="18" t="s">
        <v>25</v>
      </c>
      <c r="N1530" s="18" t="s">
        <v>807</v>
      </c>
    </row>
    <row r="1531" spans="1:14" ht="15" customHeight="1" x14ac:dyDescent="0.3">
      <c r="A1531" s="18" t="s">
        <v>3005</v>
      </c>
      <c r="B1531" s="19" t="s">
        <v>15</v>
      </c>
      <c r="C1531" s="18" t="s">
        <v>437</v>
      </c>
      <c r="D1531" s="18" t="s">
        <v>116</v>
      </c>
      <c r="E1531" s="18" t="s">
        <v>55</v>
      </c>
      <c r="F1531" s="18" t="s">
        <v>3276</v>
      </c>
      <c r="G1531" s="18" t="s">
        <v>381</v>
      </c>
      <c r="H1531" s="18" t="s">
        <v>3277</v>
      </c>
      <c r="I1531" s="20" t="s">
        <v>3278</v>
      </c>
      <c r="J1531" s="18" t="s">
        <v>73</v>
      </c>
      <c r="K1531" s="18" t="s">
        <v>293</v>
      </c>
      <c r="L1531" s="18" t="s">
        <v>25</v>
      </c>
      <c r="N1531" s="18" t="s">
        <v>441</v>
      </c>
    </row>
    <row r="1532" spans="1:14" ht="15" customHeight="1" x14ac:dyDescent="0.3">
      <c r="A1532" s="18" t="s">
        <v>3005</v>
      </c>
      <c r="B1532" s="19" t="s">
        <v>15</v>
      </c>
      <c r="C1532" s="18" t="s">
        <v>3009</v>
      </c>
      <c r="D1532" s="18" t="s">
        <v>116</v>
      </c>
      <c r="E1532" s="18" t="s">
        <v>55</v>
      </c>
      <c r="F1532" s="18" t="s">
        <v>383</v>
      </c>
      <c r="G1532" s="18" t="s">
        <v>381</v>
      </c>
      <c r="H1532" s="18" t="s">
        <v>3007</v>
      </c>
      <c r="I1532" s="20" t="s">
        <v>3279</v>
      </c>
      <c r="J1532" s="18" t="s">
        <v>73</v>
      </c>
      <c r="K1532" s="18" t="s">
        <v>24</v>
      </c>
      <c r="L1532" s="18" t="s">
        <v>25</v>
      </c>
      <c r="N1532" s="18" t="s">
        <v>807</v>
      </c>
    </row>
    <row r="1533" spans="1:14" ht="15" customHeight="1" x14ac:dyDescent="0.3">
      <c r="A1533" s="18" t="s">
        <v>3005</v>
      </c>
      <c r="B1533" s="19" t="s">
        <v>15</v>
      </c>
      <c r="C1533" s="18" t="s">
        <v>3009</v>
      </c>
      <c r="D1533" s="18" t="s">
        <v>116</v>
      </c>
      <c r="E1533" s="18" t="s">
        <v>55</v>
      </c>
      <c r="F1533" s="18" t="s">
        <v>404</v>
      </c>
      <c r="G1533" s="18" t="s">
        <v>381</v>
      </c>
      <c r="H1533" s="18" t="s">
        <v>3007</v>
      </c>
      <c r="I1533" s="20" t="s">
        <v>3280</v>
      </c>
      <c r="J1533" s="18" t="s">
        <v>58</v>
      </c>
      <c r="K1533" s="18" t="s">
        <v>24</v>
      </c>
      <c r="L1533" s="18" t="s">
        <v>25</v>
      </c>
      <c r="N1533" s="18" t="s">
        <v>807</v>
      </c>
    </row>
    <row r="1534" spans="1:14" ht="15" customHeight="1" x14ac:dyDescent="0.3">
      <c r="A1534" s="18" t="s">
        <v>3005</v>
      </c>
      <c r="B1534" s="19" t="s">
        <v>15</v>
      </c>
      <c r="C1534" s="18" t="s">
        <v>3009</v>
      </c>
      <c r="D1534" s="18" t="s">
        <v>116</v>
      </c>
      <c r="E1534" s="18" t="s">
        <v>55</v>
      </c>
      <c r="F1534" s="18" t="s">
        <v>385</v>
      </c>
      <c r="G1534" s="18" t="s">
        <v>381</v>
      </c>
      <c r="H1534" s="18" t="s">
        <v>3007</v>
      </c>
      <c r="I1534" s="20" t="s">
        <v>3281</v>
      </c>
      <c r="J1534" s="18" t="s">
        <v>73</v>
      </c>
      <c r="K1534" s="18" t="s">
        <v>24</v>
      </c>
      <c r="L1534" s="18" t="s">
        <v>25</v>
      </c>
      <c r="N1534" s="18" t="s">
        <v>807</v>
      </c>
    </row>
    <row r="1535" spans="1:14" ht="15" customHeight="1" x14ac:dyDescent="0.3">
      <c r="A1535" s="18" t="s">
        <v>3005</v>
      </c>
      <c r="B1535" s="19" t="s">
        <v>15</v>
      </c>
      <c r="C1535" s="18" t="s">
        <v>3009</v>
      </c>
      <c r="D1535" s="18" t="s">
        <v>116</v>
      </c>
      <c r="E1535" s="18" t="s">
        <v>55</v>
      </c>
      <c r="F1535" s="18" t="s">
        <v>3161</v>
      </c>
      <c r="G1535" s="18" t="s">
        <v>60</v>
      </c>
      <c r="H1535" s="18" t="s">
        <v>3016</v>
      </c>
      <c r="I1535" s="20" t="s">
        <v>3282</v>
      </c>
      <c r="J1535" s="18" t="s">
        <v>58</v>
      </c>
      <c r="K1535" s="18" t="s">
        <v>24</v>
      </c>
      <c r="L1535" s="18" t="s">
        <v>25</v>
      </c>
      <c r="N1535" s="18" t="s">
        <v>807</v>
      </c>
    </row>
    <row r="1536" spans="1:14" ht="15" customHeight="1" x14ac:dyDescent="0.3">
      <c r="A1536" s="18" t="s">
        <v>3005</v>
      </c>
      <c r="B1536" s="19" t="s">
        <v>15</v>
      </c>
      <c r="C1536" s="18" t="s">
        <v>3009</v>
      </c>
      <c r="D1536" s="18" t="s">
        <v>116</v>
      </c>
      <c r="E1536" s="18" t="s">
        <v>55</v>
      </c>
      <c r="F1536" s="18" t="s">
        <v>3283</v>
      </c>
      <c r="G1536" s="18" t="s">
        <v>212</v>
      </c>
      <c r="H1536" s="18" t="s">
        <v>3016</v>
      </c>
      <c r="I1536" s="20" t="s">
        <v>3284</v>
      </c>
      <c r="J1536" s="18" t="s">
        <v>58</v>
      </c>
      <c r="K1536" s="18" t="s">
        <v>24</v>
      </c>
      <c r="L1536" s="18" t="s">
        <v>25</v>
      </c>
      <c r="N1536" s="18" t="s">
        <v>807</v>
      </c>
    </row>
    <row r="1537" spans="1:14" ht="15" customHeight="1" x14ac:dyDescent="0.3">
      <c r="A1537" s="18" t="s">
        <v>3005</v>
      </c>
      <c r="B1537" s="19" t="s">
        <v>15</v>
      </c>
      <c r="C1537" s="18" t="s">
        <v>3009</v>
      </c>
      <c r="D1537" s="18" t="s">
        <v>116</v>
      </c>
      <c r="E1537" s="18" t="s">
        <v>55</v>
      </c>
      <c r="F1537" s="18" t="s">
        <v>1244</v>
      </c>
      <c r="G1537" s="18" t="s">
        <v>1204</v>
      </c>
      <c r="H1537" s="18" t="s">
        <v>3016</v>
      </c>
      <c r="I1537" s="20" t="s">
        <v>3285</v>
      </c>
      <c r="J1537" s="18" t="s">
        <v>58</v>
      </c>
      <c r="K1537" s="18" t="s">
        <v>24</v>
      </c>
      <c r="L1537" s="18" t="s">
        <v>25</v>
      </c>
      <c r="N1537" s="18" t="s">
        <v>807</v>
      </c>
    </row>
    <row r="1538" spans="1:14" ht="15" customHeight="1" x14ac:dyDescent="0.3">
      <c r="A1538" s="18" t="s">
        <v>3005</v>
      </c>
      <c r="B1538" s="19" t="s">
        <v>15</v>
      </c>
      <c r="C1538" s="18" t="s">
        <v>3009</v>
      </c>
      <c r="D1538" s="18" t="s">
        <v>116</v>
      </c>
      <c r="E1538" s="18" t="s">
        <v>55</v>
      </c>
      <c r="F1538" s="18" t="s">
        <v>1072</v>
      </c>
      <c r="G1538" s="18" t="s">
        <v>47</v>
      </c>
      <c r="H1538" s="18" t="s">
        <v>3016</v>
      </c>
      <c r="I1538" s="20" t="s">
        <v>3286</v>
      </c>
      <c r="J1538" s="18" t="s">
        <v>58</v>
      </c>
      <c r="K1538" s="18" t="s">
        <v>24</v>
      </c>
      <c r="L1538" s="18" t="s">
        <v>25</v>
      </c>
      <c r="N1538" s="18" t="s">
        <v>807</v>
      </c>
    </row>
    <row r="1539" spans="1:14" ht="15" customHeight="1" x14ac:dyDescent="0.3">
      <c r="A1539" s="18" t="s">
        <v>3005</v>
      </c>
      <c r="B1539" s="19" t="s">
        <v>15</v>
      </c>
      <c r="C1539" s="18" t="s">
        <v>3009</v>
      </c>
      <c r="D1539" s="18" t="s">
        <v>116</v>
      </c>
      <c r="E1539" s="18" t="s">
        <v>55</v>
      </c>
      <c r="F1539" s="18" t="s">
        <v>3287</v>
      </c>
      <c r="G1539" s="18" t="s">
        <v>35</v>
      </c>
      <c r="H1539" s="18" t="s">
        <v>3016</v>
      </c>
      <c r="I1539" s="20" t="s">
        <v>3288</v>
      </c>
      <c r="J1539" s="18" t="s">
        <v>58</v>
      </c>
      <c r="K1539" s="18" t="s">
        <v>24</v>
      </c>
      <c r="L1539" s="18" t="s">
        <v>25</v>
      </c>
      <c r="N1539" s="18" t="s">
        <v>807</v>
      </c>
    </row>
    <row r="1540" spans="1:14" ht="15" customHeight="1" x14ac:dyDescent="0.3">
      <c r="A1540" s="18" t="s">
        <v>3005</v>
      </c>
      <c r="B1540" s="19" t="s">
        <v>15</v>
      </c>
      <c r="C1540" s="18" t="s">
        <v>3009</v>
      </c>
      <c r="D1540" s="18" t="s">
        <v>116</v>
      </c>
      <c r="E1540" s="18" t="s">
        <v>55</v>
      </c>
      <c r="F1540" s="18" t="s">
        <v>3289</v>
      </c>
      <c r="G1540" s="18" t="s">
        <v>63</v>
      </c>
      <c r="H1540" s="18" t="s">
        <v>3016</v>
      </c>
      <c r="I1540" s="20" t="s">
        <v>3290</v>
      </c>
      <c r="J1540" s="18" t="s">
        <v>58</v>
      </c>
      <c r="K1540" s="18" t="s">
        <v>24</v>
      </c>
      <c r="L1540" s="18" t="s">
        <v>25</v>
      </c>
      <c r="N1540" s="18" t="s">
        <v>807</v>
      </c>
    </row>
    <row r="1541" spans="1:14" ht="15" customHeight="1" x14ac:dyDescent="0.3">
      <c r="A1541" s="18" t="s">
        <v>3005</v>
      </c>
      <c r="B1541" s="19" t="s">
        <v>15</v>
      </c>
      <c r="C1541" s="18" t="s">
        <v>3009</v>
      </c>
      <c r="D1541" s="18" t="s">
        <v>116</v>
      </c>
      <c r="E1541" s="18" t="s">
        <v>55</v>
      </c>
      <c r="F1541" s="18" t="s">
        <v>3170</v>
      </c>
      <c r="G1541" s="18" t="s">
        <v>1204</v>
      </c>
      <c r="H1541" s="18" t="s">
        <v>3016</v>
      </c>
      <c r="I1541" s="20" t="s">
        <v>3291</v>
      </c>
      <c r="J1541" s="18" t="s">
        <v>58</v>
      </c>
      <c r="K1541" s="18" t="s">
        <v>24</v>
      </c>
      <c r="L1541" s="18" t="s">
        <v>25</v>
      </c>
      <c r="N1541" s="18" t="s">
        <v>807</v>
      </c>
    </row>
    <row r="1542" spans="1:14" ht="15" customHeight="1" x14ac:dyDescent="0.3">
      <c r="A1542" s="18" t="s">
        <v>3005</v>
      </c>
      <c r="B1542" s="19" t="s">
        <v>15</v>
      </c>
      <c r="C1542" s="18" t="s">
        <v>3009</v>
      </c>
      <c r="D1542" s="18" t="s">
        <v>116</v>
      </c>
      <c r="E1542" s="18" t="s">
        <v>55</v>
      </c>
      <c r="F1542" s="18" t="s">
        <v>3292</v>
      </c>
      <c r="G1542" s="18" t="s">
        <v>63</v>
      </c>
      <c r="H1542" s="18" t="s">
        <v>3016</v>
      </c>
      <c r="I1542" s="20" t="s">
        <v>3293</v>
      </c>
      <c r="J1542" s="18" t="s">
        <v>58</v>
      </c>
      <c r="K1542" s="18" t="s">
        <v>24</v>
      </c>
      <c r="L1542" s="18" t="s">
        <v>25</v>
      </c>
      <c r="N1542" s="18" t="s">
        <v>807</v>
      </c>
    </row>
    <row r="1543" spans="1:14" ht="15" customHeight="1" x14ac:dyDescent="0.3">
      <c r="A1543" s="18" t="s">
        <v>3005</v>
      </c>
      <c r="B1543" s="19" t="s">
        <v>15</v>
      </c>
      <c r="C1543" s="18" t="s">
        <v>3009</v>
      </c>
      <c r="D1543" s="18" t="s">
        <v>116</v>
      </c>
      <c r="E1543" s="18" t="s">
        <v>55</v>
      </c>
      <c r="F1543" s="18" t="s">
        <v>3294</v>
      </c>
      <c r="G1543" s="18" t="s">
        <v>3295</v>
      </c>
      <c r="H1543" s="18" t="s">
        <v>3011</v>
      </c>
      <c r="I1543" s="20" t="s">
        <v>3296</v>
      </c>
      <c r="J1543" s="18" t="s">
        <v>73</v>
      </c>
      <c r="K1543" s="18" t="s">
        <v>24</v>
      </c>
      <c r="L1543" s="18" t="s">
        <v>25</v>
      </c>
      <c r="N1543" s="18" t="s">
        <v>807</v>
      </c>
    </row>
    <row r="1544" spans="1:14" ht="15" customHeight="1" x14ac:dyDescent="0.3">
      <c r="A1544" s="18" t="s">
        <v>3005</v>
      </c>
      <c r="B1544" s="19" t="s">
        <v>15</v>
      </c>
      <c r="C1544" s="18" t="s">
        <v>3009</v>
      </c>
      <c r="D1544" s="18" t="s">
        <v>116</v>
      </c>
      <c r="E1544" s="18" t="s">
        <v>55</v>
      </c>
      <c r="F1544" s="18" t="s">
        <v>281</v>
      </c>
      <c r="G1544" s="18" t="s">
        <v>1860</v>
      </c>
      <c r="H1544" s="18" t="s">
        <v>3011</v>
      </c>
      <c r="I1544" s="20" t="s">
        <v>3297</v>
      </c>
      <c r="J1544" s="18" t="s">
        <v>58</v>
      </c>
      <c r="K1544" s="18" t="s">
        <v>24</v>
      </c>
      <c r="L1544" s="18" t="s">
        <v>25</v>
      </c>
      <c r="N1544" s="18" t="s">
        <v>807</v>
      </c>
    </row>
    <row r="1545" spans="1:14" ht="15" customHeight="1" x14ac:dyDescent="0.3">
      <c r="A1545" s="18" t="s">
        <v>3005</v>
      </c>
      <c r="B1545" s="19" t="s">
        <v>15</v>
      </c>
      <c r="C1545" s="18" t="s">
        <v>3009</v>
      </c>
      <c r="D1545" s="18" t="s">
        <v>116</v>
      </c>
      <c r="E1545" s="18" t="s">
        <v>55</v>
      </c>
      <c r="F1545" s="18" t="s">
        <v>284</v>
      </c>
      <c r="G1545" s="18" t="s">
        <v>1860</v>
      </c>
      <c r="H1545" s="18" t="s">
        <v>3011</v>
      </c>
      <c r="I1545" s="20" t="s">
        <v>3298</v>
      </c>
      <c r="J1545" s="18" t="s">
        <v>58</v>
      </c>
      <c r="K1545" s="18" t="s">
        <v>24</v>
      </c>
      <c r="L1545" s="18" t="s">
        <v>25</v>
      </c>
      <c r="N1545" s="18" t="s">
        <v>807</v>
      </c>
    </row>
    <row r="1546" spans="1:14" ht="15" customHeight="1" x14ac:dyDescent="0.3">
      <c r="A1546" s="18" t="s">
        <v>3005</v>
      </c>
      <c r="B1546" s="19" t="s">
        <v>15</v>
      </c>
      <c r="C1546" s="18" t="s">
        <v>3009</v>
      </c>
      <c r="D1546" s="18" t="s">
        <v>116</v>
      </c>
      <c r="E1546" s="18" t="s">
        <v>55</v>
      </c>
      <c r="F1546" s="18" t="s">
        <v>3299</v>
      </c>
      <c r="G1546" s="18" t="s">
        <v>88</v>
      </c>
      <c r="H1546" s="18" t="s">
        <v>3016</v>
      </c>
      <c r="I1546" s="20" t="s">
        <v>3300</v>
      </c>
      <c r="J1546" s="18" t="s">
        <v>58</v>
      </c>
      <c r="K1546" s="18" t="s">
        <v>24</v>
      </c>
      <c r="L1546" s="18" t="s">
        <v>25</v>
      </c>
      <c r="N1546" s="18" t="s">
        <v>807</v>
      </c>
    </row>
    <row r="1547" spans="1:14" ht="15" customHeight="1" x14ac:dyDescent="0.3">
      <c r="A1547" s="18" t="s">
        <v>3005</v>
      </c>
      <c r="B1547" s="19" t="s">
        <v>15</v>
      </c>
      <c r="C1547" s="18" t="s">
        <v>3009</v>
      </c>
      <c r="D1547" s="18" t="s">
        <v>116</v>
      </c>
      <c r="E1547" s="18" t="s">
        <v>55</v>
      </c>
      <c r="F1547" s="18" t="s">
        <v>3301</v>
      </c>
      <c r="G1547" s="18" t="s">
        <v>564</v>
      </c>
      <c r="H1547" s="18" t="s">
        <v>3016</v>
      </c>
      <c r="I1547" s="20" t="s">
        <v>3302</v>
      </c>
      <c r="J1547" s="18" t="s">
        <v>58</v>
      </c>
      <c r="K1547" s="18" t="s">
        <v>24</v>
      </c>
      <c r="L1547" s="18" t="s">
        <v>25</v>
      </c>
      <c r="N1547" s="18" t="s">
        <v>807</v>
      </c>
    </row>
    <row r="1548" spans="1:14" ht="15" customHeight="1" x14ac:dyDescent="0.3">
      <c r="A1548" s="18" t="s">
        <v>3005</v>
      </c>
      <c r="B1548" s="19" t="s">
        <v>15</v>
      </c>
      <c r="C1548" s="18" t="s">
        <v>3009</v>
      </c>
      <c r="D1548" s="18" t="s">
        <v>116</v>
      </c>
      <c r="E1548" s="18" t="s">
        <v>55</v>
      </c>
      <c r="F1548" s="18" t="s">
        <v>580</v>
      </c>
      <c r="G1548" s="18" t="s">
        <v>20</v>
      </c>
      <c r="H1548" s="18" t="s">
        <v>3007</v>
      </c>
      <c r="I1548" s="20" t="s">
        <v>3303</v>
      </c>
      <c r="J1548" s="18" t="s">
        <v>58</v>
      </c>
      <c r="K1548" s="18" t="s">
        <v>24</v>
      </c>
      <c r="L1548" s="18" t="s">
        <v>25</v>
      </c>
      <c r="N1548" s="18" t="s">
        <v>807</v>
      </c>
    </row>
    <row r="1549" spans="1:14" ht="15" customHeight="1" x14ac:dyDescent="0.3">
      <c r="A1549" s="18" t="s">
        <v>3005</v>
      </c>
      <c r="B1549" s="19" t="s">
        <v>15</v>
      </c>
      <c r="C1549" s="18" t="s">
        <v>3013</v>
      </c>
      <c r="D1549" s="18" t="s">
        <v>116</v>
      </c>
      <c r="E1549" s="18" t="s">
        <v>55</v>
      </c>
      <c r="F1549" s="18" t="s">
        <v>628</v>
      </c>
      <c r="G1549" s="18" t="s">
        <v>1634</v>
      </c>
      <c r="H1549" s="18" t="s">
        <v>3014</v>
      </c>
      <c r="I1549" s="20" t="s">
        <v>3304</v>
      </c>
      <c r="J1549" s="18" t="s">
        <v>58</v>
      </c>
      <c r="K1549" s="18" t="s">
        <v>24</v>
      </c>
      <c r="L1549" s="18" t="s">
        <v>25</v>
      </c>
      <c r="N1549" s="18" t="s">
        <v>973</v>
      </c>
    </row>
    <row r="1550" spans="1:14" ht="15" customHeight="1" x14ac:dyDescent="0.3">
      <c r="A1550" s="18" t="s">
        <v>3005</v>
      </c>
      <c r="B1550" s="19" t="s">
        <v>15</v>
      </c>
      <c r="C1550" s="18" t="s">
        <v>3009</v>
      </c>
      <c r="D1550" s="18" t="s">
        <v>116</v>
      </c>
      <c r="E1550" s="18" t="s">
        <v>55</v>
      </c>
      <c r="F1550" s="18" t="s">
        <v>40</v>
      </c>
      <c r="G1550" s="18" t="s">
        <v>41</v>
      </c>
      <c r="H1550" s="18" t="s">
        <v>3016</v>
      </c>
      <c r="I1550" s="20" t="s">
        <v>3305</v>
      </c>
      <c r="J1550" s="18" t="s">
        <v>73</v>
      </c>
      <c r="K1550" s="18" t="s">
        <v>24</v>
      </c>
      <c r="L1550" s="18" t="s">
        <v>25</v>
      </c>
      <c r="N1550" s="18" t="s">
        <v>807</v>
      </c>
    </row>
    <row r="1551" spans="1:14" ht="15" customHeight="1" x14ac:dyDescent="0.3">
      <c r="A1551" s="18" t="s">
        <v>3005</v>
      </c>
      <c r="B1551" s="19" t="s">
        <v>15</v>
      </c>
      <c r="C1551" s="18" t="s">
        <v>3025</v>
      </c>
      <c r="D1551" s="18" t="s">
        <v>116</v>
      </c>
      <c r="E1551" s="18" t="s">
        <v>55</v>
      </c>
      <c r="F1551" s="18" t="s">
        <v>3306</v>
      </c>
      <c r="G1551" s="18" t="s">
        <v>160</v>
      </c>
      <c r="H1551" s="18" t="s">
        <v>3026</v>
      </c>
      <c r="I1551" s="20" t="s">
        <v>3307</v>
      </c>
      <c r="J1551" s="18" t="s">
        <v>58</v>
      </c>
      <c r="K1551" s="18" t="s">
        <v>24</v>
      </c>
      <c r="L1551" s="18" t="s">
        <v>25</v>
      </c>
      <c r="N1551" s="18" t="s">
        <v>973</v>
      </c>
    </row>
    <row r="1552" spans="1:14" ht="15" customHeight="1" x14ac:dyDescent="0.3">
      <c r="A1552" s="18" t="s">
        <v>3005</v>
      </c>
      <c r="B1552" s="19" t="s">
        <v>15</v>
      </c>
      <c r="C1552" s="18" t="s">
        <v>3013</v>
      </c>
      <c r="D1552" s="18" t="s">
        <v>116</v>
      </c>
      <c r="E1552" s="18" t="s">
        <v>55</v>
      </c>
      <c r="F1552" s="18" t="s">
        <v>1309</v>
      </c>
      <c r="G1552" s="18" t="s">
        <v>536</v>
      </c>
      <c r="H1552" s="18" t="s">
        <v>3014</v>
      </c>
      <c r="I1552" s="20" t="s">
        <v>3308</v>
      </c>
      <c r="J1552" s="18" t="s">
        <v>58</v>
      </c>
      <c r="K1552" s="18" t="s">
        <v>24</v>
      </c>
      <c r="L1552" s="18" t="s">
        <v>25</v>
      </c>
      <c r="N1552" s="18" t="s">
        <v>973</v>
      </c>
    </row>
    <row r="1553" spans="1:14" ht="15" customHeight="1" x14ac:dyDescent="0.3">
      <c r="A1553" s="18" t="s">
        <v>3005</v>
      </c>
      <c r="B1553" s="19" t="s">
        <v>15</v>
      </c>
      <c r="C1553" s="18" t="s">
        <v>3013</v>
      </c>
      <c r="D1553" s="18" t="s">
        <v>116</v>
      </c>
      <c r="E1553" s="18" t="s">
        <v>55</v>
      </c>
      <c r="F1553" s="18" t="s">
        <v>3309</v>
      </c>
      <c r="G1553" s="18" t="s">
        <v>913</v>
      </c>
      <c r="H1553" s="18" t="s">
        <v>3014</v>
      </c>
      <c r="I1553" s="20" t="s">
        <v>3310</v>
      </c>
      <c r="J1553" s="18" t="s">
        <v>58</v>
      </c>
      <c r="K1553" s="18" t="s">
        <v>24</v>
      </c>
      <c r="L1553" s="18" t="s">
        <v>25</v>
      </c>
      <c r="N1553" s="18" t="s">
        <v>973</v>
      </c>
    </row>
    <row r="1554" spans="1:14" ht="15" customHeight="1" x14ac:dyDescent="0.3">
      <c r="A1554" s="18" t="s">
        <v>3005</v>
      </c>
      <c r="B1554" s="19" t="s">
        <v>15</v>
      </c>
      <c r="C1554" s="18" t="s">
        <v>3009</v>
      </c>
      <c r="D1554" s="18" t="s">
        <v>116</v>
      </c>
      <c r="E1554" s="18" t="s">
        <v>55</v>
      </c>
      <c r="F1554" s="18" t="s">
        <v>3311</v>
      </c>
      <c r="G1554" s="18" t="s">
        <v>433</v>
      </c>
      <c r="H1554" s="18" t="s">
        <v>3016</v>
      </c>
      <c r="I1554" s="20" t="s">
        <v>3312</v>
      </c>
      <c r="J1554" s="18" t="s">
        <v>58</v>
      </c>
      <c r="K1554" s="18" t="s">
        <v>24</v>
      </c>
      <c r="L1554" s="18" t="s">
        <v>25</v>
      </c>
      <c r="M1554" s="18" t="s">
        <v>39</v>
      </c>
      <c r="N1554" s="18" t="s">
        <v>807</v>
      </c>
    </row>
    <row r="1555" spans="1:14" ht="15" customHeight="1" x14ac:dyDescent="0.3">
      <c r="A1555" s="18" t="s">
        <v>3005</v>
      </c>
      <c r="B1555" s="19" t="s">
        <v>15</v>
      </c>
      <c r="C1555" s="18" t="s">
        <v>3013</v>
      </c>
      <c r="D1555" s="18" t="s">
        <v>116</v>
      </c>
      <c r="E1555" s="18" t="s">
        <v>55</v>
      </c>
      <c r="F1555" s="18" t="s">
        <v>3313</v>
      </c>
      <c r="G1555" s="18" t="s">
        <v>536</v>
      </c>
      <c r="H1555" s="18" t="s">
        <v>3014</v>
      </c>
      <c r="I1555" s="20" t="s">
        <v>3314</v>
      </c>
      <c r="J1555" s="18" t="s">
        <v>58</v>
      </c>
      <c r="K1555" s="18" t="s">
        <v>24</v>
      </c>
      <c r="L1555" s="18" t="s">
        <v>25</v>
      </c>
      <c r="N1555" s="18" t="s">
        <v>973</v>
      </c>
    </row>
    <row r="1556" spans="1:14" ht="15" customHeight="1" x14ac:dyDescent="0.3">
      <c r="A1556" s="18" t="s">
        <v>3005</v>
      </c>
      <c r="B1556" s="19" t="s">
        <v>15</v>
      </c>
      <c r="C1556" s="18" t="s">
        <v>3013</v>
      </c>
      <c r="D1556" s="18" t="s">
        <v>116</v>
      </c>
      <c r="E1556" s="18" t="s">
        <v>55</v>
      </c>
      <c r="F1556" s="18" t="s">
        <v>1869</v>
      </c>
      <c r="G1556" s="18" t="s">
        <v>536</v>
      </c>
      <c r="H1556" s="18" t="s">
        <v>3014</v>
      </c>
      <c r="I1556" s="20" t="s">
        <v>3315</v>
      </c>
      <c r="J1556" s="18" t="s">
        <v>58</v>
      </c>
      <c r="K1556" s="18" t="s">
        <v>24</v>
      </c>
      <c r="L1556" s="18" t="s">
        <v>25</v>
      </c>
      <c r="N1556" s="18" t="s">
        <v>973</v>
      </c>
    </row>
    <row r="1557" spans="1:14" ht="15" customHeight="1" x14ac:dyDescent="0.3">
      <c r="A1557" s="18" t="s">
        <v>3005</v>
      </c>
      <c r="B1557" s="19" t="s">
        <v>15</v>
      </c>
      <c r="C1557" s="18" t="s">
        <v>3009</v>
      </c>
      <c r="D1557" s="18" t="s">
        <v>116</v>
      </c>
      <c r="E1557" s="18" t="s">
        <v>55</v>
      </c>
      <c r="F1557" s="18" t="s">
        <v>3316</v>
      </c>
      <c r="G1557" s="18" t="s">
        <v>913</v>
      </c>
      <c r="H1557" s="18" t="s">
        <v>3007</v>
      </c>
      <c r="I1557" s="20" t="s">
        <v>3317</v>
      </c>
      <c r="J1557" s="18" t="s">
        <v>58</v>
      </c>
      <c r="K1557" s="18" t="s">
        <v>91</v>
      </c>
      <c r="L1557" s="18" t="s">
        <v>25</v>
      </c>
      <c r="N1557" s="18" t="s">
        <v>807</v>
      </c>
    </row>
    <row r="1558" spans="1:14" ht="15" customHeight="1" x14ac:dyDescent="0.3">
      <c r="A1558" s="18" t="s">
        <v>3005</v>
      </c>
      <c r="B1558" s="19" t="s">
        <v>15</v>
      </c>
      <c r="C1558" s="18" t="s">
        <v>3009</v>
      </c>
      <c r="D1558" s="18" t="s">
        <v>116</v>
      </c>
      <c r="E1558" s="18" t="s">
        <v>55</v>
      </c>
      <c r="F1558" s="18" t="s">
        <v>3318</v>
      </c>
      <c r="G1558" s="18" t="s">
        <v>2245</v>
      </c>
      <c r="H1558" s="18" t="s">
        <v>3011</v>
      </c>
      <c r="I1558" s="20" t="s">
        <v>3319</v>
      </c>
      <c r="J1558" s="18" t="s">
        <v>58</v>
      </c>
      <c r="K1558" s="18" t="s">
        <v>24</v>
      </c>
      <c r="L1558" s="18" t="s">
        <v>25</v>
      </c>
      <c r="N1558" s="18" t="s">
        <v>807</v>
      </c>
    </row>
    <row r="1559" spans="1:14" ht="15" customHeight="1" x14ac:dyDescent="0.3">
      <c r="A1559" s="18" t="s">
        <v>3005</v>
      </c>
      <c r="B1559" s="19" t="s">
        <v>15</v>
      </c>
      <c r="C1559" s="18" t="s">
        <v>3009</v>
      </c>
      <c r="D1559" s="18" t="s">
        <v>116</v>
      </c>
      <c r="E1559" s="18" t="s">
        <v>55</v>
      </c>
      <c r="F1559" s="18" t="s">
        <v>3320</v>
      </c>
      <c r="G1559" s="18" t="s">
        <v>207</v>
      </c>
      <c r="H1559" s="18" t="s">
        <v>3016</v>
      </c>
      <c r="I1559" s="20" t="s">
        <v>3321</v>
      </c>
      <c r="J1559" s="18" t="s">
        <v>58</v>
      </c>
      <c r="K1559" s="18" t="s">
        <v>24</v>
      </c>
      <c r="L1559" s="18" t="s">
        <v>25</v>
      </c>
      <c r="N1559" s="18" t="s">
        <v>807</v>
      </c>
    </row>
    <row r="1560" spans="1:14" ht="15" customHeight="1" x14ac:dyDescent="0.3">
      <c r="A1560" s="18" t="s">
        <v>3005</v>
      </c>
      <c r="B1560" s="19" t="s">
        <v>15</v>
      </c>
      <c r="C1560" s="18" t="s">
        <v>3013</v>
      </c>
      <c r="D1560" s="18" t="s">
        <v>116</v>
      </c>
      <c r="E1560" s="18" t="s">
        <v>55</v>
      </c>
      <c r="F1560" s="18" t="s">
        <v>3322</v>
      </c>
      <c r="G1560" s="18" t="s">
        <v>207</v>
      </c>
      <c r="H1560" s="18" t="s">
        <v>3014</v>
      </c>
      <c r="I1560" s="20" t="s">
        <v>3323</v>
      </c>
      <c r="J1560" s="18" t="s">
        <v>58</v>
      </c>
      <c r="K1560" s="18" t="s">
        <v>24</v>
      </c>
      <c r="L1560" s="18" t="s">
        <v>25</v>
      </c>
      <c r="N1560" s="18" t="s">
        <v>973</v>
      </c>
    </row>
    <row r="1561" spans="1:14" ht="15" customHeight="1" x14ac:dyDescent="0.3">
      <c r="A1561" s="18" t="s">
        <v>3005</v>
      </c>
      <c r="B1561" s="19" t="s">
        <v>15</v>
      </c>
      <c r="C1561" s="18" t="s">
        <v>3009</v>
      </c>
      <c r="D1561" s="18" t="s">
        <v>116</v>
      </c>
      <c r="E1561" s="18" t="s">
        <v>55</v>
      </c>
      <c r="F1561" s="18" t="s">
        <v>3324</v>
      </c>
      <c r="G1561" s="18" t="s">
        <v>263</v>
      </c>
      <c r="H1561" s="18" t="s">
        <v>3011</v>
      </c>
      <c r="I1561" s="20" t="s">
        <v>3325</v>
      </c>
      <c r="J1561" s="18" t="s">
        <v>58</v>
      </c>
      <c r="K1561" s="18" t="s">
        <v>24</v>
      </c>
      <c r="L1561" s="18" t="s">
        <v>25</v>
      </c>
      <c r="N1561" s="18" t="s">
        <v>807</v>
      </c>
    </row>
    <row r="1562" spans="1:14" ht="15" customHeight="1" x14ac:dyDescent="0.3">
      <c r="A1562" s="18" t="s">
        <v>3005</v>
      </c>
      <c r="B1562" s="19" t="s">
        <v>15</v>
      </c>
      <c r="C1562" s="18" t="s">
        <v>3009</v>
      </c>
      <c r="D1562" s="18" t="s">
        <v>116</v>
      </c>
      <c r="E1562" s="18" t="s">
        <v>55</v>
      </c>
      <c r="F1562" s="18" t="s">
        <v>3326</v>
      </c>
      <c r="G1562" s="18" t="s">
        <v>219</v>
      </c>
      <c r="H1562" s="18" t="s">
        <v>3016</v>
      </c>
      <c r="I1562" s="20" t="s">
        <v>3327</v>
      </c>
      <c r="J1562" s="18" t="s">
        <v>58</v>
      </c>
      <c r="K1562" s="18" t="s">
        <v>24</v>
      </c>
      <c r="L1562" s="18" t="s">
        <v>25</v>
      </c>
      <c r="N1562" s="18" t="s">
        <v>807</v>
      </c>
    </row>
    <row r="1563" spans="1:14" ht="15" customHeight="1" x14ac:dyDescent="0.3">
      <c r="A1563" s="18" t="s">
        <v>3005</v>
      </c>
      <c r="B1563" s="19" t="s">
        <v>15</v>
      </c>
      <c r="C1563" s="18" t="s">
        <v>3009</v>
      </c>
      <c r="D1563" s="18" t="s">
        <v>116</v>
      </c>
      <c r="E1563" s="18" t="s">
        <v>55</v>
      </c>
      <c r="F1563" s="18" t="s">
        <v>3328</v>
      </c>
      <c r="G1563" s="18" t="s">
        <v>1019</v>
      </c>
      <c r="H1563" s="18" t="s">
        <v>3011</v>
      </c>
      <c r="I1563" s="20" t="s">
        <v>3329</v>
      </c>
      <c r="J1563" s="18" t="s">
        <v>58</v>
      </c>
      <c r="K1563" s="18" t="s">
        <v>24</v>
      </c>
      <c r="L1563" s="18" t="s">
        <v>25</v>
      </c>
      <c r="N1563" s="18" t="s">
        <v>807</v>
      </c>
    </row>
    <row r="1564" spans="1:14" ht="15" customHeight="1" x14ac:dyDescent="0.3">
      <c r="A1564" s="18" t="s">
        <v>3005</v>
      </c>
      <c r="B1564" s="19" t="s">
        <v>15</v>
      </c>
      <c r="C1564" s="18" t="s">
        <v>3009</v>
      </c>
      <c r="D1564" s="18" t="s">
        <v>116</v>
      </c>
      <c r="E1564" s="18" t="s">
        <v>55</v>
      </c>
      <c r="F1564" s="18" t="s">
        <v>3330</v>
      </c>
      <c r="G1564" s="18" t="s">
        <v>619</v>
      </c>
      <c r="H1564" s="18" t="s">
        <v>3016</v>
      </c>
      <c r="I1564" s="20" t="s">
        <v>3331</v>
      </c>
      <c r="J1564" s="18" t="s">
        <v>58</v>
      </c>
      <c r="K1564" s="18" t="s">
        <v>24</v>
      </c>
      <c r="L1564" s="18" t="s">
        <v>25</v>
      </c>
      <c r="N1564" s="18" t="s">
        <v>807</v>
      </c>
    </row>
    <row r="1565" spans="1:14" ht="15" customHeight="1" x14ac:dyDescent="0.3">
      <c r="A1565" s="18" t="s">
        <v>3005</v>
      </c>
      <c r="B1565" s="19" t="s">
        <v>15</v>
      </c>
      <c r="C1565" s="18" t="s">
        <v>3009</v>
      </c>
      <c r="D1565" s="18" t="s">
        <v>116</v>
      </c>
      <c r="E1565" s="18" t="s">
        <v>55</v>
      </c>
      <c r="F1565" s="18" t="s">
        <v>3332</v>
      </c>
      <c r="G1565" s="18" t="s">
        <v>1502</v>
      </c>
      <c r="H1565" s="18" t="s">
        <v>3016</v>
      </c>
      <c r="I1565" s="20" t="s">
        <v>3333</v>
      </c>
      <c r="J1565" s="18" t="s">
        <v>73</v>
      </c>
      <c r="K1565" s="18" t="s">
        <v>24</v>
      </c>
      <c r="L1565" s="18" t="s">
        <v>25</v>
      </c>
      <c r="N1565" s="18" t="s">
        <v>807</v>
      </c>
    </row>
    <row r="1566" spans="1:14" ht="15" customHeight="1" x14ac:dyDescent="0.3">
      <c r="A1566" s="18" t="s">
        <v>3005</v>
      </c>
      <c r="B1566" s="19" t="s">
        <v>15</v>
      </c>
      <c r="C1566" s="18" t="s">
        <v>3009</v>
      </c>
      <c r="D1566" s="18" t="s">
        <v>116</v>
      </c>
      <c r="E1566" s="18" t="s">
        <v>55</v>
      </c>
      <c r="F1566" s="18" t="s">
        <v>3334</v>
      </c>
      <c r="G1566" s="18" t="s">
        <v>20</v>
      </c>
      <c r="H1566" s="18" t="s">
        <v>3007</v>
      </c>
      <c r="I1566" s="20" t="s">
        <v>3335</v>
      </c>
      <c r="J1566" s="18" t="s">
        <v>73</v>
      </c>
      <c r="K1566" s="18" t="s">
        <v>24</v>
      </c>
      <c r="L1566" s="18" t="s">
        <v>25</v>
      </c>
      <c r="N1566" s="18" t="s">
        <v>807</v>
      </c>
    </row>
    <row r="1567" spans="1:14" ht="15" customHeight="1" x14ac:dyDescent="0.3">
      <c r="A1567" s="18" t="s">
        <v>3005</v>
      </c>
      <c r="B1567" s="19" t="s">
        <v>15</v>
      </c>
      <c r="C1567" s="18" t="s">
        <v>3009</v>
      </c>
      <c r="D1567" s="18" t="s">
        <v>116</v>
      </c>
      <c r="E1567" s="18" t="s">
        <v>55</v>
      </c>
      <c r="F1567" s="18" t="s">
        <v>3336</v>
      </c>
      <c r="G1567" s="18" t="s">
        <v>20</v>
      </c>
      <c r="H1567" s="18" t="s">
        <v>3007</v>
      </c>
      <c r="I1567" s="20" t="s">
        <v>3337</v>
      </c>
      <c r="J1567" s="18" t="s">
        <v>73</v>
      </c>
      <c r="K1567" s="18" t="s">
        <v>91</v>
      </c>
      <c r="L1567" s="18" t="s">
        <v>25</v>
      </c>
      <c r="N1567" s="18" t="s">
        <v>807</v>
      </c>
    </row>
    <row r="1568" spans="1:14" ht="15" customHeight="1" x14ac:dyDescent="0.3">
      <c r="A1568" s="18" t="s">
        <v>3005</v>
      </c>
      <c r="B1568" s="19" t="s">
        <v>15</v>
      </c>
      <c r="C1568" s="18" t="s">
        <v>3013</v>
      </c>
      <c r="D1568" s="18" t="s">
        <v>116</v>
      </c>
      <c r="E1568" s="18" t="s">
        <v>55</v>
      </c>
      <c r="F1568" s="18" t="s">
        <v>3338</v>
      </c>
      <c r="G1568" s="18" t="s">
        <v>536</v>
      </c>
      <c r="H1568" s="18" t="s">
        <v>3014</v>
      </c>
      <c r="I1568" s="20" t="s">
        <v>3339</v>
      </c>
      <c r="J1568" s="18" t="s">
        <v>58</v>
      </c>
      <c r="K1568" s="18" t="s">
        <v>24</v>
      </c>
      <c r="L1568" s="18" t="s">
        <v>25</v>
      </c>
      <c r="M1568" s="18" t="s">
        <v>39</v>
      </c>
      <c r="N1568" s="18" t="s">
        <v>973</v>
      </c>
    </row>
    <row r="1569" spans="1:14" ht="15" customHeight="1" x14ac:dyDescent="0.3">
      <c r="A1569" s="18" t="s">
        <v>3005</v>
      </c>
      <c r="B1569" s="19" t="s">
        <v>15</v>
      </c>
      <c r="C1569" s="18" t="s">
        <v>3009</v>
      </c>
      <c r="D1569" s="18" t="s">
        <v>116</v>
      </c>
      <c r="E1569" s="18" t="s">
        <v>55</v>
      </c>
      <c r="F1569" s="18" t="s">
        <v>3340</v>
      </c>
      <c r="G1569" s="18" t="s">
        <v>273</v>
      </c>
      <c r="H1569" s="18" t="s">
        <v>3011</v>
      </c>
      <c r="I1569" s="20" t="s">
        <v>3341</v>
      </c>
      <c r="J1569" s="18" t="s">
        <v>58</v>
      </c>
      <c r="K1569" s="18" t="s">
        <v>293</v>
      </c>
      <c r="L1569" s="18" t="s">
        <v>25</v>
      </c>
      <c r="N1569" s="18" t="s">
        <v>807</v>
      </c>
    </row>
    <row r="1570" spans="1:14" ht="15" customHeight="1" x14ac:dyDescent="0.3">
      <c r="A1570" s="18" t="s">
        <v>3005</v>
      </c>
      <c r="B1570" s="19" t="s">
        <v>15</v>
      </c>
      <c r="C1570" s="18" t="s">
        <v>3009</v>
      </c>
      <c r="D1570" s="18" t="s">
        <v>116</v>
      </c>
      <c r="E1570" s="18" t="s">
        <v>74</v>
      </c>
      <c r="F1570" s="18" t="s">
        <v>3342</v>
      </c>
      <c r="G1570" s="18" t="s">
        <v>41</v>
      </c>
      <c r="H1570" s="18" t="s">
        <v>3343</v>
      </c>
      <c r="I1570" s="20" t="s">
        <v>3344</v>
      </c>
      <c r="J1570" s="18" t="s">
        <v>3345</v>
      </c>
      <c r="K1570" s="18" t="s">
        <v>24</v>
      </c>
      <c r="L1570" s="18" t="s">
        <v>25</v>
      </c>
      <c r="N1570" s="18" t="s">
        <v>807</v>
      </c>
    </row>
    <row r="1571" spans="1:14" ht="15" customHeight="1" x14ac:dyDescent="0.3">
      <c r="A1571" s="18" t="s">
        <v>3005</v>
      </c>
      <c r="B1571" s="19" t="s">
        <v>15</v>
      </c>
      <c r="C1571" s="18" t="s">
        <v>3346</v>
      </c>
      <c r="D1571" s="18" t="s">
        <v>116</v>
      </c>
      <c r="E1571" s="18" t="s">
        <v>74</v>
      </c>
      <c r="F1571" s="18" t="s">
        <v>3347</v>
      </c>
      <c r="G1571" s="18" t="s">
        <v>1009</v>
      </c>
      <c r="H1571" s="18" t="s">
        <v>3348</v>
      </c>
      <c r="I1571" s="20" t="s">
        <v>3349</v>
      </c>
      <c r="J1571" s="18" t="s">
        <v>3350</v>
      </c>
      <c r="K1571" s="18" t="s">
        <v>293</v>
      </c>
      <c r="L1571" s="18" t="s">
        <v>25</v>
      </c>
      <c r="N1571" s="18" t="s">
        <v>820</v>
      </c>
    </row>
    <row r="1572" spans="1:14" ht="15" customHeight="1" x14ac:dyDescent="0.3">
      <c r="A1572" s="18" t="s">
        <v>3005</v>
      </c>
      <c r="B1572" s="19" t="s">
        <v>15</v>
      </c>
      <c r="C1572" s="18" t="s">
        <v>3346</v>
      </c>
      <c r="D1572" s="18" t="s">
        <v>116</v>
      </c>
      <c r="E1572" s="18" t="s">
        <v>74</v>
      </c>
      <c r="F1572" s="18" t="s">
        <v>3351</v>
      </c>
      <c r="G1572" s="18" t="s">
        <v>2245</v>
      </c>
      <c r="H1572" s="18" t="s">
        <v>3348</v>
      </c>
      <c r="I1572" s="20" t="s">
        <v>3352</v>
      </c>
      <c r="J1572" s="18" t="s">
        <v>199</v>
      </c>
      <c r="K1572" s="18" t="s">
        <v>24</v>
      </c>
      <c r="L1572" s="18" t="s">
        <v>25</v>
      </c>
      <c r="N1572" s="18" t="s">
        <v>820</v>
      </c>
    </row>
    <row r="1573" spans="1:14" ht="15" customHeight="1" x14ac:dyDescent="0.3">
      <c r="A1573" s="18" t="s">
        <v>3005</v>
      </c>
      <c r="B1573" s="19" t="s">
        <v>15</v>
      </c>
      <c r="C1573" s="18" t="s">
        <v>3009</v>
      </c>
      <c r="D1573" s="18" t="s">
        <v>116</v>
      </c>
      <c r="E1573" s="18" t="s">
        <v>74</v>
      </c>
      <c r="F1573" s="18" t="s">
        <v>3353</v>
      </c>
      <c r="G1573" s="18" t="s">
        <v>913</v>
      </c>
      <c r="H1573" s="18" t="s">
        <v>3354</v>
      </c>
      <c r="I1573" s="20" t="s">
        <v>3355</v>
      </c>
      <c r="J1573" s="18" t="s">
        <v>3356</v>
      </c>
      <c r="K1573" s="18" t="s">
        <v>24</v>
      </c>
      <c r="L1573" s="18" t="s">
        <v>25</v>
      </c>
      <c r="N1573" s="18" t="s">
        <v>807</v>
      </c>
    </row>
    <row r="1574" spans="1:14" ht="15" customHeight="1" x14ac:dyDescent="0.3">
      <c r="A1574" s="18" t="s">
        <v>3005</v>
      </c>
      <c r="B1574" s="19" t="s">
        <v>15</v>
      </c>
      <c r="C1574" s="18" t="s">
        <v>3009</v>
      </c>
      <c r="D1574" s="18" t="s">
        <v>116</v>
      </c>
      <c r="E1574" s="18" t="s">
        <v>74</v>
      </c>
      <c r="F1574" s="18" t="s">
        <v>3357</v>
      </c>
      <c r="G1574" s="18" t="s">
        <v>85</v>
      </c>
      <c r="H1574" s="18" t="s">
        <v>3354</v>
      </c>
      <c r="I1574" s="20" t="s">
        <v>3358</v>
      </c>
      <c r="J1574" s="18" t="s">
        <v>1128</v>
      </c>
      <c r="K1574" s="18" t="s">
        <v>24</v>
      </c>
      <c r="L1574" s="18" t="s">
        <v>25</v>
      </c>
      <c r="N1574" s="18" t="s">
        <v>807</v>
      </c>
    </row>
    <row r="1575" spans="1:14" ht="15" customHeight="1" x14ac:dyDescent="0.3">
      <c r="A1575" s="18" t="s">
        <v>3005</v>
      </c>
      <c r="B1575" s="19" t="s">
        <v>15</v>
      </c>
      <c r="C1575" s="18" t="s">
        <v>3009</v>
      </c>
      <c r="D1575" s="18" t="s">
        <v>116</v>
      </c>
      <c r="E1575" s="18" t="s">
        <v>74</v>
      </c>
      <c r="F1575" s="18" t="s">
        <v>3359</v>
      </c>
      <c r="G1575" s="18" t="s">
        <v>41</v>
      </c>
      <c r="H1575" s="18" t="s">
        <v>3360</v>
      </c>
      <c r="I1575" s="20" t="s">
        <v>3361</v>
      </c>
      <c r="J1575" s="18" t="s">
        <v>1128</v>
      </c>
      <c r="K1575" s="18" t="s">
        <v>293</v>
      </c>
      <c r="L1575" s="18" t="s">
        <v>25</v>
      </c>
      <c r="N1575" s="18" t="s">
        <v>807</v>
      </c>
    </row>
    <row r="1576" spans="1:14" ht="15" customHeight="1" x14ac:dyDescent="0.3">
      <c r="A1576" s="18" t="s">
        <v>3005</v>
      </c>
      <c r="B1576" s="19" t="s">
        <v>15</v>
      </c>
      <c r="C1576" s="18" t="s">
        <v>3346</v>
      </c>
      <c r="D1576" s="18" t="s">
        <v>116</v>
      </c>
      <c r="E1576" s="18" t="s">
        <v>74</v>
      </c>
      <c r="F1576" s="18" t="s">
        <v>3362</v>
      </c>
      <c r="G1576" s="18" t="s">
        <v>41</v>
      </c>
      <c r="H1576" s="18" t="s">
        <v>3348</v>
      </c>
      <c r="I1576" s="20" t="s">
        <v>3363</v>
      </c>
      <c r="J1576" s="18" t="s">
        <v>3364</v>
      </c>
      <c r="K1576" s="18" t="s">
        <v>293</v>
      </c>
      <c r="L1576" s="18" t="s">
        <v>25</v>
      </c>
      <c r="N1576" s="18" t="s">
        <v>820</v>
      </c>
    </row>
    <row r="1577" spans="1:14" ht="15" customHeight="1" x14ac:dyDescent="0.3">
      <c r="A1577" s="18" t="s">
        <v>3005</v>
      </c>
      <c r="B1577" s="19" t="s">
        <v>15</v>
      </c>
      <c r="C1577" s="18" t="s">
        <v>3346</v>
      </c>
      <c r="D1577" s="18" t="s">
        <v>116</v>
      </c>
      <c r="E1577" s="18" t="s">
        <v>74</v>
      </c>
      <c r="F1577" s="18" t="s">
        <v>3365</v>
      </c>
      <c r="G1577" s="18" t="s">
        <v>88</v>
      </c>
      <c r="H1577" s="18" t="s">
        <v>3348</v>
      </c>
      <c r="I1577" s="20" t="s">
        <v>3366</v>
      </c>
      <c r="J1577" s="18" t="s">
        <v>3364</v>
      </c>
      <c r="K1577" s="18" t="s">
        <v>91</v>
      </c>
      <c r="L1577" s="18" t="s">
        <v>25</v>
      </c>
      <c r="N1577" s="18" t="s">
        <v>820</v>
      </c>
    </row>
    <row r="1578" spans="1:14" ht="15" customHeight="1" x14ac:dyDescent="0.3">
      <c r="A1578" s="18" t="s">
        <v>3005</v>
      </c>
      <c r="B1578" s="19" t="s">
        <v>15</v>
      </c>
      <c r="C1578" s="18" t="s">
        <v>3346</v>
      </c>
      <c r="D1578" s="18" t="s">
        <v>116</v>
      </c>
      <c r="E1578" s="18" t="s">
        <v>74</v>
      </c>
      <c r="F1578" s="18" t="s">
        <v>3367</v>
      </c>
      <c r="G1578" s="18" t="s">
        <v>88</v>
      </c>
      <c r="H1578" s="18" t="s">
        <v>3348</v>
      </c>
      <c r="I1578" s="20" t="s">
        <v>3368</v>
      </c>
      <c r="J1578" s="18" t="s">
        <v>3364</v>
      </c>
      <c r="K1578" s="18" t="s">
        <v>91</v>
      </c>
      <c r="L1578" s="18" t="s">
        <v>25</v>
      </c>
      <c r="N1578" s="18" t="s">
        <v>820</v>
      </c>
    </row>
    <row r="1579" spans="1:14" ht="15" customHeight="1" x14ac:dyDescent="0.3">
      <c r="A1579" s="18" t="s">
        <v>3005</v>
      </c>
      <c r="B1579" s="19" t="s">
        <v>15</v>
      </c>
      <c r="C1579" s="18" t="s">
        <v>3009</v>
      </c>
      <c r="D1579" s="18" t="s">
        <v>116</v>
      </c>
      <c r="E1579" s="18" t="s">
        <v>74</v>
      </c>
      <c r="F1579" s="18" t="s">
        <v>3369</v>
      </c>
      <c r="G1579" s="18" t="s">
        <v>1104</v>
      </c>
      <c r="H1579" s="18" t="s">
        <v>3370</v>
      </c>
      <c r="I1579" s="20" t="s">
        <v>3371</v>
      </c>
      <c r="J1579" s="18" t="s">
        <v>1128</v>
      </c>
      <c r="K1579" s="18" t="s">
        <v>24</v>
      </c>
      <c r="L1579" s="18" t="s">
        <v>25</v>
      </c>
      <c r="N1579" s="18" t="s">
        <v>807</v>
      </c>
    </row>
    <row r="1580" spans="1:14" ht="15" customHeight="1" x14ac:dyDescent="0.3">
      <c r="A1580" s="18" t="s">
        <v>3005</v>
      </c>
      <c r="B1580" s="19" t="s">
        <v>15</v>
      </c>
      <c r="C1580" s="18" t="s">
        <v>3009</v>
      </c>
      <c r="D1580" s="18" t="s">
        <v>116</v>
      </c>
      <c r="E1580" s="18" t="s">
        <v>74</v>
      </c>
      <c r="F1580" s="18" t="s">
        <v>3372</v>
      </c>
      <c r="G1580" s="18" t="s">
        <v>1019</v>
      </c>
      <c r="H1580" s="18" t="s">
        <v>3373</v>
      </c>
      <c r="I1580" s="20" t="s">
        <v>3374</v>
      </c>
      <c r="J1580" s="18" t="s">
        <v>1128</v>
      </c>
      <c r="K1580" s="18" t="s">
        <v>24</v>
      </c>
      <c r="L1580" s="18" t="s">
        <v>25</v>
      </c>
      <c r="N1580" s="18" t="s">
        <v>807</v>
      </c>
    </row>
    <row r="1581" spans="1:14" ht="15" customHeight="1" x14ac:dyDescent="0.3">
      <c r="A1581" s="18" t="s">
        <v>3005</v>
      </c>
      <c r="B1581" s="19" t="s">
        <v>15</v>
      </c>
      <c r="C1581" s="18" t="s">
        <v>3009</v>
      </c>
      <c r="D1581" s="18" t="s">
        <v>116</v>
      </c>
      <c r="E1581" s="18" t="s">
        <v>74</v>
      </c>
      <c r="F1581" s="18" t="s">
        <v>3375</v>
      </c>
      <c r="G1581" s="18" t="s">
        <v>619</v>
      </c>
      <c r="H1581" s="18" t="s">
        <v>3354</v>
      </c>
      <c r="I1581" s="20" t="s">
        <v>3376</v>
      </c>
      <c r="J1581" s="18" t="s">
        <v>1128</v>
      </c>
      <c r="K1581" s="18" t="s">
        <v>24</v>
      </c>
      <c r="L1581" s="18" t="s">
        <v>25</v>
      </c>
      <c r="N1581" s="18" t="s">
        <v>807</v>
      </c>
    </row>
    <row r="1582" spans="1:14" ht="15" customHeight="1" x14ac:dyDescent="0.3">
      <c r="A1582" s="18" t="s">
        <v>3005</v>
      </c>
      <c r="B1582" s="19" t="s">
        <v>15</v>
      </c>
      <c r="C1582" s="18" t="s">
        <v>3009</v>
      </c>
      <c r="D1582" s="18" t="s">
        <v>116</v>
      </c>
      <c r="E1582" s="18" t="s">
        <v>74</v>
      </c>
      <c r="F1582" s="18" t="s">
        <v>3377</v>
      </c>
      <c r="G1582" s="18" t="s">
        <v>619</v>
      </c>
      <c r="H1582" s="18" t="s">
        <v>3354</v>
      </c>
      <c r="I1582" s="20" t="s">
        <v>3378</v>
      </c>
      <c r="J1582" s="18" t="s">
        <v>1128</v>
      </c>
      <c r="K1582" s="18" t="s">
        <v>24</v>
      </c>
      <c r="L1582" s="18" t="s">
        <v>25</v>
      </c>
      <c r="N1582" s="18" t="s">
        <v>807</v>
      </c>
    </row>
    <row r="1583" spans="1:14" ht="15" customHeight="1" x14ac:dyDescent="0.3">
      <c r="A1583" s="18" t="s">
        <v>3005</v>
      </c>
      <c r="B1583" s="19" t="s">
        <v>15</v>
      </c>
      <c r="C1583" s="18" t="s">
        <v>3009</v>
      </c>
      <c r="D1583" s="18" t="s">
        <v>116</v>
      </c>
      <c r="E1583" s="18" t="s">
        <v>74</v>
      </c>
      <c r="F1583" s="18" t="s">
        <v>3379</v>
      </c>
      <c r="G1583" s="18" t="s">
        <v>2245</v>
      </c>
      <c r="H1583" s="18" t="s">
        <v>3380</v>
      </c>
      <c r="I1583" s="20" t="s">
        <v>3381</v>
      </c>
      <c r="J1583" s="18" t="s">
        <v>1128</v>
      </c>
      <c r="K1583" s="18" t="s">
        <v>24</v>
      </c>
      <c r="L1583" s="18" t="s">
        <v>25</v>
      </c>
      <c r="N1583" s="18" t="s">
        <v>807</v>
      </c>
    </row>
    <row r="1584" spans="1:14" ht="15" customHeight="1" x14ac:dyDescent="0.3">
      <c r="A1584" s="18" t="s">
        <v>3005</v>
      </c>
      <c r="B1584" s="19" t="s">
        <v>15</v>
      </c>
      <c r="C1584" s="18" t="s">
        <v>3009</v>
      </c>
      <c r="D1584" s="18" t="s">
        <v>116</v>
      </c>
      <c r="E1584" s="18" t="s">
        <v>74</v>
      </c>
      <c r="F1584" s="18" t="s">
        <v>3382</v>
      </c>
      <c r="G1584" s="18" t="s">
        <v>1102</v>
      </c>
      <c r="H1584" s="18" t="s">
        <v>3380</v>
      </c>
      <c r="I1584" s="20" t="s">
        <v>3383</v>
      </c>
      <c r="J1584" s="18" t="s">
        <v>1128</v>
      </c>
      <c r="K1584" s="18" t="s">
        <v>24</v>
      </c>
      <c r="L1584" s="18" t="s">
        <v>25</v>
      </c>
      <c r="N1584" s="18" t="s">
        <v>807</v>
      </c>
    </row>
    <row r="1585" spans="1:14" ht="15" customHeight="1" x14ac:dyDescent="0.3">
      <c r="A1585" s="18" t="s">
        <v>3005</v>
      </c>
      <c r="B1585" s="19" t="s">
        <v>15</v>
      </c>
      <c r="C1585" s="18" t="s">
        <v>3009</v>
      </c>
      <c r="D1585" s="18" t="s">
        <v>116</v>
      </c>
      <c r="E1585" s="18" t="s">
        <v>74</v>
      </c>
      <c r="F1585" s="18" t="s">
        <v>3384</v>
      </c>
      <c r="G1585" s="18" t="s">
        <v>273</v>
      </c>
      <c r="H1585" s="18" t="s">
        <v>3380</v>
      </c>
      <c r="I1585" s="20" t="s">
        <v>3385</v>
      </c>
      <c r="J1585" s="18" t="s">
        <v>1128</v>
      </c>
      <c r="K1585" s="18" t="s">
        <v>24</v>
      </c>
      <c r="L1585" s="18" t="s">
        <v>25</v>
      </c>
      <c r="N1585" s="18" t="s">
        <v>807</v>
      </c>
    </row>
    <row r="1586" spans="1:14" ht="15" customHeight="1" x14ac:dyDescent="0.3">
      <c r="A1586" s="18" t="s">
        <v>3005</v>
      </c>
      <c r="B1586" s="19" t="s">
        <v>15</v>
      </c>
      <c r="C1586" s="18" t="s">
        <v>3009</v>
      </c>
      <c r="D1586" s="18" t="s">
        <v>116</v>
      </c>
      <c r="E1586" s="18" t="s">
        <v>74</v>
      </c>
      <c r="F1586" s="18" t="s">
        <v>3386</v>
      </c>
      <c r="G1586" s="18" t="s">
        <v>273</v>
      </c>
      <c r="H1586" s="18" t="s">
        <v>3380</v>
      </c>
      <c r="I1586" s="20" t="s">
        <v>3387</v>
      </c>
      <c r="J1586" s="18" t="s">
        <v>1128</v>
      </c>
      <c r="K1586" s="18" t="s">
        <v>24</v>
      </c>
      <c r="L1586" s="18" t="s">
        <v>25</v>
      </c>
      <c r="N1586" s="18" t="s">
        <v>807</v>
      </c>
    </row>
    <row r="1587" spans="1:14" ht="15" customHeight="1" x14ac:dyDescent="0.3">
      <c r="A1587" s="18" t="s">
        <v>3005</v>
      </c>
      <c r="B1587" s="19" t="s">
        <v>15</v>
      </c>
      <c r="C1587" s="18" t="s">
        <v>3009</v>
      </c>
      <c r="D1587" s="18" t="s">
        <v>116</v>
      </c>
      <c r="E1587" s="18" t="s">
        <v>74</v>
      </c>
      <c r="F1587" s="18" t="s">
        <v>3388</v>
      </c>
      <c r="G1587" s="18" t="s">
        <v>423</v>
      </c>
      <c r="H1587" s="18" t="s">
        <v>3389</v>
      </c>
      <c r="I1587" s="20" t="s">
        <v>3390</v>
      </c>
      <c r="J1587" s="18" t="s">
        <v>1128</v>
      </c>
      <c r="K1587" s="18" t="s">
        <v>24</v>
      </c>
      <c r="L1587" s="18" t="s">
        <v>25</v>
      </c>
      <c r="N1587" s="18" t="s">
        <v>807</v>
      </c>
    </row>
    <row r="1588" spans="1:14" ht="15" customHeight="1" x14ac:dyDescent="0.3">
      <c r="A1588" s="18" t="s">
        <v>3005</v>
      </c>
      <c r="B1588" s="19" t="s">
        <v>15</v>
      </c>
      <c r="C1588" s="18" t="s">
        <v>3009</v>
      </c>
      <c r="D1588" s="18" t="s">
        <v>116</v>
      </c>
      <c r="E1588" s="18" t="s">
        <v>74</v>
      </c>
      <c r="F1588" s="18" t="s">
        <v>793</v>
      </c>
      <c r="G1588" s="18" t="s">
        <v>381</v>
      </c>
      <c r="H1588" s="18" t="s">
        <v>3391</v>
      </c>
      <c r="I1588" s="20" t="s">
        <v>3392</v>
      </c>
      <c r="J1588" s="18" t="s">
        <v>1128</v>
      </c>
      <c r="K1588" s="18" t="s">
        <v>24</v>
      </c>
      <c r="L1588" s="18" t="s">
        <v>25</v>
      </c>
      <c r="N1588" s="18" t="s">
        <v>807</v>
      </c>
    </row>
    <row r="1589" spans="1:14" ht="15" customHeight="1" x14ac:dyDescent="0.3">
      <c r="A1589" s="18" t="s">
        <v>3005</v>
      </c>
      <c r="B1589" s="19" t="s">
        <v>15</v>
      </c>
      <c r="C1589" s="18" t="s">
        <v>3009</v>
      </c>
      <c r="D1589" s="18" t="s">
        <v>116</v>
      </c>
      <c r="E1589" s="18" t="s">
        <v>74</v>
      </c>
      <c r="F1589" s="18" t="s">
        <v>3393</v>
      </c>
      <c r="G1589" s="18" t="s">
        <v>381</v>
      </c>
      <c r="H1589" s="18" t="s">
        <v>3391</v>
      </c>
      <c r="I1589" s="20" t="s">
        <v>3394</v>
      </c>
      <c r="J1589" s="18" t="s">
        <v>1128</v>
      </c>
      <c r="K1589" s="18" t="s">
        <v>24</v>
      </c>
      <c r="L1589" s="18" t="s">
        <v>25</v>
      </c>
      <c r="N1589" s="18" t="s">
        <v>807</v>
      </c>
    </row>
    <row r="1590" spans="1:14" ht="15" customHeight="1" x14ac:dyDescent="0.3">
      <c r="A1590" s="18" t="s">
        <v>3005</v>
      </c>
      <c r="B1590" s="19" t="s">
        <v>15</v>
      </c>
      <c r="C1590" s="18" t="s">
        <v>3346</v>
      </c>
      <c r="D1590" s="18" t="s">
        <v>116</v>
      </c>
      <c r="E1590" s="18" t="s">
        <v>74</v>
      </c>
      <c r="F1590" s="18" t="s">
        <v>1692</v>
      </c>
      <c r="G1590" s="18" t="s">
        <v>536</v>
      </c>
      <c r="H1590" s="18" t="s">
        <v>3380</v>
      </c>
      <c r="I1590" s="20" t="s">
        <v>3395</v>
      </c>
      <c r="J1590" s="18" t="s">
        <v>199</v>
      </c>
      <c r="K1590" s="18" t="s">
        <v>24</v>
      </c>
      <c r="L1590" s="18" t="s">
        <v>25</v>
      </c>
      <c r="N1590" s="18" t="s">
        <v>820</v>
      </c>
    </row>
    <row r="1591" spans="1:14" ht="15" customHeight="1" x14ac:dyDescent="0.3">
      <c r="A1591" s="18" t="s">
        <v>3005</v>
      </c>
      <c r="B1591" s="19" t="s">
        <v>15</v>
      </c>
      <c r="C1591" s="18" t="s">
        <v>3009</v>
      </c>
      <c r="D1591" s="18" t="s">
        <v>116</v>
      </c>
      <c r="E1591" s="18" t="s">
        <v>74</v>
      </c>
      <c r="F1591" s="18" t="s">
        <v>3396</v>
      </c>
      <c r="G1591" s="18" t="s">
        <v>1069</v>
      </c>
      <c r="H1591" s="18" t="s">
        <v>3380</v>
      </c>
      <c r="I1591" s="20" t="s">
        <v>3397</v>
      </c>
      <c r="J1591" s="18" t="s">
        <v>1128</v>
      </c>
      <c r="K1591" s="18" t="s">
        <v>24</v>
      </c>
      <c r="L1591" s="18" t="s">
        <v>25</v>
      </c>
      <c r="N1591" s="18" t="s">
        <v>807</v>
      </c>
    </row>
    <row r="1592" spans="1:14" ht="15" customHeight="1" x14ac:dyDescent="0.3">
      <c r="A1592" s="18" t="s">
        <v>3005</v>
      </c>
      <c r="B1592" s="19" t="s">
        <v>15</v>
      </c>
      <c r="C1592" s="18" t="s">
        <v>3009</v>
      </c>
      <c r="D1592" s="18" t="s">
        <v>116</v>
      </c>
      <c r="E1592" s="18" t="s">
        <v>74</v>
      </c>
      <c r="F1592" s="18" t="s">
        <v>3398</v>
      </c>
      <c r="G1592" s="18" t="s">
        <v>85</v>
      </c>
      <c r="H1592" s="18" t="s">
        <v>3354</v>
      </c>
      <c r="I1592" s="20" t="s">
        <v>3399</v>
      </c>
      <c r="J1592" s="18" t="s">
        <v>1128</v>
      </c>
      <c r="K1592" s="18" t="s">
        <v>24</v>
      </c>
      <c r="L1592" s="18" t="s">
        <v>25</v>
      </c>
      <c r="N1592" s="18" t="s">
        <v>807</v>
      </c>
    </row>
    <row r="1593" spans="1:14" ht="15" customHeight="1" x14ac:dyDescent="0.3">
      <c r="A1593" s="18" t="s">
        <v>3005</v>
      </c>
      <c r="B1593" s="19" t="s">
        <v>15</v>
      </c>
      <c r="C1593" s="18" t="s">
        <v>3009</v>
      </c>
      <c r="D1593" s="18" t="s">
        <v>116</v>
      </c>
      <c r="E1593" s="18" t="s">
        <v>74</v>
      </c>
      <c r="F1593" s="18" t="s">
        <v>3400</v>
      </c>
      <c r="G1593" s="18" t="s">
        <v>41</v>
      </c>
      <c r="H1593" s="18" t="s">
        <v>3360</v>
      </c>
      <c r="I1593" s="20" t="s">
        <v>3401</v>
      </c>
      <c r="J1593" s="18" t="s">
        <v>3402</v>
      </c>
      <c r="K1593" s="18" t="s">
        <v>24</v>
      </c>
      <c r="L1593" s="18" t="s">
        <v>25</v>
      </c>
      <c r="N1593" s="18" t="s">
        <v>807</v>
      </c>
    </row>
    <row r="1594" spans="1:14" ht="15" customHeight="1" x14ac:dyDescent="0.3">
      <c r="A1594" s="18" t="s">
        <v>3005</v>
      </c>
      <c r="B1594" s="19" t="s">
        <v>15</v>
      </c>
      <c r="C1594" s="18" t="s">
        <v>3346</v>
      </c>
      <c r="D1594" s="18" t="s">
        <v>116</v>
      </c>
      <c r="E1594" s="18" t="s">
        <v>74</v>
      </c>
      <c r="F1594" s="18" t="s">
        <v>3403</v>
      </c>
      <c r="G1594" s="18" t="s">
        <v>41</v>
      </c>
      <c r="H1594" s="18" t="s">
        <v>3348</v>
      </c>
      <c r="I1594" s="20" t="s">
        <v>3404</v>
      </c>
      <c r="J1594" s="18" t="s">
        <v>3405</v>
      </c>
      <c r="K1594" s="18" t="s">
        <v>24</v>
      </c>
      <c r="L1594" s="18" t="s">
        <v>25</v>
      </c>
      <c r="N1594" s="18" t="s">
        <v>820</v>
      </c>
    </row>
    <row r="1595" spans="1:14" ht="15" customHeight="1" x14ac:dyDescent="0.3">
      <c r="A1595" s="18" t="s">
        <v>3005</v>
      </c>
      <c r="B1595" s="19" t="s">
        <v>15</v>
      </c>
      <c r="C1595" s="18" t="s">
        <v>3009</v>
      </c>
      <c r="D1595" s="18" t="s">
        <v>116</v>
      </c>
      <c r="E1595" s="18" t="s">
        <v>74</v>
      </c>
      <c r="F1595" s="18" t="s">
        <v>3406</v>
      </c>
      <c r="G1595" s="18" t="s">
        <v>41</v>
      </c>
      <c r="H1595" s="18" t="s">
        <v>3354</v>
      </c>
      <c r="I1595" s="20" t="s">
        <v>3407</v>
      </c>
      <c r="J1595" s="18" t="s">
        <v>1128</v>
      </c>
      <c r="K1595" s="18" t="s">
        <v>24</v>
      </c>
      <c r="L1595" s="18" t="s">
        <v>25</v>
      </c>
      <c r="N1595" s="18" t="s">
        <v>807</v>
      </c>
    </row>
    <row r="1596" spans="1:14" ht="15" customHeight="1" x14ac:dyDescent="0.3">
      <c r="A1596" s="18" t="s">
        <v>3005</v>
      </c>
      <c r="B1596" s="19" t="s">
        <v>15</v>
      </c>
      <c r="C1596" s="18" t="s">
        <v>3009</v>
      </c>
      <c r="D1596" s="18" t="s">
        <v>116</v>
      </c>
      <c r="E1596" s="18" t="s">
        <v>74</v>
      </c>
      <c r="F1596" s="18" t="s">
        <v>3408</v>
      </c>
      <c r="G1596" s="18" t="s">
        <v>41</v>
      </c>
      <c r="H1596" s="18" t="s">
        <v>3409</v>
      </c>
      <c r="I1596" s="20" t="s">
        <v>3410</v>
      </c>
      <c r="J1596" s="18" t="s">
        <v>1128</v>
      </c>
      <c r="K1596" s="18" t="s">
        <v>24</v>
      </c>
      <c r="L1596" s="18" t="s">
        <v>25</v>
      </c>
      <c r="N1596" s="18" t="s">
        <v>807</v>
      </c>
    </row>
    <row r="1597" spans="1:14" ht="15" customHeight="1" x14ac:dyDescent="0.3">
      <c r="A1597" s="18" t="s">
        <v>3005</v>
      </c>
      <c r="B1597" s="19" t="s">
        <v>15</v>
      </c>
      <c r="C1597" s="18" t="s">
        <v>3346</v>
      </c>
      <c r="D1597" s="18" t="s">
        <v>116</v>
      </c>
      <c r="E1597" s="18" t="s">
        <v>74</v>
      </c>
      <c r="F1597" s="18" t="s">
        <v>3411</v>
      </c>
      <c r="G1597" s="18" t="s">
        <v>1204</v>
      </c>
      <c r="H1597" s="18" t="s">
        <v>3348</v>
      </c>
      <c r="I1597" s="20" t="s">
        <v>3412</v>
      </c>
      <c r="J1597" s="18" t="s">
        <v>3413</v>
      </c>
      <c r="K1597" s="18" t="s">
        <v>24</v>
      </c>
      <c r="L1597" s="18" t="s">
        <v>25</v>
      </c>
      <c r="N1597" s="18" t="s">
        <v>820</v>
      </c>
    </row>
    <row r="1598" spans="1:14" ht="15" customHeight="1" x14ac:dyDescent="0.3">
      <c r="A1598" s="18" t="s">
        <v>3005</v>
      </c>
      <c r="B1598" s="19" t="s">
        <v>15</v>
      </c>
      <c r="C1598" s="18" t="s">
        <v>3009</v>
      </c>
      <c r="D1598" s="18" t="s">
        <v>116</v>
      </c>
      <c r="E1598" s="18" t="s">
        <v>74</v>
      </c>
      <c r="F1598" s="18" t="s">
        <v>3414</v>
      </c>
      <c r="G1598" s="18" t="s">
        <v>47</v>
      </c>
      <c r="H1598" s="18" t="s">
        <v>3354</v>
      </c>
      <c r="I1598" s="20" t="s">
        <v>3415</v>
      </c>
      <c r="J1598" s="18" t="s">
        <v>1128</v>
      </c>
      <c r="K1598" s="18" t="s">
        <v>24</v>
      </c>
      <c r="L1598" s="18" t="s">
        <v>25</v>
      </c>
      <c r="N1598" s="18" t="s">
        <v>807</v>
      </c>
    </row>
    <row r="1599" spans="1:14" ht="15" customHeight="1" x14ac:dyDescent="0.3">
      <c r="A1599" s="18" t="s">
        <v>3005</v>
      </c>
      <c r="B1599" s="19" t="s">
        <v>15</v>
      </c>
      <c r="C1599" s="18" t="s">
        <v>3346</v>
      </c>
      <c r="D1599" s="18" t="s">
        <v>116</v>
      </c>
      <c r="E1599" s="18" t="s">
        <v>74</v>
      </c>
      <c r="F1599" s="18" t="s">
        <v>3416</v>
      </c>
      <c r="G1599" s="18" t="s">
        <v>433</v>
      </c>
      <c r="H1599" s="18" t="s">
        <v>3380</v>
      </c>
      <c r="I1599" s="20" t="s">
        <v>3417</v>
      </c>
      <c r="J1599" s="18" t="s">
        <v>3418</v>
      </c>
      <c r="K1599" s="18" t="s">
        <v>24</v>
      </c>
      <c r="L1599" s="18" t="s">
        <v>25</v>
      </c>
      <c r="N1599" s="18" t="s">
        <v>820</v>
      </c>
    </row>
    <row r="1600" spans="1:14" ht="15" customHeight="1" x14ac:dyDescent="0.3">
      <c r="A1600" s="18" t="s">
        <v>3005</v>
      </c>
      <c r="B1600" s="19" t="s">
        <v>15</v>
      </c>
      <c r="C1600" s="18" t="s">
        <v>3009</v>
      </c>
      <c r="D1600" s="18" t="s">
        <v>116</v>
      </c>
      <c r="E1600" s="18" t="s">
        <v>74</v>
      </c>
      <c r="F1600" s="18" t="s">
        <v>3419</v>
      </c>
      <c r="G1600" s="18" t="s">
        <v>41</v>
      </c>
      <c r="H1600" s="18" t="s">
        <v>3360</v>
      </c>
      <c r="I1600" s="20" t="s">
        <v>3420</v>
      </c>
      <c r="J1600" s="18" t="s">
        <v>1128</v>
      </c>
      <c r="K1600" s="18" t="s">
        <v>24</v>
      </c>
      <c r="L1600" s="18" t="s">
        <v>25</v>
      </c>
      <c r="N1600" s="18" t="s">
        <v>807</v>
      </c>
    </row>
    <row r="1601" spans="1:14" ht="15" customHeight="1" x14ac:dyDescent="0.3">
      <c r="A1601" s="18" t="s">
        <v>3005</v>
      </c>
      <c r="B1601" s="19" t="s">
        <v>15</v>
      </c>
      <c r="C1601" s="18" t="s">
        <v>3009</v>
      </c>
      <c r="D1601" s="18" t="s">
        <v>116</v>
      </c>
      <c r="E1601" s="18" t="s">
        <v>74</v>
      </c>
      <c r="F1601" s="18" t="s">
        <v>3421</v>
      </c>
      <c r="G1601" s="18" t="s">
        <v>207</v>
      </c>
      <c r="H1601" s="18" t="s">
        <v>3360</v>
      </c>
      <c r="I1601" s="20" t="s">
        <v>3422</v>
      </c>
      <c r="J1601" s="18" t="s">
        <v>199</v>
      </c>
      <c r="K1601" s="18" t="s">
        <v>24</v>
      </c>
      <c r="L1601" s="18" t="s">
        <v>25</v>
      </c>
      <c r="N1601" s="18" t="s">
        <v>807</v>
      </c>
    </row>
    <row r="1602" spans="1:14" ht="15" customHeight="1" x14ac:dyDescent="0.3">
      <c r="A1602" s="18" t="s">
        <v>3005</v>
      </c>
      <c r="B1602" s="19" t="s">
        <v>15</v>
      </c>
      <c r="C1602" s="18" t="s">
        <v>3346</v>
      </c>
      <c r="D1602" s="18" t="s">
        <v>116</v>
      </c>
      <c r="E1602" s="18" t="s">
        <v>74</v>
      </c>
      <c r="F1602" s="18" t="s">
        <v>3423</v>
      </c>
      <c r="G1602" s="18" t="s">
        <v>207</v>
      </c>
      <c r="H1602" s="18" t="s">
        <v>3348</v>
      </c>
      <c r="I1602" s="20" t="s">
        <v>3424</v>
      </c>
      <c r="J1602" s="18" t="s">
        <v>3425</v>
      </c>
      <c r="K1602" s="18" t="s">
        <v>24</v>
      </c>
      <c r="L1602" s="18" t="s">
        <v>25</v>
      </c>
      <c r="N1602" s="18" t="s">
        <v>820</v>
      </c>
    </row>
    <row r="1603" spans="1:14" ht="15" customHeight="1" x14ac:dyDescent="0.3">
      <c r="A1603" s="18" t="s">
        <v>3005</v>
      </c>
      <c r="B1603" s="19" t="s">
        <v>15</v>
      </c>
      <c r="C1603" s="18" t="s">
        <v>3346</v>
      </c>
      <c r="D1603" s="18" t="s">
        <v>116</v>
      </c>
      <c r="E1603" s="18" t="s">
        <v>74</v>
      </c>
      <c r="F1603" s="18" t="s">
        <v>3426</v>
      </c>
      <c r="G1603" s="18" t="s">
        <v>536</v>
      </c>
      <c r="H1603" s="18" t="s">
        <v>3380</v>
      </c>
      <c r="I1603" s="20" t="s">
        <v>3427</v>
      </c>
      <c r="J1603" s="18" t="s">
        <v>3428</v>
      </c>
      <c r="K1603" s="18" t="s">
        <v>24</v>
      </c>
      <c r="L1603" s="18" t="s">
        <v>25</v>
      </c>
      <c r="N1603" s="18" t="s">
        <v>820</v>
      </c>
    </row>
    <row r="1604" spans="1:14" ht="15" customHeight="1" x14ac:dyDescent="0.3">
      <c r="A1604" s="18" t="s">
        <v>3005</v>
      </c>
      <c r="B1604" s="19" t="s">
        <v>15</v>
      </c>
      <c r="C1604" s="18" t="s">
        <v>3009</v>
      </c>
      <c r="D1604" s="18" t="s">
        <v>116</v>
      </c>
      <c r="E1604" s="18" t="s">
        <v>74</v>
      </c>
      <c r="F1604" s="18" t="s">
        <v>3429</v>
      </c>
      <c r="G1604" s="18" t="s">
        <v>1026</v>
      </c>
      <c r="H1604" s="18" t="s">
        <v>3430</v>
      </c>
      <c r="I1604" s="20" t="s">
        <v>3431</v>
      </c>
      <c r="J1604" s="18" t="s">
        <v>1128</v>
      </c>
      <c r="K1604" s="18" t="s">
        <v>24</v>
      </c>
      <c r="L1604" s="18" t="s">
        <v>25</v>
      </c>
      <c r="N1604" s="18" t="s">
        <v>807</v>
      </c>
    </row>
    <row r="1605" spans="1:14" ht="15" customHeight="1" x14ac:dyDescent="0.3">
      <c r="A1605" s="18" t="s">
        <v>3005</v>
      </c>
      <c r="B1605" s="19" t="s">
        <v>15</v>
      </c>
      <c r="C1605" s="18" t="s">
        <v>3009</v>
      </c>
      <c r="D1605" s="18" t="s">
        <v>116</v>
      </c>
      <c r="E1605" s="18" t="s">
        <v>74</v>
      </c>
      <c r="F1605" s="18" t="s">
        <v>3432</v>
      </c>
      <c r="G1605" s="18" t="s">
        <v>433</v>
      </c>
      <c r="H1605" s="18" t="s">
        <v>3391</v>
      </c>
      <c r="I1605" s="20" t="s">
        <v>3433</v>
      </c>
      <c r="J1605" s="18" t="s">
        <v>1128</v>
      </c>
      <c r="K1605" s="18" t="s">
        <v>24</v>
      </c>
      <c r="L1605" s="18" t="s">
        <v>25</v>
      </c>
      <c r="N1605" s="18" t="s">
        <v>807</v>
      </c>
    </row>
    <row r="1606" spans="1:14" ht="15" customHeight="1" x14ac:dyDescent="0.3">
      <c r="A1606" s="18" t="s">
        <v>3005</v>
      </c>
      <c r="B1606" s="19" t="s">
        <v>15</v>
      </c>
      <c r="C1606" s="18" t="s">
        <v>3009</v>
      </c>
      <c r="D1606" s="18" t="s">
        <v>116</v>
      </c>
      <c r="E1606" s="18" t="s">
        <v>74</v>
      </c>
      <c r="F1606" s="18" t="s">
        <v>3434</v>
      </c>
      <c r="G1606" s="18" t="s">
        <v>340</v>
      </c>
      <c r="H1606" s="18" t="s">
        <v>3435</v>
      </c>
      <c r="I1606" s="20" t="s">
        <v>3436</v>
      </c>
      <c r="J1606" s="18" t="s">
        <v>1128</v>
      </c>
      <c r="K1606" s="18" t="s">
        <v>24</v>
      </c>
      <c r="L1606" s="18" t="s">
        <v>25</v>
      </c>
      <c r="N1606" s="18" t="s">
        <v>807</v>
      </c>
    </row>
    <row r="1607" spans="1:14" ht="15" customHeight="1" x14ac:dyDescent="0.3">
      <c r="A1607" s="18" t="s">
        <v>3005</v>
      </c>
      <c r="B1607" s="19" t="s">
        <v>15</v>
      </c>
      <c r="C1607" s="18" t="s">
        <v>149</v>
      </c>
      <c r="D1607" s="18" t="s">
        <v>116</v>
      </c>
      <c r="E1607" s="18" t="s">
        <v>74</v>
      </c>
      <c r="F1607" s="18" t="s">
        <v>3437</v>
      </c>
      <c r="G1607" s="18" t="s">
        <v>619</v>
      </c>
      <c r="H1607" s="18" t="s">
        <v>3354</v>
      </c>
      <c r="I1607" s="20" t="s">
        <v>3438</v>
      </c>
      <c r="J1607" s="18" t="s">
        <v>832</v>
      </c>
      <c r="K1607" s="18" t="s">
        <v>293</v>
      </c>
      <c r="L1607" s="18" t="s">
        <v>25</v>
      </c>
      <c r="N1607" s="18" t="s">
        <v>154</v>
      </c>
    </row>
    <row r="1608" spans="1:14" ht="15" customHeight="1" x14ac:dyDescent="0.3">
      <c r="A1608" s="18" t="s">
        <v>3005</v>
      </c>
      <c r="B1608" s="19" t="s">
        <v>15</v>
      </c>
      <c r="C1608" s="18" t="s">
        <v>3009</v>
      </c>
      <c r="D1608" s="18" t="s">
        <v>116</v>
      </c>
      <c r="E1608" s="18" t="s">
        <v>74</v>
      </c>
      <c r="F1608" s="18" t="s">
        <v>3439</v>
      </c>
      <c r="G1608" s="18" t="s">
        <v>619</v>
      </c>
      <c r="H1608" s="18" t="s">
        <v>3354</v>
      </c>
      <c r="I1608" s="20" t="s">
        <v>3440</v>
      </c>
      <c r="J1608" s="18" t="s">
        <v>1128</v>
      </c>
      <c r="K1608" s="18" t="s">
        <v>24</v>
      </c>
      <c r="L1608" s="18" t="s">
        <v>25</v>
      </c>
      <c r="N1608" s="18" t="s">
        <v>807</v>
      </c>
    </row>
    <row r="1609" spans="1:14" ht="15" customHeight="1" x14ac:dyDescent="0.3">
      <c r="A1609" s="18" t="s">
        <v>3005</v>
      </c>
      <c r="B1609" s="19" t="s">
        <v>15</v>
      </c>
      <c r="C1609" s="18" t="s">
        <v>3346</v>
      </c>
      <c r="D1609" s="18" t="s">
        <v>116</v>
      </c>
      <c r="E1609" s="18" t="s">
        <v>74</v>
      </c>
      <c r="F1609" s="18" t="s">
        <v>3441</v>
      </c>
      <c r="G1609" s="18" t="s">
        <v>1204</v>
      </c>
      <c r="H1609" s="18" t="s">
        <v>3348</v>
      </c>
      <c r="I1609" s="20" t="s">
        <v>3442</v>
      </c>
      <c r="J1609" s="18" t="s">
        <v>3364</v>
      </c>
      <c r="K1609" s="18" t="s">
        <v>91</v>
      </c>
      <c r="L1609" s="18" t="s">
        <v>25</v>
      </c>
      <c r="N1609" s="18" t="s">
        <v>820</v>
      </c>
    </row>
    <row r="1610" spans="1:14" ht="15" customHeight="1" x14ac:dyDescent="0.3">
      <c r="A1610" s="18" t="s">
        <v>3005</v>
      </c>
      <c r="B1610" s="19" t="s">
        <v>15</v>
      </c>
      <c r="C1610" s="18" t="s">
        <v>3009</v>
      </c>
      <c r="D1610" s="18" t="s">
        <v>116</v>
      </c>
      <c r="E1610" s="18" t="s">
        <v>74</v>
      </c>
      <c r="F1610" s="18" t="s">
        <v>3443</v>
      </c>
      <c r="G1610" s="18" t="s">
        <v>41</v>
      </c>
      <c r="H1610" s="18" t="s">
        <v>3370</v>
      </c>
      <c r="I1610" s="20" t="s">
        <v>3444</v>
      </c>
      <c r="J1610" s="18" t="s">
        <v>1128</v>
      </c>
      <c r="K1610" s="18" t="s">
        <v>24</v>
      </c>
      <c r="L1610" s="18" t="s">
        <v>25</v>
      </c>
      <c r="N1610" s="18" t="s">
        <v>807</v>
      </c>
    </row>
    <row r="1611" spans="1:14" ht="15" customHeight="1" x14ac:dyDescent="0.3">
      <c r="A1611" s="18" t="s">
        <v>3005</v>
      </c>
      <c r="B1611" s="19" t="s">
        <v>15</v>
      </c>
      <c r="C1611" s="18" t="s">
        <v>3009</v>
      </c>
      <c r="D1611" s="18" t="s">
        <v>116</v>
      </c>
      <c r="E1611" s="18" t="s">
        <v>74</v>
      </c>
      <c r="F1611" s="18" t="s">
        <v>3445</v>
      </c>
      <c r="G1611" s="18" t="s">
        <v>20</v>
      </c>
      <c r="H1611" s="18" t="s">
        <v>3380</v>
      </c>
      <c r="I1611" s="20" t="s">
        <v>3446</v>
      </c>
      <c r="J1611" s="18" t="s">
        <v>1128</v>
      </c>
      <c r="K1611" s="18" t="s">
        <v>24</v>
      </c>
      <c r="L1611" s="18" t="s">
        <v>25</v>
      </c>
      <c r="N1611" s="18" t="s">
        <v>807</v>
      </c>
    </row>
    <row r="1612" spans="1:14" ht="15" customHeight="1" x14ac:dyDescent="0.3">
      <c r="A1612" s="18" t="s">
        <v>3005</v>
      </c>
      <c r="B1612" s="19" t="s">
        <v>15</v>
      </c>
      <c r="C1612" s="18" t="s">
        <v>3009</v>
      </c>
      <c r="D1612" s="18" t="s">
        <v>116</v>
      </c>
      <c r="E1612" s="18" t="s">
        <v>74</v>
      </c>
      <c r="F1612" s="18" t="s">
        <v>3447</v>
      </c>
      <c r="G1612" s="18" t="s">
        <v>1502</v>
      </c>
      <c r="H1612" s="18" t="s">
        <v>3354</v>
      </c>
      <c r="I1612" s="20" t="s">
        <v>3448</v>
      </c>
      <c r="J1612" s="18" t="s">
        <v>1128</v>
      </c>
      <c r="K1612" s="18" t="s">
        <v>24</v>
      </c>
      <c r="L1612" s="18" t="s">
        <v>25</v>
      </c>
      <c r="N1612" s="18" t="s">
        <v>807</v>
      </c>
    </row>
    <row r="1613" spans="1:14" ht="15" customHeight="1" x14ac:dyDescent="0.3">
      <c r="A1613" s="18" t="s">
        <v>3005</v>
      </c>
      <c r="B1613" s="19" t="s">
        <v>15</v>
      </c>
      <c r="C1613" s="18" t="s">
        <v>3009</v>
      </c>
      <c r="D1613" s="18" t="s">
        <v>116</v>
      </c>
      <c r="E1613" s="18" t="s">
        <v>74</v>
      </c>
      <c r="F1613" s="18" t="s">
        <v>3449</v>
      </c>
      <c r="G1613" s="18" t="s">
        <v>41</v>
      </c>
      <c r="H1613" s="18" t="s">
        <v>3380</v>
      </c>
      <c r="I1613" s="20" t="s">
        <v>3450</v>
      </c>
      <c r="J1613" s="18" t="s">
        <v>1128</v>
      </c>
      <c r="K1613" s="18" t="s">
        <v>24</v>
      </c>
      <c r="L1613" s="18" t="s">
        <v>25</v>
      </c>
      <c r="N1613" s="18" t="s">
        <v>807</v>
      </c>
    </row>
    <row r="1614" spans="1:14" ht="15" customHeight="1" x14ac:dyDescent="0.3">
      <c r="A1614" s="18" t="s">
        <v>3005</v>
      </c>
      <c r="B1614" s="19" t="s">
        <v>15</v>
      </c>
      <c r="C1614" s="18" t="s">
        <v>3009</v>
      </c>
      <c r="D1614" s="18" t="s">
        <v>116</v>
      </c>
      <c r="E1614" s="18" t="s">
        <v>74</v>
      </c>
      <c r="F1614" s="18" t="s">
        <v>3451</v>
      </c>
      <c r="G1614" s="18" t="s">
        <v>381</v>
      </c>
      <c r="H1614" s="18" t="s">
        <v>3391</v>
      </c>
      <c r="I1614" s="20" t="s">
        <v>3452</v>
      </c>
      <c r="J1614" s="18" t="s">
        <v>1128</v>
      </c>
      <c r="K1614" s="18" t="s">
        <v>24</v>
      </c>
      <c r="L1614" s="18" t="s">
        <v>25</v>
      </c>
      <c r="N1614" s="18" t="s">
        <v>807</v>
      </c>
    </row>
    <row r="1615" spans="1:14" ht="15" customHeight="1" x14ac:dyDescent="0.3">
      <c r="A1615" s="18" t="s">
        <v>3005</v>
      </c>
      <c r="B1615" s="19" t="s">
        <v>15</v>
      </c>
      <c r="C1615" s="18" t="s">
        <v>3009</v>
      </c>
      <c r="D1615" s="18" t="s">
        <v>116</v>
      </c>
      <c r="E1615" s="18" t="s">
        <v>74</v>
      </c>
      <c r="F1615" s="18" t="s">
        <v>3453</v>
      </c>
      <c r="G1615" s="18" t="s">
        <v>207</v>
      </c>
      <c r="H1615" s="18" t="s">
        <v>3360</v>
      </c>
      <c r="I1615" s="20" t="s">
        <v>3454</v>
      </c>
      <c r="J1615" s="18" t="s">
        <v>1128</v>
      </c>
      <c r="K1615" s="18" t="s">
        <v>24</v>
      </c>
      <c r="L1615" s="18" t="s">
        <v>25</v>
      </c>
      <c r="N1615" s="18" t="s">
        <v>807</v>
      </c>
    </row>
    <row r="1616" spans="1:14" ht="15" customHeight="1" x14ac:dyDescent="0.3">
      <c r="A1616" s="18" t="s">
        <v>3005</v>
      </c>
      <c r="B1616" s="19" t="s">
        <v>15</v>
      </c>
      <c r="C1616" s="18" t="s">
        <v>3009</v>
      </c>
      <c r="D1616" s="18" t="s">
        <v>116</v>
      </c>
      <c r="E1616" s="18" t="s">
        <v>74</v>
      </c>
      <c r="F1616" s="18" t="s">
        <v>3455</v>
      </c>
      <c r="G1616" s="18" t="s">
        <v>20</v>
      </c>
      <c r="H1616" s="18" t="s">
        <v>3391</v>
      </c>
      <c r="I1616" s="20" t="s">
        <v>3456</v>
      </c>
      <c r="J1616" s="18" t="s">
        <v>1128</v>
      </c>
      <c r="K1616" s="18" t="s">
        <v>24</v>
      </c>
      <c r="L1616" s="18" t="s">
        <v>25</v>
      </c>
      <c r="N1616" s="18" t="s">
        <v>807</v>
      </c>
    </row>
    <row r="1617" spans="1:14" ht="15" customHeight="1" x14ac:dyDescent="0.3">
      <c r="A1617" s="18" t="s">
        <v>3457</v>
      </c>
      <c r="B1617" s="19" t="s">
        <v>15</v>
      </c>
      <c r="C1617" s="18" t="s">
        <v>210</v>
      </c>
      <c r="D1617" s="18" t="s">
        <v>116</v>
      </c>
      <c r="E1617" s="18" t="s">
        <v>18</v>
      </c>
      <c r="F1617" s="18" t="s">
        <v>1016</v>
      </c>
      <c r="G1617" s="18" t="s">
        <v>263</v>
      </c>
      <c r="H1617" s="18" t="s">
        <v>3458</v>
      </c>
      <c r="I1617" s="20" t="s">
        <v>3459</v>
      </c>
      <c r="J1617" s="18" t="s">
        <v>30</v>
      </c>
      <c r="K1617" s="18" t="s">
        <v>24</v>
      </c>
      <c r="L1617" s="18" t="s">
        <v>25</v>
      </c>
      <c r="N1617" s="18" t="s">
        <v>26</v>
      </c>
    </row>
    <row r="1618" spans="1:14" ht="15" customHeight="1" x14ac:dyDescent="0.3">
      <c r="A1618" s="18" t="s">
        <v>3457</v>
      </c>
      <c r="B1618" s="19" t="s">
        <v>15</v>
      </c>
      <c r="C1618" s="18" t="s">
        <v>210</v>
      </c>
      <c r="D1618" s="18" t="s">
        <v>116</v>
      </c>
      <c r="E1618" s="18" t="s">
        <v>18</v>
      </c>
      <c r="F1618" s="18" t="s">
        <v>3460</v>
      </c>
      <c r="G1618" s="18" t="s">
        <v>151</v>
      </c>
      <c r="H1618" s="18" t="s">
        <v>3458</v>
      </c>
      <c r="I1618" s="20" t="s">
        <v>3461</v>
      </c>
      <c r="J1618" s="18" t="s">
        <v>30</v>
      </c>
      <c r="K1618" s="18" t="s">
        <v>24</v>
      </c>
      <c r="L1618" s="18" t="s">
        <v>25</v>
      </c>
      <c r="N1618" s="18" t="s">
        <v>26</v>
      </c>
    </row>
    <row r="1619" spans="1:14" ht="15" customHeight="1" x14ac:dyDescent="0.3">
      <c r="A1619" s="18" t="s">
        <v>3457</v>
      </c>
      <c r="B1619" s="19" t="s">
        <v>15</v>
      </c>
      <c r="C1619" s="18" t="s">
        <v>210</v>
      </c>
      <c r="D1619" s="18" t="s">
        <v>116</v>
      </c>
      <c r="E1619" s="18" t="s">
        <v>18</v>
      </c>
      <c r="F1619" s="18" t="s">
        <v>2087</v>
      </c>
      <c r="G1619" s="18" t="s">
        <v>1291</v>
      </c>
      <c r="H1619" s="18" t="s">
        <v>3462</v>
      </c>
      <c r="I1619" s="20" t="s">
        <v>3463</v>
      </c>
      <c r="J1619" s="18" t="s">
        <v>30</v>
      </c>
      <c r="K1619" s="18" t="s">
        <v>24</v>
      </c>
      <c r="L1619" s="18" t="s">
        <v>25</v>
      </c>
      <c r="N1619" s="18" t="s">
        <v>26</v>
      </c>
    </row>
    <row r="1620" spans="1:14" ht="15" customHeight="1" x14ac:dyDescent="0.3">
      <c r="A1620" s="18" t="s">
        <v>3457</v>
      </c>
      <c r="B1620" s="19" t="s">
        <v>15</v>
      </c>
      <c r="C1620" s="18" t="s">
        <v>3464</v>
      </c>
      <c r="D1620" s="18" t="s">
        <v>116</v>
      </c>
      <c r="E1620" s="18" t="s">
        <v>18</v>
      </c>
      <c r="F1620" s="18" t="s">
        <v>3465</v>
      </c>
      <c r="G1620" s="18" t="s">
        <v>1291</v>
      </c>
      <c r="H1620" s="18" t="s">
        <v>3466</v>
      </c>
      <c r="I1620" s="20" t="s">
        <v>3467</v>
      </c>
      <c r="J1620" s="18" t="s">
        <v>30</v>
      </c>
      <c r="K1620" s="18" t="s">
        <v>24</v>
      </c>
      <c r="L1620" s="18" t="s">
        <v>25</v>
      </c>
      <c r="N1620" s="18" t="s">
        <v>26</v>
      </c>
    </row>
    <row r="1621" spans="1:14" ht="15" customHeight="1" x14ac:dyDescent="0.3">
      <c r="A1621" s="18" t="s">
        <v>3457</v>
      </c>
      <c r="B1621" s="19" t="s">
        <v>15</v>
      </c>
      <c r="C1621" s="18" t="s">
        <v>210</v>
      </c>
      <c r="D1621" s="18" t="s">
        <v>116</v>
      </c>
      <c r="E1621" s="18" t="s">
        <v>18</v>
      </c>
      <c r="F1621" s="18" t="s">
        <v>616</v>
      </c>
      <c r="G1621" s="18" t="s">
        <v>429</v>
      </c>
      <c r="H1621" s="18" t="s">
        <v>3468</v>
      </c>
      <c r="I1621" s="20" t="s">
        <v>3469</v>
      </c>
      <c r="J1621" s="18" t="s">
        <v>23</v>
      </c>
      <c r="K1621" s="18" t="s">
        <v>24</v>
      </c>
      <c r="L1621" s="18" t="s">
        <v>25</v>
      </c>
      <c r="N1621" s="18" t="s">
        <v>26</v>
      </c>
    </row>
    <row r="1622" spans="1:14" ht="15" customHeight="1" x14ac:dyDescent="0.3">
      <c r="A1622" s="18" t="s">
        <v>3457</v>
      </c>
      <c r="B1622" s="19" t="s">
        <v>15</v>
      </c>
      <c r="C1622" s="18" t="s">
        <v>210</v>
      </c>
      <c r="D1622" s="18" t="s">
        <v>116</v>
      </c>
      <c r="E1622" s="18" t="s">
        <v>18</v>
      </c>
      <c r="F1622" s="18" t="s">
        <v>3470</v>
      </c>
      <c r="G1622" s="18" t="s">
        <v>219</v>
      </c>
      <c r="H1622" s="18" t="s">
        <v>3471</v>
      </c>
      <c r="I1622" s="20" t="s">
        <v>3472</v>
      </c>
      <c r="J1622" s="18" t="s">
        <v>30</v>
      </c>
      <c r="K1622" s="18" t="s">
        <v>24</v>
      </c>
      <c r="L1622" s="18" t="s">
        <v>25</v>
      </c>
      <c r="N1622" s="18" t="s">
        <v>26</v>
      </c>
    </row>
    <row r="1623" spans="1:14" ht="15" customHeight="1" x14ac:dyDescent="0.3">
      <c r="A1623" s="18" t="s">
        <v>3457</v>
      </c>
      <c r="B1623" s="19" t="s">
        <v>15</v>
      </c>
      <c r="C1623" s="18" t="s">
        <v>210</v>
      </c>
      <c r="D1623" s="18" t="s">
        <v>116</v>
      </c>
      <c r="E1623" s="18" t="s">
        <v>18</v>
      </c>
      <c r="F1623" s="18" t="s">
        <v>3473</v>
      </c>
      <c r="G1623" s="18" t="s">
        <v>212</v>
      </c>
      <c r="H1623" s="18" t="s">
        <v>3474</v>
      </c>
      <c r="I1623" s="20" t="s">
        <v>3475</v>
      </c>
      <c r="J1623" s="18" t="s">
        <v>30</v>
      </c>
      <c r="K1623" s="18" t="s">
        <v>24</v>
      </c>
      <c r="L1623" s="18" t="s">
        <v>25</v>
      </c>
      <c r="M1623" s="18" t="s">
        <v>39</v>
      </c>
      <c r="N1623" s="18" t="s">
        <v>26</v>
      </c>
    </row>
    <row r="1624" spans="1:14" ht="15" customHeight="1" x14ac:dyDescent="0.3">
      <c r="A1624" s="18" t="s">
        <v>3457</v>
      </c>
      <c r="B1624" s="19" t="s">
        <v>15</v>
      </c>
      <c r="C1624" s="18" t="s">
        <v>210</v>
      </c>
      <c r="D1624" s="18" t="s">
        <v>116</v>
      </c>
      <c r="E1624" s="18" t="s">
        <v>18</v>
      </c>
      <c r="F1624" s="18" t="s">
        <v>1806</v>
      </c>
      <c r="G1624" s="18" t="s">
        <v>85</v>
      </c>
      <c r="H1624" s="18" t="s">
        <v>3471</v>
      </c>
      <c r="I1624" s="20" t="s">
        <v>3476</v>
      </c>
      <c r="J1624" s="18" t="s">
        <v>30</v>
      </c>
      <c r="K1624" s="18" t="s">
        <v>24</v>
      </c>
      <c r="L1624" s="18" t="s">
        <v>25</v>
      </c>
      <c r="N1624" s="18" t="s">
        <v>26</v>
      </c>
    </row>
    <row r="1625" spans="1:14" ht="15" customHeight="1" x14ac:dyDescent="0.3">
      <c r="A1625" s="18" t="s">
        <v>3457</v>
      </c>
      <c r="B1625" s="19" t="s">
        <v>15</v>
      </c>
      <c r="C1625" s="18" t="s">
        <v>210</v>
      </c>
      <c r="D1625" s="18" t="s">
        <v>116</v>
      </c>
      <c r="E1625" s="18" t="s">
        <v>18</v>
      </c>
      <c r="F1625" s="18" t="s">
        <v>3477</v>
      </c>
      <c r="G1625" s="18" t="s">
        <v>2245</v>
      </c>
      <c r="H1625" s="18" t="s">
        <v>3478</v>
      </c>
      <c r="I1625" s="20" t="s">
        <v>3479</v>
      </c>
      <c r="J1625" s="18" t="s">
        <v>30</v>
      </c>
      <c r="K1625" s="18" t="s">
        <v>24</v>
      </c>
      <c r="L1625" s="18" t="s">
        <v>25</v>
      </c>
      <c r="N1625" s="18" t="s">
        <v>26</v>
      </c>
    </row>
    <row r="1626" spans="1:14" ht="15" customHeight="1" x14ac:dyDescent="0.3">
      <c r="A1626" s="18" t="s">
        <v>3457</v>
      </c>
      <c r="B1626" s="19" t="s">
        <v>15</v>
      </c>
      <c r="C1626" s="18" t="s">
        <v>210</v>
      </c>
      <c r="D1626" s="18" t="s">
        <v>116</v>
      </c>
      <c r="E1626" s="18" t="s">
        <v>18</v>
      </c>
      <c r="F1626" s="18" t="s">
        <v>987</v>
      </c>
      <c r="G1626" s="18" t="s">
        <v>20</v>
      </c>
      <c r="H1626" s="18" t="s">
        <v>3468</v>
      </c>
      <c r="I1626" s="20" t="s">
        <v>3480</v>
      </c>
      <c r="J1626" s="18" t="s">
        <v>23</v>
      </c>
      <c r="K1626" s="18" t="s">
        <v>24</v>
      </c>
      <c r="L1626" s="18" t="s">
        <v>25</v>
      </c>
      <c r="N1626" s="18" t="s">
        <v>26</v>
      </c>
    </row>
    <row r="1627" spans="1:14" ht="15" customHeight="1" x14ac:dyDescent="0.3">
      <c r="A1627" s="18" t="s">
        <v>3457</v>
      </c>
      <c r="B1627" s="19" t="s">
        <v>15</v>
      </c>
      <c r="C1627" s="18" t="s">
        <v>210</v>
      </c>
      <c r="D1627" s="18" t="s">
        <v>116</v>
      </c>
      <c r="E1627" s="18" t="s">
        <v>18</v>
      </c>
      <c r="F1627" s="18" t="s">
        <v>272</v>
      </c>
      <c r="G1627" s="18" t="s">
        <v>273</v>
      </c>
      <c r="H1627" s="18" t="s">
        <v>3458</v>
      </c>
      <c r="I1627" s="20" t="s">
        <v>3481</v>
      </c>
      <c r="J1627" s="18" t="s">
        <v>30</v>
      </c>
      <c r="K1627" s="18" t="s">
        <v>24</v>
      </c>
      <c r="L1627" s="18" t="s">
        <v>25</v>
      </c>
      <c r="N1627" s="18" t="s">
        <v>26</v>
      </c>
    </row>
    <row r="1628" spans="1:14" ht="15" customHeight="1" x14ac:dyDescent="0.3">
      <c r="A1628" s="18" t="s">
        <v>3457</v>
      </c>
      <c r="B1628" s="19" t="s">
        <v>15</v>
      </c>
      <c r="C1628" s="18" t="s">
        <v>210</v>
      </c>
      <c r="D1628" s="18" t="s">
        <v>116</v>
      </c>
      <c r="E1628" s="18" t="s">
        <v>18</v>
      </c>
      <c r="F1628" s="18" t="s">
        <v>1239</v>
      </c>
      <c r="G1628" s="18" t="s">
        <v>1075</v>
      </c>
      <c r="H1628" s="18" t="s">
        <v>3474</v>
      </c>
      <c r="I1628" s="20" t="s">
        <v>3482</v>
      </c>
      <c r="J1628" s="18" t="s">
        <v>30</v>
      </c>
      <c r="K1628" s="18" t="s">
        <v>24</v>
      </c>
      <c r="L1628" s="18" t="s">
        <v>25</v>
      </c>
      <c r="N1628" s="18" t="s">
        <v>26</v>
      </c>
    </row>
    <row r="1629" spans="1:14" ht="15" customHeight="1" x14ac:dyDescent="0.3">
      <c r="A1629" s="18" t="s">
        <v>3457</v>
      </c>
      <c r="B1629" s="19" t="s">
        <v>15</v>
      </c>
      <c r="C1629" s="18" t="s">
        <v>210</v>
      </c>
      <c r="D1629" s="18" t="s">
        <v>116</v>
      </c>
      <c r="E1629" s="18" t="s">
        <v>18</v>
      </c>
      <c r="F1629" s="18" t="s">
        <v>221</v>
      </c>
      <c r="G1629" s="18" t="s">
        <v>212</v>
      </c>
      <c r="H1629" s="18" t="s">
        <v>3474</v>
      </c>
      <c r="I1629" s="20" t="s">
        <v>3483</v>
      </c>
      <c r="J1629" s="18" t="s">
        <v>30</v>
      </c>
      <c r="K1629" s="18" t="s">
        <v>24</v>
      </c>
      <c r="L1629" s="18" t="s">
        <v>25</v>
      </c>
      <c r="N1629" s="18" t="s">
        <v>26</v>
      </c>
    </row>
    <row r="1630" spans="1:14" ht="15" customHeight="1" x14ac:dyDescent="0.3">
      <c r="A1630" s="18" t="s">
        <v>3457</v>
      </c>
      <c r="B1630" s="19" t="s">
        <v>15</v>
      </c>
      <c r="C1630" s="18" t="s">
        <v>210</v>
      </c>
      <c r="D1630" s="18" t="s">
        <v>116</v>
      </c>
      <c r="E1630" s="18" t="s">
        <v>18</v>
      </c>
      <c r="F1630" s="18" t="s">
        <v>1272</v>
      </c>
      <c r="G1630" s="18" t="s">
        <v>1204</v>
      </c>
      <c r="H1630" s="18" t="s">
        <v>3474</v>
      </c>
      <c r="I1630" s="20" t="s">
        <v>3484</v>
      </c>
      <c r="J1630" s="18" t="s">
        <v>30</v>
      </c>
      <c r="K1630" s="18" t="s">
        <v>24</v>
      </c>
      <c r="L1630" s="18" t="s">
        <v>25</v>
      </c>
      <c r="N1630" s="18" t="s">
        <v>26</v>
      </c>
    </row>
    <row r="1631" spans="1:14" ht="15" customHeight="1" x14ac:dyDescent="0.3">
      <c r="A1631" s="18" t="s">
        <v>3457</v>
      </c>
      <c r="B1631" s="19" t="s">
        <v>15</v>
      </c>
      <c r="C1631" s="18" t="s">
        <v>210</v>
      </c>
      <c r="D1631" s="18" t="s">
        <v>116</v>
      </c>
      <c r="E1631" s="18" t="s">
        <v>18</v>
      </c>
      <c r="F1631" s="18" t="s">
        <v>3485</v>
      </c>
      <c r="G1631" s="18" t="s">
        <v>1075</v>
      </c>
      <c r="H1631" s="18" t="s">
        <v>3474</v>
      </c>
      <c r="I1631" s="20" t="s">
        <v>3486</v>
      </c>
      <c r="J1631" s="18" t="s">
        <v>30</v>
      </c>
      <c r="K1631" s="18" t="s">
        <v>24</v>
      </c>
      <c r="L1631" s="18" t="s">
        <v>25</v>
      </c>
      <c r="N1631" s="18" t="s">
        <v>26</v>
      </c>
    </row>
    <row r="1632" spans="1:14" ht="15" customHeight="1" x14ac:dyDescent="0.3">
      <c r="A1632" s="18" t="s">
        <v>3457</v>
      </c>
      <c r="B1632" s="19" t="s">
        <v>15</v>
      </c>
      <c r="C1632" s="18" t="s">
        <v>210</v>
      </c>
      <c r="D1632" s="18" t="s">
        <v>116</v>
      </c>
      <c r="E1632" s="18" t="s">
        <v>18</v>
      </c>
      <c r="F1632" s="18" t="s">
        <v>3487</v>
      </c>
      <c r="G1632" s="18" t="s">
        <v>3138</v>
      </c>
      <c r="H1632" s="18" t="s">
        <v>3474</v>
      </c>
      <c r="I1632" s="20" t="s">
        <v>3488</v>
      </c>
      <c r="J1632" s="18" t="s">
        <v>30</v>
      </c>
      <c r="K1632" s="18" t="s">
        <v>24</v>
      </c>
      <c r="L1632" s="18" t="s">
        <v>25</v>
      </c>
      <c r="N1632" s="18" t="s">
        <v>26</v>
      </c>
    </row>
    <row r="1633" spans="1:14" ht="15" customHeight="1" x14ac:dyDescent="0.3">
      <c r="A1633" s="18" t="s">
        <v>3457</v>
      </c>
      <c r="B1633" s="19" t="s">
        <v>15</v>
      </c>
      <c r="C1633" s="18" t="s">
        <v>210</v>
      </c>
      <c r="D1633" s="18" t="s">
        <v>116</v>
      </c>
      <c r="E1633" s="18" t="s">
        <v>18</v>
      </c>
      <c r="F1633" s="18" t="s">
        <v>3489</v>
      </c>
      <c r="G1633" s="18" t="s">
        <v>47</v>
      </c>
      <c r="H1633" s="18" t="s">
        <v>3474</v>
      </c>
      <c r="I1633" s="20" t="s">
        <v>3490</v>
      </c>
      <c r="J1633" s="18" t="s">
        <v>30</v>
      </c>
      <c r="K1633" s="18" t="s">
        <v>24</v>
      </c>
      <c r="L1633" s="18" t="s">
        <v>25</v>
      </c>
      <c r="N1633" s="18" t="s">
        <v>26</v>
      </c>
    </row>
    <row r="1634" spans="1:14" ht="15" customHeight="1" x14ac:dyDescent="0.3">
      <c r="A1634" s="18" t="s">
        <v>3457</v>
      </c>
      <c r="B1634" s="19" t="s">
        <v>15</v>
      </c>
      <c r="C1634" s="18" t="s">
        <v>210</v>
      </c>
      <c r="D1634" s="18" t="s">
        <v>116</v>
      </c>
      <c r="E1634" s="18" t="s">
        <v>18</v>
      </c>
      <c r="F1634" s="18" t="s">
        <v>136</v>
      </c>
      <c r="G1634" s="18" t="s">
        <v>47</v>
      </c>
      <c r="H1634" s="18" t="s">
        <v>3474</v>
      </c>
      <c r="I1634" s="20" t="s">
        <v>3491</v>
      </c>
      <c r="J1634" s="18" t="s">
        <v>30</v>
      </c>
      <c r="K1634" s="18" t="s">
        <v>24</v>
      </c>
      <c r="L1634" s="18" t="s">
        <v>25</v>
      </c>
      <c r="N1634" s="18" t="s">
        <v>26</v>
      </c>
    </row>
    <row r="1635" spans="1:14" ht="15" customHeight="1" x14ac:dyDescent="0.3">
      <c r="A1635" s="18" t="s">
        <v>3457</v>
      </c>
      <c r="B1635" s="19" t="s">
        <v>15</v>
      </c>
      <c r="C1635" s="18" t="s">
        <v>210</v>
      </c>
      <c r="D1635" s="18" t="s">
        <v>116</v>
      </c>
      <c r="E1635" s="18" t="s">
        <v>18</v>
      </c>
      <c r="F1635" s="18" t="s">
        <v>3492</v>
      </c>
      <c r="G1635" s="18" t="s">
        <v>47</v>
      </c>
      <c r="H1635" s="18" t="s">
        <v>3474</v>
      </c>
      <c r="I1635" s="20" t="s">
        <v>3493</v>
      </c>
      <c r="J1635" s="18" t="s">
        <v>30</v>
      </c>
      <c r="K1635" s="18" t="s">
        <v>24</v>
      </c>
      <c r="L1635" s="18" t="s">
        <v>25</v>
      </c>
      <c r="N1635" s="18" t="s">
        <v>26</v>
      </c>
    </row>
    <row r="1636" spans="1:14" ht="15" customHeight="1" x14ac:dyDescent="0.3">
      <c r="A1636" s="18" t="s">
        <v>3457</v>
      </c>
      <c r="B1636" s="19" t="s">
        <v>15</v>
      </c>
      <c r="C1636" s="18" t="s">
        <v>210</v>
      </c>
      <c r="D1636" s="18" t="s">
        <v>116</v>
      </c>
      <c r="E1636" s="18" t="s">
        <v>18</v>
      </c>
      <c r="F1636" s="18" t="s">
        <v>34</v>
      </c>
      <c r="G1636" s="18" t="s">
        <v>34</v>
      </c>
      <c r="H1636" s="18" t="s">
        <v>3474</v>
      </c>
      <c r="I1636" s="20" t="s">
        <v>3494</v>
      </c>
      <c r="J1636" s="18" t="s">
        <v>30</v>
      </c>
      <c r="K1636" s="18" t="s">
        <v>24</v>
      </c>
      <c r="L1636" s="18" t="s">
        <v>25</v>
      </c>
      <c r="N1636" s="18" t="s">
        <v>26</v>
      </c>
    </row>
    <row r="1637" spans="1:14" ht="15" customHeight="1" x14ac:dyDescent="0.3">
      <c r="A1637" s="18" t="s">
        <v>3457</v>
      </c>
      <c r="B1637" s="19" t="s">
        <v>15</v>
      </c>
      <c r="C1637" s="18" t="s">
        <v>210</v>
      </c>
      <c r="D1637" s="18" t="s">
        <v>116</v>
      </c>
      <c r="E1637" s="18" t="s">
        <v>18</v>
      </c>
      <c r="F1637" s="18" t="s">
        <v>1276</v>
      </c>
      <c r="G1637" s="18" t="s">
        <v>1251</v>
      </c>
      <c r="H1637" s="18" t="s">
        <v>3474</v>
      </c>
      <c r="I1637" s="20" t="s">
        <v>3495</v>
      </c>
      <c r="J1637" s="18" t="s">
        <v>30</v>
      </c>
      <c r="K1637" s="18" t="s">
        <v>24</v>
      </c>
      <c r="L1637" s="18" t="s">
        <v>25</v>
      </c>
      <c r="N1637" s="18" t="s">
        <v>26</v>
      </c>
    </row>
    <row r="1638" spans="1:14" ht="15" customHeight="1" x14ac:dyDescent="0.3">
      <c r="A1638" s="18" t="s">
        <v>3457</v>
      </c>
      <c r="B1638" s="19" t="s">
        <v>15</v>
      </c>
      <c r="C1638" s="18" t="s">
        <v>210</v>
      </c>
      <c r="D1638" s="18" t="s">
        <v>116</v>
      </c>
      <c r="E1638" s="18" t="s">
        <v>18</v>
      </c>
      <c r="F1638" s="18" t="s">
        <v>3496</v>
      </c>
      <c r="G1638" s="18" t="s">
        <v>47</v>
      </c>
      <c r="H1638" s="18" t="s">
        <v>3474</v>
      </c>
      <c r="I1638" s="20" t="s">
        <v>3497</v>
      </c>
      <c r="J1638" s="18" t="s">
        <v>30</v>
      </c>
      <c r="K1638" s="18" t="s">
        <v>24</v>
      </c>
      <c r="L1638" s="18" t="s">
        <v>25</v>
      </c>
      <c r="N1638" s="18" t="s">
        <v>26</v>
      </c>
    </row>
    <row r="1639" spans="1:14" ht="15" customHeight="1" x14ac:dyDescent="0.3">
      <c r="A1639" s="18" t="s">
        <v>3457</v>
      </c>
      <c r="B1639" s="19" t="s">
        <v>15</v>
      </c>
      <c r="C1639" s="18" t="s">
        <v>210</v>
      </c>
      <c r="D1639" s="18" t="s">
        <v>116</v>
      </c>
      <c r="E1639" s="18" t="s">
        <v>18</v>
      </c>
      <c r="F1639" s="18" t="s">
        <v>578</v>
      </c>
      <c r="G1639" s="18" t="s">
        <v>80</v>
      </c>
      <c r="H1639" s="18" t="s">
        <v>3468</v>
      </c>
      <c r="I1639" s="20" t="s">
        <v>3498</v>
      </c>
      <c r="J1639" s="18" t="s">
        <v>23</v>
      </c>
      <c r="K1639" s="18" t="s">
        <v>24</v>
      </c>
      <c r="L1639" s="18" t="s">
        <v>25</v>
      </c>
      <c r="N1639" s="18" t="s">
        <v>26</v>
      </c>
    </row>
    <row r="1640" spans="1:14" ht="15" customHeight="1" x14ac:dyDescent="0.3">
      <c r="A1640" s="18" t="s">
        <v>3457</v>
      </c>
      <c r="B1640" s="19" t="s">
        <v>15</v>
      </c>
      <c r="C1640" s="18" t="s">
        <v>210</v>
      </c>
      <c r="D1640" s="18" t="s">
        <v>116</v>
      </c>
      <c r="E1640" s="18" t="s">
        <v>18</v>
      </c>
      <c r="F1640" s="18" t="s">
        <v>3301</v>
      </c>
      <c r="G1640" s="18" t="s">
        <v>564</v>
      </c>
      <c r="H1640" s="18" t="s">
        <v>3471</v>
      </c>
      <c r="I1640" s="20" t="s">
        <v>3499</v>
      </c>
      <c r="J1640" s="18" t="s">
        <v>30</v>
      </c>
      <c r="K1640" s="18" t="s">
        <v>24</v>
      </c>
      <c r="L1640" s="18" t="s">
        <v>25</v>
      </c>
      <c r="N1640" s="18" t="s">
        <v>26</v>
      </c>
    </row>
    <row r="1641" spans="1:14" ht="15" customHeight="1" x14ac:dyDescent="0.3">
      <c r="A1641" s="18" t="s">
        <v>3457</v>
      </c>
      <c r="B1641" s="19" t="s">
        <v>15</v>
      </c>
      <c r="C1641" s="18" t="s">
        <v>210</v>
      </c>
      <c r="D1641" s="18" t="s">
        <v>116</v>
      </c>
      <c r="E1641" s="18" t="s">
        <v>18</v>
      </c>
      <c r="F1641" s="18" t="s">
        <v>2559</v>
      </c>
      <c r="G1641" s="18" t="s">
        <v>429</v>
      </c>
      <c r="H1641" s="18" t="s">
        <v>3468</v>
      </c>
      <c r="I1641" s="20" t="s">
        <v>3500</v>
      </c>
      <c r="J1641" s="18" t="s">
        <v>23</v>
      </c>
      <c r="K1641" s="18" t="s">
        <v>24</v>
      </c>
      <c r="L1641" s="18" t="s">
        <v>25</v>
      </c>
      <c r="N1641" s="18" t="s">
        <v>26</v>
      </c>
    </row>
    <row r="1642" spans="1:14" ht="15" customHeight="1" x14ac:dyDescent="0.3">
      <c r="A1642" s="18" t="s">
        <v>3457</v>
      </c>
      <c r="B1642" s="19" t="s">
        <v>15</v>
      </c>
      <c r="C1642" s="18" t="s">
        <v>210</v>
      </c>
      <c r="D1642" s="18" t="s">
        <v>116</v>
      </c>
      <c r="E1642" s="18" t="s">
        <v>18</v>
      </c>
      <c r="F1642" s="18" t="s">
        <v>580</v>
      </c>
      <c r="G1642" s="18" t="s">
        <v>20</v>
      </c>
      <c r="H1642" s="18" t="s">
        <v>3468</v>
      </c>
      <c r="I1642" s="20" t="s">
        <v>3501</v>
      </c>
      <c r="J1642" s="18" t="s">
        <v>23</v>
      </c>
      <c r="K1642" s="18" t="s">
        <v>24</v>
      </c>
      <c r="L1642" s="18" t="s">
        <v>25</v>
      </c>
      <c r="N1642" s="18" t="s">
        <v>26</v>
      </c>
    </row>
    <row r="1643" spans="1:14" ht="15" customHeight="1" x14ac:dyDescent="0.3">
      <c r="A1643" s="18" t="s">
        <v>3457</v>
      </c>
      <c r="B1643" s="19" t="s">
        <v>15</v>
      </c>
      <c r="C1643" s="18" t="s">
        <v>210</v>
      </c>
      <c r="D1643" s="18" t="s">
        <v>116</v>
      </c>
      <c r="E1643" s="18" t="s">
        <v>18</v>
      </c>
      <c r="F1643" s="18" t="s">
        <v>40</v>
      </c>
      <c r="G1643" s="18" t="s">
        <v>41</v>
      </c>
      <c r="H1643" s="18" t="s">
        <v>3471</v>
      </c>
      <c r="I1643" s="20" t="s">
        <v>3502</v>
      </c>
      <c r="J1643" s="18" t="s">
        <v>30</v>
      </c>
      <c r="K1643" s="18" t="s">
        <v>24</v>
      </c>
      <c r="L1643" s="18" t="s">
        <v>25</v>
      </c>
      <c r="N1643" s="18" t="s">
        <v>26</v>
      </c>
    </row>
    <row r="1644" spans="1:14" ht="15" customHeight="1" x14ac:dyDescent="0.3">
      <c r="A1644" s="18" t="s">
        <v>3457</v>
      </c>
      <c r="B1644" s="19" t="s">
        <v>15</v>
      </c>
      <c r="C1644" s="18" t="s">
        <v>210</v>
      </c>
      <c r="D1644" s="18" t="s">
        <v>116</v>
      </c>
      <c r="E1644" s="18" t="s">
        <v>18</v>
      </c>
      <c r="F1644" s="18" t="s">
        <v>774</v>
      </c>
      <c r="G1644" s="18" t="s">
        <v>429</v>
      </c>
      <c r="H1644" s="18" t="s">
        <v>3468</v>
      </c>
      <c r="I1644" s="20" t="s">
        <v>3503</v>
      </c>
      <c r="J1644" s="18" t="s">
        <v>23</v>
      </c>
      <c r="K1644" s="18" t="s">
        <v>24</v>
      </c>
      <c r="L1644" s="18" t="s">
        <v>25</v>
      </c>
      <c r="N1644" s="18" t="s">
        <v>26</v>
      </c>
    </row>
    <row r="1645" spans="1:14" ht="15" customHeight="1" x14ac:dyDescent="0.3">
      <c r="A1645" s="18" t="s">
        <v>3457</v>
      </c>
      <c r="B1645" s="19" t="s">
        <v>15</v>
      </c>
      <c r="C1645" s="18" t="s">
        <v>210</v>
      </c>
      <c r="D1645" s="18" t="s">
        <v>116</v>
      </c>
      <c r="E1645" s="18" t="s">
        <v>18</v>
      </c>
      <c r="F1645" s="18" t="s">
        <v>3504</v>
      </c>
      <c r="G1645" s="18" t="s">
        <v>47</v>
      </c>
      <c r="H1645" s="18" t="s">
        <v>3471</v>
      </c>
      <c r="I1645" s="20" t="s">
        <v>3505</v>
      </c>
      <c r="J1645" s="18" t="s">
        <v>30</v>
      </c>
      <c r="K1645" s="18" t="s">
        <v>24</v>
      </c>
      <c r="L1645" s="18" t="s">
        <v>25</v>
      </c>
      <c r="N1645" s="18" t="s">
        <v>26</v>
      </c>
    </row>
    <row r="1646" spans="1:14" ht="15" customHeight="1" x14ac:dyDescent="0.3">
      <c r="A1646" s="18" t="s">
        <v>3457</v>
      </c>
      <c r="B1646" s="19" t="s">
        <v>15</v>
      </c>
      <c r="C1646" s="18" t="s">
        <v>210</v>
      </c>
      <c r="D1646" s="18" t="s">
        <v>116</v>
      </c>
      <c r="E1646" s="18" t="s">
        <v>18</v>
      </c>
      <c r="F1646" s="18" t="s">
        <v>3506</v>
      </c>
      <c r="G1646" s="18" t="s">
        <v>1340</v>
      </c>
      <c r="H1646" s="18" t="s">
        <v>3462</v>
      </c>
      <c r="I1646" s="20" t="s">
        <v>3507</v>
      </c>
      <c r="J1646" s="18" t="s">
        <v>30</v>
      </c>
      <c r="K1646" s="18" t="s">
        <v>24</v>
      </c>
      <c r="L1646" s="18" t="s">
        <v>25</v>
      </c>
      <c r="N1646" s="18" t="s">
        <v>26</v>
      </c>
    </row>
    <row r="1647" spans="1:14" ht="15" customHeight="1" x14ac:dyDescent="0.3">
      <c r="A1647" s="18" t="s">
        <v>3457</v>
      </c>
      <c r="B1647" s="19" t="s">
        <v>15</v>
      </c>
      <c r="C1647" s="18" t="s">
        <v>210</v>
      </c>
      <c r="D1647" s="18" t="s">
        <v>116</v>
      </c>
      <c r="E1647" s="18" t="s">
        <v>18</v>
      </c>
      <c r="F1647" s="18" t="s">
        <v>3508</v>
      </c>
      <c r="G1647" s="18" t="s">
        <v>1095</v>
      </c>
      <c r="H1647" s="18" t="s">
        <v>3474</v>
      </c>
      <c r="I1647" s="20" t="s">
        <v>3509</v>
      </c>
      <c r="J1647" s="18" t="s">
        <v>30</v>
      </c>
      <c r="K1647" s="18" t="s">
        <v>24</v>
      </c>
      <c r="L1647" s="18" t="s">
        <v>25</v>
      </c>
      <c r="N1647" s="18" t="s">
        <v>26</v>
      </c>
    </row>
    <row r="1648" spans="1:14" ht="15" customHeight="1" x14ac:dyDescent="0.3">
      <c r="A1648" s="18" t="s">
        <v>3457</v>
      </c>
      <c r="B1648" s="19" t="s">
        <v>15</v>
      </c>
      <c r="C1648" s="18" t="s">
        <v>210</v>
      </c>
      <c r="D1648" s="18" t="s">
        <v>116</v>
      </c>
      <c r="E1648" s="18" t="s">
        <v>18</v>
      </c>
      <c r="F1648" s="18" t="s">
        <v>3510</v>
      </c>
      <c r="G1648" s="18" t="s">
        <v>151</v>
      </c>
      <c r="H1648" s="18" t="s">
        <v>3458</v>
      </c>
      <c r="I1648" s="20" t="s">
        <v>3511</v>
      </c>
      <c r="J1648" s="18" t="s">
        <v>30</v>
      </c>
      <c r="K1648" s="18" t="s">
        <v>24</v>
      </c>
      <c r="L1648" s="18" t="s">
        <v>25</v>
      </c>
      <c r="N1648" s="18" t="s">
        <v>26</v>
      </c>
    </row>
    <row r="1649" spans="1:14" ht="15" customHeight="1" x14ac:dyDescent="0.3">
      <c r="A1649" s="18" t="s">
        <v>3457</v>
      </c>
      <c r="B1649" s="19" t="s">
        <v>15</v>
      </c>
      <c r="C1649" s="18" t="s">
        <v>210</v>
      </c>
      <c r="D1649" s="18" t="s">
        <v>116</v>
      </c>
      <c r="E1649" s="18" t="s">
        <v>18</v>
      </c>
      <c r="F1649" s="18" t="s">
        <v>2574</v>
      </c>
      <c r="G1649" s="18" t="s">
        <v>2574</v>
      </c>
      <c r="H1649" s="18" t="s">
        <v>3512</v>
      </c>
      <c r="I1649" s="20" t="s">
        <v>3513</v>
      </c>
      <c r="J1649" s="18" t="s">
        <v>30</v>
      </c>
      <c r="K1649" s="18" t="s">
        <v>24</v>
      </c>
      <c r="L1649" s="18" t="s">
        <v>25</v>
      </c>
      <c r="N1649" s="18" t="s">
        <v>26</v>
      </c>
    </row>
    <row r="1650" spans="1:14" ht="15" customHeight="1" x14ac:dyDescent="0.3">
      <c r="A1650" s="18" t="s">
        <v>3457</v>
      </c>
      <c r="B1650" s="19" t="s">
        <v>15</v>
      </c>
      <c r="C1650" s="18" t="s">
        <v>210</v>
      </c>
      <c r="D1650" s="18" t="s">
        <v>116</v>
      </c>
      <c r="E1650" s="18" t="s">
        <v>18</v>
      </c>
      <c r="F1650" s="18" t="s">
        <v>3514</v>
      </c>
      <c r="G1650" s="18" t="s">
        <v>2574</v>
      </c>
      <c r="H1650" s="18" t="s">
        <v>3515</v>
      </c>
      <c r="I1650" s="20" t="s">
        <v>3516</v>
      </c>
      <c r="J1650" s="18" t="s">
        <v>30</v>
      </c>
      <c r="K1650" s="18" t="s">
        <v>24</v>
      </c>
      <c r="L1650" s="18" t="s">
        <v>25</v>
      </c>
      <c r="N1650" s="18" t="s">
        <v>26</v>
      </c>
    </row>
    <row r="1651" spans="1:14" ht="15" customHeight="1" x14ac:dyDescent="0.3">
      <c r="A1651" s="18" t="s">
        <v>3457</v>
      </c>
      <c r="B1651" s="19" t="s">
        <v>15</v>
      </c>
      <c r="C1651" s="18" t="s">
        <v>210</v>
      </c>
      <c r="D1651" s="18" t="s">
        <v>116</v>
      </c>
      <c r="E1651" s="18" t="s">
        <v>18</v>
      </c>
      <c r="F1651" s="18" t="s">
        <v>3517</v>
      </c>
      <c r="G1651" s="18" t="s">
        <v>429</v>
      </c>
      <c r="H1651" s="18" t="s">
        <v>3474</v>
      </c>
      <c r="I1651" s="20" t="s">
        <v>3518</v>
      </c>
      <c r="J1651" s="18" t="s">
        <v>23</v>
      </c>
      <c r="K1651" s="18" t="s">
        <v>24</v>
      </c>
      <c r="L1651" s="18" t="s">
        <v>25</v>
      </c>
      <c r="N1651" s="18" t="s">
        <v>26</v>
      </c>
    </row>
    <row r="1652" spans="1:14" ht="15" customHeight="1" x14ac:dyDescent="0.3">
      <c r="A1652" s="18" t="s">
        <v>3457</v>
      </c>
      <c r="B1652" s="19" t="s">
        <v>15</v>
      </c>
      <c r="C1652" s="18" t="s">
        <v>210</v>
      </c>
      <c r="D1652" s="18" t="s">
        <v>116</v>
      </c>
      <c r="E1652" s="18" t="s">
        <v>18</v>
      </c>
      <c r="F1652" s="18" t="s">
        <v>3519</v>
      </c>
      <c r="G1652" s="18" t="s">
        <v>429</v>
      </c>
      <c r="H1652" s="18" t="s">
        <v>3468</v>
      </c>
      <c r="I1652" s="20" t="s">
        <v>3520</v>
      </c>
      <c r="J1652" s="18" t="s">
        <v>23</v>
      </c>
      <c r="K1652" s="18" t="s">
        <v>24</v>
      </c>
      <c r="L1652" s="18" t="s">
        <v>25</v>
      </c>
      <c r="N1652" s="18" t="s">
        <v>26</v>
      </c>
    </row>
    <row r="1653" spans="1:14" ht="15" customHeight="1" x14ac:dyDescent="0.3">
      <c r="A1653" s="18" t="s">
        <v>3457</v>
      </c>
      <c r="B1653" s="19" t="s">
        <v>15</v>
      </c>
      <c r="C1653" s="18" t="s">
        <v>210</v>
      </c>
      <c r="D1653" s="18" t="s">
        <v>116</v>
      </c>
      <c r="E1653" s="18" t="s">
        <v>18</v>
      </c>
      <c r="F1653" s="18" t="s">
        <v>3521</v>
      </c>
      <c r="G1653" s="18" t="s">
        <v>207</v>
      </c>
      <c r="H1653" s="18" t="s">
        <v>3462</v>
      </c>
      <c r="I1653" s="20" t="s">
        <v>3522</v>
      </c>
      <c r="J1653" s="18" t="s">
        <v>30</v>
      </c>
      <c r="K1653" s="18" t="s">
        <v>24</v>
      </c>
      <c r="L1653" s="18" t="s">
        <v>25</v>
      </c>
      <c r="N1653" s="18" t="s">
        <v>26</v>
      </c>
    </row>
    <row r="1654" spans="1:14" ht="15" customHeight="1" x14ac:dyDescent="0.3">
      <c r="A1654" s="18" t="s">
        <v>3457</v>
      </c>
      <c r="B1654" s="19" t="s">
        <v>15</v>
      </c>
      <c r="C1654" s="18" t="s">
        <v>210</v>
      </c>
      <c r="D1654" s="18" t="s">
        <v>116</v>
      </c>
      <c r="E1654" s="18" t="s">
        <v>18</v>
      </c>
      <c r="F1654" s="18" t="s">
        <v>3523</v>
      </c>
      <c r="G1654" s="18" t="s">
        <v>207</v>
      </c>
      <c r="H1654" s="18" t="s">
        <v>3462</v>
      </c>
      <c r="I1654" s="20" t="s">
        <v>3524</v>
      </c>
      <c r="J1654" s="18" t="s">
        <v>30</v>
      </c>
      <c r="K1654" s="18" t="s">
        <v>24</v>
      </c>
      <c r="L1654" s="18" t="s">
        <v>25</v>
      </c>
      <c r="N1654" s="18" t="s">
        <v>26</v>
      </c>
    </row>
    <row r="1655" spans="1:14" ht="15" customHeight="1" x14ac:dyDescent="0.3">
      <c r="A1655" s="18" t="s">
        <v>3457</v>
      </c>
      <c r="B1655" s="19" t="s">
        <v>15</v>
      </c>
      <c r="C1655" s="18" t="s">
        <v>210</v>
      </c>
      <c r="D1655" s="18" t="s">
        <v>116</v>
      </c>
      <c r="E1655" s="18" t="s">
        <v>18</v>
      </c>
      <c r="F1655" s="18" t="s">
        <v>2798</v>
      </c>
      <c r="G1655" s="18" t="s">
        <v>1211</v>
      </c>
      <c r="H1655" s="18" t="s">
        <v>3468</v>
      </c>
      <c r="I1655" s="20" t="s">
        <v>3525</v>
      </c>
      <c r="J1655" s="18" t="s">
        <v>23</v>
      </c>
      <c r="K1655" s="18" t="s">
        <v>24</v>
      </c>
      <c r="L1655" s="18" t="s">
        <v>25</v>
      </c>
      <c r="N1655" s="18" t="s">
        <v>26</v>
      </c>
    </row>
    <row r="1656" spans="1:14" ht="15" customHeight="1" x14ac:dyDescent="0.3">
      <c r="A1656" s="18" t="s">
        <v>3457</v>
      </c>
      <c r="B1656" s="19" t="s">
        <v>15</v>
      </c>
      <c r="C1656" s="18" t="s">
        <v>210</v>
      </c>
      <c r="D1656" s="18" t="s">
        <v>116</v>
      </c>
      <c r="E1656" s="18" t="s">
        <v>18</v>
      </c>
      <c r="F1656" s="18" t="s">
        <v>2027</v>
      </c>
      <c r="G1656" s="18" t="s">
        <v>619</v>
      </c>
      <c r="H1656" s="18" t="s">
        <v>3471</v>
      </c>
      <c r="I1656" s="20" t="s">
        <v>3526</v>
      </c>
      <c r="J1656" s="18" t="s">
        <v>30</v>
      </c>
      <c r="K1656" s="18" t="s">
        <v>24</v>
      </c>
      <c r="L1656" s="18" t="s">
        <v>25</v>
      </c>
      <c r="N1656" s="18" t="s">
        <v>26</v>
      </c>
    </row>
    <row r="1657" spans="1:14" ht="15" customHeight="1" x14ac:dyDescent="0.3">
      <c r="A1657" s="18" t="s">
        <v>3457</v>
      </c>
      <c r="B1657" s="19" t="s">
        <v>15</v>
      </c>
      <c r="C1657" s="18" t="s">
        <v>3464</v>
      </c>
      <c r="D1657" s="18" t="s">
        <v>116</v>
      </c>
      <c r="E1657" s="18" t="s">
        <v>18</v>
      </c>
      <c r="F1657" s="18" t="s">
        <v>164</v>
      </c>
      <c r="G1657" s="18" t="s">
        <v>2245</v>
      </c>
      <c r="H1657" s="18" t="s">
        <v>3466</v>
      </c>
      <c r="I1657" s="20" t="s">
        <v>3527</v>
      </c>
      <c r="J1657" s="18" t="s">
        <v>30</v>
      </c>
      <c r="K1657" s="18" t="s">
        <v>24</v>
      </c>
      <c r="L1657" s="18" t="s">
        <v>25</v>
      </c>
      <c r="N1657" s="18" t="s">
        <v>26</v>
      </c>
    </row>
    <row r="1658" spans="1:14" ht="15" customHeight="1" x14ac:dyDescent="0.3">
      <c r="A1658" s="18" t="s">
        <v>3457</v>
      </c>
      <c r="B1658" s="19" t="s">
        <v>15</v>
      </c>
      <c r="C1658" s="18" t="s">
        <v>210</v>
      </c>
      <c r="D1658" s="18" t="s">
        <v>116</v>
      </c>
      <c r="E1658" s="18" t="s">
        <v>18</v>
      </c>
      <c r="F1658" s="18" t="s">
        <v>3528</v>
      </c>
      <c r="G1658" s="18" t="s">
        <v>2574</v>
      </c>
      <c r="H1658" s="18" t="s">
        <v>3512</v>
      </c>
      <c r="I1658" s="20" t="s">
        <v>3529</v>
      </c>
      <c r="J1658" s="18" t="s">
        <v>30</v>
      </c>
      <c r="K1658" s="18" t="s">
        <v>24</v>
      </c>
      <c r="L1658" s="18" t="s">
        <v>25</v>
      </c>
      <c r="N1658" s="18" t="s">
        <v>26</v>
      </c>
    </row>
    <row r="1659" spans="1:14" ht="15" customHeight="1" x14ac:dyDescent="0.3">
      <c r="A1659" s="18" t="s">
        <v>3457</v>
      </c>
      <c r="B1659" s="19" t="s">
        <v>15</v>
      </c>
      <c r="C1659" s="18" t="s">
        <v>210</v>
      </c>
      <c r="D1659" s="18" t="s">
        <v>116</v>
      </c>
      <c r="E1659" s="18" t="s">
        <v>18</v>
      </c>
      <c r="F1659" s="18" t="s">
        <v>3530</v>
      </c>
      <c r="G1659" s="18" t="s">
        <v>41</v>
      </c>
      <c r="H1659" s="18" t="s">
        <v>3474</v>
      </c>
      <c r="I1659" s="20" t="s">
        <v>3531</v>
      </c>
      <c r="J1659" s="18" t="s">
        <v>30</v>
      </c>
      <c r="K1659" s="18" t="s">
        <v>24</v>
      </c>
      <c r="L1659" s="18" t="s">
        <v>25</v>
      </c>
      <c r="N1659" s="18" t="s">
        <v>26</v>
      </c>
    </row>
    <row r="1660" spans="1:14" ht="15" customHeight="1" x14ac:dyDescent="0.3">
      <c r="A1660" s="18" t="s">
        <v>3457</v>
      </c>
      <c r="B1660" s="19" t="s">
        <v>15</v>
      </c>
      <c r="C1660" s="18" t="s">
        <v>210</v>
      </c>
      <c r="D1660" s="18" t="s">
        <v>116</v>
      </c>
      <c r="E1660" s="18" t="s">
        <v>55</v>
      </c>
      <c r="F1660" s="18" t="s">
        <v>3532</v>
      </c>
      <c r="G1660" s="18" t="s">
        <v>273</v>
      </c>
      <c r="H1660" s="18" t="s">
        <v>3458</v>
      </c>
      <c r="I1660" s="20" t="s">
        <v>3533</v>
      </c>
      <c r="J1660" s="18" t="s">
        <v>58</v>
      </c>
      <c r="K1660" s="18" t="s">
        <v>24</v>
      </c>
      <c r="L1660" s="18" t="s">
        <v>25</v>
      </c>
      <c r="N1660" s="18" t="s">
        <v>26</v>
      </c>
    </row>
    <row r="1661" spans="1:14" ht="15" customHeight="1" x14ac:dyDescent="0.3">
      <c r="A1661" s="18" t="s">
        <v>3457</v>
      </c>
      <c r="B1661" s="19" t="s">
        <v>15</v>
      </c>
      <c r="C1661" s="18" t="s">
        <v>210</v>
      </c>
      <c r="D1661" s="18" t="s">
        <v>116</v>
      </c>
      <c r="E1661" s="18" t="s">
        <v>55</v>
      </c>
      <c r="F1661" s="18" t="s">
        <v>2817</v>
      </c>
      <c r="G1661" s="18" t="s">
        <v>564</v>
      </c>
      <c r="H1661" s="18" t="s">
        <v>3471</v>
      </c>
      <c r="I1661" s="20" t="s">
        <v>3534</v>
      </c>
      <c r="J1661" s="18" t="s">
        <v>58</v>
      </c>
      <c r="K1661" s="18" t="s">
        <v>24</v>
      </c>
      <c r="L1661" s="18" t="s">
        <v>25</v>
      </c>
      <c r="N1661" s="18" t="s">
        <v>26</v>
      </c>
    </row>
    <row r="1662" spans="1:14" ht="15" customHeight="1" x14ac:dyDescent="0.3">
      <c r="A1662" s="18" t="s">
        <v>3457</v>
      </c>
      <c r="B1662" s="19" t="s">
        <v>15</v>
      </c>
      <c r="C1662" s="18" t="s">
        <v>210</v>
      </c>
      <c r="D1662" s="18" t="s">
        <v>116</v>
      </c>
      <c r="E1662" s="18" t="s">
        <v>55</v>
      </c>
      <c r="F1662" s="18" t="s">
        <v>3535</v>
      </c>
      <c r="G1662" s="18" t="s">
        <v>1211</v>
      </c>
      <c r="H1662" s="18" t="s">
        <v>3474</v>
      </c>
      <c r="I1662" s="20" t="s">
        <v>3536</v>
      </c>
      <c r="J1662" s="18" t="s">
        <v>58</v>
      </c>
      <c r="K1662" s="18" t="s">
        <v>24</v>
      </c>
      <c r="L1662" s="18" t="s">
        <v>25</v>
      </c>
      <c r="M1662" s="18" t="s">
        <v>39</v>
      </c>
      <c r="N1662" s="18" t="s">
        <v>26</v>
      </c>
    </row>
    <row r="1663" spans="1:14" ht="15" customHeight="1" x14ac:dyDescent="0.3">
      <c r="A1663" s="18" t="s">
        <v>3457</v>
      </c>
      <c r="B1663" s="19" t="s">
        <v>15</v>
      </c>
      <c r="C1663" s="18" t="s">
        <v>210</v>
      </c>
      <c r="D1663" s="18" t="s">
        <v>116</v>
      </c>
      <c r="E1663" s="18" t="s">
        <v>55</v>
      </c>
      <c r="F1663" s="18" t="s">
        <v>2087</v>
      </c>
      <c r="G1663" s="18" t="s">
        <v>1291</v>
      </c>
      <c r="H1663" s="18" t="s">
        <v>3462</v>
      </c>
      <c r="I1663" s="20" t="s">
        <v>3537</v>
      </c>
      <c r="J1663" s="18" t="s">
        <v>58</v>
      </c>
      <c r="K1663" s="18" t="s">
        <v>24</v>
      </c>
      <c r="L1663" s="18" t="s">
        <v>25</v>
      </c>
      <c r="N1663" s="18" t="s">
        <v>26</v>
      </c>
    </row>
    <row r="1664" spans="1:14" ht="15" customHeight="1" x14ac:dyDescent="0.3">
      <c r="A1664" s="18" t="s">
        <v>3457</v>
      </c>
      <c r="B1664" s="19" t="s">
        <v>15</v>
      </c>
      <c r="C1664" s="18" t="s">
        <v>210</v>
      </c>
      <c r="D1664" s="18" t="s">
        <v>116</v>
      </c>
      <c r="E1664" s="18" t="s">
        <v>55</v>
      </c>
      <c r="F1664" s="18" t="s">
        <v>3538</v>
      </c>
      <c r="G1664" s="18" t="s">
        <v>85</v>
      </c>
      <c r="H1664" s="18" t="s">
        <v>3471</v>
      </c>
      <c r="I1664" s="20" t="s">
        <v>3539</v>
      </c>
      <c r="J1664" s="18" t="s">
        <v>58</v>
      </c>
      <c r="K1664" s="18" t="s">
        <v>24</v>
      </c>
      <c r="L1664" s="18" t="s">
        <v>25</v>
      </c>
      <c r="N1664" s="18" t="s">
        <v>26</v>
      </c>
    </row>
    <row r="1665" spans="1:14" ht="15" customHeight="1" x14ac:dyDescent="0.3">
      <c r="A1665" s="18" t="s">
        <v>3457</v>
      </c>
      <c r="B1665" s="19" t="s">
        <v>15</v>
      </c>
      <c r="C1665" s="18" t="s">
        <v>210</v>
      </c>
      <c r="D1665" s="18" t="s">
        <v>116</v>
      </c>
      <c r="E1665" s="18" t="s">
        <v>55</v>
      </c>
      <c r="F1665" s="18" t="s">
        <v>3540</v>
      </c>
      <c r="G1665" s="18" t="s">
        <v>619</v>
      </c>
      <c r="H1665" s="18" t="s">
        <v>3471</v>
      </c>
      <c r="I1665" s="20" t="s">
        <v>3541</v>
      </c>
      <c r="J1665" s="18" t="s">
        <v>58</v>
      </c>
      <c r="K1665" s="18" t="s">
        <v>24</v>
      </c>
      <c r="L1665" s="18" t="s">
        <v>25</v>
      </c>
      <c r="N1665" s="18" t="s">
        <v>26</v>
      </c>
    </row>
    <row r="1666" spans="1:14" ht="15" customHeight="1" x14ac:dyDescent="0.3">
      <c r="A1666" s="18" t="s">
        <v>3457</v>
      </c>
      <c r="B1666" s="19" t="s">
        <v>15</v>
      </c>
      <c r="C1666" s="18" t="s">
        <v>210</v>
      </c>
      <c r="D1666" s="18" t="s">
        <v>116</v>
      </c>
      <c r="E1666" s="18" t="s">
        <v>55</v>
      </c>
      <c r="F1666" s="18" t="s">
        <v>1806</v>
      </c>
      <c r="G1666" s="18" t="s">
        <v>85</v>
      </c>
      <c r="H1666" s="18" t="s">
        <v>3471</v>
      </c>
      <c r="I1666" s="20" t="s">
        <v>3542</v>
      </c>
      <c r="J1666" s="18" t="s">
        <v>58</v>
      </c>
      <c r="K1666" s="18" t="s">
        <v>24</v>
      </c>
      <c r="L1666" s="18" t="s">
        <v>25</v>
      </c>
      <c r="N1666" s="18" t="s">
        <v>26</v>
      </c>
    </row>
    <row r="1667" spans="1:14" ht="15" customHeight="1" x14ac:dyDescent="0.3">
      <c r="A1667" s="18" t="s">
        <v>3457</v>
      </c>
      <c r="B1667" s="19" t="s">
        <v>15</v>
      </c>
      <c r="C1667" s="18" t="s">
        <v>210</v>
      </c>
      <c r="D1667" s="18" t="s">
        <v>116</v>
      </c>
      <c r="E1667" s="18" t="s">
        <v>55</v>
      </c>
      <c r="F1667" s="18" t="s">
        <v>3543</v>
      </c>
      <c r="G1667" s="18" t="s">
        <v>41</v>
      </c>
      <c r="H1667" s="18" t="s">
        <v>3471</v>
      </c>
      <c r="I1667" s="20" t="s">
        <v>3544</v>
      </c>
      <c r="J1667" s="18" t="s">
        <v>58</v>
      </c>
      <c r="K1667" s="18" t="s">
        <v>24</v>
      </c>
      <c r="L1667" s="18" t="s">
        <v>25</v>
      </c>
      <c r="N1667" s="18" t="s">
        <v>26</v>
      </c>
    </row>
    <row r="1668" spans="1:14" ht="15" customHeight="1" x14ac:dyDescent="0.3">
      <c r="A1668" s="18" t="s">
        <v>3457</v>
      </c>
      <c r="B1668" s="19" t="s">
        <v>15</v>
      </c>
      <c r="C1668" s="18" t="s">
        <v>210</v>
      </c>
      <c r="D1668" s="18" t="s">
        <v>116</v>
      </c>
      <c r="E1668" s="18" t="s">
        <v>55</v>
      </c>
      <c r="F1668" s="18" t="s">
        <v>3545</v>
      </c>
      <c r="G1668" s="18" t="s">
        <v>2245</v>
      </c>
      <c r="H1668" s="18" t="s">
        <v>3478</v>
      </c>
      <c r="I1668" s="20" t="s">
        <v>3546</v>
      </c>
      <c r="J1668" s="18" t="s">
        <v>58</v>
      </c>
      <c r="K1668" s="18" t="s">
        <v>24</v>
      </c>
      <c r="L1668" s="18" t="s">
        <v>25</v>
      </c>
      <c r="N1668" s="18" t="s">
        <v>26</v>
      </c>
    </row>
    <row r="1669" spans="1:14" ht="15" customHeight="1" x14ac:dyDescent="0.3">
      <c r="A1669" s="18" t="s">
        <v>3457</v>
      </c>
      <c r="B1669" s="19" t="s">
        <v>15</v>
      </c>
      <c r="C1669" s="18" t="s">
        <v>3464</v>
      </c>
      <c r="D1669" s="18" t="s">
        <v>116</v>
      </c>
      <c r="E1669" s="18" t="s">
        <v>55</v>
      </c>
      <c r="F1669" s="18" t="s">
        <v>3547</v>
      </c>
      <c r="G1669" s="18" t="s">
        <v>1291</v>
      </c>
      <c r="H1669" s="18" t="s">
        <v>3466</v>
      </c>
      <c r="I1669" s="20" t="s">
        <v>3548</v>
      </c>
      <c r="J1669" s="18" t="s">
        <v>58</v>
      </c>
      <c r="K1669" s="18" t="s">
        <v>24</v>
      </c>
      <c r="L1669" s="18" t="s">
        <v>25</v>
      </c>
      <c r="N1669" s="18" t="s">
        <v>26</v>
      </c>
    </row>
    <row r="1670" spans="1:14" ht="15" customHeight="1" x14ac:dyDescent="0.3">
      <c r="A1670" s="18" t="s">
        <v>3457</v>
      </c>
      <c r="B1670" s="19" t="s">
        <v>15</v>
      </c>
      <c r="C1670" s="18" t="s">
        <v>210</v>
      </c>
      <c r="D1670" s="18" t="s">
        <v>116</v>
      </c>
      <c r="E1670" s="18" t="s">
        <v>55</v>
      </c>
      <c r="F1670" s="18" t="s">
        <v>3549</v>
      </c>
      <c r="G1670" s="18" t="s">
        <v>273</v>
      </c>
      <c r="H1670" s="18" t="s">
        <v>3458</v>
      </c>
      <c r="I1670" s="20" t="s">
        <v>3550</v>
      </c>
      <c r="J1670" s="18" t="s">
        <v>58</v>
      </c>
      <c r="K1670" s="18" t="s">
        <v>24</v>
      </c>
      <c r="L1670" s="18" t="s">
        <v>25</v>
      </c>
      <c r="N1670" s="18" t="s">
        <v>26</v>
      </c>
    </row>
    <row r="1671" spans="1:14" ht="15" customHeight="1" x14ac:dyDescent="0.3">
      <c r="A1671" s="18" t="s">
        <v>3457</v>
      </c>
      <c r="B1671" s="19" t="s">
        <v>15</v>
      </c>
      <c r="C1671" s="18" t="s">
        <v>210</v>
      </c>
      <c r="D1671" s="18" t="s">
        <v>116</v>
      </c>
      <c r="E1671" s="18" t="s">
        <v>55</v>
      </c>
      <c r="F1671" s="18" t="s">
        <v>3551</v>
      </c>
      <c r="G1671" s="18" t="s">
        <v>273</v>
      </c>
      <c r="H1671" s="18" t="s">
        <v>3458</v>
      </c>
      <c r="I1671" s="20" t="s">
        <v>3552</v>
      </c>
      <c r="J1671" s="18" t="s">
        <v>58</v>
      </c>
      <c r="K1671" s="18" t="s">
        <v>24</v>
      </c>
      <c r="L1671" s="18" t="s">
        <v>25</v>
      </c>
      <c r="M1671" s="18" t="s">
        <v>39</v>
      </c>
      <c r="N1671" s="18" t="s">
        <v>26</v>
      </c>
    </row>
    <row r="1672" spans="1:14" ht="15" customHeight="1" x14ac:dyDescent="0.3">
      <c r="A1672" s="18" t="s">
        <v>3457</v>
      </c>
      <c r="B1672" s="19" t="s">
        <v>15</v>
      </c>
      <c r="C1672" s="18" t="s">
        <v>210</v>
      </c>
      <c r="D1672" s="18" t="s">
        <v>116</v>
      </c>
      <c r="E1672" s="18" t="s">
        <v>55</v>
      </c>
      <c r="F1672" s="18" t="s">
        <v>3553</v>
      </c>
      <c r="G1672" s="18" t="s">
        <v>273</v>
      </c>
      <c r="H1672" s="18" t="s">
        <v>3458</v>
      </c>
      <c r="I1672" s="20" t="s">
        <v>3554</v>
      </c>
      <c r="J1672" s="18" t="s">
        <v>58</v>
      </c>
      <c r="K1672" s="18" t="s">
        <v>24</v>
      </c>
      <c r="L1672" s="18" t="s">
        <v>25</v>
      </c>
      <c r="N1672" s="18" t="s">
        <v>26</v>
      </c>
    </row>
    <row r="1673" spans="1:14" ht="15" customHeight="1" x14ac:dyDescent="0.3">
      <c r="A1673" s="18" t="s">
        <v>3457</v>
      </c>
      <c r="B1673" s="19" t="s">
        <v>15</v>
      </c>
      <c r="C1673" s="18" t="s">
        <v>210</v>
      </c>
      <c r="D1673" s="18" t="s">
        <v>116</v>
      </c>
      <c r="E1673" s="18" t="s">
        <v>55</v>
      </c>
      <c r="F1673" s="18" t="s">
        <v>1026</v>
      </c>
      <c r="G1673" s="18" t="s">
        <v>2841</v>
      </c>
      <c r="H1673" s="18" t="s">
        <v>3458</v>
      </c>
      <c r="I1673" s="20" t="s">
        <v>3555</v>
      </c>
      <c r="J1673" s="18" t="s">
        <v>58</v>
      </c>
      <c r="K1673" s="18" t="s">
        <v>24</v>
      </c>
      <c r="L1673" s="18" t="s">
        <v>25</v>
      </c>
      <c r="N1673" s="18" t="s">
        <v>26</v>
      </c>
    </row>
    <row r="1674" spans="1:14" ht="15" customHeight="1" x14ac:dyDescent="0.3">
      <c r="A1674" s="18" t="s">
        <v>3457</v>
      </c>
      <c r="B1674" s="19" t="s">
        <v>15</v>
      </c>
      <c r="C1674" s="18" t="s">
        <v>210</v>
      </c>
      <c r="D1674" s="18" t="s">
        <v>116</v>
      </c>
      <c r="E1674" s="18" t="s">
        <v>55</v>
      </c>
      <c r="F1674" s="18" t="s">
        <v>3556</v>
      </c>
      <c r="G1674" s="18" t="s">
        <v>273</v>
      </c>
      <c r="H1674" s="18" t="s">
        <v>3458</v>
      </c>
      <c r="I1674" s="20" t="s">
        <v>3557</v>
      </c>
      <c r="J1674" s="18" t="s">
        <v>58</v>
      </c>
      <c r="K1674" s="18" t="s">
        <v>24</v>
      </c>
      <c r="L1674" s="18" t="s">
        <v>25</v>
      </c>
      <c r="N1674" s="18" t="s">
        <v>26</v>
      </c>
    </row>
    <row r="1675" spans="1:14" ht="15" customHeight="1" x14ac:dyDescent="0.3">
      <c r="A1675" s="18" t="s">
        <v>3457</v>
      </c>
      <c r="B1675" s="19" t="s">
        <v>15</v>
      </c>
      <c r="C1675" s="18" t="s">
        <v>210</v>
      </c>
      <c r="D1675" s="18" t="s">
        <v>116</v>
      </c>
      <c r="E1675" s="18" t="s">
        <v>55</v>
      </c>
      <c r="F1675" s="18" t="s">
        <v>275</v>
      </c>
      <c r="G1675" s="18" t="s">
        <v>1527</v>
      </c>
      <c r="H1675" s="18" t="s">
        <v>3458</v>
      </c>
      <c r="I1675" s="20" t="s">
        <v>3558</v>
      </c>
      <c r="J1675" s="18" t="s">
        <v>73</v>
      </c>
      <c r="K1675" s="18" t="s">
        <v>24</v>
      </c>
      <c r="L1675" s="18" t="s">
        <v>25</v>
      </c>
      <c r="N1675" s="18" t="s">
        <v>26</v>
      </c>
    </row>
    <row r="1676" spans="1:14" ht="15" customHeight="1" x14ac:dyDescent="0.3">
      <c r="A1676" s="18" t="s">
        <v>3457</v>
      </c>
      <c r="B1676" s="19" t="s">
        <v>15</v>
      </c>
      <c r="C1676" s="18" t="s">
        <v>210</v>
      </c>
      <c r="D1676" s="18" t="s">
        <v>116</v>
      </c>
      <c r="E1676" s="18" t="s">
        <v>55</v>
      </c>
      <c r="F1676" s="18" t="s">
        <v>3559</v>
      </c>
      <c r="G1676" s="18" t="s">
        <v>273</v>
      </c>
      <c r="H1676" s="18" t="s">
        <v>3458</v>
      </c>
      <c r="I1676" s="20" t="s">
        <v>3560</v>
      </c>
      <c r="J1676" s="18" t="s">
        <v>58</v>
      </c>
      <c r="K1676" s="18" t="s">
        <v>24</v>
      </c>
      <c r="L1676" s="18" t="s">
        <v>25</v>
      </c>
      <c r="N1676" s="18" t="s">
        <v>26</v>
      </c>
    </row>
    <row r="1677" spans="1:14" ht="15" customHeight="1" x14ac:dyDescent="0.3">
      <c r="A1677" s="18" t="s">
        <v>3457</v>
      </c>
      <c r="B1677" s="19" t="s">
        <v>15</v>
      </c>
      <c r="C1677" s="18" t="s">
        <v>210</v>
      </c>
      <c r="D1677" s="18" t="s">
        <v>116</v>
      </c>
      <c r="E1677" s="18" t="s">
        <v>55</v>
      </c>
      <c r="F1677" s="18" t="s">
        <v>1239</v>
      </c>
      <c r="G1677" s="18" t="s">
        <v>1075</v>
      </c>
      <c r="H1677" s="18" t="s">
        <v>3468</v>
      </c>
      <c r="I1677" s="20" t="s">
        <v>3561</v>
      </c>
      <c r="J1677" s="18" t="s">
        <v>58</v>
      </c>
      <c r="K1677" s="18" t="s">
        <v>24</v>
      </c>
      <c r="L1677" s="18" t="s">
        <v>25</v>
      </c>
      <c r="N1677" s="18" t="s">
        <v>26</v>
      </c>
    </row>
    <row r="1678" spans="1:14" ht="15" customHeight="1" x14ac:dyDescent="0.3">
      <c r="A1678" s="18" t="s">
        <v>3457</v>
      </c>
      <c r="B1678" s="19" t="s">
        <v>15</v>
      </c>
      <c r="C1678" s="18" t="s">
        <v>210</v>
      </c>
      <c r="D1678" s="18" t="s">
        <v>116</v>
      </c>
      <c r="E1678" s="18" t="s">
        <v>55</v>
      </c>
      <c r="F1678" s="18" t="s">
        <v>221</v>
      </c>
      <c r="G1678" s="18" t="s">
        <v>212</v>
      </c>
      <c r="H1678" s="18" t="s">
        <v>3474</v>
      </c>
      <c r="I1678" s="20" t="s">
        <v>3562</v>
      </c>
      <c r="J1678" s="18" t="s">
        <v>58</v>
      </c>
      <c r="K1678" s="18" t="s">
        <v>24</v>
      </c>
      <c r="L1678" s="18" t="s">
        <v>25</v>
      </c>
      <c r="N1678" s="18" t="s">
        <v>26</v>
      </c>
    </row>
    <row r="1679" spans="1:14" ht="15" customHeight="1" x14ac:dyDescent="0.3">
      <c r="A1679" s="18" t="s">
        <v>3457</v>
      </c>
      <c r="B1679" s="19" t="s">
        <v>15</v>
      </c>
      <c r="C1679" s="18" t="s">
        <v>210</v>
      </c>
      <c r="D1679" s="18" t="s">
        <v>116</v>
      </c>
      <c r="E1679" s="18" t="s">
        <v>55</v>
      </c>
      <c r="F1679" s="18" t="s">
        <v>1272</v>
      </c>
      <c r="G1679" s="18" t="s">
        <v>1204</v>
      </c>
      <c r="H1679" s="18" t="s">
        <v>3474</v>
      </c>
      <c r="I1679" s="20" t="s">
        <v>3563</v>
      </c>
      <c r="J1679" s="18" t="s">
        <v>58</v>
      </c>
      <c r="K1679" s="18" t="s">
        <v>24</v>
      </c>
      <c r="L1679" s="18" t="s">
        <v>25</v>
      </c>
      <c r="N1679" s="18" t="s">
        <v>26</v>
      </c>
    </row>
    <row r="1680" spans="1:14" ht="15" customHeight="1" x14ac:dyDescent="0.3">
      <c r="A1680" s="18" t="s">
        <v>3457</v>
      </c>
      <c r="B1680" s="19" t="s">
        <v>15</v>
      </c>
      <c r="C1680" s="18" t="s">
        <v>210</v>
      </c>
      <c r="D1680" s="18" t="s">
        <v>116</v>
      </c>
      <c r="E1680" s="18" t="s">
        <v>55</v>
      </c>
      <c r="F1680" s="18" t="s">
        <v>3489</v>
      </c>
      <c r="G1680" s="18" t="s">
        <v>47</v>
      </c>
      <c r="H1680" s="18" t="s">
        <v>3474</v>
      </c>
      <c r="I1680" s="20" t="s">
        <v>3564</v>
      </c>
      <c r="J1680" s="18" t="s">
        <v>58</v>
      </c>
      <c r="K1680" s="18" t="s">
        <v>24</v>
      </c>
      <c r="L1680" s="18" t="s">
        <v>25</v>
      </c>
      <c r="N1680" s="18" t="s">
        <v>26</v>
      </c>
    </row>
    <row r="1681" spans="1:14" ht="15" customHeight="1" x14ac:dyDescent="0.3">
      <c r="A1681" s="18" t="s">
        <v>3457</v>
      </c>
      <c r="B1681" s="19" t="s">
        <v>15</v>
      </c>
      <c r="C1681" s="18" t="s">
        <v>210</v>
      </c>
      <c r="D1681" s="18" t="s">
        <v>116</v>
      </c>
      <c r="E1681" s="18" t="s">
        <v>55</v>
      </c>
      <c r="F1681" s="18" t="s">
        <v>136</v>
      </c>
      <c r="G1681" s="18" t="s">
        <v>47</v>
      </c>
      <c r="H1681" s="18" t="s">
        <v>3474</v>
      </c>
      <c r="I1681" s="20" t="s">
        <v>3565</v>
      </c>
      <c r="J1681" s="18" t="s">
        <v>58</v>
      </c>
      <c r="K1681" s="18" t="s">
        <v>24</v>
      </c>
      <c r="L1681" s="18" t="s">
        <v>25</v>
      </c>
      <c r="N1681" s="18" t="s">
        <v>26</v>
      </c>
    </row>
    <row r="1682" spans="1:14" ht="15" customHeight="1" x14ac:dyDescent="0.3">
      <c r="A1682" s="18" t="s">
        <v>3457</v>
      </c>
      <c r="B1682" s="19" t="s">
        <v>15</v>
      </c>
      <c r="C1682" s="18" t="s">
        <v>210</v>
      </c>
      <c r="D1682" s="18" t="s">
        <v>116</v>
      </c>
      <c r="E1682" s="18" t="s">
        <v>55</v>
      </c>
      <c r="F1682" s="18" t="s">
        <v>34</v>
      </c>
      <c r="G1682" s="18" t="s">
        <v>34</v>
      </c>
      <c r="H1682" s="18" t="s">
        <v>3474</v>
      </c>
      <c r="I1682" s="20" t="s">
        <v>3566</v>
      </c>
      <c r="J1682" s="18" t="s">
        <v>58</v>
      </c>
      <c r="K1682" s="18" t="s">
        <v>24</v>
      </c>
      <c r="L1682" s="18" t="s">
        <v>25</v>
      </c>
      <c r="N1682" s="18" t="s">
        <v>26</v>
      </c>
    </row>
    <row r="1683" spans="1:14" ht="15" customHeight="1" x14ac:dyDescent="0.3">
      <c r="A1683" s="18" t="s">
        <v>3457</v>
      </c>
      <c r="B1683" s="19" t="s">
        <v>15</v>
      </c>
      <c r="C1683" s="18" t="s">
        <v>210</v>
      </c>
      <c r="D1683" s="18" t="s">
        <v>116</v>
      </c>
      <c r="E1683" s="18" t="s">
        <v>55</v>
      </c>
      <c r="F1683" s="18" t="s">
        <v>1276</v>
      </c>
      <c r="G1683" s="18" t="s">
        <v>1251</v>
      </c>
      <c r="H1683" s="18" t="s">
        <v>3474</v>
      </c>
      <c r="I1683" s="20" t="s">
        <v>3567</v>
      </c>
      <c r="J1683" s="18" t="s">
        <v>58</v>
      </c>
      <c r="K1683" s="18" t="s">
        <v>24</v>
      </c>
      <c r="L1683" s="18" t="s">
        <v>25</v>
      </c>
      <c r="N1683" s="18" t="s">
        <v>26</v>
      </c>
    </row>
    <row r="1684" spans="1:14" ht="15" customHeight="1" x14ac:dyDescent="0.3">
      <c r="A1684" s="18" t="s">
        <v>3457</v>
      </c>
      <c r="B1684" s="19" t="s">
        <v>15</v>
      </c>
      <c r="C1684" s="18" t="s">
        <v>210</v>
      </c>
      <c r="D1684" s="18" t="s">
        <v>116</v>
      </c>
      <c r="E1684" s="18" t="s">
        <v>55</v>
      </c>
      <c r="F1684" s="18" t="s">
        <v>3568</v>
      </c>
      <c r="G1684" s="18" t="s">
        <v>93</v>
      </c>
      <c r="H1684" s="18" t="s">
        <v>3474</v>
      </c>
      <c r="I1684" s="20" t="s">
        <v>3569</v>
      </c>
      <c r="J1684" s="18" t="s">
        <v>58</v>
      </c>
      <c r="K1684" s="18" t="s">
        <v>24</v>
      </c>
      <c r="L1684" s="18" t="s">
        <v>25</v>
      </c>
      <c r="N1684" s="18" t="s">
        <v>26</v>
      </c>
    </row>
    <row r="1685" spans="1:14" ht="15" customHeight="1" x14ac:dyDescent="0.3">
      <c r="A1685" s="18" t="s">
        <v>3457</v>
      </c>
      <c r="B1685" s="19" t="s">
        <v>15</v>
      </c>
      <c r="C1685" s="18" t="s">
        <v>210</v>
      </c>
      <c r="D1685" s="18" t="s">
        <v>116</v>
      </c>
      <c r="E1685" s="18" t="s">
        <v>55</v>
      </c>
      <c r="F1685" s="18" t="s">
        <v>3570</v>
      </c>
      <c r="G1685" s="18" t="s">
        <v>1075</v>
      </c>
      <c r="H1685" s="18" t="s">
        <v>3474</v>
      </c>
      <c r="I1685" s="20" t="s">
        <v>3571</v>
      </c>
      <c r="J1685" s="18" t="s">
        <v>58</v>
      </c>
      <c r="K1685" s="18" t="s">
        <v>24</v>
      </c>
      <c r="L1685" s="18" t="s">
        <v>25</v>
      </c>
      <c r="N1685" s="18" t="s">
        <v>26</v>
      </c>
    </row>
    <row r="1686" spans="1:14" ht="15" customHeight="1" x14ac:dyDescent="0.3">
      <c r="A1686" s="18" t="s">
        <v>3457</v>
      </c>
      <c r="B1686" s="19" t="s">
        <v>15</v>
      </c>
      <c r="C1686" s="18" t="s">
        <v>210</v>
      </c>
      <c r="D1686" s="18" t="s">
        <v>116</v>
      </c>
      <c r="E1686" s="18" t="s">
        <v>55</v>
      </c>
      <c r="F1686" s="18" t="s">
        <v>3572</v>
      </c>
      <c r="G1686" s="18" t="s">
        <v>34</v>
      </c>
      <c r="H1686" s="18" t="s">
        <v>3474</v>
      </c>
      <c r="I1686" s="20" t="s">
        <v>3573</v>
      </c>
      <c r="J1686" s="18" t="s">
        <v>58</v>
      </c>
      <c r="K1686" s="18" t="s">
        <v>24</v>
      </c>
      <c r="L1686" s="18" t="s">
        <v>25</v>
      </c>
      <c r="M1686" s="18" t="s">
        <v>39</v>
      </c>
      <c r="N1686" s="18" t="s">
        <v>26</v>
      </c>
    </row>
    <row r="1687" spans="1:14" ht="15" customHeight="1" x14ac:dyDescent="0.3">
      <c r="A1687" s="18" t="s">
        <v>3457</v>
      </c>
      <c r="B1687" s="19" t="s">
        <v>15</v>
      </c>
      <c r="C1687" s="18" t="s">
        <v>210</v>
      </c>
      <c r="D1687" s="18" t="s">
        <v>116</v>
      </c>
      <c r="E1687" s="18" t="s">
        <v>55</v>
      </c>
      <c r="F1687" s="18" t="s">
        <v>1253</v>
      </c>
      <c r="G1687" s="18" t="s">
        <v>1254</v>
      </c>
      <c r="H1687" s="18" t="s">
        <v>3474</v>
      </c>
      <c r="I1687" s="20" t="s">
        <v>3574</v>
      </c>
      <c r="J1687" s="18" t="s">
        <v>58</v>
      </c>
      <c r="K1687" s="18" t="s">
        <v>24</v>
      </c>
      <c r="L1687" s="18" t="s">
        <v>25</v>
      </c>
      <c r="N1687" s="18" t="s">
        <v>26</v>
      </c>
    </row>
    <row r="1688" spans="1:14" ht="15" customHeight="1" x14ac:dyDescent="0.3">
      <c r="A1688" s="18" t="s">
        <v>3457</v>
      </c>
      <c r="B1688" s="19" t="s">
        <v>15</v>
      </c>
      <c r="C1688" s="18" t="s">
        <v>210</v>
      </c>
      <c r="D1688" s="18" t="s">
        <v>116</v>
      </c>
      <c r="E1688" s="18" t="s">
        <v>55</v>
      </c>
      <c r="F1688" s="18" t="s">
        <v>3575</v>
      </c>
      <c r="G1688" s="18" t="s">
        <v>3576</v>
      </c>
      <c r="H1688" s="18" t="s">
        <v>3478</v>
      </c>
      <c r="I1688" s="20" t="s">
        <v>3577</v>
      </c>
      <c r="J1688" s="18" t="s">
        <v>58</v>
      </c>
      <c r="K1688" s="18" t="s">
        <v>24</v>
      </c>
      <c r="L1688" s="18" t="s">
        <v>25</v>
      </c>
      <c r="N1688" s="18" t="s">
        <v>26</v>
      </c>
    </row>
    <row r="1689" spans="1:14" ht="15" customHeight="1" x14ac:dyDescent="0.3">
      <c r="A1689" s="18" t="s">
        <v>3457</v>
      </c>
      <c r="B1689" s="19" t="s">
        <v>15</v>
      </c>
      <c r="C1689" s="18" t="s">
        <v>210</v>
      </c>
      <c r="D1689" s="18" t="s">
        <v>116</v>
      </c>
      <c r="E1689" s="18" t="s">
        <v>55</v>
      </c>
      <c r="F1689" s="18" t="s">
        <v>2856</v>
      </c>
      <c r="G1689" s="18" t="s">
        <v>2857</v>
      </c>
      <c r="H1689" s="18" t="s">
        <v>3458</v>
      </c>
      <c r="I1689" s="20" t="s">
        <v>3578</v>
      </c>
      <c r="J1689" s="18" t="s">
        <v>58</v>
      </c>
      <c r="K1689" s="18" t="s">
        <v>24</v>
      </c>
      <c r="L1689" s="18" t="s">
        <v>25</v>
      </c>
      <c r="N1689" s="18" t="s">
        <v>26</v>
      </c>
    </row>
    <row r="1690" spans="1:14" ht="15" customHeight="1" x14ac:dyDescent="0.3">
      <c r="A1690" s="18" t="s">
        <v>3457</v>
      </c>
      <c r="B1690" s="19" t="s">
        <v>15</v>
      </c>
      <c r="C1690" s="18" t="s">
        <v>210</v>
      </c>
      <c r="D1690" s="18" t="s">
        <v>116</v>
      </c>
      <c r="E1690" s="18" t="s">
        <v>55</v>
      </c>
      <c r="F1690" s="18" t="s">
        <v>3579</v>
      </c>
      <c r="G1690" s="18" t="s">
        <v>3580</v>
      </c>
      <c r="H1690" s="18" t="s">
        <v>3458</v>
      </c>
      <c r="I1690" s="20" t="s">
        <v>3581</v>
      </c>
      <c r="J1690" s="18" t="s">
        <v>58</v>
      </c>
      <c r="K1690" s="18" t="s">
        <v>24</v>
      </c>
      <c r="L1690" s="18" t="s">
        <v>25</v>
      </c>
      <c r="N1690" s="18" t="s">
        <v>26</v>
      </c>
    </row>
    <row r="1691" spans="1:14" ht="15" customHeight="1" x14ac:dyDescent="0.3">
      <c r="A1691" s="18" t="s">
        <v>3457</v>
      </c>
      <c r="B1691" s="19" t="s">
        <v>15</v>
      </c>
      <c r="C1691" s="18" t="s">
        <v>210</v>
      </c>
      <c r="D1691" s="18" t="s">
        <v>116</v>
      </c>
      <c r="E1691" s="18" t="s">
        <v>55</v>
      </c>
      <c r="F1691" s="18" t="s">
        <v>2605</v>
      </c>
      <c r="G1691" s="18" t="s">
        <v>2380</v>
      </c>
      <c r="H1691" s="18" t="s">
        <v>3512</v>
      </c>
      <c r="I1691" s="20" t="s">
        <v>3582</v>
      </c>
      <c r="J1691" s="18" t="s">
        <v>58</v>
      </c>
      <c r="K1691" s="18" t="s">
        <v>24</v>
      </c>
      <c r="L1691" s="18" t="s">
        <v>25</v>
      </c>
      <c r="N1691" s="18" t="s">
        <v>26</v>
      </c>
    </row>
    <row r="1692" spans="1:14" ht="15" customHeight="1" x14ac:dyDescent="0.3">
      <c r="A1692" s="18" t="s">
        <v>3457</v>
      </c>
      <c r="B1692" s="19" t="s">
        <v>15</v>
      </c>
      <c r="C1692" s="18" t="s">
        <v>210</v>
      </c>
      <c r="D1692" s="18" t="s">
        <v>116</v>
      </c>
      <c r="E1692" s="18" t="s">
        <v>55</v>
      </c>
      <c r="F1692" s="18" t="s">
        <v>281</v>
      </c>
      <c r="G1692" s="18" t="s">
        <v>2862</v>
      </c>
      <c r="H1692" s="18" t="s">
        <v>3458</v>
      </c>
      <c r="I1692" s="20" t="s">
        <v>3583</v>
      </c>
      <c r="J1692" s="18" t="s">
        <v>58</v>
      </c>
      <c r="K1692" s="18" t="s">
        <v>24</v>
      </c>
      <c r="L1692" s="18" t="s">
        <v>25</v>
      </c>
      <c r="N1692" s="18" t="s">
        <v>26</v>
      </c>
    </row>
    <row r="1693" spans="1:14" ht="15" customHeight="1" x14ac:dyDescent="0.3">
      <c r="A1693" s="18" t="s">
        <v>3457</v>
      </c>
      <c r="B1693" s="19" t="s">
        <v>15</v>
      </c>
      <c r="C1693" s="18" t="s">
        <v>210</v>
      </c>
      <c r="D1693" s="18" t="s">
        <v>116</v>
      </c>
      <c r="E1693" s="18" t="s">
        <v>55</v>
      </c>
      <c r="F1693" s="18" t="s">
        <v>284</v>
      </c>
      <c r="G1693" s="18" t="s">
        <v>2865</v>
      </c>
      <c r="H1693" s="18" t="s">
        <v>3458</v>
      </c>
      <c r="I1693" s="20" t="s">
        <v>3584</v>
      </c>
      <c r="J1693" s="18" t="s">
        <v>58</v>
      </c>
      <c r="K1693" s="18" t="s">
        <v>24</v>
      </c>
      <c r="L1693" s="18" t="s">
        <v>25</v>
      </c>
      <c r="N1693" s="18" t="s">
        <v>26</v>
      </c>
    </row>
    <row r="1694" spans="1:14" ht="15" customHeight="1" x14ac:dyDescent="0.3">
      <c r="A1694" s="18" t="s">
        <v>3457</v>
      </c>
      <c r="B1694" s="19" t="s">
        <v>15</v>
      </c>
      <c r="C1694" s="18" t="s">
        <v>210</v>
      </c>
      <c r="D1694" s="18" t="s">
        <v>116</v>
      </c>
      <c r="E1694" s="18" t="s">
        <v>55</v>
      </c>
      <c r="F1694" s="18" t="s">
        <v>578</v>
      </c>
      <c r="G1694" s="18" t="s">
        <v>80</v>
      </c>
      <c r="H1694" s="18" t="s">
        <v>3468</v>
      </c>
      <c r="I1694" s="20" t="s">
        <v>3585</v>
      </c>
      <c r="J1694" s="18" t="s">
        <v>58</v>
      </c>
      <c r="K1694" s="18" t="s">
        <v>24</v>
      </c>
      <c r="L1694" s="18" t="s">
        <v>25</v>
      </c>
      <c r="M1694" s="18" t="s">
        <v>39</v>
      </c>
      <c r="N1694" s="18" t="s">
        <v>26</v>
      </c>
    </row>
    <row r="1695" spans="1:14" ht="15" customHeight="1" x14ac:dyDescent="0.3">
      <c r="A1695" s="18" t="s">
        <v>3457</v>
      </c>
      <c r="B1695" s="19" t="s">
        <v>15</v>
      </c>
      <c r="C1695" s="18" t="s">
        <v>210</v>
      </c>
      <c r="D1695" s="18" t="s">
        <v>116</v>
      </c>
      <c r="E1695" s="18" t="s">
        <v>55</v>
      </c>
      <c r="F1695" s="18" t="s">
        <v>3398</v>
      </c>
      <c r="G1695" s="18" t="s">
        <v>85</v>
      </c>
      <c r="H1695" s="18" t="s">
        <v>3471</v>
      </c>
      <c r="I1695" s="20" t="s">
        <v>3586</v>
      </c>
      <c r="J1695" s="18" t="s">
        <v>58</v>
      </c>
      <c r="K1695" s="18" t="s">
        <v>24</v>
      </c>
      <c r="L1695" s="18" t="s">
        <v>25</v>
      </c>
      <c r="N1695" s="18" t="s">
        <v>26</v>
      </c>
    </row>
    <row r="1696" spans="1:14" ht="15" customHeight="1" x14ac:dyDescent="0.3">
      <c r="A1696" s="18" t="s">
        <v>3457</v>
      </c>
      <c r="B1696" s="19" t="s">
        <v>15</v>
      </c>
      <c r="C1696" s="18" t="s">
        <v>210</v>
      </c>
      <c r="D1696" s="18" t="s">
        <v>116</v>
      </c>
      <c r="E1696" s="18" t="s">
        <v>55</v>
      </c>
      <c r="F1696" s="18" t="s">
        <v>580</v>
      </c>
      <c r="G1696" s="18" t="s">
        <v>20</v>
      </c>
      <c r="H1696" s="18" t="s">
        <v>3468</v>
      </c>
      <c r="I1696" s="20" t="s">
        <v>3587</v>
      </c>
      <c r="J1696" s="18" t="s">
        <v>58</v>
      </c>
      <c r="K1696" s="18" t="s">
        <v>24</v>
      </c>
      <c r="L1696" s="18" t="s">
        <v>25</v>
      </c>
      <c r="N1696" s="18" t="s">
        <v>26</v>
      </c>
    </row>
    <row r="1697" spans="1:14" ht="15" customHeight="1" x14ac:dyDescent="0.3">
      <c r="A1697" s="18" t="s">
        <v>3457</v>
      </c>
      <c r="B1697" s="19" t="s">
        <v>15</v>
      </c>
      <c r="C1697" s="18" t="s">
        <v>210</v>
      </c>
      <c r="D1697" s="18" t="s">
        <v>116</v>
      </c>
      <c r="E1697" s="18" t="s">
        <v>55</v>
      </c>
      <c r="F1697" s="18" t="s">
        <v>3588</v>
      </c>
      <c r="G1697" s="18" t="s">
        <v>207</v>
      </c>
      <c r="H1697" s="18" t="s">
        <v>3462</v>
      </c>
      <c r="I1697" s="20" t="s">
        <v>3589</v>
      </c>
      <c r="J1697" s="18" t="s">
        <v>58</v>
      </c>
      <c r="K1697" s="18" t="s">
        <v>24</v>
      </c>
      <c r="L1697" s="18" t="s">
        <v>25</v>
      </c>
      <c r="N1697" s="18" t="s">
        <v>26</v>
      </c>
    </row>
    <row r="1698" spans="1:14" ht="15" customHeight="1" x14ac:dyDescent="0.3">
      <c r="A1698" s="18" t="s">
        <v>3457</v>
      </c>
      <c r="B1698" s="19" t="s">
        <v>15</v>
      </c>
      <c r="C1698" s="18" t="s">
        <v>210</v>
      </c>
      <c r="D1698" s="18" t="s">
        <v>116</v>
      </c>
      <c r="E1698" s="18" t="s">
        <v>55</v>
      </c>
      <c r="F1698" s="18" t="s">
        <v>3590</v>
      </c>
      <c r="G1698" s="18" t="s">
        <v>564</v>
      </c>
      <c r="H1698" s="18" t="s">
        <v>3471</v>
      </c>
      <c r="I1698" s="20" t="s">
        <v>3591</v>
      </c>
      <c r="J1698" s="18" t="s">
        <v>58</v>
      </c>
      <c r="K1698" s="18" t="s">
        <v>24</v>
      </c>
      <c r="L1698" s="18" t="s">
        <v>25</v>
      </c>
      <c r="N1698" s="18" t="s">
        <v>26</v>
      </c>
    </row>
    <row r="1699" spans="1:14" ht="15" customHeight="1" x14ac:dyDescent="0.3">
      <c r="A1699" s="18" t="s">
        <v>3457</v>
      </c>
      <c r="B1699" s="19" t="s">
        <v>15</v>
      </c>
      <c r="C1699" s="18" t="s">
        <v>210</v>
      </c>
      <c r="D1699" s="18" t="s">
        <v>116</v>
      </c>
      <c r="E1699" s="18" t="s">
        <v>55</v>
      </c>
      <c r="F1699" s="18" t="s">
        <v>1866</v>
      </c>
      <c r="G1699" s="18" t="s">
        <v>433</v>
      </c>
      <c r="H1699" s="18" t="s">
        <v>3468</v>
      </c>
      <c r="I1699" s="20" t="s">
        <v>3592</v>
      </c>
      <c r="J1699" s="18" t="s">
        <v>58</v>
      </c>
      <c r="K1699" s="18" t="s">
        <v>24</v>
      </c>
      <c r="L1699" s="18" t="s">
        <v>25</v>
      </c>
      <c r="N1699" s="18" t="s">
        <v>26</v>
      </c>
    </row>
    <row r="1700" spans="1:14" ht="15" customHeight="1" x14ac:dyDescent="0.3">
      <c r="A1700" s="18" t="s">
        <v>3457</v>
      </c>
      <c r="B1700" s="19" t="s">
        <v>15</v>
      </c>
      <c r="C1700" s="18" t="s">
        <v>210</v>
      </c>
      <c r="D1700" s="18" t="s">
        <v>116</v>
      </c>
      <c r="E1700" s="18" t="s">
        <v>55</v>
      </c>
      <c r="F1700" s="18" t="s">
        <v>3593</v>
      </c>
      <c r="G1700" s="18" t="s">
        <v>41</v>
      </c>
      <c r="H1700" s="18" t="s">
        <v>3471</v>
      </c>
      <c r="I1700" s="20" t="s">
        <v>3594</v>
      </c>
      <c r="J1700" s="18" t="s">
        <v>58</v>
      </c>
      <c r="K1700" s="18" t="s">
        <v>24</v>
      </c>
      <c r="L1700" s="18" t="s">
        <v>25</v>
      </c>
      <c r="N1700" s="18" t="s">
        <v>26</v>
      </c>
    </row>
    <row r="1701" spans="1:14" ht="15" customHeight="1" x14ac:dyDescent="0.3">
      <c r="A1701" s="18" t="s">
        <v>3457</v>
      </c>
      <c r="B1701" s="19" t="s">
        <v>15</v>
      </c>
      <c r="C1701" s="18" t="s">
        <v>210</v>
      </c>
      <c r="D1701" s="18" t="s">
        <v>116</v>
      </c>
      <c r="E1701" s="18" t="s">
        <v>55</v>
      </c>
      <c r="F1701" s="18" t="s">
        <v>3595</v>
      </c>
      <c r="G1701" s="18" t="s">
        <v>3596</v>
      </c>
      <c r="H1701" s="18" t="s">
        <v>3458</v>
      </c>
      <c r="I1701" s="20" t="s">
        <v>3597</v>
      </c>
      <c r="J1701" s="18" t="s">
        <v>58</v>
      </c>
      <c r="K1701" s="18" t="s">
        <v>24</v>
      </c>
      <c r="L1701" s="18" t="s">
        <v>25</v>
      </c>
      <c r="N1701" s="18" t="s">
        <v>26</v>
      </c>
    </row>
    <row r="1702" spans="1:14" ht="15" customHeight="1" x14ac:dyDescent="0.3">
      <c r="A1702" s="18" t="s">
        <v>3457</v>
      </c>
      <c r="B1702" s="19" t="s">
        <v>15</v>
      </c>
      <c r="C1702" s="18" t="s">
        <v>210</v>
      </c>
      <c r="D1702" s="18" t="s">
        <v>116</v>
      </c>
      <c r="E1702" s="18" t="s">
        <v>55</v>
      </c>
      <c r="F1702" s="18" t="s">
        <v>3598</v>
      </c>
      <c r="G1702" s="18" t="s">
        <v>273</v>
      </c>
      <c r="H1702" s="18" t="s">
        <v>3599</v>
      </c>
      <c r="I1702" s="20" t="s">
        <v>3600</v>
      </c>
      <c r="J1702" s="18" t="s">
        <v>58</v>
      </c>
      <c r="K1702" s="18" t="s">
        <v>24</v>
      </c>
      <c r="L1702" s="18" t="s">
        <v>25</v>
      </c>
      <c r="N1702" s="18" t="s">
        <v>26</v>
      </c>
    </row>
    <row r="1703" spans="1:14" ht="15" customHeight="1" x14ac:dyDescent="0.3">
      <c r="A1703" s="18" t="s">
        <v>3457</v>
      </c>
      <c r="B1703" s="19" t="s">
        <v>15</v>
      </c>
      <c r="C1703" s="18" t="s">
        <v>210</v>
      </c>
      <c r="D1703" s="18" t="s">
        <v>116</v>
      </c>
      <c r="E1703" s="18" t="s">
        <v>55</v>
      </c>
      <c r="F1703" s="18" t="s">
        <v>3506</v>
      </c>
      <c r="G1703" s="18" t="s">
        <v>1340</v>
      </c>
      <c r="H1703" s="18" t="s">
        <v>3462</v>
      </c>
      <c r="I1703" s="20" t="s">
        <v>3601</v>
      </c>
      <c r="J1703" s="18" t="s">
        <v>58</v>
      </c>
      <c r="K1703" s="18" t="s">
        <v>24</v>
      </c>
      <c r="L1703" s="18" t="s">
        <v>25</v>
      </c>
      <c r="N1703" s="18" t="s">
        <v>26</v>
      </c>
    </row>
    <row r="1704" spans="1:14" ht="15" customHeight="1" x14ac:dyDescent="0.3">
      <c r="A1704" s="18" t="s">
        <v>3457</v>
      </c>
      <c r="B1704" s="19" t="s">
        <v>15</v>
      </c>
      <c r="C1704" s="18" t="s">
        <v>210</v>
      </c>
      <c r="D1704" s="18" t="s">
        <v>116</v>
      </c>
      <c r="E1704" s="18" t="s">
        <v>55</v>
      </c>
      <c r="F1704" s="18" t="s">
        <v>3602</v>
      </c>
      <c r="G1704" s="18" t="s">
        <v>1095</v>
      </c>
      <c r="H1704" s="18" t="s">
        <v>3474</v>
      </c>
      <c r="I1704" s="20" t="s">
        <v>3603</v>
      </c>
      <c r="J1704" s="18" t="s">
        <v>58</v>
      </c>
      <c r="K1704" s="18" t="s">
        <v>24</v>
      </c>
      <c r="L1704" s="18" t="s">
        <v>25</v>
      </c>
      <c r="N1704" s="18" t="s">
        <v>26</v>
      </c>
    </row>
    <row r="1705" spans="1:14" ht="15" customHeight="1" x14ac:dyDescent="0.3">
      <c r="A1705" s="18" t="s">
        <v>3457</v>
      </c>
      <c r="B1705" s="19" t="s">
        <v>15</v>
      </c>
      <c r="C1705" s="18" t="s">
        <v>210</v>
      </c>
      <c r="D1705" s="18" t="s">
        <v>116</v>
      </c>
      <c r="E1705" s="18" t="s">
        <v>55</v>
      </c>
      <c r="F1705" s="18" t="s">
        <v>2574</v>
      </c>
      <c r="G1705" s="18" t="s">
        <v>2574</v>
      </c>
      <c r="H1705" s="18" t="s">
        <v>3512</v>
      </c>
      <c r="I1705" s="20" t="s">
        <v>3604</v>
      </c>
      <c r="J1705" s="18" t="s">
        <v>58</v>
      </c>
      <c r="K1705" s="18" t="s">
        <v>24</v>
      </c>
      <c r="L1705" s="18" t="s">
        <v>25</v>
      </c>
      <c r="N1705" s="18" t="s">
        <v>26</v>
      </c>
    </row>
    <row r="1706" spans="1:14" ht="15" customHeight="1" x14ac:dyDescent="0.3">
      <c r="A1706" s="18" t="s">
        <v>3457</v>
      </c>
      <c r="B1706" s="19" t="s">
        <v>15</v>
      </c>
      <c r="C1706" s="18" t="s">
        <v>210</v>
      </c>
      <c r="D1706" s="18" t="s">
        <v>116</v>
      </c>
      <c r="E1706" s="18" t="s">
        <v>55</v>
      </c>
      <c r="F1706" s="18" t="s">
        <v>651</v>
      </c>
      <c r="G1706" s="18" t="s">
        <v>20</v>
      </c>
      <c r="H1706" s="18" t="s">
        <v>3468</v>
      </c>
      <c r="I1706" s="20" t="s">
        <v>3605</v>
      </c>
      <c r="J1706" s="18" t="s">
        <v>73</v>
      </c>
      <c r="K1706" s="18" t="s">
        <v>24</v>
      </c>
      <c r="L1706" s="18" t="s">
        <v>25</v>
      </c>
      <c r="N1706" s="18" t="s">
        <v>26</v>
      </c>
    </row>
    <row r="1707" spans="1:14" ht="15" customHeight="1" x14ac:dyDescent="0.3">
      <c r="A1707" s="18" t="s">
        <v>3457</v>
      </c>
      <c r="B1707" s="19" t="s">
        <v>15</v>
      </c>
      <c r="C1707" s="18" t="s">
        <v>210</v>
      </c>
      <c r="D1707" s="18" t="s">
        <v>116</v>
      </c>
      <c r="E1707" s="18" t="s">
        <v>55</v>
      </c>
      <c r="F1707" s="18" t="s">
        <v>3521</v>
      </c>
      <c r="G1707" s="18" t="s">
        <v>207</v>
      </c>
      <c r="H1707" s="18" t="s">
        <v>3462</v>
      </c>
      <c r="I1707" s="20" t="s">
        <v>3606</v>
      </c>
      <c r="J1707" s="18" t="s">
        <v>58</v>
      </c>
      <c r="K1707" s="18" t="s">
        <v>24</v>
      </c>
      <c r="L1707" s="18" t="s">
        <v>25</v>
      </c>
      <c r="N1707" s="18" t="s">
        <v>26</v>
      </c>
    </row>
    <row r="1708" spans="1:14" ht="15" customHeight="1" x14ac:dyDescent="0.3">
      <c r="A1708" s="18" t="s">
        <v>3457</v>
      </c>
      <c r="B1708" s="19" t="s">
        <v>15</v>
      </c>
      <c r="C1708" s="18" t="s">
        <v>210</v>
      </c>
      <c r="D1708" s="18" t="s">
        <v>116</v>
      </c>
      <c r="E1708" s="18" t="s">
        <v>55</v>
      </c>
      <c r="F1708" s="18" t="s">
        <v>3607</v>
      </c>
      <c r="G1708" s="18" t="s">
        <v>429</v>
      </c>
      <c r="H1708" s="18" t="s">
        <v>3468</v>
      </c>
      <c r="I1708" s="20" t="s">
        <v>3608</v>
      </c>
      <c r="J1708" s="18" t="s">
        <v>58</v>
      </c>
      <c r="K1708" s="18" t="s">
        <v>24</v>
      </c>
      <c r="L1708" s="18" t="s">
        <v>25</v>
      </c>
      <c r="N1708" s="18" t="s">
        <v>26</v>
      </c>
    </row>
    <row r="1709" spans="1:14" ht="15" customHeight="1" x14ac:dyDescent="0.3">
      <c r="A1709" s="18" t="s">
        <v>3457</v>
      </c>
      <c r="B1709" s="19" t="s">
        <v>15</v>
      </c>
      <c r="C1709" s="18" t="s">
        <v>210</v>
      </c>
      <c r="D1709" s="18" t="s">
        <v>116</v>
      </c>
      <c r="E1709" s="18" t="s">
        <v>55</v>
      </c>
      <c r="F1709" s="18" t="s">
        <v>3609</v>
      </c>
      <c r="G1709" s="18" t="s">
        <v>826</v>
      </c>
      <c r="H1709" s="18" t="s">
        <v>3468</v>
      </c>
      <c r="I1709" s="20" t="s">
        <v>3610</v>
      </c>
      <c r="J1709" s="18" t="s">
        <v>58</v>
      </c>
      <c r="K1709" s="18" t="s">
        <v>24</v>
      </c>
      <c r="L1709" s="18" t="s">
        <v>25</v>
      </c>
      <c r="N1709" s="18" t="s">
        <v>26</v>
      </c>
    </row>
    <row r="1710" spans="1:14" ht="15" customHeight="1" x14ac:dyDescent="0.3">
      <c r="A1710" s="18" t="s">
        <v>3457</v>
      </c>
      <c r="B1710" s="19" t="s">
        <v>15</v>
      </c>
      <c r="C1710" s="18" t="s">
        <v>210</v>
      </c>
      <c r="D1710" s="18" t="s">
        <v>116</v>
      </c>
      <c r="E1710" s="18" t="s">
        <v>55</v>
      </c>
      <c r="F1710" s="18" t="s">
        <v>3611</v>
      </c>
      <c r="G1710" s="18" t="s">
        <v>273</v>
      </c>
      <c r="H1710" s="18" t="s">
        <v>3458</v>
      </c>
      <c r="I1710" s="20" t="s">
        <v>3612</v>
      </c>
      <c r="J1710" s="18" t="s">
        <v>58</v>
      </c>
      <c r="K1710" s="18" t="s">
        <v>24</v>
      </c>
      <c r="L1710" s="18" t="s">
        <v>25</v>
      </c>
      <c r="N1710" s="18" t="s">
        <v>26</v>
      </c>
    </row>
    <row r="1711" spans="1:14" ht="15" customHeight="1" x14ac:dyDescent="0.3">
      <c r="A1711" s="18" t="s">
        <v>3457</v>
      </c>
      <c r="B1711" s="19" t="s">
        <v>15</v>
      </c>
      <c r="C1711" s="18" t="s">
        <v>3464</v>
      </c>
      <c r="D1711" s="18" t="s">
        <v>116</v>
      </c>
      <c r="E1711" s="18" t="s">
        <v>55</v>
      </c>
      <c r="F1711" s="18" t="s">
        <v>164</v>
      </c>
      <c r="G1711" s="18" t="s">
        <v>2245</v>
      </c>
      <c r="H1711" s="18" t="s">
        <v>3466</v>
      </c>
      <c r="I1711" s="20" t="s">
        <v>3613</v>
      </c>
      <c r="J1711" s="18" t="s">
        <v>58</v>
      </c>
      <c r="K1711" s="18" t="s">
        <v>24</v>
      </c>
      <c r="L1711" s="18" t="s">
        <v>25</v>
      </c>
      <c r="N1711" s="18" t="s">
        <v>26</v>
      </c>
    </row>
    <row r="1712" spans="1:14" ht="15" customHeight="1" x14ac:dyDescent="0.3">
      <c r="A1712" s="18" t="s">
        <v>3457</v>
      </c>
      <c r="B1712" s="19" t="s">
        <v>15</v>
      </c>
      <c r="C1712" s="18" t="s">
        <v>210</v>
      </c>
      <c r="D1712" s="18" t="s">
        <v>116</v>
      </c>
      <c r="E1712" s="18" t="s">
        <v>55</v>
      </c>
      <c r="F1712" s="18" t="s">
        <v>3614</v>
      </c>
      <c r="G1712" s="18" t="s">
        <v>429</v>
      </c>
      <c r="H1712" s="18" t="s">
        <v>3468</v>
      </c>
      <c r="I1712" s="20" t="s">
        <v>3615</v>
      </c>
      <c r="J1712" s="18" t="s">
        <v>58</v>
      </c>
      <c r="K1712" s="18" t="s">
        <v>24</v>
      </c>
      <c r="L1712" s="18" t="s">
        <v>25</v>
      </c>
      <c r="N1712" s="18" t="s">
        <v>26</v>
      </c>
    </row>
    <row r="1713" spans="1:14" ht="15" customHeight="1" x14ac:dyDescent="0.3">
      <c r="A1713" s="18" t="s">
        <v>3457</v>
      </c>
      <c r="B1713" s="19" t="s">
        <v>15</v>
      </c>
      <c r="C1713" s="18" t="s">
        <v>210</v>
      </c>
      <c r="D1713" s="18" t="s">
        <v>116</v>
      </c>
      <c r="E1713" s="18" t="s">
        <v>55</v>
      </c>
      <c r="F1713" s="18" t="s">
        <v>3616</v>
      </c>
      <c r="G1713" s="18" t="s">
        <v>606</v>
      </c>
      <c r="H1713" s="18" t="s">
        <v>3468</v>
      </c>
      <c r="I1713" s="20" t="s">
        <v>3617</v>
      </c>
      <c r="J1713" s="18" t="s">
        <v>58</v>
      </c>
      <c r="K1713" s="18" t="s">
        <v>24</v>
      </c>
      <c r="L1713" s="18" t="s">
        <v>25</v>
      </c>
      <c r="M1713" s="18" t="s">
        <v>39</v>
      </c>
      <c r="N1713" s="18" t="s">
        <v>26</v>
      </c>
    </row>
    <row r="1714" spans="1:14" ht="15" customHeight="1" x14ac:dyDescent="0.3">
      <c r="A1714" s="18" t="s">
        <v>3457</v>
      </c>
      <c r="B1714" s="19" t="s">
        <v>15</v>
      </c>
      <c r="C1714" s="18" t="s">
        <v>210</v>
      </c>
      <c r="D1714" s="18" t="s">
        <v>116</v>
      </c>
      <c r="E1714" s="18" t="s">
        <v>55</v>
      </c>
      <c r="F1714" s="18" t="s">
        <v>3618</v>
      </c>
      <c r="G1714" s="18" t="s">
        <v>3138</v>
      </c>
      <c r="H1714" s="18" t="s">
        <v>3468</v>
      </c>
      <c r="I1714" s="20" t="s">
        <v>3619</v>
      </c>
      <c r="J1714" s="18" t="s">
        <v>58</v>
      </c>
      <c r="K1714" s="18" t="s">
        <v>24</v>
      </c>
      <c r="L1714" s="18" t="s">
        <v>25</v>
      </c>
      <c r="M1714" s="18" t="s">
        <v>39</v>
      </c>
      <c r="N1714" s="18" t="s">
        <v>26</v>
      </c>
    </row>
    <row r="1715" spans="1:14" ht="15" customHeight="1" x14ac:dyDescent="0.3">
      <c r="A1715" s="18" t="s">
        <v>3457</v>
      </c>
      <c r="B1715" s="19" t="s">
        <v>15</v>
      </c>
      <c r="C1715" s="18" t="s">
        <v>210</v>
      </c>
      <c r="D1715" s="18" t="s">
        <v>116</v>
      </c>
      <c r="E1715" s="18" t="s">
        <v>74</v>
      </c>
      <c r="F1715" s="18" t="s">
        <v>3620</v>
      </c>
      <c r="G1715" s="18" t="s">
        <v>2245</v>
      </c>
      <c r="H1715" s="18" t="s">
        <v>3621</v>
      </c>
      <c r="I1715" s="20" t="s">
        <v>3622</v>
      </c>
      <c r="J1715" s="18" t="s">
        <v>199</v>
      </c>
      <c r="K1715" s="18" t="s">
        <v>24</v>
      </c>
      <c r="L1715" s="18" t="s">
        <v>25</v>
      </c>
      <c r="N1715" s="18" t="s">
        <v>26</v>
      </c>
    </row>
    <row r="1716" spans="1:14" ht="15" customHeight="1" x14ac:dyDescent="0.3">
      <c r="A1716" s="18" t="s">
        <v>3457</v>
      </c>
      <c r="B1716" s="19" t="s">
        <v>15</v>
      </c>
      <c r="C1716" s="18" t="s">
        <v>210</v>
      </c>
      <c r="D1716" s="18" t="s">
        <v>116</v>
      </c>
      <c r="E1716" s="18" t="s">
        <v>74</v>
      </c>
      <c r="F1716" s="18" t="s">
        <v>3623</v>
      </c>
      <c r="G1716" s="18" t="s">
        <v>606</v>
      </c>
      <c r="H1716" s="18" t="s">
        <v>3624</v>
      </c>
      <c r="I1716" s="20" t="s">
        <v>3625</v>
      </c>
      <c r="J1716" s="18" t="s">
        <v>3626</v>
      </c>
      <c r="K1716" s="18" t="s">
        <v>24</v>
      </c>
      <c r="L1716" s="18" t="s">
        <v>25</v>
      </c>
      <c r="N1716" s="18" t="s">
        <v>26</v>
      </c>
    </row>
    <row r="1717" spans="1:14" ht="15" customHeight="1" x14ac:dyDescent="0.3">
      <c r="A1717" s="18" t="s">
        <v>3457</v>
      </c>
      <c r="B1717" s="19" t="s">
        <v>15</v>
      </c>
      <c r="C1717" s="18" t="s">
        <v>210</v>
      </c>
      <c r="D1717" s="18" t="s">
        <v>116</v>
      </c>
      <c r="E1717" s="18" t="s">
        <v>74</v>
      </c>
      <c r="F1717" s="18" t="s">
        <v>3627</v>
      </c>
      <c r="G1717" s="18" t="s">
        <v>207</v>
      </c>
      <c r="H1717" s="18" t="s">
        <v>3628</v>
      </c>
      <c r="I1717" s="20" t="s">
        <v>3629</v>
      </c>
      <c r="J1717" s="18" t="s">
        <v>1560</v>
      </c>
      <c r="K1717" s="18" t="s">
        <v>24</v>
      </c>
      <c r="L1717" s="18" t="s">
        <v>25</v>
      </c>
      <c r="N1717" s="18" t="s">
        <v>26</v>
      </c>
    </row>
    <row r="1718" spans="1:14" ht="15" customHeight="1" x14ac:dyDescent="0.3">
      <c r="A1718" s="18" t="s">
        <v>3457</v>
      </c>
      <c r="B1718" s="19" t="s">
        <v>15</v>
      </c>
      <c r="C1718" s="18" t="s">
        <v>210</v>
      </c>
      <c r="D1718" s="18" t="s">
        <v>116</v>
      </c>
      <c r="E1718" s="18" t="s">
        <v>74</v>
      </c>
      <c r="F1718" s="18" t="s">
        <v>3630</v>
      </c>
      <c r="G1718" s="18" t="s">
        <v>165</v>
      </c>
      <c r="H1718" s="18" t="s">
        <v>3631</v>
      </c>
      <c r="I1718" s="20" t="s">
        <v>3632</v>
      </c>
      <c r="J1718" s="18" t="s">
        <v>3633</v>
      </c>
      <c r="K1718" s="18" t="s">
        <v>24</v>
      </c>
      <c r="L1718" s="18" t="s">
        <v>25</v>
      </c>
      <c r="N1718" s="18" t="s">
        <v>26</v>
      </c>
    </row>
    <row r="1719" spans="1:14" ht="15" customHeight="1" x14ac:dyDescent="0.3">
      <c r="A1719" s="18" t="s">
        <v>3457</v>
      </c>
      <c r="B1719" s="19" t="s">
        <v>15</v>
      </c>
      <c r="C1719" s="18" t="s">
        <v>210</v>
      </c>
      <c r="D1719" s="18" t="s">
        <v>116</v>
      </c>
      <c r="E1719" s="18" t="s">
        <v>74</v>
      </c>
      <c r="F1719" s="18" t="s">
        <v>3634</v>
      </c>
      <c r="G1719" s="18" t="s">
        <v>207</v>
      </c>
      <c r="H1719" s="18" t="s">
        <v>3635</v>
      </c>
      <c r="I1719" s="20" t="s">
        <v>3636</v>
      </c>
      <c r="J1719" s="18" t="s">
        <v>199</v>
      </c>
      <c r="K1719" s="18" t="s">
        <v>293</v>
      </c>
      <c r="L1719" s="18" t="s">
        <v>25</v>
      </c>
      <c r="N1719" s="18" t="s">
        <v>26</v>
      </c>
    </row>
    <row r="1720" spans="1:14" ht="15" customHeight="1" x14ac:dyDescent="0.3">
      <c r="A1720" s="18" t="s">
        <v>3457</v>
      </c>
      <c r="B1720" s="19" t="s">
        <v>15</v>
      </c>
      <c r="C1720" s="18" t="s">
        <v>210</v>
      </c>
      <c r="D1720" s="18" t="s">
        <v>116</v>
      </c>
      <c r="E1720" s="18" t="s">
        <v>74</v>
      </c>
      <c r="F1720" s="18" t="s">
        <v>3637</v>
      </c>
      <c r="G1720" s="18" t="s">
        <v>207</v>
      </c>
      <c r="H1720" s="18" t="s">
        <v>3628</v>
      </c>
      <c r="I1720" s="20" t="s">
        <v>3638</v>
      </c>
      <c r="J1720" s="18" t="s">
        <v>832</v>
      </c>
      <c r="K1720" s="18" t="s">
        <v>24</v>
      </c>
      <c r="L1720" s="18" t="s">
        <v>25</v>
      </c>
      <c r="N1720" s="18" t="s">
        <v>26</v>
      </c>
    </row>
    <row r="1721" spans="1:14" ht="15" customHeight="1" x14ac:dyDescent="0.3">
      <c r="A1721" s="18" t="s">
        <v>3457</v>
      </c>
      <c r="B1721" s="19" t="s">
        <v>15</v>
      </c>
      <c r="C1721" s="18" t="s">
        <v>210</v>
      </c>
      <c r="D1721" s="18" t="s">
        <v>116</v>
      </c>
      <c r="E1721" s="18" t="s">
        <v>74</v>
      </c>
      <c r="F1721" s="18" t="s">
        <v>3639</v>
      </c>
      <c r="G1721" s="18" t="s">
        <v>207</v>
      </c>
      <c r="H1721" s="18" t="s">
        <v>3640</v>
      </c>
      <c r="I1721" s="20" t="s">
        <v>3641</v>
      </c>
      <c r="J1721" s="18" t="s">
        <v>3642</v>
      </c>
      <c r="K1721" s="18" t="s">
        <v>24</v>
      </c>
      <c r="L1721" s="18" t="s">
        <v>25</v>
      </c>
      <c r="N1721" s="18" t="s">
        <v>26</v>
      </c>
    </row>
    <row r="1722" spans="1:14" ht="15" customHeight="1" x14ac:dyDescent="0.3">
      <c r="A1722" s="18" t="s">
        <v>3457</v>
      </c>
      <c r="B1722" s="19" t="s">
        <v>15</v>
      </c>
      <c r="C1722" s="18" t="s">
        <v>210</v>
      </c>
      <c r="D1722" s="18" t="s">
        <v>116</v>
      </c>
      <c r="E1722" s="18" t="s">
        <v>74</v>
      </c>
      <c r="F1722" s="18" t="s">
        <v>3643</v>
      </c>
      <c r="G1722" s="18" t="s">
        <v>212</v>
      </c>
      <c r="H1722" s="18" t="s">
        <v>3644</v>
      </c>
      <c r="I1722" s="20" t="s">
        <v>3645</v>
      </c>
      <c r="J1722" s="18" t="s">
        <v>3646</v>
      </c>
      <c r="K1722" s="18" t="s">
        <v>24</v>
      </c>
      <c r="L1722" s="18" t="s">
        <v>25</v>
      </c>
      <c r="N1722" s="18" t="s">
        <v>26</v>
      </c>
    </row>
    <row r="1723" spans="1:14" ht="15" customHeight="1" x14ac:dyDescent="0.3">
      <c r="A1723" s="18" t="s">
        <v>3457</v>
      </c>
      <c r="B1723" s="19" t="s">
        <v>15</v>
      </c>
      <c r="C1723" s="18" t="s">
        <v>210</v>
      </c>
      <c r="D1723" s="18" t="s">
        <v>116</v>
      </c>
      <c r="E1723" s="18" t="s">
        <v>74</v>
      </c>
      <c r="F1723" s="18" t="s">
        <v>2765</v>
      </c>
      <c r="G1723" s="18" t="s">
        <v>85</v>
      </c>
      <c r="H1723" s="18" t="s">
        <v>3647</v>
      </c>
      <c r="I1723" s="20" t="s">
        <v>3648</v>
      </c>
      <c r="J1723" s="18" t="s">
        <v>832</v>
      </c>
      <c r="K1723" s="18" t="s">
        <v>24</v>
      </c>
      <c r="L1723" s="18" t="s">
        <v>25</v>
      </c>
      <c r="N1723" s="18" t="s">
        <v>26</v>
      </c>
    </row>
    <row r="1724" spans="1:14" ht="15" customHeight="1" x14ac:dyDescent="0.3">
      <c r="A1724" s="18" t="s">
        <v>3457</v>
      </c>
      <c r="B1724" s="19" t="s">
        <v>15</v>
      </c>
      <c r="C1724" s="18" t="s">
        <v>210</v>
      </c>
      <c r="D1724" s="18" t="s">
        <v>116</v>
      </c>
      <c r="E1724" s="18" t="s">
        <v>74</v>
      </c>
      <c r="F1724" s="18" t="s">
        <v>3649</v>
      </c>
      <c r="G1724" s="18" t="s">
        <v>28</v>
      </c>
      <c r="H1724" s="18" t="s">
        <v>3621</v>
      </c>
      <c r="I1724" s="20" t="s">
        <v>3650</v>
      </c>
      <c r="J1724" s="18" t="s">
        <v>3651</v>
      </c>
      <c r="K1724" s="18" t="s">
        <v>24</v>
      </c>
      <c r="L1724" s="18" t="s">
        <v>25</v>
      </c>
      <c r="N1724" s="18" t="s">
        <v>26</v>
      </c>
    </row>
    <row r="1725" spans="1:14" ht="15" customHeight="1" x14ac:dyDescent="0.3">
      <c r="A1725" s="18" t="s">
        <v>3457</v>
      </c>
      <c r="B1725" s="19" t="s">
        <v>15</v>
      </c>
      <c r="C1725" s="18" t="s">
        <v>210</v>
      </c>
      <c r="D1725" s="18" t="s">
        <v>116</v>
      </c>
      <c r="E1725" s="18" t="s">
        <v>74</v>
      </c>
      <c r="F1725" s="18" t="s">
        <v>3652</v>
      </c>
      <c r="G1725" s="18" t="s">
        <v>273</v>
      </c>
      <c r="H1725" s="18" t="s">
        <v>3621</v>
      </c>
      <c r="I1725" s="20" t="s">
        <v>3653</v>
      </c>
      <c r="J1725" s="18" t="s">
        <v>3654</v>
      </c>
      <c r="K1725" s="18" t="s">
        <v>24</v>
      </c>
      <c r="L1725" s="18" t="s">
        <v>25</v>
      </c>
      <c r="N1725" s="18" t="s">
        <v>26</v>
      </c>
    </row>
    <row r="1726" spans="1:14" ht="15" customHeight="1" x14ac:dyDescent="0.3">
      <c r="A1726" s="18" t="s">
        <v>3457</v>
      </c>
      <c r="B1726" s="19" t="s">
        <v>15</v>
      </c>
      <c r="C1726" s="18" t="s">
        <v>210</v>
      </c>
      <c r="D1726" s="18" t="s">
        <v>116</v>
      </c>
      <c r="E1726" s="18" t="s">
        <v>74</v>
      </c>
      <c r="F1726" s="18" t="s">
        <v>3655</v>
      </c>
      <c r="G1726" s="18" t="s">
        <v>273</v>
      </c>
      <c r="H1726" s="18" t="s">
        <v>3621</v>
      </c>
      <c r="I1726" s="20" t="s">
        <v>3656</v>
      </c>
      <c r="J1726" s="18" t="s">
        <v>449</v>
      </c>
      <c r="K1726" s="18" t="s">
        <v>91</v>
      </c>
      <c r="L1726" s="18" t="s">
        <v>25</v>
      </c>
      <c r="N1726" s="18" t="s">
        <v>26</v>
      </c>
    </row>
    <row r="1727" spans="1:14" ht="15" customHeight="1" x14ac:dyDescent="0.3">
      <c r="A1727" s="18" t="s">
        <v>3457</v>
      </c>
      <c r="B1727" s="19" t="s">
        <v>15</v>
      </c>
      <c r="C1727" s="18" t="s">
        <v>210</v>
      </c>
      <c r="D1727" s="18" t="s">
        <v>116</v>
      </c>
      <c r="E1727" s="18" t="s">
        <v>74</v>
      </c>
      <c r="F1727" s="18" t="s">
        <v>3657</v>
      </c>
      <c r="G1727" s="18" t="s">
        <v>273</v>
      </c>
      <c r="H1727" s="18" t="s">
        <v>3621</v>
      </c>
      <c r="I1727" s="20" t="s">
        <v>3658</v>
      </c>
      <c r="J1727" s="18" t="s">
        <v>3659</v>
      </c>
      <c r="K1727" s="18" t="s">
        <v>24</v>
      </c>
      <c r="L1727" s="18" t="s">
        <v>25</v>
      </c>
      <c r="N1727" s="18" t="s">
        <v>26</v>
      </c>
    </row>
    <row r="1728" spans="1:14" ht="15" customHeight="1" x14ac:dyDescent="0.3">
      <c r="A1728" s="18" t="s">
        <v>3457</v>
      </c>
      <c r="B1728" s="19" t="s">
        <v>15</v>
      </c>
      <c r="C1728" s="18" t="s">
        <v>210</v>
      </c>
      <c r="D1728" s="18" t="s">
        <v>116</v>
      </c>
      <c r="E1728" s="18" t="s">
        <v>74</v>
      </c>
      <c r="F1728" s="18" t="s">
        <v>3660</v>
      </c>
      <c r="G1728" s="18" t="s">
        <v>212</v>
      </c>
      <c r="H1728" s="18" t="s">
        <v>3644</v>
      </c>
      <c r="I1728" s="20" t="s">
        <v>3661</v>
      </c>
      <c r="J1728" s="18" t="s">
        <v>3662</v>
      </c>
      <c r="K1728" s="18" t="s">
        <v>24</v>
      </c>
      <c r="L1728" s="18" t="s">
        <v>25</v>
      </c>
      <c r="N1728" s="18" t="s">
        <v>26</v>
      </c>
    </row>
    <row r="1729" spans="1:14" ht="15" customHeight="1" x14ac:dyDescent="0.3">
      <c r="A1729" s="18" t="s">
        <v>3457</v>
      </c>
      <c r="B1729" s="19" t="s">
        <v>15</v>
      </c>
      <c r="C1729" s="18" t="s">
        <v>210</v>
      </c>
      <c r="D1729" s="18" t="s">
        <v>116</v>
      </c>
      <c r="E1729" s="18" t="s">
        <v>74</v>
      </c>
      <c r="F1729" s="18" t="s">
        <v>3663</v>
      </c>
      <c r="G1729" s="18" t="s">
        <v>1204</v>
      </c>
      <c r="H1729" s="18" t="s">
        <v>3644</v>
      </c>
      <c r="I1729" s="20" t="s">
        <v>3664</v>
      </c>
      <c r="J1729" s="18" t="s">
        <v>3665</v>
      </c>
      <c r="K1729" s="18" t="s">
        <v>24</v>
      </c>
      <c r="L1729" s="18" t="s">
        <v>25</v>
      </c>
      <c r="N1729" s="18" t="s">
        <v>26</v>
      </c>
    </row>
    <row r="1730" spans="1:14" ht="15" customHeight="1" x14ac:dyDescent="0.3">
      <c r="A1730" s="18" t="s">
        <v>3457</v>
      </c>
      <c r="B1730" s="19" t="s">
        <v>15</v>
      </c>
      <c r="C1730" s="18" t="s">
        <v>210</v>
      </c>
      <c r="D1730" s="18" t="s">
        <v>116</v>
      </c>
      <c r="E1730" s="18" t="s">
        <v>74</v>
      </c>
      <c r="F1730" s="18" t="s">
        <v>3666</v>
      </c>
      <c r="G1730" s="18" t="s">
        <v>1204</v>
      </c>
      <c r="H1730" s="18" t="s">
        <v>3644</v>
      </c>
      <c r="I1730" s="20" t="s">
        <v>3667</v>
      </c>
      <c r="J1730" s="18" t="s">
        <v>3668</v>
      </c>
      <c r="K1730" s="18" t="s">
        <v>24</v>
      </c>
      <c r="L1730" s="18" t="s">
        <v>25</v>
      </c>
      <c r="N1730" s="18" t="s">
        <v>26</v>
      </c>
    </row>
    <row r="1731" spans="1:14" ht="15" customHeight="1" x14ac:dyDescent="0.3">
      <c r="A1731" s="18" t="s">
        <v>3457</v>
      </c>
      <c r="B1731" s="19" t="s">
        <v>15</v>
      </c>
      <c r="C1731" s="18" t="s">
        <v>210</v>
      </c>
      <c r="D1731" s="18" t="s">
        <v>116</v>
      </c>
      <c r="E1731" s="18" t="s">
        <v>74</v>
      </c>
      <c r="F1731" s="18" t="s">
        <v>3669</v>
      </c>
      <c r="G1731" s="18" t="s">
        <v>44</v>
      </c>
      <c r="H1731" s="18" t="s">
        <v>3644</v>
      </c>
      <c r="I1731" s="20" t="s">
        <v>3670</v>
      </c>
      <c r="J1731" s="18" t="s">
        <v>3671</v>
      </c>
      <c r="K1731" s="18" t="s">
        <v>24</v>
      </c>
      <c r="L1731" s="18" t="s">
        <v>25</v>
      </c>
      <c r="N1731" s="18" t="s">
        <v>26</v>
      </c>
    </row>
    <row r="1732" spans="1:14" ht="15" customHeight="1" x14ac:dyDescent="0.3">
      <c r="A1732" s="18" t="s">
        <v>3457</v>
      </c>
      <c r="B1732" s="19" t="s">
        <v>15</v>
      </c>
      <c r="C1732" s="18" t="s">
        <v>210</v>
      </c>
      <c r="D1732" s="18" t="s">
        <v>116</v>
      </c>
      <c r="E1732" s="18" t="s">
        <v>74</v>
      </c>
      <c r="F1732" s="18" t="s">
        <v>3672</v>
      </c>
      <c r="G1732" s="18" t="s">
        <v>212</v>
      </c>
      <c r="H1732" s="18" t="s">
        <v>3644</v>
      </c>
      <c r="I1732" s="20" t="s">
        <v>3673</v>
      </c>
      <c r="J1732" s="18" t="s">
        <v>3674</v>
      </c>
      <c r="K1732" s="18" t="s">
        <v>24</v>
      </c>
      <c r="L1732" s="18" t="s">
        <v>25</v>
      </c>
      <c r="N1732" s="18" t="s">
        <v>26</v>
      </c>
    </row>
    <row r="1733" spans="1:14" ht="15" customHeight="1" x14ac:dyDescent="0.3">
      <c r="A1733" s="18" t="s">
        <v>3457</v>
      </c>
      <c r="B1733" s="19" t="s">
        <v>15</v>
      </c>
      <c r="C1733" s="18" t="s">
        <v>210</v>
      </c>
      <c r="D1733" s="18" t="s">
        <v>116</v>
      </c>
      <c r="E1733" s="18" t="s">
        <v>74</v>
      </c>
      <c r="F1733" s="18" t="s">
        <v>755</v>
      </c>
      <c r="G1733" s="18" t="s">
        <v>88</v>
      </c>
      <c r="H1733" s="18" t="s">
        <v>3640</v>
      </c>
      <c r="I1733" s="20" t="s">
        <v>3675</v>
      </c>
      <c r="J1733" s="18" t="s">
        <v>3676</v>
      </c>
      <c r="K1733" s="18" t="s">
        <v>24</v>
      </c>
      <c r="L1733" s="18" t="s">
        <v>25</v>
      </c>
      <c r="N1733" s="18" t="s">
        <v>26</v>
      </c>
    </row>
    <row r="1734" spans="1:14" ht="15" customHeight="1" x14ac:dyDescent="0.3">
      <c r="A1734" s="18" t="s">
        <v>3457</v>
      </c>
      <c r="B1734" s="19" t="s">
        <v>15</v>
      </c>
      <c r="C1734" s="18" t="s">
        <v>210</v>
      </c>
      <c r="D1734" s="18" t="s">
        <v>116</v>
      </c>
      <c r="E1734" s="18" t="s">
        <v>74</v>
      </c>
      <c r="F1734" s="18" t="s">
        <v>3677</v>
      </c>
      <c r="G1734" s="18" t="s">
        <v>1340</v>
      </c>
      <c r="H1734" s="18" t="s">
        <v>3628</v>
      </c>
      <c r="I1734" s="20" t="s">
        <v>3678</v>
      </c>
      <c r="J1734" s="18" t="s">
        <v>832</v>
      </c>
      <c r="K1734" s="18" t="s">
        <v>24</v>
      </c>
      <c r="L1734" s="18" t="s">
        <v>25</v>
      </c>
      <c r="N1734" s="18" t="s">
        <v>26</v>
      </c>
    </row>
    <row r="1735" spans="1:14" ht="15" customHeight="1" x14ac:dyDescent="0.3">
      <c r="A1735" s="18" t="s">
        <v>3457</v>
      </c>
      <c r="B1735" s="19" t="s">
        <v>15</v>
      </c>
      <c r="C1735" s="18" t="s">
        <v>210</v>
      </c>
      <c r="D1735" s="18" t="s">
        <v>116</v>
      </c>
      <c r="E1735" s="18" t="s">
        <v>74</v>
      </c>
      <c r="F1735" s="18" t="s">
        <v>3679</v>
      </c>
      <c r="G1735" s="18" t="s">
        <v>2245</v>
      </c>
      <c r="H1735" s="18" t="s">
        <v>3621</v>
      </c>
      <c r="I1735" s="20" t="s">
        <v>3680</v>
      </c>
      <c r="J1735" s="18" t="s">
        <v>3681</v>
      </c>
      <c r="K1735" s="18" t="s">
        <v>24</v>
      </c>
      <c r="L1735" s="18" t="s">
        <v>25</v>
      </c>
      <c r="N1735" s="18" t="s">
        <v>26</v>
      </c>
    </row>
    <row r="1736" spans="1:14" ht="15" customHeight="1" x14ac:dyDescent="0.3">
      <c r="A1736" s="18" t="s">
        <v>3457</v>
      </c>
      <c r="B1736" s="19" t="s">
        <v>15</v>
      </c>
      <c r="C1736" s="18" t="s">
        <v>210</v>
      </c>
      <c r="D1736" s="18" t="s">
        <v>116</v>
      </c>
      <c r="E1736" s="18" t="s">
        <v>74</v>
      </c>
      <c r="F1736" s="18" t="s">
        <v>3682</v>
      </c>
      <c r="G1736" s="18" t="s">
        <v>1095</v>
      </c>
      <c r="H1736" s="18" t="s">
        <v>3644</v>
      </c>
      <c r="I1736" s="20" t="s">
        <v>3683</v>
      </c>
      <c r="J1736" s="18" t="s">
        <v>3684</v>
      </c>
      <c r="K1736" s="18" t="s">
        <v>24</v>
      </c>
      <c r="L1736" s="18" t="s">
        <v>25</v>
      </c>
      <c r="N1736" s="18" t="s">
        <v>26</v>
      </c>
    </row>
    <row r="1737" spans="1:14" ht="15" customHeight="1" x14ac:dyDescent="0.3">
      <c r="A1737" s="18" t="s">
        <v>3457</v>
      </c>
      <c r="B1737" s="19" t="s">
        <v>15</v>
      </c>
      <c r="C1737" s="18" t="s">
        <v>210</v>
      </c>
      <c r="D1737" s="18" t="s">
        <v>116</v>
      </c>
      <c r="E1737" s="18" t="s">
        <v>74</v>
      </c>
      <c r="F1737" s="18" t="s">
        <v>3685</v>
      </c>
      <c r="G1737" s="18" t="s">
        <v>160</v>
      </c>
      <c r="H1737" s="18" t="s">
        <v>3686</v>
      </c>
      <c r="I1737" s="20" t="s">
        <v>3687</v>
      </c>
      <c r="J1737" s="18" t="s">
        <v>832</v>
      </c>
      <c r="K1737" s="18" t="s">
        <v>24</v>
      </c>
      <c r="L1737" s="18" t="s">
        <v>25</v>
      </c>
      <c r="N1737" s="18" t="s">
        <v>26</v>
      </c>
    </row>
    <row r="1738" spans="1:14" ht="15" customHeight="1" x14ac:dyDescent="0.3">
      <c r="A1738" s="18" t="s">
        <v>3457</v>
      </c>
      <c r="B1738" s="19" t="s">
        <v>15</v>
      </c>
      <c r="C1738" s="18" t="s">
        <v>210</v>
      </c>
      <c r="D1738" s="18" t="s">
        <v>116</v>
      </c>
      <c r="E1738" s="18" t="s">
        <v>74</v>
      </c>
      <c r="F1738" s="18" t="s">
        <v>3688</v>
      </c>
      <c r="G1738" s="18" t="s">
        <v>1204</v>
      </c>
      <c r="H1738" s="18" t="s">
        <v>3644</v>
      </c>
      <c r="I1738" s="20" t="s">
        <v>3689</v>
      </c>
      <c r="J1738" s="18" t="s">
        <v>3690</v>
      </c>
      <c r="K1738" s="18" t="s">
        <v>24</v>
      </c>
      <c r="L1738" s="18" t="s">
        <v>25</v>
      </c>
      <c r="N1738" s="18" t="s">
        <v>26</v>
      </c>
    </row>
    <row r="1739" spans="1:14" ht="15" customHeight="1" x14ac:dyDescent="0.3">
      <c r="A1739" s="18" t="s">
        <v>3457</v>
      </c>
      <c r="B1739" s="19" t="s">
        <v>15</v>
      </c>
      <c r="C1739" s="18" t="s">
        <v>210</v>
      </c>
      <c r="D1739" s="18" t="s">
        <v>116</v>
      </c>
      <c r="E1739" s="18" t="s">
        <v>74</v>
      </c>
      <c r="F1739" s="18" t="s">
        <v>3691</v>
      </c>
      <c r="G1739" s="18" t="s">
        <v>273</v>
      </c>
      <c r="H1739" s="18" t="s">
        <v>3621</v>
      </c>
      <c r="I1739" s="20" t="s">
        <v>3692</v>
      </c>
      <c r="J1739" s="18" t="s">
        <v>3693</v>
      </c>
      <c r="K1739" s="18" t="s">
        <v>24</v>
      </c>
      <c r="L1739" s="18" t="s">
        <v>25</v>
      </c>
      <c r="N1739" s="18" t="s">
        <v>26</v>
      </c>
    </row>
    <row r="1740" spans="1:14" ht="15" customHeight="1" x14ac:dyDescent="0.3">
      <c r="A1740" s="18" t="s">
        <v>3457</v>
      </c>
      <c r="B1740" s="19" t="s">
        <v>15</v>
      </c>
      <c r="C1740" s="18" t="s">
        <v>210</v>
      </c>
      <c r="D1740" s="18" t="s">
        <v>116</v>
      </c>
      <c r="E1740" s="18" t="s">
        <v>74</v>
      </c>
      <c r="F1740" s="18" t="s">
        <v>3694</v>
      </c>
      <c r="G1740" s="18" t="s">
        <v>63</v>
      </c>
      <c r="H1740" s="18" t="s">
        <v>3644</v>
      </c>
      <c r="I1740" s="20" t="s">
        <v>3695</v>
      </c>
      <c r="J1740" s="18" t="s">
        <v>3696</v>
      </c>
      <c r="K1740" s="18" t="s">
        <v>24</v>
      </c>
      <c r="L1740" s="18" t="s">
        <v>25</v>
      </c>
      <c r="N1740" s="18" t="s">
        <v>26</v>
      </c>
    </row>
    <row r="1741" spans="1:14" ht="15" customHeight="1" x14ac:dyDescent="0.3">
      <c r="A1741" s="18" t="s">
        <v>3457</v>
      </c>
      <c r="B1741" s="19" t="s">
        <v>15</v>
      </c>
      <c r="C1741" s="18" t="s">
        <v>210</v>
      </c>
      <c r="D1741" s="18" t="s">
        <v>116</v>
      </c>
      <c r="E1741" s="18" t="s">
        <v>74</v>
      </c>
      <c r="F1741" s="18" t="s">
        <v>3697</v>
      </c>
      <c r="G1741" s="18" t="s">
        <v>160</v>
      </c>
      <c r="H1741" s="18" t="s">
        <v>3631</v>
      </c>
      <c r="I1741" s="20" t="s">
        <v>3698</v>
      </c>
      <c r="J1741" s="18" t="s">
        <v>3699</v>
      </c>
      <c r="K1741" s="18" t="s">
        <v>24</v>
      </c>
      <c r="L1741" s="18" t="s">
        <v>25</v>
      </c>
      <c r="N1741" s="18" t="s">
        <v>26</v>
      </c>
    </row>
    <row r="1742" spans="1:14" ht="15" customHeight="1" x14ac:dyDescent="0.3">
      <c r="A1742" s="18" t="s">
        <v>3457</v>
      </c>
      <c r="B1742" s="19" t="s">
        <v>15</v>
      </c>
      <c r="C1742" s="18" t="s">
        <v>210</v>
      </c>
      <c r="D1742" s="18" t="s">
        <v>116</v>
      </c>
      <c r="E1742" s="18" t="s">
        <v>74</v>
      </c>
      <c r="F1742" s="18" t="s">
        <v>3700</v>
      </c>
      <c r="G1742" s="18" t="s">
        <v>1204</v>
      </c>
      <c r="H1742" s="18" t="s">
        <v>3644</v>
      </c>
      <c r="I1742" s="20" t="s">
        <v>3701</v>
      </c>
      <c r="J1742" s="18" t="s">
        <v>3702</v>
      </c>
      <c r="K1742" s="18" t="s">
        <v>24</v>
      </c>
      <c r="L1742" s="18" t="s">
        <v>25</v>
      </c>
      <c r="N1742" s="18" t="s">
        <v>26</v>
      </c>
    </row>
    <row r="1743" spans="1:14" ht="15" customHeight="1" x14ac:dyDescent="0.3">
      <c r="A1743" s="18" t="s">
        <v>3457</v>
      </c>
      <c r="B1743" s="19" t="s">
        <v>15</v>
      </c>
      <c r="C1743" s="18" t="s">
        <v>210</v>
      </c>
      <c r="D1743" s="18" t="s">
        <v>116</v>
      </c>
      <c r="E1743" s="18" t="s">
        <v>74</v>
      </c>
      <c r="F1743" s="18" t="s">
        <v>3703</v>
      </c>
      <c r="G1743" s="18" t="s">
        <v>2921</v>
      </c>
      <c r="H1743" s="18" t="s">
        <v>3704</v>
      </c>
      <c r="I1743" s="20" t="s">
        <v>3705</v>
      </c>
      <c r="J1743" s="18" t="s">
        <v>199</v>
      </c>
      <c r="K1743" s="18" t="s">
        <v>24</v>
      </c>
      <c r="L1743" s="18" t="s">
        <v>25</v>
      </c>
      <c r="N1743" s="18" t="s">
        <v>26</v>
      </c>
    </row>
    <row r="1744" spans="1:14" ht="15" customHeight="1" x14ac:dyDescent="0.3">
      <c r="A1744" s="18" t="s">
        <v>3457</v>
      </c>
      <c r="B1744" s="19" t="s">
        <v>15</v>
      </c>
      <c r="C1744" s="18" t="s">
        <v>210</v>
      </c>
      <c r="D1744" s="18" t="s">
        <v>116</v>
      </c>
      <c r="E1744" s="18" t="s">
        <v>74</v>
      </c>
      <c r="F1744" s="18" t="s">
        <v>3706</v>
      </c>
      <c r="G1744" s="18" t="s">
        <v>160</v>
      </c>
      <c r="H1744" s="18" t="s">
        <v>3628</v>
      </c>
      <c r="I1744" s="20" t="s">
        <v>3707</v>
      </c>
      <c r="J1744" s="18" t="s">
        <v>3708</v>
      </c>
      <c r="K1744" s="18" t="s">
        <v>24</v>
      </c>
      <c r="L1744" s="18" t="s">
        <v>25</v>
      </c>
      <c r="N1744" s="18" t="s">
        <v>26</v>
      </c>
    </row>
    <row r="1745" spans="1:14" ht="15" customHeight="1" x14ac:dyDescent="0.3">
      <c r="A1745" s="18" t="s">
        <v>3457</v>
      </c>
      <c r="B1745" s="19" t="s">
        <v>15</v>
      </c>
      <c r="C1745" s="18" t="s">
        <v>210</v>
      </c>
      <c r="D1745" s="18" t="s">
        <v>116</v>
      </c>
      <c r="E1745" s="18" t="s">
        <v>74</v>
      </c>
      <c r="F1745" s="18" t="s">
        <v>3709</v>
      </c>
      <c r="G1745" s="18" t="s">
        <v>1340</v>
      </c>
      <c r="H1745" s="18" t="s">
        <v>3628</v>
      </c>
      <c r="I1745" s="20" t="s">
        <v>3710</v>
      </c>
      <c r="J1745" s="18" t="s">
        <v>832</v>
      </c>
      <c r="K1745" s="18" t="s">
        <v>24</v>
      </c>
      <c r="L1745" s="18" t="s">
        <v>25</v>
      </c>
      <c r="N1745" s="18" t="s">
        <v>26</v>
      </c>
    </row>
    <row r="1746" spans="1:14" ht="15" customHeight="1" x14ac:dyDescent="0.3">
      <c r="A1746" s="18" t="s">
        <v>3711</v>
      </c>
      <c r="B1746" s="19" t="s">
        <v>15</v>
      </c>
      <c r="C1746" s="18" t="s">
        <v>3346</v>
      </c>
      <c r="D1746" s="18" t="s">
        <v>116</v>
      </c>
      <c r="E1746" s="18" t="s">
        <v>117</v>
      </c>
      <c r="F1746" s="18" t="s">
        <v>1623</v>
      </c>
      <c r="G1746" s="18" t="s">
        <v>1295</v>
      </c>
      <c r="H1746" s="18" t="s">
        <v>3712</v>
      </c>
      <c r="I1746" s="20" t="s">
        <v>3713</v>
      </c>
      <c r="J1746" s="18" t="s">
        <v>58</v>
      </c>
      <c r="K1746" s="18" t="s">
        <v>24</v>
      </c>
      <c r="L1746" s="18" t="s">
        <v>25</v>
      </c>
      <c r="N1746" s="18" t="s">
        <v>820</v>
      </c>
    </row>
    <row r="1747" spans="1:14" ht="15" customHeight="1" x14ac:dyDescent="0.3">
      <c r="A1747" s="18" t="s">
        <v>3711</v>
      </c>
      <c r="B1747" s="19" t="s">
        <v>15</v>
      </c>
      <c r="C1747" s="18" t="s">
        <v>3346</v>
      </c>
      <c r="D1747" s="18" t="s">
        <v>116</v>
      </c>
      <c r="E1747" s="18" t="s">
        <v>117</v>
      </c>
      <c r="F1747" s="18" t="s">
        <v>3714</v>
      </c>
      <c r="G1747" s="18" t="s">
        <v>160</v>
      </c>
      <c r="H1747" s="18" t="s">
        <v>3715</v>
      </c>
      <c r="I1747" s="20" t="s">
        <v>3716</v>
      </c>
      <c r="J1747" s="18" t="s">
        <v>58</v>
      </c>
      <c r="K1747" s="18" t="s">
        <v>24</v>
      </c>
      <c r="L1747" s="18" t="s">
        <v>25</v>
      </c>
      <c r="N1747" s="18" t="s">
        <v>820</v>
      </c>
    </row>
    <row r="1748" spans="1:14" ht="15" customHeight="1" x14ac:dyDescent="0.3">
      <c r="A1748" s="18" t="s">
        <v>3711</v>
      </c>
      <c r="B1748" s="19" t="s">
        <v>15</v>
      </c>
      <c r="C1748" s="18" t="s">
        <v>3346</v>
      </c>
      <c r="D1748" s="18" t="s">
        <v>116</v>
      </c>
      <c r="E1748" s="18" t="s">
        <v>117</v>
      </c>
      <c r="F1748" s="18" t="s">
        <v>765</v>
      </c>
      <c r="G1748" s="18" t="s">
        <v>429</v>
      </c>
      <c r="H1748" s="18" t="s">
        <v>3717</v>
      </c>
      <c r="I1748" s="20" t="s">
        <v>3718</v>
      </c>
      <c r="J1748" s="18" t="s">
        <v>58</v>
      </c>
      <c r="K1748" s="18" t="s">
        <v>24</v>
      </c>
      <c r="L1748" s="18" t="s">
        <v>25</v>
      </c>
      <c r="N1748" s="18" t="s">
        <v>820</v>
      </c>
    </row>
    <row r="1749" spans="1:14" ht="15" customHeight="1" x14ac:dyDescent="0.3">
      <c r="A1749" s="18" t="s">
        <v>3711</v>
      </c>
      <c r="B1749" s="19" t="s">
        <v>15</v>
      </c>
      <c r="C1749" s="18" t="s">
        <v>3346</v>
      </c>
      <c r="D1749" s="18" t="s">
        <v>116</v>
      </c>
      <c r="E1749" s="18" t="s">
        <v>117</v>
      </c>
      <c r="F1749" s="18" t="s">
        <v>608</v>
      </c>
      <c r="G1749" s="18" t="s">
        <v>270</v>
      </c>
      <c r="H1749" s="18" t="s">
        <v>3719</v>
      </c>
      <c r="I1749" s="20" t="s">
        <v>3720</v>
      </c>
      <c r="J1749" s="18" t="s">
        <v>58</v>
      </c>
      <c r="K1749" s="18" t="s">
        <v>24</v>
      </c>
      <c r="L1749" s="18" t="s">
        <v>25</v>
      </c>
      <c r="N1749" s="18" t="s">
        <v>820</v>
      </c>
    </row>
    <row r="1750" spans="1:14" ht="15" customHeight="1" x14ac:dyDescent="0.3">
      <c r="A1750" s="18" t="s">
        <v>3711</v>
      </c>
      <c r="B1750" s="19" t="s">
        <v>15</v>
      </c>
      <c r="C1750" s="18" t="s">
        <v>3346</v>
      </c>
      <c r="D1750" s="18" t="s">
        <v>116</v>
      </c>
      <c r="E1750" s="18" t="s">
        <v>117</v>
      </c>
      <c r="F1750" s="18" t="s">
        <v>974</v>
      </c>
      <c r="G1750" s="18" t="s">
        <v>263</v>
      </c>
      <c r="H1750" s="18" t="s">
        <v>3721</v>
      </c>
      <c r="I1750" s="20" t="s">
        <v>3722</v>
      </c>
      <c r="J1750" s="18" t="s">
        <v>58</v>
      </c>
      <c r="K1750" s="18" t="s">
        <v>24</v>
      </c>
      <c r="L1750" s="18" t="s">
        <v>25</v>
      </c>
      <c r="N1750" s="18" t="s">
        <v>820</v>
      </c>
    </row>
    <row r="1751" spans="1:14" ht="15" customHeight="1" x14ac:dyDescent="0.3">
      <c r="A1751" s="18" t="s">
        <v>3711</v>
      </c>
      <c r="B1751" s="19" t="s">
        <v>15</v>
      </c>
      <c r="C1751" s="18" t="s">
        <v>3346</v>
      </c>
      <c r="D1751" s="18" t="s">
        <v>116</v>
      </c>
      <c r="E1751" s="18" t="s">
        <v>117</v>
      </c>
      <c r="F1751" s="18" t="s">
        <v>3723</v>
      </c>
      <c r="G1751" s="18" t="s">
        <v>160</v>
      </c>
      <c r="H1751" s="18" t="s">
        <v>3724</v>
      </c>
      <c r="I1751" s="20" t="s">
        <v>3725</v>
      </c>
      <c r="J1751" s="18" t="s">
        <v>58</v>
      </c>
      <c r="K1751" s="18" t="s">
        <v>24</v>
      </c>
      <c r="L1751" s="18" t="s">
        <v>25</v>
      </c>
      <c r="N1751" s="18" t="s">
        <v>820</v>
      </c>
    </row>
    <row r="1752" spans="1:14" ht="15" customHeight="1" x14ac:dyDescent="0.3">
      <c r="A1752" s="18" t="s">
        <v>3711</v>
      </c>
      <c r="B1752" s="19" t="s">
        <v>15</v>
      </c>
      <c r="C1752" s="18" t="s">
        <v>3346</v>
      </c>
      <c r="D1752" s="18" t="s">
        <v>116</v>
      </c>
      <c r="E1752" s="18" t="s">
        <v>117</v>
      </c>
      <c r="F1752" s="18" t="s">
        <v>3726</v>
      </c>
      <c r="G1752" s="18" t="s">
        <v>1204</v>
      </c>
      <c r="H1752" s="18" t="s">
        <v>3717</v>
      </c>
      <c r="I1752" s="20" t="s">
        <v>3727</v>
      </c>
      <c r="J1752" s="18" t="s">
        <v>58</v>
      </c>
      <c r="K1752" s="18" t="s">
        <v>24</v>
      </c>
      <c r="L1752" s="18" t="s">
        <v>25</v>
      </c>
      <c r="N1752" s="18" t="s">
        <v>820</v>
      </c>
    </row>
    <row r="1753" spans="1:14" ht="15" customHeight="1" x14ac:dyDescent="0.3">
      <c r="A1753" s="18" t="s">
        <v>3711</v>
      </c>
      <c r="B1753" s="19" t="s">
        <v>15</v>
      </c>
      <c r="C1753" s="18" t="s">
        <v>3346</v>
      </c>
      <c r="D1753" s="18" t="s">
        <v>116</v>
      </c>
      <c r="E1753" s="18" t="s">
        <v>117</v>
      </c>
      <c r="F1753" s="18" t="s">
        <v>3728</v>
      </c>
      <c r="G1753" s="18" t="s">
        <v>160</v>
      </c>
      <c r="H1753" s="18" t="s">
        <v>3724</v>
      </c>
      <c r="I1753" s="20" t="s">
        <v>3729</v>
      </c>
      <c r="J1753" s="18" t="s">
        <v>58</v>
      </c>
      <c r="K1753" s="18" t="s">
        <v>24</v>
      </c>
      <c r="L1753" s="18" t="s">
        <v>25</v>
      </c>
      <c r="N1753" s="18" t="s">
        <v>820</v>
      </c>
    </row>
    <row r="1754" spans="1:14" ht="15" customHeight="1" x14ac:dyDescent="0.3">
      <c r="A1754" s="18" t="s">
        <v>3711</v>
      </c>
      <c r="B1754" s="19" t="s">
        <v>15</v>
      </c>
      <c r="C1754" s="18" t="s">
        <v>3346</v>
      </c>
      <c r="D1754" s="18" t="s">
        <v>116</v>
      </c>
      <c r="E1754" s="18" t="s">
        <v>117</v>
      </c>
      <c r="F1754" s="18" t="s">
        <v>3730</v>
      </c>
      <c r="G1754" s="18" t="s">
        <v>212</v>
      </c>
      <c r="H1754" s="18" t="s">
        <v>3717</v>
      </c>
      <c r="I1754" s="20" t="s">
        <v>3731</v>
      </c>
      <c r="J1754" s="18" t="s">
        <v>58</v>
      </c>
      <c r="K1754" s="18" t="s">
        <v>24</v>
      </c>
      <c r="L1754" s="18" t="s">
        <v>25</v>
      </c>
      <c r="N1754" s="18" t="s">
        <v>820</v>
      </c>
    </row>
    <row r="1755" spans="1:14" ht="15" customHeight="1" x14ac:dyDescent="0.3">
      <c r="A1755" s="18" t="s">
        <v>3711</v>
      </c>
      <c r="B1755" s="19" t="s">
        <v>15</v>
      </c>
      <c r="C1755" s="18" t="s">
        <v>3346</v>
      </c>
      <c r="D1755" s="18" t="s">
        <v>116</v>
      </c>
      <c r="E1755" s="18" t="s">
        <v>117</v>
      </c>
      <c r="F1755" s="18" t="s">
        <v>1806</v>
      </c>
      <c r="G1755" s="18" t="s">
        <v>85</v>
      </c>
      <c r="H1755" s="18" t="s">
        <v>3717</v>
      </c>
      <c r="I1755" s="20" t="s">
        <v>3732</v>
      </c>
      <c r="J1755" s="18" t="s">
        <v>58</v>
      </c>
      <c r="K1755" s="18" t="s">
        <v>24</v>
      </c>
      <c r="L1755" s="18" t="s">
        <v>25</v>
      </c>
      <c r="N1755" s="18" t="s">
        <v>820</v>
      </c>
    </row>
    <row r="1756" spans="1:14" ht="15" customHeight="1" x14ac:dyDescent="0.3">
      <c r="A1756" s="18" t="s">
        <v>3711</v>
      </c>
      <c r="B1756" s="19" t="s">
        <v>15</v>
      </c>
      <c r="C1756" s="18" t="s">
        <v>3733</v>
      </c>
      <c r="D1756" s="18" t="s">
        <v>116</v>
      </c>
      <c r="E1756" s="18" t="s">
        <v>117</v>
      </c>
      <c r="F1756" s="18" t="s">
        <v>2196</v>
      </c>
      <c r="G1756" s="18" t="s">
        <v>920</v>
      </c>
      <c r="H1756" s="18" t="s">
        <v>3734</v>
      </c>
      <c r="I1756" s="20" t="s">
        <v>3735</v>
      </c>
      <c r="J1756" s="18" t="s">
        <v>58</v>
      </c>
      <c r="K1756" s="18" t="s">
        <v>24</v>
      </c>
      <c r="L1756" s="18" t="s">
        <v>25</v>
      </c>
      <c r="N1756" s="18" t="s">
        <v>973</v>
      </c>
    </row>
    <row r="1757" spans="1:14" ht="15" customHeight="1" x14ac:dyDescent="0.3">
      <c r="A1757" s="18" t="s">
        <v>3711</v>
      </c>
      <c r="B1757" s="19" t="s">
        <v>15</v>
      </c>
      <c r="C1757" s="18" t="s">
        <v>3346</v>
      </c>
      <c r="D1757" s="18" t="s">
        <v>116</v>
      </c>
      <c r="E1757" s="18" t="s">
        <v>117</v>
      </c>
      <c r="F1757" s="18" t="s">
        <v>1917</v>
      </c>
      <c r="G1757" s="18" t="s">
        <v>47</v>
      </c>
      <c r="H1757" s="18" t="s">
        <v>3717</v>
      </c>
      <c r="I1757" s="20" t="s">
        <v>3736</v>
      </c>
      <c r="J1757" s="18" t="s">
        <v>58</v>
      </c>
      <c r="K1757" s="18" t="s">
        <v>24</v>
      </c>
      <c r="L1757" s="18" t="s">
        <v>25</v>
      </c>
      <c r="N1757" s="18" t="s">
        <v>820</v>
      </c>
    </row>
    <row r="1758" spans="1:14" ht="15" customHeight="1" x14ac:dyDescent="0.3">
      <c r="A1758" s="18" t="s">
        <v>3711</v>
      </c>
      <c r="B1758" s="19" t="s">
        <v>15</v>
      </c>
      <c r="C1758" s="18" t="s">
        <v>3346</v>
      </c>
      <c r="D1758" s="18" t="s">
        <v>116</v>
      </c>
      <c r="E1758" s="18" t="s">
        <v>117</v>
      </c>
      <c r="F1758" s="18" t="s">
        <v>3737</v>
      </c>
      <c r="G1758" s="18" t="s">
        <v>160</v>
      </c>
      <c r="H1758" s="18" t="s">
        <v>3717</v>
      </c>
      <c r="I1758" s="20" t="s">
        <v>3738</v>
      </c>
      <c r="J1758" s="18" t="s">
        <v>58</v>
      </c>
      <c r="K1758" s="18" t="s">
        <v>24</v>
      </c>
      <c r="L1758" s="18" t="s">
        <v>25</v>
      </c>
      <c r="N1758" s="18" t="s">
        <v>820</v>
      </c>
    </row>
    <row r="1759" spans="1:14" ht="15" customHeight="1" x14ac:dyDescent="0.3">
      <c r="A1759" s="18" t="s">
        <v>3711</v>
      </c>
      <c r="B1759" s="19" t="s">
        <v>15</v>
      </c>
      <c r="C1759" s="18" t="s">
        <v>3346</v>
      </c>
      <c r="D1759" s="18" t="s">
        <v>116</v>
      </c>
      <c r="E1759" s="18" t="s">
        <v>117</v>
      </c>
      <c r="F1759" s="18" t="s">
        <v>3739</v>
      </c>
      <c r="G1759" s="18" t="s">
        <v>160</v>
      </c>
      <c r="H1759" s="18" t="s">
        <v>3717</v>
      </c>
      <c r="I1759" s="20" t="s">
        <v>3740</v>
      </c>
      <c r="J1759" s="18" t="s">
        <v>58</v>
      </c>
      <c r="K1759" s="18" t="s">
        <v>24</v>
      </c>
      <c r="L1759" s="18" t="s">
        <v>25</v>
      </c>
      <c r="N1759" s="18" t="s">
        <v>820</v>
      </c>
    </row>
    <row r="1760" spans="1:14" ht="15" customHeight="1" x14ac:dyDescent="0.3">
      <c r="A1760" s="18" t="s">
        <v>3711</v>
      </c>
      <c r="B1760" s="19" t="s">
        <v>15</v>
      </c>
      <c r="C1760" s="18" t="s">
        <v>3346</v>
      </c>
      <c r="D1760" s="18" t="s">
        <v>116</v>
      </c>
      <c r="E1760" s="18" t="s">
        <v>117</v>
      </c>
      <c r="F1760" s="18" t="s">
        <v>2544</v>
      </c>
      <c r="G1760" s="18" t="s">
        <v>1019</v>
      </c>
      <c r="H1760" s="18" t="s">
        <v>3724</v>
      </c>
      <c r="I1760" s="20" t="s">
        <v>3741</v>
      </c>
      <c r="J1760" s="18" t="s">
        <v>58</v>
      </c>
      <c r="K1760" s="18" t="s">
        <v>24</v>
      </c>
      <c r="L1760" s="18" t="s">
        <v>25</v>
      </c>
      <c r="N1760" s="18" t="s">
        <v>820</v>
      </c>
    </row>
    <row r="1761" spans="1:14" ht="15" customHeight="1" x14ac:dyDescent="0.3">
      <c r="A1761" s="18" t="s">
        <v>3711</v>
      </c>
      <c r="B1761" s="19" t="s">
        <v>15</v>
      </c>
      <c r="C1761" s="18" t="s">
        <v>3733</v>
      </c>
      <c r="D1761" s="18" t="s">
        <v>116</v>
      </c>
      <c r="E1761" s="18" t="s">
        <v>117</v>
      </c>
      <c r="F1761" s="18" t="s">
        <v>3742</v>
      </c>
      <c r="G1761" s="18" t="s">
        <v>1019</v>
      </c>
      <c r="H1761" s="18" t="s">
        <v>3743</v>
      </c>
      <c r="I1761" s="20" t="s">
        <v>3744</v>
      </c>
      <c r="J1761" s="18" t="s">
        <v>58</v>
      </c>
      <c r="K1761" s="18" t="s">
        <v>24</v>
      </c>
      <c r="L1761" s="18" t="s">
        <v>25</v>
      </c>
      <c r="N1761" s="18" t="s">
        <v>973</v>
      </c>
    </row>
    <row r="1762" spans="1:14" ht="15" customHeight="1" x14ac:dyDescent="0.3">
      <c r="A1762" s="18" t="s">
        <v>3711</v>
      </c>
      <c r="B1762" s="19" t="s">
        <v>15</v>
      </c>
      <c r="C1762" s="18" t="s">
        <v>3346</v>
      </c>
      <c r="D1762" s="18" t="s">
        <v>116</v>
      </c>
      <c r="E1762" s="18" t="s">
        <v>117</v>
      </c>
      <c r="F1762" s="18" t="s">
        <v>3745</v>
      </c>
      <c r="G1762" s="18" t="s">
        <v>160</v>
      </c>
      <c r="H1762" s="18" t="s">
        <v>3724</v>
      </c>
      <c r="I1762" s="20" t="s">
        <v>3746</v>
      </c>
      <c r="J1762" s="18" t="s">
        <v>58</v>
      </c>
      <c r="K1762" s="18" t="s">
        <v>24</v>
      </c>
      <c r="L1762" s="18" t="s">
        <v>25</v>
      </c>
      <c r="N1762" s="18" t="s">
        <v>820</v>
      </c>
    </row>
    <row r="1763" spans="1:14" ht="15" customHeight="1" x14ac:dyDescent="0.3">
      <c r="A1763" s="18" t="s">
        <v>3711</v>
      </c>
      <c r="B1763" s="19" t="s">
        <v>15</v>
      </c>
      <c r="C1763" s="18" t="s">
        <v>3346</v>
      </c>
      <c r="D1763" s="18" t="s">
        <v>116</v>
      </c>
      <c r="E1763" s="18" t="s">
        <v>117</v>
      </c>
      <c r="F1763" s="18" t="s">
        <v>1445</v>
      </c>
      <c r="G1763" s="18" t="s">
        <v>219</v>
      </c>
      <c r="H1763" s="18" t="s">
        <v>3717</v>
      </c>
      <c r="I1763" s="20" t="s">
        <v>3747</v>
      </c>
      <c r="J1763" s="18" t="s">
        <v>58</v>
      </c>
      <c r="K1763" s="18" t="s">
        <v>24</v>
      </c>
      <c r="L1763" s="18" t="s">
        <v>25</v>
      </c>
      <c r="N1763" s="18" t="s">
        <v>820</v>
      </c>
    </row>
    <row r="1764" spans="1:14" ht="15" customHeight="1" x14ac:dyDescent="0.3">
      <c r="A1764" s="18" t="s">
        <v>3711</v>
      </c>
      <c r="B1764" s="19" t="s">
        <v>15</v>
      </c>
      <c r="C1764" s="18" t="s">
        <v>3346</v>
      </c>
      <c r="D1764" s="18" t="s">
        <v>116</v>
      </c>
      <c r="E1764" s="18" t="s">
        <v>117</v>
      </c>
      <c r="F1764" s="18" t="s">
        <v>3748</v>
      </c>
      <c r="G1764" s="18" t="s">
        <v>536</v>
      </c>
      <c r="H1764" s="18" t="s">
        <v>3724</v>
      </c>
      <c r="I1764" s="20" t="s">
        <v>3749</v>
      </c>
      <c r="J1764" s="18" t="s">
        <v>58</v>
      </c>
      <c r="K1764" s="18" t="s">
        <v>24</v>
      </c>
      <c r="L1764" s="18" t="s">
        <v>25</v>
      </c>
      <c r="N1764" s="18" t="s">
        <v>820</v>
      </c>
    </row>
    <row r="1765" spans="1:14" ht="15" customHeight="1" x14ac:dyDescent="0.3">
      <c r="A1765" s="18" t="s">
        <v>3711</v>
      </c>
      <c r="B1765" s="19" t="s">
        <v>15</v>
      </c>
      <c r="C1765" s="18" t="s">
        <v>3346</v>
      </c>
      <c r="D1765" s="18" t="s">
        <v>116</v>
      </c>
      <c r="E1765" s="18" t="s">
        <v>117</v>
      </c>
      <c r="F1765" s="18" t="s">
        <v>353</v>
      </c>
      <c r="G1765" s="18" t="s">
        <v>263</v>
      </c>
      <c r="H1765" s="18" t="s">
        <v>3724</v>
      </c>
      <c r="I1765" s="20" t="s">
        <v>3750</v>
      </c>
      <c r="J1765" s="18" t="s">
        <v>58</v>
      </c>
      <c r="K1765" s="18" t="s">
        <v>24</v>
      </c>
      <c r="L1765" s="18" t="s">
        <v>25</v>
      </c>
      <c r="N1765" s="18" t="s">
        <v>820</v>
      </c>
    </row>
    <row r="1766" spans="1:14" ht="15" customHeight="1" x14ac:dyDescent="0.3">
      <c r="A1766" s="18" t="s">
        <v>3711</v>
      </c>
      <c r="B1766" s="19" t="s">
        <v>15</v>
      </c>
      <c r="C1766" s="18" t="s">
        <v>3346</v>
      </c>
      <c r="D1766" s="18" t="s">
        <v>116</v>
      </c>
      <c r="E1766" s="18" t="s">
        <v>117</v>
      </c>
      <c r="F1766" s="18" t="s">
        <v>1215</v>
      </c>
      <c r="G1766" s="18" t="s">
        <v>35</v>
      </c>
      <c r="H1766" s="18" t="s">
        <v>3717</v>
      </c>
      <c r="I1766" s="20" t="s">
        <v>3751</v>
      </c>
      <c r="J1766" s="18" t="s">
        <v>58</v>
      </c>
      <c r="K1766" s="18" t="s">
        <v>24</v>
      </c>
      <c r="L1766" s="18" t="s">
        <v>25</v>
      </c>
      <c r="N1766" s="18" t="s">
        <v>820</v>
      </c>
    </row>
    <row r="1767" spans="1:14" ht="15" customHeight="1" x14ac:dyDescent="0.3">
      <c r="A1767" s="18" t="s">
        <v>3711</v>
      </c>
      <c r="B1767" s="19" t="s">
        <v>15</v>
      </c>
      <c r="C1767" s="18" t="s">
        <v>3346</v>
      </c>
      <c r="D1767" s="18" t="s">
        <v>116</v>
      </c>
      <c r="E1767" s="18" t="s">
        <v>117</v>
      </c>
      <c r="F1767" s="18" t="s">
        <v>3752</v>
      </c>
      <c r="G1767" s="18" t="s">
        <v>35</v>
      </c>
      <c r="H1767" s="18" t="s">
        <v>3717</v>
      </c>
      <c r="I1767" s="20" t="s">
        <v>3753</v>
      </c>
      <c r="J1767" s="18" t="s">
        <v>58</v>
      </c>
      <c r="K1767" s="18" t="s">
        <v>24</v>
      </c>
      <c r="L1767" s="18" t="s">
        <v>25</v>
      </c>
      <c r="N1767" s="18" t="s">
        <v>820</v>
      </c>
    </row>
    <row r="1768" spans="1:14" ht="15" customHeight="1" x14ac:dyDescent="0.3">
      <c r="A1768" s="18" t="s">
        <v>3711</v>
      </c>
      <c r="B1768" s="19" t="s">
        <v>15</v>
      </c>
      <c r="C1768" s="18" t="s">
        <v>3733</v>
      </c>
      <c r="D1768" s="18" t="s">
        <v>116</v>
      </c>
      <c r="E1768" s="18" t="s">
        <v>117</v>
      </c>
      <c r="F1768" s="18" t="s">
        <v>2238</v>
      </c>
      <c r="G1768" s="18" t="s">
        <v>2047</v>
      </c>
      <c r="H1768" s="18" t="s">
        <v>3743</v>
      </c>
      <c r="I1768" s="20" t="s">
        <v>3754</v>
      </c>
      <c r="J1768" s="18" t="s">
        <v>58</v>
      </c>
      <c r="K1768" s="18" t="s">
        <v>24</v>
      </c>
      <c r="L1768" s="18" t="s">
        <v>25</v>
      </c>
      <c r="N1768" s="18" t="s">
        <v>973</v>
      </c>
    </row>
    <row r="1769" spans="1:14" ht="15" customHeight="1" x14ac:dyDescent="0.3">
      <c r="A1769" s="18" t="s">
        <v>3711</v>
      </c>
      <c r="B1769" s="19" t="s">
        <v>15</v>
      </c>
      <c r="C1769" s="18" t="s">
        <v>3346</v>
      </c>
      <c r="D1769" s="18" t="s">
        <v>116</v>
      </c>
      <c r="E1769" s="18" t="s">
        <v>117</v>
      </c>
      <c r="F1769" s="18" t="s">
        <v>983</v>
      </c>
      <c r="G1769" s="18" t="s">
        <v>44</v>
      </c>
      <c r="H1769" s="18" t="s">
        <v>3717</v>
      </c>
      <c r="I1769" s="20" t="s">
        <v>3755</v>
      </c>
      <c r="J1769" s="18" t="s">
        <v>58</v>
      </c>
      <c r="K1769" s="18" t="s">
        <v>24</v>
      </c>
      <c r="L1769" s="18" t="s">
        <v>25</v>
      </c>
      <c r="N1769" s="18" t="s">
        <v>820</v>
      </c>
    </row>
    <row r="1770" spans="1:14" ht="15" customHeight="1" x14ac:dyDescent="0.3">
      <c r="A1770" s="18" t="s">
        <v>3711</v>
      </c>
      <c r="B1770" s="19" t="s">
        <v>15</v>
      </c>
      <c r="C1770" s="18" t="s">
        <v>3346</v>
      </c>
      <c r="D1770" s="18" t="s">
        <v>116</v>
      </c>
      <c r="E1770" s="18" t="s">
        <v>117</v>
      </c>
      <c r="F1770" s="18" t="s">
        <v>3756</v>
      </c>
      <c r="G1770" s="18" t="s">
        <v>263</v>
      </c>
      <c r="H1770" s="18" t="s">
        <v>3724</v>
      </c>
      <c r="I1770" s="20" t="s">
        <v>3757</v>
      </c>
      <c r="J1770" s="18" t="s">
        <v>58</v>
      </c>
      <c r="K1770" s="18" t="s">
        <v>24</v>
      </c>
      <c r="L1770" s="18" t="s">
        <v>25</v>
      </c>
      <c r="N1770" s="18" t="s">
        <v>820</v>
      </c>
    </row>
    <row r="1771" spans="1:14" ht="15" customHeight="1" x14ac:dyDescent="0.3">
      <c r="A1771" s="18" t="s">
        <v>3711</v>
      </c>
      <c r="B1771" s="19" t="s">
        <v>15</v>
      </c>
      <c r="C1771" s="18" t="s">
        <v>3346</v>
      </c>
      <c r="D1771" s="18" t="s">
        <v>116</v>
      </c>
      <c r="E1771" s="18" t="s">
        <v>117</v>
      </c>
      <c r="F1771" s="18" t="s">
        <v>3758</v>
      </c>
      <c r="G1771" s="18" t="s">
        <v>212</v>
      </c>
      <c r="H1771" s="18" t="s">
        <v>3717</v>
      </c>
      <c r="I1771" s="20" t="s">
        <v>3759</v>
      </c>
      <c r="J1771" s="18" t="s">
        <v>58</v>
      </c>
      <c r="K1771" s="18" t="s">
        <v>24</v>
      </c>
      <c r="L1771" s="18" t="s">
        <v>25</v>
      </c>
      <c r="N1771" s="18" t="s">
        <v>820</v>
      </c>
    </row>
    <row r="1772" spans="1:14" ht="15" customHeight="1" x14ac:dyDescent="0.3">
      <c r="A1772" s="18" t="s">
        <v>3711</v>
      </c>
      <c r="B1772" s="19" t="s">
        <v>15</v>
      </c>
      <c r="C1772" s="18" t="s">
        <v>3733</v>
      </c>
      <c r="D1772" s="18" t="s">
        <v>116</v>
      </c>
      <c r="E1772" s="18" t="s">
        <v>117</v>
      </c>
      <c r="F1772" s="18" t="s">
        <v>3760</v>
      </c>
      <c r="G1772" s="18" t="s">
        <v>2047</v>
      </c>
      <c r="H1772" s="18" t="s">
        <v>3743</v>
      </c>
      <c r="I1772" s="20" t="s">
        <v>3761</v>
      </c>
      <c r="J1772" s="18" t="s">
        <v>58</v>
      </c>
      <c r="K1772" s="18" t="s">
        <v>24</v>
      </c>
      <c r="L1772" s="18" t="s">
        <v>25</v>
      </c>
      <c r="N1772" s="18" t="s">
        <v>973</v>
      </c>
    </row>
    <row r="1773" spans="1:14" ht="15" customHeight="1" x14ac:dyDescent="0.3">
      <c r="A1773" s="18" t="s">
        <v>3711</v>
      </c>
      <c r="B1773" s="19" t="s">
        <v>15</v>
      </c>
      <c r="C1773" s="18" t="s">
        <v>3346</v>
      </c>
      <c r="D1773" s="18" t="s">
        <v>116</v>
      </c>
      <c r="E1773" s="18" t="s">
        <v>117</v>
      </c>
      <c r="F1773" s="18" t="s">
        <v>3762</v>
      </c>
      <c r="G1773" s="18" t="s">
        <v>270</v>
      </c>
      <c r="H1773" s="18" t="s">
        <v>3717</v>
      </c>
      <c r="I1773" s="20" t="s">
        <v>3763</v>
      </c>
      <c r="J1773" s="18" t="s">
        <v>58</v>
      </c>
      <c r="K1773" s="18" t="s">
        <v>24</v>
      </c>
      <c r="L1773" s="18" t="s">
        <v>25</v>
      </c>
      <c r="N1773" s="18" t="s">
        <v>820</v>
      </c>
    </row>
    <row r="1774" spans="1:14" ht="15" customHeight="1" x14ac:dyDescent="0.3">
      <c r="A1774" s="18" t="s">
        <v>3711</v>
      </c>
      <c r="B1774" s="19" t="s">
        <v>15</v>
      </c>
      <c r="C1774" s="18" t="s">
        <v>3346</v>
      </c>
      <c r="D1774" s="18" t="s">
        <v>116</v>
      </c>
      <c r="E1774" s="18" t="s">
        <v>117</v>
      </c>
      <c r="F1774" s="18" t="s">
        <v>3764</v>
      </c>
      <c r="G1774" s="18" t="s">
        <v>63</v>
      </c>
      <c r="H1774" s="18" t="s">
        <v>3717</v>
      </c>
      <c r="I1774" s="20" t="s">
        <v>3765</v>
      </c>
      <c r="J1774" s="18" t="s">
        <v>58</v>
      </c>
      <c r="K1774" s="18" t="s">
        <v>24</v>
      </c>
      <c r="L1774" s="18" t="s">
        <v>25</v>
      </c>
      <c r="N1774" s="18" t="s">
        <v>820</v>
      </c>
    </row>
    <row r="1775" spans="1:14" ht="15" customHeight="1" x14ac:dyDescent="0.3">
      <c r="A1775" s="18" t="s">
        <v>3711</v>
      </c>
      <c r="B1775" s="19" t="s">
        <v>15</v>
      </c>
      <c r="C1775" s="18" t="s">
        <v>3733</v>
      </c>
      <c r="D1775" s="18" t="s">
        <v>116</v>
      </c>
      <c r="E1775" s="18" t="s">
        <v>117</v>
      </c>
      <c r="F1775" s="18" t="s">
        <v>3766</v>
      </c>
      <c r="G1775" s="18" t="s">
        <v>1704</v>
      </c>
      <c r="H1775" s="18" t="s">
        <v>3743</v>
      </c>
      <c r="I1775" s="20" t="s">
        <v>3767</v>
      </c>
      <c r="J1775" s="18" t="s">
        <v>58</v>
      </c>
      <c r="K1775" s="18" t="s">
        <v>24</v>
      </c>
      <c r="L1775" s="18" t="s">
        <v>25</v>
      </c>
      <c r="N1775" s="18" t="s">
        <v>973</v>
      </c>
    </row>
    <row r="1776" spans="1:14" ht="15" customHeight="1" x14ac:dyDescent="0.3">
      <c r="A1776" s="18" t="s">
        <v>3711</v>
      </c>
      <c r="B1776" s="19" t="s">
        <v>15</v>
      </c>
      <c r="C1776" s="18" t="s">
        <v>3733</v>
      </c>
      <c r="D1776" s="18" t="s">
        <v>116</v>
      </c>
      <c r="E1776" s="18" t="s">
        <v>117</v>
      </c>
      <c r="F1776" s="18" t="s">
        <v>3768</v>
      </c>
      <c r="G1776" s="18" t="s">
        <v>2047</v>
      </c>
      <c r="H1776" s="18" t="s">
        <v>3769</v>
      </c>
      <c r="I1776" s="20" t="s">
        <v>3770</v>
      </c>
      <c r="J1776" s="18" t="s">
        <v>58</v>
      </c>
      <c r="K1776" s="18" t="s">
        <v>24</v>
      </c>
      <c r="L1776" s="18" t="s">
        <v>25</v>
      </c>
      <c r="N1776" s="18" t="s">
        <v>973</v>
      </c>
    </row>
    <row r="1777" spans="1:14" ht="15" customHeight="1" x14ac:dyDescent="0.3">
      <c r="A1777" s="18" t="s">
        <v>3711</v>
      </c>
      <c r="B1777" s="19" t="s">
        <v>15</v>
      </c>
      <c r="C1777" s="18" t="s">
        <v>3346</v>
      </c>
      <c r="D1777" s="18" t="s">
        <v>116</v>
      </c>
      <c r="E1777" s="18" t="s">
        <v>117</v>
      </c>
      <c r="F1777" s="18" t="s">
        <v>1235</v>
      </c>
      <c r="G1777" s="18" t="s">
        <v>47</v>
      </c>
      <c r="H1777" s="18" t="s">
        <v>3717</v>
      </c>
      <c r="I1777" s="20" t="s">
        <v>3771</v>
      </c>
      <c r="J1777" s="18" t="s">
        <v>58</v>
      </c>
      <c r="K1777" s="18" t="s">
        <v>24</v>
      </c>
      <c r="L1777" s="18" t="s">
        <v>25</v>
      </c>
      <c r="N1777" s="18" t="s">
        <v>820</v>
      </c>
    </row>
    <row r="1778" spans="1:14" ht="15" customHeight="1" x14ac:dyDescent="0.3">
      <c r="A1778" s="18" t="s">
        <v>3711</v>
      </c>
      <c r="B1778" s="19" t="s">
        <v>15</v>
      </c>
      <c r="C1778" s="18" t="s">
        <v>3346</v>
      </c>
      <c r="D1778" s="18" t="s">
        <v>116</v>
      </c>
      <c r="E1778" s="18" t="s">
        <v>117</v>
      </c>
      <c r="F1778" s="18" t="s">
        <v>1447</v>
      </c>
      <c r="G1778" s="18" t="s">
        <v>536</v>
      </c>
      <c r="H1778" s="18" t="s">
        <v>3724</v>
      </c>
      <c r="I1778" s="20" t="s">
        <v>3772</v>
      </c>
      <c r="J1778" s="18" t="s">
        <v>58</v>
      </c>
      <c r="K1778" s="18" t="s">
        <v>24</v>
      </c>
      <c r="L1778" s="18" t="s">
        <v>25</v>
      </c>
      <c r="N1778" s="18" t="s">
        <v>820</v>
      </c>
    </row>
    <row r="1779" spans="1:14" ht="15" customHeight="1" x14ac:dyDescent="0.3">
      <c r="A1779" s="18" t="s">
        <v>3711</v>
      </c>
      <c r="B1779" s="19" t="s">
        <v>15</v>
      </c>
      <c r="C1779" s="18" t="s">
        <v>3733</v>
      </c>
      <c r="D1779" s="18" t="s">
        <v>116</v>
      </c>
      <c r="E1779" s="18" t="s">
        <v>117</v>
      </c>
      <c r="F1779" s="18" t="s">
        <v>2081</v>
      </c>
      <c r="G1779" s="18" t="s">
        <v>2082</v>
      </c>
      <c r="H1779" s="18" t="s">
        <v>3743</v>
      </c>
      <c r="I1779" s="20" t="s">
        <v>3773</v>
      </c>
      <c r="J1779" s="18" t="s">
        <v>58</v>
      </c>
      <c r="K1779" s="18" t="s">
        <v>24</v>
      </c>
      <c r="L1779" s="18" t="s">
        <v>25</v>
      </c>
      <c r="N1779" s="18" t="s">
        <v>973</v>
      </c>
    </row>
    <row r="1780" spans="1:14" ht="15" customHeight="1" x14ac:dyDescent="0.3">
      <c r="A1780" s="18" t="s">
        <v>3711</v>
      </c>
      <c r="B1780" s="19" t="s">
        <v>15</v>
      </c>
      <c r="C1780" s="18" t="s">
        <v>3346</v>
      </c>
      <c r="D1780" s="18" t="s">
        <v>116</v>
      </c>
      <c r="E1780" s="18" t="s">
        <v>18</v>
      </c>
      <c r="F1780" s="18" t="s">
        <v>3774</v>
      </c>
      <c r="G1780" s="18" t="s">
        <v>207</v>
      </c>
      <c r="H1780" s="18" t="s">
        <v>3775</v>
      </c>
      <c r="I1780" s="20" t="s">
        <v>3776</v>
      </c>
      <c r="J1780" s="18" t="s">
        <v>30</v>
      </c>
      <c r="K1780" s="18" t="s">
        <v>24</v>
      </c>
      <c r="L1780" s="18" t="s">
        <v>25</v>
      </c>
      <c r="N1780" s="18" t="s">
        <v>820</v>
      </c>
    </row>
    <row r="1781" spans="1:14" ht="15" customHeight="1" x14ac:dyDescent="0.3">
      <c r="A1781" s="18" t="s">
        <v>3711</v>
      </c>
      <c r="B1781" s="19" t="s">
        <v>15</v>
      </c>
      <c r="C1781" s="18" t="s">
        <v>3733</v>
      </c>
      <c r="D1781" s="18" t="s">
        <v>116</v>
      </c>
      <c r="E1781" s="18" t="s">
        <v>18</v>
      </c>
      <c r="F1781" s="18" t="s">
        <v>2084</v>
      </c>
      <c r="G1781" s="18" t="s">
        <v>1704</v>
      </c>
      <c r="H1781" s="18" t="s">
        <v>3734</v>
      </c>
      <c r="I1781" s="20" t="s">
        <v>3777</v>
      </c>
      <c r="J1781" s="18" t="s">
        <v>30</v>
      </c>
      <c r="K1781" s="18" t="s">
        <v>24</v>
      </c>
      <c r="L1781" s="18" t="s">
        <v>25</v>
      </c>
      <c r="N1781" s="18" t="s">
        <v>973</v>
      </c>
    </row>
    <row r="1782" spans="1:14" ht="15" customHeight="1" x14ac:dyDescent="0.3">
      <c r="A1782" s="18" t="s">
        <v>3711</v>
      </c>
      <c r="B1782" s="19" t="s">
        <v>15</v>
      </c>
      <c r="C1782" s="18" t="s">
        <v>3346</v>
      </c>
      <c r="D1782" s="18" t="s">
        <v>116</v>
      </c>
      <c r="E1782" s="18" t="s">
        <v>18</v>
      </c>
      <c r="F1782" s="18" t="s">
        <v>3778</v>
      </c>
      <c r="G1782" s="18" t="s">
        <v>160</v>
      </c>
      <c r="H1782" s="18" t="s">
        <v>3779</v>
      </c>
      <c r="I1782" s="20" t="s">
        <v>3780</v>
      </c>
      <c r="J1782" s="18" t="s">
        <v>30</v>
      </c>
      <c r="K1782" s="18" t="s">
        <v>24</v>
      </c>
      <c r="L1782" s="18" t="s">
        <v>25</v>
      </c>
      <c r="N1782" s="18" t="s">
        <v>820</v>
      </c>
    </row>
    <row r="1783" spans="1:14" ht="15" customHeight="1" x14ac:dyDescent="0.3">
      <c r="A1783" s="18" t="s">
        <v>3711</v>
      </c>
      <c r="B1783" s="19" t="s">
        <v>15</v>
      </c>
      <c r="C1783" s="18" t="s">
        <v>3346</v>
      </c>
      <c r="D1783" s="18" t="s">
        <v>116</v>
      </c>
      <c r="E1783" s="18" t="s">
        <v>18</v>
      </c>
      <c r="F1783" s="18" t="s">
        <v>162</v>
      </c>
      <c r="G1783" s="18" t="s">
        <v>28</v>
      </c>
      <c r="H1783" s="18" t="s">
        <v>3779</v>
      </c>
      <c r="I1783" s="20" t="s">
        <v>3781</v>
      </c>
      <c r="J1783" s="18" t="s">
        <v>30</v>
      </c>
      <c r="K1783" s="18" t="s">
        <v>24</v>
      </c>
      <c r="L1783" s="18" t="s">
        <v>25</v>
      </c>
      <c r="N1783" s="18" t="s">
        <v>820</v>
      </c>
    </row>
    <row r="1784" spans="1:14" ht="15" customHeight="1" x14ac:dyDescent="0.3">
      <c r="A1784" s="18" t="s">
        <v>3711</v>
      </c>
      <c r="B1784" s="19" t="s">
        <v>15</v>
      </c>
      <c r="C1784" s="18" t="s">
        <v>3733</v>
      </c>
      <c r="D1784" s="18" t="s">
        <v>116</v>
      </c>
      <c r="E1784" s="18" t="s">
        <v>18</v>
      </c>
      <c r="F1784" s="18" t="s">
        <v>1019</v>
      </c>
      <c r="G1784" s="18" t="s">
        <v>1019</v>
      </c>
      <c r="H1784" s="18" t="s">
        <v>3782</v>
      </c>
      <c r="I1784" s="20" t="s">
        <v>3783</v>
      </c>
      <c r="J1784" s="18" t="s">
        <v>30</v>
      </c>
      <c r="K1784" s="18" t="s">
        <v>24</v>
      </c>
      <c r="L1784" s="18" t="s">
        <v>25</v>
      </c>
      <c r="N1784" s="18" t="s">
        <v>973</v>
      </c>
    </row>
    <row r="1785" spans="1:14" ht="15" customHeight="1" x14ac:dyDescent="0.3">
      <c r="A1785" s="18" t="s">
        <v>3711</v>
      </c>
      <c r="B1785" s="19" t="s">
        <v>15</v>
      </c>
      <c r="C1785" s="18" t="s">
        <v>3346</v>
      </c>
      <c r="D1785" s="18" t="s">
        <v>116</v>
      </c>
      <c r="E1785" s="18" t="s">
        <v>18</v>
      </c>
      <c r="F1785" s="18" t="s">
        <v>272</v>
      </c>
      <c r="G1785" s="18" t="s">
        <v>273</v>
      </c>
      <c r="H1785" s="18" t="s">
        <v>3712</v>
      </c>
      <c r="I1785" s="20" t="s">
        <v>3784</v>
      </c>
      <c r="J1785" s="18" t="s">
        <v>30</v>
      </c>
      <c r="K1785" s="18" t="s">
        <v>24</v>
      </c>
      <c r="L1785" s="18" t="s">
        <v>25</v>
      </c>
      <c r="N1785" s="18" t="s">
        <v>820</v>
      </c>
    </row>
    <row r="1786" spans="1:14" ht="15" customHeight="1" x14ac:dyDescent="0.3">
      <c r="A1786" s="18" t="s">
        <v>3711</v>
      </c>
      <c r="B1786" s="19" t="s">
        <v>15</v>
      </c>
      <c r="C1786" s="18" t="s">
        <v>3346</v>
      </c>
      <c r="D1786" s="18" t="s">
        <v>116</v>
      </c>
      <c r="E1786" s="18" t="s">
        <v>18</v>
      </c>
      <c r="F1786" s="18" t="s">
        <v>356</v>
      </c>
      <c r="G1786" s="18" t="s">
        <v>273</v>
      </c>
      <c r="H1786" s="18" t="s">
        <v>3724</v>
      </c>
      <c r="I1786" s="20" t="s">
        <v>3785</v>
      </c>
      <c r="J1786" s="18" t="s">
        <v>30</v>
      </c>
      <c r="K1786" s="18" t="s">
        <v>24</v>
      </c>
      <c r="L1786" s="18" t="s">
        <v>25</v>
      </c>
      <c r="N1786" s="18" t="s">
        <v>820</v>
      </c>
    </row>
    <row r="1787" spans="1:14" ht="15" customHeight="1" x14ac:dyDescent="0.3">
      <c r="A1787" s="18" t="s">
        <v>3711</v>
      </c>
      <c r="B1787" s="19" t="s">
        <v>15</v>
      </c>
      <c r="C1787" s="18" t="s">
        <v>3346</v>
      </c>
      <c r="D1787" s="18" t="s">
        <v>116</v>
      </c>
      <c r="E1787" s="18" t="s">
        <v>18</v>
      </c>
      <c r="F1787" s="18" t="s">
        <v>381</v>
      </c>
      <c r="G1787" s="18" t="s">
        <v>381</v>
      </c>
      <c r="H1787" s="18" t="s">
        <v>3719</v>
      </c>
      <c r="I1787" s="20" t="s">
        <v>3786</v>
      </c>
      <c r="J1787" s="18" t="s">
        <v>23</v>
      </c>
      <c r="K1787" s="18" t="s">
        <v>24</v>
      </c>
      <c r="L1787" s="18" t="s">
        <v>25</v>
      </c>
      <c r="N1787" s="18" t="s">
        <v>820</v>
      </c>
    </row>
    <row r="1788" spans="1:14" ht="15" customHeight="1" x14ac:dyDescent="0.3">
      <c r="A1788" s="18" t="s">
        <v>3711</v>
      </c>
      <c r="B1788" s="19" t="s">
        <v>15</v>
      </c>
      <c r="C1788" s="18" t="s">
        <v>3733</v>
      </c>
      <c r="D1788" s="18" t="s">
        <v>116</v>
      </c>
      <c r="E1788" s="18" t="s">
        <v>18</v>
      </c>
      <c r="F1788" s="18" t="s">
        <v>624</v>
      </c>
      <c r="G1788" s="18" t="s">
        <v>920</v>
      </c>
      <c r="H1788" s="18" t="s">
        <v>3782</v>
      </c>
      <c r="I1788" s="20" t="s">
        <v>3787</v>
      </c>
      <c r="J1788" s="18" t="s">
        <v>30</v>
      </c>
      <c r="K1788" s="18" t="s">
        <v>24</v>
      </c>
      <c r="L1788" s="18" t="s">
        <v>25</v>
      </c>
      <c r="N1788" s="18" t="s">
        <v>973</v>
      </c>
    </row>
    <row r="1789" spans="1:14" ht="15" customHeight="1" x14ac:dyDescent="0.3">
      <c r="A1789" s="18" t="s">
        <v>3711</v>
      </c>
      <c r="B1789" s="19" t="s">
        <v>15</v>
      </c>
      <c r="C1789" s="18" t="s">
        <v>3346</v>
      </c>
      <c r="D1789" s="18" t="s">
        <v>116</v>
      </c>
      <c r="E1789" s="18" t="s">
        <v>18</v>
      </c>
      <c r="F1789" s="18" t="s">
        <v>221</v>
      </c>
      <c r="G1789" s="18" t="s">
        <v>212</v>
      </c>
      <c r="H1789" s="18" t="s">
        <v>3779</v>
      </c>
      <c r="I1789" s="20" t="s">
        <v>3788</v>
      </c>
      <c r="J1789" s="18" t="s">
        <v>30</v>
      </c>
      <c r="K1789" s="18" t="s">
        <v>24</v>
      </c>
      <c r="L1789" s="18" t="s">
        <v>25</v>
      </c>
      <c r="N1789" s="18" t="s">
        <v>820</v>
      </c>
    </row>
    <row r="1790" spans="1:14" ht="15" customHeight="1" x14ac:dyDescent="0.3">
      <c r="A1790" s="18" t="s">
        <v>3711</v>
      </c>
      <c r="B1790" s="19" t="s">
        <v>15</v>
      </c>
      <c r="C1790" s="18" t="s">
        <v>3346</v>
      </c>
      <c r="D1790" s="18" t="s">
        <v>116</v>
      </c>
      <c r="E1790" s="18" t="s">
        <v>18</v>
      </c>
      <c r="F1790" s="18" t="s">
        <v>1072</v>
      </c>
      <c r="G1790" s="18" t="s">
        <v>47</v>
      </c>
      <c r="H1790" s="18" t="s">
        <v>3779</v>
      </c>
      <c r="I1790" s="20" t="s">
        <v>3789</v>
      </c>
      <c r="J1790" s="18" t="s">
        <v>30</v>
      </c>
      <c r="K1790" s="18" t="s">
        <v>24</v>
      </c>
      <c r="L1790" s="18" t="s">
        <v>25</v>
      </c>
      <c r="N1790" s="18" t="s">
        <v>820</v>
      </c>
    </row>
    <row r="1791" spans="1:14" ht="15" customHeight="1" x14ac:dyDescent="0.3">
      <c r="A1791" s="18" t="s">
        <v>3711</v>
      </c>
      <c r="B1791" s="19" t="s">
        <v>15</v>
      </c>
      <c r="C1791" s="18" t="s">
        <v>3346</v>
      </c>
      <c r="D1791" s="18" t="s">
        <v>116</v>
      </c>
      <c r="E1791" s="18" t="s">
        <v>18</v>
      </c>
      <c r="F1791" s="18" t="s">
        <v>1276</v>
      </c>
      <c r="G1791" s="18" t="s">
        <v>1251</v>
      </c>
      <c r="H1791" s="18" t="s">
        <v>3779</v>
      </c>
      <c r="I1791" s="20" t="s">
        <v>3790</v>
      </c>
      <c r="J1791" s="18" t="s">
        <v>30</v>
      </c>
      <c r="K1791" s="18" t="s">
        <v>24</v>
      </c>
      <c r="L1791" s="18" t="s">
        <v>25</v>
      </c>
      <c r="N1791" s="18" t="s">
        <v>820</v>
      </c>
    </row>
    <row r="1792" spans="1:14" ht="15" customHeight="1" x14ac:dyDescent="0.3">
      <c r="A1792" s="18" t="s">
        <v>3711</v>
      </c>
      <c r="B1792" s="19" t="s">
        <v>15</v>
      </c>
      <c r="C1792" s="18" t="s">
        <v>3346</v>
      </c>
      <c r="D1792" s="18" t="s">
        <v>116</v>
      </c>
      <c r="E1792" s="18" t="s">
        <v>18</v>
      </c>
      <c r="F1792" s="18" t="s">
        <v>3791</v>
      </c>
      <c r="G1792" s="18" t="s">
        <v>1204</v>
      </c>
      <c r="H1792" s="18" t="s">
        <v>3779</v>
      </c>
      <c r="I1792" s="20" t="s">
        <v>3792</v>
      </c>
      <c r="J1792" s="18" t="s">
        <v>30</v>
      </c>
      <c r="K1792" s="18" t="s">
        <v>24</v>
      </c>
      <c r="L1792" s="18" t="s">
        <v>25</v>
      </c>
      <c r="N1792" s="18" t="s">
        <v>820</v>
      </c>
    </row>
    <row r="1793" spans="1:14" ht="15" customHeight="1" x14ac:dyDescent="0.3">
      <c r="A1793" s="18" t="s">
        <v>3711</v>
      </c>
      <c r="B1793" s="19" t="s">
        <v>15</v>
      </c>
      <c r="C1793" s="18" t="s">
        <v>3733</v>
      </c>
      <c r="D1793" s="18" t="s">
        <v>116</v>
      </c>
      <c r="E1793" s="18" t="s">
        <v>18</v>
      </c>
      <c r="F1793" s="18" t="s">
        <v>3793</v>
      </c>
      <c r="G1793" s="18" t="s">
        <v>2242</v>
      </c>
      <c r="H1793" s="18" t="s">
        <v>3782</v>
      </c>
      <c r="I1793" s="20" t="s">
        <v>3794</v>
      </c>
      <c r="J1793" s="18" t="s">
        <v>30</v>
      </c>
      <c r="K1793" s="18" t="s">
        <v>24</v>
      </c>
      <c r="L1793" s="18" t="s">
        <v>25</v>
      </c>
      <c r="N1793" s="18" t="s">
        <v>973</v>
      </c>
    </row>
    <row r="1794" spans="1:14" ht="15" customHeight="1" x14ac:dyDescent="0.3">
      <c r="A1794" s="18" t="s">
        <v>3711</v>
      </c>
      <c r="B1794" s="19" t="s">
        <v>15</v>
      </c>
      <c r="C1794" s="18" t="s">
        <v>3346</v>
      </c>
      <c r="D1794" s="18" t="s">
        <v>116</v>
      </c>
      <c r="E1794" s="18" t="s">
        <v>18</v>
      </c>
      <c r="F1794" s="18" t="s">
        <v>580</v>
      </c>
      <c r="G1794" s="18" t="s">
        <v>20</v>
      </c>
      <c r="H1794" s="18" t="s">
        <v>3795</v>
      </c>
      <c r="I1794" s="20" t="s">
        <v>3796</v>
      </c>
      <c r="J1794" s="18" t="s">
        <v>23</v>
      </c>
      <c r="K1794" s="18" t="s">
        <v>24</v>
      </c>
      <c r="L1794" s="18" t="s">
        <v>25</v>
      </c>
      <c r="N1794" s="18" t="s">
        <v>820</v>
      </c>
    </row>
    <row r="1795" spans="1:14" ht="15" customHeight="1" x14ac:dyDescent="0.3">
      <c r="A1795" s="18" t="s">
        <v>3711</v>
      </c>
      <c r="B1795" s="19" t="s">
        <v>15</v>
      </c>
      <c r="C1795" s="18" t="s">
        <v>3346</v>
      </c>
      <c r="D1795" s="18" t="s">
        <v>116</v>
      </c>
      <c r="E1795" s="18" t="s">
        <v>18</v>
      </c>
      <c r="F1795" s="18" t="s">
        <v>40</v>
      </c>
      <c r="G1795" s="18" t="s">
        <v>41</v>
      </c>
      <c r="H1795" s="18" t="s">
        <v>3779</v>
      </c>
      <c r="I1795" s="20" t="s">
        <v>3797</v>
      </c>
      <c r="J1795" s="18" t="s">
        <v>30</v>
      </c>
      <c r="K1795" s="18" t="s">
        <v>24</v>
      </c>
      <c r="L1795" s="18" t="s">
        <v>25</v>
      </c>
      <c r="N1795" s="18" t="s">
        <v>820</v>
      </c>
    </row>
    <row r="1796" spans="1:14" ht="15" customHeight="1" x14ac:dyDescent="0.3">
      <c r="A1796" s="18" t="s">
        <v>3711</v>
      </c>
      <c r="B1796" s="19" t="s">
        <v>15</v>
      </c>
      <c r="C1796" s="18" t="s">
        <v>3346</v>
      </c>
      <c r="D1796" s="18" t="s">
        <v>116</v>
      </c>
      <c r="E1796" s="18" t="s">
        <v>18</v>
      </c>
      <c r="F1796" s="18" t="s">
        <v>1088</v>
      </c>
      <c r="G1796" s="18" t="s">
        <v>41</v>
      </c>
      <c r="H1796" s="18" t="s">
        <v>3779</v>
      </c>
      <c r="I1796" s="20" t="s">
        <v>3798</v>
      </c>
      <c r="J1796" s="18" t="s">
        <v>30</v>
      </c>
      <c r="K1796" s="18" t="s">
        <v>24</v>
      </c>
      <c r="L1796" s="18" t="s">
        <v>25</v>
      </c>
      <c r="N1796" s="18" t="s">
        <v>820</v>
      </c>
    </row>
    <row r="1797" spans="1:14" ht="15" customHeight="1" x14ac:dyDescent="0.3">
      <c r="A1797" s="18" t="s">
        <v>3711</v>
      </c>
      <c r="B1797" s="19" t="s">
        <v>15</v>
      </c>
      <c r="C1797" s="18" t="s">
        <v>3346</v>
      </c>
      <c r="D1797" s="18" t="s">
        <v>116</v>
      </c>
      <c r="E1797" s="18" t="s">
        <v>18</v>
      </c>
      <c r="F1797" s="18" t="s">
        <v>3799</v>
      </c>
      <c r="G1797" s="18" t="s">
        <v>429</v>
      </c>
      <c r="H1797" s="18" t="s">
        <v>3795</v>
      </c>
      <c r="I1797" s="20" t="s">
        <v>3800</v>
      </c>
      <c r="J1797" s="18" t="s">
        <v>30</v>
      </c>
      <c r="K1797" s="18" t="s">
        <v>24</v>
      </c>
      <c r="L1797" s="18" t="s">
        <v>25</v>
      </c>
      <c r="N1797" s="18" t="s">
        <v>820</v>
      </c>
    </row>
    <row r="1798" spans="1:14" ht="15" customHeight="1" x14ac:dyDescent="0.3">
      <c r="A1798" s="18" t="s">
        <v>3711</v>
      </c>
      <c r="B1798" s="19" t="s">
        <v>15</v>
      </c>
      <c r="C1798" s="18" t="s">
        <v>3346</v>
      </c>
      <c r="D1798" s="18" t="s">
        <v>116</v>
      </c>
      <c r="E1798" s="18" t="s">
        <v>18</v>
      </c>
      <c r="F1798" s="18" t="s">
        <v>1130</v>
      </c>
      <c r="G1798" s="18" t="s">
        <v>1340</v>
      </c>
      <c r="H1798" s="18" t="s">
        <v>3724</v>
      </c>
      <c r="I1798" s="20" t="s">
        <v>3801</v>
      </c>
      <c r="J1798" s="18" t="s">
        <v>30</v>
      </c>
      <c r="K1798" s="18" t="s">
        <v>24</v>
      </c>
      <c r="L1798" s="18" t="s">
        <v>25</v>
      </c>
      <c r="N1798" s="18" t="s">
        <v>820</v>
      </c>
    </row>
    <row r="1799" spans="1:14" ht="15" customHeight="1" x14ac:dyDescent="0.3">
      <c r="A1799" s="18" t="s">
        <v>3711</v>
      </c>
      <c r="B1799" s="19" t="s">
        <v>15</v>
      </c>
      <c r="C1799" s="18" t="s">
        <v>3346</v>
      </c>
      <c r="D1799" s="18" t="s">
        <v>116</v>
      </c>
      <c r="E1799" s="18" t="s">
        <v>18</v>
      </c>
      <c r="F1799" s="18" t="s">
        <v>3802</v>
      </c>
      <c r="G1799" s="18" t="s">
        <v>298</v>
      </c>
      <c r="H1799" s="18" t="s">
        <v>3724</v>
      </c>
      <c r="I1799" s="20" t="s">
        <v>3803</v>
      </c>
      <c r="J1799" s="18" t="s">
        <v>30</v>
      </c>
      <c r="K1799" s="18" t="s">
        <v>24</v>
      </c>
      <c r="L1799" s="18" t="s">
        <v>25</v>
      </c>
      <c r="N1799" s="18" t="s">
        <v>820</v>
      </c>
    </row>
    <row r="1800" spans="1:14" ht="15" customHeight="1" x14ac:dyDescent="0.3">
      <c r="A1800" s="18" t="s">
        <v>3711</v>
      </c>
      <c r="B1800" s="19" t="s">
        <v>15</v>
      </c>
      <c r="C1800" s="18" t="s">
        <v>3346</v>
      </c>
      <c r="D1800" s="18" t="s">
        <v>116</v>
      </c>
      <c r="E1800" s="18" t="s">
        <v>18</v>
      </c>
      <c r="F1800" s="18" t="s">
        <v>1102</v>
      </c>
      <c r="G1800" s="18" t="s">
        <v>263</v>
      </c>
      <c r="H1800" s="18" t="s">
        <v>3724</v>
      </c>
      <c r="I1800" s="20" t="s">
        <v>3804</v>
      </c>
      <c r="J1800" s="18" t="s">
        <v>30</v>
      </c>
      <c r="K1800" s="18" t="s">
        <v>24</v>
      </c>
      <c r="L1800" s="18" t="s">
        <v>25</v>
      </c>
      <c r="N1800" s="18" t="s">
        <v>820</v>
      </c>
    </row>
    <row r="1801" spans="1:14" ht="15" customHeight="1" x14ac:dyDescent="0.3">
      <c r="A1801" s="18" t="s">
        <v>3711</v>
      </c>
      <c r="B1801" s="19" t="s">
        <v>15</v>
      </c>
      <c r="C1801" s="18" t="s">
        <v>3346</v>
      </c>
      <c r="D1801" s="18" t="s">
        <v>116</v>
      </c>
      <c r="E1801" s="18" t="s">
        <v>18</v>
      </c>
      <c r="F1801" s="18" t="s">
        <v>2069</v>
      </c>
      <c r="G1801" s="18" t="s">
        <v>160</v>
      </c>
      <c r="H1801" s="18" t="s">
        <v>3779</v>
      </c>
      <c r="I1801" s="20" t="s">
        <v>3805</v>
      </c>
      <c r="J1801" s="18" t="s">
        <v>30</v>
      </c>
      <c r="K1801" s="18" t="s">
        <v>24</v>
      </c>
      <c r="L1801" s="18" t="s">
        <v>25</v>
      </c>
      <c r="N1801" s="18" t="s">
        <v>820</v>
      </c>
    </row>
    <row r="1802" spans="1:14" ht="15" customHeight="1" x14ac:dyDescent="0.3">
      <c r="A1802" s="18" t="s">
        <v>3711</v>
      </c>
      <c r="B1802" s="19" t="s">
        <v>15</v>
      </c>
      <c r="C1802" s="18" t="s">
        <v>3346</v>
      </c>
      <c r="D1802" s="18" t="s">
        <v>116</v>
      </c>
      <c r="E1802" s="18" t="s">
        <v>18</v>
      </c>
      <c r="F1802" s="18" t="s">
        <v>537</v>
      </c>
      <c r="G1802" s="18" t="s">
        <v>536</v>
      </c>
      <c r="H1802" s="18" t="s">
        <v>3724</v>
      </c>
      <c r="I1802" s="20" t="s">
        <v>3806</v>
      </c>
      <c r="J1802" s="18" t="s">
        <v>30</v>
      </c>
      <c r="K1802" s="18" t="s">
        <v>24</v>
      </c>
      <c r="L1802" s="18" t="s">
        <v>25</v>
      </c>
      <c r="N1802" s="18" t="s">
        <v>820</v>
      </c>
    </row>
    <row r="1803" spans="1:14" ht="15" customHeight="1" x14ac:dyDescent="0.3">
      <c r="A1803" s="18" t="s">
        <v>3711</v>
      </c>
      <c r="B1803" s="19" t="s">
        <v>15</v>
      </c>
      <c r="C1803" s="18" t="s">
        <v>3733</v>
      </c>
      <c r="D1803" s="18" t="s">
        <v>116</v>
      </c>
      <c r="E1803" s="18" t="s">
        <v>55</v>
      </c>
      <c r="F1803" s="18" t="s">
        <v>3807</v>
      </c>
      <c r="G1803" s="18" t="s">
        <v>2047</v>
      </c>
      <c r="H1803" s="18" t="s">
        <v>3734</v>
      </c>
      <c r="I1803" s="20" t="s">
        <v>3808</v>
      </c>
      <c r="J1803" s="18" t="s">
        <v>58</v>
      </c>
      <c r="K1803" s="18" t="s">
        <v>24</v>
      </c>
      <c r="L1803" s="18" t="s">
        <v>25</v>
      </c>
      <c r="N1803" s="18" t="s">
        <v>973</v>
      </c>
    </row>
    <row r="1804" spans="1:14" ht="15" customHeight="1" x14ac:dyDescent="0.3">
      <c r="A1804" s="18" t="s">
        <v>3711</v>
      </c>
      <c r="B1804" s="19" t="s">
        <v>15</v>
      </c>
      <c r="C1804" s="18" t="s">
        <v>3346</v>
      </c>
      <c r="D1804" s="18" t="s">
        <v>116</v>
      </c>
      <c r="E1804" s="18" t="s">
        <v>55</v>
      </c>
      <c r="F1804" s="18" t="s">
        <v>1947</v>
      </c>
      <c r="G1804" s="18" t="s">
        <v>85</v>
      </c>
      <c r="H1804" s="18" t="s">
        <v>3715</v>
      </c>
      <c r="I1804" s="20" t="s">
        <v>3809</v>
      </c>
      <c r="J1804" s="18" t="s">
        <v>58</v>
      </c>
      <c r="K1804" s="18" t="s">
        <v>24</v>
      </c>
      <c r="L1804" s="18" t="s">
        <v>25</v>
      </c>
      <c r="N1804" s="18" t="s">
        <v>820</v>
      </c>
    </row>
    <row r="1805" spans="1:14" ht="15" customHeight="1" x14ac:dyDescent="0.3">
      <c r="A1805" s="18" t="s">
        <v>3711</v>
      </c>
      <c r="B1805" s="19" t="s">
        <v>15</v>
      </c>
      <c r="C1805" s="18" t="s">
        <v>3346</v>
      </c>
      <c r="D1805" s="18" t="s">
        <v>116</v>
      </c>
      <c r="E1805" s="18" t="s">
        <v>55</v>
      </c>
      <c r="F1805" s="18" t="s">
        <v>3810</v>
      </c>
      <c r="G1805" s="18" t="s">
        <v>28</v>
      </c>
      <c r="H1805" s="18" t="s">
        <v>3717</v>
      </c>
      <c r="I1805" s="20" t="s">
        <v>3811</v>
      </c>
      <c r="J1805" s="18" t="s">
        <v>58</v>
      </c>
      <c r="K1805" s="18" t="s">
        <v>24</v>
      </c>
      <c r="L1805" s="18" t="s">
        <v>25</v>
      </c>
      <c r="N1805" s="18" t="s">
        <v>820</v>
      </c>
    </row>
    <row r="1806" spans="1:14" ht="15" customHeight="1" x14ac:dyDescent="0.3">
      <c r="A1806" s="18" t="s">
        <v>3711</v>
      </c>
      <c r="B1806" s="19" t="s">
        <v>15</v>
      </c>
      <c r="C1806" s="18" t="s">
        <v>149</v>
      </c>
      <c r="D1806" s="18" t="s">
        <v>116</v>
      </c>
      <c r="E1806" s="18" t="s">
        <v>55</v>
      </c>
      <c r="F1806" s="18" t="s">
        <v>3812</v>
      </c>
      <c r="G1806" s="18" t="s">
        <v>619</v>
      </c>
      <c r="H1806" s="18" t="s">
        <v>3813</v>
      </c>
      <c r="I1806" s="20" t="s">
        <v>3814</v>
      </c>
      <c r="J1806" s="18" t="s">
        <v>58</v>
      </c>
      <c r="K1806" s="18" t="s">
        <v>293</v>
      </c>
      <c r="L1806" s="18" t="s">
        <v>25</v>
      </c>
      <c r="N1806" s="18" t="s">
        <v>154</v>
      </c>
    </row>
    <row r="1807" spans="1:14" ht="15" customHeight="1" x14ac:dyDescent="0.3">
      <c r="A1807" s="18" t="s">
        <v>3711</v>
      </c>
      <c r="B1807" s="19" t="s">
        <v>15</v>
      </c>
      <c r="C1807" s="18" t="s">
        <v>3346</v>
      </c>
      <c r="D1807" s="18" t="s">
        <v>116</v>
      </c>
      <c r="E1807" s="18" t="s">
        <v>55</v>
      </c>
      <c r="F1807" s="18" t="s">
        <v>1026</v>
      </c>
      <c r="G1807" s="18" t="s">
        <v>273</v>
      </c>
      <c r="H1807" s="18" t="s">
        <v>3712</v>
      </c>
      <c r="I1807" s="20" t="s">
        <v>3815</v>
      </c>
      <c r="J1807" s="18" t="s">
        <v>58</v>
      </c>
      <c r="K1807" s="18" t="s">
        <v>24</v>
      </c>
      <c r="L1807" s="18" t="s">
        <v>25</v>
      </c>
      <c r="N1807" s="18" t="s">
        <v>820</v>
      </c>
    </row>
    <row r="1808" spans="1:14" ht="15" customHeight="1" x14ac:dyDescent="0.3">
      <c r="A1808" s="18" t="s">
        <v>3711</v>
      </c>
      <c r="B1808" s="19" t="s">
        <v>15</v>
      </c>
      <c r="C1808" s="18" t="s">
        <v>3346</v>
      </c>
      <c r="D1808" s="18" t="s">
        <v>116</v>
      </c>
      <c r="E1808" s="18" t="s">
        <v>55</v>
      </c>
      <c r="F1808" s="18" t="s">
        <v>1526</v>
      </c>
      <c r="G1808" s="18" t="s">
        <v>1527</v>
      </c>
      <c r="H1808" s="18" t="s">
        <v>3724</v>
      </c>
      <c r="I1808" s="20" t="s">
        <v>3816</v>
      </c>
      <c r="J1808" s="18" t="s">
        <v>73</v>
      </c>
      <c r="K1808" s="18" t="s">
        <v>24</v>
      </c>
      <c r="L1808" s="18" t="s">
        <v>25</v>
      </c>
      <c r="N1808" s="18" t="s">
        <v>820</v>
      </c>
    </row>
    <row r="1809" spans="1:14" ht="15" customHeight="1" x14ac:dyDescent="0.3">
      <c r="A1809" s="18" t="s">
        <v>3711</v>
      </c>
      <c r="B1809" s="19" t="s">
        <v>15</v>
      </c>
      <c r="C1809" s="18" t="s">
        <v>3346</v>
      </c>
      <c r="D1809" s="18" t="s">
        <v>116</v>
      </c>
      <c r="E1809" s="18" t="s">
        <v>55</v>
      </c>
      <c r="F1809" s="18" t="s">
        <v>1529</v>
      </c>
      <c r="G1809" s="18" t="s">
        <v>1527</v>
      </c>
      <c r="H1809" s="18" t="s">
        <v>3724</v>
      </c>
      <c r="I1809" s="20" t="s">
        <v>3817</v>
      </c>
      <c r="J1809" s="18" t="s">
        <v>58</v>
      </c>
      <c r="K1809" s="18" t="s">
        <v>24</v>
      </c>
      <c r="L1809" s="18" t="s">
        <v>25</v>
      </c>
      <c r="N1809" s="18" t="s">
        <v>820</v>
      </c>
    </row>
    <row r="1810" spans="1:14" ht="15" customHeight="1" x14ac:dyDescent="0.3">
      <c r="A1810" s="18" t="s">
        <v>3711</v>
      </c>
      <c r="B1810" s="19" t="s">
        <v>15</v>
      </c>
      <c r="C1810" s="18" t="s">
        <v>3346</v>
      </c>
      <c r="D1810" s="18" t="s">
        <v>116</v>
      </c>
      <c r="E1810" s="18" t="s">
        <v>55</v>
      </c>
      <c r="F1810" s="18" t="s">
        <v>3818</v>
      </c>
      <c r="G1810" s="18" t="s">
        <v>3819</v>
      </c>
      <c r="H1810" s="18" t="s">
        <v>3724</v>
      </c>
      <c r="I1810" s="20" t="s">
        <v>3820</v>
      </c>
      <c r="J1810" s="18" t="s">
        <v>58</v>
      </c>
      <c r="K1810" s="18" t="s">
        <v>24</v>
      </c>
      <c r="L1810" s="18" t="s">
        <v>25</v>
      </c>
      <c r="N1810" s="18" t="s">
        <v>820</v>
      </c>
    </row>
    <row r="1811" spans="1:14" ht="15" customHeight="1" x14ac:dyDescent="0.3">
      <c r="A1811" s="18" t="s">
        <v>3711</v>
      </c>
      <c r="B1811" s="19" t="s">
        <v>15</v>
      </c>
      <c r="C1811" s="18" t="s">
        <v>2476</v>
      </c>
      <c r="D1811" s="18" t="s">
        <v>116</v>
      </c>
      <c r="E1811" s="18" t="s">
        <v>55</v>
      </c>
      <c r="F1811" s="18" t="s">
        <v>3821</v>
      </c>
      <c r="G1811" s="18" t="s">
        <v>381</v>
      </c>
      <c r="H1811" s="18" t="s">
        <v>3822</v>
      </c>
      <c r="I1811" s="20" t="s">
        <v>3823</v>
      </c>
      <c r="J1811" s="18" t="s">
        <v>73</v>
      </c>
      <c r="K1811" s="18" t="s">
        <v>24</v>
      </c>
      <c r="L1811" s="18" t="s">
        <v>25</v>
      </c>
      <c r="N1811" s="18" t="s">
        <v>807</v>
      </c>
    </row>
    <row r="1812" spans="1:14" ht="15" customHeight="1" x14ac:dyDescent="0.3">
      <c r="A1812" s="18" t="s">
        <v>3711</v>
      </c>
      <c r="B1812" s="19" t="s">
        <v>15</v>
      </c>
      <c r="C1812" s="18" t="s">
        <v>3733</v>
      </c>
      <c r="D1812" s="18" t="s">
        <v>116</v>
      </c>
      <c r="E1812" s="18" t="s">
        <v>55</v>
      </c>
      <c r="F1812" s="18" t="s">
        <v>2366</v>
      </c>
      <c r="G1812" s="18" t="s">
        <v>920</v>
      </c>
      <c r="H1812" s="18" t="s">
        <v>3824</v>
      </c>
      <c r="I1812" s="20" t="s">
        <v>3825</v>
      </c>
      <c r="J1812" s="18" t="s">
        <v>58</v>
      </c>
      <c r="K1812" s="18" t="s">
        <v>24</v>
      </c>
      <c r="L1812" s="18" t="s">
        <v>25</v>
      </c>
      <c r="N1812" s="18" t="s">
        <v>973</v>
      </c>
    </row>
    <row r="1813" spans="1:14" ht="15" customHeight="1" x14ac:dyDescent="0.3">
      <c r="A1813" s="18" t="s">
        <v>3711</v>
      </c>
      <c r="B1813" s="19" t="s">
        <v>15</v>
      </c>
      <c r="C1813" s="18" t="s">
        <v>3346</v>
      </c>
      <c r="D1813" s="18" t="s">
        <v>116</v>
      </c>
      <c r="E1813" s="18" t="s">
        <v>55</v>
      </c>
      <c r="F1813" s="18" t="s">
        <v>281</v>
      </c>
      <c r="G1813" s="18" t="s">
        <v>1860</v>
      </c>
      <c r="H1813" s="18" t="s">
        <v>3724</v>
      </c>
      <c r="I1813" s="20" t="s">
        <v>3826</v>
      </c>
      <c r="J1813" s="18" t="s">
        <v>58</v>
      </c>
      <c r="K1813" s="18" t="s">
        <v>24</v>
      </c>
      <c r="L1813" s="18" t="s">
        <v>25</v>
      </c>
      <c r="N1813" s="18" t="s">
        <v>820</v>
      </c>
    </row>
    <row r="1814" spans="1:14" ht="15" customHeight="1" x14ac:dyDescent="0.3">
      <c r="A1814" s="18" t="s">
        <v>3711</v>
      </c>
      <c r="B1814" s="19" t="s">
        <v>15</v>
      </c>
      <c r="C1814" s="18" t="s">
        <v>3346</v>
      </c>
      <c r="D1814" s="18" t="s">
        <v>116</v>
      </c>
      <c r="E1814" s="18" t="s">
        <v>55</v>
      </c>
      <c r="F1814" s="18" t="s">
        <v>2132</v>
      </c>
      <c r="G1814" s="18" t="s">
        <v>381</v>
      </c>
      <c r="H1814" s="18" t="s">
        <v>3721</v>
      </c>
      <c r="I1814" s="20" t="s">
        <v>3827</v>
      </c>
      <c r="J1814" s="18" t="s">
        <v>58</v>
      </c>
      <c r="K1814" s="18" t="s">
        <v>24</v>
      </c>
      <c r="L1814" s="18" t="s">
        <v>25</v>
      </c>
      <c r="M1814" s="18" t="s">
        <v>39</v>
      </c>
      <c r="N1814" s="18" t="s">
        <v>820</v>
      </c>
    </row>
    <row r="1815" spans="1:14" ht="15" customHeight="1" x14ac:dyDescent="0.3">
      <c r="A1815" s="18" t="s">
        <v>3711</v>
      </c>
      <c r="B1815" s="19" t="s">
        <v>15</v>
      </c>
      <c r="C1815" s="18" t="s">
        <v>3346</v>
      </c>
      <c r="D1815" s="18" t="s">
        <v>116</v>
      </c>
      <c r="E1815" s="18" t="s">
        <v>55</v>
      </c>
      <c r="F1815" s="18" t="s">
        <v>572</v>
      </c>
      <c r="G1815" s="18" t="s">
        <v>263</v>
      </c>
      <c r="H1815" s="18" t="s">
        <v>3724</v>
      </c>
      <c r="I1815" s="20" t="s">
        <v>3828</v>
      </c>
      <c r="J1815" s="18" t="s">
        <v>58</v>
      </c>
      <c r="K1815" s="18" t="s">
        <v>24</v>
      </c>
      <c r="L1815" s="18" t="s">
        <v>25</v>
      </c>
      <c r="N1815" s="18" t="s">
        <v>820</v>
      </c>
    </row>
    <row r="1816" spans="1:14" ht="15" customHeight="1" x14ac:dyDescent="0.3">
      <c r="A1816" s="18" t="s">
        <v>3711</v>
      </c>
      <c r="B1816" s="19" t="s">
        <v>15</v>
      </c>
      <c r="C1816" s="18" t="s">
        <v>3346</v>
      </c>
      <c r="D1816" s="18" t="s">
        <v>116</v>
      </c>
      <c r="E1816" s="18" t="s">
        <v>55</v>
      </c>
      <c r="F1816" s="18" t="s">
        <v>2699</v>
      </c>
      <c r="G1816" s="18" t="s">
        <v>41</v>
      </c>
      <c r="H1816" s="18" t="s">
        <v>3717</v>
      </c>
      <c r="I1816" s="20" t="s">
        <v>3829</v>
      </c>
      <c r="J1816" s="18" t="s">
        <v>58</v>
      </c>
      <c r="K1816" s="18" t="s">
        <v>24</v>
      </c>
      <c r="L1816" s="18" t="s">
        <v>25</v>
      </c>
      <c r="N1816" s="18" t="s">
        <v>820</v>
      </c>
    </row>
    <row r="1817" spans="1:14" ht="15" customHeight="1" x14ac:dyDescent="0.3">
      <c r="A1817" s="18" t="s">
        <v>3711</v>
      </c>
      <c r="B1817" s="19" t="s">
        <v>15</v>
      </c>
      <c r="C1817" s="18" t="s">
        <v>3346</v>
      </c>
      <c r="D1817" s="18" t="s">
        <v>116</v>
      </c>
      <c r="E1817" s="18" t="s">
        <v>55</v>
      </c>
      <c r="F1817" s="18" t="s">
        <v>1587</v>
      </c>
      <c r="G1817" s="18" t="s">
        <v>47</v>
      </c>
      <c r="H1817" s="18" t="s">
        <v>3717</v>
      </c>
      <c r="I1817" s="20" t="s">
        <v>3830</v>
      </c>
      <c r="J1817" s="18" t="s">
        <v>58</v>
      </c>
      <c r="K1817" s="18" t="s">
        <v>24</v>
      </c>
      <c r="L1817" s="18" t="s">
        <v>25</v>
      </c>
      <c r="N1817" s="18" t="s">
        <v>820</v>
      </c>
    </row>
    <row r="1818" spans="1:14" ht="15" customHeight="1" x14ac:dyDescent="0.3">
      <c r="A1818" s="18" t="s">
        <v>3711</v>
      </c>
      <c r="B1818" s="19" t="s">
        <v>15</v>
      </c>
      <c r="C1818" s="18" t="s">
        <v>3346</v>
      </c>
      <c r="D1818" s="18" t="s">
        <v>116</v>
      </c>
      <c r="E1818" s="18" t="s">
        <v>55</v>
      </c>
      <c r="F1818" s="18" t="s">
        <v>3831</v>
      </c>
      <c r="G1818" s="18" t="s">
        <v>273</v>
      </c>
      <c r="H1818" s="18" t="s">
        <v>3724</v>
      </c>
      <c r="I1818" s="20" t="s">
        <v>3832</v>
      </c>
      <c r="J1818" s="18" t="s">
        <v>199</v>
      </c>
      <c r="K1818" s="18" t="s">
        <v>293</v>
      </c>
      <c r="L1818" s="18" t="s">
        <v>25</v>
      </c>
      <c r="N1818" s="18" t="s">
        <v>820</v>
      </c>
    </row>
    <row r="1819" spans="1:14" ht="15" customHeight="1" x14ac:dyDescent="0.3">
      <c r="A1819" s="18" t="s">
        <v>3711</v>
      </c>
      <c r="B1819" s="19" t="s">
        <v>15</v>
      </c>
      <c r="C1819" s="18" t="s">
        <v>3346</v>
      </c>
      <c r="D1819" s="18" t="s">
        <v>116</v>
      </c>
      <c r="E1819" s="18" t="s">
        <v>55</v>
      </c>
      <c r="F1819" s="18" t="s">
        <v>3833</v>
      </c>
      <c r="G1819" s="18" t="s">
        <v>1340</v>
      </c>
      <c r="H1819" s="18" t="s">
        <v>3724</v>
      </c>
      <c r="I1819" s="20" t="s">
        <v>3834</v>
      </c>
      <c r="J1819" s="18" t="s">
        <v>58</v>
      </c>
      <c r="K1819" s="18" t="s">
        <v>24</v>
      </c>
      <c r="L1819" s="18" t="s">
        <v>25</v>
      </c>
      <c r="N1819" s="18" t="s">
        <v>820</v>
      </c>
    </row>
    <row r="1820" spans="1:14" ht="15" customHeight="1" x14ac:dyDescent="0.3">
      <c r="A1820" s="18" t="s">
        <v>3711</v>
      </c>
      <c r="B1820" s="19" t="s">
        <v>15</v>
      </c>
      <c r="C1820" s="18" t="s">
        <v>3346</v>
      </c>
      <c r="D1820" s="18" t="s">
        <v>116</v>
      </c>
      <c r="E1820" s="18" t="s">
        <v>55</v>
      </c>
      <c r="F1820" s="18" t="s">
        <v>3835</v>
      </c>
      <c r="G1820" s="18" t="s">
        <v>1502</v>
      </c>
      <c r="H1820" s="18" t="s">
        <v>3717</v>
      </c>
      <c r="I1820" s="20" t="s">
        <v>3836</v>
      </c>
      <c r="J1820" s="18" t="s">
        <v>58</v>
      </c>
      <c r="K1820" s="18" t="s">
        <v>24</v>
      </c>
      <c r="L1820" s="18" t="s">
        <v>25</v>
      </c>
      <c r="N1820" s="18" t="s">
        <v>820</v>
      </c>
    </row>
    <row r="1821" spans="1:14" ht="15" customHeight="1" x14ac:dyDescent="0.3">
      <c r="A1821" s="18" t="s">
        <v>3711</v>
      </c>
      <c r="B1821" s="19" t="s">
        <v>15</v>
      </c>
      <c r="C1821" s="18" t="s">
        <v>3346</v>
      </c>
      <c r="D1821" s="18" t="s">
        <v>116</v>
      </c>
      <c r="E1821" s="18" t="s">
        <v>55</v>
      </c>
      <c r="F1821" s="18" t="s">
        <v>3837</v>
      </c>
      <c r="G1821" s="18" t="s">
        <v>536</v>
      </c>
      <c r="H1821" s="18" t="s">
        <v>3724</v>
      </c>
      <c r="I1821" s="20" t="s">
        <v>3838</v>
      </c>
      <c r="J1821" s="18" t="s">
        <v>58</v>
      </c>
      <c r="K1821" s="18" t="s">
        <v>24</v>
      </c>
      <c r="L1821" s="18" t="s">
        <v>25</v>
      </c>
      <c r="N1821" s="18" t="s">
        <v>820</v>
      </c>
    </row>
    <row r="1822" spans="1:14" ht="15" customHeight="1" x14ac:dyDescent="0.3">
      <c r="A1822" s="18" t="s">
        <v>3711</v>
      </c>
      <c r="B1822" s="19" t="s">
        <v>15</v>
      </c>
      <c r="C1822" s="18" t="s">
        <v>3346</v>
      </c>
      <c r="D1822" s="18" t="s">
        <v>116</v>
      </c>
      <c r="E1822" s="18" t="s">
        <v>74</v>
      </c>
      <c r="F1822" s="18" t="s">
        <v>53</v>
      </c>
      <c r="G1822" s="18" t="s">
        <v>41</v>
      </c>
      <c r="H1822" s="18" t="s">
        <v>830</v>
      </c>
      <c r="I1822" s="20" t="s">
        <v>3839</v>
      </c>
      <c r="J1822" s="18" t="s">
        <v>3840</v>
      </c>
      <c r="K1822" s="18" t="s">
        <v>24</v>
      </c>
      <c r="L1822" s="18" t="s">
        <v>25</v>
      </c>
      <c r="N1822" s="18" t="s">
        <v>820</v>
      </c>
    </row>
    <row r="1823" spans="1:14" ht="15" customHeight="1" x14ac:dyDescent="0.3">
      <c r="A1823" s="18" t="s">
        <v>3711</v>
      </c>
      <c r="B1823" s="19" t="s">
        <v>15</v>
      </c>
      <c r="C1823" s="18" t="s">
        <v>3346</v>
      </c>
      <c r="D1823" s="18" t="s">
        <v>116</v>
      </c>
      <c r="E1823" s="18" t="s">
        <v>74</v>
      </c>
      <c r="F1823" s="18" t="s">
        <v>503</v>
      </c>
      <c r="G1823" s="18" t="s">
        <v>433</v>
      </c>
      <c r="H1823" s="18" t="s">
        <v>830</v>
      </c>
      <c r="I1823" s="20" t="s">
        <v>3841</v>
      </c>
      <c r="J1823" s="18" t="s">
        <v>394</v>
      </c>
      <c r="K1823" s="18" t="s">
        <v>91</v>
      </c>
      <c r="L1823" s="18" t="s">
        <v>25</v>
      </c>
      <c r="N1823" s="18" t="s">
        <v>820</v>
      </c>
    </row>
    <row r="1824" spans="1:14" ht="15" customHeight="1" x14ac:dyDescent="0.3">
      <c r="A1824" s="18" t="s">
        <v>3711</v>
      </c>
      <c r="B1824" s="19" t="s">
        <v>15</v>
      </c>
      <c r="C1824" s="18" t="s">
        <v>3346</v>
      </c>
      <c r="D1824" s="18" t="s">
        <v>116</v>
      </c>
      <c r="E1824" s="18" t="s">
        <v>74</v>
      </c>
      <c r="F1824" s="18" t="s">
        <v>2161</v>
      </c>
      <c r="G1824" s="18" t="s">
        <v>1704</v>
      </c>
      <c r="H1824" s="18" t="s">
        <v>3842</v>
      </c>
      <c r="I1824" s="20" t="s">
        <v>3843</v>
      </c>
      <c r="J1824" s="18" t="s">
        <v>394</v>
      </c>
      <c r="K1824" s="18" t="s">
        <v>293</v>
      </c>
      <c r="L1824" s="18" t="s">
        <v>25</v>
      </c>
      <c r="N1824" s="18" t="s">
        <v>820</v>
      </c>
    </row>
    <row r="1825" spans="1:14" ht="15" customHeight="1" x14ac:dyDescent="0.3">
      <c r="A1825" s="18" t="s">
        <v>3844</v>
      </c>
      <c r="B1825" s="19" t="s">
        <v>15</v>
      </c>
      <c r="C1825" s="18" t="s">
        <v>1455</v>
      </c>
      <c r="D1825" s="18" t="s">
        <v>116</v>
      </c>
      <c r="E1825" s="18" t="s">
        <v>117</v>
      </c>
      <c r="F1825" s="18" t="s">
        <v>1623</v>
      </c>
      <c r="G1825" s="18" t="s">
        <v>1295</v>
      </c>
      <c r="H1825" s="18" t="s">
        <v>3845</v>
      </c>
      <c r="I1825" s="20" t="s">
        <v>3846</v>
      </c>
      <c r="J1825" s="18" t="s">
        <v>58</v>
      </c>
      <c r="K1825" s="18" t="s">
        <v>24</v>
      </c>
      <c r="L1825" s="18" t="s">
        <v>25</v>
      </c>
      <c r="N1825" s="18" t="s">
        <v>807</v>
      </c>
    </row>
    <row r="1826" spans="1:14" ht="15" customHeight="1" x14ac:dyDescent="0.3">
      <c r="A1826" s="18" t="s">
        <v>3844</v>
      </c>
      <c r="B1826" s="19" t="s">
        <v>15</v>
      </c>
      <c r="C1826" s="18" t="s">
        <v>1455</v>
      </c>
      <c r="D1826" s="18" t="s">
        <v>116</v>
      </c>
      <c r="E1826" s="18" t="s">
        <v>117</v>
      </c>
      <c r="F1826" s="18" t="s">
        <v>2728</v>
      </c>
      <c r="G1826" s="18" t="s">
        <v>2047</v>
      </c>
      <c r="H1826" s="18" t="s">
        <v>3847</v>
      </c>
      <c r="I1826" s="20" t="s">
        <v>3848</v>
      </c>
      <c r="J1826" s="18" t="s">
        <v>58</v>
      </c>
      <c r="K1826" s="18" t="s">
        <v>24</v>
      </c>
      <c r="L1826" s="18" t="s">
        <v>25</v>
      </c>
      <c r="N1826" s="18" t="s">
        <v>807</v>
      </c>
    </row>
    <row r="1827" spans="1:14" ht="15" customHeight="1" x14ac:dyDescent="0.3">
      <c r="A1827" s="18" t="s">
        <v>3844</v>
      </c>
      <c r="B1827" s="19" t="s">
        <v>15</v>
      </c>
      <c r="C1827" s="18" t="s">
        <v>1455</v>
      </c>
      <c r="D1827" s="18" t="s">
        <v>116</v>
      </c>
      <c r="E1827" s="18" t="s">
        <v>117</v>
      </c>
      <c r="F1827" s="18" t="s">
        <v>3849</v>
      </c>
      <c r="G1827" s="18" t="s">
        <v>1704</v>
      </c>
      <c r="H1827" s="18" t="s">
        <v>3850</v>
      </c>
      <c r="I1827" s="20" t="s">
        <v>3851</v>
      </c>
      <c r="J1827" s="18" t="s">
        <v>58</v>
      </c>
      <c r="K1827" s="18" t="s">
        <v>24</v>
      </c>
      <c r="L1827" s="18" t="s">
        <v>25</v>
      </c>
      <c r="N1827" s="18" t="s">
        <v>807</v>
      </c>
    </row>
    <row r="1828" spans="1:14" ht="15" customHeight="1" x14ac:dyDescent="0.3">
      <c r="A1828" s="18" t="s">
        <v>3844</v>
      </c>
      <c r="B1828" s="19" t="s">
        <v>15</v>
      </c>
      <c r="C1828" s="18" t="s">
        <v>1455</v>
      </c>
      <c r="D1828" s="18" t="s">
        <v>116</v>
      </c>
      <c r="E1828" s="18" t="s">
        <v>117</v>
      </c>
      <c r="F1828" s="18" t="s">
        <v>3852</v>
      </c>
      <c r="G1828" s="18" t="s">
        <v>263</v>
      </c>
      <c r="H1828" s="18" t="s">
        <v>3853</v>
      </c>
      <c r="I1828" s="20" t="s">
        <v>3854</v>
      </c>
      <c r="J1828" s="18" t="s">
        <v>58</v>
      </c>
      <c r="K1828" s="18" t="s">
        <v>24</v>
      </c>
      <c r="L1828" s="18" t="s">
        <v>25</v>
      </c>
      <c r="N1828" s="18" t="s">
        <v>807</v>
      </c>
    </row>
    <row r="1829" spans="1:14" ht="15" customHeight="1" x14ac:dyDescent="0.3">
      <c r="A1829" s="18" t="s">
        <v>3844</v>
      </c>
      <c r="B1829" s="19" t="s">
        <v>15</v>
      </c>
      <c r="C1829" s="18" t="s">
        <v>1455</v>
      </c>
      <c r="D1829" s="18" t="s">
        <v>116</v>
      </c>
      <c r="E1829" s="18" t="s">
        <v>117</v>
      </c>
      <c r="F1829" s="18" t="s">
        <v>262</v>
      </c>
      <c r="G1829" s="18" t="s">
        <v>263</v>
      </c>
      <c r="H1829" s="18" t="s">
        <v>3855</v>
      </c>
      <c r="I1829" s="20" t="s">
        <v>3856</v>
      </c>
      <c r="J1829" s="18" t="s">
        <v>58</v>
      </c>
      <c r="K1829" s="18" t="s">
        <v>24</v>
      </c>
      <c r="L1829" s="18" t="s">
        <v>25</v>
      </c>
      <c r="N1829" s="18" t="s">
        <v>807</v>
      </c>
    </row>
    <row r="1830" spans="1:14" ht="15" customHeight="1" x14ac:dyDescent="0.3">
      <c r="A1830" s="18" t="s">
        <v>3844</v>
      </c>
      <c r="B1830" s="19" t="s">
        <v>15</v>
      </c>
      <c r="C1830" s="18" t="s">
        <v>1455</v>
      </c>
      <c r="D1830" s="18" t="s">
        <v>116</v>
      </c>
      <c r="E1830" s="18" t="s">
        <v>117</v>
      </c>
      <c r="F1830" s="18" t="s">
        <v>765</v>
      </c>
      <c r="G1830" s="18" t="s">
        <v>429</v>
      </c>
      <c r="H1830" s="18" t="s">
        <v>3850</v>
      </c>
      <c r="I1830" s="20" t="s">
        <v>3857</v>
      </c>
      <c r="J1830" s="18" t="s">
        <v>58</v>
      </c>
      <c r="K1830" s="18" t="s">
        <v>24</v>
      </c>
      <c r="L1830" s="18" t="s">
        <v>25</v>
      </c>
      <c r="N1830" s="18" t="s">
        <v>807</v>
      </c>
    </row>
    <row r="1831" spans="1:14" ht="15" customHeight="1" x14ac:dyDescent="0.3">
      <c r="A1831" s="18" t="s">
        <v>3844</v>
      </c>
      <c r="B1831" s="19" t="s">
        <v>15</v>
      </c>
      <c r="C1831" s="18" t="s">
        <v>1455</v>
      </c>
      <c r="D1831" s="18" t="s">
        <v>116</v>
      </c>
      <c r="E1831" s="18" t="s">
        <v>117</v>
      </c>
      <c r="F1831" s="18" t="s">
        <v>3858</v>
      </c>
      <c r="G1831" s="18" t="s">
        <v>263</v>
      </c>
      <c r="H1831" s="18" t="s">
        <v>3859</v>
      </c>
      <c r="I1831" s="20" t="s">
        <v>3860</v>
      </c>
      <c r="J1831" s="18" t="s">
        <v>58</v>
      </c>
      <c r="K1831" s="18" t="s">
        <v>24</v>
      </c>
      <c r="L1831" s="18" t="s">
        <v>25</v>
      </c>
      <c r="N1831" s="18" t="s">
        <v>807</v>
      </c>
    </row>
    <row r="1832" spans="1:14" ht="15" customHeight="1" x14ac:dyDescent="0.3">
      <c r="A1832" s="18" t="s">
        <v>3844</v>
      </c>
      <c r="B1832" s="19" t="s">
        <v>15</v>
      </c>
      <c r="C1832" s="18" t="s">
        <v>1455</v>
      </c>
      <c r="D1832" s="18" t="s">
        <v>116</v>
      </c>
      <c r="E1832" s="18" t="s">
        <v>117</v>
      </c>
      <c r="F1832" s="18" t="s">
        <v>349</v>
      </c>
      <c r="G1832" s="18" t="s">
        <v>160</v>
      </c>
      <c r="H1832" s="18" t="s">
        <v>3853</v>
      </c>
      <c r="I1832" s="20" t="s">
        <v>3861</v>
      </c>
      <c r="J1832" s="18" t="s">
        <v>58</v>
      </c>
      <c r="K1832" s="18" t="s">
        <v>24</v>
      </c>
      <c r="L1832" s="18" t="s">
        <v>25</v>
      </c>
      <c r="N1832" s="18" t="s">
        <v>807</v>
      </c>
    </row>
    <row r="1833" spans="1:14" ht="15" customHeight="1" x14ac:dyDescent="0.3">
      <c r="A1833" s="18" t="s">
        <v>3844</v>
      </c>
      <c r="B1833" s="19" t="s">
        <v>15</v>
      </c>
      <c r="C1833" s="18" t="s">
        <v>1455</v>
      </c>
      <c r="D1833" s="18" t="s">
        <v>116</v>
      </c>
      <c r="E1833" s="18" t="s">
        <v>117</v>
      </c>
      <c r="F1833" s="18" t="s">
        <v>1806</v>
      </c>
      <c r="G1833" s="18" t="s">
        <v>85</v>
      </c>
      <c r="H1833" s="18" t="s">
        <v>3862</v>
      </c>
      <c r="I1833" s="20" t="s">
        <v>3863</v>
      </c>
      <c r="J1833" s="18" t="s">
        <v>58</v>
      </c>
      <c r="K1833" s="18" t="s">
        <v>24</v>
      </c>
      <c r="L1833" s="18" t="s">
        <v>25</v>
      </c>
      <c r="N1833" s="18" t="s">
        <v>807</v>
      </c>
    </row>
    <row r="1834" spans="1:14" ht="15" customHeight="1" x14ac:dyDescent="0.3">
      <c r="A1834" s="18" t="s">
        <v>3844</v>
      </c>
      <c r="B1834" s="19" t="s">
        <v>15</v>
      </c>
      <c r="C1834" s="18" t="s">
        <v>1455</v>
      </c>
      <c r="D1834" s="18" t="s">
        <v>116</v>
      </c>
      <c r="E1834" s="18" t="s">
        <v>117</v>
      </c>
      <c r="F1834" s="18" t="s">
        <v>2196</v>
      </c>
      <c r="G1834" s="18" t="s">
        <v>920</v>
      </c>
      <c r="H1834" s="18" t="s">
        <v>3850</v>
      </c>
      <c r="I1834" s="20" t="s">
        <v>3864</v>
      </c>
      <c r="J1834" s="18" t="s">
        <v>58</v>
      </c>
      <c r="K1834" s="18" t="s">
        <v>24</v>
      </c>
      <c r="L1834" s="18" t="s">
        <v>25</v>
      </c>
      <c r="N1834" s="18" t="s">
        <v>807</v>
      </c>
    </row>
    <row r="1835" spans="1:14" ht="15" customHeight="1" x14ac:dyDescent="0.3">
      <c r="A1835" s="18" t="s">
        <v>3844</v>
      </c>
      <c r="B1835" s="19" t="s">
        <v>15</v>
      </c>
      <c r="C1835" s="18" t="s">
        <v>1455</v>
      </c>
      <c r="D1835" s="18" t="s">
        <v>116</v>
      </c>
      <c r="E1835" s="18" t="s">
        <v>117</v>
      </c>
      <c r="F1835" s="18" t="s">
        <v>3865</v>
      </c>
      <c r="G1835" s="18" t="s">
        <v>2047</v>
      </c>
      <c r="H1835" s="18" t="s">
        <v>3850</v>
      </c>
      <c r="I1835" s="20" t="s">
        <v>3866</v>
      </c>
      <c r="J1835" s="18" t="s">
        <v>58</v>
      </c>
      <c r="K1835" s="18" t="s">
        <v>24</v>
      </c>
      <c r="L1835" s="18" t="s">
        <v>25</v>
      </c>
      <c r="N1835" s="18" t="s">
        <v>807</v>
      </c>
    </row>
    <row r="1836" spans="1:14" ht="15" customHeight="1" x14ac:dyDescent="0.3">
      <c r="A1836" s="18" t="s">
        <v>3844</v>
      </c>
      <c r="B1836" s="19" t="s">
        <v>15</v>
      </c>
      <c r="C1836" s="18" t="s">
        <v>1455</v>
      </c>
      <c r="D1836" s="18" t="s">
        <v>116</v>
      </c>
      <c r="E1836" s="18" t="s">
        <v>117</v>
      </c>
      <c r="F1836" s="18" t="s">
        <v>3867</v>
      </c>
      <c r="G1836" s="18" t="s">
        <v>28</v>
      </c>
      <c r="H1836" s="18" t="s">
        <v>3855</v>
      </c>
      <c r="I1836" s="20" t="s">
        <v>3868</v>
      </c>
      <c r="J1836" s="18" t="s">
        <v>58</v>
      </c>
      <c r="K1836" s="18" t="s">
        <v>24</v>
      </c>
      <c r="L1836" s="18" t="s">
        <v>25</v>
      </c>
      <c r="N1836" s="18" t="s">
        <v>807</v>
      </c>
    </row>
    <row r="1837" spans="1:14" ht="15" customHeight="1" x14ac:dyDescent="0.3">
      <c r="A1837" s="18" t="s">
        <v>3844</v>
      </c>
      <c r="B1837" s="19" t="s">
        <v>15</v>
      </c>
      <c r="C1837" s="18" t="s">
        <v>1455</v>
      </c>
      <c r="D1837" s="18" t="s">
        <v>116</v>
      </c>
      <c r="E1837" s="18" t="s">
        <v>117</v>
      </c>
      <c r="F1837" s="18" t="s">
        <v>3869</v>
      </c>
      <c r="G1837" s="18" t="s">
        <v>51</v>
      </c>
      <c r="H1837" s="18" t="s">
        <v>3870</v>
      </c>
      <c r="I1837" s="20" t="s">
        <v>3871</v>
      </c>
      <c r="J1837" s="18" t="s">
        <v>58</v>
      </c>
      <c r="K1837" s="18" t="s">
        <v>24</v>
      </c>
      <c r="L1837" s="18" t="s">
        <v>25</v>
      </c>
      <c r="N1837" s="18" t="s">
        <v>807</v>
      </c>
    </row>
    <row r="1838" spans="1:14" ht="15" customHeight="1" x14ac:dyDescent="0.3">
      <c r="A1838" s="18" t="s">
        <v>3844</v>
      </c>
      <c r="B1838" s="19" t="s">
        <v>15</v>
      </c>
      <c r="C1838" s="18" t="s">
        <v>1455</v>
      </c>
      <c r="D1838" s="18" t="s">
        <v>116</v>
      </c>
      <c r="E1838" s="18" t="s">
        <v>117</v>
      </c>
      <c r="F1838" s="18" t="s">
        <v>3872</v>
      </c>
      <c r="G1838" s="18" t="s">
        <v>2242</v>
      </c>
      <c r="H1838" s="18" t="s">
        <v>3850</v>
      </c>
      <c r="I1838" s="20" t="s">
        <v>3873</v>
      </c>
      <c r="J1838" s="18" t="s">
        <v>58</v>
      </c>
      <c r="K1838" s="18" t="s">
        <v>24</v>
      </c>
      <c r="L1838" s="18" t="s">
        <v>25</v>
      </c>
      <c r="N1838" s="18" t="s">
        <v>807</v>
      </c>
    </row>
    <row r="1839" spans="1:14" ht="15" customHeight="1" x14ac:dyDescent="0.3">
      <c r="A1839" s="18" t="s">
        <v>3844</v>
      </c>
      <c r="B1839" s="19" t="s">
        <v>15</v>
      </c>
      <c r="C1839" s="18" t="s">
        <v>1455</v>
      </c>
      <c r="D1839" s="18" t="s">
        <v>116</v>
      </c>
      <c r="E1839" s="18" t="s">
        <v>117</v>
      </c>
      <c r="F1839" s="18" t="s">
        <v>3874</v>
      </c>
      <c r="G1839" s="18" t="s">
        <v>41</v>
      </c>
      <c r="H1839" s="18" t="s">
        <v>3870</v>
      </c>
      <c r="I1839" s="20" t="s">
        <v>3875</v>
      </c>
      <c r="J1839" s="18" t="s">
        <v>58</v>
      </c>
      <c r="K1839" s="18" t="s">
        <v>24</v>
      </c>
      <c r="L1839" s="18" t="s">
        <v>25</v>
      </c>
      <c r="N1839" s="18" t="s">
        <v>807</v>
      </c>
    </row>
    <row r="1840" spans="1:14" ht="15" customHeight="1" x14ac:dyDescent="0.3">
      <c r="A1840" s="18" t="s">
        <v>3844</v>
      </c>
      <c r="B1840" s="19" t="s">
        <v>15</v>
      </c>
      <c r="C1840" s="18" t="s">
        <v>1455</v>
      </c>
      <c r="D1840" s="18" t="s">
        <v>116</v>
      </c>
      <c r="E1840" s="18" t="s">
        <v>117</v>
      </c>
      <c r="F1840" s="18" t="s">
        <v>3876</v>
      </c>
      <c r="G1840" s="18" t="s">
        <v>219</v>
      </c>
      <c r="H1840" s="18" t="s">
        <v>3870</v>
      </c>
      <c r="I1840" s="20" t="s">
        <v>3877</v>
      </c>
      <c r="J1840" s="18" t="s">
        <v>58</v>
      </c>
      <c r="K1840" s="18" t="s">
        <v>24</v>
      </c>
      <c r="L1840" s="18" t="s">
        <v>25</v>
      </c>
      <c r="N1840" s="18" t="s">
        <v>807</v>
      </c>
    </row>
    <row r="1841" spans="1:14" ht="15" customHeight="1" x14ac:dyDescent="0.3">
      <c r="A1841" s="18" t="s">
        <v>3844</v>
      </c>
      <c r="B1841" s="19" t="s">
        <v>15</v>
      </c>
      <c r="C1841" s="18" t="s">
        <v>1455</v>
      </c>
      <c r="D1841" s="18" t="s">
        <v>116</v>
      </c>
      <c r="E1841" s="18" t="s">
        <v>117</v>
      </c>
      <c r="F1841" s="18" t="s">
        <v>3878</v>
      </c>
      <c r="G1841" s="18" t="s">
        <v>1634</v>
      </c>
      <c r="H1841" s="18" t="s">
        <v>3850</v>
      </c>
      <c r="I1841" s="20" t="s">
        <v>3879</v>
      </c>
      <c r="J1841" s="18" t="s">
        <v>58</v>
      </c>
      <c r="K1841" s="18" t="s">
        <v>24</v>
      </c>
      <c r="L1841" s="18" t="s">
        <v>25</v>
      </c>
      <c r="N1841" s="18" t="s">
        <v>807</v>
      </c>
    </row>
    <row r="1842" spans="1:14" ht="15" customHeight="1" x14ac:dyDescent="0.3">
      <c r="A1842" s="18" t="s">
        <v>3844</v>
      </c>
      <c r="B1842" s="19" t="s">
        <v>15</v>
      </c>
      <c r="C1842" s="18" t="s">
        <v>3880</v>
      </c>
      <c r="D1842" s="18" t="s">
        <v>116</v>
      </c>
      <c r="E1842" s="18" t="s">
        <v>117</v>
      </c>
      <c r="F1842" s="18" t="s">
        <v>3881</v>
      </c>
      <c r="G1842" s="18" t="s">
        <v>47</v>
      </c>
      <c r="H1842" s="18" t="s">
        <v>3882</v>
      </c>
      <c r="I1842" s="20" t="s">
        <v>3883</v>
      </c>
      <c r="J1842" s="18" t="s">
        <v>58</v>
      </c>
      <c r="K1842" s="18" t="s">
        <v>24</v>
      </c>
      <c r="L1842" s="18" t="s">
        <v>25</v>
      </c>
      <c r="N1842" s="18" t="s">
        <v>973</v>
      </c>
    </row>
    <row r="1843" spans="1:14" ht="15" customHeight="1" x14ac:dyDescent="0.3">
      <c r="A1843" s="18" t="s">
        <v>3844</v>
      </c>
      <c r="B1843" s="19" t="s">
        <v>15</v>
      </c>
      <c r="C1843" s="18" t="s">
        <v>3880</v>
      </c>
      <c r="D1843" s="18" t="s">
        <v>116</v>
      </c>
      <c r="E1843" s="18" t="s">
        <v>117</v>
      </c>
      <c r="F1843" s="18" t="s">
        <v>3884</v>
      </c>
      <c r="G1843" s="18" t="s">
        <v>1019</v>
      </c>
      <c r="H1843" s="18" t="s">
        <v>3885</v>
      </c>
      <c r="I1843" s="20" t="s">
        <v>3886</v>
      </c>
      <c r="J1843" s="18" t="s">
        <v>58</v>
      </c>
      <c r="K1843" s="18" t="s">
        <v>24</v>
      </c>
      <c r="L1843" s="18" t="s">
        <v>25</v>
      </c>
      <c r="N1843" s="18" t="s">
        <v>973</v>
      </c>
    </row>
    <row r="1844" spans="1:14" ht="15" customHeight="1" x14ac:dyDescent="0.3">
      <c r="A1844" s="18" t="s">
        <v>3844</v>
      </c>
      <c r="B1844" s="19" t="s">
        <v>15</v>
      </c>
      <c r="C1844" s="18" t="s">
        <v>1455</v>
      </c>
      <c r="D1844" s="18" t="s">
        <v>116</v>
      </c>
      <c r="E1844" s="18" t="s">
        <v>117</v>
      </c>
      <c r="F1844" s="18" t="s">
        <v>1318</v>
      </c>
      <c r="G1844" s="18" t="s">
        <v>207</v>
      </c>
      <c r="H1844" s="18" t="s">
        <v>3870</v>
      </c>
      <c r="I1844" s="20" t="s">
        <v>3887</v>
      </c>
      <c r="J1844" s="18" t="s">
        <v>58</v>
      </c>
      <c r="K1844" s="18" t="s">
        <v>24</v>
      </c>
      <c r="L1844" s="18" t="s">
        <v>25</v>
      </c>
      <c r="N1844" s="18" t="s">
        <v>807</v>
      </c>
    </row>
    <row r="1845" spans="1:14" ht="15" customHeight="1" x14ac:dyDescent="0.3">
      <c r="A1845" s="18" t="s">
        <v>3844</v>
      </c>
      <c r="B1845" s="19" t="s">
        <v>15</v>
      </c>
      <c r="C1845" s="18" t="s">
        <v>1455</v>
      </c>
      <c r="D1845" s="18" t="s">
        <v>116</v>
      </c>
      <c r="E1845" s="18" t="s">
        <v>117</v>
      </c>
      <c r="F1845" s="18" t="s">
        <v>3888</v>
      </c>
      <c r="G1845" s="18" t="s">
        <v>2047</v>
      </c>
      <c r="H1845" s="18" t="s">
        <v>3850</v>
      </c>
      <c r="I1845" s="20" t="s">
        <v>3889</v>
      </c>
      <c r="J1845" s="18" t="s">
        <v>58</v>
      </c>
      <c r="K1845" s="18" t="s">
        <v>24</v>
      </c>
      <c r="L1845" s="18" t="s">
        <v>25</v>
      </c>
      <c r="N1845" s="18" t="s">
        <v>807</v>
      </c>
    </row>
    <row r="1846" spans="1:14" ht="15" customHeight="1" x14ac:dyDescent="0.3">
      <c r="A1846" s="18" t="s">
        <v>3844</v>
      </c>
      <c r="B1846" s="19" t="s">
        <v>15</v>
      </c>
      <c r="C1846" s="18" t="s">
        <v>1455</v>
      </c>
      <c r="D1846" s="18" t="s">
        <v>116</v>
      </c>
      <c r="E1846" s="18" t="s">
        <v>117</v>
      </c>
      <c r="F1846" s="18" t="s">
        <v>3890</v>
      </c>
      <c r="G1846" s="18" t="s">
        <v>151</v>
      </c>
      <c r="H1846" s="18" t="s">
        <v>3855</v>
      </c>
      <c r="I1846" s="20" t="s">
        <v>3891</v>
      </c>
      <c r="J1846" s="18" t="s">
        <v>58</v>
      </c>
      <c r="K1846" s="18" t="s">
        <v>24</v>
      </c>
      <c r="L1846" s="18" t="s">
        <v>25</v>
      </c>
      <c r="N1846" s="18" t="s">
        <v>807</v>
      </c>
    </row>
    <row r="1847" spans="1:14" ht="15" customHeight="1" x14ac:dyDescent="0.3">
      <c r="A1847" s="18" t="s">
        <v>3844</v>
      </c>
      <c r="B1847" s="19" t="s">
        <v>15</v>
      </c>
      <c r="C1847" s="18" t="s">
        <v>1455</v>
      </c>
      <c r="D1847" s="18" t="s">
        <v>116</v>
      </c>
      <c r="E1847" s="18" t="s">
        <v>117</v>
      </c>
      <c r="F1847" s="18" t="s">
        <v>3892</v>
      </c>
      <c r="G1847" s="18" t="s">
        <v>2242</v>
      </c>
      <c r="H1847" s="18" t="s">
        <v>3850</v>
      </c>
      <c r="I1847" s="20" t="s">
        <v>3893</v>
      </c>
      <c r="J1847" s="18" t="s">
        <v>58</v>
      </c>
      <c r="K1847" s="18" t="s">
        <v>24</v>
      </c>
      <c r="L1847" s="18" t="s">
        <v>25</v>
      </c>
      <c r="N1847" s="18" t="s">
        <v>807</v>
      </c>
    </row>
    <row r="1848" spans="1:14" ht="15" customHeight="1" x14ac:dyDescent="0.3">
      <c r="A1848" s="18" t="s">
        <v>3844</v>
      </c>
      <c r="B1848" s="19" t="s">
        <v>15</v>
      </c>
      <c r="C1848" s="18" t="s">
        <v>1455</v>
      </c>
      <c r="D1848" s="18" t="s">
        <v>116</v>
      </c>
      <c r="E1848" s="18" t="s">
        <v>117</v>
      </c>
      <c r="F1848" s="18" t="s">
        <v>3894</v>
      </c>
      <c r="G1848" s="18" t="s">
        <v>47</v>
      </c>
      <c r="H1848" s="18" t="s">
        <v>3853</v>
      </c>
      <c r="I1848" s="20" t="s">
        <v>3895</v>
      </c>
      <c r="J1848" s="18" t="s">
        <v>58</v>
      </c>
      <c r="K1848" s="18" t="s">
        <v>24</v>
      </c>
      <c r="L1848" s="18" t="s">
        <v>25</v>
      </c>
      <c r="N1848" s="18" t="s">
        <v>807</v>
      </c>
    </row>
    <row r="1849" spans="1:14" ht="15" customHeight="1" x14ac:dyDescent="0.3">
      <c r="A1849" s="18" t="s">
        <v>3844</v>
      </c>
      <c r="B1849" s="19" t="s">
        <v>15</v>
      </c>
      <c r="C1849" s="18" t="s">
        <v>1455</v>
      </c>
      <c r="D1849" s="18" t="s">
        <v>116</v>
      </c>
      <c r="E1849" s="18" t="s">
        <v>117</v>
      </c>
      <c r="F1849" s="18" t="s">
        <v>3756</v>
      </c>
      <c r="G1849" s="18" t="s">
        <v>263</v>
      </c>
      <c r="H1849" s="18" t="s">
        <v>3896</v>
      </c>
      <c r="I1849" s="20" t="s">
        <v>3897</v>
      </c>
      <c r="J1849" s="18" t="s">
        <v>58</v>
      </c>
      <c r="K1849" s="18" t="s">
        <v>24</v>
      </c>
      <c r="L1849" s="18" t="s">
        <v>25</v>
      </c>
      <c r="N1849" s="18" t="s">
        <v>807</v>
      </c>
    </row>
    <row r="1850" spans="1:14" ht="15" customHeight="1" x14ac:dyDescent="0.3">
      <c r="A1850" s="18" t="s">
        <v>3844</v>
      </c>
      <c r="B1850" s="19" t="s">
        <v>15</v>
      </c>
      <c r="C1850" s="18" t="s">
        <v>1455</v>
      </c>
      <c r="D1850" s="18" t="s">
        <v>116</v>
      </c>
      <c r="E1850" s="18" t="s">
        <v>117</v>
      </c>
      <c r="F1850" s="18" t="s">
        <v>128</v>
      </c>
      <c r="G1850" s="18" t="s">
        <v>47</v>
      </c>
      <c r="H1850" s="18" t="s">
        <v>3870</v>
      </c>
      <c r="I1850" s="20" t="s">
        <v>3898</v>
      </c>
      <c r="J1850" s="18" t="s">
        <v>58</v>
      </c>
      <c r="K1850" s="18" t="s">
        <v>24</v>
      </c>
      <c r="L1850" s="18" t="s">
        <v>25</v>
      </c>
      <c r="N1850" s="18" t="s">
        <v>807</v>
      </c>
    </row>
    <row r="1851" spans="1:14" ht="15" customHeight="1" x14ac:dyDescent="0.3">
      <c r="A1851" s="18" t="s">
        <v>3844</v>
      </c>
      <c r="B1851" s="19" t="s">
        <v>15</v>
      </c>
      <c r="C1851" s="18" t="s">
        <v>1455</v>
      </c>
      <c r="D1851" s="18" t="s">
        <v>116</v>
      </c>
      <c r="E1851" s="18" t="s">
        <v>117</v>
      </c>
      <c r="F1851" s="18" t="s">
        <v>3899</v>
      </c>
      <c r="G1851" s="18" t="s">
        <v>1634</v>
      </c>
      <c r="H1851" s="18" t="s">
        <v>3850</v>
      </c>
      <c r="I1851" s="20" t="s">
        <v>3900</v>
      </c>
      <c r="J1851" s="18" t="s">
        <v>58</v>
      </c>
      <c r="K1851" s="18" t="s">
        <v>24</v>
      </c>
      <c r="L1851" s="18" t="s">
        <v>25</v>
      </c>
      <c r="N1851" s="18" t="s">
        <v>807</v>
      </c>
    </row>
    <row r="1852" spans="1:14" ht="15" customHeight="1" x14ac:dyDescent="0.3">
      <c r="A1852" s="18" t="s">
        <v>3844</v>
      </c>
      <c r="B1852" s="19" t="s">
        <v>15</v>
      </c>
      <c r="C1852" s="18" t="s">
        <v>1455</v>
      </c>
      <c r="D1852" s="18" t="s">
        <v>116</v>
      </c>
      <c r="E1852" s="18" t="s">
        <v>117</v>
      </c>
      <c r="F1852" s="18" t="s">
        <v>718</v>
      </c>
      <c r="G1852" s="18" t="s">
        <v>270</v>
      </c>
      <c r="H1852" s="18" t="s">
        <v>3901</v>
      </c>
      <c r="I1852" s="20" t="s">
        <v>3902</v>
      </c>
      <c r="J1852" s="18" t="s">
        <v>58</v>
      </c>
      <c r="K1852" s="18" t="s">
        <v>24</v>
      </c>
      <c r="L1852" s="18" t="s">
        <v>25</v>
      </c>
      <c r="N1852" s="18" t="s">
        <v>807</v>
      </c>
    </row>
    <row r="1853" spans="1:14" ht="15" customHeight="1" x14ac:dyDescent="0.3">
      <c r="A1853" s="18" t="s">
        <v>3844</v>
      </c>
      <c r="B1853" s="19" t="s">
        <v>15</v>
      </c>
      <c r="C1853" s="18" t="s">
        <v>3880</v>
      </c>
      <c r="D1853" s="18" t="s">
        <v>116</v>
      </c>
      <c r="E1853" s="18" t="s">
        <v>117</v>
      </c>
      <c r="F1853" s="18" t="s">
        <v>3903</v>
      </c>
      <c r="G1853" s="18" t="s">
        <v>1019</v>
      </c>
      <c r="H1853" s="18" t="s">
        <v>3904</v>
      </c>
      <c r="I1853" s="20" t="s">
        <v>3905</v>
      </c>
      <c r="J1853" s="18" t="s">
        <v>58</v>
      </c>
      <c r="K1853" s="18" t="s">
        <v>24</v>
      </c>
      <c r="L1853" s="18" t="s">
        <v>25</v>
      </c>
      <c r="N1853" s="18" t="s">
        <v>973</v>
      </c>
    </row>
    <row r="1854" spans="1:14" ht="15" customHeight="1" x14ac:dyDescent="0.3">
      <c r="A1854" s="18" t="s">
        <v>3844</v>
      </c>
      <c r="B1854" s="19" t="s">
        <v>15</v>
      </c>
      <c r="C1854" s="18" t="s">
        <v>3880</v>
      </c>
      <c r="D1854" s="18" t="s">
        <v>116</v>
      </c>
      <c r="E1854" s="18" t="s">
        <v>117</v>
      </c>
      <c r="F1854" s="18" t="s">
        <v>3906</v>
      </c>
      <c r="G1854" s="18" t="s">
        <v>1019</v>
      </c>
      <c r="H1854" s="18" t="s">
        <v>3885</v>
      </c>
      <c r="I1854" s="20" t="s">
        <v>3907</v>
      </c>
      <c r="J1854" s="18" t="s">
        <v>58</v>
      </c>
      <c r="K1854" s="18" t="s">
        <v>24</v>
      </c>
      <c r="L1854" s="18" t="s">
        <v>25</v>
      </c>
      <c r="N1854" s="18" t="s">
        <v>973</v>
      </c>
    </row>
    <row r="1855" spans="1:14" ht="15" customHeight="1" x14ac:dyDescent="0.3">
      <c r="A1855" s="18" t="s">
        <v>3844</v>
      </c>
      <c r="B1855" s="19" t="s">
        <v>15</v>
      </c>
      <c r="C1855" s="18" t="s">
        <v>1455</v>
      </c>
      <c r="D1855" s="18" t="s">
        <v>116</v>
      </c>
      <c r="E1855" s="18" t="s">
        <v>117</v>
      </c>
      <c r="F1855" s="18" t="s">
        <v>3908</v>
      </c>
      <c r="G1855" s="18" t="s">
        <v>1502</v>
      </c>
      <c r="H1855" s="18" t="s">
        <v>3850</v>
      </c>
      <c r="I1855" s="20" t="s">
        <v>3909</v>
      </c>
      <c r="J1855" s="18" t="s">
        <v>58</v>
      </c>
      <c r="K1855" s="18" t="s">
        <v>24</v>
      </c>
      <c r="L1855" s="18" t="s">
        <v>25</v>
      </c>
      <c r="N1855" s="18" t="s">
        <v>807</v>
      </c>
    </row>
    <row r="1856" spans="1:14" ht="15" customHeight="1" x14ac:dyDescent="0.3">
      <c r="A1856" s="18" t="s">
        <v>3844</v>
      </c>
      <c r="B1856" s="19" t="s">
        <v>15</v>
      </c>
      <c r="C1856" s="18" t="s">
        <v>1455</v>
      </c>
      <c r="D1856" s="18" t="s">
        <v>116</v>
      </c>
      <c r="E1856" s="18" t="s">
        <v>117</v>
      </c>
      <c r="F1856" s="18" t="s">
        <v>2075</v>
      </c>
      <c r="G1856" s="18" t="s">
        <v>47</v>
      </c>
      <c r="H1856" s="18" t="s">
        <v>3870</v>
      </c>
      <c r="I1856" s="20" t="s">
        <v>3910</v>
      </c>
      <c r="J1856" s="18" t="s">
        <v>58</v>
      </c>
      <c r="K1856" s="18" t="s">
        <v>24</v>
      </c>
      <c r="L1856" s="18" t="s">
        <v>25</v>
      </c>
      <c r="N1856" s="18" t="s">
        <v>807</v>
      </c>
    </row>
    <row r="1857" spans="1:14" ht="15" customHeight="1" x14ac:dyDescent="0.3">
      <c r="A1857" s="18" t="s">
        <v>3844</v>
      </c>
      <c r="B1857" s="19" t="s">
        <v>15</v>
      </c>
      <c r="C1857" s="18" t="s">
        <v>1455</v>
      </c>
      <c r="D1857" s="18" t="s">
        <v>116</v>
      </c>
      <c r="E1857" s="18" t="s">
        <v>117</v>
      </c>
      <c r="F1857" s="18" t="s">
        <v>3911</v>
      </c>
      <c r="G1857" s="18" t="s">
        <v>2047</v>
      </c>
      <c r="H1857" s="18" t="s">
        <v>3850</v>
      </c>
      <c r="I1857" s="20" t="s">
        <v>3912</v>
      </c>
      <c r="J1857" s="18" t="s">
        <v>58</v>
      </c>
      <c r="K1857" s="18" t="s">
        <v>24</v>
      </c>
      <c r="L1857" s="18" t="s">
        <v>25</v>
      </c>
      <c r="N1857" s="18" t="s">
        <v>807</v>
      </c>
    </row>
    <row r="1858" spans="1:14" ht="15" customHeight="1" x14ac:dyDescent="0.3">
      <c r="A1858" s="18" t="s">
        <v>3844</v>
      </c>
      <c r="B1858" s="19" t="s">
        <v>15</v>
      </c>
      <c r="C1858" s="18" t="s">
        <v>1455</v>
      </c>
      <c r="D1858" s="18" t="s">
        <v>116</v>
      </c>
      <c r="E1858" s="18" t="s">
        <v>117</v>
      </c>
      <c r="F1858" s="18" t="s">
        <v>1235</v>
      </c>
      <c r="G1858" s="18" t="s">
        <v>47</v>
      </c>
      <c r="H1858" s="18" t="s">
        <v>3913</v>
      </c>
      <c r="I1858" s="20" t="s">
        <v>3914</v>
      </c>
      <c r="J1858" s="18" t="s">
        <v>58</v>
      </c>
      <c r="K1858" s="18" t="s">
        <v>24</v>
      </c>
      <c r="L1858" s="18" t="s">
        <v>25</v>
      </c>
      <c r="N1858" s="18" t="s">
        <v>807</v>
      </c>
    </row>
    <row r="1859" spans="1:14" ht="15" customHeight="1" x14ac:dyDescent="0.3">
      <c r="A1859" s="18" t="s">
        <v>3844</v>
      </c>
      <c r="B1859" s="19" t="s">
        <v>15</v>
      </c>
      <c r="C1859" s="18" t="s">
        <v>1455</v>
      </c>
      <c r="D1859" s="18" t="s">
        <v>116</v>
      </c>
      <c r="E1859" s="18" t="s">
        <v>117</v>
      </c>
      <c r="F1859" s="18" t="s">
        <v>3915</v>
      </c>
      <c r="G1859" s="18" t="s">
        <v>913</v>
      </c>
      <c r="H1859" s="18" t="s">
        <v>3850</v>
      </c>
      <c r="I1859" s="20" t="s">
        <v>3916</v>
      </c>
      <c r="J1859" s="18" t="s">
        <v>58</v>
      </c>
      <c r="K1859" s="18" t="s">
        <v>24</v>
      </c>
      <c r="L1859" s="18" t="s">
        <v>25</v>
      </c>
      <c r="N1859" s="18" t="s">
        <v>807</v>
      </c>
    </row>
    <row r="1860" spans="1:14" ht="15" customHeight="1" x14ac:dyDescent="0.3">
      <c r="A1860" s="18" t="s">
        <v>3844</v>
      </c>
      <c r="B1860" s="19" t="s">
        <v>15</v>
      </c>
      <c r="C1860" s="18" t="s">
        <v>3880</v>
      </c>
      <c r="D1860" s="18" t="s">
        <v>116</v>
      </c>
      <c r="E1860" s="18" t="s">
        <v>117</v>
      </c>
      <c r="F1860" s="18" t="s">
        <v>3917</v>
      </c>
      <c r="G1860" s="18" t="s">
        <v>219</v>
      </c>
      <c r="H1860" s="18" t="s">
        <v>3885</v>
      </c>
      <c r="I1860" s="20" t="s">
        <v>3918</v>
      </c>
      <c r="J1860" s="18" t="s">
        <v>58</v>
      </c>
      <c r="K1860" s="18" t="s">
        <v>24</v>
      </c>
      <c r="L1860" s="18" t="s">
        <v>25</v>
      </c>
      <c r="N1860" s="18" t="s">
        <v>973</v>
      </c>
    </row>
    <row r="1861" spans="1:14" ht="15" customHeight="1" x14ac:dyDescent="0.3">
      <c r="A1861" s="18" t="s">
        <v>3844</v>
      </c>
      <c r="B1861" s="19" t="s">
        <v>15</v>
      </c>
      <c r="C1861" s="18" t="s">
        <v>1455</v>
      </c>
      <c r="D1861" s="18" t="s">
        <v>116</v>
      </c>
      <c r="E1861" s="18" t="s">
        <v>117</v>
      </c>
      <c r="F1861" s="18" t="s">
        <v>2081</v>
      </c>
      <c r="G1861" s="18" t="s">
        <v>3919</v>
      </c>
      <c r="H1861" s="18" t="s">
        <v>3850</v>
      </c>
      <c r="I1861" s="20" t="s">
        <v>3920</v>
      </c>
      <c r="J1861" s="18" t="s">
        <v>58</v>
      </c>
      <c r="K1861" s="18" t="s">
        <v>24</v>
      </c>
      <c r="L1861" s="18" t="s">
        <v>25</v>
      </c>
      <c r="N1861" s="18" t="s">
        <v>807</v>
      </c>
    </row>
    <row r="1862" spans="1:14" ht="15" customHeight="1" x14ac:dyDescent="0.3">
      <c r="A1862" s="18" t="s">
        <v>3844</v>
      </c>
      <c r="B1862" s="19" t="s">
        <v>15</v>
      </c>
      <c r="C1862" s="18" t="s">
        <v>1455</v>
      </c>
      <c r="D1862" s="18" t="s">
        <v>116</v>
      </c>
      <c r="E1862" s="18" t="s">
        <v>117</v>
      </c>
      <c r="F1862" s="18" t="s">
        <v>2813</v>
      </c>
      <c r="G1862" s="18" t="s">
        <v>2242</v>
      </c>
      <c r="H1862" s="18" t="s">
        <v>3850</v>
      </c>
      <c r="I1862" s="20" t="s">
        <v>3921</v>
      </c>
      <c r="J1862" s="18" t="s">
        <v>58</v>
      </c>
      <c r="K1862" s="18" t="s">
        <v>24</v>
      </c>
      <c r="L1862" s="18" t="s">
        <v>25</v>
      </c>
      <c r="N1862" s="18" t="s">
        <v>807</v>
      </c>
    </row>
    <row r="1863" spans="1:14" ht="15" customHeight="1" x14ac:dyDescent="0.3">
      <c r="A1863" s="18" t="s">
        <v>3844</v>
      </c>
      <c r="B1863" s="19" t="s">
        <v>15</v>
      </c>
      <c r="C1863" s="18" t="s">
        <v>1455</v>
      </c>
      <c r="D1863" s="18" t="s">
        <v>116</v>
      </c>
      <c r="E1863" s="18" t="s">
        <v>18</v>
      </c>
      <c r="F1863" s="18" t="s">
        <v>2084</v>
      </c>
      <c r="G1863" s="18" t="s">
        <v>1704</v>
      </c>
      <c r="H1863" s="18" t="s">
        <v>3847</v>
      </c>
      <c r="I1863" s="20" t="s">
        <v>3922</v>
      </c>
      <c r="J1863" s="18" t="s">
        <v>30</v>
      </c>
      <c r="K1863" s="18" t="s">
        <v>24</v>
      </c>
      <c r="L1863" s="18" t="s">
        <v>25</v>
      </c>
      <c r="N1863" s="18" t="s">
        <v>807</v>
      </c>
    </row>
    <row r="1864" spans="1:14" ht="15" customHeight="1" x14ac:dyDescent="0.3">
      <c r="A1864" s="18" t="s">
        <v>3844</v>
      </c>
      <c r="B1864" s="19" t="s">
        <v>15</v>
      </c>
      <c r="C1864" s="18" t="s">
        <v>3880</v>
      </c>
      <c r="D1864" s="18" t="s">
        <v>116</v>
      </c>
      <c r="E1864" s="18" t="s">
        <v>18</v>
      </c>
      <c r="F1864" s="18" t="s">
        <v>3923</v>
      </c>
      <c r="G1864" s="18" t="s">
        <v>1019</v>
      </c>
      <c r="H1864" s="18" t="s">
        <v>3924</v>
      </c>
      <c r="I1864" s="20" t="s">
        <v>3925</v>
      </c>
      <c r="J1864" s="18" t="s">
        <v>30</v>
      </c>
      <c r="K1864" s="18" t="s">
        <v>24</v>
      </c>
      <c r="L1864" s="18" t="s">
        <v>25</v>
      </c>
      <c r="N1864" s="18" t="s">
        <v>973</v>
      </c>
    </row>
    <row r="1865" spans="1:14" ht="15" customHeight="1" x14ac:dyDescent="0.3">
      <c r="A1865" s="18" t="s">
        <v>3844</v>
      </c>
      <c r="B1865" s="19" t="s">
        <v>15</v>
      </c>
      <c r="C1865" s="18" t="s">
        <v>1455</v>
      </c>
      <c r="D1865" s="18" t="s">
        <v>116</v>
      </c>
      <c r="E1865" s="18" t="s">
        <v>18</v>
      </c>
      <c r="F1865" s="18" t="s">
        <v>3926</v>
      </c>
      <c r="G1865" s="18" t="s">
        <v>606</v>
      </c>
      <c r="H1865" s="18" t="s">
        <v>3850</v>
      </c>
      <c r="I1865" s="20" t="s">
        <v>3927</v>
      </c>
      <c r="J1865" s="18" t="s">
        <v>30</v>
      </c>
      <c r="K1865" s="18" t="s">
        <v>24</v>
      </c>
      <c r="L1865" s="18" t="s">
        <v>25</v>
      </c>
      <c r="N1865" s="18" t="s">
        <v>807</v>
      </c>
    </row>
    <row r="1866" spans="1:14" ht="15" customHeight="1" x14ac:dyDescent="0.3">
      <c r="A1866" s="18" t="s">
        <v>3844</v>
      </c>
      <c r="B1866" s="19" t="s">
        <v>15</v>
      </c>
      <c r="C1866" s="18" t="s">
        <v>1455</v>
      </c>
      <c r="D1866" s="18" t="s">
        <v>116</v>
      </c>
      <c r="E1866" s="18" t="s">
        <v>18</v>
      </c>
      <c r="F1866" s="18" t="s">
        <v>85</v>
      </c>
      <c r="G1866" s="18" t="s">
        <v>85</v>
      </c>
      <c r="H1866" s="18" t="s">
        <v>3928</v>
      </c>
      <c r="I1866" s="20" t="s">
        <v>3929</v>
      </c>
      <c r="J1866" s="18" t="s">
        <v>30</v>
      </c>
      <c r="K1866" s="18" t="s">
        <v>24</v>
      </c>
      <c r="L1866" s="18" t="s">
        <v>25</v>
      </c>
      <c r="N1866" s="18" t="s">
        <v>807</v>
      </c>
    </row>
    <row r="1867" spans="1:14" ht="15" customHeight="1" x14ac:dyDescent="0.3">
      <c r="A1867" s="18" t="s">
        <v>3844</v>
      </c>
      <c r="B1867" s="19" t="s">
        <v>15</v>
      </c>
      <c r="C1867" s="18" t="s">
        <v>3880</v>
      </c>
      <c r="D1867" s="18" t="s">
        <v>116</v>
      </c>
      <c r="E1867" s="18" t="s">
        <v>18</v>
      </c>
      <c r="F1867" s="18" t="s">
        <v>3930</v>
      </c>
      <c r="G1867" s="18" t="s">
        <v>1019</v>
      </c>
      <c r="H1867" s="18" t="s">
        <v>3885</v>
      </c>
      <c r="I1867" s="20" t="s">
        <v>3931</v>
      </c>
      <c r="J1867" s="18" t="s">
        <v>30</v>
      </c>
      <c r="K1867" s="18" t="s">
        <v>24</v>
      </c>
      <c r="L1867" s="18" t="s">
        <v>25</v>
      </c>
      <c r="N1867" s="18" t="s">
        <v>973</v>
      </c>
    </row>
    <row r="1868" spans="1:14" ht="15" customHeight="1" x14ac:dyDescent="0.3">
      <c r="A1868" s="18" t="s">
        <v>3844</v>
      </c>
      <c r="B1868" s="19" t="s">
        <v>15</v>
      </c>
      <c r="C1868" s="18" t="s">
        <v>3880</v>
      </c>
      <c r="D1868" s="18" t="s">
        <v>116</v>
      </c>
      <c r="E1868" s="18" t="s">
        <v>18</v>
      </c>
      <c r="F1868" s="18" t="s">
        <v>1811</v>
      </c>
      <c r="G1868" s="18" t="s">
        <v>1019</v>
      </c>
      <c r="H1868" s="18" t="s">
        <v>3885</v>
      </c>
      <c r="I1868" s="20" t="s">
        <v>3932</v>
      </c>
      <c r="J1868" s="18" t="s">
        <v>30</v>
      </c>
      <c r="K1868" s="18" t="s">
        <v>24</v>
      </c>
      <c r="L1868" s="18" t="s">
        <v>25</v>
      </c>
      <c r="N1868" s="18" t="s">
        <v>973</v>
      </c>
    </row>
    <row r="1869" spans="1:14" ht="15" customHeight="1" x14ac:dyDescent="0.3">
      <c r="A1869" s="18" t="s">
        <v>3844</v>
      </c>
      <c r="B1869" s="19" t="s">
        <v>15</v>
      </c>
      <c r="C1869" s="18" t="s">
        <v>1455</v>
      </c>
      <c r="D1869" s="18" t="s">
        <v>116</v>
      </c>
      <c r="E1869" s="18" t="s">
        <v>18</v>
      </c>
      <c r="F1869" s="18" t="s">
        <v>3933</v>
      </c>
      <c r="G1869" s="18" t="s">
        <v>913</v>
      </c>
      <c r="H1869" s="18" t="s">
        <v>3850</v>
      </c>
      <c r="I1869" s="20" t="s">
        <v>3934</v>
      </c>
      <c r="J1869" s="18" t="s">
        <v>30</v>
      </c>
      <c r="K1869" s="18" t="s">
        <v>24</v>
      </c>
      <c r="L1869" s="18" t="s">
        <v>25</v>
      </c>
      <c r="M1869" s="18" t="s">
        <v>39</v>
      </c>
      <c r="N1869" s="18" t="s">
        <v>807</v>
      </c>
    </row>
    <row r="1870" spans="1:14" ht="15" customHeight="1" x14ac:dyDescent="0.3">
      <c r="A1870" s="18" t="s">
        <v>3844</v>
      </c>
      <c r="B1870" s="19" t="s">
        <v>15</v>
      </c>
      <c r="C1870" s="18" t="s">
        <v>1455</v>
      </c>
      <c r="D1870" s="18" t="s">
        <v>116</v>
      </c>
      <c r="E1870" s="18" t="s">
        <v>18</v>
      </c>
      <c r="F1870" s="18" t="s">
        <v>3935</v>
      </c>
      <c r="G1870" s="18" t="s">
        <v>1009</v>
      </c>
      <c r="H1870" s="18" t="s">
        <v>3936</v>
      </c>
      <c r="I1870" s="20" t="s">
        <v>3937</v>
      </c>
      <c r="J1870" s="18" t="s">
        <v>30</v>
      </c>
      <c r="K1870" s="18" t="s">
        <v>24</v>
      </c>
      <c r="L1870" s="18" t="s">
        <v>25</v>
      </c>
      <c r="N1870" s="18" t="s">
        <v>807</v>
      </c>
    </row>
    <row r="1871" spans="1:14" ht="15" customHeight="1" x14ac:dyDescent="0.3">
      <c r="A1871" s="18" t="s">
        <v>3844</v>
      </c>
      <c r="B1871" s="19" t="s">
        <v>15</v>
      </c>
      <c r="C1871" s="18" t="s">
        <v>1455</v>
      </c>
      <c r="D1871" s="18" t="s">
        <v>116</v>
      </c>
      <c r="E1871" s="18" t="s">
        <v>18</v>
      </c>
      <c r="F1871" s="18" t="s">
        <v>272</v>
      </c>
      <c r="G1871" s="18" t="s">
        <v>273</v>
      </c>
      <c r="H1871" s="18" t="s">
        <v>3938</v>
      </c>
      <c r="I1871" s="20" t="s">
        <v>3939</v>
      </c>
      <c r="J1871" s="18" t="s">
        <v>30</v>
      </c>
      <c r="K1871" s="18" t="s">
        <v>24</v>
      </c>
      <c r="L1871" s="18" t="s">
        <v>25</v>
      </c>
      <c r="N1871" s="18" t="s">
        <v>807</v>
      </c>
    </row>
    <row r="1872" spans="1:14" ht="15" customHeight="1" x14ac:dyDescent="0.3">
      <c r="A1872" s="18" t="s">
        <v>3844</v>
      </c>
      <c r="B1872" s="19" t="s">
        <v>15</v>
      </c>
      <c r="C1872" s="18" t="s">
        <v>1455</v>
      </c>
      <c r="D1872" s="18" t="s">
        <v>116</v>
      </c>
      <c r="E1872" s="18" t="s">
        <v>18</v>
      </c>
      <c r="F1872" s="18" t="s">
        <v>356</v>
      </c>
      <c r="G1872" s="18" t="s">
        <v>273</v>
      </c>
      <c r="H1872" s="18" t="s">
        <v>3938</v>
      </c>
      <c r="I1872" s="20" t="s">
        <v>3940</v>
      </c>
      <c r="J1872" s="18" t="s">
        <v>30</v>
      </c>
      <c r="K1872" s="18" t="s">
        <v>24</v>
      </c>
      <c r="L1872" s="18" t="s">
        <v>25</v>
      </c>
      <c r="N1872" s="18" t="s">
        <v>807</v>
      </c>
    </row>
    <row r="1873" spans="1:14" ht="15" customHeight="1" x14ac:dyDescent="0.3">
      <c r="A1873" s="18" t="s">
        <v>3844</v>
      </c>
      <c r="B1873" s="19" t="s">
        <v>15</v>
      </c>
      <c r="C1873" s="18" t="s">
        <v>1455</v>
      </c>
      <c r="D1873" s="18" t="s">
        <v>116</v>
      </c>
      <c r="E1873" s="18" t="s">
        <v>18</v>
      </c>
      <c r="F1873" s="18" t="s">
        <v>381</v>
      </c>
      <c r="G1873" s="18" t="s">
        <v>381</v>
      </c>
      <c r="H1873" s="18" t="s">
        <v>3859</v>
      </c>
      <c r="I1873" s="20" t="s">
        <v>3941</v>
      </c>
      <c r="J1873" s="18" t="s">
        <v>23</v>
      </c>
      <c r="K1873" s="18" t="s">
        <v>24</v>
      </c>
      <c r="L1873" s="18" t="s">
        <v>25</v>
      </c>
      <c r="N1873" s="18" t="s">
        <v>807</v>
      </c>
    </row>
    <row r="1874" spans="1:14" ht="15" customHeight="1" x14ac:dyDescent="0.3">
      <c r="A1874" s="18" t="s">
        <v>3844</v>
      </c>
      <c r="B1874" s="19" t="s">
        <v>15</v>
      </c>
      <c r="C1874" s="18" t="s">
        <v>1455</v>
      </c>
      <c r="D1874" s="18" t="s">
        <v>116</v>
      </c>
      <c r="E1874" s="18" t="s">
        <v>18</v>
      </c>
      <c r="F1874" s="18" t="s">
        <v>624</v>
      </c>
      <c r="G1874" s="18" t="s">
        <v>920</v>
      </c>
      <c r="H1874" s="18" t="s">
        <v>3850</v>
      </c>
      <c r="I1874" s="20" t="s">
        <v>3942</v>
      </c>
      <c r="J1874" s="18" t="s">
        <v>30</v>
      </c>
      <c r="K1874" s="18" t="s">
        <v>24</v>
      </c>
      <c r="L1874" s="18" t="s">
        <v>25</v>
      </c>
      <c r="N1874" s="18" t="s">
        <v>807</v>
      </c>
    </row>
    <row r="1875" spans="1:14" ht="15" customHeight="1" x14ac:dyDescent="0.3">
      <c r="A1875" s="18" t="s">
        <v>3844</v>
      </c>
      <c r="B1875" s="19" t="s">
        <v>15</v>
      </c>
      <c r="C1875" s="18" t="s">
        <v>1455</v>
      </c>
      <c r="D1875" s="18" t="s">
        <v>116</v>
      </c>
      <c r="E1875" s="18" t="s">
        <v>18</v>
      </c>
      <c r="F1875" s="18" t="s">
        <v>1072</v>
      </c>
      <c r="G1875" s="18" t="s">
        <v>47</v>
      </c>
      <c r="H1875" s="18" t="s">
        <v>3870</v>
      </c>
      <c r="I1875" s="20" t="s">
        <v>3943</v>
      </c>
      <c r="J1875" s="18" t="s">
        <v>30</v>
      </c>
      <c r="K1875" s="18" t="s">
        <v>24</v>
      </c>
      <c r="L1875" s="18" t="s">
        <v>25</v>
      </c>
      <c r="N1875" s="18" t="s">
        <v>807</v>
      </c>
    </row>
    <row r="1876" spans="1:14" ht="15" customHeight="1" x14ac:dyDescent="0.3">
      <c r="A1876" s="18" t="s">
        <v>3844</v>
      </c>
      <c r="B1876" s="19" t="s">
        <v>15</v>
      </c>
      <c r="C1876" s="18" t="s">
        <v>1455</v>
      </c>
      <c r="D1876" s="18" t="s">
        <v>116</v>
      </c>
      <c r="E1876" s="18" t="s">
        <v>18</v>
      </c>
      <c r="F1876" s="18" t="s">
        <v>580</v>
      </c>
      <c r="G1876" s="18" t="s">
        <v>20</v>
      </c>
      <c r="H1876" s="18" t="s">
        <v>3944</v>
      </c>
      <c r="I1876" s="20" t="s">
        <v>3945</v>
      </c>
      <c r="J1876" s="18" t="s">
        <v>23</v>
      </c>
      <c r="K1876" s="18" t="s">
        <v>24</v>
      </c>
      <c r="L1876" s="18" t="s">
        <v>25</v>
      </c>
      <c r="N1876" s="18" t="s">
        <v>807</v>
      </c>
    </row>
    <row r="1877" spans="1:14" ht="15" customHeight="1" x14ac:dyDescent="0.3">
      <c r="A1877" s="18" t="s">
        <v>3844</v>
      </c>
      <c r="B1877" s="19" t="s">
        <v>15</v>
      </c>
      <c r="C1877" s="18" t="s">
        <v>1455</v>
      </c>
      <c r="D1877" s="18" t="s">
        <v>116</v>
      </c>
      <c r="E1877" s="18" t="s">
        <v>18</v>
      </c>
      <c r="F1877" s="18" t="s">
        <v>40</v>
      </c>
      <c r="G1877" s="18" t="s">
        <v>41</v>
      </c>
      <c r="H1877" s="18" t="s">
        <v>3870</v>
      </c>
      <c r="I1877" s="20" t="s">
        <v>3946</v>
      </c>
      <c r="J1877" s="18" t="s">
        <v>30</v>
      </c>
      <c r="K1877" s="18" t="s">
        <v>24</v>
      </c>
      <c r="L1877" s="18" t="s">
        <v>25</v>
      </c>
      <c r="N1877" s="18" t="s">
        <v>807</v>
      </c>
    </row>
    <row r="1878" spans="1:14" ht="15" customHeight="1" x14ac:dyDescent="0.3">
      <c r="A1878" s="18" t="s">
        <v>3844</v>
      </c>
      <c r="B1878" s="19" t="s">
        <v>15</v>
      </c>
      <c r="C1878" s="18" t="s">
        <v>3880</v>
      </c>
      <c r="D1878" s="18" t="s">
        <v>116</v>
      </c>
      <c r="E1878" s="18" t="s">
        <v>18</v>
      </c>
      <c r="F1878" s="18" t="s">
        <v>3947</v>
      </c>
      <c r="G1878" s="18" t="s">
        <v>1019</v>
      </c>
      <c r="H1878" s="18" t="s">
        <v>3885</v>
      </c>
      <c r="I1878" s="20" t="s">
        <v>3948</v>
      </c>
      <c r="J1878" s="18" t="s">
        <v>30</v>
      </c>
      <c r="K1878" s="18" t="s">
        <v>24</v>
      </c>
      <c r="L1878" s="18" t="s">
        <v>25</v>
      </c>
      <c r="N1878" s="18" t="s">
        <v>973</v>
      </c>
    </row>
    <row r="1879" spans="1:14" ht="15" customHeight="1" x14ac:dyDescent="0.3">
      <c r="A1879" s="18" t="s">
        <v>3844</v>
      </c>
      <c r="B1879" s="19" t="s">
        <v>15</v>
      </c>
      <c r="C1879" s="18" t="s">
        <v>1455</v>
      </c>
      <c r="D1879" s="18" t="s">
        <v>116</v>
      </c>
      <c r="E1879" s="18" t="s">
        <v>18</v>
      </c>
      <c r="F1879" s="18" t="s">
        <v>1086</v>
      </c>
      <c r="G1879" s="18" t="s">
        <v>207</v>
      </c>
      <c r="H1879" s="18" t="s">
        <v>3870</v>
      </c>
      <c r="I1879" s="20" t="s">
        <v>3949</v>
      </c>
      <c r="J1879" s="18" t="s">
        <v>30</v>
      </c>
      <c r="K1879" s="18" t="s">
        <v>24</v>
      </c>
      <c r="L1879" s="18" t="s">
        <v>25</v>
      </c>
      <c r="N1879" s="18" t="s">
        <v>807</v>
      </c>
    </row>
    <row r="1880" spans="1:14" ht="15" customHeight="1" x14ac:dyDescent="0.3">
      <c r="A1880" s="18" t="s">
        <v>3844</v>
      </c>
      <c r="B1880" s="19" t="s">
        <v>15</v>
      </c>
      <c r="C1880" s="18" t="s">
        <v>1455</v>
      </c>
      <c r="D1880" s="18" t="s">
        <v>116</v>
      </c>
      <c r="E1880" s="18" t="s">
        <v>18</v>
      </c>
      <c r="F1880" s="18" t="s">
        <v>3326</v>
      </c>
      <c r="G1880" s="18" t="s">
        <v>219</v>
      </c>
      <c r="H1880" s="18" t="s">
        <v>3870</v>
      </c>
      <c r="I1880" s="20" t="s">
        <v>3950</v>
      </c>
      <c r="J1880" s="18" t="s">
        <v>30</v>
      </c>
      <c r="K1880" s="18" t="s">
        <v>24</v>
      </c>
      <c r="L1880" s="18" t="s">
        <v>25</v>
      </c>
      <c r="N1880" s="18" t="s">
        <v>807</v>
      </c>
    </row>
    <row r="1881" spans="1:14" ht="15" customHeight="1" x14ac:dyDescent="0.3">
      <c r="A1881" s="18" t="s">
        <v>3844</v>
      </c>
      <c r="B1881" s="19" t="s">
        <v>15</v>
      </c>
      <c r="C1881" s="18" t="s">
        <v>1455</v>
      </c>
      <c r="D1881" s="18" t="s">
        <v>116</v>
      </c>
      <c r="E1881" s="18" t="s">
        <v>18</v>
      </c>
      <c r="F1881" s="18" t="s">
        <v>3951</v>
      </c>
      <c r="G1881" s="18" t="s">
        <v>160</v>
      </c>
      <c r="H1881" s="18" t="s">
        <v>3938</v>
      </c>
      <c r="I1881" s="20" t="s">
        <v>3952</v>
      </c>
      <c r="J1881" s="18" t="s">
        <v>30</v>
      </c>
      <c r="K1881" s="18" t="s">
        <v>24</v>
      </c>
      <c r="L1881" s="18" t="s">
        <v>25</v>
      </c>
      <c r="N1881" s="18" t="s">
        <v>807</v>
      </c>
    </row>
    <row r="1882" spans="1:14" ht="15" customHeight="1" x14ac:dyDescent="0.3">
      <c r="A1882" s="18" t="s">
        <v>3844</v>
      </c>
      <c r="B1882" s="19" t="s">
        <v>15</v>
      </c>
      <c r="C1882" s="18" t="s">
        <v>1455</v>
      </c>
      <c r="D1882" s="18" t="s">
        <v>116</v>
      </c>
      <c r="E1882" s="18" t="s">
        <v>18</v>
      </c>
      <c r="F1882" s="18" t="s">
        <v>3953</v>
      </c>
      <c r="G1882" s="18" t="s">
        <v>913</v>
      </c>
      <c r="H1882" s="18" t="s">
        <v>3850</v>
      </c>
      <c r="I1882" s="20" t="s">
        <v>3954</v>
      </c>
      <c r="J1882" s="18" t="s">
        <v>30</v>
      </c>
      <c r="K1882" s="18" t="s">
        <v>24</v>
      </c>
      <c r="L1882" s="18" t="s">
        <v>25</v>
      </c>
      <c r="N1882" s="18" t="s">
        <v>807</v>
      </c>
    </row>
    <row r="1883" spans="1:14" ht="15" customHeight="1" x14ac:dyDescent="0.3">
      <c r="A1883" s="18" t="s">
        <v>3844</v>
      </c>
      <c r="B1883" s="19" t="s">
        <v>15</v>
      </c>
      <c r="C1883" s="18" t="s">
        <v>1455</v>
      </c>
      <c r="D1883" s="18" t="s">
        <v>116</v>
      </c>
      <c r="E1883" s="18" t="s">
        <v>18</v>
      </c>
      <c r="F1883" s="18" t="s">
        <v>3955</v>
      </c>
      <c r="G1883" s="18" t="s">
        <v>913</v>
      </c>
      <c r="H1883" s="18" t="s">
        <v>3850</v>
      </c>
      <c r="I1883" s="20" t="s">
        <v>3956</v>
      </c>
      <c r="J1883" s="18" t="s">
        <v>30</v>
      </c>
      <c r="K1883" s="18" t="s">
        <v>24</v>
      </c>
      <c r="L1883" s="18" t="s">
        <v>25</v>
      </c>
      <c r="M1883" s="18" t="s">
        <v>39</v>
      </c>
      <c r="N1883" s="18" t="s">
        <v>807</v>
      </c>
    </row>
    <row r="1884" spans="1:14" ht="15" customHeight="1" x14ac:dyDescent="0.3">
      <c r="A1884" s="18" t="s">
        <v>3844</v>
      </c>
      <c r="B1884" s="19" t="s">
        <v>15</v>
      </c>
      <c r="C1884" s="18" t="s">
        <v>3880</v>
      </c>
      <c r="D1884" s="18" t="s">
        <v>116</v>
      </c>
      <c r="E1884" s="18" t="s">
        <v>18</v>
      </c>
      <c r="F1884" s="18" t="s">
        <v>1653</v>
      </c>
      <c r="G1884" s="18" t="s">
        <v>1019</v>
      </c>
      <c r="H1884" s="18" t="s">
        <v>3885</v>
      </c>
      <c r="I1884" s="20" t="s">
        <v>3957</v>
      </c>
      <c r="J1884" s="18" t="s">
        <v>30</v>
      </c>
      <c r="K1884" s="18" t="s">
        <v>24</v>
      </c>
      <c r="L1884" s="18" t="s">
        <v>25</v>
      </c>
      <c r="N1884" s="18" t="s">
        <v>973</v>
      </c>
    </row>
    <row r="1885" spans="1:14" ht="15" customHeight="1" x14ac:dyDescent="0.3">
      <c r="A1885" s="18" t="s">
        <v>3844</v>
      </c>
      <c r="B1885" s="19" t="s">
        <v>15</v>
      </c>
      <c r="C1885" s="18" t="s">
        <v>1455</v>
      </c>
      <c r="D1885" s="18" t="s">
        <v>116</v>
      </c>
      <c r="E1885" s="18" t="s">
        <v>18</v>
      </c>
      <c r="F1885" s="18" t="s">
        <v>2813</v>
      </c>
      <c r="G1885" s="18" t="s">
        <v>2242</v>
      </c>
      <c r="H1885" s="18" t="s">
        <v>3850</v>
      </c>
      <c r="I1885" s="20" t="s">
        <v>3958</v>
      </c>
      <c r="J1885" s="18" t="s">
        <v>30</v>
      </c>
      <c r="K1885" s="18" t="s">
        <v>24</v>
      </c>
      <c r="L1885" s="18" t="s">
        <v>25</v>
      </c>
      <c r="N1885" s="18" t="s">
        <v>807</v>
      </c>
    </row>
    <row r="1886" spans="1:14" ht="15" customHeight="1" x14ac:dyDescent="0.3">
      <c r="A1886" s="18" t="s">
        <v>3844</v>
      </c>
      <c r="B1886" s="19" t="s">
        <v>15</v>
      </c>
      <c r="C1886" s="18" t="s">
        <v>1455</v>
      </c>
      <c r="D1886" s="18" t="s">
        <v>116</v>
      </c>
      <c r="E1886" s="18" t="s">
        <v>55</v>
      </c>
      <c r="F1886" s="18" t="s">
        <v>3532</v>
      </c>
      <c r="G1886" s="18" t="s">
        <v>273</v>
      </c>
      <c r="H1886" s="18" t="s">
        <v>3938</v>
      </c>
      <c r="I1886" s="20" t="s">
        <v>3959</v>
      </c>
      <c r="J1886" s="18" t="s">
        <v>58</v>
      </c>
      <c r="K1886" s="18" t="s">
        <v>24</v>
      </c>
      <c r="L1886" s="18" t="s">
        <v>25</v>
      </c>
      <c r="N1886" s="18" t="s">
        <v>807</v>
      </c>
    </row>
    <row r="1887" spans="1:14" ht="15" customHeight="1" x14ac:dyDescent="0.3">
      <c r="A1887" s="18" t="s">
        <v>3844</v>
      </c>
      <c r="B1887" s="19" t="s">
        <v>15</v>
      </c>
      <c r="C1887" s="18" t="s">
        <v>1455</v>
      </c>
      <c r="D1887" s="18" t="s">
        <v>116</v>
      </c>
      <c r="E1887" s="18" t="s">
        <v>55</v>
      </c>
      <c r="F1887" s="18" t="s">
        <v>3960</v>
      </c>
      <c r="G1887" s="18" t="s">
        <v>2047</v>
      </c>
      <c r="H1887" s="18" t="s">
        <v>3850</v>
      </c>
      <c r="I1887" s="20" t="s">
        <v>3961</v>
      </c>
      <c r="J1887" s="18" t="s">
        <v>58</v>
      </c>
      <c r="K1887" s="18" t="s">
        <v>24</v>
      </c>
      <c r="L1887" s="18" t="s">
        <v>25</v>
      </c>
      <c r="M1887" s="18" t="s">
        <v>39</v>
      </c>
      <c r="N1887" s="18" t="s">
        <v>807</v>
      </c>
    </row>
    <row r="1888" spans="1:14" ht="15" customHeight="1" x14ac:dyDescent="0.3">
      <c r="A1888" s="18" t="s">
        <v>3844</v>
      </c>
      <c r="B1888" s="19" t="s">
        <v>15</v>
      </c>
      <c r="C1888" s="18" t="s">
        <v>3880</v>
      </c>
      <c r="D1888" s="18" t="s">
        <v>116</v>
      </c>
      <c r="E1888" s="18" t="s">
        <v>55</v>
      </c>
      <c r="F1888" s="18" t="s">
        <v>2113</v>
      </c>
      <c r="G1888" s="18" t="s">
        <v>1019</v>
      </c>
      <c r="H1888" s="18" t="s">
        <v>3962</v>
      </c>
      <c r="I1888" s="20" t="s">
        <v>3963</v>
      </c>
      <c r="J1888" s="18" t="s">
        <v>58</v>
      </c>
      <c r="K1888" s="18" t="s">
        <v>24</v>
      </c>
      <c r="L1888" s="18" t="s">
        <v>25</v>
      </c>
      <c r="N1888" s="18" t="s">
        <v>973</v>
      </c>
    </row>
    <row r="1889" spans="1:14" ht="15" customHeight="1" x14ac:dyDescent="0.3">
      <c r="A1889" s="18" t="s">
        <v>3844</v>
      </c>
      <c r="B1889" s="19" t="s">
        <v>15</v>
      </c>
      <c r="C1889" s="18" t="s">
        <v>1455</v>
      </c>
      <c r="D1889" s="18" t="s">
        <v>116</v>
      </c>
      <c r="E1889" s="18" t="s">
        <v>55</v>
      </c>
      <c r="F1889" s="18" t="s">
        <v>1947</v>
      </c>
      <c r="G1889" s="18" t="s">
        <v>85</v>
      </c>
      <c r="H1889" s="18" t="s">
        <v>3862</v>
      </c>
      <c r="I1889" s="20" t="s">
        <v>3964</v>
      </c>
      <c r="J1889" s="18" t="s">
        <v>58</v>
      </c>
      <c r="K1889" s="18" t="s">
        <v>24</v>
      </c>
      <c r="L1889" s="18" t="s">
        <v>25</v>
      </c>
      <c r="N1889" s="18" t="s">
        <v>807</v>
      </c>
    </row>
    <row r="1890" spans="1:14" ht="15" customHeight="1" x14ac:dyDescent="0.3">
      <c r="A1890" s="18" t="s">
        <v>3844</v>
      </c>
      <c r="B1890" s="19" t="s">
        <v>15</v>
      </c>
      <c r="C1890" s="18" t="s">
        <v>3880</v>
      </c>
      <c r="D1890" s="18" t="s">
        <v>116</v>
      </c>
      <c r="E1890" s="18" t="s">
        <v>55</v>
      </c>
      <c r="F1890" s="18" t="s">
        <v>3965</v>
      </c>
      <c r="G1890" s="18" t="s">
        <v>1019</v>
      </c>
      <c r="H1890" s="18" t="s">
        <v>3885</v>
      </c>
      <c r="I1890" s="20" t="s">
        <v>3966</v>
      </c>
      <c r="J1890" s="18" t="s">
        <v>58</v>
      </c>
      <c r="K1890" s="18" t="s">
        <v>24</v>
      </c>
      <c r="L1890" s="18" t="s">
        <v>25</v>
      </c>
      <c r="N1890" s="18" t="s">
        <v>973</v>
      </c>
    </row>
    <row r="1891" spans="1:14" ht="15" customHeight="1" x14ac:dyDescent="0.3">
      <c r="A1891" s="18" t="s">
        <v>3844</v>
      </c>
      <c r="B1891" s="19" t="s">
        <v>15</v>
      </c>
      <c r="C1891" s="18" t="s">
        <v>1455</v>
      </c>
      <c r="D1891" s="18" t="s">
        <v>116</v>
      </c>
      <c r="E1891" s="18" t="s">
        <v>55</v>
      </c>
      <c r="F1891" s="18" t="s">
        <v>2353</v>
      </c>
      <c r="G1891" s="18" t="s">
        <v>273</v>
      </c>
      <c r="H1891" s="18" t="s">
        <v>3855</v>
      </c>
      <c r="I1891" s="20" t="s">
        <v>3967</v>
      </c>
      <c r="J1891" s="18" t="s">
        <v>58</v>
      </c>
      <c r="K1891" s="18" t="s">
        <v>24</v>
      </c>
      <c r="L1891" s="18" t="s">
        <v>25</v>
      </c>
      <c r="N1891" s="18" t="s">
        <v>807</v>
      </c>
    </row>
    <row r="1892" spans="1:14" ht="15" customHeight="1" x14ac:dyDescent="0.3">
      <c r="A1892" s="18" t="s">
        <v>3844</v>
      </c>
      <c r="B1892" s="19" t="s">
        <v>15</v>
      </c>
      <c r="C1892" s="18" t="s">
        <v>1455</v>
      </c>
      <c r="D1892" s="18" t="s">
        <v>116</v>
      </c>
      <c r="E1892" s="18" t="s">
        <v>55</v>
      </c>
      <c r="F1892" s="18" t="s">
        <v>1526</v>
      </c>
      <c r="G1892" s="18" t="s">
        <v>1527</v>
      </c>
      <c r="H1892" s="18" t="s">
        <v>3855</v>
      </c>
      <c r="I1892" s="20" t="s">
        <v>3968</v>
      </c>
      <c r="J1892" s="18" t="s">
        <v>73</v>
      </c>
      <c r="K1892" s="18" t="s">
        <v>24</v>
      </c>
      <c r="L1892" s="18" t="s">
        <v>25</v>
      </c>
      <c r="N1892" s="18" t="s">
        <v>807</v>
      </c>
    </row>
    <row r="1893" spans="1:14" ht="15" customHeight="1" x14ac:dyDescent="0.3">
      <c r="A1893" s="18" t="s">
        <v>3844</v>
      </c>
      <c r="B1893" s="19" t="s">
        <v>15</v>
      </c>
      <c r="C1893" s="18" t="s">
        <v>1455</v>
      </c>
      <c r="D1893" s="18" t="s">
        <v>116</v>
      </c>
      <c r="E1893" s="18" t="s">
        <v>55</v>
      </c>
      <c r="F1893" s="18" t="s">
        <v>1529</v>
      </c>
      <c r="G1893" s="18" t="s">
        <v>1527</v>
      </c>
      <c r="H1893" s="18" t="s">
        <v>3853</v>
      </c>
      <c r="I1893" s="20" t="s">
        <v>3969</v>
      </c>
      <c r="J1893" s="18" t="s">
        <v>58</v>
      </c>
      <c r="K1893" s="18" t="s">
        <v>24</v>
      </c>
      <c r="L1893" s="18" t="s">
        <v>25</v>
      </c>
      <c r="N1893" s="18" t="s">
        <v>807</v>
      </c>
    </row>
    <row r="1894" spans="1:14" ht="15" customHeight="1" x14ac:dyDescent="0.3">
      <c r="A1894" s="18" t="s">
        <v>3844</v>
      </c>
      <c r="B1894" s="19" t="s">
        <v>15</v>
      </c>
      <c r="C1894" s="18" t="s">
        <v>1455</v>
      </c>
      <c r="D1894" s="18" t="s">
        <v>116</v>
      </c>
      <c r="E1894" s="18" t="s">
        <v>55</v>
      </c>
      <c r="F1894" s="18" t="s">
        <v>3559</v>
      </c>
      <c r="G1894" s="18" t="s">
        <v>273</v>
      </c>
      <c r="H1894" s="18" t="s">
        <v>3855</v>
      </c>
      <c r="I1894" s="20" t="s">
        <v>3970</v>
      </c>
      <c r="J1894" s="18" t="s">
        <v>58</v>
      </c>
      <c r="K1894" s="18" t="s">
        <v>24</v>
      </c>
      <c r="L1894" s="18" t="s">
        <v>25</v>
      </c>
      <c r="N1894" s="18" t="s">
        <v>807</v>
      </c>
    </row>
    <row r="1895" spans="1:14" ht="15" customHeight="1" x14ac:dyDescent="0.3">
      <c r="A1895" s="18" t="s">
        <v>3844</v>
      </c>
      <c r="B1895" s="19" t="s">
        <v>15</v>
      </c>
      <c r="C1895" s="18" t="s">
        <v>1455</v>
      </c>
      <c r="D1895" s="18" t="s">
        <v>116</v>
      </c>
      <c r="E1895" s="18" t="s">
        <v>55</v>
      </c>
      <c r="F1895" s="18" t="s">
        <v>483</v>
      </c>
      <c r="G1895" s="18" t="s">
        <v>381</v>
      </c>
      <c r="H1895" s="18" t="s">
        <v>3859</v>
      </c>
      <c r="I1895" s="20" t="s">
        <v>3971</v>
      </c>
      <c r="J1895" s="18" t="s">
        <v>73</v>
      </c>
      <c r="K1895" s="18" t="s">
        <v>24</v>
      </c>
      <c r="L1895" s="18" t="s">
        <v>25</v>
      </c>
      <c r="N1895" s="18" t="s">
        <v>807</v>
      </c>
    </row>
    <row r="1896" spans="1:14" ht="15" customHeight="1" x14ac:dyDescent="0.3">
      <c r="A1896" s="18" t="s">
        <v>3844</v>
      </c>
      <c r="B1896" s="19" t="s">
        <v>15</v>
      </c>
      <c r="C1896" s="18" t="s">
        <v>1455</v>
      </c>
      <c r="D1896" s="18" t="s">
        <v>116</v>
      </c>
      <c r="E1896" s="18" t="s">
        <v>55</v>
      </c>
      <c r="F1896" s="18" t="s">
        <v>3972</v>
      </c>
      <c r="G1896" s="18" t="s">
        <v>381</v>
      </c>
      <c r="H1896" s="18" t="s">
        <v>3973</v>
      </c>
      <c r="I1896" s="20" t="s">
        <v>3974</v>
      </c>
      <c r="J1896" s="18" t="s">
        <v>73</v>
      </c>
      <c r="K1896" s="18" t="s">
        <v>24</v>
      </c>
      <c r="L1896" s="18" t="s">
        <v>25</v>
      </c>
      <c r="N1896" s="18" t="s">
        <v>807</v>
      </c>
    </row>
    <row r="1897" spans="1:14" ht="15" customHeight="1" x14ac:dyDescent="0.3">
      <c r="A1897" s="18" t="s">
        <v>3844</v>
      </c>
      <c r="B1897" s="19" t="s">
        <v>15</v>
      </c>
      <c r="C1897" s="18" t="s">
        <v>3975</v>
      </c>
      <c r="D1897" s="18" t="s">
        <v>116</v>
      </c>
      <c r="E1897" s="18" t="s">
        <v>55</v>
      </c>
      <c r="F1897" s="18" t="s">
        <v>3976</v>
      </c>
      <c r="G1897" s="18" t="s">
        <v>381</v>
      </c>
      <c r="H1897" s="18" t="s">
        <v>3977</v>
      </c>
      <c r="I1897" s="20" t="s">
        <v>3978</v>
      </c>
      <c r="J1897" s="18" t="s">
        <v>73</v>
      </c>
      <c r="K1897" s="18" t="s">
        <v>24</v>
      </c>
      <c r="L1897" s="18" t="s">
        <v>25</v>
      </c>
      <c r="N1897" s="18" t="s">
        <v>807</v>
      </c>
    </row>
    <row r="1898" spans="1:14" ht="15" customHeight="1" x14ac:dyDescent="0.3">
      <c r="A1898" s="18" t="s">
        <v>3844</v>
      </c>
      <c r="B1898" s="19" t="s">
        <v>15</v>
      </c>
      <c r="C1898" s="18" t="s">
        <v>1455</v>
      </c>
      <c r="D1898" s="18" t="s">
        <v>116</v>
      </c>
      <c r="E1898" s="18" t="s">
        <v>55</v>
      </c>
      <c r="F1898" s="18" t="s">
        <v>3276</v>
      </c>
      <c r="G1898" s="18" t="s">
        <v>381</v>
      </c>
      <c r="H1898" s="18" t="s">
        <v>3979</v>
      </c>
      <c r="I1898" s="20" t="s">
        <v>3980</v>
      </c>
      <c r="J1898" s="18" t="s">
        <v>73</v>
      </c>
      <c r="K1898" s="18" t="s">
        <v>24</v>
      </c>
      <c r="L1898" s="18" t="s">
        <v>25</v>
      </c>
      <c r="N1898" s="18" t="s">
        <v>807</v>
      </c>
    </row>
    <row r="1899" spans="1:14" ht="15" customHeight="1" x14ac:dyDescent="0.3">
      <c r="A1899" s="18" t="s">
        <v>3844</v>
      </c>
      <c r="B1899" s="19" t="s">
        <v>15</v>
      </c>
      <c r="C1899" s="18" t="s">
        <v>1455</v>
      </c>
      <c r="D1899" s="18" t="s">
        <v>116</v>
      </c>
      <c r="E1899" s="18" t="s">
        <v>55</v>
      </c>
      <c r="F1899" s="18" t="s">
        <v>383</v>
      </c>
      <c r="G1899" s="18" t="s">
        <v>381</v>
      </c>
      <c r="H1899" s="18" t="s">
        <v>3896</v>
      </c>
      <c r="I1899" s="20" t="s">
        <v>3981</v>
      </c>
      <c r="J1899" s="18" t="s">
        <v>73</v>
      </c>
      <c r="K1899" s="18" t="s">
        <v>24</v>
      </c>
      <c r="L1899" s="18" t="s">
        <v>25</v>
      </c>
      <c r="N1899" s="18" t="s">
        <v>807</v>
      </c>
    </row>
    <row r="1900" spans="1:14" ht="15" customHeight="1" x14ac:dyDescent="0.3">
      <c r="A1900" s="18" t="s">
        <v>3844</v>
      </c>
      <c r="B1900" s="19" t="s">
        <v>15</v>
      </c>
      <c r="C1900" s="18" t="s">
        <v>1455</v>
      </c>
      <c r="D1900" s="18" t="s">
        <v>116</v>
      </c>
      <c r="E1900" s="18" t="s">
        <v>55</v>
      </c>
      <c r="F1900" s="18" t="s">
        <v>519</v>
      </c>
      <c r="G1900" s="18" t="s">
        <v>381</v>
      </c>
      <c r="H1900" s="18" t="s">
        <v>3982</v>
      </c>
      <c r="I1900" s="20" t="s">
        <v>3983</v>
      </c>
      <c r="J1900" s="18" t="s">
        <v>58</v>
      </c>
      <c r="K1900" s="18" t="s">
        <v>24</v>
      </c>
      <c r="L1900" s="18" t="s">
        <v>25</v>
      </c>
      <c r="N1900" s="18" t="s">
        <v>807</v>
      </c>
    </row>
    <row r="1901" spans="1:14" ht="15" customHeight="1" x14ac:dyDescent="0.3">
      <c r="A1901" s="18" t="s">
        <v>3844</v>
      </c>
      <c r="B1901" s="19" t="s">
        <v>15</v>
      </c>
      <c r="C1901" s="18" t="s">
        <v>1455</v>
      </c>
      <c r="D1901" s="18" t="s">
        <v>116</v>
      </c>
      <c r="E1901" s="18" t="s">
        <v>55</v>
      </c>
      <c r="F1901" s="18" t="s">
        <v>385</v>
      </c>
      <c r="G1901" s="18" t="s">
        <v>381</v>
      </c>
      <c r="H1901" s="18" t="s">
        <v>3896</v>
      </c>
      <c r="I1901" s="20" t="s">
        <v>3984</v>
      </c>
      <c r="J1901" s="18" t="s">
        <v>73</v>
      </c>
      <c r="K1901" s="18" t="s">
        <v>24</v>
      </c>
      <c r="L1901" s="18" t="s">
        <v>25</v>
      </c>
      <c r="N1901" s="18" t="s">
        <v>807</v>
      </c>
    </row>
    <row r="1902" spans="1:14" ht="15" customHeight="1" x14ac:dyDescent="0.3">
      <c r="A1902" s="18" t="s">
        <v>3844</v>
      </c>
      <c r="B1902" s="19" t="s">
        <v>15</v>
      </c>
      <c r="C1902" s="18" t="s">
        <v>1455</v>
      </c>
      <c r="D1902" s="18" t="s">
        <v>116</v>
      </c>
      <c r="E1902" s="18" t="s">
        <v>55</v>
      </c>
      <c r="F1902" s="18" t="s">
        <v>2294</v>
      </c>
      <c r="G1902" s="18" t="s">
        <v>1704</v>
      </c>
      <c r="H1902" s="18" t="s">
        <v>3847</v>
      </c>
      <c r="I1902" s="20" t="s">
        <v>3985</v>
      </c>
      <c r="J1902" s="18" t="s">
        <v>58</v>
      </c>
      <c r="K1902" s="18" t="s">
        <v>24</v>
      </c>
      <c r="L1902" s="18" t="s">
        <v>25</v>
      </c>
      <c r="N1902" s="18" t="s">
        <v>807</v>
      </c>
    </row>
    <row r="1903" spans="1:14" ht="15" customHeight="1" x14ac:dyDescent="0.3">
      <c r="A1903" s="18" t="s">
        <v>3844</v>
      </c>
      <c r="B1903" s="19" t="s">
        <v>15</v>
      </c>
      <c r="C1903" s="18" t="s">
        <v>1455</v>
      </c>
      <c r="D1903" s="18" t="s">
        <v>116</v>
      </c>
      <c r="E1903" s="18" t="s">
        <v>55</v>
      </c>
      <c r="F1903" s="18" t="s">
        <v>2302</v>
      </c>
      <c r="G1903" s="18" t="s">
        <v>2242</v>
      </c>
      <c r="H1903" s="18" t="s">
        <v>3850</v>
      </c>
      <c r="I1903" s="20" t="s">
        <v>3986</v>
      </c>
      <c r="J1903" s="18" t="s">
        <v>73</v>
      </c>
      <c r="K1903" s="18" t="s">
        <v>24</v>
      </c>
      <c r="L1903" s="18" t="s">
        <v>25</v>
      </c>
      <c r="N1903" s="18" t="s">
        <v>807</v>
      </c>
    </row>
    <row r="1904" spans="1:14" ht="15" customHeight="1" x14ac:dyDescent="0.3">
      <c r="A1904" s="18" t="s">
        <v>3844</v>
      </c>
      <c r="B1904" s="19" t="s">
        <v>15</v>
      </c>
      <c r="C1904" s="18" t="s">
        <v>1455</v>
      </c>
      <c r="D1904" s="18" t="s">
        <v>116</v>
      </c>
      <c r="E1904" s="18" t="s">
        <v>55</v>
      </c>
      <c r="F1904" s="18" t="s">
        <v>281</v>
      </c>
      <c r="G1904" s="18" t="s">
        <v>1860</v>
      </c>
      <c r="H1904" s="18" t="s">
        <v>3855</v>
      </c>
      <c r="I1904" s="20" t="s">
        <v>3987</v>
      </c>
      <c r="J1904" s="18" t="s">
        <v>58</v>
      </c>
      <c r="K1904" s="18" t="s">
        <v>24</v>
      </c>
      <c r="L1904" s="18" t="s">
        <v>25</v>
      </c>
      <c r="N1904" s="18" t="s">
        <v>807</v>
      </c>
    </row>
    <row r="1905" spans="1:14" ht="15" customHeight="1" x14ac:dyDescent="0.3">
      <c r="A1905" s="18" t="s">
        <v>3844</v>
      </c>
      <c r="B1905" s="19" t="s">
        <v>15</v>
      </c>
      <c r="C1905" s="18" t="s">
        <v>1455</v>
      </c>
      <c r="D1905" s="18" t="s">
        <v>116</v>
      </c>
      <c r="E1905" s="18" t="s">
        <v>55</v>
      </c>
      <c r="F1905" s="18" t="s">
        <v>284</v>
      </c>
      <c r="G1905" s="18" t="s">
        <v>1860</v>
      </c>
      <c r="H1905" s="18" t="s">
        <v>3855</v>
      </c>
      <c r="I1905" s="20" t="s">
        <v>3988</v>
      </c>
      <c r="J1905" s="18" t="s">
        <v>58</v>
      </c>
      <c r="K1905" s="18" t="s">
        <v>24</v>
      </c>
      <c r="L1905" s="18" t="s">
        <v>25</v>
      </c>
      <c r="M1905" s="18" t="s">
        <v>39</v>
      </c>
      <c r="N1905" s="18" t="s">
        <v>807</v>
      </c>
    </row>
    <row r="1906" spans="1:14" ht="15" customHeight="1" x14ac:dyDescent="0.3">
      <c r="A1906" s="18" t="s">
        <v>3844</v>
      </c>
      <c r="B1906" s="19" t="s">
        <v>15</v>
      </c>
      <c r="C1906" s="18" t="s">
        <v>1455</v>
      </c>
      <c r="D1906" s="18" t="s">
        <v>116</v>
      </c>
      <c r="E1906" s="18" t="s">
        <v>55</v>
      </c>
      <c r="F1906" s="18" t="s">
        <v>40</v>
      </c>
      <c r="G1906" s="18" t="s">
        <v>41</v>
      </c>
      <c r="H1906" s="18" t="s">
        <v>3870</v>
      </c>
      <c r="I1906" s="20" t="s">
        <v>3989</v>
      </c>
      <c r="J1906" s="18" t="s">
        <v>73</v>
      </c>
      <c r="K1906" s="18" t="s">
        <v>24</v>
      </c>
      <c r="L1906" s="18" t="s">
        <v>25</v>
      </c>
      <c r="N1906" s="18" t="s">
        <v>807</v>
      </c>
    </row>
    <row r="1907" spans="1:14" ht="15" customHeight="1" x14ac:dyDescent="0.3">
      <c r="A1907" s="18" t="s">
        <v>3844</v>
      </c>
      <c r="B1907" s="19" t="s">
        <v>15</v>
      </c>
      <c r="C1907" s="18" t="s">
        <v>1455</v>
      </c>
      <c r="D1907" s="18" t="s">
        <v>116</v>
      </c>
      <c r="E1907" s="18" t="s">
        <v>55</v>
      </c>
      <c r="F1907" s="18" t="s">
        <v>3990</v>
      </c>
      <c r="G1907" s="18" t="s">
        <v>41</v>
      </c>
      <c r="H1907" s="18" t="s">
        <v>3991</v>
      </c>
      <c r="I1907" s="20" t="s">
        <v>3992</v>
      </c>
      <c r="J1907" s="18" t="s">
        <v>58</v>
      </c>
      <c r="K1907" s="18" t="s">
        <v>24</v>
      </c>
      <c r="L1907" s="18" t="s">
        <v>25</v>
      </c>
      <c r="M1907" s="18" t="s">
        <v>39</v>
      </c>
      <c r="N1907" s="18" t="s">
        <v>807</v>
      </c>
    </row>
    <row r="1908" spans="1:14" ht="15" customHeight="1" x14ac:dyDescent="0.3">
      <c r="A1908" s="18" t="s">
        <v>3844</v>
      </c>
      <c r="B1908" s="19" t="s">
        <v>15</v>
      </c>
      <c r="C1908" s="18" t="s">
        <v>1455</v>
      </c>
      <c r="D1908" s="18" t="s">
        <v>116</v>
      </c>
      <c r="E1908" s="18" t="s">
        <v>55</v>
      </c>
      <c r="F1908" s="18" t="s">
        <v>2453</v>
      </c>
      <c r="G1908" s="18" t="s">
        <v>41</v>
      </c>
      <c r="H1908" s="18" t="s">
        <v>3993</v>
      </c>
      <c r="I1908" s="20" t="s">
        <v>3994</v>
      </c>
      <c r="J1908" s="18" t="s">
        <v>58</v>
      </c>
      <c r="K1908" s="18" t="s">
        <v>24</v>
      </c>
      <c r="L1908" s="18" t="s">
        <v>25</v>
      </c>
      <c r="N1908" s="18" t="s">
        <v>807</v>
      </c>
    </row>
    <row r="1909" spans="1:14" ht="15" customHeight="1" x14ac:dyDescent="0.3">
      <c r="A1909" s="18" t="s">
        <v>3844</v>
      </c>
      <c r="B1909" s="19" t="s">
        <v>15</v>
      </c>
      <c r="C1909" s="18" t="s">
        <v>1455</v>
      </c>
      <c r="D1909" s="18" t="s">
        <v>116</v>
      </c>
      <c r="E1909" s="18" t="s">
        <v>55</v>
      </c>
      <c r="F1909" s="18" t="s">
        <v>2455</v>
      </c>
      <c r="G1909" s="18" t="s">
        <v>41</v>
      </c>
      <c r="H1909" s="18" t="s">
        <v>3995</v>
      </c>
      <c r="I1909" s="20" t="s">
        <v>3996</v>
      </c>
      <c r="J1909" s="18" t="s">
        <v>73</v>
      </c>
      <c r="K1909" s="18" t="s">
        <v>24</v>
      </c>
      <c r="L1909" s="18" t="s">
        <v>25</v>
      </c>
      <c r="N1909" s="18" t="s">
        <v>807</v>
      </c>
    </row>
    <row r="1910" spans="1:14" ht="15" customHeight="1" x14ac:dyDescent="0.3">
      <c r="A1910" s="18" t="s">
        <v>3844</v>
      </c>
      <c r="B1910" s="19" t="s">
        <v>15</v>
      </c>
      <c r="C1910" s="18" t="s">
        <v>3880</v>
      </c>
      <c r="D1910" s="18" t="s">
        <v>116</v>
      </c>
      <c r="E1910" s="18" t="s">
        <v>55</v>
      </c>
      <c r="F1910" s="18" t="s">
        <v>3997</v>
      </c>
      <c r="G1910" s="18" t="s">
        <v>1019</v>
      </c>
      <c r="H1910" s="18" t="s">
        <v>3885</v>
      </c>
      <c r="I1910" s="20" t="s">
        <v>3998</v>
      </c>
      <c r="J1910" s="18" t="s">
        <v>58</v>
      </c>
      <c r="K1910" s="18" t="s">
        <v>24</v>
      </c>
      <c r="L1910" s="18" t="s">
        <v>25</v>
      </c>
      <c r="N1910" s="18" t="s">
        <v>973</v>
      </c>
    </row>
    <row r="1911" spans="1:14" ht="15" customHeight="1" x14ac:dyDescent="0.3">
      <c r="A1911" s="18" t="s">
        <v>3844</v>
      </c>
      <c r="B1911" s="19" t="s">
        <v>15</v>
      </c>
      <c r="C1911" s="18" t="s">
        <v>1455</v>
      </c>
      <c r="D1911" s="18" t="s">
        <v>116</v>
      </c>
      <c r="E1911" s="18" t="s">
        <v>55</v>
      </c>
      <c r="F1911" s="18" t="s">
        <v>2882</v>
      </c>
      <c r="G1911" s="18" t="s">
        <v>47</v>
      </c>
      <c r="H1911" s="18" t="s">
        <v>3999</v>
      </c>
      <c r="I1911" s="20" t="s">
        <v>4000</v>
      </c>
      <c r="J1911" s="18" t="s">
        <v>58</v>
      </c>
      <c r="K1911" s="18" t="s">
        <v>24</v>
      </c>
      <c r="L1911" s="18" t="s">
        <v>25</v>
      </c>
      <c r="N1911" s="18" t="s">
        <v>807</v>
      </c>
    </row>
    <row r="1912" spans="1:14" ht="15" customHeight="1" x14ac:dyDescent="0.3">
      <c r="A1912" s="18" t="s">
        <v>3844</v>
      </c>
      <c r="B1912" s="19" t="s">
        <v>15</v>
      </c>
      <c r="C1912" s="18" t="s">
        <v>1455</v>
      </c>
      <c r="D1912" s="18" t="s">
        <v>116</v>
      </c>
      <c r="E1912" s="18" t="s">
        <v>55</v>
      </c>
      <c r="F1912" s="18" t="s">
        <v>4001</v>
      </c>
      <c r="G1912" s="18" t="s">
        <v>273</v>
      </c>
      <c r="H1912" s="18" t="s">
        <v>3855</v>
      </c>
      <c r="I1912" s="20" t="s">
        <v>4002</v>
      </c>
      <c r="J1912" s="18" t="s">
        <v>58</v>
      </c>
      <c r="K1912" s="18" t="s">
        <v>24</v>
      </c>
      <c r="L1912" s="18" t="s">
        <v>25</v>
      </c>
      <c r="N1912" s="18" t="s">
        <v>807</v>
      </c>
    </row>
    <row r="1913" spans="1:14" ht="15" customHeight="1" x14ac:dyDescent="0.3">
      <c r="A1913" s="18" t="s">
        <v>3844</v>
      </c>
      <c r="B1913" s="19" t="s">
        <v>15</v>
      </c>
      <c r="C1913" s="18" t="s">
        <v>1455</v>
      </c>
      <c r="D1913" s="18" t="s">
        <v>116</v>
      </c>
      <c r="E1913" s="18" t="s">
        <v>55</v>
      </c>
      <c r="F1913" s="18" t="s">
        <v>2260</v>
      </c>
      <c r="G1913" s="18" t="s">
        <v>913</v>
      </c>
      <c r="H1913" s="18" t="s">
        <v>3850</v>
      </c>
      <c r="I1913" s="20" t="s">
        <v>4003</v>
      </c>
      <c r="J1913" s="18" t="s">
        <v>58</v>
      </c>
      <c r="K1913" s="18" t="s">
        <v>24</v>
      </c>
      <c r="L1913" s="18" t="s">
        <v>25</v>
      </c>
      <c r="N1913" s="18" t="s">
        <v>807</v>
      </c>
    </row>
    <row r="1914" spans="1:14" ht="15" customHeight="1" x14ac:dyDescent="0.3">
      <c r="A1914" s="18" t="s">
        <v>3844</v>
      </c>
      <c r="B1914" s="19" t="s">
        <v>15</v>
      </c>
      <c r="C1914" s="18" t="s">
        <v>3880</v>
      </c>
      <c r="D1914" s="18" t="s">
        <v>116</v>
      </c>
      <c r="E1914" s="18" t="s">
        <v>55</v>
      </c>
      <c r="F1914" s="18" t="s">
        <v>1653</v>
      </c>
      <c r="G1914" s="18" t="s">
        <v>1019</v>
      </c>
      <c r="H1914" s="18" t="s">
        <v>3885</v>
      </c>
      <c r="I1914" s="20" t="s">
        <v>4004</v>
      </c>
      <c r="J1914" s="18" t="s">
        <v>58</v>
      </c>
      <c r="K1914" s="18" t="s">
        <v>24</v>
      </c>
      <c r="L1914" s="18" t="s">
        <v>25</v>
      </c>
      <c r="N1914" s="18" t="s">
        <v>973</v>
      </c>
    </row>
    <row r="1915" spans="1:14" ht="15" customHeight="1" x14ac:dyDescent="0.3">
      <c r="A1915" s="18" t="s">
        <v>3844</v>
      </c>
      <c r="B1915" s="19" t="s">
        <v>15</v>
      </c>
      <c r="C1915" s="18" t="s">
        <v>1455</v>
      </c>
      <c r="D1915" s="18" t="s">
        <v>116</v>
      </c>
      <c r="E1915" s="18" t="s">
        <v>74</v>
      </c>
      <c r="F1915" s="18" t="s">
        <v>4005</v>
      </c>
      <c r="G1915" s="18" t="s">
        <v>273</v>
      </c>
      <c r="H1915" s="18" t="s">
        <v>4006</v>
      </c>
      <c r="I1915" s="20" t="s">
        <v>4007</v>
      </c>
      <c r="J1915" s="18" t="s">
        <v>4008</v>
      </c>
      <c r="K1915" s="18" t="s">
        <v>24</v>
      </c>
      <c r="L1915" s="18" t="s">
        <v>25</v>
      </c>
      <c r="N1915" s="18" t="s">
        <v>807</v>
      </c>
    </row>
    <row r="1916" spans="1:14" ht="15" customHeight="1" x14ac:dyDescent="0.3">
      <c r="A1916" s="18" t="s">
        <v>3844</v>
      </c>
      <c r="B1916" s="19" t="s">
        <v>15</v>
      </c>
      <c r="C1916" s="18" t="s">
        <v>1455</v>
      </c>
      <c r="D1916" s="18" t="s">
        <v>116</v>
      </c>
      <c r="E1916" s="18" t="s">
        <v>74</v>
      </c>
      <c r="F1916" s="18" t="s">
        <v>4009</v>
      </c>
      <c r="G1916" s="18" t="s">
        <v>41</v>
      </c>
      <c r="H1916" s="18" t="s">
        <v>4006</v>
      </c>
      <c r="I1916" s="20" t="s">
        <v>4010</v>
      </c>
      <c r="J1916" s="18" t="s">
        <v>4011</v>
      </c>
      <c r="K1916" s="18" t="s">
        <v>24</v>
      </c>
      <c r="L1916" s="18" t="s">
        <v>25</v>
      </c>
      <c r="N1916" s="18" t="s">
        <v>807</v>
      </c>
    </row>
    <row r="1917" spans="1:14" ht="15" customHeight="1" x14ac:dyDescent="0.3">
      <c r="A1917" s="18" t="s">
        <v>4012</v>
      </c>
      <c r="B1917" s="19" t="s">
        <v>15</v>
      </c>
      <c r="C1917" s="18" t="s">
        <v>1982</v>
      </c>
      <c r="D1917" s="18" t="s">
        <v>17</v>
      </c>
      <c r="E1917" s="18" t="s">
        <v>117</v>
      </c>
      <c r="F1917" s="18" t="s">
        <v>974</v>
      </c>
      <c r="G1917" s="18" t="s">
        <v>263</v>
      </c>
      <c r="H1917" s="18" t="s">
        <v>4013</v>
      </c>
      <c r="I1917" s="20" t="s">
        <v>4014</v>
      </c>
      <c r="J1917" s="18" t="s">
        <v>58</v>
      </c>
      <c r="K1917" s="18" t="s">
        <v>24</v>
      </c>
      <c r="L1917" s="18" t="s">
        <v>25</v>
      </c>
      <c r="N1917" s="18" t="s">
        <v>154</v>
      </c>
    </row>
    <row r="1918" spans="1:14" ht="15" customHeight="1" x14ac:dyDescent="0.3">
      <c r="A1918" s="18" t="s">
        <v>4012</v>
      </c>
      <c r="B1918" s="19" t="s">
        <v>15</v>
      </c>
      <c r="C1918" s="18" t="s">
        <v>1982</v>
      </c>
      <c r="D1918" s="18" t="s">
        <v>17</v>
      </c>
      <c r="E1918" s="18" t="s">
        <v>117</v>
      </c>
      <c r="F1918" s="18" t="s">
        <v>976</v>
      </c>
      <c r="G1918" s="18" t="s">
        <v>606</v>
      </c>
      <c r="H1918" s="18" t="s">
        <v>4013</v>
      </c>
      <c r="I1918" s="20" t="s">
        <v>4015</v>
      </c>
      <c r="J1918" s="18" t="s">
        <v>58</v>
      </c>
      <c r="K1918" s="18" t="s">
        <v>24</v>
      </c>
      <c r="L1918" s="18" t="s">
        <v>25</v>
      </c>
      <c r="N1918" s="18" t="s">
        <v>154</v>
      </c>
    </row>
    <row r="1919" spans="1:14" ht="15" customHeight="1" x14ac:dyDescent="0.3">
      <c r="A1919" s="18" t="s">
        <v>4012</v>
      </c>
      <c r="B1919" s="19" t="s">
        <v>15</v>
      </c>
      <c r="C1919" s="18" t="s">
        <v>1982</v>
      </c>
      <c r="D1919" s="18" t="s">
        <v>17</v>
      </c>
      <c r="E1919" s="18" t="s">
        <v>117</v>
      </c>
      <c r="F1919" s="18" t="s">
        <v>2213</v>
      </c>
      <c r="G1919" s="18" t="s">
        <v>979</v>
      </c>
      <c r="H1919" s="18" t="s">
        <v>4013</v>
      </c>
      <c r="I1919" s="20" t="s">
        <v>4016</v>
      </c>
      <c r="J1919" s="18" t="s">
        <v>58</v>
      </c>
      <c r="K1919" s="18" t="s">
        <v>24</v>
      </c>
      <c r="L1919" s="18" t="s">
        <v>25</v>
      </c>
      <c r="N1919" s="18" t="s">
        <v>154</v>
      </c>
    </row>
    <row r="1920" spans="1:14" ht="15" customHeight="1" x14ac:dyDescent="0.3">
      <c r="A1920" s="18" t="s">
        <v>4012</v>
      </c>
      <c r="B1920" s="19" t="s">
        <v>15</v>
      </c>
      <c r="C1920" s="18" t="s">
        <v>1982</v>
      </c>
      <c r="D1920" s="18" t="s">
        <v>17</v>
      </c>
      <c r="E1920" s="18" t="s">
        <v>117</v>
      </c>
      <c r="F1920" s="18" t="s">
        <v>572</v>
      </c>
      <c r="G1920" s="18" t="s">
        <v>263</v>
      </c>
      <c r="H1920" s="18" t="s">
        <v>4013</v>
      </c>
      <c r="I1920" s="20" t="s">
        <v>4017</v>
      </c>
      <c r="J1920" s="18" t="s">
        <v>58</v>
      </c>
      <c r="K1920" s="18" t="s">
        <v>24</v>
      </c>
      <c r="L1920" s="18" t="s">
        <v>25</v>
      </c>
      <c r="N1920" s="18" t="s">
        <v>154</v>
      </c>
    </row>
    <row r="1921" spans="1:14" ht="15" customHeight="1" x14ac:dyDescent="0.3">
      <c r="A1921" s="18" t="s">
        <v>4012</v>
      </c>
      <c r="B1921" s="19" t="s">
        <v>15</v>
      </c>
      <c r="C1921" s="18" t="s">
        <v>1982</v>
      </c>
      <c r="D1921" s="18" t="s">
        <v>17</v>
      </c>
      <c r="E1921" s="18" t="s">
        <v>117</v>
      </c>
      <c r="F1921" s="18" t="s">
        <v>1643</v>
      </c>
      <c r="G1921" s="18" t="s">
        <v>41</v>
      </c>
      <c r="H1921" s="18" t="s">
        <v>4013</v>
      </c>
      <c r="I1921" s="20" t="s">
        <v>4018</v>
      </c>
      <c r="J1921" s="18" t="s">
        <v>58</v>
      </c>
      <c r="K1921" s="18" t="s">
        <v>24</v>
      </c>
      <c r="L1921" s="18" t="s">
        <v>25</v>
      </c>
      <c r="N1921" s="18" t="s">
        <v>154</v>
      </c>
    </row>
    <row r="1922" spans="1:14" ht="15" customHeight="1" x14ac:dyDescent="0.3">
      <c r="A1922" s="18" t="s">
        <v>4012</v>
      </c>
      <c r="B1922" s="19" t="s">
        <v>15</v>
      </c>
      <c r="C1922" s="18" t="s">
        <v>1982</v>
      </c>
      <c r="D1922" s="18" t="s">
        <v>17</v>
      </c>
      <c r="E1922" s="18" t="s">
        <v>117</v>
      </c>
      <c r="F1922" s="18" t="s">
        <v>4019</v>
      </c>
      <c r="G1922" s="18" t="s">
        <v>1019</v>
      </c>
      <c r="H1922" s="18" t="s">
        <v>4013</v>
      </c>
      <c r="I1922" s="20" t="s">
        <v>4020</v>
      </c>
      <c r="J1922" s="18" t="s">
        <v>58</v>
      </c>
      <c r="K1922" s="18" t="s">
        <v>24</v>
      </c>
      <c r="L1922" s="18" t="s">
        <v>25</v>
      </c>
      <c r="N1922" s="18" t="s">
        <v>154</v>
      </c>
    </row>
    <row r="1923" spans="1:14" ht="15" customHeight="1" x14ac:dyDescent="0.3">
      <c r="A1923" s="18" t="s">
        <v>4012</v>
      </c>
      <c r="B1923" s="19" t="s">
        <v>15</v>
      </c>
      <c r="C1923" s="18" t="s">
        <v>1982</v>
      </c>
      <c r="D1923" s="18" t="s">
        <v>17</v>
      </c>
      <c r="E1923" s="18" t="s">
        <v>117</v>
      </c>
      <c r="F1923" s="18" t="s">
        <v>868</v>
      </c>
      <c r="G1923" s="18" t="s">
        <v>270</v>
      </c>
      <c r="H1923" s="18" t="s">
        <v>4013</v>
      </c>
      <c r="I1923" s="20" t="s">
        <v>4021</v>
      </c>
      <c r="J1923" s="18" t="s">
        <v>58</v>
      </c>
      <c r="K1923" s="18" t="s">
        <v>24</v>
      </c>
      <c r="L1923" s="18" t="s">
        <v>25</v>
      </c>
      <c r="N1923" s="18" t="s">
        <v>154</v>
      </c>
    </row>
    <row r="1924" spans="1:14" ht="15" customHeight="1" x14ac:dyDescent="0.3">
      <c r="A1924" s="18" t="s">
        <v>4012</v>
      </c>
      <c r="B1924" s="19" t="s">
        <v>15</v>
      </c>
      <c r="C1924" s="18" t="s">
        <v>1982</v>
      </c>
      <c r="D1924" s="18" t="s">
        <v>17</v>
      </c>
      <c r="E1924" s="18" t="s">
        <v>117</v>
      </c>
      <c r="F1924" s="18" t="s">
        <v>575</v>
      </c>
      <c r="G1924" s="18" t="s">
        <v>263</v>
      </c>
      <c r="H1924" s="18" t="s">
        <v>4013</v>
      </c>
      <c r="I1924" s="20" t="s">
        <v>4022</v>
      </c>
      <c r="J1924" s="18" t="s">
        <v>58</v>
      </c>
      <c r="K1924" s="18" t="s">
        <v>24</v>
      </c>
      <c r="L1924" s="18" t="s">
        <v>25</v>
      </c>
      <c r="N1924" s="18" t="s">
        <v>154</v>
      </c>
    </row>
    <row r="1925" spans="1:14" ht="15" customHeight="1" x14ac:dyDescent="0.3">
      <c r="A1925" s="18" t="s">
        <v>4012</v>
      </c>
      <c r="B1925" s="19" t="s">
        <v>15</v>
      </c>
      <c r="C1925" s="18" t="s">
        <v>1982</v>
      </c>
      <c r="D1925" s="18" t="s">
        <v>17</v>
      </c>
      <c r="E1925" s="18" t="s">
        <v>117</v>
      </c>
      <c r="F1925" s="18" t="s">
        <v>2268</v>
      </c>
      <c r="G1925" s="18" t="s">
        <v>20</v>
      </c>
      <c r="H1925" s="18" t="s">
        <v>4013</v>
      </c>
      <c r="I1925" s="20" t="s">
        <v>4023</v>
      </c>
      <c r="J1925" s="18" t="s">
        <v>58</v>
      </c>
      <c r="K1925" s="18" t="s">
        <v>24</v>
      </c>
      <c r="L1925" s="18" t="s">
        <v>25</v>
      </c>
      <c r="N1925" s="18" t="s">
        <v>154</v>
      </c>
    </row>
    <row r="1926" spans="1:14" ht="15" customHeight="1" x14ac:dyDescent="0.3">
      <c r="A1926" s="18" t="s">
        <v>4012</v>
      </c>
      <c r="B1926" s="19" t="s">
        <v>15</v>
      </c>
      <c r="C1926" s="18" t="s">
        <v>1982</v>
      </c>
      <c r="D1926" s="18" t="s">
        <v>17</v>
      </c>
      <c r="E1926" s="18" t="s">
        <v>18</v>
      </c>
      <c r="F1926" s="18" t="s">
        <v>616</v>
      </c>
      <c r="G1926" s="18" t="s">
        <v>429</v>
      </c>
      <c r="H1926" s="18" t="s">
        <v>4013</v>
      </c>
      <c r="I1926" s="20" t="s">
        <v>4024</v>
      </c>
      <c r="J1926" s="18" t="s">
        <v>23</v>
      </c>
      <c r="K1926" s="18" t="s">
        <v>24</v>
      </c>
      <c r="L1926" s="18" t="s">
        <v>25</v>
      </c>
      <c r="M1926" s="18" t="s">
        <v>39</v>
      </c>
      <c r="N1926" s="18" t="s">
        <v>154</v>
      </c>
    </row>
    <row r="1927" spans="1:14" ht="15" customHeight="1" x14ac:dyDescent="0.3">
      <c r="A1927" s="18" t="s">
        <v>4012</v>
      </c>
      <c r="B1927" s="19" t="s">
        <v>15</v>
      </c>
      <c r="C1927" s="18" t="s">
        <v>1982</v>
      </c>
      <c r="D1927" s="18" t="s">
        <v>17</v>
      </c>
      <c r="E1927" s="18" t="s">
        <v>18</v>
      </c>
      <c r="F1927" s="18" t="s">
        <v>381</v>
      </c>
      <c r="G1927" s="18" t="s">
        <v>381</v>
      </c>
      <c r="H1927" s="18" t="s">
        <v>4013</v>
      </c>
      <c r="I1927" s="20" t="s">
        <v>4025</v>
      </c>
      <c r="J1927" s="18" t="s">
        <v>23</v>
      </c>
      <c r="K1927" s="18" t="s">
        <v>24</v>
      </c>
      <c r="L1927" s="18" t="s">
        <v>25</v>
      </c>
      <c r="N1927" s="18" t="s">
        <v>154</v>
      </c>
    </row>
    <row r="1928" spans="1:14" ht="15" customHeight="1" x14ac:dyDescent="0.3">
      <c r="A1928" s="18" t="s">
        <v>4012</v>
      </c>
      <c r="B1928" s="19" t="s">
        <v>15</v>
      </c>
      <c r="C1928" s="18" t="s">
        <v>1982</v>
      </c>
      <c r="D1928" s="18" t="s">
        <v>17</v>
      </c>
      <c r="E1928" s="18" t="s">
        <v>18</v>
      </c>
      <c r="F1928" s="18" t="s">
        <v>578</v>
      </c>
      <c r="G1928" s="18" t="s">
        <v>80</v>
      </c>
      <c r="H1928" s="18" t="s">
        <v>4013</v>
      </c>
      <c r="I1928" s="20" t="s">
        <v>4026</v>
      </c>
      <c r="J1928" s="18" t="s">
        <v>23</v>
      </c>
      <c r="K1928" s="18" t="s">
        <v>24</v>
      </c>
      <c r="L1928" s="18" t="s">
        <v>25</v>
      </c>
      <c r="N1928" s="18" t="s">
        <v>154</v>
      </c>
    </row>
    <row r="1929" spans="1:14" ht="15" customHeight="1" x14ac:dyDescent="0.3">
      <c r="A1929" s="18" t="s">
        <v>4012</v>
      </c>
      <c r="B1929" s="19" t="s">
        <v>15</v>
      </c>
      <c r="C1929" s="18" t="s">
        <v>1982</v>
      </c>
      <c r="D1929" s="18" t="s">
        <v>17</v>
      </c>
      <c r="E1929" s="18" t="s">
        <v>18</v>
      </c>
      <c r="F1929" s="18" t="s">
        <v>2559</v>
      </c>
      <c r="G1929" s="18" t="s">
        <v>429</v>
      </c>
      <c r="H1929" s="18" t="s">
        <v>4013</v>
      </c>
      <c r="I1929" s="20" t="s">
        <v>4027</v>
      </c>
      <c r="J1929" s="18" t="s">
        <v>23</v>
      </c>
      <c r="K1929" s="18" t="s">
        <v>24</v>
      </c>
      <c r="L1929" s="18" t="s">
        <v>25</v>
      </c>
      <c r="N1929" s="18" t="s">
        <v>154</v>
      </c>
    </row>
    <row r="1930" spans="1:14" ht="15" customHeight="1" x14ac:dyDescent="0.3">
      <c r="A1930" s="18" t="s">
        <v>4012</v>
      </c>
      <c r="B1930" s="19" t="s">
        <v>15</v>
      </c>
      <c r="C1930" s="18" t="s">
        <v>1982</v>
      </c>
      <c r="D1930" s="18" t="s">
        <v>17</v>
      </c>
      <c r="E1930" s="18" t="s">
        <v>18</v>
      </c>
      <c r="F1930" s="18" t="s">
        <v>580</v>
      </c>
      <c r="G1930" s="18" t="s">
        <v>20</v>
      </c>
      <c r="H1930" s="18" t="s">
        <v>4013</v>
      </c>
      <c r="I1930" s="20" t="s">
        <v>4028</v>
      </c>
      <c r="J1930" s="18" t="s">
        <v>23</v>
      </c>
      <c r="K1930" s="18" t="s">
        <v>24</v>
      </c>
      <c r="L1930" s="18" t="s">
        <v>25</v>
      </c>
      <c r="N1930" s="18" t="s">
        <v>154</v>
      </c>
    </row>
    <row r="1931" spans="1:14" ht="15" customHeight="1" x14ac:dyDescent="0.3">
      <c r="A1931" s="18" t="s">
        <v>4012</v>
      </c>
      <c r="B1931" s="19" t="s">
        <v>15</v>
      </c>
      <c r="C1931" s="18" t="s">
        <v>1982</v>
      </c>
      <c r="D1931" s="18" t="s">
        <v>17</v>
      </c>
      <c r="E1931" s="18" t="s">
        <v>18</v>
      </c>
      <c r="F1931" s="18" t="s">
        <v>4029</v>
      </c>
      <c r="G1931" s="18" t="s">
        <v>41</v>
      </c>
      <c r="H1931" s="18" t="s">
        <v>4013</v>
      </c>
      <c r="I1931" s="20" t="s">
        <v>4030</v>
      </c>
      <c r="J1931" s="18" t="s">
        <v>30</v>
      </c>
      <c r="K1931" s="18" t="s">
        <v>24</v>
      </c>
      <c r="L1931" s="18" t="s">
        <v>25</v>
      </c>
      <c r="N1931" s="18" t="s">
        <v>154</v>
      </c>
    </row>
    <row r="1932" spans="1:14" ht="15" customHeight="1" x14ac:dyDescent="0.3">
      <c r="A1932" s="18" t="s">
        <v>4012</v>
      </c>
      <c r="B1932" s="19" t="s">
        <v>15</v>
      </c>
      <c r="C1932" s="18" t="s">
        <v>1982</v>
      </c>
      <c r="D1932" s="18" t="s">
        <v>17</v>
      </c>
      <c r="E1932" s="18" t="s">
        <v>18</v>
      </c>
      <c r="F1932" s="18" t="s">
        <v>774</v>
      </c>
      <c r="G1932" s="18" t="s">
        <v>429</v>
      </c>
      <c r="H1932" s="18" t="s">
        <v>4013</v>
      </c>
      <c r="I1932" s="20" t="s">
        <v>4031</v>
      </c>
      <c r="J1932" s="18" t="s">
        <v>23</v>
      </c>
      <c r="K1932" s="18" t="s">
        <v>24</v>
      </c>
      <c r="L1932" s="18" t="s">
        <v>25</v>
      </c>
      <c r="N1932" s="18" t="s">
        <v>154</v>
      </c>
    </row>
    <row r="1933" spans="1:14" ht="15" customHeight="1" x14ac:dyDescent="0.3">
      <c r="A1933" s="18" t="s">
        <v>4012</v>
      </c>
      <c r="B1933" s="19" t="s">
        <v>15</v>
      </c>
      <c r="C1933" s="18" t="s">
        <v>1982</v>
      </c>
      <c r="D1933" s="18" t="s">
        <v>17</v>
      </c>
      <c r="E1933" s="18" t="s">
        <v>18</v>
      </c>
      <c r="F1933" s="18" t="s">
        <v>582</v>
      </c>
      <c r="G1933" s="18" t="s">
        <v>20</v>
      </c>
      <c r="H1933" s="18" t="s">
        <v>4013</v>
      </c>
      <c r="I1933" s="20" t="s">
        <v>4032</v>
      </c>
      <c r="J1933" s="18" t="s">
        <v>23</v>
      </c>
      <c r="K1933" s="18" t="s">
        <v>24</v>
      </c>
      <c r="L1933" s="18" t="s">
        <v>25</v>
      </c>
      <c r="N1933" s="18" t="s">
        <v>154</v>
      </c>
    </row>
    <row r="1934" spans="1:14" ht="15" customHeight="1" x14ac:dyDescent="0.3">
      <c r="A1934" s="18" t="s">
        <v>4012</v>
      </c>
      <c r="B1934" s="19" t="s">
        <v>15</v>
      </c>
      <c r="C1934" s="18" t="s">
        <v>1982</v>
      </c>
      <c r="D1934" s="18" t="s">
        <v>17</v>
      </c>
      <c r="E1934" s="18" t="s">
        <v>18</v>
      </c>
      <c r="F1934" s="18" t="s">
        <v>776</v>
      </c>
      <c r="G1934" s="18" t="s">
        <v>20</v>
      </c>
      <c r="H1934" s="18" t="s">
        <v>4013</v>
      </c>
      <c r="I1934" s="20" t="s">
        <v>4033</v>
      </c>
      <c r="J1934" s="18" t="s">
        <v>23</v>
      </c>
      <c r="K1934" s="18" t="s">
        <v>24</v>
      </c>
      <c r="L1934" s="18" t="s">
        <v>25</v>
      </c>
      <c r="N1934" s="18" t="s">
        <v>154</v>
      </c>
    </row>
    <row r="1935" spans="1:14" ht="15" customHeight="1" x14ac:dyDescent="0.3">
      <c r="A1935" s="18" t="s">
        <v>4012</v>
      </c>
      <c r="B1935" s="19" t="s">
        <v>15</v>
      </c>
      <c r="C1935" s="18" t="s">
        <v>1982</v>
      </c>
      <c r="D1935" s="18" t="s">
        <v>17</v>
      </c>
      <c r="E1935" s="18" t="s">
        <v>55</v>
      </c>
      <c r="F1935" s="18" t="s">
        <v>4034</v>
      </c>
      <c r="G1935" s="18" t="s">
        <v>381</v>
      </c>
      <c r="H1935" s="18" t="s">
        <v>4013</v>
      </c>
      <c r="I1935" s="20" t="s">
        <v>4035</v>
      </c>
      <c r="J1935" s="18" t="s">
        <v>73</v>
      </c>
      <c r="K1935" s="18" t="s">
        <v>24</v>
      </c>
      <c r="L1935" s="18" t="s">
        <v>25</v>
      </c>
      <c r="N1935" s="18" t="s">
        <v>154</v>
      </c>
    </row>
    <row r="1936" spans="1:14" ht="15" customHeight="1" x14ac:dyDescent="0.3">
      <c r="A1936" s="18" t="s">
        <v>4012</v>
      </c>
      <c r="B1936" s="19" t="s">
        <v>15</v>
      </c>
      <c r="C1936" s="18" t="s">
        <v>1982</v>
      </c>
      <c r="D1936" s="18" t="s">
        <v>17</v>
      </c>
      <c r="E1936" s="18" t="s">
        <v>55</v>
      </c>
      <c r="F1936" s="18" t="s">
        <v>385</v>
      </c>
      <c r="G1936" s="18" t="s">
        <v>381</v>
      </c>
      <c r="H1936" s="18" t="s">
        <v>4013</v>
      </c>
      <c r="I1936" s="20" t="s">
        <v>4036</v>
      </c>
      <c r="J1936" s="18" t="s">
        <v>73</v>
      </c>
      <c r="K1936" s="18" t="s">
        <v>24</v>
      </c>
      <c r="L1936" s="18" t="s">
        <v>25</v>
      </c>
      <c r="N1936" s="18" t="s">
        <v>154</v>
      </c>
    </row>
    <row r="1937" spans="1:14" ht="15" customHeight="1" x14ac:dyDescent="0.3">
      <c r="A1937" s="18" t="s">
        <v>4012</v>
      </c>
      <c r="B1937" s="19" t="s">
        <v>15</v>
      </c>
      <c r="C1937" s="18" t="s">
        <v>1982</v>
      </c>
      <c r="D1937" s="18" t="s">
        <v>17</v>
      </c>
      <c r="E1937" s="18" t="s">
        <v>55</v>
      </c>
      <c r="F1937" s="18" t="s">
        <v>580</v>
      </c>
      <c r="G1937" s="18" t="s">
        <v>20</v>
      </c>
      <c r="H1937" s="18" t="s">
        <v>4013</v>
      </c>
      <c r="I1937" s="20" t="s">
        <v>4037</v>
      </c>
      <c r="J1937" s="18" t="s">
        <v>73</v>
      </c>
      <c r="K1937" s="18" t="s">
        <v>24</v>
      </c>
      <c r="L1937" s="18" t="s">
        <v>25</v>
      </c>
      <c r="N1937" s="18" t="s">
        <v>154</v>
      </c>
    </row>
    <row r="1938" spans="1:14" ht="15" customHeight="1" x14ac:dyDescent="0.3">
      <c r="A1938" s="18" t="s">
        <v>4012</v>
      </c>
      <c r="B1938" s="19" t="s">
        <v>15</v>
      </c>
      <c r="C1938" s="18" t="s">
        <v>1982</v>
      </c>
      <c r="D1938" s="18" t="s">
        <v>17</v>
      </c>
      <c r="E1938" s="18" t="s">
        <v>55</v>
      </c>
      <c r="F1938" s="18" t="s">
        <v>4038</v>
      </c>
      <c r="G1938" s="18" t="s">
        <v>20</v>
      </c>
      <c r="H1938" s="18" t="s">
        <v>4013</v>
      </c>
      <c r="I1938" s="20" t="s">
        <v>4039</v>
      </c>
      <c r="J1938" s="18" t="s">
        <v>58</v>
      </c>
      <c r="K1938" s="18" t="s">
        <v>24</v>
      </c>
      <c r="L1938" s="18" t="s">
        <v>25</v>
      </c>
      <c r="M1938" s="18" t="s">
        <v>39</v>
      </c>
      <c r="N1938" s="18" t="s">
        <v>154</v>
      </c>
    </row>
    <row r="1939" spans="1:14" ht="15" customHeight="1" x14ac:dyDescent="0.3">
      <c r="A1939" s="18" t="s">
        <v>4012</v>
      </c>
      <c r="B1939" s="19" t="s">
        <v>15</v>
      </c>
      <c r="C1939" s="18" t="s">
        <v>1982</v>
      </c>
      <c r="D1939" s="18" t="s">
        <v>17</v>
      </c>
      <c r="E1939" s="18" t="s">
        <v>55</v>
      </c>
      <c r="F1939" s="18" t="s">
        <v>4040</v>
      </c>
      <c r="G1939" s="18" t="s">
        <v>20</v>
      </c>
      <c r="H1939" s="18" t="s">
        <v>4013</v>
      </c>
      <c r="I1939" s="20" t="s">
        <v>4041</v>
      </c>
      <c r="J1939" s="18" t="s">
        <v>58</v>
      </c>
      <c r="K1939" s="18" t="s">
        <v>24</v>
      </c>
      <c r="L1939" s="18" t="s">
        <v>25</v>
      </c>
      <c r="N1939" s="18" t="s">
        <v>154</v>
      </c>
    </row>
    <row r="1940" spans="1:14" ht="15" customHeight="1" x14ac:dyDescent="0.3">
      <c r="A1940" s="18" t="s">
        <v>4012</v>
      </c>
      <c r="B1940" s="19" t="s">
        <v>15</v>
      </c>
      <c r="C1940" s="18" t="s">
        <v>1982</v>
      </c>
      <c r="D1940" s="18" t="s">
        <v>17</v>
      </c>
      <c r="E1940" s="18" t="s">
        <v>55</v>
      </c>
      <c r="F1940" s="18" t="s">
        <v>4042</v>
      </c>
      <c r="G1940" s="18" t="s">
        <v>20</v>
      </c>
      <c r="H1940" s="18" t="s">
        <v>4013</v>
      </c>
      <c r="I1940" s="20" t="s">
        <v>4043</v>
      </c>
      <c r="J1940" s="18" t="s">
        <v>58</v>
      </c>
      <c r="K1940" s="18" t="s">
        <v>24</v>
      </c>
      <c r="L1940" s="18" t="s">
        <v>25</v>
      </c>
      <c r="N1940" s="18" t="s">
        <v>154</v>
      </c>
    </row>
    <row r="1941" spans="1:14" ht="15" customHeight="1" x14ac:dyDescent="0.3">
      <c r="A1941" s="18" t="s">
        <v>4012</v>
      </c>
      <c r="B1941" s="19" t="s">
        <v>15</v>
      </c>
      <c r="C1941" s="18" t="s">
        <v>149</v>
      </c>
      <c r="D1941" s="18" t="s">
        <v>17</v>
      </c>
      <c r="E1941" s="18" t="s">
        <v>74</v>
      </c>
      <c r="F1941" s="18" t="s">
        <v>4044</v>
      </c>
      <c r="G1941" s="18" t="s">
        <v>423</v>
      </c>
      <c r="H1941" s="18" t="s">
        <v>4045</v>
      </c>
      <c r="I1941" s="20" t="s">
        <v>4046</v>
      </c>
      <c r="J1941" s="18" t="s">
        <v>440</v>
      </c>
      <c r="K1941" s="18" t="s">
        <v>24</v>
      </c>
      <c r="L1941" s="18" t="s">
        <v>25</v>
      </c>
      <c r="N1941" s="18" t="s">
        <v>154</v>
      </c>
    </row>
    <row r="1942" spans="1:14" ht="15" customHeight="1" x14ac:dyDescent="0.3">
      <c r="A1942" s="18" t="s">
        <v>4012</v>
      </c>
      <c r="B1942" s="19" t="s">
        <v>15</v>
      </c>
      <c r="C1942" s="18" t="s">
        <v>4047</v>
      </c>
      <c r="D1942" s="18" t="s">
        <v>17</v>
      </c>
      <c r="E1942" s="18" t="s">
        <v>74</v>
      </c>
      <c r="F1942" s="18" t="s">
        <v>4048</v>
      </c>
      <c r="G1942" s="18" t="s">
        <v>429</v>
      </c>
      <c r="H1942" s="18" t="s">
        <v>4049</v>
      </c>
      <c r="I1942" s="20" t="s">
        <v>4050</v>
      </c>
      <c r="J1942" s="18" t="s">
        <v>440</v>
      </c>
      <c r="K1942" s="18" t="s">
        <v>91</v>
      </c>
      <c r="L1942" s="18" t="s">
        <v>25</v>
      </c>
      <c r="N1942" s="18" t="s">
        <v>973</v>
      </c>
    </row>
    <row r="1943" spans="1:14" ht="15" customHeight="1" x14ac:dyDescent="0.3">
      <c r="A1943" s="18" t="s">
        <v>4012</v>
      </c>
      <c r="B1943" s="19" t="s">
        <v>15</v>
      </c>
      <c r="C1943" s="18" t="s">
        <v>4051</v>
      </c>
      <c r="D1943" s="18" t="s">
        <v>17</v>
      </c>
      <c r="E1943" s="18" t="s">
        <v>74</v>
      </c>
      <c r="F1943" s="18" t="s">
        <v>4052</v>
      </c>
      <c r="G1943" s="18" t="s">
        <v>423</v>
      </c>
      <c r="H1943" s="18" t="s">
        <v>4053</v>
      </c>
      <c r="I1943" s="20" t="s">
        <v>4054</v>
      </c>
      <c r="J1943" s="18" t="s">
        <v>440</v>
      </c>
      <c r="K1943" s="18" t="s">
        <v>293</v>
      </c>
      <c r="L1943" s="18" t="s">
        <v>25</v>
      </c>
      <c r="N1943" s="18" t="s">
        <v>973</v>
      </c>
    </row>
    <row r="1944" spans="1:14" ht="15" customHeight="1" x14ac:dyDescent="0.3">
      <c r="A1944" s="18" t="s">
        <v>4012</v>
      </c>
      <c r="B1944" s="19" t="s">
        <v>15</v>
      </c>
      <c r="C1944" s="18" t="s">
        <v>4047</v>
      </c>
      <c r="D1944" s="18" t="s">
        <v>17</v>
      </c>
      <c r="E1944" s="18" t="s">
        <v>74</v>
      </c>
      <c r="F1944" s="18" t="s">
        <v>4055</v>
      </c>
      <c r="G1944" s="18" t="s">
        <v>423</v>
      </c>
      <c r="H1944" s="18" t="s">
        <v>4056</v>
      </c>
      <c r="I1944" s="20" t="s">
        <v>4057</v>
      </c>
      <c r="J1944" s="18" t="s">
        <v>440</v>
      </c>
      <c r="K1944" s="18" t="s">
        <v>91</v>
      </c>
      <c r="L1944" s="18" t="s">
        <v>25</v>
      </c>
      <c r="N1944" s="18" t="s">
        <v>973</v>
      </c>
    </row>
    <row r="1945" spans="1:14" ht="15" customHeight="1" x14ac:dyDescent="0.3">
      <c r="A1945" s="18" t="s">
        <v>4012</v>
      </c>
      <c r="B1945" s="19" t="s">
        <v>15</v>
      </c>
      <c r="C1945" s="18" t="s">
        <v>4047</v>
      </c>
      <c r="D1945" s="18" t="s">
        <v>17</v>
      </c>
      <c r="E1945" s="18" t="s">
        <v>74</v>
      </c>
      <c r="F1945" s="18" t="s">
        <v>4058</v>
      </c>
      <c r="G1945" s="18" t="s">
        <v>381</v>
      </c>
      <c r="H1945" s="18" t="s">
        <v>4059</v>
      </c>
      <c r="I1945" s="20" t="s">
        <v>4060</v>
      </c>
      <c r="J1945" s="18" t="s">
        <v>440</v>
      </c>
      <c r="K1945" s="18" t="s">
        <v>91</v>
      </c>
      <c r="L1945" s="18" t="s">
        <v>25</v>
      </c>
      <c r="N1945" s="18" t="s">
        <v>973</v>
      </c>
    </row>
    <row r="1946" spans="1:14" ht="15" customHeight="1" x14ac:dyDescent="0.3">
      <c r="A1946" s="18" t="s">
        <v>4012</v>
      </c>
      <c r="B1946" s="19" t="s">
        <v>15</v>
      </c>
      <c r="C1946" s="18" t="s">
        <v>4051</v>
      </c>
      <c r="D1946" s="18" t="s">
        <v>17</v>
      </c>
      <c r="E1946" s="18" t="s">
        <v>74</v>
      </c>
      <c r="F1946" s="18" t="s">
        <v>4061</v>
      </c>
      <c r="G1946" s="18" t="s">
        <v>381</v>
      </c>
      <c r="H1946" s="18" t="s">
        <v>4062</v>
      </c>
      <c r="I1946" s="20" t="s">
        <v>4063</v>
      </c>
      <c r="J1946" s="18" t="s">
        <v>440</v>
      </c>
      <c r="K1946" s="18" t="s">
        <v>293</v>
      </c>
      <c r="L1946" s="18" t="s">
        <v>25</v>
      </c>
      <c r="N1946" s="18" t="s">
        <v>973</v>
      </c>
    </row>
    <row r="1947" spans="1:14" ht="15" customHeight="1" x14ac:dyDescent="0.3">
      <c r="A1947" s="18" t="s">
        <v>4012</v>
      </c>
      <c r="B1947" s="19" t="s">
        <v>15</v>
      </c>
      <c r="C1947" s="18" t="s">
        <v>4051</v>
      </c>
      <c r="D1947" s="18" t="s">
        <v>17</v>
      </c>
      <c r="E1947" s="18" t="s">
        <v>74</v>
      </c>
      <c r="F1947" s="18" t="s">
        <v>4064</v>
      </c>
      <c r="G1947" s="18" t="s">
        <v>423</v>
      </c>
      <c r="H1947" s="18" t="s">
        <v>4065</v>
      </c>
      <c r="I1947" s="20" t="s">
        <v>4066</v>
      </c>
      <c r="J1947" s="18" t="s">
        <v>440</v>
      </c>
      <c r="K1947" s="18" t="s">
        <v>293</v>
      </c>
      <c r="L1947" s="18" t="s">
        <v>25</v>
      </c>
      <c r="N1947" s="18" t="s">
        <v>973</v>
      </c>
    </row>
    <row r="1948" spans="1:14" ht="15" customHeight="1" x14ac:dyDescent="0.3">
      <c r="A1948" s="18" t="s">
        <v>4012</v>
      </c>
      <c r="B1948" s="19" t="s">
        <v>15</v>
      </c>
      <c r="C1948" s="18" t="s">
        <v>1982</v>
      </c>
      <c r="D1948" s="18" t="s">
        <v>17</v>
      </c>
      <c r="E1948" s="18" t="s">
        <v>74</v>
      </c>
      <c r="F1948" s="18" t="s">
        <v>4067</v>
      </c>
      <c r="G1948" s="18" t="s">
        <v>381</v>
      </c>
      <c r="H1948" s="18" t="s">
        <v>4068</v>
      </c>
      <c r="I1948" s="20" t="s">
        <v>4069</v>
      </c>
      <c r="J1948" s="18" t="s">
        <v>4070</v>
      </c>
      <c r="K1948" s="18" t="s">
        <v>293</v>
      </c>
      <c r="L1948" s="18" t="s">
        <v>25</v>
      </c>
      <c r="N1948" s="18" t="s">
        <v>154</v>
      </c>
    </row>
    <row r="1949" spans="1:14" ht="15" customHeight="1" x14ac:dyDescent="0.3">
      <c r="A1949" s="18" t="s">
        <v>4012</v>
      </c>
      <c r="B1949" s="19" t="s">
        <v>15</v>
      </c>
      <c r="C1949" s="18" t="s">
        <v>4047</v>
      </c>
      <c r="D1949" s="18" t="s">
        <v>17</v>
      </c>
      <c r="E1949" s="18" t="s">
        <v>74</v>
      </c>
      <c r="F1949" s="18" t="s">
        <v>4071</v>
      </c>
      <c r="G1949" s="18" t="s">
        <v>381</v>
      </c>
      <c r="H1949" s="18" t="s">
        <v>4072</v>
      </c>
      <c r="I1949" s="20" t="s">
        <v>4073</v>
      </c>
      <c r="J1949" s="18" t="s">
        <v>440</v>
      </c>
      <c r="K1949" s="18" t="s">
        <v>91</v>
      </c>
      <c r="L1949" s="18" t="s">
        <v>25</v>
      </c>
      <c r="N1949" s="18" t="s">
        <v>973</v>
      </c>
    </row>
    <row r="1950" spans="1:14" ht="15" customHeight="1" x14ac:dyDescent="0.3">
      <c r="A1950" s="18" t="s">
        <v>4012</v>
      </c>
      <c r="B1950" s="19" t="s">
        <v>15</v>
      </c>
      <c r="C1950" s="18" t="s">
        <v>4051</v>
      </c>
      <c r="D1950" s="18" t="s">
        <v>17</v>
      </c>
      <c r="E1950" s="18" t="s">
        <v>74</v>
      </c>
      <c r="F1950" s="18" t="s">
        <v>4074</v>
      </c>
      <c r="G1950" s="18" t="s">
        <v>381</v>
      </c>
      <c r="H1950" s="18" t="s">
        <v>4075</v>
      </c>
      <c r="I1950" s="20" t="s">
        <v>4076</v>
      </c>
      <c r="J1950" s="18" t="s">
        <v>440</v>
      </c>
      <c r="K1950" s="18" t="s">
        <v>293</v>
      </c>
      <c r="L1950" s="18" t="s">
        <v>25</v>
      </c>
      <c r="N1950" s="18" t="s">
        <v>973</v>
      </c>
    </row>
    <row r="1951" spans="1:14" ht="15" customHeight="1" x14ac:dyDescent="0.3">
      <c r="A1951" s="18" t="s">
        <v>4012</v>
      </c>
      <c r="B1951" s="19" t="s">
        <v>15</v>
      </c>
      <c r="C1951" s="18" t="s">
        <v>4051</v>
      </c>
      <c r="D1951" s="18" t="s">
        <v>17</v>
      </c>
      <c r="E1951" s="18" t="s">
        <v>74</v>
      </c>
      <c r="F1951" s="18" t="s">
        <v>4077</v>
      </c>
      <c r="G1951" s="18" t="s">
        <v>381</v>
      </c>
      <c r="H1951" s="18" t="s">
        <v>4078</v>
      </c>
      <c r="I1951" s="20" t="s">
        <v>4079</v>
      </c>
      <c r="J1951" s="18" t="s">
        <v>440</v>
      </c>
      <c r="K1951" s="18" t="s">
        <v>293</v>
      </c>
      <c r="L1951" s="18" t="s">
        <v>25</v>
      </c>
      <c r="N1951" s="18" t="s">
        <v>973</v>
      </c>
    </row>
    <row r="1952" spans="1:14" ht="15" customHeight="1" x14ac:dyDescent="0.3">
      <c r="A1952" s="18" t="s">
        <v>4012</v>
      </c>
      <c r="B1952" s="19" t="s">
        <v>15</v>
      </c>
      <c r="C1952" s="18" t="s">
        <v>149</v>
      </c>
      <c r="D1952" s="18" t="s">
        <v>17</v>
      </c>
      <c r="E1952" s="18" t="s">
        <v>74</v>
      </c>
      <c r="F1952" s="18" t="s">
        <v>4080</v>
      </c>
      <c r="G1952" s="18" t="s">
        <v>381</v>
      </c>
      <c r="H1952" s="18" t="s">
        <v>4081</v>
      </c>
      <c r="I1952" s="20" t="s">
        <v>4082</v>
      </c>
      <c r="J1952" s="18" t="s">
        <v>440</v>
      </c>
      <c r="K1952" s="18" t="s">
        <v>24</v>
      </c>
      <c r="L1952" s="18" t="s">
        <v>25</v>
      </c>
      <c r="N1952" s="18" t="s">
        <v>154</v>
      </c>
    </row>
    <row r="1953" spans="1:14" ht="15" customHeight="1" x14ac:dyDescent="0.3">
      <c r="A1953" s="18" t="s">
        <v>4012</v>
      </c>
      <c r="B1953" s="19" t="s">
        <v>15</v>
      </c>
      <c r="C1953" s="18" t="s">
        <v>437</v>
      </c>
      <c r="D1953" s="18" t="s">
        <v>17</v>
      </c>
      <c r="E1953" s="18" t="s">
        <v>74</v>
      </c>
      <c r="F1953" s="18" t="s">
        <v>438</v>
      </c>
      <c r="G1953" s="18" t="s">
        <v>381</v>
      </c>
      <c r="H1953" s="18" t="s">
        <v>4083</v>
      </c>
      <c r="I1953" s="20" t="s">
        <v>4084</v>
      </c>
      <c r="J1953" s="18" t="s">
        <v>4085</v>
      </c>
      <c r="K1953" s="18" t="s">
        <v>24</v>
      </c>
      <c r="L1953" s="18" t="s">
        <v>25</v>
      </c>
      <c r="N1953" s="18" t="s">
        <v>441</v>
      </c>
    </row>
    <row r="1954" spans="1:14" ht="15" customHeight="1" x14ac:dyDescent="0.3">
      <c r="A1954" s="18" t="s">
        <v>4012</v>
      </c>
      <c r="B1954" s="19" t="s">
        <v>15</v>
      </c>
      <c r="C1954" s="18" t="s">
        <v>4051</v>
      </c>
      <c r="D1954" s="18" t="s">
        <v>17</v>
      </c>
      <c r="E1954" s="18" t="s">
        <v>74</v>
      </c>
      <c r="F1954" s="18" t="s">
        <v>4086</v>
      </c>
      <c r="G1954" s="18" t="s">
        <v>381</v>
      </c>
      <c r="H1954" s="18" t="s">
        <v>4087</v>
      </c>
      <c r="I1954" s="20" t="s">
        <v>4088</v>
      </c>
      <c r="J1954" s="18" t="s">
        <v>440</v>
      </c>
      <c r="K1954" s="18" t="s">
        <v>293</v>
      </c>
      <c r="L1954" s="18" t="s">
        <v>25</v>
      </c>
      <c r="N1954" s="18" t="s">
        <v>973</v>
      </c>
    </row>
    <row r="1955" spans="1:14" ht="15" customHeight="1" x14ac:dyDescent="0.3">
      <c r="A1955" s="18" t="s">
        <v>4012</v>
      </c>
      <c r="B1955" s="19" t="s">
        <v>15</v>
      </c>
      <c r="C1955" s="18" t="s">
        <v>4051</v>
      </c>
      <c r="D1955" s="18" t="s">
        <v>17</v>
      </c>
      <c r="E1955" s="18" t="s">
        <v>74</v>
      </c>
      <c r="F1955" s="18" t="s">
        <v>4089</v>
      </c>
      <c r="G1955" s="18" t="s">
        <v>1019</v>
      </c>
      <c r="H1955" s="18" t="s">
        <v>4090</v>
      </c>
      <c r="I1955" s="20" t="s">
        <v>4091</v>
      </c>
      <c r="J1955" s="18" t="s">
        <v>1986</v>
      </c>
      <c r="K1955" s="18" t="s">
        <v>293</v>
      </c>
      <c r="L1955" s="18" t="s">
        <v>25</v>
      </c>
      <c r="N1955" s="18" t="s">
        <v>973</v>
      </c>
    </row>
    <row r="1956" spans="1:14" ht="15" customHeight="1" x14ac:dyDescent="0.3">
      <c r="A1956" s="18" t="s">
        <v>4012</v>
      </c>
      <c r="B1956" s="19" t="s">
        <v>15</v>
      </c>
      <c r="C1956" s="18" t="s">
        <v>4051</v>
      </c>
      <c r="D1956" s="18" t="s">
        <v>17</v>
      </c>
      <c r="E1956" s="18" t="s">
        <v>74</v>
      </c>
      <c r="F1956" s="18" t="s">
        <v>4092</v>
      </c>
      <c r="G1956" s="18" t="s">
        <v>913</v>
      </c>
      <c r="H1956" s="18" t="s">
        <v>4093</v>
      </c>
      <c r="I1956" s="20" t="s">
        <v>4094</v>
      </c>
      <c r="J1956" s="18" t="s">
        <v>440</v>
      </c>
      <c r="K1956" s="18" t="s">
        <v>293</v>
      </c>
      <c r="L1956" s="18" t="s">
        <v>25</v>
      </c>
      <c r="N1956" s="18" t="s">
        <v>973</v>
      </c>
    </row>
    <row r="1957" spans="1:14" ht="15" customHeight="1" x14ac:dyDescent="0.3">
      <c r="A1957" s="18" t="s">
        <v>4012</v>
      </c>
      <c r="B1957" s="19" t="s">
        <v>15</v>
      </c>
      <c r="C1957" s="18" t="s">
        <v>4051</v>
      </c>
      <c r="D1957" s="18" t="s">
        <v>17</v>
      </c>
      <c r="E1957" s="18" t="s">
        <v>74</v>
      </c>
      <c r="F1957" s="18" t="s">
        <v>4095</v>
      </c>
      <c r="G1957" s="18" t="s">
        <v>913</v>
      </c>
      <c r="H1957" s="18" t="s">
        <v>4096</v>
      </c>
      <c r="I1957" s="20" t="s">
        <v>4097</v>
      </c>
      <c r="J1957" s="18" t="s">
        <v>440</v>
      </c>
      <c r="K1957" s="18" t="s">
        <v>293</v>
      </c>
      <c r="L1957" s="18" t="s">
        <v>25</v>
      </c>
      <c r="N1957" s="18" t="s">
        <v>973</v>
      </c>
    </row>
    <row r="1958" spans="1:14" ht="15" customHeight="1" x14ac:dyDescent="0.3">
      <c r="A1958" s="18" t="s">
        <v>4012</v>
      </c>
      <c r="B1958" s="19" t="s">
        <v>15</v>
      </c>
      <c r="C1958" s="18" t="s">
        <v>4051</v>
      </c>
      <c r="D1958" s="18" t="s">
        <v>17</v>
      </c>
      <c r="E1958" s="18" t="s">
        <v>74</v>
      </c>
      <c r="F1958" s="18" t="s">
        <v>4098</v>
      </c>
      <c r="G1958" s="18" t="s">
        <v>913</v>
      </c>
      <c r="H1958" s="18" t="s">
        <v>4099</v>
      </c>
      <c r="I1958" s="20" t="s">
        <v>4100</v>
      </c>
      <c r="J1958" s="18" t="s">
        <v>440</v>
      </c>
      <c r="K1958" s="18" t="s">
        <v>293</v>
      </c>
      <c r="L1958" s="18" t="s">
        <v>25</v>
      </c>
      <c r="N1958" s="18" t="s">
        <v>973</v>
      </c>
    </row>
    <row r="1959" spans="1:14" ht="15" customHeight="1" x14ac:dyDescent="0.3">
      <c r="A1959" s="18" t="s">
        <v>4012</v>
      </c>
      <c r="B1959" s="19" t="s">
        <v>15</v>
      </c>
      <c r="C1959" s="18" t="s">
        <v>4047</v>
      </c>
      <c r="D1959" s="18" t="s">
        <v>17</v>
      </c>
      <c r="E1959" s="18" t="s">
        <v>74</v>
      </c>
      <c r="F1959" s="18" t="s">
        <v>4101</v>
      </c>
      <c r="G1959" s="18" t="s">
        <v>619</v>
      </c>
      <c r="H1959" s="18" t="s">
        <v>618</v>
      </c>
      <c r="I1959" s="20" t="s">
        <v>4102</v>
      </c>
      <c r="J1959" s="18" t="s">
        <v>440</v>
      </c>
      <c r="K1959" s="18" t="s">
        <v>91</v>
      </c>
      <c r="L1959" s="18" t="s">
        <v>25</v>
      </c>
      <c r="N1959" s="18" t="s">
        <v>973</v>
      </c>
    </row>
    <row r="1960" spans="1:14" ht="15" customHeight="1" x14ac:dyDescent="0.3">
      <c r="A1960" s="18" t="s">
        <v>4012</v>
      </c>
      <c r="B1960" s="19" t="s">
        <v>15</v>
      </c>
      <c r="C1960" s="18" t="s">
        <v>4047</v>
      </c>
      <c r="D1960" s="18" t="s">
        <v>17</v>
      </c>
      <c r="E1960" s="18" t="s">
        <v>74</v>
      </c>
      <c r="F1960" s="18" t="s">
        <v>4103</v>
      </c>
      <c r="G1960" s="18" t="s">
        <v>433</v>
      </c>
      <c r="H1960" s="18" t="s">
        <v>4104</v>
      </c>
      <c r="I1960" s="20" t="s">
        <v>4105</v>
      </c>
      <c r="J1960" s="18" t="s">
        <v>440</v>
      </c>
      <c r="K1960" s="18" t="s">
        <v>91</v>
      </c>
      <c r="L1960" s="18" t="s">
        <v>25</v>
      </c>
      <c r="N1960" s="18" t="s">
        <v>973</v>
      </c>
    </row>
    <row r="1961" spans="1:14" ht="15" customHeight="1" x14ac:dyDescent="0.3">
      <c r="A1961" s="18" t="s">
        <v>4012</v>
      </c>
      <c r="B1961" s="19" t="s">
        <v>15</v>
      </c>
      <c r="C1961" s="18" t="s">
        <v>4047</v>
      </c>
      <c r="D1961" s="18" t="s">
        <v>17</v>
      </c>
      <c r="E1961" s="18" t="s">
        <v>74</v>
      </c>
      <c r="F1961" s="18" t="s">
        <v>4106</v>
      </c>
      <c r="G1961" s="18" t="s">
        <v>423</v>
      </c>
      <c r="H1961" s="18" t="s">
        <v>4107</v>
      </c>
      <c r="I1961" s="20" t="s">
        <v>4108</v>
      </c>
      <c r="J1961" s="18" t="s">
        <v>440</v>
      </c>
      <c r="K1961" s="18" t="s">
        <v>91</v>
      </c>
      <c r="L1961" s="18" t="s">
        <v>25</v>
      </c>
      <c r="N1961" s="18" t="s">
        <v>973</v>
      </c>
    </row>
    <row r="1962" spans="1:14" ht="15" customHeight="1" x14ac:dyDescent="0.3">
      <c r="A1962" s="18" t="s">
        <v>4012</v>
      </c>
      <c r="B1962" s="19" t="s">
        <v>15</v>
      </c>
      <c r="C1962" s="18" t="s">
        <v>442</v>
      </c>
      <c r="D1962" s="18" t="s">
        <v>17</v>
      </c>
      <c r="E1962" s="18" t="s">
        <v>74</v>
      </c>
      <c r="F1962" s="18" t="s">
        <v>443</v>
      </c>
      <c r="G1962" s="18" t="s">
        <v>381</v>
      </c>
      <c r="H1962" s="18" t="s">
        <v>4109</v>
      </c>
      <c r="I1962" s="20" t="s">
        <v>4110</v>
      </c>
      <c r="J1962" s="18" t="s">
        <v>4111</v>
      </c>
      <c r="K1962" s="18" t="s">
        <v>24</v>
      </c>
      <c r="L1962" s="18" t="s">
        <v>25</v>
      </c>
      <c r="N1962" s="18" t="s">
        <v>154</v>
      </c>
    </row>
    <row r="1963" spans="1:14" ht="15" customHeight="1" x14ac:dyDescent="0.3">
      <c r="A1963" s="18" t="s">
        <v>4012</v>
      </c>
      <c r="B1963" s="19" t="s">
        <v>15</v>
      </c>
      <c r="C1963" s="18" t="s">
        <v>4051</v>
      </c>
      <c r="D1963" s="18" t="s">
        <v>17</v>
      </c>
      <c r="E1963" s="18" t="s">
        <v>74</v>
      </c>
      <c r="F1963" s="18" t="s">
        <v>4112</v>
      </c>
      <c r="G1963" s="18" t="s">
        <v>340</v>
      </c>
      <c r="H1963" s="18" t="s">
        <v>4113</v>
      </c>
      <c r="I1963" s="20" t="s">
        <v>4114</v>
      </c>
      <c r="J1963" s="18" t="s">
        <v>440</v>
      </c>
      <c r="K1963" s="18" t="s">
        <v>293</v>
      </c>
      <c r="L1963" s="18" t="s">
        <v>25</v>
      </c>
      <c r="N1963" s="18" t="s">
        <v>973</v>
      </c>
    </row>
    <row r="1964" spans="1:14" ht="15" customHeight="1" x14ac:dyDescent="0.3">
      <c r="A1964" s="18" t="s">
        <v>4012</v>
      </c>
      <c r="B1964" s="19" t="s">
        <v>15</v>
      </c>
      <c r="C1964" s="18" t="s">
        <v>4051</v>
      </c>
      <c r="D1964" s="18" t="s">
        <v>17</v>
      </c>
      <c r="E1964" s="18" t="s">
        <v>74</v>
      </c>
      <c r="F1964" s="18" t="s">
        <v>4115</v>
      </c>
      <c r="G1964" s="18" t="s">
        <v>429</v>
      </c>
      <c r="H1964" s="18" t="s">
        <v>4116</v>
      </c>
      <c r="I1964" s="20" t="s">
        <v>4117</v>
      </c>
      <c r="J1964" s="18" t="s">
        <v>440</v>
      </c>
      <c r="K1964" s="18" t="s">
        <v>293</v>
      </c>
      <c r="L1964" s="18" t="s">
        <v>25</v>
      </c>
      <c r="N1964" s="18" t="s">
        <v>973</v>
      </c>
    </row>
    <row r="1965" spans="1:14" ht="15" customHeight="1" x14ac:dyDescent="0.3">
      <c r="A1965" s="18" t="s">
        <v>4012</v>
      </c>
      <c r="B1965" s="19" t="s">
        <v>15</v>
      </c>
      <c r="C1965" s="18" t="s">
        <v>235</v>
      </c>
      <c r="D1965" s="18" t="s">
        <v>17</v>
      </c>
      <c r="E1965" s="18" t="s">
        <v>226</v>
      </c>
      <c r="F1965" s="18" t="s">
        <v>4118</v>
      </c>
      <c r="G1965" s="18" t="s">
        <v>41</v>
      </c>
      <c r="H1965" s="18" t="s">
        <v>4119</v>
      </c>
      <c r="I1965" s="20" t="s">
        <v>4120</v>
      </c>
      <c r="J1965" s="18" t="s">
        <v>440</v>
      </c>
      <c r="K1965" s="18" t="s">
        <v>293</v>
      </c>
      <c r="L1965" s="18" t="s">
        <v>25</v>
      </c>
      <c r="N1965" s="18" t="s">
        <v>154</v>
      </c>
    </row>
    <row r="1966" spans="1:14" ht="15" customHeight="1" x14ac:dyDescent="0.3">
      <c r="A1966" s="18" t="s">
        <v>4012</v>
      </c>
      <c r="B1966" s="19" t="s">
        <v>15</v>
      </c>
      <c r="C1966" s="18" t="s">
        <v>4121</v>
      </c>
      <c r="D1966" s="18" t="s">
        <v>17</v>
      </c>
      <c r="E1966" s="18" t="s">
        <v>226</v>
      </c>
      <c r="F1966" s="18" t="s">
        <v>4122</v>
      </c>
      <c r="G1966" s="18" t="s">
        <v>93</v>
      </c>
      <c r="H1966" s="18" t="s">
        <v>4123</v>
      </c>
      <c r="I1966" s="20" t="s">
        <v>4124</v>
      </c>
      <c r="J1966" s="18" t="s">
        <v>440</v>
      </c>
      <c r="K1966" s="18" t="s">
        <v>293</v>
      </c>
      <c r="L1966" s="18" t="s">
        <v>25</v>
      </c>
      <c r="N1966" s="18" t="s">
        <v>26</v>
      </c>
    </row>
    <row r="1967" spans="1:14" ht="15" customHeight="1" x14ac:dyDescent="0.3">
      <c r="A1967" s="18" t="s">
        <v>4125</v>
      </c>
      <c r="B1967" s="19" t="s">
        <v>15</v>
      </c>
      <c r="C1967" s="18" t="s">
        <v>4126</v>
      </c>
      <c r="D1967" s="18" t="s">
        <v>116</v>
      </c>
      <c r="E1967" s="18" t="s">
        <v>117</v>
      </c>
      <c r="F1967" s="18" t="s">
        <v>4127</v>
      </c>
      <c r="G1967" s="18" t="s">
        <v>41</v>
      </c>
      <c r="H1967" s="18" t="s">
        <v>4128</v>
      </c>
      <c r="I1967" s="20" t="s">
        <v>4129</v>
      </c>
      <c r="J1967" s="18" t="s">
        <v>58</v>
      </c>
      <c r="K1967" s="18" t="s">
        <v>24</v>
      </c>
      <c r="L1967" s="18" t="s">
        <v>25</v>
      </c>
      <c r="N1967" s="18" t="s">
        <v>26</v>
      </c>
    </row>
    <row r="1968" spans="1:14" ht="15" customHeight="1" x14ac:dyDescent="0.3">
      <c r="A1968" s="18" t="s">
        <v>4125</v>
      </c>
      <c r="B1968" s="19" t="s">
        <v>15</v>
      </c>
      <c r="C1968" s="18" t="s">
        <v>4126</v>
      </c>
      <c r="D1968" s="18" t="s">
        <v>116</v>
      </c>
      <c r="E1968" s="18" t="s">
        <v>117</v>
      </c>
      <c r="F1968" s="18" t="s">
        <v>4130</v>
      </c>
      <c r="G1968" s="18" t="s">
        <v>270</v>
      </c>
      <c r="H1968" s="18" t="s">
        <v>4131</v>
      </c>
      <c r="I1968" s="20" t="s">
        <v>4132</v>
      </c>
      <c r="J1968" s="18" t="s">
        <v>58</v>
      </c>
      <c r="K1968" s="18" t="s">
        <v>24</v>
      </c>
      <c r="L1968" s="18" t="s">
        <v>25</v>
      </c>
      <c r="N1968" s="18" t="s">
        <v>26</v>
      </c>
    </row>
    <row r="1969" spans="1:14" ht="15" customHeight="1" x14ac:dyDescent="0.3">
      <c r="A1969" s="18" t="s">
        <v>4125</v>
      </c>
      <c r="B1969" s="19" t="s">
        <v>15</v>
      </c>
      <c r="C1969" s="18" t="s">
        <v>4126</v>
      </c>
      <c r="D1969" s="18" t="s">
        <v>116</v>
      </c>
      <c r="E1969" s="18" t="s">
        <v>117</v>
      </c>
      <c r="F1969" s="18" t="s">
        <v>4133</v>
      </c>
      <c r="G1969" s="18" t="s">
        <v>1075</v>
      </c>
      <c r="H1969" s="18" t="s">
        <v>4134</v>
      </c>
      <c r="I1969" s="20" t="s">
        <v>4135</v>
      </c>
      <c r="J1969" s="18" t="s">
        <v>58</v>
      </c>
      <c r="K1969" s="18" t="s">
        <v>24</v>
      </c>
      <c r="L1969" s="18" t="s">
        <v>25</v>
      </c>
      <c r="N1969" s="18" t="s">
        <v>26</v>
      </c>
    </row>
    <row r="1970" spans="1:14" ht="15" customHeight="1" x14ac:dyDescent="0.3">
      <c r="A1970" s="18" t="s">
        <v>4125</v>
      </c>
      <c r="B1970" s="19" t="s">
        <v>15</v>
      </c>
      <c r="C1970" s="18" t="s">
        <v>4126</v>
      </c>
      <c r="D1970" s="18" t="s">
        <v>116</v>
      </c>
      <c r="E1970" s="18" t="s">
        <v>117</v>
      </c>
      <c r="F1970" s="18" t="s">
        <v>4136</v>
      </c>
      <c r="G1970" s="18" t="s">
        <v>1204</v>
      </c>
      <c r="H1970" s="18" t="s">
        <v>4134</v>
      </c>
      <c r="I1970" s="20" t="s">
        <v>4137</v>
      </c>
      <c r="J1970" s="18" t="s">
        <v>58</v>
      </c>
      <c r="K1970" s="18" t="s">
        <v>24</v>
      </c>
      <c r="L1970" s="18" t="s">
        <v>25</v>
      </c>
      <c r="N1970" s="18" t="s">
        <v>26</v>
      </c>
    </row>
    <row r="1971" spans="1:14" ht="15" customHeight="1" x14ac:dyDescent="0.3">
      <c r="A1971" s="18" t="s">
        <v>4125</v>
      </c>
      <c r="B1971" s="19" t="s">
        <v>15</v>
      </c>
      <c r="C1971" s="18" t="s">
        <v>4126</v>
      </c>
      <c r="D1971" s="18" t="s">
        <v>116</v>
      </c>
      <c r="E1971" s="18" t="s">
        <v>117</v>
      </c>
      <c r="F1971" s="18" t="s">
        <v>4138</v>
      </c>
      <c r="G1971" s="18" t="s">
        <v>47</v>
      </c>
      <c r="H1971" s="18" t="s">
        <v>4134</v>
      </c>
      <c r="I1971" s="20" t="s">
        <v>4139</v>
      </c>
      <c r="J1971" s="18" t="s">
        <v>58</v>
      </c>
      <c r="K1971" s="18" t="s">
        <v>24</v>
      </c>
      <c r="L1971" s="18" t="s">
        <v>25</v>
      </c>
      <c r="N1971" s="18" t="s">
        <v>26</v>
      </c>
    </row>
    <row r="1972" spans="1:14" ht="15" customHeight="1" x14ac:dyDescent="0.3">
      <c r="A1972" s="18" t="s">
        <v>4125</v>
      </c>
      <c r="B1972" s="19" t="s">
        <v>15</v>
      </c>
      <c r="C1972" s="18" t="s">
        <v>4140</v>
      </c>
      <c r="D1972" s="18" t="s">
        <v>116</v>
      </c>
      <c r="E1972" s="18" t="s">
        <v>117</v>
      </c>
      <c r="F1972" s="18" t="s">
        <v>4141</v>
      </c>
      <c r="G1972" s="18" t="s">
        <v>212</v>
      </c>
      <c r="H1972" s="18" t="s">
        <v>4142</v>
      </c>
      <c r="I1972" s="20" t="s">
        <v>4143</v>
      </c>
      <c r="J1972" s="18" t="s">
        <v>58</v>
      </c>
      <c r="K1972" s="18" t="s">
        <v>24</v>
      </c>
      <c r="L1972" s="18" t="s">
        <v>25</v>
      </c>
      <c r="N1972" s="18" t="s">
        <v>26</v>
      </c>
    </row>
    <row r="1973" spans="1:14" ht="15" customHeight="1" x14ac:dyDescent="0.3">
      <c r="A1973" s="18" t="s">
        <v>4125</v>
      </c>
      <c r="B1973" s="19" t="s">
        <v>15</v>
      </c>
      <c r="C1973" s="18" t="s">
        <v>4140</v>
      </c>
      <c r="D1973" s="18" t="s">
        <v>116</v>
      </c>
      <c r="E1973" s="18" t="s">
        <v>117</v>
      </c>
      <c r="F1973" s="18" t="s">
        <v>211</v>
      </c>
      <c r="G1973" s="18" t="s">
        <v>212</v>
      </c>
      <c r="H1973" s="18" t="s">
        <v>4142</v>
      </c>
      <c r="I1973" s="20" t="s">
        <v>4144</v>
      </c>
      <c r="J1973" s="18" t="s">
        <v>58</v>
      </c>
      <c r="K1973" s="18" t="s">
        <v>24</v>
      </c>
      <c r="L1973" s="18" t="s">
        <v>25</v>
      </c>
      <c r="N1973" s="18" t="s">
        <v>26</v>
      </c>
    </row>
    <row r="1974" spans="1:14" ht="15" customHeight="1" x14ac:dyDescent="0.3">
      <c r="A1974" s="18" t="s">
        <v>4125</v>
      </c>
      <c r="B1974" s="19" t="s">
        <v>15</v>
      </c>
      <c r="C1974" s="18" t="s">
        <v>4126</v>
      </c>
      <c r="D1974" s="18" t="s">
        <v>116</v>
      </c>
      <c r="E1974" s="18" t="s">
        <v>117</v>
      </c>
      <c r="F1974" s="18" t="s">
        <v>4145</v>
      </c>
      <c r="G1974" s="18" t="s">
        <v>47</v>
      </c>
      <c r="H1974" s="18" t="s">
        <v>4134</v>
      </c>
      <c r="I1974" s="20" t="s">
        <v>4146</v>
      </c>
      <c r="J1974" s="18" t="s">
        <v>58</v>
      </c>
      <c r="K1974" s="18" t="s">
        <v>24</v>
      </c>
      <c r="L1974" s="18" t="s">
        <v>25</v>
      </c>
      <c r="N1974" s="18" t="s">
        <v>26</v>
      </c>
    </row>
    <row r="1975" spans="1:14" ht="15" customHeight="1" x14ac:dyDescent="0.3">
      <c r="A1975" s="18" t="s">
        <v>4125</v>
      </c>
      <c r="B1975" s="19" t="s">
        <v>15</v>
      </c>
      <c r="C1975" s="18" t="s">
        <v>4126</v>
      </c>
      <c r="D1975" s="18" t="s">
        <v>116</v>
      </c>
      <c r="E1975" s="18" t="s">
        <v>117</v>
      </c>
      <c r="F1975" s="18" t="s">
        <v>4147</v>
      </c>
      <c r="G1975" s="18" t="s">
        <v>1019</v>
      </c>
      <c r="H1975" s="18" t="s">
        <v>4128</v>
      </c>
      <c r="I1975" s="20" t="s">
        <v>4148</v>
      </c>
      <c r="J1975" s="18" t="s">
        <v>58</v>
      </c>
      <c r="K1975" s="18" t="s">
        <v>24</v>
      </c>
      <c r="L1975" s="18" t="s">
        <v>25</v>
      </c>
      <c r="N1975" s="18" t="s">
        <v>26</v>
      </c>
    </row>
    <row r="1976" spans="1:14" ht="15" customHeight="1" x14ac:dyDescent="0.3">
      <c r="A1976" s="18" t="s">
        <v>4125</v>
      </c>
      <c r="B1976" s="19" t="s">
        <v>15</v>
      </c>
      <c r="C1976" s="18" t="s">
        <v>4126</v>
      </c>
      <c r="D1976" s="18" t="s">
        <v>116</v>
      </c>
      <c r="E1976" s="18" t="s">
        <v>117</v>
      </c>
      <c r="F1976" s="18" t="s">
        <v>4149</v>
      </c>
      <c r="G1976" s="18" t="s">
        <v>1075</v>
      </c>
      <c r="H1976" s="18" t="s">
        <v>4134</v>
      </c>
      <c r="I1976" s="20" t="s">
        <v>4150</v>
      </c>
      <c r="J1976" s="18" t="s">
        <v>58</v>
      </c>
      <c r="K1976" s="18" t="s">
        <v>24</v>
      </c>
      <c r="L1976" s="18" t="s">
        <v>25</v>
      </c>
      <c r="N1976" s="18" t="s">
        <v>26</v>
      </c>
    </row>
    <row r="1977" spans="1:14" ht="15" customHeight="1" x14ac:dyDescent="0.3">
      <c r="A1977" s="18" t="s">
        <v>4125</v>
      </c>
      <c r="B1977" s="19" t="s">
        <v>15</v>
      </c>
      <c r="C1977" s="18" t="s">
        <v>4126</v>
      </c>
      <c r="D1977" s="18" t="s">
        <v>116</v>
      </c>
      <c r="E1977" s="18" t="s">
        <v>117</v>
      </c>
      <c r="F1977" s="18" t="s">
        <v>4151</v>
      </c>
      <c r="G1977" s="18" t="s">
        <v>41</v>
      </c>
      <c r="H1977" s="18" t="s">
        <v>4131</v>
      </c>
      <c r="I1977" s="20" t="s">
        <v>4152</v>
      </c>
      <c r="J1977" s="18" t="s">
        <v>58</v>
      </c>
      <c r="K1977" s="18" t="s">
        <v>24</v>
      </c>
      <c r="L1977" s="18" t="s">
        <v>25</v>
      </c>
      <c r="N1977" s="18" t="s">
        <v>26</v>
      </c>
    </row>
    <row r="1978" spans="1:14" ht="15" customHeight="1" x14ac:dyDescent="0.3">
      <c r="A1978" s="18" t="s">
        <v>4125</v>
      </c>
      <c r="B1978" s="19" t="s">
        <v>15</v>
      </c>
      <c r="C1978" s="18" t="s">
        <v>4126</v>
      </c>
      <c r="D1978" s="18" t="s">
        <v>116</v>
      </c>
      <c r="E1978" s="18" t="s">
        <v>117</v>
      </c>
      <c r="F1978" s="18" t="s">
        <v>2228</v>
      </c>
      <c r="G1978" s="18" t="s">
        <v>537</v>
      </c>
      <c r="H1978" s="18" t="s">
        <v>4128</v>
      </c>
      <c r="I1978" s="20" t="s">
        <v>4153</v>
      </c>
      <c r="J1978" s="18" t="s">
        <v>58</v>
      </c>
      <c r="K1978" s="18" t="s">
        <v>24</v>
      </c>
      <c r="L1978" s="18" t="s">
        <v>25</v>
      </c>
      <c r="N1978" s="18" t="s">
        <v>26</v>
      </c>
    </row>
    <row r="1979" spans="1:14" ht="15" customHeight="1" x14ac:dyDescent="0.3">
      <c r="A1979" s="18" t="s">
        <v>4125</v>
      </c>
      <c r="B1979" s="19" t="s">
        <v>15</v>
      </c>
      <c r="C1979" s="18" t="s">
        <v>4126</v>
      </c>
      <c r="D1979" s="18" t="s">
        <v>116</v>
      </c>
      <c r="E1979" s="18" t="s">
        <v>117</v>
      </c>
      <c r="F1979" s="18" t="s">
        <v>4154</v>
      </c>
      <c r="G1979" s="18" t="s">
        <v>1211</v>
      </c>
      <c r="H1979" s="18" t="s">
        <v>4134</v>
      </c>
      <c r="I1979" s="20" t="s">
        <v>4155</v>
      </c>
      <c r="J1979" s="18" t="s">
        <v>58</v>
      </c>
      <c r="K1979" s="18" t="s">
        <v>24</v>
      </c>
      <c r="L1979" s="18" t="s">
        <v>25</v>
      </c>
      <c r="N1979" s="18" t="s">
        <v>26</v>
      </c>
    </row>
    <row r="1980" spans="1:14" ht="15" customHeight="1" x14ac:dyDescent="0.3">
      <c r="A1980" s="18" t="s">
        <v>4125</v>
      </c>
      <c r="B1980" s="19" t="s">
        <v>15</v>
      </c>
      <c r="C1980" s="18" t="s">
        <v>4126</v>
      </c>
      <c r="D1980" s="18" t="s">
        <v>116</v>
      </c>
      <c r="E1980" s="18" t="s">
        <v>117</v>
      </c>
      <c r="F1980" s="18" t="s">
        <v>4156</v>
      </c>
      <c r="G1980" s="18" t="s">
        <v>1204</v>
      </c>
      <c r="H1980" s="18" t="s">
        <v>4134</v>
      </c>
      <c r="I1980" s="20" t="s">
        <v>4157</v>
      </c>
      <c r="J1980" s="18" t="s">
        <v>58</v>
      </c>
      <c r="K1980" s="18" t="s">
        <v>24</v>
      </c>
      <c r="L1980" s="18" t="s">
        <v>25</v>
      </c>
      <c r="N1980" s="18" t="s">
        <v>26</v>
      </c>
    </row>
    <row r="1981" spans="1:14" ht="15" customHeight="1" x14ac:dyDescent="0.3">
      <c r="A1981" s="18" t="s">
        <v>4125</v>
      </c>
      <c r="B1981" s="19" t="s">
        <v>15</v>
      </c>
      <c r="C1981" s="18" t="s">
        <v>4126</v>
      </c>
      <c r="D1981" s="18" t="s">
        <v>116</v>
      </c>
      <c r="E1981" s="18" t="s">
        <v>117</v>
      </c>
      <c r="F1981" s="18" t="s">
        <v>1769</v>
      </c>
      <c r="G1981" s="18" t="s">
        <v>41</v>
      </c>
      <c r="H1981" s="18" t="s">
        <v>4131</v>
      </c>
      <c r="I1981" s="20" t="s">
        <v>4158</v>
      </c>
      <c r="J1981" s="18" t="s">
        <v>58</v>
      </c>
      <c r="K1981" s="18" t="s">
        <v>24</v>
      </c>
      <c r="L1981" s="18" t="s">
        <v>25</v>
      </c>
      <c r="N1981" s="18" t="s">
        <v>26</v>
      </c>
    </row>
    <row r="1982" spans="1:14" ht="15" customHeight="1" x14ac:dyDescent="0.3">
      <c r="A1982" s="18" t="s">
        <v>4125</v>
      </c>
      <c r="B1982" s="19" t="s">
        <v>15</v>
      </c>
      <c r="C1982" s="18" t="s">
        <v>4126</v>
      </c>
      <c r="D1982" s="18" t="s">
        <v>116</v>
      </c>
      <c r="E1982" s="18" t="s">
        <v>117</v>
      </c>
      <c r="F1982" s="18" t="s">
        <v>4159</v>
      </c>
      <c r="G1982" s="18" t="s">
        <v>34</v>
      </c>
      <c r="H1982" s="18" t="s">
        <v>4134</v>
      </c>
      <c r="I1982" s="20" t="s">
        <v>4160</v>
      </c>
      <c r="J1982" s="18" t="s">
        <v>58</v>
      </c>
      <c r="K1982" s="18" t="s">
        <v>24</v>
      </c>
      <c r="L1982" s="18" t="s">
        <v>25</v>
      </c>
      <c r="N1982" s="18" t="s">
        <v>26</v>
      </c>
    </row>
    <row r="1983" spans="1:14" ht="15" customHeight="1" x14ac:dyDescent="0.3">
      <c r="A1983" s="18" t="s">
        <v>4125</v>
      </c>
      <c r="B1983" s="19" t="s">
        <v>15</v>
      </c>
      <c r="C1983" s="18" t="s">
        <v>4126</v>
      </c>
      <c r="D1983" s="18" t="s">
        <v>116</v>
      </c>
      <c r="E1983" s="18" t="s">
        <v>117</v>
      </c>
      <c r="F1983" s="18" t="s">
        <v>4161</v>
      </c>
      <c r="G1983" s="18" t="s">
        <v>34</v>
      </c>
      <c r="H1983" s="18" t="s">
        <v>4134</v>
      </c>
      <c r="I1983" s="20" t="s">
        <v>4162</v>
      </c>
      <c r="J1983" s="18" t="s">
        <v>58</v>
      </c>
      <c r="K1983" s="18" t="s">
        <v>24</v>
      </c>
      <c r="L1983" s="18" t="s">
        <v>25</v>
      </c>
      <c r="N1983" s="18" t="s">
        <v>26</v>
      </c>
    </row>
    <row r="1984" spans="1:14" ht="15" customHeight="1" x14ac:dyDescent="0.3">
      <c r="A1984" s="18" t="s">
        <v>4125</v>
      </c>
      <c r="B1984" s="19" t="s">
        <v>15</v>
      </c>
      <c r="C1984" s="18" t="s">
        <v>4126</v>
      </c>
      <c r="D1984" s="18" t="s">
        <v>116</v>
      </c>
      <c r="E1984" s="18" t="s">
        <v>117</v>
      </c>
      <c r="F1984" s="18" t="s">
        <v>4163</v>
      </c>
      <c r="G1984" s="18" t="s">
        <v>41</v>
      </c>
      <c r="H1984" s="18" t="s">
        <v>4134</v>
      </c>
      <c r="I1984" s="20" t="s">
        <v>4164</v>
      </c>
      <c r="J1984" s="18" t="s">
        <v>58</v>
      </c>
      <c r="K1984" s="18" t="s">
        <v>24</v>
      </c>
      <c r="L1984" s="18" t="s">
        <v>25</v>
      </c>
      <c r="N1984" s="18" t="s">
        <v>26</v>
      </c>
    </row>
    <row r="1985" spans="1:14" ht="15" customHeight="1" x14ac:dyDescent="0.3">
      <c r="A1985" s="18" t="s">
        <v>4125</v>
      </c>
      <c r="B1985" s="19" t="s">
        <v>15</v>
      </c>
      <c r="C1985" s="18" t="s">
        <v>4126</v>
      </c>
      <c r="D1985" s="18" t="s">
        <v>116</v>
      </c>
      <c r="E1985" s="18" t="s">
        <v>117</v>
      </c>
      <c r="F1985" s="18" t="s">
        <v>4165</v>
      </c>
      <c r="G1985" s="18" t="s">
        <v>1231</v>
      </c>
      <c r="H1985" s="18" t="s">
        <v>4134</v>
      </c>
      <c r="I1985" s="20" t="s">
        <v>4166</v>
      </c>
      <c r="J1985" s="18" t="s">
        <v>58</v>
      </c>
      <c r="K1985" s="18" t="s">
        <v>24</v>
      </c>
      <c r="L1985" s="18" t="s">
        <v>25</v>
      </c>
      <c r="N1985" s="18" t="s">
        <v>26</v>
      </c>
    </row>
    <row r="1986" spans="1:14" ht="15" customHeight="1" x14ac:dyDescent="0.3">
      <c r="A1986" s="18" t="s">
        <v>4125</v>
      </c>
      <c r="B1986" s="19" t="s">
        <v>15</v>
      </c>
      <c r="C1986" s="18" t="s">
        <v>4126</v>
      </c>
      <c r="D1986" s="18" t="s">
        <v>116</v>
      </c>
      <c r="E1986" s="18" t="s">
        <v>117</v>
      </c>
      <c r="F1986" s="18" t="s">
        <v>1777</v>
      </c>
      <c r="G1986" s="18" t="s">
        <v>1291</v>
      </c>
      <c r="H1986" s="18" t="s">
        <v>4128</v>
      </c>
      <c r="I1986" s="20" t="s">
        <v>4167</v>
      </c>
      <c r="J1986" s="18" t="s">
        <v>58</v>
      </c>
      <c r="K1986" s="18" t="s">
        <v>24</v>
      </c>
      <c r="L1986" s="18" t="s">
        <v>25</v>
      </c>
      <c r="N1986" s="18" t="s">
        <v>26</v>
      </c>
    </row>
    <row r="1987" spans="1:14" ht="15" customHeight="1" x14ac:dyDescent="0.3">
      <c r="A1987" s="18" t="s">
        <v>4125</v>
      </c>
      <c r="B1987" s="19" t="s">
        <v>15</v>
      </c>
      <c r="C1987" s="18" t="s">
        <v>4126</v>
      </c>
      <c r="D1987" s="18" t="s">
        <v>116</v>
      </c>
      <c r="E1987" s="18" t="s">
        <v>117</v>
      </c>
      <c r="F1987" s="18" t="s">
        <v>4168</v>
      </c>
      <c r="G1987" s="18" t="s">
        <v>47</v>
      </c>
      <c r="H1987" s="18" t="s">
        <v>4134</v>
      </c>
      <c r="I1987" s="20" t="s">
        <v>4169</v>
      </c>
      <c r="J1987" s="18" t="s">
        <v>58</v>
      </c>
      <c r="K1987" s="18" t="s">
        <v>24</v>
      </c>
      <c r="L1987" s="18" t="s">
        <v>25</v>
      </c>
      <c r="N1987" s="18" t="s">
        <v>26</v>
      </c>
    </row>
    <row r="1988" spans="1:14" ht="15" customHeight="1" x14ac:dyDescent="0.3">
      <c r="A1988" s="18" t="s">
        <v>4125</v>
      </c>
      <c r="B1988" s="19" t="s">
        <v>15</v>
      </c>
      <c r="C1988" s="18" t="s">
        <v>4126</v>
      </c>
      <c r="D1988" s="18" t="s">
        <v>116</v>
      </c>
      <c r="E1988" s="18" t="s">
        <v>117</v>
      </c>
      <c r="F1988" s="18" t="s">
        <v>4170</v>
      </c>
      <c r="G1988" s="18" t="s">
        <v>1211</v>
      </c>
      <c r="H1988" s="18" t="s">
        <v>4134</v>
      </c>
      <c r="I1988" s="20" t="s">
        <v>4171</v>
      </c>
      <c r="J1988" s="18" t="s">
        <v>58</v>
      </c>
      <c r="K1988" s="18" t="s">
        <v>24</v>
      </c>
      <c r="L1988" s="18" t="s">
        <v>25</v>
      </c>
      <c r="N1988" s="18" t="s">
        <v>26</v>
      </c>
    </row>
    <row r="1989" spans="1:14" ht="15" customHeight="1" x14ac:dyDescent="0.3">
      <c r="A1989" s="18" t="s">
        <v>4125</v>
      </c>
      <c r="B1989" s="19" t="s">
        <v>15</v>
      </c>
      <c r="C1989" s="18" t="s">
        <v>4126</v>
      </c>
      <c r="D1989" s="18" t="s">
        <v>116</v>
      </c>
      <c r="E1989" s="18" t="s">
        <v>117</v>
      </c>
      <c r="F1989" s="18" t="s">
        <v>4172</v>
      </c>
      <c r="G1989" s="18" t="s">
        <v>1204</v>
      </c>
      <c r="H1989" s="18" t="s">
        <v>4134</v>
      </c>
      <c r="I1989" s="20" t="s">
        <v>4173</v>
      </c>
      <c r="J1989" s="18" t="s">
        <v>58</v>
      </c>
      <c r="K1989" s="18" t="s">
        <v>24</v>
      </c>
      <c r="L1989" s="18" t="s">
        <v>25</v>
      </c>
      <c r="N1989" s="18" t="s">
        <v>26</v>
      </c>
    </row>
    <row r="1990" spans="1:14" ht="15" customHeight="1" x14ac:dyDescent="0.3">
      <c r="A1990" s="18" t="s">
        <v>4125</v>
      </c>
      <c r="B1990" s="19" t="s">
        <v>15</v>
      </c>
      <c r="C1990" s="18" t="s">
        <v>4126</v>
      </c>
      <c r="D1990" s="18" t="s">
        <v>116</v>
      </c>
      <c r="E1990" s="18" t="s">
        <v>117</v>
      </c>
      <c r="F1990" s="18" t="s">
        <v>128</v>
      </c>
      <c r="G1990" s="18" t="s">
        <v>47</v>
      </c>
      <c r="H1990" s="18" t="s">
        <v>4134</v>
      </c>
      <c r="I1990" s="20" t="s">
        <v>4174</v>
      </c>
      <c r="J1990" s="18" t="s">
        <v>58</v>
      </c>
      <c r="K1990" s="18" t="s">
        <v>24</v>
      </c>
      <c r="L1990" s="18" t="s">
        <v>25</v>
      </c>
      <c r="N1990" s="18" t="s">
        <v>26</v>
      </c>
    </row>
    <row r="1991" spans="1:14" ht="15" customHeight="1" x14ac:dyDescent="0.3">
      <c r="A1991" s="18" t="s">
        <v>4125</v>
      </c>
      <c r="B1991" s="19" t="s">
        <v>15</v>
      </c>
      <c r="C1991" s="18" t="s">
        <v>4126</v>
      </c>
      <c r="D1991" s="18" t="s">
        <v>116</v>
      </c>
      <c r="E1991" s="18" t="s">
        <v>117</v>
      </c>
      <c r="F1991" s="18" t="s">
        <v>575</v>
      </c>
      <c r="G1991" s="18" t="s">
        <v>263</v>
      </c>
      <c r="H1991" s="18" t="s">
        <v>4128</v>
      </c>
      <c r="I1991" s="20" t="s">
        <v>4175</v>
      </c>
      <c r="J1991" s="18" t="s">
        <v>58</v>
      </c>
      <c r="K1991" s="18" t="s">
        <v>24</v>
      </c>
      <c r="L1991" s="18" t="s">
        <v>25</v>
      </c>
      <c r="N1991" s="18" t="s">
        <v>26</v>
      </c>
    </row>
    <row r="1992" spans="1:14" ht="15" customHeight="1" x14ac:dyDescent="0.3">
      <c r="A1992" s="18" t="s">
        <v>4125</v>
      </c>
      <c r="B1992" s="19" t="s">
        <v>15</v>
      </c>
      <c r="C1992" s="18" t="s">
        <v>4126</v>
      </c>
      <c r="D1992" s="18" t="s">
        <v>116</v>
      </c>
      <c r="E1992" s="18" t="s">
        <v>117</v>
      </c>
      <c r="F1992" s="18" t="s">
        <v>2523</v>
      </c>
      <c r="G1992" s="18" t="s">
        <v>1075</v>
      </c>
      <c r="H1992" s="18" t="s">
        <v>4134</v>
      </c>
      <c r="I1992" s="20" t="s">
        <v>4176</v>
      </c>
      <c r="J1992" s="18" t="s">
        <v>58</v>
      </c>
      <c r="K1992" s="18" t="s">
        <v>24</v>
      </c>
      <c r="L1992" s="18" t="s">
        <v>25</v>
      </c>
      <c r="N1992" s="18" t="s">
        <v>26</v>
      </c>
    </row>
    <row r="1993" spans="1:14" ht="15" customHeight="1" x14ac:dyDescent="0.3">
      <c r="A1993" s="18" t="s">
        <v>4125</v>
      </c>
      <c r="B1993" s="19" t="s">
        <v>15</v>
      </c>
      <c r="C1993" s="18" t="s">
        <v>4126</v>
      </c>
      <c r="D1993" s="18" t="s">
        <v>116</v>
      </c>
      <c r="E1993" s="18" t="s">
        <v>117</v>
      </c>
      <c r="F1993" s="18" t="s">
        <v>1230</v>
      </c>
      <c r="G1993" s="18" t="s">
        <v>1231</v>
      </c>
      <c r="H1993" s="18" t="s">
        <v>4134</v>
      </c>
      <c r="I1993" s="20" t="s">
        <v>4177</v>
      </c>
      <c r="J1993" s="18" t="s">
        <v>58</v>
      </c>
      <c r="K1993" s="18" t="s">
        <v>24</v>
      </c>
      <c r="L1993" s="18" t="s">
        <v>25</v>
      </c>
      <c r="N1993" s="18" t="s">
        <v>26</v>
      </c>
    </row>
    <row r="1994" spans="1:14" ht="15" customHeight="1" x14ac:dyDescent="0.3">
      <c r="A1994" s="18" t="s">
        <v>4125</v>
      </c>
      <c r="B1994" s="19" t="s">
        <v>15</v>
      </c>
      <c r="C1994" s="18" t="s">
        <v>4140</v>
      </c>
      <c r="D1994" s="18" t="s">
        <v>116</v>
      </c>
      <c r="E1994" s="18" t="s">
        <v>117</v>
      </c>
      <c r="F1994" s="18" t="s">
        <v>4178</v>
      </c>
      <c r="G1994" s="18" t="s">
        <v>212</v>
      </c>
      <c r="H1994" s="18" t="s">
        <v>4142</v>
      </c>
      <c r="I1994" s="20" t="s">
        <v>4179</v>
      </c>
      <c r="J1994" s="18" t="s">
        <v>58</v>
      </c>
      <c r="K1994" s="18" t="s">
        <v>24</v>
      </c>
      <c r="L1994" s="18" t="s">
        <v>25</v>
      </c>
      <c r="N1994" s="18" t="s">
        <v>26</v>
      </c>
    </row>
    <row r="1995" spans="1:14" ht="15" customHeight="1" x14ac:dyDescent="0.3">
      <c r="A1995" s="18" t="s">
        <v>4125</v>
      </c>
      <c r="B1995" s="19" t="s">
        <v>15</v>
      </c>
      <c r="C1995" s="18" t="s">
        <v>4126</v>
      </c>
      <c r="D1995" s="18" t="s">
        <v>116</v>
      </c>
      <c r="E1995" s="18" t="s">
        <v>117</v>
      </c>
      <c r="F1995" s="18" t="s">
        <v>1233</v>
      </c>
      <c r="G1995" s="18" t="s">
        <v>47</v>
      </c>
      <c r="H1995" s="18" t="s">
        <v>4134</v>
      </c>
      <c r="I1995" s="20" t="s">
        <v>4180</v>
      </c>
      <c r="J1995" s="18" t="s">
        <v>58</v>
      </c>
      <c r="K1995" s="18" t="s">
        <v>24</v>
      </c>
      <c r="L1995" s="18" t="s">
        <v>25</v>
      </c>
      <c r="N1995" s="18" t="s">
        <v>26</v>
      </c>
    </row>
    <row r="1996" spans="1:14" ht="15" customHeight="1" x14ac:dyDescent="0.3">
      <c r="A1996" s="18" t="s">
        <v>4125</v>
      </c>
      <c r="B1996" s="19" t="s">
        <v>15</v>
      </c>
      <c r="C1996" s="18" t="s">
        <v>4140</v>
      </c>
      <c r="D1996" s="18" t="s">
        <v>116</v>
      </c>
      <c r="E1996" s="18" t="s">
        <v>117</v>
      </c>
      <c r="F1996" s="18" t="s">
        <v>4181</v>
      </c>
      <c r="G1996" s="18" t="s">
        <v>606</v>
      </c>
      <c r="H1996" s="18" t="s">
        <v>4142</v>
      </c>
      <c r="I1996" s="20" t="s">
        <v>4182</v>
      </c>
      <c r="J1996" s="18" t="s">
        <v>58</v>
      </c>
      <c r="K1996" s="18" t="s">
        <v>24</v>
      </c>
      <c r="L1996" s="18" t="s">
        <v>25</v>
      </c>
      <c r="N1996" s="18" t="s">
        <v>26</v>
      </c>
    </row>
    <row r="1997" spans="1:14" ht="15" customHeight="1" x14ac:dyDescent="0.3">
      <c r="A1997" s="18" t="s">
        <v>4125</v>
      </c>
      <c r="B1997" s="19" t="s">
        <v>15</v>
      </c>
      <c r="C1997" s="18" t="s">
        <v>4126</v>
      </c>
      <c r="D1997" s="18" t="s">
        <v>116</v>
      </c>
      <c r="E1997" s="18" t="s">
        <v>117</v>
      </c>
      <c r="F1997" s="18" t="s">
        <v>1235</v>
      </c>
      <c r="G1997" s="18" t="s">
        <v>47</v>
      </c>
      <c r="H1997" s="18" t="s">
        <v>4134</v>
      </c>
      <c r="I1997" s="20" t="s">
        <v>4183</v>
      </c>
      <c r="J1997" s="18" t="s">
        <v>58</v>
      </c>
      <c r="K1997" s="18" t="s">
        <v>24</v>
      </c>
      <c r="L1997" s="18" t="s">
        <v>25</v>
      </c>
      <c r="N1997" s="18" t="s">
        <v>26</v>
      </c>
    </row>
    <row r="1998" spans="1:14" ht="15" customHeight="1" x14ac:dyDescent="0.3">
      <c r="A1998" s="18" t="s">
        <v>4125</v>
      </c>
      <c r="B1998" s="19" t="s">
        <v>15</v>
      </c>
      <c r="C1998" s="18" t="s">
        <v>4140</v>
      </c>
      <c r="D1998" s="18" t="s">
        <v>116</v>
      </c>
      <c r="E1998" s="18" t="s">
        <v>117</v>
      </c>
      <c r="F1998" s="18" t="s">
        <v>4184</v>
      </c>
      <c r="G1998" s="18" t="s">
        <v>212</v>
      </c>
      <c r="H1998" s="18" t="s">
        <v>4142</v>
      </c>
      <c r="I1998" s="20" t="s">
        <v>4185</v>
      </c>
      <c r="J1998" s="18" t="s">
        <v>58</v>
      </c>
      <c r="K1998" s="18" t="s">
        <v>24</v>
      </c>
      <c r="L1998" s="18" t="s">
        <v>25</v>
      </c>
      <c r="N1998" s="18" t="s">
        <v>26</v>
      </c>
    </row>
    <row r="1999" spans="1:14" ht="15" customHeight="1" x14ac:dyDescent="0.3">
      <c r="A1999" s="18" t="s">
        <v>4125</v>
      </c>
      <c r="B1999" s="19" t="s">
        <v>15</v>
      </c>
      <c r="C1999" s="18" t="s">
        <v>4126</v>
      </c>
      <c r="D1999" s="18" t="s">
        <v>116</v>
      </c>
      <c r="E1999" s="18" t="s">
        <v>117</v>
      </c>
      <c r="F1999" s="18" t="s">
        <v>4186</v>
      </c>
      <c r="G1999" s="18" t="s">
        <v>1231</v>
      </c>
      <c r="H1999" s="18" t="s">
        <v>4134</v>
      </c>
      <c r="I1999" s="20" t="s">
        <v>4187</v>
      </c>
      <c r="J1999" s="18" t="s">
        <v>58</v>
      </c>
      <c r="K1999" s="18" t="s">
        <v>24</v>
      </c>
      <c r="L1999" s="18" t="s">
        <v>25</v>
      </c>
      <c r="N1999" s="18" t="s">
        <v>26</v>
      </c>
    </row>
    <row r="2000" spans="1:14" ht="15" customHeight="1" x14ac:dyDescent="0.3">
      <c r="A2000" s="18" t="s">
        <v>4125</v>
      </c>
      <c r="B2000" s="19" t="s">
        <v>15</v>
      </c>
      <c r="C2000" s="18" t="s">
        <v>4126</v>
      </c>
      <c r="D2000" s="18" t="s">
        <v>116</v>
      </c>
      <c r="E2000" s="18" t="s">
        <v>18</v>
      </c>
      <c r="F2000" s="18" t="s">
        <v>1016</v>
      </c>
      <c r="G2000" s="18" t="s">
        <v>263</v>
      </c>
      <c r="H2000" s="18" t="s">
        <v>4128</v>
      </c>
      <c r="I2000" s="20" t="s">
        <v>4188</v>
      </c>
      <c r="J2000" s="18" t="s">
        <v>30</v>
      </c>
      <c r="K2000" s="18" t="s">
        <v>24</v>
      </c>
      <c r="L2000" s="18" t="s">
        <v>25</v>
      </c>
      <c r="N2000" s="18" t="s">
        <v>26</v>
      </c>
    </row>
    <row r="2001" spans="1:14" ht="15" customHeight="1" x14ac:dyDescent="0.3">
      <c r="A2001" s="18" t="s">
        <v>4125</v>
      </c>
      <c r="B2001" s="19" t="s">
        <v>15</v>
      </c>
      <c r="C2001" s="18" t="s">
        <v>4126</v>
      </c>
      <c r="D2001" s="18" t="s">
        <v>116</v>
      </c>
      <c r="E2001" s="18" t="s">
        <v>18</v>
      </c>
      <c r="F2001" s="18" t="s">
        <v>1515</v>
      </c>
      <c r="G2001" s="18" t="s">
        <v>47</v>
      </c>
      <c r="H2001" s="18" t="s">
        <v>4134</v>
      </c>
      <c r="I2001" s="20" t="s">
        <v>4189</v>
      </c>
      <c r="J2001" s="18" t="s">
        <v>30</v>
      </c>
      <c r="K2001" s="18" t="s">
        <v>24</v>
      </c>
      <c r="L2001" s="18" t="s">
        <v>25</v>
      </c>
      <c r="N2001" s="18" t="s">
        <v>26</v>
      </c>
    </row>
    <row r="2002" spans="1:14" ht="15" customHeight="1" x14ac:dyDescent="0.3">
      <c r="A2002" s="18" t="s">
        <v>4125</v>
      </c>
      <c r="B2002" s="19" t="s">
        <v>15</v>
      </c>
      <c r="C2002" s="18" t="s">
        <v>4140</v>
      </c>
      <c r="D2002" s="18" t="s">
        <v>116</v>
      </c>
      <c r="E2002" s="18" t="s">
        <v>18</v>
      </c>
      <c r="F2002" s="18" t="s">
        <v>2743</v>
      </c>
      <c r="G2002" s="18" t="s">
        <v>606</v>
      </c>
      <c r="H2002" s="18" t="s">
        <v>4142</v>
      </c>
      <c r="I2002" s="20" t="s">
        <v>4190</v>
      </c>
      <c r="J2002" s="18" t="s">
        <v>30</v>
      </c>
      <c r="K2002" s="18" t="s">
        <v>24</v>
      </c>
      <c r="L2002" s="18" t="s">
        <v>25</v>
      </c>
      <c r="N2002" s="18" t="s">
        <v>26</v>
      </c>
    </row>
    <row r="2003" spans="1:14" ht="15" customHeight="1" x14ac:dyDescent="0.3">
      <c r="A2003" s="18" t="s">
        <v>4125</v>
      </c>
      <c r="B2003" s="19" t="s">
        <v>15</v>
      </c>
      <c r="C2003" s="18" t="s">
        <v>4126</v>
      </c>
      <c r="D2003" s="18" t="s">
        <v>116</v>
      </c>
      <c r="E2003" s="18" t="s">
        <v>18</v>
      </c>
      <c r="F2003" s="18" t="s">
        <v>2755</v>
      </c>
      <c r="G2003" s="18" t="s">
        <v>1340</v>
      </c>
      <c r="H2003" s="18" t="s">
        <v>4128</v>
      </c>
      <c r="I2003" s="20" t="s">
        <v>4191</v>
      </c>
      <c r="J2003" s="18" t="s">
        <v>30</v>
      </c>
      <c r="K2003" s="18" t="s">
        <v>24</v>
      </c>
      <c r="L2003" s="18" t="s">
        <v>25</v>
      </c>
      <c r="N2003" s="18" t="s">
        <v>26</v>
      </c>
    </row>
    <row r="2004" spans="1:14" ht="15" customHeight="1" x14ac:dyDescent="0.3">
      <c r="A2004" s="18" t="s">
        <v>4125</v>
      </c>
      <c r="B2004" s="19" t="s">
        <v>15</v>
      </c>
      <c r="C2004" s="18" t="s">
        <v>4126</v>
      </c>
      <c r="D2004" s="18" t="s">
        <v>116</v>
      </c>
      <c r="E2004" s="18" t="s">
        <v>18</v>
      </c>
      <c r="F2004" s="18" t="s">
        <v>1947</v>
      </c>
      <c r="G2004" s="18" t="s">
        <v>85</v>
      </c>
      <c r="H2004" s="18" t="s">
        <v>4131</v>
      </c>
      <c r="I2004" s="20" t="s">
        <v>4192</v>
      </c>
      <c r="J2004" s="18" t="s">
        <v>30</v>
      </c>
      <c r="K2004" s="18" t="s">
        <v>24</v>
      </c>
      <c r="L2004" s="18" t="s">
        <v>25</v>
      </c>
      <c r="N2004" s="18" t="s">
        <v>26</v>
      </c>
    </row>
    <row r="2005" spans="1:14" ht="15" customHeight="1" x14ac:dyDescent="0.3">
      <c r="A2005" s="18" t="s">
        <v>4125</v>
      </c>
      <c r="B2005" s="19" t="s">
        <v>15</v>
      </c>
      <c r="C2005" s="18" t="s">
        <v>4126</v>
      </c>
      <c r="D2005" s="18" t="s">
        <v>116</v>
      </c>
      <c r="E2005" s="18" t="s">
        <v>18</v>
      </c>
      <c r="F2005" s="18" t="s">
        <v>4193</v>
      </c>
      <c r="G2005" s="18" t="s">
        <v>85</v>
      </c>
      <c r="H2005" s="18" t="s">
        <v>4131</v>
      </c>
      <c r="I2005" s="20" t="s">
        <v>4194</v>
      </c>
      <c r="J2005" s="18" t="s">
        <v>30</v>
      </c>
      <c r="K2005" s="18" t="s">
        <v>24</v>
      </c>
      <c r="L2005" s="18" t="s">
        <v>25</v>
      </c>
      <c r="N2005" s="18" t="s">
        <v>26</v>
      </c>
    </row>
    <row r="2006" spans="1:14" ht="15" customHeight="1" x14ac:dyDescent="0.3">
      <c r="A2006" s="18" t="s">
        <v>4125</v>
      </c>
      <c r="B2006" s="19" t="s">
        <v>15</v>
      </c>
      <c r="C2006" s="18" t="s">
        <v>4126</v>
      </c>
      <c r="D2006" s="18" t="s">
        <v>116</v>
      </c>
      <c r="E2006" s="18" t="s">
        <v>18</v>
      </c>
      <c r="F2006" s="18" t="s">
        <v>1019</v>
      </c>
      <c r="G2006" s="18" t="s">
        <v>1019</v>
      </c>
      <c r="H2006" s="18" t="s">
        <v>4128</v>
      </c>
      <c r="I2006" s="20" t="s">
        <v>4195</v>
      </c>
      <c r="J2006" s="18" t="s">
        <v>30</v>
      </c>
      <c r="K2006" s="18" t="s">
        <v>24</v>
      </c>
      <c r="L2006" s="18" t="s">
        <v>25</v>
      </c>
      <c r="N2006" s="18" t="s">
        <v>26</v>
      </c>
    </row>
    <row r="2007" spans="1:14" ht="15" customHeight="1" x14ac:dyDescent="0.3">
      <c r="A2007" s="18" t="s">
        <v>4125</v>
      </c>
      <c r="B2007" s="19" t="s">
        <v>15</v>
      </c>
      <c r="C2007" s="18" t="s">
        <v>4126</v>
      </c>
      <c r="D2007" s="18" t="s">
        <v>116</v>
      </c>
      <c r="E2007" s="18" t="s">
        <v>18</v>
      </c>
      <c r="F2007" s="18" t="s">
        <v>272</v>
      </c>
      <c r="G2007" s="18" t="s">
        <v>273</v>
      </c>
      <c r="H2007" s="18" t="s">
        <v>4128</v>
      </c>
      <c r="I2007" s="20" t="s">
        <v>4196</v>
      </c>
      <c r="J2007" s="18" t="s">
        <v>30</v>
      </c>
      <c r="K2007" s="18" t="s">
        <v>24</v>
      </c>
      <c r="L2007" s="18" t="s">
        <v>25</v>
      </c>
      <c r="N2007" s="18" t="s">
        <v>26</v>
      </c>
    </row>
    <row r="2008" spans="1:14" ht="15" customHeight="1" x14ac:dyDescent="0.3">
      <c r="A2008" s="18" t="s">
        <v>4125</v>
      </c>
      <c r="B2008" s="19" t="s">
        <v>15</v>
      </c>
      <c r="C2008" s="18" t="s">
        <v>4126</v>
      </c>
      <c r="D2008" s="18" t="s">
        <v>116</v>
      </c>
      <c r="E2008" s="18" t="s">
        <v>18</v>
      </c>
      <c r="F2008" s="18" t="s">
        <v>381</v>
      </c>
      <c r="G2008" s="18" t="s">
        <v>381</v>
      </c>
      <c r="H2008" s="18" t="s">
        <v>4197</v>
      </c>
      <c r="I2008" s="20" t="s">
        <v>4198</v>
      </c>
      <c r="J2008" s="18" t="s">
        <v>23</v>
      </c>
      <c r="K2008" s="18" t="s">
        <v>24</v>
      </c>
      <c r="L2008" s="18" t="s">
        <v>25</v>
      </c>
      <c r="N2008" s="18" t="s">
        <v>26</v>
      </c>
    </row>
    <row r="2009" spans="1:14" ht="15" customHeight="1" x14ac:dyDescent="0.3">
      <c r="A2009" s="18" t="s">
        <v>4125</v>
      </c>
      <c r="B2009" s="19" t="s">
        <v>15</v>
      </c>
      <c r="C2009" s="18" t="s">
        <v>4140</v>
      </c>
      <c r="D2009" s="18" t="s">
        <v>116</v>
      </c>
      <c r="E2009" s="18" t="s">
        <v>18</v>
      </c>
      <c r="F2009" s="18" t="s">
        <v>221</v>
      </c>
      <c r="G2009" s="18" t="s">
        <v>212</v>
      </c>
      <c r="H2009" s="18" t="s">
        <v>4142</v>
      </c>
      <c r="I2009" s="20" t="s">
        <v>4199</v>
      </c>
      <c r="J2009" s="18" t="s">
        <v>30</v>
      </c>
      <c r="K2009" s="18" t="s">
        <v>24</v>
      </c>
      <c r="L2009" s="18" t="s">
        <v>25</v>
      </c>
      <c r="N2009" s="18" t="s">
        <v>26</v>
      </c>
    </row>
    <row r="2010" spans="1:14" ht="15" customHeight="1" x14ac:dyDescent="0.3">
      <c r="A2010" s="18" t="s">
        <v>4125</v>
      </c>
      <c r="B2010" s="19" t="s">
        <v>15</v>
      </c>
      <c r="C2010" s="18" t="s">
        <v>4140</v>
      </c>
      <c r="D2010" s="18" t="s">
        <v>116</v>
      </c>
      <c r="E2010" s="18" t="s">
        <v>18</v>
      </c>
      <c r="F2010" s="18" t="s">
        <v>4200</v>
      </c>
      <c r="G2010" s="18" t="s">
        <v>212</v>
      </c>
      <c r="H2010" s="18" t="s">
        <v>4142</v>
      </c>
      <c r="I2010" s="20" t="s">
        <v>4201</v>
      </c>
      <c r="J2010" s="18" t="s">
        <v>30</v>
      </c>
      <c r="K2010" s="18" t="s">
        <v>24</v>
      </c>
      <c r="L2010" s="18" t="s">
        <v>25</v>
      </c>
      <c r="N2010" s="18" t="s">
        <v>26</v>
      </c>
    </row>
    <row r="2011" spans="1:14" ht="15" customHeight="1" x14ac:dyDescent="0.3">
      <c r="A2011" s="18" t="s">
        <v>4125</v>
      </c>
      <c r="B2011" s="19" t="s">
        <v>15</v>
      </c>
      <c r="C2011" s="18" t="s">
        <v>4126</v>
      </c>
      <c r="D2011" s="18" t="s">
        <v>116</v>
      </c>
      <c r="E2011" s="18" t="s">
        <v>18</v>
      </c>
      <c r="F2011" s="18" t="s">
        <v>1244</v>
      </c>
      <c r="G2011" s="18" t="s">
        <v>1075</v>
      </c>
      <c r="H2011" s="18" t="s">
        <v>4134</v>
      </c>
      <c r="I2011" s="20" t="s">
        <v>4202</v>
      </c>
      <c r="J2011" s="18" t="s">
        <v>30</v>
      </c>
      <c r="K2011" s="18" t="s">
        <v>24</v>
      </c>
      <c r="L2011" s="18" t="s">
        <v>25</v>
      </c>
      <c r="N2011" s="18" t="s">
        <v>26</v>
      </c>
    </row>
    <row r="2012" spans="1:14" ht="15" customHeight="1" x14ac:dyDescent="0.3">
      <c r="A2012" s="18" t="s">
        <v>4125</v>
      </c>
      <c r="B2012" s="19" t="s">
        <v>15</v>
      </c>
      <c r="C2012" s="18" t="s">
        <v>4126</v>
      </c>
      <c r="D2012" s="18" t="s">
        <v>116</v>
      </c>
      <c r="E2012" s="18" t="s">
        <v>18</v>
      </c>
      <c r="F2012" s="18" t="s">
        <v>1072</v>
      </c>
      <c r="G2012" s="18" t="s">
        <v>47</v>
      </c>
      <c r="H2012" s="18" t="s">
        <v>4134</v>
      </c>
      <c r="I2012" s="20" t="s">
        <v>4203</v>
      </c>
      <c r="J2012" s="18" t="s">
        <v>30</v>
      </c>
      <c r="K2012" s="18" t="s">
        <v>24</v>
      </c>
      <c r="L2012" s="18" t="s">
        <v>25</v>
      </c>
      <c r="N2012" s="18" t="s">
        <v>26</v>
      </c>
    </row>
    <row r="2013" spans="1:14" ht="15" customHeight="1" x14ac:dyDescent="0.3">
      <c r="A2013" s="18" t="s">
        <v>4125</v>
      </c>
      <c r="B2013" s="19" t="s">
        <v>15</v>
      </c>
      <c r="C2013" s="18" t="s">
        <v>4126</v>
      </c>
      <c r="D2013" s="18" t="s">
        <v>116</v>
      </c>
      <c r="E2013" s="18" t="s">
        <v>18</v>
      </c>
      <c r="F2013" s="18" t="s">
        <v>34</v>
      </c>
      <c r="G2013" s="18" t="s">
        <v>34</v>
      </c>
      <c r="H2013" s="18" t="s">
        <v>4134</v>
      </c>
      <c r="I2013" s="20" t="s">
        <v>4204</v>
      </c>
      <c r="J2013" s="18" t="s">
        <v>30</v>
      </c>
      <c r="K2013" s="18" t="s">
        <v>24</v>
      </c>
      <c r="L2013" s="18" t="s">
        <v>25</v>
      </c>
      <c r="N2013" s="18" t="s">
        <v>26</v>
      </c>
    </row>
    <row r="2014" spans="1:14" ht="15" customHeight="1" x14ac:dyDescent="0.3">
      <c r="A2014" s="18" t="s">
        <v>4125</v>
      </c>
      <c r="B2014" s="19" t="s">
        <v>15</v>
      </c>
      <c r="C2014" s="18" t="s">
        <v>4126</v>
      </c>
      <c r="D2014" s="18" t="s">
        <v>116</v>
      </c>
      <c r="E2014" s="18" t="s">
        <v>18</v>
      </c>
      <c r="F2014" s="18" t="s">
        <v>4205</v>
      </c>
      <c r="G2014" s="18" t="s">
        <v>1075</v>
      </c>
      <c r="H2014" s="18" t="s">
        <v>4134</v>
      </c>
      <c r="I2014" s="20" t="s">
        <v>4206</v>
      </c>
      <c r="J2014" s="18" t="s">
        <v>30</v>
      </c>
      <c r="K2014" s="18" t="s">
        <v>24</v>
      </c>
      <c r="L2014" s="18" t="s">
        <v>25</v>
      </c>
      <c r="N2014" s="18" t="s">
        <v>26</v>
      </c>
    </row>
    <row r="2015" spans="1:14" ht="15" customHeight="1" x14ac:dyDescent="0.3">
      <c r="A2015" s="18" t="s">
        <v>4125</v>
      </c>
      <c r="B2015" s="19" t="s">
        <v>15</v>
      </c>
      <c r="C2015" s="18" t="s">
        <v>4126</v>
      </c>
      <c r="D2015" s="18" t="s">
        <v>116</v>
      </c>
      <c r="E2015" s="18" t="s">
        <v>18</v>
      </c>
      <c r="F2015" s="18" t="s">
        <v>580</v>
      </c>
      <c r="G2015" s="18" t="s">
        <v>20</v>
      </c>
      <c r="H2015" s="18" t="s">
        <v>4197</v>
      </c>
      <c r="I2015" s="20" t="s">
        <v>4207</v>
      </c>
      <c r="J2015" s="18" t="s">
        <v>23</v>
      </c>
      <c r="K2015" s="18" t="s">
        <v>24</v>
      </c>
      <c r="L2015" s="18" t="s">
        <v>25</v>
      </c>
      <c r="N2015" s="18" t="s">
        <v>26</v>
      </c>
    </row>
    <row r="2016" spans="1:14" ht="15" customHeight="1" x14ac:dyDescent="0.3">
      <c r="A2016" s="18" t="s">
        <v>4125</v>
      </c>
      <c r="B2016" s="19" t="s">
        <v>15</v>
      </c>
      <c r="C2016" s="18" t="s">
        <v>4126</v>
      </c>
      <c r="D2016" s="18" t="s">
        <v>116</v>
      </c>
      <c r="E2016" s="18" t="s">
        <v>18</v>
      </c>
      <c r="F2016" s="18" t="s">
        <v>4208</v>
      </c>
      <c r="G2016" s="18" t="s">
        <v>41</v>
      </c>
      <c r="H2016" s="18" t="s">
        <v>4131</v>
      </c>
      <c r="I2016" s="20" t="s">
        <v>4209</v>
      </c>
      <c r="J2016" s="18" t="s">
        <v>30</v>
      </c>
      <c r="K2016" s="18" t="s">
        <v>24</v>
      </c>
      <c r="L2016" s="18" t="s">
        <v>25</v>
      </c>
      <c r="N2016" s="18" t="s">
        <v>26</v>
      </c>
    </row>
    <row r="2017" spans="1:14" ht="15" customHeight="1" x14ac:dyDescent="0.3">
      <c r="A2017" s="18" t="s">
        <v>4125</v>
      </c>
      <c r="B2017" s="19" t="s">
        <v>15</v>
      </c>
      <c r="C2017" s="18" t="s">
        <v>4126</v>
      </c>
      <c r="D2017" s="18" t="s">
        <v>116</v>
      </c>
      <c r="E2017" s="18" t="s">
        <v>18</v>
      </c>
      <c r="F2017" s="18" t="s">
        <v>1088</v>
      </c>
      <c r="G2017" s="18" t="s">
        <v>41</v>
      </c>
      <c r="H2017" s="18" t="s">
        <v>4131</v>
      </c>
      <c r="I2017" s="20" t="s">
        <v>4210</v>
      </c>
      <c r="J2017" s="18" t="s">
        <v>30</v>
      </c>
      <c r="K2017" s="18" t="s">
        <v>24</v>
      </c>
      <c r="L2017" s="18" t="s">
        <v>25</v>
      </c>
      <c r="N2017" s="18" t="s">
        <v>26</v>
      </c>
    </row>
    <row r="2018" spans="1:14" ht="15" customHeight="1" x14ac:dyDescent="0.3">
      <c r="A2018" s="18" t="s">
        <v>4125</v>
      </c>
      <c r="B2018" s="19" t="s">
        <v>15</v>
      </c>
      <c r="C2018" s="18" t="s">
        <v>4126</v>
      </c>
      <c r="D2018" s="18" t="s">
        <v>116</v>
      </c>
      <c r="E2018" s="18" t="s">
        <v>18</v>
      </c>
      <c r="F2018" s="18" t="s">
        <v>1927</v>
      </c>
      <c r="G2018" s="18" t="s">
        <v>41</v>
      </c>
      <c r="H2018" s="18" t="s">
        <v>4131</v>
      </c>
      <c r="I2018" s="20" t="s">
        <v>4211</v>
      </c>
      <c r="J2018" s="18" t="s">
        <v>30</v>
      </c>
      <c r="K2018" s="18" t="s">
        <v>24</v>
      </c>
      <c r="L2018" s="18" t="s">
        <v>25</v>
      </c>
      <c r="N2018" s="18" t="s">
        <v>26</v>
      </c>
    </row>
    <row r="2019" spans="1:14" ht="15" customHeight="1" x14ac:dyDescent="0.3">
      <c r="A2019" s="18" t="s">
        <v>4125</v>
      </c>
      <c r="B2019" s="19" t="s">
        <v>15</v>
      </c>
      <c r="C2019" s="18" t="s">
        <v>4126</v>
      </c>
      <c r="D2019" s="18" t="s">
        <v>116</v>
      </c>
      <c r="E2019" s="18" t="s">
        <v>18</v>
      </c>
      <c r="F2019" s="18" t="s">
        <v>1832</v>
      </c>
      <c r="G2019" s="18" t="s">
        <v>207</v>
      </c>
      <c r="H2019" s="18" t="s">
        <v>4131</v>
      </c>
      <c r="I2019" s="20" t="s">
        <v>4212</v>
      </c>
      <c r="J2019" s="18" t="s">
        <v>30</v>
      </c>
      <c r="K2019" s="18" t="s">
        <v>24</v>
      </c>
      <c r="L2019" s="18" t="s">
        <v>25</v>
      </c>
      <c r="N2019" s="18" t="s">
        <v>26</v>
      </c>
    </row>
    <row r="2020" spans="1:14" ht="15" customHeight="1" x14ac:dyDescent="0.3">
      <c r="A2020" s="18" t="s">
        <v>4125</v>
      </c>
      <c r="B2020" s="19" t="s">
        <v>15</v>
      </c>
      <c r="C2020" s="18" t="s">
        <v>4126</v>
      </c>
      <c r="D2020" s="18" t="s">
        <v>116</v>
      </c>
      <c r="E2020" s="18" t="s">
        <v>18</v>
      </c>
      <c r="F2020" s="18" t="s">
        <v>2337</v>
      </c>
      <c r="G2020" s="18" t="s">
        <v>1075</v>
      </c>
      <c r="H2020" s="18" t="s">
        <v>4213</v>
      </c>
      <c r="I2020" s="20" t="s">
        <v>4214</v>
      </c>
      <c r="J2020" s="18" t="s">
        <v>30</v>
      </c>
      <c r="K2020" s="18" t="s">
        <v>24</v>
      </c>
      <c r="L2020" s="18" t="s">
        <v>25</v>
      </c>
      <c r="N2020" s="18" t="s">
        <v>26</v>
      </c>
    </row>
    <row r="2021" spans="1:14" ht="15" customHeight="1" x14ac:dyDescent="0.3">
      <c r="A2021" s="18" t="s">
        <v>4125</v>
      </c>
      <c r="B2021" s="19" t="s">
        <v>15</v>
      </c>
      <c r="C2021" s="18" t="s">
        <v>4126</v>
      </c>
      <c r="D2021" s="18" t="s">
        <v>116</v>
      </c>
      <c r="E2021" s="18" t="s">
        <v>18</v>
      </c>
      <c r="F2021" s="18" t="s">
        <v>4215</v>
      </c>
      <c r="G2021" s="18" t="s">
        <v>1254</v>
      </c>
      <c r="H2021" s="18" t="s">
        <v>4134</v>
      </c>
      <c r="I2021" s="20" t="s">
        <v>4216</v>
      </c>
      <c r="J2021" s="18" t="s">
        <v>30</v>
      </c>
      <c r="K2021" s="18" t="s">
        <v>24</v>
      </c>
      <c r="L2021" s="18" t="s">
        <v>25</v>
      </c>
      <c r="N2021" s="18" t="s">
        <v>26</v>
      </c>
    </row>
    <row r="2022" spans="1:14" ht="15" customHeight="1" x14ac:dyDescent="0.3">
      <c r="A2022" s="18" t="s">
        <v>4125</v>
      </c>
      <c r="B2022" s="19" t="s">
        <v>15</v>
      </c>
      <c r="C2022" s="18" t="s">
        <v>4126</v>
      </c>
      <c r="D2022" s="18" t="s">
        <v>116</v>
      </c>
      <c r="E2022" s="18" t="s">
        <v>18</v>
      </c>
      <c r="F2022" s="18" t="s">
        <v>4217</v>
      </c>
      <c r="G2022" s="18" t="s">
        <v>1204</v>
      </c>
      <c r="H2022" s="18" t="s">
        <v>4134</v>
      </c>
      <c r="I2022" s="20" t="s">
        <v>4218</v>
      </c>
      <c r="J2022" s="18" t="s">
        <v>30</v>
      </c>
      <c r="K2022" s="18" t="s">
        <v>24</v>
      </c>
      <c r="L2022" s="18" t="s">
        <v>25</v>
      </c>
      <c r="N2022" s="18" t="s">
        <v>26</v>
      </c>
    </row>
    <row r="2023" spans="1:14" ht="15" customHeight="1" x14ac:dyDescent="0.3">
      <c r="A2023" s="18" t="s">
        <v>4125</v>
      </c>
      <c r="B2023" s="19" t="s">
        <v>15</v>
      </c>
      <c r="C2023" s="18" t="s">
        <v>4126</v>
      </c>
      <c r="D2023" s="18" t="s">
        <v>116</v>
      </c>
      <c r="E2023" s="18" t="s">
        <v>18</v>
      </c>
      <c r="F2023" s="18" t="s">
        <v>4219</v>
      </c>
      <c r="G2023" s="18" t="s">
        <v>1211</v>
      </c>
      <c r="H2023" s="18" t="s">
        <v>4134</v>
      </c>
      <c r="I2023" s="20" t="s">
        <v>4220</v>
      </c>
      <c r="J2023" s="18" t="s">
        <v>30</v>
      </c>
      <c r="K2023" s="18" t="s">
        <v>24</v>
      </c>
      <c r="L2023" s="18" t="s">
        <v>25</v>
      </c>
      <c r="N2023" s="18" t="s">
        <v>26</v>
      </c>
    </row>
    <row r="2024" spans="1:14" ht="15" customHeight="1" x14ac:dyDescent="0.3">
      <c r="A2024" s="18" t="s">
        <v>4125</v>
      </c>
      <c r="B2024" s="19" t="s">
        <v>15</v>
      </c>
      <c r="C2024" s="18" t="s">
        <v>4140</v>
      </c>
      <c r="D2024" s="18" t="s">
        <v>116</v>
      </c>
      <c r="E2024" s="18" t="s">
        <v>18</v>
      </c>
      <c r="F2024" s="18" t="s">
        <v>4221</v>
      </c>
      <c r="G2024" s="18" t="s">
        <v>1204</v>
      </c>
      <c r="H2024" s="18" t="s">
        <v>4142</v>
      </c>
      <c r="I2024" s="20" t="s">
        <v>4222</v>
      </c>
      <c r="J2024" s="18" t="s">
        <v>30</v>
      </c>
      <c r="K2024" s="18" t="s">
        <v>24</v>
      </c>
      <c r="L2024" s="18" t="s">
        <v>25</v>
      </c>
      <c r="N2024" s="18" t="s">
        <v>26</v>
      </c>
    </row>
    <row r="2025" spans="1:14" ht="15" customHeight="1" x14ac:dyDescent="0.3">
      <c r="A2025" s="18" t="s">
        <v>4125</v>
      </c>
      <c r="B2025" s="19" t="s">
        <v>15</v>
      </c>
      <c r="C2025" s="18" t="s">
        <v>4126</v>
      </c>
      <c r="D2025" s="18" t="s">
        <v>116</v>
      </c>
      <c r="E2025" s="18" t="s">
        <v>18</v>
      </c>
      <c r="F2025" s="18" t="s">
        <v>778</v>
      </c>
      <c r="G2025" s="18" t="s">
        <v>20</v>
      </c>
      <c r="H2025" s="18" t="s">
        <v>4197</v>
      </c>
      <c r="I2025" s="20" t="s">
        <v>4223</v>
      </c>
      <c r="J2025" s="18" t="s">
        <v>23</v>
      </c>
      <c r="K2025" s="18" t="s">
        <v>24</v>
      </c>
      <c r="L2025" s="18" t="s">
        <v>25</v>
      </c>
      <c r="N2025" s="18" t="s">
        <v>26</v>
      </c>
    </row>
    <row r="2026" spans="1:14" ht="15" customHeight="1" x14ac:dyDescent="0.3">
      <c r="A2026" s="18" t="s">
        <v>4125</v>
      </c>
      <c r="B2026" s="19" t="s">
        <v>15</v>
      </c>
      <c r="C2026" s="18" t="s">
        <v>4126</v>
      </c>
      <c r="D2026" s="18" t="s">
        <v>116</v>
      </c>
      <c r="E2026" s="18" t="s">
        <v>18</v>
      </c>
      <c r="F2026" s="18" t="s">
        <v>4224</v>
      </c>
      <c r="G2026" s="18" t="s">
        <v>4225</v>
      </c>
      <c r="H2026" s="18" t="s">
        <v>4128</v>
      </c>
      <c r="I2026" s="20" t="s">
        <v>4226</v>
      </c>
      <c r="J2026" s="18" t="s">
        <v>30</v>
      </c>
      <c r="K2026" s="18" t="s">
        <v>24</v>
      </c>
      <c r="L2026" s="18" t="s">
        <v>25</v>
      </c>
      <c r="N2026" s="18" t="s">
        <v>26</v>
      </c>
    </row>
    <row r="2027" spans="1:14" ht="15" customHeight="1" x14ac:dyDescent="0.3">
      <c r="A2027" s="18" t="s">
        <v>4125</v>
      </c>
      <c r="B2027" s="19" t="s">
        <v>15</v>
      </c>
      <c r="C2027" s="18" t="s">
        <v>4126</v>
      </c>
      <c r="D2027" s="18" t="s">
        <v>116</v>
      </c>
      <c r="E2027" s="18" t="s">
        <v>55</v>
      </c>
      <c r="F2027" s="18" t="s">
        <v>4227</v>
      </c>
      <c r="G2027" s="18" t="s">
        <v>273</v>
      </c>
      <c r="H2027" s="18" t="s">
        <v>4128</v>
      </c>
      <c r="I2027" s="20" t="s">
        <v>4228</v>
      </c>
      <c r="J2027" s="18" t="s">
        <v>58</v>
      </c>
      <c r="K2027" s="18" t="s">
        <v>24</v>
      </c>
      <c r="L2027" s="18" t="s">
        <v>25</v>
      </c>
      <c r="N2027" s="18" t="s">
        <v>26</v>
      </c>
    </row>
    <row r="2028" spans="1:14" ht="15" customHeight="1" x14ac:dyDescent="0.3">
      <c r="A2028" s="18" t="s">
        <v>4125</v>
      </c>
      <c r="B2028" s="19" t="s">
        <v>15</v>
      </c>
      <c r="C2028" s="18" t="s">
        <v>4126</v>
      </c>
      <c r="D2028" s="18" t="s">
        <v>116</v>
      </c>
      <c r="E2028" s="18" t="s">
        <v>55</v>
      </c>
      <c r="F2028" s="18" t="s">
        <v>4229</v>
      </c>
      <c r="G2028" s="18" t="s">
        <v>47</v>
      </c>
      <c r="H2028" s="18" t="s">
        <v>4131</v>
      </c>
      <c r="I2028" s="20" t="s">
        <v>4230</v>
      </c>
      <c r="J2028" s="18" t="s">
        <v>73</v>
      </c>
      <c r="K2028" s="18" t="s">
        <v>24</v>
      </c>
      <c r="L2028" s="18" t="s">
        <v>25</v>
      </c>
      <c r="N2028" s="18" t="s">
        <v>26</v>
      </c>
    </row>
    <row r="2029" spans="1:14" ht="15" customHeight="1" x14ac:dyDescent="0.3">
      <c r="A2029" s="18" t="s">
        <v>4125</v>
      </c>
      <c r="B2029" s="19" t="s">
        <v>15</v>
      </c>
      <c r="C2029" s="18" t="s">
        <v>4126</v>
      </c>
      <c r="D2029" s="18" t="s">
        <v>116</v>
      </c>
      <c r="E2029" s="18" t="s">
        <v>55</v>
      </c>
      <c r="F2029" s="18" t="s">
        <v>4231</v>
      </c>
      <c r="G2029" s="18" t="s">
        <v>41</v>
      </c>
      <c r="H2029" s="18" t="s">
        <v>4131</v>
      </c>
      <c r="I2029" s="20" t="s">
        <v>4232</v>
      </c>
      <c r="J2029" s="18" t="s">
        <v>58</v>
      </c>
      <c r="K2029" s="18" t="s">
        <v>24</v>
      </c>
      <c r="L2029" s="18" t="s">
        <v>25</v>
      </c>
      <c r="N2029" s="18" t="s">
        <v>26</v>
      </c>
    </row>
    <row r="2030" spans="1:14" ht="15" customHeight="1" x14ac:dyDescent="0.3">
      <c r="A2030" s="18" t="s">
        <v>4125</v>
      </c>
      <c r="B2030" s="19" t="s">
        <v>15</v>
      </c>
      <c r="C2030" s="18" t="s">
        <v>4140</v>
      </c>
      <c r="D2030" s="18" t="s">
        <v>116</v>
      </c>
      <c r="E2030" s="18" t="s">
        <v>55</v>
      </c>
      <c r="F2030" s="18" t="s">
        <v>4233</v>
      </c>
      <c r="G2030" s="18" t="s">
        <v>212</v>
      </c>
      <c r="H2030" s="18" t="s">
        <v>4142</v>
      </c>
      <c r="I2030" s="20" t="s">
        <v>4234</v>
      </c>
      <c r="J2030" s="18" t="s">
        <v>73</v>
      </c>
      <c r="K2030" s="18" t="s">
        <v>24</v>
      </c>
      <c r="L2030" s="18" t="s">
        <v>25</v>
      </c>
      <c r="N2030" s="18" t="s">
        <v>26</v>
      </c>
    </row>
    <row r="2031" spans="1:14" ht="15" customHeight="1" x14ac:dyDescent="0.3">
      <c r="A2031" s="18" t="s">
        <v>4125</v>
      </c>
      <c r="B2031" s="19" t="s">
        <v>15</v>
      </c>
      <c r="C2031" s="18" t="s">
        <v>4126</v>
      </c>
      <c r="D2031" s="18" t="s">
        <v>116</v>
      </c>
      <c r="E2031" s="18" t="s">
        <v>55</v>
      </c>
      <c r="F2031" s="18" t="s">
        <v>1947</v>
      </c>
      <c r="G2031" s="18" t="s">
        <v>85</v>
      </c>
      <c r="H2031" s="18" t="s">
        <v>4131</v>
      </c>
      <c r="I2031" s="20" t="s">
        <v>4235</v>
      </c>
      <c r="J2031" s="18" t="s">
        <v>58</v>
      </c>
      <c r="K2031" s="18" t="s">
        <v>24</v>
      </c>
      <c r="L2031" s="18" t="s">
        <v>25</v>
      </c>
      <c r="N2031" s="18" t="s">
        <v>26</v>
      </c>
    </row>
    <row r="2032" spans="1:14" ht="15" customHeight="1" x14ac:dyDescent="0.3">
      <c r="A2032" s="18" t="s">
        <v>4125</v>
      </c>
      <c r="B2032" s="19" t="s">
        <v>15</v>
      </c>
      <c r="C2032" s="18" t="s">
        <v>4126</v>
      </c>
      <c r="D2032" s="18" t="s">
        <v>116</v>
      </c>
      <c r="E2032" s="18" t="s">
        <v>55</v>
      </c>
      <c r="F2032" s="18" t="s">
        <v>275</v>
      </c>
      <c r="G2032" s="18" t="s">
        <v>1527</v>
      </c>
      <c r="H2032" s="18" t="s">
        <v>4128</v>
      </c>
      <c r="I2032" s="20" t="s">
        <v>4236</v>
      </c>
      <c r="J2032" s="18" t="s">
        <v>73</v>
      </c>
      <c r="K2032" s="18" t="s">
        <v>24</v>
      </c>
      <c r="L2032" s="18" t="s">
        <v>25</v>
      </c>
      <c r="N2032" s="18" t="s">
        <v>26</v>
      </c>
    </row>
    <row r="2033" spans="1:14" ht="15" customHeight="1" x14ac:dyDescent="0.3">
      <c r="A2033" s="18" t="s">
        <v>4125</v>
      </c>
      <c r="B2033" s="19" t="s">
        <v>15</v>
      </c>
      <c r="C2033" s="18" t="s">
        <v>4126</v>
      </c>
      <c r="D2033" s="18" t="s">
        <v>116</v>
      </c>
      <c r="E2033" s="18" t="s">
        <v>55</v>
      </c>
      <c r="F2033" s="18" t="s">
        <v>278</v>
      </c>
      <c r="G2033" s="18" t="s">
        <v>2846</v>
      </c>
      <c r="H2033" s="18" t="s">
        <v>4128</v>
      </c>
      <c r="I2033" s="20" t="s">
        <v>4237</v>
      </c>
      <c r="J2033" s="18" t="s">
        <v>58</v>
      </c>
      <c r="K2033" s="18" t="s">
        <v>24</v>
      </c>
      <c r="L2033" s="18" t="s">
        <v>25</v>
      </c>
      <c r="N2033" s="18" t="s">
        <v>26</v>
      </c>
    </row>
    <row r="2034" spans="1:14" ht="15" customHeight="1" x14ac:dyDescent="0.3">
      <c r="A2034" s="18" t="s">
        <v>4125</v>
      </c>
      <c r="B2034" s="19" t="s">
        <v>15</v>
      </c>
      <c r="C2034" s="18" t="s">
        <v>4126</v>
      </c>
      <c r="D2034" s="18" t="s">
        <v>116</v>
      </c>
      <c r="E2034" s="18" t="s">
        <v>55</v>
      </c>
      <c r="F2034" s="18" t="s">
        <v>4238</v>
      </c>
      <c r="G2034" s="18" t="s">
        <v>273</v>
      </c>
      <c r="H2034" s="18" t="s">
        <v>4128</v>
      </c>
      <c r="I2034" s="20" t="s">
        <v>4239</v>
      </c>
      <c r="J2034" s="18" t="s">
        <v>58</v>
      </c>
      <c r="K2034" s="18" t="s">
        <v>24</v>
      </c>
      <c r="L2034" s="18" t="s">
        <v>25</v>
      </c>
      <c r="N2034" s="18" t="s">
        <v>26</v>
      </c>
    </row>
    <row r="2035" spans="1:14" ht="15" customHeight="1" x14ac:dyDescent="0.3">
      <c r="A2035" s="18" t="s">
        <v>4125</v>
      </c>
      <c r="B2035" s="19" t="s">
        <v>15</v>
      </c>
      <c r="C2035" s="18" t="s">
        <v>4126</v>
      </c>
      <c r="D2035" s="18" t="s">
        <v>116</v>
      </c>
      <c r="E2035" s="18" t="s">
        <v>55</v>
      </c>
      <c r="F2035" s="18" t="s">
        <v>4240</v>
      </c>
      <c r="G2035" s="18" t="s">
        <v>1204</v>
      </c>
      <c r="H2035" s="18" t="s">
        <v>4134</v>
      </c>
      <c r="I2035" s="20" t="s">
        <v>4241</v>
      </c>
      <c r="J2035" s="18" t="s">
        <v>58</v>
      </c>
      <c r="K2035" s="18" t="s">
        <v>24</v>
      </c>
      <c r="L2035" s="18" t="s">
        <v>25</v>
      </c>
      <c r="M2035" s="18" t="s">
        <v>39</v>
      </c>
      <c r="N2035" s="18" t="s">
        <v>26</v>
      </c>
    </row>
    <row r="2036" spans="1:14" ht="15" customHeight="1" x14ac:dyDescent="0.3">
      <c r="A2036" s="18" t="s">
        <v>4125</v>
      </c>
      <c r="B2036" s="19" t="s">
        <v>15</v>
      </c>
      <c r="C2036" s="18" t="s">
        <v>4126</v>
      </c>
      <c r="D2036" s="18" t="s">
        <v>116</v>
      </c>
      <c r="E2036" s="18" t="s">
        <v>55</v>
      </c>
      <c r="F2036" s="18" t="s">
        <v>381</v>
      </c>
      <c r="G2036" s="18" t="s">
        <v>381</v>
      </c>
      <c r="H2036" s="18" t="s">
        <v>4197</v>
      </c>
      <c r="I2036" s="20" t="s">
        <v>4242</v>
      </c>
      <c r="J2036" s="18" t="s">
        <v>73</v>
      </c>
      <c r="K2036" s="18" t="s">
        <v>24</v>
      </c>
      <c r="L2036" s="18" t="s">
        <v>25</v>
      </c>
      <c r="N2036" s="18" t="s">
        <v>26</v>
      </c>
    </row>
    <row r="2037" spans="1:14" ht="15" customHeight="1" x14ac:dyDescent="0.3">
      <c r="A2037" s="18" t="s">
        <v>4125</v>
      </c>
      <c r="B2037" s="19" t="s">
        <v>15</v>
      </c>
      <c r="C2037" s="18" t="s">
        <v>4140</v>
      </c>
      <c r="D2037" s="18" t="s">
        <v>116</v>
      </c>
      <c r="E2037" s="18" t="s">
        <v>55</v>
      </c>
      <c r="F2037" s="18" t="s">
        <v>4243</v>
      </c>
      <c r="G2037" s="18" t="s">
        <v>606</v>
      </c>
      <c r="H2037" s="18" t="s">
        <v>4142</v>
      </c>
      <c r="I2037" s="20" t="s">
        <v>4244</v>
      </c>
      <c r="J2037" s="18" t="s">
        <v>58</v>
      </c>
      <c r="K2037" s="18" t="s">
        <v>24</v>
      </c>
      <c r="L2037" s="18" t="s">
        <v>25</v>
      </c>
      <c r="N2037" s="18" t="s">
        <v>26</v>
      </c>
    </row>
    <row r="2038" spans="1:14" ht="15" customHeight="1" x14ac:dyDescent="0.3">
      <c r="A2038" s="18" t="s">
        <v>4125</v>
      </c>
      <c r="B2038" s="19" t="s">
        <v>15</v>
      </c>
      <c r="C2038" s="18" t="s">
        <v>4126</v>
      </c>
      <c r="D2038" s="18" t="s">
        <v>116</v>
      </c>
      <c r="E2038" s="18" t="s">
        <v>55</v>
      </c>
      <c r="F2038" s="18" t="s">
        <v>1239</v>
      </c>
      <c r="G2038" s="18" t="s">
        <v>1075</v>
      </c>
      <c r="H2038" s="18" t="s">
        <v>4134</v>
      </c>
      <c r="I2038" s="20" t="s">
        <v>4245</v>
      </c>
      <c r="J2038" s="18" t="s">
        <v>58</v>
      </c>
      <c r="K2038" s="18" t="s">
        <v>24</v>
      </c>
      <c r="L2038" s="18" t="s">
        <v>25</v>
      </c>
      <c r="N2038" s="18" t="s">
        <v>26</v>
      </c>
    </row>
    <row r="2039" spans="1:14" ht="15" customHeight="1" x14ac:dyDescent="0.3">
      <c r="A2039" s="18" t="s">
        <v>4125</v>
      </c>
      <c r="B2039" s="19" t="s">
        <v>15</v>
      </c>
      <c r="C2039" s="18" t="s">
        <v>4140</v>
      </c>
      <c r="D2039" s="18" t="s">
        <v>116</v>
      </c>
      <c r="E2039" s="18" t="s">
        <v>55</v>
      </c>
      <c r="F2039" s="18" t="s">
        <v>221</v>
      </c>
      <c r="G2039" s="18" t="s">
        <v>212</v>
      </c>
      <c r="H2039" s="18" t="s">
        <v>4142</v>
      </c>
      <c r="I2039" s="20" t="s">
        <v>4246</v>
      </c>
      <c r="J2039" s="18" t="s">
        <v>58</v>
      </c>
      <c r="K2039" s="18" t="s">
        <v>24</v>
      </c>
      <c r="L2039" s="18" t="s">
        <v>25</v>
      </c>
      <c r="N2039" s="18" t="s">
        <v>26</v>
      </c>
    </row>
    <row r="2040" spans="1:14" ht="15" customHeight="1" x14ac:dyDescent="0.3">
      <c r="A2040" s="18" t="s">
        <v>4125</v>
      </c>
      <c r="B2040" s="19" t="s">
        <v>15</v>
      </c>
      <c r="C2040" s="18" t="s">
        <v>4126</v>
      </c>
      <c r="D2040" s="18" t="s">
        <v>116</v>
      </c>
      <c r="E2040" s="18" t="s">
        <v>55</v>
      </c>
      <c r="F2040" s="18" t="s">
        <v>1244</v>
      </c>
      <c r="G2040" s="18" t="s">
        <v>1075</v>
      </c>
      <c r="H2040" s="18" t="s">
        <v>4134</v>
      </c>
      <c r="I2040" s="20" t="s">
        <v>4247</v>
      </c>
      <c r="J2040" s="18" t="s">
        <v>58</v>
      </c>
      <c r="K2040" s="18" t="s">
        <v>24</v>
      </c>
      <c r="L2040" s="18" t="s">
        <v>25</v>
      </c>
      <c r="N2040" s="18" t="s">
        <v>26</v>
      </c>
    </row>
    <row r="2041" spans="1:14" ht="15" customHeight="1" x14ac:dyDescent="0.3">
      <c r="A2041" s="18" t="s">
        <v>4125</v>
      </c>
      <c r="B2041" s="19" t="s">
        <v>15</v>
      </c>
      <c r="C2041" s="18" t="s">
        <v>4126</v>
      </c>
      <c r="D2041" s="18" t="s">
        <v>116</v>
      </c>
      <c r="E2041" s="18" t="s">
        <v>55</v>
      </c>
      <c r="F2041" s="18" t="s">
        <v>4248</v>
      </c>
      <c r="G2041" s="18" t="s">
        <v>34</v>
      </c>
      <c r="H2041" s="18" t="s">
        <v>4134</v>
      </c>
      <c r="I2041" s="20" t="s">
        <v>4249</v>
      </c>
      <c r="J2041" s="18" t="s">
        <v>58</v>
      </c>
      <c r="K2041" s="18" t="s">
        <v>24</v>
      </c>
      <c r="L2041" s="18" t="s">
        <v>25</v>
      </c>
      <c r="N2041" s="18" t="s">
        <v>26</v>
      </c>
    </row>
    <row r="2042" spans="1:14" ht="15" customHeight="1" x14ac:dyDescent="0.3">
      <c r="A2042" s="18" t="s">
        <v>4125</v>
      </c>
      <c r="B2042" s="19" t="s">
        <v>15</v>
      </c>
      <c r="C2042" s="18" t="s">
        <v>4126</v>
      </c>
      <c r="D2042" s="18" t="s">
        <v>116</v>
      </c>
      <c r="E2042" s="18" t="s">
        <v>55</v>
      </c>
      <c r="F2042" s="18" t="s">
        <v>4250</v>
      </c>
      <c r="G2042" s="18" t="s">
        <v>47</v>
      </c>
      <c r="H2042" s="18" t="s">
        <v>4134</v>
      </c>
      <c r="I2042" s="20" t="s">
        <v>4251</v>
      </c>
      <c r="J2042" s="18" t="s">
        <v>58</v>
      </c>
      <c r="K2042" s="18" t="s">
        <v>24</v>
      </c>
      <c r="L2042" s="18" t="s">
        <v>25</v>
      </c>
      <c r="N2042" s="18" t="s">
        <v>26</v>
      </c>
    </row>
    <row r="2043" spans="1:14" ht="15" customHeight="1" x14ac:dyDescent="0.3">
      <c r="A2043" s="18" t="s">
        <v>4125</v>
      </c>
      <c r="B2043" s="19" t="s">
        <v>15</v>
      </c>
      <c r="C2043" s="18" t="s">
        <v>4126</v>
      </c>
      <c r="D2043" s="18" t="s">
        <v>116</v>
      </c>
      <c r="E2043" s="18" t="s">
        <v>55</v>
      </c>
      <c r="F2043" s="18" t="s">
        <v>4252</v>
      </c>
      <c r="G2043" s="18" t="s">
        <v>637</v>
      </c>
      <c r="H2043" s="18" t="s">
        <v>4134</v>
      </c>
      <c r="I2043" s="20" t="s">
        <v>4253</v>
      </c>
      <c r="J2043" s="18" t="s">
        <v>58</v>
      </c>
      <c r="K2043" s="18" t="s">
        <v>24</v>
      </c>
      <c r="L2043" s="18" t="s">
        <v>25</v>
      </c>
      <c r="N2043" s="18" t="s">
        <v>26</v>
      </c>
    </row>
    <row r="2044" spans="1:14" ht="15" customHeight="1" x14ac:dyDescent="0.3">
      <c r="A2044" s="18" t="s">
        <v>4125</v>
      </c>
      <c r="B2044" s="19" t="s">
        <v>15</v>
      </c>
      <c r="C2044" s="18" t="s">
        <v>4126</v>
      </c>
      <c r="D2044" s="18" t="s">
        <v>116</v>
      </c>
      <c r="E2044" s="18" t="s">
        <v>55</v>
      </c>
      <c r="F2044" s="18" t="s">
        <v>4254</v>
      </c>
      <c r="G2044" s="18" t="s">
        <v>1204</v>
      </c>
      <c r="H2044" s="18" t="s">
        <v>4134</v>
      </c>
      <c r="I2044" s="20" t="s">
        <v>4255</v>
      </c>
      <c r="J2044" s="18" t="s">
        <v>73</v>
      </c>
      <c r="K2044" s="18" t="s">
        <v>24</v>
      </c>
      <c r="L2044" s="18" t="s">
        <v>25</v>
      </c>
      <c r="N2044" s="18" t="s">
        <v>26</v>
      </c>
    </row>
    <row r="2045" spans="1:14" ht="15" customHeight="1" x14ac:dyDescent="0.3">
      <c r="A2045" s="18" t="s">
        <v>4125</v>
      </c>
      <c r="B2045" s="19" t="s">
        <v>15</v>
      </c>
      <c r="C2045" s="18" t="s">
        <v>4126</v>
      </c>
      <c r="D2045" s="18" t="s">
        <v>116</v>
      </c>
      <c r="E2045" s="18" t="s">
        <v>55</v>
      </c>
      <c r="F2045" s="18" t="s">
        <v>281</v>
      </c>
      <c r="G2045" s="18" t="s">
        <v>1976</v>
      </c>
      <c r="H2045" s="18" t="s">
        <v>4128</v>
      </c>
      <c r="I2045" s="20" t="s">
        <v>4256</v>
      </c>
      <c r="J2045" s="18" t="s">
        <v>58</v>
      </c>
      <c r="K2045" s="18" t="s">
        <v>24</v>
      </c>
      <c r="L2045" s="18" t="s">
        <v>25</v>
      </c>
      <c r="N2045" s="18" t="s">
        <v>26</v>
      </c>
    </row>
    <row r="2046" spans="1:14" ht="15" customHeight="1" x14ac:dyDescent="0.3">
      <c r="A2046" s="18" t="s">
        <v>4125</v>
      </c>
      <c r="B2046" s="19" t="s">
        <v>15</v>
      </c>
      <c r="C2046" s="18" t="s">
        <v>4126</v>
      </c>
      <c r="D2046" s="18" t="s">
        <v>116</v>
      </c>
      <c r="E2046" s="18" t="s">
        <v>55</v>
      </c>
      <c r="F2046" s="18" t="s">
        <v>284</v>
      </c>
      <c r="G2046" s="18" t="s">
        <v>1370</v>
      </c>
      <c r="H2046" s="18" t="s">
        <v>4128</v>
      </c>
      <c r="I2046" s="20" t="s">
        <v>4257</v>
      </c>
      <c r="J2046" s="18" t="s">
        <v>58</v>
      </c>
      <c r="K2046" s="18" t="s">
        <v>24</v>
      </c>
      <c r="L2046" s="18" t="s">
        <v>25</v>
      </c>
      <c r="N2046" s="18" t="s">
        <v>26</v>
      </c>
    </row>
    <row r="2047" spans="1:14" ht="15" customHeight="1" x14ac:dyDescent="0.3">
      <c r="A2047" s="18" t="s">
        <v>4125</v>
      </c>
      <c r="B2047" s="19" t="s">
        <v>15</v>
      </c>
      <c r="C2047" s="18" t="s">
        <v>4126</v>
      </c>
      <c r="D2047" s="18" t="s">
        <v>116</v>
      </c>
      <c r="E2047" s="18" t="s">
        <v>55</v>
      </c>
      <c r="F2047" s="18" t="s">
        <v>2132</v>
      </c>
      <c r="G2047" s="18" t="s">
        <v>381</v>
      </c>
      <c r="H2047" s="18" t="s">
        <v>4197</v>
      </c>
      <c r="I2047" s="20" t="s">
        <v>4258</v>
      </c>
      <c r="J2047" s="18" t="s">
        <v>58</v>
      </c>
      <c r="K2047" s="18" t="s">
        <v>24</v>
      </c>
      <c r="L2047" s="18" t="s">
        <v>25</v>
      </c>
      <c r="M2047" s="18" t="s">
        <v>39</v>
      </c>
      <c r="N2047" s="18" t="s">
        <v>26</v>
      </c>
    </row>
    <row r="2048" spans="1:14" ht="15" customHeight="1" x14ac:dyDescent="0.3">
      <c r="A2048" s="18" t="s">
        <v>4125</v>
      </c>
      <c r="B2048" s="19" t="s">
        <v>15</v>
      </c>
      <c r="C2048" s="18" t="s">
        <v>4126</v>
      </c>
      <c r="D2048" s="18" t="s">
        <v>116</v>
      </c>
      <c r="E2048" s="18" t="s">
        <v>55</v>
      </c>
      <c r="F2048" s="18" t="s">
        <v>4259</v>
      </c>
      <c r="G2048" s="18" t="s">
        <v>20</v>
      </c>
      <c r="H2048" s="18" t="s">
        <v>4197</v>
      </c>
      <c r="I2048" s="20" t="s">
        <v>4260</v>
      </c>
      <c r="J2048" s="18" t="s">
        <v>58</v>
      </c>
      <c r="K2048" s="18" t="s">
        <v>24</v>
      </c>
      <c r="L2048" s="18" t="s">
        <v>25</v>
      </c>
      <c r="N2048" s="18" t="s">
        <v>26</v>
      </c>
    </row>
    <row r="2049" spans="1:14" ht="15" customHeight="1" x14ac:dyDescent="0.3">
      <c r="A2049" s="18" t="s">
        <v>4125</v>
      </c>
      <c r="B2049" s="19" t="s">
        <v>15</v>
      </c>
      <c r="C2049" s="18" t="s">
        <v>4126</v>
      </c>
      <c r="D2049" s="18" t="s">
        <v>116</v>
      </c>
      <c r="E2049" s="18" t="s">
        <v>55</v>
      </c>
      <c r="F2049" s="18" t="s">
        <v>4261</v>
      </c>
      <c r="G2049" s="18" t="s">
        <v>20</v>
      </c>
      <c r="H2049" s="18" t="s">
        <v>4197</v>
      </c>
      <c r="I2049" s="20" t="s">
        <v>4262</v>
      </c>
      <c r="J2049" s="18" t="s">
        <v>58</v>
      </c>
      <c r="K2049" s="18" t="s">
        <v>24</v>
      </c>
      <c r="L2049" s="18" t="s">
        <v>25</v>
      </c>
      <c r="N2049" s="18" t="s">
        <v>26</v>
      </c>
    </row>
    <row r="2050" spans="1:14" ht="15" customHeight="1" x14ac:dyDescent="0.3">
      <c r="A2050" s="18" t="s">
        <v>4125</v>
      </c>
      <c r="B2050" s="19" t="s">
        <v>15</v>
      </c>
      <c r="C2050" s="18" t="s">
        <v>4126</v>
      </c>
      <c r="D2050" s="18" t="s">
        <v>116</v>
      </c>
      <c r="E2050" s="18" t="s">
        <v>55</v>
      </c>
      <c r="F2050" s="18" t="s">
        <v>4263</v>
      </c>
      <c r="G2050" s="18" t="s">
        <v>41</v>
      </c>
      <c r="H2050" s="18" t="s">
        <v>4131</v>
      </c>
      <c r="I2050" s="20" t="s">
        <v>4264</v>
      </c>
      <c r="J2050" s="18" t="s">
        <v>58</v>
      </c>
      <c r="K2050" s="18" t="s">
        <v>24</v>
      </c>
      <c r="L2050" s="18" t="s">
        <v>25</v>
      </c>
      <c r="N2050" s="18" t="s">
        <v>26</v>
      </c>
    </row>
    <row r="2051" spans="1:14" ht="15" customHeight="1" x14ac:dyDescent="0.3">
      <c r="A2051" s="18" t="s">
        <v>4125</v>
      </c>
      <c r="B2051" s="19" t="s">
        <v>15</v>
      </c>
      <c r="C2051" s="18" t="s">
        <v>4126</v>
      </c>
      <c r="D2051" s="18" t="s">
        <v>116</v>
      </c>
      <c r="E2051" s="18" t="s">
        <v>55</v>
      </c>
      <c r="F2051" s="18" t="s">
        <v>1086</v>
      </c>
      <c r="G2051" s="18" t="s">
        <v>207</v>
      </c>
      <c r="H2051" s="18" t="s">
        <v>4131</v>
      </c>
      <c r="I2051" s="20" t="s">
        <v>4265</v>
      </c>
      <c r="J2051" s="18" t="s">
        <v>58</v>
      </c>
      <c r="K2051" s="18" t="s">
        <v>24</v>
      </c>
      <c r="L2051" s="18" t="s">
        <v>25</v>
      </c>
      <c r="N2051" s="18" t="s">
        <v>26</v>
      </c>
    </row>
    <row r="2052" spans="1:14" ht="15" customHeight="1" x14ac:dyDescent="0.3">
      <c r="A2052" s="18" t="s">
        <v>4125</v>
      </c>
      <c r="B2052" s="19" t="s">
        <v>15</v>
      </c>
      <c r="C2052" s="18" t="s">
        <v>4126</v>
      </c>
      <c r="D2052" s="18" t="s">
        <v>116</v>
      </c>
      <c r="E2052" s="18" t="s">
        <v>55</v>
      </c>
      <c r="F2052" s="18" t="s">
        <v>1927</v>
      </c>
      <c r="G2052" s="18" t="s">
        <v>41</v>
      </c>
      <c r="H2052" s="18" t="s">
        <v>4131</v>
      </c>
      <c r="I2052" s="20" t="s">
        <v>4266</v>
      </c>
      <c r="J2052" s="18" t="s">
        <v>58</v>
      </c>
      <c r="K2052" s="18" t="s">
        <v>24</v>
      </c>
      <c r="L2052" s="18" t="s">
        <v>25</v>
      </c>
      <c r="N2052" s="18" t="s">
        <v>26</v>
      </c>
    </row>
    <row r="2053" spans="1:14" ht="15" customHeight="1" x14ac:dyDescent="0.3">
      <c r="A2053" s="18" t="s">
        <v>4125</v>
      </c>
      <c r="B2053" s="19" t="s">
        <v>15</v>
      </c>
      <c r="C2053" s="18" t="s">
        <v>4126</v>
      </c>
      <c r="D2053" s="18" t="s">
        <v>116</v>
      </c>
      <c r="E2053" s="18" t="s">
        <v>55</v>
      </c>
      <c r="F2053" s="18" t="s">
        <v>4267</v>
      </c>
      <c r="G2053" s="18" t="s">
        <v>629</v>
      </c>
      <c r="H2053" s="18" t="s">
        <v>4131</v>
      </c>
      <c r="I2053" s="20" t="s">
        <v>4268</v>
      </c>
      <c r="J2053" s="18" t="s">
        <v>58</v>
      </c>
      <c r="K2053" s="18" t="s">
        <v>24</v>
      </c>
      <c r="L2053" s="18" t="s">
        <v>25</v>
      </c>
      <c r="M2053" s="18" t="s">
        <v>39</v>
      </c>
      <c r="N2053" s="18" t="s">
        <v>26</v>
      </c>
    </row>
    <row r="2054" spans="1:14" ht="15" customHeight="1" x14ac:dyDescent="0.3">
      <c r="A2054" s="18" t="s">
        <v>4125</v>
      </c>
      <c r="B2054" s="19" t="s">
        <v>15</v>
      </c>
      <c r="C2054" s="18" t="s">
        <v>4126</v>
      </c>
      <c r="D2054" s="18" t="s">
        <v>116</v>
      </c>
      <c r="E2054" s="18" t="s">
        <v>55</v>
      </c>
      <c r="F2054" s="18" t="s">
        <v>1577</v>
      </c>
      <c r="G2054" s="18" t="s">
        <v>41</v>
      </c>
      <c r="H2054" s="18" t="s">
        <v>4134</v>
      </c>
      <c r="I2054" s="20" t="s">
        <v>4269</v>
      </c>
      <c r="J2054" s="18" t="s">
        <v>58</v>
      </c>
      <c r="K2054" s="18" t="s">
        <v>24</v>
      </c>
      <c r="L2054" s="18" t="s">
        <v>25</v>
      </c>
      <c r="M2054" s="18" t="s">
        <v>39</v>
      </c>
      <c r="N2054" s="18" t="s">
        <v>26</v>
      </c>
    </row>
    <row r="2055" spans="1:14" ht="15" customHeight="1" x14ac:dyDescent="0.3">
      <c r="A2055" s="18" t="s">
        <v>4125</v>
      </c>
      <c r="B2055" s="19" t="s">
        <v>15</v>
      </c>
      <c r="C2055" s="18" t="s">
        <v>4126</v>
      </c>
      <c r="D2055" s="18" t="s">
        <v>116</v>
      </c>
      <c r="E2055" s="18" t="s">
        <v>55</v>
      </c>
      <c r="F2055" s="18" t="s">
        <v>4270</v>
      </c>
      <c r="G2055" s="18" t="s">
        <v>41</v>
      </c>
      <c r="H2055" s="18" t="s">
        <v>4131</v>
      </c>
      <c r="I2055" s="20" t="s">
        <v>4271</v>
      </c>
      <c r="J2055" s="18" t="s">
        <v>199</v>
      </c>
      <c r="K2055" s="18" t="s">
        <v>24</v>
      </c>
      <c r="L2055" s="18" t="s">
        <v>25</v>
      </c>
      <c r="N2055" s="18" t="s">
        <v>26</v>
      </c>
    </row>
    <row r="2056" spans="1:14" ht="15" customHeight="1" x14ac:dyDescent="0.3">
      <c r="A2056" s="18" t="s">
        <v>4125</v>
      </c>
      <c r="B2056" s="19" t="s">
        <v>15</v>
      </c>
      <c r="C2056" s="18" t="s">
        <v>4126</v>
      </c>
      <c r="D2056" s="18" t="s">
        <v>116</v>
      </c>
      <c r="E2056" s="18" t="s">
        <v>55</v>
      </c>
      <c r="F2056" s="18" t="s">
        <v>4272</v>
      </c>
      <c r="G2056" s="18" t="s">
        <v>20</v>
      </c>
      <c r="H2056" s="18" t="s">
        <v>4197</v>
      </c>
      <c r="I2056" s="20" t="s">
        <v>4273</v>
      </c>
      <c r="J2056" s="18" t="s">
        <v>73</v>
      </c>
      <c r="K2056" s="18" t="s">
        <v>24</v>
      </c>
      <c r="L2056" s="18" t="s">
        <v>25</v>
      </c>
      <c r="N2056" s="18" t="s">
        <v>26</v>
      </c>
    </row>
    <row r="2057" spans="1:14" ht="15" customHeight="1" x14ac:dyDescent="0.3">
      <c r="A2057" s="18" t="s">
        <v>4125</v>
      </c>
      <c r="B2057" s="19" t="s">
        <v>15</v>
      </c>
      <c r="C2057" s="18" t="s">
        <v>4126</v>
      </c>
      <c r="D2057" s="18" t="s">
        <v>116</v>
      </c>
      <c r="E2057" s="18" t="s">
        <v>55</v>
      </c>
      <c r="F2057" s="18" t="s">
        <v>826</v>
      </c>
      <c r="G2057" s="18" t="s">
        <v>826</v>
      </c>
      <c r="H2057" s="18" t="s">
        <v>4134</v>
      </c>
      <c r="I2057" s="20" t="s">
        <v>4274</v>
      </c>
      <c r="J2057" s="18" t="s">
        <v>58</v>
      </c>
      <c r="K2057" s="18" t="s">
        <v>24</v>
      </c>
      <c r="L2057" s="18" t="s">
        <v>25</v>
      </c>
      <c r="N2057" s="18" t="s">
        <v>26</v>
      </c>
    </row>
    <row r="2058" spans="1:14" ht="15" customHeight="1" x14ac:dyDescent="0.3">
      <c r="A2058" s="18" t="s">
        <v>4125</v>
      </c>
      <c r="B2058" s="19" t="s">
        <v>15</v>
      </c>
      <c r="C2058" s="18" t="s">
        <v>4126</v>
      </c>
      <c r="D2058" s="18" t="s">
        <v>116</v>
      </c>
      <c r="E2058" s="18" t="s">
        <v>55</v>
      </c>
      <c r="F2058" s="18" t="s">
        <v>778</v>
      </c>
      <c r="G2058" s="18" t="s">
        <v>20</v>
      </c>
      <c r="H2058" s="18" t="s">
        <v>4197</v>
      </c>
      <c r="I2058" s="20" t="s">
        <v>4275</v>
      </c>
      <c r="J2058" s="18" t="s">
        <v>73</v>
      </c>
      <c r="K2058" s="18" t="s">
        <v>24</v>
      </c>
      <c r="L2058" s="18" t="s">
        <v>25</v>
      </c>
      <c r="N2058" s="18" t="s">
        <v>26</v>
      </c>
    </row>
    <row r="2059" spans="1:14" ht="15" customHeight="1" x14ac:dyDescent="0.3">
      <c r="A2059" s="18" t="s">
        <v>4125</v>
      </c>
      <c r="B2059" s="19" t="s">
        <v>15</v>
      </c>
      <c r="C2059" s="18" t="s">
        <v>4126</v>
      </c>
      <c r="D2059" s="18" t="s">
        <v>116</v>
      </c>
      <c r="E2059" s="18" t="s">
        <v>74</v>
      </c>
      <c r="F2059" s="18" t="s">
        <v>4276</v>
      </c>
      <c r="G2059" s="18" t="s">
        <v>85</v>
      </c>
      <c r="H2059" s="18" t="s">
        <v>4277</v>
      </c>
      <c r="I2059" s="20" t="s">
        <v>4278</v>
      </c>
      <c r="J2059" s="18" t="s">
        <v>199</v>
      </c>
      <c r="K2059" s="18" t="s">
        <v>24</v>
      </c>
      <c r="L2059" s="18" t="s">
        <v>25</v>
      </c>
      <c r="N2059" s="18" t="s">
        <v>26</v>
      </c>
    </row>
    <row r="2060" spans="1:14" ht="15" customHeight="1" x14ac:dyDescent="0.3">
      <c r="A2060" s="18" t="s">
        <v>4125</v>
      </c>
      <c r="B2060" s="19" t="s">
        <v>15</v>
      </c>
      <c r="C2060" s="18" t="s">
        <v>4126</v>
      </c>
      <c r="D2060" s="18" t="s">
        <v>116</v>
      </c>
      <c r="E2060" s="18" t="s">
        <v>74</v>
      </c>
      <c r="F2060" s="18" t="s">
        <v>4279</v>
      </c>
      <c r="G2060" s="18" t="s">
        <v>85</v>
      </c>
      <c r="H2060" s="18" t="s">
        <v>4277</v>
      </c>
      <c r="I2060" s="20" t="s">
        <v>4280</v>
      </c>
      <c r="J2060" s="18" t="s">
        <v>832</v>
      </c>
      <c r="K2060" s="18" t="s">
        <v>24</v>
      </c>
      <c r="L2060" s="18" t="s">
        <v>25</v>
      </c>
      <c r="N2060" s="18" t="s">
        <v>26</v>
      </c>
    </row>
    <row r="2061" spans="1:14" ht="15" customHeight="1" x14ac:dyDescent="0.3">
      <c r="A2061" s="18" t="s">
        <v>4125</v>
      </c>
      <c r="B2061" s="19" t="s">
        <v>15</v>
      </c>
      <c r="C2061" s="18" t="s">
        <v>4126</v>
      </c>
      <c r="D2061" s="18" t="s">
        <v>116</v>
      </c>
      <c r="E2061" s="18" t="s">
        <v>74</v>
      </c>
      <c r="F2061" s="18" t="s">
        <v>4281</v>
      </c>
      <c r="G2061" s="18" t="s">
        <v>51</v>
      </c>
      <c r="H2061" s="18" t="s">
        <v>4282</v>
      </c>
      <c r="I2061" s="20" t="s">
        <v>4283</v>
      </c>
      <c r="J2061" s="18" t="s">
        <v>832</v>
      </c>
      <c r="K2061" s="18" t="s">
        <v>24</v>
      </c>
      <c r="L2061" s="18" t="s">
        <v>25</v>
      </c>
      <c r="N2061" s="18" t="s">
        <v>26</v>
      </c>
    </row>
    <row r="2062" spans="1:14" ht="15" customHeight="1" x14ac:dyDescent="0.3">
      <c r="A2062" s="18" t="s">
        <v>4125</v>
      </c>
      <c r="B2062" s="19" t="s">
        <v>15</v>
      </c>
      <c r="C2062" s="18" t="s">
        <v>4126</v>
      </c>
      <c r="D2062" s="18" t="s">
        <v>116</v>
      </c>
      <c r="E2062" s="18" t="s">
        <v>74</v>
      </c>
      <c r="F2062" s="18" t="s">
        <v>2941</v>
      </c>
      <c r="G2062" s="18" t="s">
        <v>273</v>
      </c>
      <c r="H2062" s="18" t="s">
        <v>4284</v>
      </c>
      <c r="I2062" s="20" t="s">
        <v>4285</v>
      </c>
      <c r="J2062" s="18" t="s">
        <v>3364</v>
      </c>
      <c r="K2062" s="18" t="s">
        <v>24</v>
      </c>
      <c r="L2062" s="18" t="s">
        <v>25</v>
      </c>
      <c r="N2062" s="18" t="s">
        <v>26</v>
      </c>
    </row>
    <row r="2063" spans="1:14" ht="15" customHeight="1" x14ac:dyDescent="0.3">
      <c r="A2063" s="18" t="s">
        <v>4125</v>
      </c>
      <c r="B2063" s="19" t="s">
        <v>15</v>
      </c>
      <c r="C2063" s="18" t="s">
        <v>4126</v>
      </c>
      <c r="D2063" s="18" t="s">
        <v>116</v>
      </c>
      <c r="E2063" s="18" t="s">
        <v>74</v>
      </c>
      <c r="F2063" s="18" t="s">
        <v>4286</v>
      </c>
      <c r="G2063" s="18" t="s">
        <v>51</v>
      </c>
      <c r="H2063" s="18" t="s">
        <v>4277</v>
      </c>
      <c r="I2063" s="20" t="s">
        <v>4287</v>
      </c>
      <c r="J2063" s="18" t="s">
        <v>832</v>
      </c>
      <c r="K2063" s="18" t="s">
        <v>24</v>
      </c>
      <c r="L2063" s="18" t="s">
        <v>25</v>
      </c>
      <c r="N2063" s="18" t="s">
        <v>26</v>
      </c>
    </row>
    <row r="2064" spans="1:14" ht="15" customHeight="1" x14ac:dyDescent="0.3">
      <c r="A2064" s="18" t="s">
        <v>4125</v>
      </c>
      <c r="B2064" s="19" t="s">
        <v>15</v>
      </c>
      <c r="C2064" s="18" t="s">
        <v>4126</v>
      </c>
      <c r="D2064" s="18" t="s">
        <v>116</v>
      </c>
      <c r="E2064" s="18" t="s">
        <v>74</v>
      </c>
      <c r="F2064" s="18" t="s">
        <v>4288</v>
      </c>
      <c r="G2064" s="18" t="s">
        <v>41</v>
      </c>
      <c r="H2064" s="18" t="s">
        <v>4277</v>
      </c>
      <c r="I2064" s="20" t="s">
        <v>4289</v>
      </c>
      <c r="J2064" s="18" t="s">
        <v>832</v>
      </c>
      <c r="K2064" s="18" t="s">
        <v>24</v>
      </c>
      <c r="L2064" s="18" t="s">
        <v>25</v>
      </c>
      <c r="N2064" s="18" t="s">
        <v>26</v>
      </c>
    </row>
    <row r="2065" spans="1:14" ht="15" customHeight="1" x14ac:dyDescent="0.3">
      <c r="A2065" s="18" t="s">
        <v>4125</v>
      </c>
      <c r="B2065" s="19" t="s">
        <v>15</v>
      </c>
      <c r="C2065" s="18" t="s">
        <v>4126</v>
      </c>
      <c r="D2065" s="18" t="s">
        <v>116</v>
      </c>
      <c r="E2065" s="18" t="s">
        <v>74</v>
      </c>
      <c r="F2065" s="18" t="s">
        <v>4290</v>
      </c>
      <c r="G2065" s="18" t="s">
        <v>41</v>
      </c>
      <c r="H2065" s="18" t="s">
        <v>4277</v>
      </c>
      <c r="I2065" s="20" t="s">
        <v>4291</v>
      </c>
      <c r="J2065" s="18" t="s">
        <v>4292</v>
      </c>
      <c r="K2065" s="18" t="s">
        <v>91</v>
      </c>
      <c r="L2065" s="18" t="s">
        <v>25</v>
      </c>
      <c r="N2065" s="18" t="s">
        <v>26</v>
      </c>
    </row>
    <row r="2066" spans="1:14" ht="15" customHeight="1" x14ac:dyDescent="0.3">
      <c r="A2066" s="18" t="s">
        <v>4125</v>
      </c>
      <c r="B2066" s="19" t="s">
        <v>15</v>
      </c>
      <c r="C2066" s="18" t="s">
        <v>4126</v>
      </c>
      <c r="D2066" s="18" t="s">
        <v>116</v>
      </c>
      <c r="E2066" s="18" t="s">
        <v>74</v>
      </c>
      <c r="F2066" s="18" t="s">
        <v>4293</v>
      </c>
      <c r="G2066" s="18" t="s">
        <v>536</v>
      </c>
      <c r="H2066" s="18" t="s">
        <v>4277</v>
      </c>
      <c r="I2066" s="20" t="s">
        <v>4294</v>
      </c>
      <c r="J2066" s="18" t="s">
        <v>832</v>
      </c>
      <c r="K2066" s="18" t="s">
        <v>24</v>
      </c>
      <c r="L2066" s="18" t="s">
        <v>25</v>
      </c>
      <c r="N2066" s="18" t="s">
        <v>26</v>
      </c>
    </row>
    <row r="2067" spans="1:14" ht="15" customHeight="1" x14ac:dyDescent="0.3">
      <c r="A2067" s="18" t="s">
        <v>4295</v>
      </c>
      <c r="B2067" s="19" t="s">
        <v>15</v>
      </c>
      <c r="C2067" s="18" t="s">
        <v>4296</v>
      </c>
      <c r="D2067" s="18" t="s">
        <v>116</v>
      </c>
      <c r="E2067" s="18" t="s">
        <v>117</v>
      </c>
      <c r="F2067" s="18" t="s">
        <v>4297</v>
      </c>
      <c r="G2067" s="18" t="s">
        <v>47</v>
      </c>
      <c r="H2067" s="18" t="s">
        <v>4298</v>
      </c>
      <c r="I2067" s="20" t="s">
        <v>4299</v>
      </c>
      <c r="J2067" s="18" t="s">
        <v>58</v>
      </c>
      <c r="K2067" s="18" t="s">
        <v>24</v>
      </c>
      <c r="L2067" s="18" t="s">
        <v>25</v>
      </c>
      <c r="N2067" s="18" t="s">
        <v>973</v>
      </c>
    </row>
    <row r="2068" spans="1:14" ht="15" customHeight="1" x14ac:dyDescent="0.3">
      <c r="A2068" s="18" t="s">
        <v>4295</v>
      </c>
      <c r="B2068" s="19" t="s">
        <v>15</v>
      </c>
      <c r="C2068" s="18" t="s">
        <v>4296</v>
      </c>
      <c r="D2068" s="18" t="s">
        <v>116</v>
      </c>
      <c r="E2068" s="18" t="s">
        <v>117</v>
      </c>
      <c r="F2068" s="18" t="s">
        <v>4300</v>
      </c>
      <c r="G2068" s="18" t="s">
        <v>47</v>
      </c>
      <c r="H2068" s="18" t="s">
        <v>4301</v>
      </c>
      <c r="I2068" s="20" t="s">
        <v>4302</v>
      </c>
      <c r="J2068" s="18" t="s">
        <v>58</v>
      </c>
      <c r="K2068" s="18" t="s">
        <v>24</v>
      </c>
      <c r="L2068" s="18" t="s">
        <v>25</v>
      </c>
      <c r="N2068" s="18" t="s">
        <v>973</v>
      </c>
    </row>
    <row r="2069" spans="1:14" ht="15" customHeight="1" x14ac:dyDescent="0.3">
      <c r="A2069" s="18" t="s">
        <v>4295</v>
      </c>
      <c r="B2069" s="19" t="s">
        <v>15</v>
      </c>
      <c r="C2069" s="18" t="s">
        <v>4303</v>
      </c>
      <c r="D2069" s="18" t="s">
        <v>116</v>
      </c>
      <c r="E2069" s="18" t="s">
        <v>117</v>
      </c>
      <c r="F2069" s="18" t="s">
        <v>765</v>
      </c>
      <c r="G2069" s="18" t="s">
        <v>429</v>
      </c>
      <c r="H2069" s="18" t="s">
        <v>4304</v>
      </c>
      <c r="I2069" s="20" t="s">
        <v>4305</v>
      </c>
      <c r="J2069" s="18" t="s">
        <v>58</v>
      </c>
      <c r="K2069" s="18" t="s">
        <v>24</v>
      </c>
      <c r="L2069" s="18" t="s">
        <v>25</v>
      </c>
      <c r="N2069" s="18" t="s">
        <v>807</v>
      </c>
    </row>
    <row r="2070" spans="1:14" ht="15" customHeight="1" x14ac:dyDescent="0.3">
      <c r="A2070" s="18" t="s">
        <v>4295</v>
      </c>
      <c r="B2070" s="19" t="s">
        <v>15</v>
      </c>
      <c r="C2070" s="18" t="s">
        <v>4303</v>
      </c>
      <c r="D2070" s="18" t="s">
        <v>116</v>
      </c>
      <c r="E2070" s="18" t="s">
        <v>117</v>
      </c>
      <c r="F2070" s="18" t="s">
        <v>4306</v>
      </c>
      <c r="G2070" s="18" t="s">
        <v>28</v>
      </c>
      <c r="H2070" s="18" t="s">
        <v>4307</v>
      </c>
      <c r="I2070" s="20" t="s">
        <v>4308</v>
      </c>
      <c r="J2070" s="18" t="s">
        <v>58</v>
      </c>
      <c r="K2070" s="18" t="s">
        <v>24</v>
      </c>
      <c r="L2070" s="18" t="s">
        <v>25</v>
      </c>
      <c r="N2070" s="18" t="s">
        <v>807</v>
      </c>
    </row>
    <row r="2071" spans="1:14" ht="15" customHeight="1" x14ac:dyDescent="0.3">
      <c r="A2071" s="18" t="s">
        <v>4295</v>
      </c>
      <c r="B2071" s="19" t="s">
        <v>15</v>
      </c>
      <c r="C2071" s="18" t="s">
        <v>4296</v>
      </c>
      <c r="D2071" s="18" t="s">
        <v>116</v>
      </c>
      <c r="E2071" s="18" t="s">
        <v>117</v>
      </c>
      <c r="F2071" s="18" t="s">
        <v>4309</v>
      </c>
      <c r="G2071" s="18" t="s">
        <v>160</v>
      </c>
      <c r="H2071" s="18" t="s">
        <v>4301</v>
      </c>
      <c r="I2071" s="20" t="s">
        <v>4310</v>
      </c>
      <c r="J2071" s="18" t="s">
        <v>58</v>
      </c>
      <c r="K2071" s="18" t="s">
        <v>24</v>
      </c>
      <c r="L2071" s="18" t="s">
        <v>25</v>
      </c>
      <c r="N2071" s="18" t="s">
        <v>973</v>
      </c>
    </row>
    <row r="2072" spans="1:14" ht="15" customHeight="1" x14ac:dyDescent="0.3">
      <c r="A2072" s="18" t="s">
        <v>4295</v>
      </c>
      <c r="B2072" s="19" t="s">
        <v>15</v>
      </c>
      <c r="C2072" s="18" t="s">
        <v>4303</v>
      </c>
      <c r="D2072" s="18" t="s">
        <v>116</v>
      </c>
      <c r="E2072" s="18" t="s">
        <v>117</v>
      </c>
      <c r="F2072" s="18" t="s">
        <v>1717</v>
      </c>
      <c r="G2072" s="18" t="s">
        <v>1075</v>
      </c>
      <c r="H2072" s="18" t="s">
        <v>4307</v>
      </c>
      <c r="I2072" s="20" t="s">
        <v>4311</v>
      </c>
      <c r="J2072" s="18" t="s">
        <v>58</v>
      </c>
      <c r="K2072" s="18" t="s">
        <v>24</v>
      </c>
      <c r="L2072" s="18" t="s">
        <v>25</v>
      </c>
      <c r="N2072" s="18" t="s">
        <v>807</v>
      </c>
    </row>
    <row r="2073" spans="1:14" ht="15" customHeight="1" x14ac:dyDescent="0.3">
      <c r="A2073" s="18" t="s">
        <v>4295</v>
      </c>
      <c r="B2073" s="19" t="s">
        <v>15</v>
      </c>
      <c r="C2073" s="18" t="s">
        <v>4303</v>
      </c>
      <c r="D2073" s="18" t="s">
        <v>116</v>
      </c>
      <c r="E2073" s="18" t="s">
        <v>117</v>
      </c>
      <c r="F2073" s="18" t="s">
        <v>4312</v>
      </c>
      <c r="G2073" s="18" t="s">
        <v>212</v>
      </c>
      <c r="H2073" s="18" t="s">
        <v>4307</v>
      </c>
      <c r="I2073" s="20" t="s">
        <v>4313</v>
      </c>
      <c r="J2073" s="18" t="s">
        <v>58</v>
      </c>
      <c r="K2073" s="18" t="s">
        <v>24</v>
      </c>
      <c r="L2073" s="18" t="s">
        <v>25</v>
      </c>
      <c r="N2073" s="18" t="s">
        <v>807</v>
      </c>
    </row>
    <row r="2074" spans="1:14" ht="15" customHeight="1" x14ac:dyDescent="0.3">
      <c r="A2074" s="18" t="s">
        <v>4295</v>
      </c>
      <c r="B2074" s="19" t="s">
        <v>15</v>
      </c>
      <c r="C2074" s="18" t="s">
        <v>4303</v>
      </c>
      <c r="D2074" s="18" t="s">
        <v>116</v>
      </c>
      <c r="E2074" s="18" t="s">
        <v>117</v>
      </c>
      <c r="F2074" s="18" t="s">
        <v>211</v>
      </c>
      <c r="G2074" s="18" t="s">
        <v>212</v>
      </c>
      <c r="H2074" s="18" t="s">
        <v>4307</v>
      </c>
      <c r="I2074" s="20" t="s">
        <v>4314</v>
      </c>
      <c r="J2074" s="18" t="s">
        <v>58</v>
      </c>
      <c r="K2074" s="18" t="s">
        <v>24</v>
      </c>
      <c r="L2074" s="18" t="s">
        <v>25</v>
      </c>
      <c r="N2074" s="18" t="s">
        <v>807</v>
      </c>
    </row>
    <row r="2075" spans="1:14" ht="15" customHeight="1" x14ac:dyDescent="0.3">
      <c r="A2075" s="18" t="s">
        <v>4295</v>
      </c>
      <c r="B2075" s="19" t="s">
        <v>15</v>
      </c>
      <c r="C2075" s="18" t="s">
        <v>4303</v>
      </c>
      <c r="D2075" s="18" t="s">
        <v>116</v>
      </c>
      <c r="E2075" s="18" t="s">
        <v>117</v>
      </c>
      <c r="F2075" s="18" t="s">
        <v>1299</v>
      </c>
      <c r="G2075" s="18" t="s">
        <v>212</v>
      </c>
      <c r="H2075" s="18" t="s">
        <v>4307</v>
      </c>
      <c r="I2075" s="20" t="s">
        <v>4315</v>
      </c>
      <c r="J2075" s="18" t="s">
        <v>58</v>
      </c>
      <c r="K2075" s="18" t="s">
        <v>24</v>
      </c>
      <c r="L2075" s="18" t="s">
        <v>25</v>
      </c>
      <c r="N2075" s="18" t="s">
        <v>807</v>
      </c>
    </row>
    <row r="2076" spans="1:14" ht="15" customHeight="1" x14ac:dyDescent="0.3">
      <c r="A2076" s="18" t="s">
        <v>4295</v>
      </c>
      <c r="B2076" s="19" t="s">
        <v>15</v>
      </c>
      <c r="C2076" s="18" t="s">
        <v>4303</v>
      </c>
      <c r="D2076" s="18" t="s">
        <v>116</v>
      </c>
      <c r="E2076" s="18" t="s">
        <v>117</v>
      </c>
      <c r="F2076" s="18" t="s">
        <v>85</v>
      </c>
      <c r="G2076" s="18" t="s">
        <v>85</v>
      </c>
      <c r="H2076" s="18" t="s">
        <v>4316</v>
      </c>
      <c r="I2076" s="20" t="s">
        <v>4317</v>
      </c>
      <c r="J2076" s="18" t="s">
        <v>58</v>
      </c>
      <c r="K2076" s="18" t="s">
        <v>24</v>
      </c>
      <c r="L2076" s="18" t="s">
        <v>25</v>
      </c>
      <c r="N2076" s="18" t="s">
        <v>807</v>
      </c>
    </row>
    <row r="2077" spans="1:14" ht="15" customHeight="1" x14ac:dyDescent="0.3">
      <c r="A2077" s="18" t="s">
        <v>4295</v>
      </c>
      <c r="B2077" s="19" t="s">
        <v>15</v>
      </c>
      <c r="C2077" s="18" t="s">
        <v>4303</v>
      </c>
      <c r="D2077" s="18" t="s">
        <v>116</v>
      </c>
      <c r="E2077" s="18" t="s">
        <v>117</v>
      </c>
      <c r="F2077" s="18" t="s">
        <v>1434</v>
      </c>
      <c r="G2077" s="18" t="s">
        <v>85</v>
      </c>
      <c r="H2077" s="18" t="s">
        <v>4318</v>
      </c>
      <c r="I2077" s="20" t="s">
        <v>4319</v>
      </c>
      <c r="J2077" s="18" t="s">
        <v>58</v>
      </c>
      <c r="K2077" s="18" t="s">
        <v>24</v>
      </c>
      <c r="L2077" s="18" t="s">
        <v>25</v>
      </c>
      <c r="N2077" s="18" t="s">
        <v>807</v>
      </c>
    </row>
    <row r="2078" spans="1:14" ht="15" customHeight="1" x14ac:dyDescent="0.3">
      <c r="A2078" s="18" t="s">
        <v>4295</v>
      </c>
      <c r="B2078" s="19" t="s">
        <v>15</v>
      </c>
      <c r="C2078" s="18" t="s">
        <v>4303</v>
      </c>
      <c r="D2078" s="18" t="s">
        <v>116</v>
      </c>
      <c r="E2078" s="18" t="s">
        <v>117</v>
      </c>
      <c r="F2078" s="18" t="s">
        <v>4320</v>
      </c>
      <c r="G2078" s="18" t="s">
        <v>28</v>
      </c>
      <c r="H2078" s="18" t="s">
        <v>4307</v>
      </c>
      <c r="I2078" s="20" t="s">
        <v>4321</v>
      </c>
      <c r="J2078" s="18" t="s">
        <v>58</v>
      </c>
      <c r="K2078" s="18" t="s">
        <v>24</v>
      </c>
      <c r="L2078" s="18" t="s">
        <v>25</v>
      </c>
      <c r="N2078" s="18" t="s">
        <v>807</v>
      </c>
    </row>
    <row r="2079" spans="1:14" ht="15" customHeight="1" x14ac:dyDescent="0.3">
      <c r="A2079" s="18" t="s">
        <v>4295</v>
      </c>
      <c r="B2079" s="19" t="s">
        <v>15</v>
      </c>
      <c r="C2079" s="18" t="s">
        <v>4296</v>
      </c>
      <c r="D2079" s="18" t="s">
        <v>116</v>
      </c>
      <c r="E2079" s="18" t="s">
        <v>117</v>
      </c>
      <c r="F2079" s="18" t="s">
        <v>4322</v>
      </c>
      <c r="G2079" s="18" t="s">
        <v>35</v>
      </c>
      <c r="H2079" s="18" t="s">
        <v>4301</v>
      </c>
      <c r="I2079" s="20" t="s">
        <v>4323</v>
      </c>
      <c r="J2079" s="18" t="s">
        <v>58</v>
      </c>
      <c r="K2079" s="18" t="s">
        <v>24</v>
      </c>
      <c r="L2079" s="18" t="s">
        <v>25</v>
      </c>
      <c r="N2079" s="18" t="s">
        <v>973</v>
      </c>
    </row>
    <row r="2080" spans="1:14" ht="15" customHeight="1" x14ac:dyDescent="0.3">
      <c r="A2080" s="18" t="s">
        <v>4295</v>
      </c>
      <c r="B2080" s="19" t="s">
        <v>15</v>
      </c>
      <c r="C2080" s="18" t="s">
        <v>4296</v>
      </c>
      <c r="D2080" s="18" t="s">
        <v>116</v>
      </c>
      <c r="E2080" s="18" t="s">
        <v>117</v>
      </c>
      <c r="F2080" s="18" t="s">
        <v>3244</v>
      </c>
      <c r="G2080" s="18" t="s">
        <v>47</v>
      </c>
      <c r="H2080" s="18" t="s">
        <v>4301</v>
      </c>
      <c r="I2080" s="20" t="s">
        <v>4324</v>
      </c>
      <c r="J2080" s="18" t="s">
        <v>58</v>
      </c>
      <c r="K2080" s="18" t="s">
        <v>24</v>
      </c>
      <c r="L2080" s="18" t="s">
        <v>25</v>
      </c>
      <c r="N2080" s="18" t="s">
        <v>973</v>
      </c>
    </row>
    <row r="2081" spans="1:14" ht="15" customHeight="1" x14ac:dyDescent="0.3">
      <c r="A2081" s="18" t="s">
        <v>4295</v>
      </c>
      <c r="B2081" s="19" t="s">
        <v>15</v>
      </c>
      <c r="C2081" s="18" t="s">
        <v>4303</v>
      </c>
      <c r="D2081" s="18" t="s">
        <v>116</v>
      </c>
      <c r="E2081" s="18" t="s">
        <v>117</v>
      </c>
      <c r="F2081" s="18" t="s">
        <v>4325</v>
      </c>
      <c r="G2081" s="18" t="s">
        <v>28</v>
      </c>
      <c r="H2081" s="18" t="s">
        <v>4307</v>
      </c>
      <c r="I2081" s="20" t="s">
        <v>4326</v>
      </c>
      <c r="J2081" s="18" t="s">
        <v>58</v>
      </c>
      <c r="K2081" s="18" t="s">
        <v>24</v>
      </c>
      <c r="L2081" s="18" t="s">
        <v>25</v>
      </c>
      <c r="N2081" s="18" t="s">
        <v>807</v>
      </c>
    </row>
    <row r="2082" spans="1:14" ht="15" customHeight="1" x14ac:dyDescent="0.3">
      <c r="A2082" s="18" t="s">
        <v>4295</v>
      </c>
      <c r="B2082" s="19" t="s">
        <v>15</v>
      </c>
      <c r="C2082" s="18" t="s">
        <v>4296</v>
      </c>
      <c r="D2082" s="18" t="s">
        <v>116</v>
      </c>
      <c r="E2082" s="18" t="s">
        <v>117</v>
      </c>
      <c r="F2082" s="18" t="s">
        <v>4327</v>
      </c>
      <c r="G2082" s="18" t="s">
        <v>28</v>
      </c>
      <c r="H2082" s="18" t="s">
        <v>4301</v>
      </c>
      <c r="I2082" s="20" t="s">
        <v>4328</v>
      </c>
      <c r="J2082" s="18" t="s">
        <v>58</v>
      </c>
      <c r="K2082" s="18" t="s">
        <v>24</v>
      </c>
      <c r="L2082" s="18" t="s">
        <v>25</v>
      </c>
      <c r="N2082" s="18" t="s">
        <v>973</v>
      </c>
    </row>
    <row r="2083" spans="1:14" ht="15" customHeight="1" x14ac:dyDescent="0.3">
      <c r="A2083" s="18" t="s">
        <v>4295</v>
      </c>
      <c r="B2083" s="19" t="s">
        <v>15</v>
      </c>
      <c r="C2083" s="18" t="s">
        <v>4303</v>
      </c>
      <c r="D2083" s="18" t="s">
        <v>116</v>
      </c>
      <c r="E2083" s="18" t="s">
        <v>117</v>
      </c>
      <c r="F2083" s="18" t="s">
        <v>2506</v>
      </c>
      <c r="G2083" s="18" t="s">
        <v>1204</v>
      </c>
      <c r="H2083" s="18" t="s">
        <v>4307</v>
      </c>
      <c r="I2083" s="20" t="s">
        <v>4329</v>
      </c>
      <c r="J2083" s="18" t="s">
        <v>58</v>
      </c>
      <c r="K2083" s="18" t="s">
        <v>24</v>
      </c>
      <c r="L2083" s="18" t="s">
        <v>25</v>
      </c>
      <c r="N2083" s="18" t="s">
        <v>807</v>
      </c>
    </row>
    <row r="2084" spans="1:14" ht="15" customHeight="1" x14ac:dyDescent="0.3">
      <c r="A2084" s="18" t="s">
        <v>4295</v>
      </c>
      <c r="B2084" s="19" t="s">
        <v>15</v>
      </c>
      <c r="C2084" s="18" t="s">
        <v>4303</v>
      </c>
      <c r="D2084" s="18" t="s">
        <v>116</v>
      </c>
      <c r="E2084" s="18" t="s">
        <v>117</v>
      </c>
      <c r="F2084" s="18" t="s">
        <v>1439</v>
      </c>
      <c r="G2084" s="18" t="s">
        <v>41</v>
      </c>
      <c r="H2084" s="18" t="s">
        <v>4318</v>
      </c>
      <c r="I2084" s="20" t="s">
        <v>4330</v>
      </c>
      <c r="J2084" s="18" t="s">
        <v>58</v>
      </c>
      <c r="K2084" s="18" t="s">
        <v>24</v>
      </c>
      <c r="L2084" s="18" t="s">
        <v>25</v>
      </c>
      <c r="N2084" s="18" t="s">
        <v>807</v>
      </c>
    </row>
    <row r="2085" spans="1:14" ht="15" customHeight="1" x14ac:dyDescent="0.3">
      <c r="A2085" s="18" t="s">
        <v>4295</v>
      </c>
      <c r="B2085" s="19" t="s">
        <v>15</v>
      </c>
      <c r="C2085" s="18" t="s">
        <v>4303</v>
      </c>
      <c r="D2085" s="18" t="s">
        <v>116</v>
      </c>
      <c r="E2085" s="18" t="s">
        <v>117</v>
      </c>
      <c r="F2085" s="18" t="s">
        <v>1920</v>
      </c>
      <c r="G2085" s="18" t="s">
        <v>219</v>
      </c>
      <c r="H2085" s="18" t="s">
        <v>4318</v>
      </c>
      <c r="I2085" s="20" t="s">
        <v>4331</v>
      </c>
      <c r="J2085" s="18" t="s">
        <v>58</v>
      </c>
      <c r="K2085" s="18" t="s">
        <v>24</v>
      </c>
      <c r="L2085" s="18" t="s">
        <v>25</v>
      </c>
      <c r="N2085" s="18" t="s">
        <v>807</v>
      </c>
    </row>
    <row r="2086" spans="1:14" ht="15" customHeight="1" x14ac:dyDescent="0.3">
      <c r="A2086" s="18" t="s">
        <v>4295</v>
      </c>
      <c r="B2086" s="19" t="s">
        <v>15</v>
      </c>
      <c r="C2086" s="18" t="s">
        <v>4303</v>
      </c>
      <c r="D2086" s="18" t="s">
        <v>116</v>
      </c>
      <c r="E2086" s="18" t="s">
        <v>117</v>
      </c>
      <c r="F2086" s="18" t="s">
        <v>4332</v>
      </c>
      <c r="G2086" s="18" t="s">
        <v>41</v>
      </c>
      <c r="H2086" s="18" t="s">
        <v>4318</v>
      </c>
      <c r="I2086" s="20" t="s">
        <v>4333</v>
      </c>
      <c r="J2086" s="18" t="s">
        <v>58</v>
      </c>
      <c r="K2086" s="18" t="s">
        <v>24</v>
      </c>
      <c r="L2086" s="18" t="s">
        <v>25</v>
      </c>
      <c r="N2086" s="18" t="s">
        <v>807</v>
      </c>
    </row>
    <row r="2087" spans="1:14" ht="15" customHeight="1" x14ac:dyDescent="0.3">
      <c r="A2087" s="18" t="s">
        <v>4295</v>
      </c>
      <c r="B2087" s="19" t="s">
        <v>15</v>
      </c>
      <c r="C2087" s="18" t="s">
        <v>4303</v>
      </c>
      <c r="D2087" s="18" t="s">
        <v>116</v>
      </c>
      <c r="E2087" s="18" t="s">
        <v>117</v>
      </c>
      <c r="F2087" s="18" t="s">
        <v>2228</v>
      </c>
      <c r="G2087" s="18" t="s">
        <v>536</v>
      </c>
      <c r="H2087" s="18" t="s">
        <v>4318</v>
      </c>
      <c r="I2087" s="20" t="s">
        <v>4334</v>
      </c>
      <c r="J2087" s="18" t="s">
        <v>58</v>
      </c>
      <c r="K2087" s="18" t="s">
        <v>24</v>
      </c>
      <c r="L2087" s="18" t="s">
        <v>25</v>
      </c>
      <c r="N2087" s="18" t="s">
        <v>807</v>
      </c>
    </row>
    <row r="2088" spans="1:14" ht="15" customHeight="1" x14ac:dyDescent="0.3">
      <c r="A2088" s="18" t="s">
        <v>4295</v>
      </c>
      <c r="B2088" s="19" t="s">
        <v>15</v>
      </c>
      <c r="C2088" s="18" t="s">
        <v>4303</v>
      </c>
      <c r="D2088" s="18" t="s">
        <v>116</v>
      </c>
      <c r="E2088" s="18" t="s">
        <v>117</v>
      </c>
      <c r="F2088" s="18" t="s">
        <v>4335</v>
      </c>
      <c r="G2088" s="18" t="s">
        <v>28</v>
      </c>
      <c r="H2088" s="18" t="s">
        <v>4307</v>
      </c>
      <c r="I2088" s="20" t="s">
        <v>4336</v>
      </c>
      <c r="J2088" s="18" t="s">
        <v>58</v>
      </c>
      <c r="K2088" s="18" t="s">
        <v>24</v>
      </c>
      <c r="L2088" s="18" t="s">
        <v>25</v>
      </c>
      <c r="N2088" s="18" t="s">
        <v>807</v>
      </c>
    </row>
    <row r="2089" spans="1:14" ht="15" customHeight="1" x14ac:dyDescent="0.3">
      <c r="A2089" s="18" t="s">
        <v>4295</v>
      </c>
      <c r="B2089" s="19" t="s">
        <v>15</v>
      </c>
      <c r="C2089" s="18" t="s">
        <v>4296</v>
      </c>
      <c r="D2089" s="18" t="s">
        <v>116</v>
      </c>
      <c r="E2089" s="18" t="s">
        <v>117</v>
      </c>
      <c r="F2089" s="18" t="s">
        <v>1587</v>
      </c>
      <c r="G2089" s="18" t="s">
        <v>47</v>
      </c>
      <c r="H2089" s="18" t="s">
        <v>4301</v>
      </c>
      <c r="I2089" s="20" t="s">
        <v>4337</v>
      </c>
      <c r="J2089" s="18" t="s">
        <v>58</v>
      </c>
      <c r="K2089" s="18" t="s">
        <v>24</v>
      </c>
      <c r="L2089" s="18" t="s">
        <v>25</v>
      </c>
      <c r="N2089" s="18" t="s">
        <v>973</v>
      </c>
    </row>
    <row r="2090" spans="1:14" ht="15" customHeight="1" x14ac:dyDescent="0.3">
      <c r="A2090" s="18" t="s">
        <v>4295</v>
      </c>
      <c r="B2090" s="19" t="s">
        <v>15</v>
      </c>
      <c r="C2090" s="18" t="s">
        <v>4303</v>
      </c>
      <c r="D2090" s="18" t="s">
        <v>116</v>
      </c>
      <c r="E2090" s="18" t="s">
        <v>117</v>
      </c>
      <c r="F2090" s="18" t="s">
        <v>1577</v>
      </c>
      <c r="G2090" s="18" t="s">
        <v>47</v>
      </c>
      <c r="H2090" s="18" t="s">
        <v>4318</v>
      </c>
      <c r="I2090" s="20" t="s">
        <v>4338</v>
      </c>
      <c r="J2090" s="18" t="s">
        <v>58</v>
      </c>
      <c r="K2090" s="18" t="s">
        <v>24</v>
      </c>
      <c r="L2090" s="18" t="s">
        <v>25</v>
      </c>
      <c r="N2090" s="18" t="s">
        <v>807</v>
      </c>
    </row>
    <row r="2091" spans="1:14" ht="15" customHeight="1" x14ac:dyDescent="0.3">
      <c r="A2091" s="18" t="s">
        <v>4295</v>
      </c>
      <c r="B2091" s="19" t="s">
        <v>15</v>
      </c>
      <c r="C2091" s="18" t="s">
        <v>4303</v>
      </c>
      <c r="D2091" s="18" t="s">
        <v>116</v>
      </c>
      <c r="E2091" s="18" t="s">
        <v>117</v>
      </c>
      <c r="F2091" s="18" t="s">
        <v>1206</v>
      </c>
      <c r="G2091" s="18" t="s">
        <v>1075</v>
      </c>
      <c r="H2091" s="18" t="s">
        <v>4307</v>
      </c>
      <c r="I2091" s="20" t="s">
        <v>4339</v>
      </c>
      <c r="J2091" s="18" t="s">
        <v>58</v>
      </c>
      <c r="K2091" s="18" t="s">
        <v>24</v>
      </c>
      <c r="L2091" s="18" t="s">
        <v>25</v>
      </c>
      <c r="N2091" s="18" t="s">
        <v>807</v>
      </c>
    </row>
    <row r="2092" spans="1:14" ht="15" customHeight="1" x14ac:dyDescent="0.3">
      <c r="A2092" s="18" t="s">
        <v>4295</v>
      </c>
      <c r="B2092" s="19" t="s">
        <v>15</v>
      </c>
      <c r="C2092" s="18" t="s">
        <v>4296</v>
      </c>
      <c r="D2092" s="18" t="s">
        <v>116</v>
      </c>
      <c r="E2092" s="18" t="s">
        <v>117</v>
      </c>
      <c r="F2092" s="18" t="s">
        <v>4340</v>
      </c>
      <c r="G2092" s="18" t="s">
        <v>35</v>
      </c>
      <c r="H2092" s="18" t="s">
        <v>4301</v>
      </c>
      <c r="I2092" s="20" t="s">
        <v>4341</v>
      </c>
      <c r="J2092" s="18" t="s">
        <v>58</v>
      </c>
      <c r="K2092" s="18" t="s">
        <v>24</v>
      </c>
      <c r="L2092" s="18" t="s">
        <v>25</v>
      </c>
      <c r="N2092" s="18" t="s">
        <v>973</v>
      </c>
    </row>
    <row r="2093" spans="1:14" ht="15" customHeight="1" x14ac:dyDescent="0.3">
      <c r="A2093" s="18" t="s">
        <v>4295</v>
      </c>
      <c r="B2093" s="19" t="s">
        <v>15</v>
      </c>
      <c r="C2093" s="18" t="s">
        <v>4303</v>
      </c>
      <c r="D2093" s="18" t="s">
        <v>116</v>
      </c>
      <c r="E2093" s="18" t="s">
        <v>117</v>
      </c>
      <c r="F2093" s="18" t="s">
        <v>4342</v>
      </c>
      <c r="G2093" s="18" t="s">
        <v>51</v>
      </c>
      <c r="H2093" s="18" t="s">
        <v>4307</v>
      </c>
      <c r="I2093" s="20" t="s">
        <v>4343</v>
      </c>
      <c r="J2093" s="18" t="s">
        <v>58</v>
      </c>
      <c r="K2093" s="18" t="s">
        <v>24</v>
      </c>
      <c r="L2093" s="18" t="s">
        <v>25</v>
      </c>
      <c r="N2093" s="18" t="s">
        <v>807</v>
      </c>
    </row>
    <row r="2094" spans="1:14" ht="15" customHeight="1" x14ac:dyDescent="0.3">
      <c r="A2094" s="18" t="s">
        <v>4295</v>
      </c>
      <c r="B2094" s="19" t="s">
        <v>15</v>
      </c>
      <c r="C2094" s="18" t="s">
        <v>4303</v>
      </c>
      <c r="D2094" s="18" t="s">
        <v>116</v>
      </c>
      <c r="E2094" s="18" t="s">
        <v>117</v>
      </c>
      <c r="F2094" s="18" t="s">
        <v>1318</v>
      </c>
      <c r="G2094" s="18" t="s">
        <v>207</v>
      </c>
      <c r="H2094" s="18" t="s">
        <v>4318</v>
      </c>
      <c r="I2094" s="20" t="s">
        <v>4344</v>
      </c>
      <c r="J2094" s="18" t="s">
        <v>58</v>
      </c>
      <c r="K2094" s="18" t="s">
        <v>24</v>
      </c>
      <c r="L2094" s="18" t="s">
        <v>25</v>
      </c>
      <c r="N2094" s="18" t="s">
        <v>807</v>
      </c>
    </row>
    <row r="2095" spans="1:14" ht="15" customHeight="1" x14ac:dyDescent="0.3">
      <c r="A2095" s="18" t="s">
        <v>4295</v>
      </c>
      <c r="B2095" s="19" t="s">
        <v>15</v>
      </c>
      <c r="C2095" s="18" t="s">
        <v>4303</v>
      </c>
      <c r="D2095" s="18" t="s">
        <v>116</v>
      </c>
      <c r="E2095" s="18" t="s">
        <v>117</v>
      </c>
      <c r="F2095" s="18" t="s">
        <v>4345</v>
      </c>
      <c r="G2095" s="18" t="s">
        <v>151</v>
      </c>
      <c r="H2095" s="18" t="s">
        <v>4307</v>
      </c>
      <c r="I2095" s="20" t="s">
        <v>4346</v>
      </c>
      <c r="J2095" s="18" t="s">
        <v>58</v>
      </c>
      <c r="K2095" s="18" t="s">
        <v>24</v>
      </c>
      <c r="L2095" s="18" t="s">
        <v>25</v>
      </c>
      <c r="N2095" s="18" t="s">
        <v>807</v>
      </c>
    </row>
    <row r="2096" spans="1:14" ht="15" customHeight="1" x14ac:dyDescent="0.3">
      <c r="A2096" s="18" t="s">
        <v>4295</v>
      </c>
      <c r="B2096" s="19" t="s">
        <v>15</v>
      </c>
      <c r="C2096" s="18" t="s">
        <v>4303</v>
      </c>
      <c r="D2096" s="18" t="s">
        <v>116</v>
      </c>
      <c r="E2096" s="18" t="s">
        <v>117</v>
      </c>
      <c r="F2096" s="18" t="s">
        <v>4347</v>
      </c>
      <c r="G2096" s="18" t="s">
        <v>536</v>
      </c>
      <c r="H2096" s="18" t="s">
        <v>4318</v>
      </c>
      <c r="I2096" s="20" t="s">
        <v>4348</v>
      </c>
      <c r="J2096" s="18" t="s">
        <v>58</v>
      </c>
      <c r="K2096" s="18" t="s">
        <v>24</v>
      </c>
      <c r="L2096" s="18" t="s">
        <v>25</v>
      </c>
      <c r="N2096" s="18" t="s">
        <v>807</v>
      </c>
    </row>
    <row r="2097" spans="1:14" ht="15" customHeight="1" x14ac:dyDescent="0.3">
      <c r="A2097" s="18" t="s">
        <v>4295</v>
      </c>
      <c r="B2097" s="19" t="s">
        <v>15</v>
      </c>
      <c r="C2097" s="18" t="s">
        <v>4296</v>
      </c>
      <c r="D2097" s="18" t="s">
        <v>116</v>
      </c>
      <c r="E2097" s="18" t="s">
        <v>117</v>
      </c>
      <c r="F2097" s="18" t="s">
        <v>4349</v>
      </c>
      <c r="G2097" s="18" t="s">
        <v>160</v>
      </c>
      <c r="H2097" s="18" t="s">
        <v>4301</v>
      </c>
      <c r="I2097" s="20" t="s">
        <v>4350</v>
      </c>
      <c r="J2097" s="18" t="s">
        <v>58</v>
      </c>
      <c r="K2097" s="18" t="s">
        <v>24</v>
      </c>
      <c r="L2097" s="18" t="s">
        <v>25</v>
      </c>
      <c r="N2097" s="18" t="s">
        <v>973</v>
      </c>
    </row>
    <row r="2098" spans="1:14" ht="15" customHeight="1" x14ac:dyDescent="0.3">
      <c r="A2098" s="18" t="s">
        <v>4295</v>
      </c>
      <c r="B2098" s="19" t="s">
        <v>15</v>
      </c>
      <c r="C2098" s="18" t="s">
        <v>4303</v>
      </c>
      <c r="D2098" s="18" t="s">
        <v>116</v>
      </c>
      <c r="E2098" s="18" t="s">
        <v>117</v>
      </c>
      <c r="F2098" s="18" t="s">
        <v>2717</v>
      </c>
      <c r="G2098" s="18" t="s">
        <v>913</v>
      </c>
      <c r="H2098" s="18" t="s">
        <v>4307</v>
      </c>
      <c r="I2098" s="20" t="s">
        <v>4351</v>
      </c>
      <c r="J2098" s="18" t="s">
        <v>58</v>
      </c>
      <c r="K2098" s="18" t="s">
        <v>24</v>
      </c>
      <c r="L2098" s="18" t="s">
        <v>25</v>
      </c>
      <c r="N2098" s="18" t="s">
        <v>807</v>
      </c>
    </row>
    <row r="2099" spans="1:14" ht="15" customHeight="1" x14ac:dyDescent="0.3">
      <c r="A2099" s="18" t="s">
        <v>4295</v>
      </c>
      <c r="B2099" s="19" t="s">
        <v>15</v>
      </c>
      <c r="C2099" s="18" t="s">
        <v>4303</v>
      </c>
      <c r="D2099" s="18" t="s">
        <v>116</v>
      </c>
      <c r="E2099" s="18" t="s">
        <v>117</v>
      </c>
      <c r="F2099" s="18" t="s">
        <v>4352</v>
      </c>
      <c r="G2099" s="18" t="s">
        <v>1009</v>
      </c>
      <c r="H2099" s="18" t="s">
        <v>4307</v>
      </c>
      <c r="I2099" s="20" t="s">
        <v>4353</v>
      </c>
      <c r="J2099" s="18" t="s">
        <v>58</v>
      </c>
      <c r="K2099" s="18" t="s">
        <v>24</v>
      </c>
      <c r="L2099" s="18" t="s">
        <v>25</v>
      </c>
      <c r="N2099" s="18" t="s">
        <v>807</v>
      </c>
    </row>
    <row r="2100" spans="1:14" ht="15" customHeight="1" x14ac:dyDescent="0.3">
      <c r="A2100" s="18" t="s">
        <v>4295</v>
      </c>
      <c r="B2100" s="19" t="s">
        <v>15</v>
      </c>
      <c r="C2100" s="18" t="s">
        <v>4296</v>
      </c>
      <c r="D2100" s="18" t="s">
        <v>116</v>
      </c>
      <c r="E2100" s="18" t="s">
        <v>117</v>
      </c>
      <c r="F2100" s="18" t="s">
        <v>4354</v>
      </c>
      <c r="G2100" s="18" t="s">
        <v>160</v>
      </c>
      <c r="H2100" s="18" t="s">
        <v>4301</v>
      </c>
      <c r="I2100" s="20" t="s">
        <v>4355</v>
      </c>
      <c r="J2100" s="18" t="s">
        <v>58</v>
      </c>
      <c r="K2100" s="18" t="s">
        <v>24</v>
      </c>
      <c r="L2100" s="18" t="s">
        <v>25</v>
      </c>
      <c r="N2100" s="18" t="s">
        <v>973</v>
      </c>
    </row>
    <row r="2101" spans="1:14" ht="15" customHeight="1" x14ac:dyDescent="0.3">
      <c r="A2101" s="18" t="s">
        <v>4295</v>
      </c>
      <c r="B2101" s="19" t="s">
        <v>15</v>
      </c>
      <c r="C2101" s="18" t="s">
        <v>4303</v>
      </c>
      <c r="D2101" s="18" t="s">
        <v>116</v>
      </c>
      <c r="E2101" s="18" t="s">
        <v>117</v>
      </c>
      <c r="F2101" s="18" t="s">
        <v>71</v>
      </c>
      <c r="G2101" s="18" t="s">
        <v>44</v>
      </c>
      <c r="H2101" s="18" t="s">
        <v>4307</v>
      </c>
      <c r="I2101" s="20" t="s">
        <v>4356</v>
      </c>
      <c r="J2101" s="18" t="s">
        <v>58</v>
      </c>
      <c r="K2101" s="18" t="s">
        <v>24</v>
      </c>
      <c r="L2101" s="18" t="s">
        <v>25</v>
      </c>
      <c r="N2101" s="18" t="s">
        <v>807</v>
      </c>
    </row>
    <row r="2102" spans="1:14" ht="15" customHeight="1" x14ac:dyDescent="0.3">
      <c r="A2102" s="18" t="s">
        <v>4295</v>
      </c>
      <c r="B2102" s="19" t="s">
        <v>15</v>
      </c>
      <c r="C2102" s="18" t="s">
        <v>4296</v>
      </c>
      <c r="D2102" s="18" t="s">
        <v>116</v>
      </c>
      <c r="E2102" s="18" t="s">
        <v>117</v>
      </c>
      <c r="F2102" s="18" t="s">
        <v>2069</v>
      </c>
      <c r="G2102" s="18" t="s">
        <v>160</v>
      </c>
      <c r="H2102" s="18" t="s">
        <v>4301</v>
      </c>
      <c r="I2102" s="20" t="s">
        <v>4357</v>
      </c>
      <c r="J2102" s="18" t="s">
        <v>58</v>
      </c>
      <c r="K2102" s="18" t="s">
        <v>24</v>
      </c>
      <c r="L2102" s="18" t="s">
        <v>25</v>
      </c>
      <c r="N2102" s="18" t="s">
        <v>973</v>
      </c>
    </row>
    <row r="2103" spans="1:14" ht="15" customHeight="1" x14ac:dyDescent="0.3">
      <c r="A2103" s="18" t="s">
        <v>4295</v>
      </c>
      <c r="B2103" s="19" t="s">
        <v>15</v>
      </c>
      <c r="C2103" s="18" t="s">
        <v>4303</v>
      </c>
      <c r="D2103" s="18" t="s">
        <v>116</v>
      </c>
      <c r="E2103" s="18" t="s">
        <v>117</v>
      </c>
      <c r="F2103" s="18" t="s">
        <v>4358</v>
      </c>
      <c r="G2103" s="18" t="s">
        <v>1251</v>
      </c>
      <c r="H2103" s="18" t="s">
        <v>4307</v>
      </c>
      <c r="I2103" s="20" t="s">
        <v>4359</v>
      </c>
      <c r="J2103" s="18" t="s">
        <v>58</v>
      </c>
      <c r="K2103" s="18" t="s">
        <v>24</v>
      </c>
      <c r="L2103" s="18" t="s">
        <v>25</v>
      </c>
      <c r="N2103" s="18" t="s">
        <v>807</v>
      </c>
    </row>
    <row r="2104" spans="1:14" ht="15" customHeight="1" x14ac:dyDescent="0.3">
      <c r="A2104" s="18" t="s">
        <v>4295</v>
      </c>
      <c r="B2104" s="19" t="s">
        <v>15</v>
      </c>
      <c r="C2104" s="18" t="s">
        <v>4303</v>
      </c>
      <c r="D2104" s="18" t="s">
        <v>116</v>
      </c>
      <c r="E2104" s="18" t="s">
        <v>117</v>
      </c>
      <c r="F2104" s="18" t="s">
        <v>4360</v>
      </c>
      <c r="G2104" s="18" t="s">
        <v>2245</v>
      </c>
      <c r="H2104" s="18" t="s">
        <v>4307</v>
      </c>
      <c r="I2104" s="20" t="s">
        <v>4361</v>
      </c>
      <c r="J2104" s="18" t="s">
        <v>58</v>
      </c>
      <c r="K2104" s="18" t="s">
        <v>24</v>
      </c>
      <c r="L2104" s="18" t="s">
        <v>25</v>
      </c>
      <c r="N2104" s="18" t="s">
        <v>807</v>
      </c>
    </row>
    <row r="2105" spans="1:14" ht="15" customHeight="1" x14ac:dyDescent="0.3">
      <c r="A2105" s="18" t="s">
        <v>4295</v>
      </c>
      <c r="B2105" s="19" t="s">
        <v>15</v>
      </c>
      <c r="C2105" s="18" t="s">
        <v>4303</v>
      </c>
      <c r="D2105" s="18" t="s">
        <v>116</v>
      </c>
      <c r="E2105" s="18" t="s">
        <v>117</v>
      </c>
      <c r="F2105" s="18" t="s">
        <v>3906</v>
      </c>
      <c r="G2105" s="18" t="s">
        <v>1019</v>
      </c>
      <c r="H2105" s="18" t="s">
        <v>4362</v>
      </c>
      <c r="I2105" s="20" t="s">
        <v>4363</v>
      </c>
      <c r="J2105" s="18" t="s">
        <v>58</v>
      </c>
      <c r="K2105" s="18" t="s">
        <v>24</v>
      </c>
      <c r="L2105" s="18" t="s">
        <v>25</v>
      </c>
      <c r="N2105" s="18" t="s">
        <v>807</v>
      </c>
    </row>
    <row r="2106" spans="1:14" ht="15" customHeight="1" x14ac:dyDescent="0.3">
      <c r="A2106" s="18" t="s">
        <v>4295</v>
      </c>
      <c r="B2106" s="19" t="s">
        <v>15</v>
      </c>
      <c r="C2106" s="18" t="s">
        <v>4303</v>
      </c>
      <c r="D2106" s="18" t="s">
        <v>116</v>
      </c>
      <c r="E2106" s="18" t="s">
        <v>117</v>
      </c>
      <c r="F2106" s="18" t="s">
        <v>4364</v>
      </c>
      <c r="G2106" s="18" t="s">
        <v>63</v>
      </c>
      <c r="H2106" s="18" t="s">
        <v>4307</v>
      </c>
      <c r="I2106" s="20" t="s">
        <v>4365</v>
      </c>
      <c r="J2106" s="18" t="s">
        <v>58</v>
      </c>
      <c r="K2106" s="18" t="s">
        <v>24</v>
      </c>
      <c r="L2106" s="18" t="s">
        <v>25</v>
      </c>
      <c r="N2106" s="18" t="s">
        <v>807</v>
      </c>
    </row>
    <row r="2107" spans="1:14" ht="15" customHeight="1" x14ac:dyDescent="0.3">
      <c r="A2107" s="18" t="s">
        <v>4295</v>
      </c>
      <c r="B2107" s="19" t="s">
        <v>15</v>
      </c>
      <c r="C2107" s="18" t="s">
        <v>4303</v>
      </c>
      <c r="D2107" s="18" t="s">
        <v>116</v>
      </c>
      <c r="E2107" s="18" t="s">
        <v>117</v>
      </c>
      <c r="F2107" s="18" t="s">
        <v>1235</v>
      </c>
      <c r="G2107" s="18" t="s">
        <v>47</v>
      </c>
      <c r="H2107" s="18" t="s">
        <v>4307</v>
      </c>
      <c r="I2107" s="20" t="s">
        <v>4366</v>
      </c>
      <c r="J2107" s="18" t="s">
        <v>58</v>
      </c>
      <c r="K2107" s="18" t="s">
        <v>24</v>
      </c>
      <c r="L2107" s="18" t="s">
        <v>25</v>
      </c>
      <c r="N2107" s="18" t="s">
        <v>807</v>
      </c>
    </row>
    <row r="2108" spans="1:14" ht="15" customHeight="1" x14ac:dyDescent="0.3">
      <c r="A2108" s="18" t="s">
        <v>4295</v>
      </c>
      <c r="B2108" s="19" t="s">
        <v>15</v>
      </c>
      <c r="C2108" s="18" t="s">
        <v>4296</v>
      </c>
      <c r="D2108" s="18" t="s">
        <v>116</v>
      </c>
      <c r="E2108" s="18" t="s">
        <v>117</v>
      </c>
      <c r="F2108" s="18" t="s">
        <v>4367</v>
      </c>
      <c r="G2108" s="18" t="s">
        <v>47</v>
      </c>
      <c r="H2108" s="18" t="s">
        <v>4301</v>
      </c>
      <c r="I2108" s="20" t="s">
        <v>4368</v>
      </c>
      <c r="J2108" s="18" t="s">
        <v>58</v>
      </c>
      <c r="K2108" s="18" t="s">
        <v>24</v>
      </c>
      <c r="L2108" s="18" t="s">
        <v>25</v>
      </c>
      <c r="N2108" s="18" t="s">
        <v>973</v>
      </c>
    </row>
    <row r="2109" spans="1:14" ht="15" customHeight="1" x14ac:dyDescent="0.3">
      <c r="A2109" s="18" t="s">
        <v>4295</v>
      </c>
      <c r="B2109" s="19" t="s">
        <v>15</v>
      </c>
      <c r="C2109" s="18" t="s">
        <v>4296</v>
      </c>
      <c r="D2109" s="18" t="s">
        <v>116</v>
      </c>
      <c r="E2109" s="18" t="s">
        <v>18</v>
      </c>
      <c r="F2109" s="18" t="s">
        <v>4369</v>
      </c>
      <c r="G2109" s="18" t="s">
        <v>160</v>
      </c>
      <c r="H2109" s="18" t="s">
        <v>4301</v>
      </c>
      <c r="I2109" s="20" t="s">
        <v>4370</v>
      </c>
      <c r="J2109" s="18" t="s">
        <v>30</v>
      </c>
      <c r="K2109" s="18" t="s">
        <v>24</v>
      </c>
      <c r="L2109" s="18" t="s">
        <v>25</v>
      </c>
      <c r="M2109" s="18" t="s">
        <v>39</v>
      </c>
      <c r="N2109" s="18" t="s">
        <v>973</v>
      </c>
    </row>
    <row r="2110" spans="1:14" ht="15" customHeight="1" x14ac:dyDescent="0.3">
      <c r="A2110" s="18" t="s">
        <v>4295</v>
      </c>
      <c r="B2110" s="19" t="s">
        <v>15</v>
      </c>
      <c r="C2110" s="18" t="s">
        <v>4296</v>
      </c>
      <c r="D2110" s="18" t="s">
        <v>116</v>
      </c>
      <c r="E2110" s="18" t="s">
        <v>18</v>
      </c>
      <c r="F2110" s="18" t="s">
        <v>4371</v>
      </c>
      <c r="G2110" s="18" t="s">
        <v>160</v>
      </c>
      <c r="H2110" s="18" t="s">
        <v>4298</v>
      </c>
      <c r="I2110" s="20" t="s">
        <v>4372</v>
      </c>
      <c r="J2110" s="18" t="s">
        <v>30</v>
      </c>
      <c r="K2110" s="18" t="s">
        <v>24</v>
      </c>
      <c r="L2110" s="18" t="s">
        <v>25</v>
      </c>
      <c r="N2110" s="18" t="s">
        <v>973</v>
      </c>
    </row>
    <row r="2111" spans="1:14" ht="15" customHeight="1" x14ac:dyDescent="0.3">
      <c r="A2111" s="18" t="s">
        <v>4295</v>
      </c>
      <c r="B2111" s="19" t="s">
        <v>15</v>
      </c>
      <c r="C2111" s="18" t="s">
        <v>4296</v>
      </c>
      <c r="D2111" s="18" t="s">
        <v>116</v>
      </c>
      <c r="E2111" s="18" t="s">
        <v>18</v>
      </c>
      <c r="F2111" s="18" t="s">
        <v>4373</v>
      </c>
      <c r="G2111" s="18" t="s">
        <v>47</v>
      </c>
      <c r="H2111" s="18" t="s">
        <v>4301</v>
      </c>
      <c r="I2111" s="20" t="s">
        <v>4374</v>
      </c>
      <c r="J2111" s="18" t="s">
        <v>30</v>
      </c>
      <c r="K2111" s="18" t="s">
        <v>24</v>
      </c>
      <c r="L2111" s="18" t="s">
        <v>25</v>
      </c>
      <c r="N2111" s="18" t="s">
        <v>973</v>
      </c>
    </row>
    <row r="2112" spans="1:14" ht="15" customHeight="1" x14ac:dyDescent="0.3">
      <c r="A2112" s="18" t="s">
        <v>4295</v>
      </c>
      <c r="B2112" s="19" t="s">
        <v>15</v>
      </c>
      <c r="C2112" s="18" t="s">
        <v>4296</v>
      </c>
      <c r="D2112" s="18" t="s">
        <v>116</v>
      </c>
      <c r="E2112" s="18" t="s">
        <v>18</v>
      </c>
      <c r="F2112" s="18" t="s">
        <v>4375</v>
      </c>
      <c r="G2112" s="18" t="s">
        <v>1340</v>
      </c>
      <c r="H2112" s="18" t="s">
        <v>4301</v>
      </c>
      <c r="I2112" s="20" t="s">
        <v>4376</v>
      </c>
      <c r="J2112" s="18" t="s">
        <v>30</v>
      </c>
      <c r="K2112" s="18" t="s">
        <v>24</v>
      </c>
      <c r="L2112" s="18" t="s">
        <v>25</v>
      </c>
      <c r="N2112" s="18" t="s">
        <v>973</v>
      </c>
    </row>
    <row r="2113" spans="1:14" ht="15" customHeight="1" x14ac:dyDescent="0.3">
      <c r="A2113" s="18" t="s">
        <v>4295</v>
      </c>
      <c r="B2113" s="19" t="s">
        <v>15</v>
      </c>
      <c r="C2113" s="18" t="s">
        <v>4303</v>
      </c>
      <c r="D2113" s="18" t="s">
        <v>116</v>
      </c>
      <c r="E2113" s="18" t="s">
        <v>18</v>
      </c>
      <c r="F2113" s="18" t="s">
        <v>4377</v>
      </c>
      <c r="G2113" s="18" t="s">
        <v>2245</v>
      </c>
      <c r="H2113" s="18" t="s">
        <v>4304</v>
      </c>
      <c r="I2113" s="20" t="s">
        <v>4378</v>
      </c>
      <c r="J2113" s="18" t="s">
        <v>30</v>
      </c>
      <c r="K2113" s="18" t="s">
        <v>24</v>
      </c>
      <c r="L2113" s="18" t="s">
        <v>25</v>
      </c>
      <c r="N2113" s="18" t="s">
        <v>807</v>
      </c>
    </row>
    <row r="2114" spans="1:14" ht="15" customHeight="1" x14ac:dyDescent="0.3">
      <c r="A2114" s="18" t="s">
        <v>4295</v>
      </c>
      <c r="B2114" s="19" t="s">
        <v>15</v>
      </c>
      <c r="C2114" s="18" t="s">
        <v>4303</v>
      </c>
      <c r="D2114" s="18" t="s">
        <v>116</v>
      </c>
      <c r="E2114" s="18" t="s">
        <v>18</v>
      </c>
      <c r="F2114" s="18" t="s">
        <v>1806</v>
      </c>
      <c r="G2114" s="18" t="s">
        <v>85</v>
      </c>
      <c r="H2114" s="18" t="s">
        <v>4379</v>
      </c>
      <c r="I2114" s="20" t="s">
        <v>4380</v>
      </c>
      <c r="J2114" s="18" t="s">
        <v>30</v>
      </c>
      <c r="K2114" s="18" t="s">
        <v>24</v>
      </c>
      <c r="L2114" s="18" t="s">
        <v>25</v>
      </c>
      <c r="N2114" s="18" t="s">
        <v>807</v>
      </c>
    </row>
    <row r="2115" spans="1:14" ht="15" customHeight="1" x14ac:dyDescent="0.3">
      <c r="A2115" s="18" t="s">
        <v>4295</v>
      </c>
      <c r="B2115" s="19" t="s">
        <v>15</v>
      </c>
      <c r="C2115" s="18" t="s">
        <v>4303</v>
      </c>
      <c r="D2115" s="18" t="s">
        <v>116</v>
      </c>
      <c r="E2115" s="18" t="s">
        <v>18</v>
      </c>
      <c r="F2115" s="18" t="s">
        <v>4381</v>
      </c>
      <c r="G2115" s="18" t="s">
        <v>28</v>
      </c>
      <c r="H2115" s="18" t="s">
        <v>4307</v>
      </c>
      <c r="I2115" s="20" t="s">
        <v>4382</v>
      </c>
      <c r="J2115" s="18" t="s">
        <v>30</v>
      </c>
      <c r="K2115" s="18" t="s">
        <v>24</v>
      </c>
      <c r="L2115" s="18" t="s">
        <v>25</v>
      </c>
      <c r="N2115" s="18" t="s">
        <v>807</v>
      </c>
    </row>
    <row r="2116" spans="1:14" ht="15" customHeight="1" x14ac:dyDescent="0.3">
      <c r="A2116" s="18" t="s">
        <v>4295</v>
      </c>
      <c r="B2116" s="19" t="s">
        <v>15</v>
      </c>
      <c r="C2116" s="18" t="s">
        <v>4303</v>
      </c>
      <c r="D2116" s="18" t="s">
        <v>116</v>
      </c>
      <c r="E2116" s="18" t="s">
        <v>18</v>
      </c>
      <c r="F2116" s="18" t="s">
        <v>221</v>
      </c>
      <c r="G2116" s="18" t="s">
        <v>212</v>
      </c>
      <c r="H2116" s="18" t="s">
        <v>4307</v>
      </c>
      <c r="I2116" s="20" t="s">
        <v>4383</v>
      </c>
      <c r="J2116" s="18" t="s">
        <v>30</v>
      </c>
      <c r="K2116" s="18" t="s">
        <v>24</v>
      </c>
      <c r="L2116" s="18" t="s">
        <v>25</v>
      </c>
      <c r="N2116" s="18" t="s">
        <v>807</v>
      </c>
    </row>
    <row r="2117" spans="1:14" ht="15" customHeight="1" x14ac:dyDescent="0.3">
      <c r="A2117" s="18" t="s">
        <v>4295</v>
      </c>
      <c r="B2117" s="19" t="s">
        <v>15</v>
      </c>
      <c r="C2117" s="18" t="s">
        <v>4303</v>
      </c>
      <c r="D2117" s="18" t="s">
        <v>116</v>
      </c>
      <c r="E2117" s="18" t="s">
        <v>18</v>
      </c>
      <c r="F2117" s="18" t="s">
        <v>1244</v>
      </c>
      <c r="G2117" s="18" t="s">
        <v>1204</v>
      </c>
      <c r="H2117" s="18" t="s">
        <v>4307</v>
      </c>
      <c r="I2117" s="20" t="s">
        <v>4384</v>
      </c>
      <c r="J2117" s="18" t="s">
        <v>30</v>
      </c>
      <c r="K2117" s="18" t="s">
        <v>24</v>
      </c>
      <c r="L2117" s="18" t="s">
        <v>25</v>
      </c>
      <c r="N2117" s="18" t="s">
        <v>807</v>
      </c>
    </row>
    <row r="2118" spans="1:14" ht="15" customHeight="1" x14ac:dyDescent="0.3">
      <c r="A2118" s="18" t="s">
        <v>4295</v>
      </c>
      <c r="B2118" s="19" t="s">
        <v>15</v>
      </c>
      <c r="C2118" s="18" t="s">
        <v>4303</v>
      </c>
      <c r="D2118" s="18" t="s">
        <v>116</v>
      </c>
      <c r="E2118" s="18" t="s">
        <v>18</v>
      </c>
      <c r="F2118" s="18" t="s">
        <v>1072</v>
      </c>
      <c r="G2118" s="18" t="s">
        <v>47</v>
      </c>
      <c r="H2118" s="18" t="s">
        <v>4307</v>
      </c>
      <c r="I2118" s="20" t="s">
        <v>4385</v>
      </c>
      <c r="J2118" s="18" t="s">
        <v>30</v>
      </c>
      <c r="K2118" s="18" t="s">
        <v>24</v>
      </c>
      <c r="L2118" s="18" t="s">
        <v>25</v>
      </c>
      <c r="N2118" s="18" t="s">
        <v>807</v>
      </c>
    </row>
    <row r="2119" spans="1:14" ht="15" customHeight="1" x14ac:dyDescent="0.3">
      <c r="A2119" s="18" t="s">
        <v>4295</v>
      </c>
      <c r="B2119" s="19" t="s">
        <v>15</v>
      </c>
      <c r="C2119" s="18" t="s">
        <v>4296</v>
      </c>
      <c r="D2119" s="18" t="s">
        <v>116</v>
      </c>
      <c r="E2119" s="18" t="s">
        <v>18</v>
      </c>
      <c r="F2119" s="18" t="s">
        <v>34</v>
      </c>
      <c r="G2119" s="18" t="s">
        <v>35</v>
      </c>
      <c r="H2119" s="18" t="s">
        <v>4301</v>
      </c>
      <c r="I2119" s="20" t="s">
        <v>4386</v>
      </c>
      <c r="J2119" s="18" t="s">
        <v>30</v>
      </c>
      <c r="K2119" s="18" t="s">
        <v>24</v>
      </c>
      <c r="L2119" s="18" t="s">
        <v>25</v>
      </c>
      <c r="N2119" s="18" t="s">
        <v>973</v>
      </c>
    </row>
    <row r="2120" spans="1:14" ht="15" customHeight="1" x14ac:dyDescent="0.3">
      <c r="A2120" s="18" t="s">
        <v>4295</v>
      </c>
      <c r="B2120" s="19" t="s">
        <v>15</v>
      </c>
      <c r="C2120" s="18" t="s">
        <v>4303</v>
      </c>
      <c r="D2120" s="18" t="s">
        <v>116</v>
      </c>
      <c r="E2120" s="18" t="s">
        <v>18</v>
      </c>
      <c r="F2120" s="18" t="s">
        <v>4387</v>
      </c>
      <c r="G2120" s="18" t="s">
        <v>160</v>
      </c>
      <c r="H2120" s="18" t="s">
        <v>4307</v>
      </c>
      <c r="I2120" s="20" t="s">
        <v>4388</v>
      </c>
      <c r="J2120" s="18" t="s">
        <v>30</v>
      </c>
      <c r="K2120" s="18" t="s">
        <v>24</v>
      </c>
      <c r="L2120" s="18" t="s">
        <v>25</v>
      </c>
      <c r="N2120" s="18" t="s">
        <v>807</v>
      </c>
    </row>
    <row r="2121" spans="1:14" ht="15" customHeight="1" x14ac:dyDescent="0.3">
      <c r="A2121" s="18" t="s">
        <v>4295</v>
      </c>
      <c r="B2121" s="19" t="s">
        <v>15</v>
      </c>
      <c r="C2121" s="18" t="s">
        <v>4303</v>
      </c>
      <c r="D2121" s="18" t="s">
        <v>116</v>
      </c>
      <c r="E2121" s="18" t="s">
        <v>18</v>
      </c>
      <c r="F2121" s="18" t="s">
        <v>4389</v>
      </c>
      <c r="G2121" s="18" t="s">
        <v>212</v>
      </c>
      <c r="H2121" s="18" t="s">
        <v>4307</v>
      </c>
      <c r="I2121" s="20" t="s">
        <v>4390</v>
      </c>
      <c r="J2121" s="18" t="s">
        <v>30</v>
      </c>
      <c r="K2121" s="18" t="s">
        <v>24</v>
      </c>
      <c r="L2121" s="18" t="s">
        <v>25</v>
      </c>
      <c r="N2121" s="18" t="s">
        <v>807</v>
      </c>
    </row>
    <row r="2122" spans="1:14" ht="15" customHeight="1" x14ac:dyDescent="0.3">
      <c r="A2122" s="18" t="s">
        <v>4295</v>
      </c>
      <c r="B2122" s="19" t="s">
        <v>15</v>
      </c>
      <c r="C2122" s="18" t="s">
        <v>4303</v>
      </c>
      <c r="D2122" s="18" t="s">
        <v>116</v>
      </c>
      <c r="E2122" s="18" t="s">
        <v>18</v>
      </c>
      <c r="F2122" s="18" t="s">
        <v>1450</v>
      </c>
      <c r="G2122" s="18" t="s">
        <v>41</v>
      </c>
      <c r="H2122" s="18" t="s">
        <v>4318</v>
      </c>
      <c r="I2122" s="20" t="s">
        <v>4391</v>
      </c>
      <c r="J2122" s="18" t="s">
        <v>30</v>
      </c>
      <c r="K2122" s="18" t="s">
        <v>24</v>
      </c>
      <c r="L2122" s="18" t="s">
        <v>25</v>
      </c>
      <c r="N2122" s="18" t="s">
        <v>807</v>
      </c>
    </row>
    <row r="2123" spans="1:14" ht="15" customHeight="1" x14ac:dyDescent="0.3">
      <c r="A2123" s="18" t="s">
        <v>4295</v>
      </c>
      <c r="B2123" s="19" t="s">
        <v>15</v>
      </c>
      <c r="C2123" s="18" t="s">
        <v>4303</v>
      </c>
      <c r="D2123" s="18" t="s">
        <v>116</v>
      </c>
      <c r="E2123" s="18" t="s">
        <v>18</v>
      </c>
      <c r="F2123" s="18" t="s">
        <v>4392</v>
      </c>
      <c r="G2123" s="18" t="s">
        <v>41</v>
      </c>
      <c r="H2123" s="18" t="s">
        <v>4318</v>
      </c>
      <c r="I2123" s="20" t="s">
        <v>4393</v>
      </c>
      <c r="J2123" s="18" t="s">
        <v>30</v>
      </c>
      <c r="K2123" s="18" t="s">
        <v>24</v>
      </c>
      <c r="L2123" s="18" t="s">
        <v>25</v>
      </c>
      <c r="N2123" s="18" t="s">
        <v>807</v>
      </c>
    </row>
    <row r="2124" spans="1:14" ht="15" customHeight="1" x14ac:dyDescent="0.3">
      <c r="A2124" s="18" t="s">
        <v>4295</v>
      </c>
      <c r="B2124" s="19" t="s">
        <v>15</v>
      </c>
      <c r="C2124" s="18" t="s">
        <v>4296</v>
      </c>
      <c r="D2124" s="18" t="s">
        <v>116</v>
      </c>
      <c r="E2124" s="18" t="s">
        <v>18</v>
      </c>
      <c r="F2124" s="18" t="s">
        <v>4394</v>
      </c>
      <c r="G2124" s="18" t="s">
        <v>47</v>
      </c>
      <c r="H2124" s="18" t="s">
        <v>4301</v>
      </c>
      <c r="I2124" s="20" t="s">
        <v>4395</v>
      </c>
      <c r="J2124" s="18" t="s">
        <v>30</v>
      </c>
      <c r="K2124" s="18" t="s">
        <v>24</v>
      </c>
      <c r="L2124" s="18" t="s">
        <v>25</v>
      </c>
      <c r="N2124" s="18" t="s">
        <v>973</v>
      </c>
    </row>
    <row r="2125" spans="1:14" ht="15" customHeight="1" x14ac:dyDescent="0.3">
      <c r="A2125" s="18" t="s">
        <v>4295</v>
      </c>
      <c r="B2125" s="19" t="s">
        <v>15</v>
      </c>
      <c r="C2125" s="18" t="s">
        <v>4303</v>
      </c>
      <c r="D2125" s="18" t="s">
        <v>116</v>
      </c>
      <c r="E2125" s="18" t="s">
        <v>18</v>
      </c>
      <c r="F2125" s="18" t="s">
        <v>4396</v>
      </c>
      <c r="G2125" s="18" t="s">
        <v>1251</v>
      </c>
      <c r="H2125" s="18" t="s">
        <v>4307</v>
      </c>
      <c r="I2125" s="20" t="s">
        <v>4397</v>
      </c>
      <c r="J2125" s="18" t="s">
        <v>30</v>
      </c>
      <c r="K2125" s="18" t="s">
        <v>24</v>
      </c>
      <c r="L2125" s="18" t="s">
        <v>25</v>
      </c>
      <c r="N2125" s="18" t="s">
        <v>807</v>
      </c>
    </row>
    <row r="2126" spans="1:14" ht="15" customHeight="1" x14ac:dyDescent="0.3">
      <c r="A2126" s="18" t="s">
        <v>4295</v>
      </c>
      <c r="B2126" s="19" t="s">
        <v>15</v>
      </c>
      <c r="C2126" s="18" t="s">
        <v>4303</v>
      </c>
      <c r="D2126" s="18" t="s">
        <v>116</v>
      </c>
      <c r="E2126" s="18" t="s">
        <v>18</v>
      </c>
      <c r="F2126" s="18" t="s">
        <v>4398</v>
      </c>
      <c r="G2126" s="18" t="s">
        <v>160</v>
      </c>
      <c r="H2126" s="18" t="s">
        <v>4307</v>
      </c>
      <c r="I2126" s="20" t="s">
        <v>4399</v>
      </c>
      <c r="J2126" s="18" t="s">
        <v>30</v>
      </c>
      <c r="K2126" s="18" t="s">
        <v>24</v>
      </c>
      <c r="L2126" s="18" t="s">
        <v>25</v>
      </c>
      <c r="M2126" s="18" t="s">
        <v>39</v>
      </c>
      <c r="N2126" s="18" t="s">
        <v>807</v>
      </c>
    </row>
    <row r="2127" spans="1:14" ht="15" customHeight="1" x14ac:dyDescent="0.3">
      <c r="A2127" s="18" t="s">
        <v>4295</v>
      </c>
      <c r="B2127" s="19" t="s">
        <v>15</v>
      </c>
      <c r="C2127" s="18" t="s">
        <v>4303</v>
      </c>
      <c r="D2127" s="18" t="s">
        <v>116</v>
      </c>
      <c r="E2127" s="18" t="s">
        <v>18</v>
      </c>
      <c r="F2127" s="18" t="s">
        <v>4400</v>
      </c>
      <c r="G2127" s="18" t="s">
        <v>536</v>
      </c>
      <c r="H2127" s="18" t="s">
        <v>4318</v>
      </c>
      <c r="I2127" s="20" t="s">
        <v>4401</v>
      </c>
      <c r="J2127" s="18" t="s">
        <v>30</v>
      </c>
      <c r="K2127" s="18" t="s">
        <v>24</v>
      </c>
      <c r="L2127" s="18" t="s">
        <v>25</v>
      </c>
      <c r="N2127" s="18" t="s">
        <v>807</v>
      </c>
    </row>
    <row r="2128" spans="1:14" ht="15" customHeight="1" x14ac:dyDescent="0.3">
      <c r="A2128" s="18" t="s">
        <v>4295</v>
      </c>
      <c r="B2128" s="19" t="s">
        <v>15</v>
      </c>
      <c r="C2128" s="18" t="s">
        <v>4303</v>
      </c>
      <c r="D2128" s="18" t="s">
        <v>116</v>
      </c>
      <c r="E2128" s="18" t="s">
        <v>55</v>
      </c>
      <c r="F2128" s="18" t="s">
        <v>4402</v>
      </c>
      <c r="G2128" s="18" t="s">
        <v>88</v>
      </c>
      <c r="H2128" s="18" t="s">
        <v>4304</v>
      </c>
      <c r="I2128" s="20" t="s">
        <v>4403</v>
      </c>
      <c r="J2128" s="18" t="s">
        <v>73</v>
      </c>
      <c r="K2128" s="18" t="s">
        <v>24</v>
      </c>
      <c r="L2128" s="18" t="s">
        <v>25</v>
      </c>
      <c r="N2128" s="18" t="s">
        <v>807</v>
      </c>
    </row>
    <row r="2129" spans="1:14" ht="15" customHeight="1" x14ac:dyDescent="0.3">
      <c r="A2129" s="18" t="s">
        <v>4295</v>
      </c>
      <c r="B2129" s="19" t="s">
        <v>15</v>
      </c>
      <c r="C2129" s="18" t="s">
        <v>4303</v>
      </c>
      <c r="D2129" s="18" t="s">
        <v>116</v>
      </c>
      <c r="E2129" s="18" t="s">
        <v>55</v>
      </c>
      <c r="F2129" s="18" t="s">
        <v>4404</v>
      </c>
      <c r="G2129" s="18" t="s">
        <v>197</v>
      </c>
      <c r="H2129" s="18" t="s">
        <v>4405</v>
      </c>
      <c r="I2129" s="20" t="s">
        <v>4406</v>
      </c>
      <c r="J2129" s="18" t="s">
        <v>58</v>
      </c>
      <c r="K2129" s="18" t="s">
        <v>24</v>
      </c>
      <c r="L2129" s="18" t="s">
        <v>25</v>
      </c>
      <c r="N2129" s="18" t="s">
        <v>807</v>
      </c>
    </row>
    <row r="2130" spans="1:14" ht="15" customHeight="1" x14ac:dyDescent="0.3">
      <c r="A2130" s="18" t="s">
        <v>4295</v>
      </c>
      <c r="B2130" s="19" t="s">
        <v>15</v>
      </c>
      <c r="C2130" s="18" t="s">
        <v>4303</v>
      </c>
      <c r="D2130" s="18" t="s">
        <v>116</v>
      </c>
      <c r="E2130" s="18" t="s">
        <v>55</v>
      </c>
      <c r="F2130" s="18" t="s">
        <v>4407</v>
      </c>
      <c r="G2130" s="18" t="s">
        <v>85</v>
      </c>
      <c r="H2130" s="18" t="s">
        <v>4408</v>
      </c>
      <c r="I2130" s="20" t="s">
        <v>4409</v>
      </c>
      <c r="J2130" s="18" t="s">
        <v>58</v>
      </c>
      <c r="K2130" s="18" t="s">
        <v>24</v>
      </c>
      <c r="L2130" s="18" t="s">
        <v>25</v>
      </c>
      <c r="N2130" s="18" t="s">
        <v>807</v>
      </c>
    </row>
    <row r="2131" spans="1:14" ht="15" customHeight="1" x14ac:dyDescent="0.3">
      <c r="A2131" s="18" t="s">
        <v>4295</v>
      </c>
      <c r="B2131" s="19" t="s">
        <v>15</v>
      </c>
      <c r="C2131" s="18" t="s">
        <v>4303</v>
      </c>
      <c r="D2131" s="18" t="s">
        <v>116</v>
      </c>
      <c r="E2131" s="18" t="s">
        <v>55</v>
      </c>
      <c r="F2131" s="18" t="s">
        <v>4410</v>
      </c>
      <c r="G2131" s="18" t="s">
        <v>41</v>
      </c>
      <c r="H2131" s="18" t="s">
        <v>4307</v>
      </c>
      <c r="I2131" s="20" t="s">
        <v>4411</v>
      </c>
      <c r="J2131" s="18" t="s">
        <v>58</v>
      </c>
      <c r="K2131" s="18" t="s">
        <v>24</v>
      </c>
      <c r="L2131" s="18" t="s">
        <v>25</v>
      </c>
      <c r="N2131" s="18" t="s">
        <v>807</v>
      </c>
    </row>
    <row r="2132" spans="1:14" ht="15" customHeight="1" x14ac:dyDescent="0.3">
      <c r="A2132" s="18" t="s">
        <v>4295</v>
      </c>
      <c r="B2132" s="19" t="s">
        <v>15</v>
      </c>
      <c r="C2132" s="18" t="s">
        <v>4303</v>
      </c>
      <c r="D2132" s="18" t="s">
        <v>116</v>
      </c>
      <c r="E2132" s="18" t="s">
        <v>55</v>
      </c>
      <c r="F2132" s="18" t="s">
        <v>4377</v>
      </c>
      <c r="G2132" s="18" t="s">
        <v>197</v>
      </c>
      <c r="H2132" s="18" t="s">
        <v>4307</v>
      </c>
      <c r="I2132" s="20" t="s">
        <v>4412</v>
      </c>
      <c r="J2132" s="18" t="s">
        <v>58</v>
      </c>
      <c r="K2132" s="18" t="s">
        <v>24</v>
      </c>
      <c r="L2132" s="18" t="s">
        <v>25</v>
      </c>
      <c r="N2132" s="18" t="s">
        <v>807</v>
      </c>
    </row>
    <row r="2133" spans="1:14" ht="15" customHeight="1" x14ac:dyDescent="0.3">
      <c r="A2133" s="18" t="s">
        <v>4295</v>
      </c>
      <c r="B2133" s="19" t="s">
        <v>15</v>
      </c>
      <c r="C2133" s="18" t="s">
        <v>4303</v>
      </c>
      <c r="D2133" s="18" t="s">
        <v>116</v>
      </c>
      <c r="E2133" s="18" t="s">
        <v>55</v>
      </c>
      <c r="F2133" s="18" t="s">
        <v>4413</v>
      </c>
      <c r="G2133" s="18" t="s">
        <v>28</v>
      </c>
      <c r="H2133" s="18" t="s">
        <v>4307</v>
      </c>
      <c r="I2133" s="20" t="s">
        <v>4414</v>
      </c>
      <c r="J2133" s="18" t="s">
        <v>58</v>
      </c>
      <c r="K2133" s="18" t="s">
        <v>24</v>
      </c>
      <c r="L2133" s="18" t="s">
        <v>25</v>
      </c>
      <c r="N2133" s="18" t="s">
        <v>807</v>
      </c>
    </row>
    <row r="2134" spans="1:14" ht="15" customHeight="1" x14ac:dyDescent="0.3">
      <c r="A2134" s="18" t="s">
        <v>4295</v>
      </c>
      <c r="B2134" s="19" t="s">
        <v>15</v>
      </c>
      <c r="C2134" s="18" t="s">
        <v>4296</v>
      </c>
      <c r="D2134" s="18" t="s">
        <v>116</v>
      </c>
      <c r="E2134" s="18" t="s">
        <v>55</v>
      </c>
      <c r="F2134" s="18" t="s">
        <v>4415</v>
      </c>
      <c r="G2134" s="18" t="s">
        <v>1340</v>
      </c>
      <c r="H2134" s="18" t="s">
        <v>4298</v>
      </c>
      <c r="I2134" s="20" t="s">
        <v>4416</v>
      </c>
      <c r="J2134" s="18" t="s">
        <v>58</v>
      </c>
      <c r="K2134" s="18" t="s">
        <v>24</v>
      </c>
      <c r="L2134" s="18" t="s">
        <v>25</v>
      </c>
      <c r="N2134" s="18" t="s">
        <v>973</v>
      </c>
    </row>
    <row r="2135" spans="1:14" ht="15" customHeight="1" x14ac:dyDescent="0.3">
      <c r="A2135" s="18" t="s">
        <v>4295</v>
      </c>
      <c r="B2135" s="19" t="s">
        <v>15</v>
      </c>
      <c r="C2135" s="18" t="s">
        <v>4303</v>
      </c>
      <c r="D2135" s="18" t="s">
        <v>116</v>
      </c>
      <c r="E2135" s="18" t="s">
        <v>55</v>
      </c>
      <c r="F2135" s="18" t="s">
        <v>1272</v>
      </c>
      <c r="G2135" s="18" t="s">
        <v>1204</v>
      </c>
      <c r="H2135" s="18" t="s">
        <v>4307</v>
      </c>
      <c r="I2135" s="20" t="s">
        <v>4417</v>
      </c>
      <c r="J2135" s="18" t="s">
        <v>58</v>
      </c>
      <c r="K2135" s="18" t="s">
        <v>24</v>
      </c>
      <c r="L2135" s="18" t="s">
        <v>25</v>
      </c>
      <c r="N2135" s="18" t="s">
        <v>807</v>
      </c>
    </row>
    <row r="2136" spans="1:14" ht="15" customHeight="1" x14ac:dyDescent="0.3">
      <c r="A2136" s="18" t="s">
        <v>4295</v>
      </c>
      <c r="B2136" s="19" t="s">
        <v>15</v>
      </c>
      <c r="C2136" s="18" t="s">
        <v>4303</v>
      </c>
      <c r="D2136" s="18" t="s">
        <v>116</v>
      </c>
      <c r="E2136" s="18" t="s">
        <v>55</v>
      </c>
      <c r="F2136" s="18" t="s">
        <v>4418</v>
      </c>
      <c r="G2136" s="18" t="s">
        <v>47</v>
      </c>
      <c r="H2136" s="18" t="s">
        <v>4307</v>
      </c>
      <c r="I2136" s="20" t="s">
        <v>4419</v>
      </c>
      <c r="J2136" s="18" t="s">
        <v>58</v>
      </c>
      <c r="K2136" s="18" t="s">
        <v>24</v>
      </c>
      <c r="L2136" s="18" t="s">
        <v>25</v>
      </c>
      <c r="N2136" s="18" t="s">
        <v>807</v>
      </c>
    </row>
    <row r="2137" spans="1:14" ht="15" customHeight="1" x14ac:dyDescent="0.3">
      <c r="A2137" s="18" t="s">
        <v>4295</v>
      </c>
      <c r="B2137" s="19" t="s">
        <v>15</v>
      </c>
      <c r="C2137" s="18" t="s">
        <v>4296</v>
      </c>
      <c r="D2137" s="18" t="s">
        <v>116</v>
      </c>
      <c r="E2137" s="18" t="s">
        <v>55</v>
      </c>
      <c r="F2137" s="18" t="s">
        <v>4420</v>
      </c>
      <c r="G2137" s="18" t="s">
        <v>35</v>
      </c>
      <c r="H2137" s="18" t="s">
        <v>4301</v>
      </c>
      <c r="I2137" s="20" t="s">
        <v>4421</v>
      </c>
      <c r="J2137" s="18" t="s">
        <v>58</v>
      </c>
      <c r="K2137" s="18" t="s">
        <v>24</v>
      </c>
      <c r="L2137" s="18" t="s">
        <v>25</v>
      </c>
      <c r="N2137" s="18" t="s">
        <v>973</v>
      </c>
    </row>
    <row r="2138" spans="1:14" ht="15" customHeight="1" x14ac:dyDescent="0.3">
      <c r="A2138" s="18" t="s">
        <v>4295</v>
      </c>
      <c r="B2138" s="19" t="s">
        <v>15</v>
      </c>
      <c r="C2138" s="18" t="s">
        <v>4303</v>
      </c>
      <c r="D2138" s="18" t="s">
        <v>116</v>
      </c>
      <c r="E2138" s="18" t="s">
        <v>55</v>
      </c>
      <c r="F2138" s="18" t="s">
        <v>40</v>
      </c>
      <c r="G2138" s="18" t="s">
        <v>41</v>
      </c>
      <c r="H2138" s="18" t="s">
        <v>4318</v>
      </c>
      <c r="I2138" s="20" t="s">
        <v>4422</v>
      </c>
      <c r="J2138" s="18" t="s">
        <v>58</v>
      </c>
      <c r="K2138" s="18" t="s">
        <v>24</v>
      </c>
      <c r="L2138" s="18" t="s">
        <v>25</v>
      </c>
      <c r="N2138" s="18" t="s">
        <v>807</v>
      </c>
    </row>
    <row r="2139" spans="1:14" ht="15" customHeight="1" x14ac:dyDescent="0.3">
      <c r="A2139" s="18" t="s">
        <v>4295</v>
      </c>
      <c r="B2139" s="19" t="s">
        <v>15</v>
      </c>
      <c r="C2139" s="18" t="s">
        <v>4303</v>
      </c>
      <c r="D2139" s="18" t="s">
        <v>116</v>
      </c>
      <c r="E2139" s="18" t="s">
        <v>55</v>
      </c>
      <c r="F2139" s="18" t="s">
        <v>4423</v>
      </c>
      <c r="G2139" s="18" t="s">
        <v>41</v>
      </c>
      <c r="H2139" s="18" t="s">
        <v>4318</v>
      </c>
      <c r="I2139" s="20" t="s">
        <v>4424</v>
      </c>
      <c r="J2139" s="18" t="s">
        <v>58</v>
      </c>
      <c r="K2139" s="18" t="s">
        <v>24</v>
      </c>
      <c r="L2139" s="18" t="s">
        <v>25</v>
      </c>
      <c r="M2139" s="18" t="s">
        <v>39</v>
      </c>
      <c r="N2139" s="18" t="s">
        <v>807</v>
      </c>
    </row>
    <row r="2140" spans="1:14" ht="15" customHeight="1" x14ac:dyDescent="0.3">
      <c r="A2140" s="18" t="s">
        <v>4295</v>
      </c>
      <c r="B2140" s="19" t="s">
        <v>15</v>
      </c>
      <c r="C2140" s="18" t="s">
        <v>4303</v>
      </c>
      <c r="D2140" s="18" t="s">
        <v>116</v>
      </c>
      <c r="E2140" s="18" t="s">
        <v>55</v>
      </c>
      <c r="F2140" s="18" t="s">
        <v>1088</v>
      </c>
      <c r="G2140" s="18" t="s">
        <v>41</v>
      </c>
      <c r="H2140" s="18" t="s">
        <v>4318</v>
      </c>
      <c r="I2140" s="20" t="s">
        <v>4425</v>
      </c>
      <c r="J2140" s="18" t="s">
        <v>58</v>
      </c>
      <c r="K2140" s="18" t="s">
        <v>24</v>
      </c>
      <c r="L2140" s="18" t="s">
        <v>25</v>
      </c>
      <c r="N2140" s="18" t="s">
        <v>807</v>
      </c>
    </row>
    <row r="2141" spans="1:14" ht="15" customHeight="1" x14ac:dyDescent="0.3">
      <c r="A2141" s="18" t="s">
        <v>4295</v>
      </c>
      <c r="B2141" s="19" t="s">
        <v>15</v>
      </c>
      <c r="C2141" s="18" t="s">
        <v>4303</v>
      </c>
      <c r="D2141" s="18" t="s">
        <v>116</v>
      </c>
      <c r="E2141" s="18" t="s">
        <v>55</v>
      </c>
      <c r="F2141" s="18" t="s">
        <v>4426</v>
      </c>
      <c r="G2141" s="18" t="s">
        <v>41</v>
      </c>
      <c r="H2141" s="18" t="s">
        <v>4318</v>
      </c>
      <c r="I2141" s="20" t="s">
        <v>4427</v>
      </c>
      <c r="J2141" s="18" t="s">
        <v>58</v>
      </c>
      <c r="K2141" s="18" t="s">
        <v>24</v>
      </c>
      <c r="L2141" s="18" t="s">
        <v>25</v>
      </c>
      <c r="M2141" s="18" t="s">
        <v>39</v>
      </c>
      <c r="N2141" s="18" t="s">
        <v>807</v>
      </c>
    </row>
    <row r="2142" spans="1:14" ht="15" customHeight="1" x14ac:dyDescent="0.3">
      <c r="A2142" s="18" t="s">
        <v>4295</v>
      </c>
      <c r="B2142" s="19" t="s">
        <v>15</v>
      </c>
      <c r="C2142" s="18" t="s">
        <v>4303</v>
      </c>
      <c r="D2142" s="18" t="s">
        <v>116</v>
      </c>
      <c r="E2142" s="18" t="s">
        <v>55</v>
      </c>
      <c r="F2142" s="18" t="s">
        <v>4349</v>
      </c>
      <c r="G2142" s="18" t="s">
        <v>160</v>
      </c>
      <c r="H2142" s="18" t="s">
        <v>4307</v>
      </c>
      <c r="I2142" s="20" t="s">
        <v>4428</v>
      </c>
      <c r="J2142" s="18" t="s">
        <v>58</v>
      </c>
      <c r="K2142" s="18" t="s">
        <v>24</v>
      </c>
      <c r="L2142" s="18" t="s">
        <v>25</v>
      </c>
      <c r="M2142" s="18" t="s">
        <v>39</v>
      </c>
      <c r="N2142" s="18" t="s">
        <v>807</v>
      </c>
    </row>
    <row r="2143" spans="1:14" ht="15" customHeight="1" x14ac:dyDescent="0.3">
      <c r="A2143" s="18" t="s">
        <v>4295</v>
      </c>
      <c r="B2143" s="19" t="s">
        <v>15</v>
      </c>
      <c r="C2143" s="18" t="s">
        <v>4303</v>
      </c>
      <c r="D2143" s="18" t="s">
        <v>116</v>
      </c>
      <c r="E2143" s="18" t="s">
        <v>55</v>
      </c>
      <c r="F2143" s="18" t="s">
        <v>4429</v>
      </c>
      <c r="G2143" s="18" t="s">
        <v>173</v>
      </c>
      <c r="H2143" s="18" t="s">
        <v>4307</v>
      </c>
      <c r="I2143" s="20" t="s">
        <v>4430</v>
      </c>
      <c r="J2143" s="18" t="s">
        <v>58</v>
      </c>
      <c r="K2143" s="18" t="s">
        <v>24</v>
      </c>
      <c r="L2143" s="18" t="s">
        <v>25</v>
      </c>
      <c r="M2143" s="18" t="s">
        <v>39</v>
      </c>
      <c r="N2143" s="18" t="s">
        <v>807</v>
      </c>
    </row>
    <row r="2144" spans="1:14" ht="15" customHeight="1" x14ac:dyDescent="0.3">
      <c r="A2144" s="18" t="s">
        <v>4295</v>
      </c>
      <c r="B2144" s="19" t="s">
        <v>15</v>
      </c>
      <c r="C2144" s="18" t="s">
        <v>4303</v>
      </c>
      <c r="D2144" s="18" t="s">
        <v>116</v>
      </c>
      <c r="E2144" s="18" t="s">
        <v>55</v>
      </c>
      <c r="F2144" s="18" t="s">
        <v>4396</v>
      </c>
      <c r="G2144" s="18" t="s">
        <v>1251</v>
      </c>
      <c r="H2144" s="18" t="s">
        <v>4307</v>
      </c>
      <c r="I2144" s="20" t="s">
        <v>4431</v>
      </c>
      <c r="J2144" s="18" t="s">
        <v>58</v>
      </c>
      <c r="K2144" s="18" t="s">
        <v>24</v>
      </c>
      <c r="L2144" s="18" t="s">
        <v>25</v>
      </c>
      <c r="N2144" s="18" t="s">
        <v>807</v>
      </c>
    </row>
    <row r="2145" spans="1:14" ht="15" customHeight="1" x14ac:dyDescent="0.3">
      <c r="A2145" s="18" t="s">
        <v>4295</v>
      </c>
      <c r="B2145" s="19" t="s">
        <v>15</v>
      </c>
      <c r="C2145" s="18" t="s">
        <v>4303</v>
      </c>
      <c r="D2145" s="18" t="s">
        <v>116</v>
      </c>
      <c r="E2145" s="18" t="s">
        <v>55</v>
      </c>
      <c r="F2145" s="18" t="s">
        <v>4432</v>
      </c>
      <c r="G2145" s="18" t="s">
        <v>160</v>
      </c>
      <c r="H2145" s="18" t="s">
        <v>4307</v>
      </c>
      <c r="I2145" s="20" t="s">
        <v>4433</v>
      </c>
      <c r="J2145" s="18" t="s">
        <v>199</v>
      </c>
      <c r="K2145" s="18" t="s">
        <v>24</v>
      </c>
      <c r="L2145" s="18" t="s">
        <v>25</v>
      </c>
      <c r="N2145" s="18" t="s">
        <v>807</v>
      </c>
    </row>
    <row r="2146" spans="1:14" ht="15" customHeight="1" x14ac:dyDescent="0.3">
      <c r="A2146" s="18" t="s">
        <v>4295</v>
      </c>
      <c r="B2146" s="19" t="s">
        <v>15</v>
      </c>
      <c r="C2146" s="18" t="s">
        <v>4303</v>
      </c>
      <c r="D2146" s="18" t="s">
        <v>116</v>
      </c>
      <c r="E2146" s="18" t="s">
        <v>55</v>
      </c>
      <c r="F2146" s="18" t="s">
        <v>4434</v>
      </c>
      <c r="G2146" s="18" t="s">
        <v>536</v>
      </c>
      <c r="H2146" s="18" t="s">
        <v>4318</v>
      </c>
      <c r="I2146" s="20" t="s">
        <v>4435</v>
      </c>
      <c r="J2146" s="18" t="s">
        <v>73</v>
      </c>
      <c r="K2146" s="18" t="s">
        <v>24</v>
      </c>
      <c r="L2146" s="18" t="s">
        <v>25</v>
      </c>
      <c r="N2146" s="18" t="s">
        <v>807</v>
      </c>
    </row>
    <row r="2147" spans="1:14" ht="15" customHeight="1" x14ac:dyDescent="0.3">
      <c r="A2147" s="18" t="s">
        <v>4295</v>
      </c>
      <c r="B2147" s="19" t="s">
        <v>15</v>
      </c>
      <c r="C2147" s="18" t="s">
        <v>4303</v>
      </c>
      <c r="D2147" s="18" t="s">
        <v>116</v>
      </c>
      <c r="E2147" s="18" t="s">
        <v>55</v>
      </c>
      <c r="F2147" s="18" t="s">
        <v>4436</v>
      </c>
      <c r="G2147" s="18" t="s">
        <v>197</v>
      </c>
      <c r="H2147" s="18" t="s">
        <v>4307</v>
      </c>
      <c r="I2147" s="20" t="s">
        <v>4437</v>
      </c>
      <c r="J2147" s="18" t="s">
        <v>58</v>
      </c>
      <c r="K2147" s="18" t="s">
        <v>24</v>
      </c>
      <c r="L2147" s="18" t="s">
        <v>25</v>
      </c>
      <c r="M2147" s="18" t="s">
        <v>39</v>
      </c>
      <c r="N2147" s="18" t="s">
        <v>807</v>
      </c>
    </row>
    <row r="2148" spans="1:14" ht="15" customHeight="1" x14ac:dyDescent="0.3">
      <c r="A2148" s="18" t="s">
        <v>4295</v>
      </c>
      <c r="B2148" s="19" t="s">
        <v>15</v>
      </c>
      <c r="C2148" s="18" t="s">
        <v>4303</v>
      </c>
      <c r="D2148" s="18" t="s">
        <v>116</v>
      </c>
      <c r="E2148" s="18" t="s">
        <v>74</v>
      </c>
      <c r="F2148" s="18" t="s">
        <v>4438</v>
      </c>
      <c r="G2148" s="18" t="s">
        <v>197</v>
      </c>
      <c r="H2148" s="18" t="s">
        <v>4439</v>
      </c>
      <c r="I2148" s="20" t="s">
        <v>4440</v>
      </c>
      <c r="J2148" s="18" t="s">
        <v>199</v>
      </c>
      <c r="K2148" s="18" t="s">
        <v>24</v>
      </c>
      <c r="L2148" s="18" t="s">
        <v>25</v>
      </c>
      <c r="N2148" s="18" t="s">
        <v>807</v>
      </c>
    </row>
    <row r="2149" spans="1:14" ht="15" customHeight="1" x14ac:dyDescent="0.3">
      <c r="A2149" s="18" t="s">
        <v>4295</v>
      </c>
      <c r="B2149" s="19" t="s">
        <v>15</v>
      </c>
      <c r="C2149" s="18" t="s">
        <v>4303</v>
      </c>
      <c r="D2149" s="18" t="s">
        <v>116</v>
      </c>
      <c r="E2149" s="18" t="s">
        <v>74</v>
      </c>
      <c r="F2149" s="18" t="s">
        <v>4441</v>
      </c>
      <c r="G2149" s="18" t="s">
        <v>197</v>
      </c>
      <c r="H2149" s="18" t="s">
        <v>4439</v>
      </c>
      <c r="I2149" s="20" t="s">
        <v>4442</v>
      </c>
      <c r="J2149" s="18" t="s">
        <v>4443</v>
      </c>
      <c r="K2149" s="18" t="s">
        <v>24</v>
      </c>
      <c r="L2149" s="18" t="s">
        <v>25</v>
      </c>
      <c r="N2149" s="18" t="s">
        <v>807</v>
      </c>
    </row>
    <row r="2150" spans="1:14" ht="15" customHeight="1" x14ac:dyDescent="0.3">
      <c r="A2150" s="18" t="s">
        <v>4295</v>
      </c>
      <c r="B2150" s="19" t="s">
        <v>15</v>
      </c>
      <c r="C2150" s="18" t="s">
        <v>4303</v>
      </c>
      <c r="D2150" s="18" t="s">
        <v>116</v>
      </c>
      <c r="E2150" s="18" t="s">
        <v>74</v>
      </c>
      <c r="F2150" s="18" t="s">
        <v>4444</v>
      </c>
      <c r="G2150" s="18" t="s">
        <v>1130</v>
      </c>
      <c r="H2150" s="18" t="s">
        <v>4445</v>
      </c>
      <c r="I2150" s="20" t="s">
        <v>4446</v>
      </c>
      <c r="J2150" s="18" t="s">
        <v>1128</v>
      </c>
      <c r="K2150" s="18" t="s">
        <v>24</v>
      </c>
      <c r="L2150" s="18" t="s">
        <v>25</v>
      </c>
      <c r="N2150" s="18" t="s">
        <v>807</v>
      </c>
    </row>
    <row r="2151" spans="1:14" ht="15" customHeight="1" x14ac:dyDescent="0.3">
      <c r="A2151" s="18" t="s">
        <v>4295</v>
      </c>
      <c r="B2151" s="19" t="s">
        <v>15</v>
      </c>
      <c r="C2151" s="18" t="s">
        <v>4303</v>
      </c>
      <c r="D2151" s="18" t="s">
        <v>116</v>
      </c>
      <c r="E2151" s="18" t="s">
        <v>74</v>
      </c>
      <c r="F2151" s="18" t="s">
        <v>4447</v>
      </c>
      <c r="G2151" s="18" t="s">
        <v>41</v>
      </c>
      <c r="H2151" s="18" t="s">
        <v>4448</v>
      </c>
      <c r="I2151" s="20" t="s">
        <v>4449</v>
      </c>
      <c r="J2151" s="18" t="s">
        <v>1128</v>
      </c>
      <c r="K2151" s="18" t="s">
        <v>293</v>
      </c>
      <c r="L2151" s="18" t="s">
        <v>25</v>
      </c>
      <c r="N2151" s="18" t="s">
        <v>807</v>
      </c>
    </row>
    <row r="2152" spans="1:14" ht="15" customHeight="1" x14ac:dyDescent="0.3">
      <c r="A2152" s="18" t="s">
        <v>4295</v>
      </c>
      <c r="B2152" s="19" t="s">
        <v>15</v>
      </c>
      <c r="C2152" s="18" t="s">
        <v>4303</v>
      </c>
      <c r="D2152" s="18" t="s">
        <v>116</v>
      </c>
      <c r="E2152" s="18" t="s">
        <v>74</v>
      </c>
      <c r="F2152" s="18" t="s">
        <v>4450</v>
      </c>
      <c r="G2152" s="18" t="s">
        <v>1136</v>
      </c>
      <c r="H2152" s="18" t="s">
        <v>4445</v>
      </c>
      <c r="I2152" s="20" t="s">
        <v>4451</v>
      </c>
      <c r="J2152" s="18" t="s">
        <v>1128</v>
      </c>
      <c r="K2152" s="18" t="s">
        <v>24</v>
      </c>
      <c r="L2152" s="18" t="s">
        <v>25</v>
      </c>
      <c r="N2152" s="18" t="s">
        <v>807</v>
      </c>
    </row>
    <row r="2153" spans="1:14" ht="15" customHeight="1" x14ac:dyDescent="0.3">
      <c r="A2153" s="18" t="s">
        <v>4295</v>
      </c>
      <c r="B2153" s="19" t="s">
        <v>15</v>
      </c>
      <c r="C2153" s="18" t="s">
        <v>4303</v>
      </c>
      <c r="D2153" s="18" t="s">
        <v>116</v>
      </c>
      <c r="E2153" s="18" t="s">
        <v>74</v>
      </c>
      <c r="F2153" s="18" t="s">
        <v>4452</v>
      </c>
      <c r="G2153" s="18" t="s">
        <v>207</v>
      </c>
      <c r="H2153" s="18" t="s">
        <v>4448</v>
      </c>
      <c r="I2153" s="20" t="s">
        <v>4453</v>
      </c>
      <c r="J2153" s="18" t="s">
        <v>4454</v>
      </c>
      <c r="K2153" s="18" t="s">
        <v>91</v>
      </c>
      <c r="L2153" s="18" t="s">
        <v>25</v>
      </c>
      <c r="N2153" s="18" t="s">
        <v>807</v>
      </c>
    </row>
    <row r="2154" spans="1:14" ht="15" customHeight="1" x14ac:dyDescent="0.3">
      <c r="A2154" s="18" t="s">
        <v>4295</v>
      </c>
      <c r="B2154" s="19" t="s">
        <v>15</v>
      </c>
      <c r="C2154" s="18" t="s">
        <v>4303</v>
      </c>
      <c r="D2154" s="18" t="s">
        <v>116</v>
      </c>
      <c r="E2154" s="18" t="s">
        <v>74</v>
      </c>
      <c r="F2154" s="18" t="s">
        <v>4455</v>
      </c>
      <c r="G2154" s="18" t="s">
        <v>63</v>
      </c>
      <c r="H2154" s="18" t="s">
        <v>4445</v>
      </c>
      <c r="I2154" s="20" t="s">
        <v>4456</v>
      </c>
      <c r="J2154" s="18" t="s">
        <v>1128</v>
      </c>
      <c r="K2154" s="18" t="s">
        <v>24</v>
      </c>
      <c r="L2154" s="18" t="s">
        <v>25</v>
      </c>
      <c r="N2154" s="18" t="s">
        <v>807</v>
      </c>
    </row>
    <row r="2155" spans="1:14" ht="15" customHeight="1" x14ac:dyDescent="0.3">
      <c r="A2155" s="18" t="s">
        <v>4295</v>
      </c>
      <c r="B2155" s="19" t="s">
        <v>15</v>
      </c>
      <c r="C2155" s="18" t="s">
        <v>4303</v>
      </c>
      <c r="D2155" s="18" t="s">
        <v>116</v>
      </c>
      <c r="E2155" s="18" t="s">
        <v>74</v>
      </c>
      <c r="F2155" s="18" t="s">
        <v>4457</v>
      </c>
      <c r="G2155" s="18" t="s">
        <v>41</v>
      </c>
      <c r="H2155" s="18" t="s">
        <v>4448</v>
      </c>
      <c r="I2155" s="20" t="s">
        <v>4458</v>
      </c>
      <c r="J2155" s="18" t="s">
        <v>1128</v>
      </c>
      <c r="K2155" s="18" t="s">
        <v>24</v>
      </c>
      <c r="L2155" s="18" t="s">
        <v>25</v>
      </c>
      <c r="N2155" s="18" t="s">
        <v>807</v>
      </c>
    </row>
    <row r="2156" spans="1:14" ht="15" customHeight="1" x14ac:dyDescent="0.3">
      <c r="A2156" s="18" t="s">
        <v>4295</v>
      </c>
      <c r="B2156" s="19" t="s">
        <v>15</v>
      </c>
      <c r="C2156" s="18" t="s">
        <v>4303</v>
      </c>
      <c r="D2156" s="18" t="s">
        <v>116</v>
      </c>
      <c r="E2156" s="18" t="s">
        <v>74</v>
      </c>
      <c r="F2156" s="18" t="s">
        <v>4459</v>
      </c>
      <c r="G2156" s="18" t="s">
        <v>1009</v>
      </c>
      <c r="H2156" s="18" t="s">
        <v>4439</v>
      </c>
      <c r="I2156" s="20" t="s">
        <v>4460</v>
      </c>
      <c r="J2156" s="18" t="s">
        <v>1128</v>
      </c>
      <c r="K2156" s="18" t="s">
        <v>24</v>
      </c>
      <c r="L2156" s="18" t="s">
        <v>25</v>
      </c>
      <c r="N2156" s="18" t="s">
        <v>807</v>
      </c>
    </row>
    <row r="2157" spans="1:14" ht="15" customHeight="1" x14ac:dyDescent="0.3">
      <c r="A2157" s="18" t="s">
        <v>4295</v>
      </c>
      <c r="B2157" s="19" t="s">
        <v>15</v>
      </c>
      <c r="C2157" s="18" t="s">
        <v>4303</v>
      </c>
      <c r="D2157" s="18" t="s">
        <v>116</v>
      </c>
      <c r="E2157" s="18" t="s">
        <v>74</v>
      </c>
      <c r="F2157" s="18" t="s">
        <v>4461</v>
      </c>
      <c r="G2157" s="18" t="s">
        <v>536</v>
      </c>
      <c r="H2157" s="18" t="s">
        <v>4448</v>
      </c>
      <c r="I2157" s="20" t="s">
        <v>4462</v>
      </c>
      <c r="J2157" s="18" t="s">
        <v>4463</v>
      </c>
      <c r="K2157" s="18" t="s">
        <v>293</v>
      </c>
      <c r="L2157" s="18" t="s">
        <v>25</v>
      </c>
      <c r="N2157" s="18" t="s">
        <v>807</v>
      </c>
    </row>
    <row r="2158" spans="1:14" ht="15" customHeight="1" x14ac:dyDescent="0.3">
      <c r="A2158" s="18" t="s">
        <v>4464</v>
      </c>
      <c r="B2158" s="19" t="s">
        <v>15</v>
      </c>
      <c r="C2158" s="18" t="s">
        <v>4465</v>
      </c>
      <c r="D2158" s="18" t="s">
        <v>116</v>
      </c>
      <c r="E2158" s="18" t="s">
        <v>117</v>
      </c>
      <c r="F2158" s="18" t="s">
        <v>4466</v>
      </c>
      <c r="G2158" s="18" t="s">
        <v>1634</v>
      </c>
      <c r="H2158" s="18" t="s">
        <v>4467</v>
      </c>
      <c r="I2158" s="20" t="s">
        <v>4468</v>
      </c>
      <c r="J2158" s="18" t="s">
        <v>58</v>
      </c>
      <c r="K2158" s="18" t="s">
        <v>24</v>
      </c>
      <c r="L2158" s="18" t="s">
        <v>25</v>
      </c>
      <c r="N2158" s="18" t="s">
        <v>154</v>
      </c>
    </row>
    <row r="2159" spans="1:14" ht="15" customHeight="1" x14ac:dyDescent="0.3">
      <c r="A2159" s="18" t="s">
        <v>4464</v>
      </c>
      <c r="B2159" s="19" t="s">
        <v>15</v>
      </c>
      <c r="C2159" s="18" t="s">
        <v>4469</v>
      </c>
      <c r="D2159" s="18" t="s">
        <v>116</v>
      </c>
      <c r="E2159" s="18" t="s">
        <v>117</v>
      </c>
      <c r="F2159" s="18" t="s">
        <v>4470</v>
      </c>
      <c r="G2159" s="18" t="s">
        <v>606</v>
      </c>
      <c r="H2159" s="18" t="s">
        <v>4471</v>
      </c>
      <c r="I2159" s="20" t="s">
        <v>4472</v>
      </c>
      <c r="J2159" s="18" t="s">
        <v>58</v>
      </c>
      <c r="K2159" s="18" t="s">
        <v>24</v>
      </c>
      <c r="L2159" s="18" t="s">
        <v>25</v>
      </c>
      <c r="N2159" s="18" t="s">
        <v>973</v>
      </c>
    </row>
    <row r="2160" spans="1:14" ht="15" customHeight="1" x14ac:dyDescent="0.3">
      <c r="A2160" s="18" t="s">
        <v>4464</v>
      </c>
      <c r="B2160" s="19" t="s">
        <v>15</v>
      </c>
      <c r="C2160" s="18" t="s">
        <v>4465</v>
      </c>
      <c r="D2160" s="18" t="s">
        <v>116</v>
      </c>
      <c r="E2160" s="18" t="s">
        <v>117</v>
      </c>
      <c r="F2160" s="18" t="s">
        <v>4473</v>
      </c>
      <c r="G2160" s="18" t="s">
        <v>151</v>
      </c>
      <c r="H2160" s="18" t="s">
        <v>4474</v>
      </c>
      <c r="I2160" s="20" t="s">
        <v>4475</v>
      </c>
      <c r="J2160" s="18" t="s">
        <v>58</v>
      </c>
      <c r="K2160" s="18" t="s">
        <v>24</v>
      </c>
      <c r="L2160" s="18" t="s">
        <v>25</v>
      </c>
      <c r="N2160" s="18" t="s">
        <v>154</v>
      </c>
    </row>
    <row r="2161" spans="1:14" ht="15" customHeight="1" x14ac:dyDescent="0.3">
      <c r="A2161" s="18" t="s">
        <v>4464</v>
      </c>
      <c r="B2161" s="19" t="s">
        <v>15</v>
      </c>
      <c r="C2161" s="18" t="s">
        <v>4465</v>
      </c>
      <c r="D2161" s="18" t="s">
        <v>116</v>
      </c>
      <c r="E2161" s="18" t="s">
        <v>117</v>
      </c>
      <c r="F2161" s="18" t="s">
        <v>4476</v>
      </c>
      <c r="G2161" s="18" t="s">
        <v>151</v>
      </c>
      <c r="H2161" s="18" t="s">
        <v>4474</v>
      </c>
      <c r="I2161" s="20" t="s">
        <v>4477</v>
      </c>
      <c r="J2161" s="18" t="s">
        <v>58</v>
      </c>
      <c r="K2161" s="18" t="s">
        <v>24</v>
      </c>
      <c r="L2161" s="18" t="s">
        <v>25</v>
      </c>
      <c r="N2161" s="18" t="s">
        <v>154</v>
      </c>
    </row>
    <row r="2162" spans="1:14" ht="15" customHeight="1" x14ac:dyDescent="0.3">
      <c r="A2162" s="18" t="s">
        <v>4464</v>
      </c>
      <c r="B2162" s="19" t="s">
        <v>15</v>
      </c>
      <c r="C2162" s="18" t="s">
        <v>4465</v>
      </c>
      <c r="D2162" s="18" t="s">
        <v>116</v>
      </c>
      <c r="E2162" s="18" t="s">
        <v>117</v>
      </c>
      <c r="F2162" s="18" t="s">
        <v>1299</v>
      </c>
      <c r="G2162" s="18" t="s">
        <v>212</v>
      </c>
      <c r="H2162" s="18" t="s">
        <v>4478</v>
      </c>
      <c r="I2162" s="20" t="s">
        <v>4479</v>
      </c>
      <c r="J2162" s="18" t="s">
        <v>58</v>
      </c>
      <c r="K2162" s="18" t="s">
        <v>24</v>
      </c>
      <c r="L2162" s="18" t="s">
        <v>25</v>
      </c>
      <c r="N2162" s="18" t="s">
        <v>154</v>
      </c>
    </row>
    <row r="2163" spans="1:14" ht="15" customHeight="1" x14ac:dyDescent="0.3">
      <c r="A2163" s="18" t="s">
        <v>4464</v>
      </c>
      <c r="B2163" s="19" t="s">
        <v>15</v>
      </c>
      <c r="C2163" s="18" t="s">
        <v>4480</v>
      </c>
      <c r="D2163" s="18" t="s">
        <v>116</v>
      </c>
      <c r="E2163" s="18" t="s">
        <v>117</v>
      </c>
      <c r="F2163" s="18" t="s">
        <v>4481</v>
      </c>
      <c r="G2163" s="18" t="s">
        <v>85</v>
      </c>
      <c r="H2163" s="18" t="s">
        <v>4482</v>
      </c>
      <c r="I2163" s="20" t="s">
        <v>4483</v>
      </c>
      <c r="J2163" s="18" t="s">
        <v>58</v>
      </c>
      <c r="K2163" s="18" t="s">
        <v>24</v>
      </c>
      <c r="L2163" s="18" t="s">
        <v>25</v>
      </c>
      <c r="N2163" s="18" t="s">
        <v>973</v>
      </c>
    </row>
    <row r="2164" spans="1:14" ht="15" customHeight="1" x14ac:dyDescent="0.3">
      <c r="A2164" s="18" t="s">
        <v>4464</v>
      </c>
      <c r="B2164" s="19" t="s">
        <v>15</v>
      </c>
      <c r="C2164" s="18" t="s">
        <v>4469</v>
      </c>
      <c r="D2164" s="18" t="s">
        <v>116</v>
      </c>
      <c r="E2164" s="18" t="s">
        <v>117</v>
      </c>
      <c r="F2164" s="18" t="s">
        <v>2196</v>
      </c>
      <c r="G2164" s="18" t="s">
        <v>920</v>
      </c>
      <c r="H2164" s="18" t="s">
        <v>4471</v>
      </c>
      <c r="I2164" s="20" t="s">
        <v>4484</v>
      </c>
      <c r="J2164" s="18" t="s">
        <v>58</v>
      </c>
      <c r="K2164" s="18" t="s">
        <v>24</v>
      </c>
      <c r="L2164" s="18" t="s">
        <v>25</v>
      </c>
      <c r="N2164" s="18" t="s">
        <v>973</v>
      </c>
    </row>
    <row r="2165" spans="1:14" ht="15" customHeight="1" x14ac:dyDescent="0.3">
      <c r="A2165" s="18" t="s">
        <v>4464</v>
      </c>
      <c r="B2165" s="19" t="s">
        <v>15</v>
      </c>
      <c r="C2165" s="18" t="s">
        <v>4465</v>
      </c>
      <c r="D2165" s="18" t="s">
        <v>116</v>
      </c>
      <c r="E2165" s="18" t="s">
        <v>117</v>
      </c>
      <c r="F2165" s="18" t="s">
        <v>2498</v>
      </c>
      <c r="G2165" s="18" t="s">
        <v>47</v>
      </c>
      <c r="H2165" s="18" t="s">
        <v>4478</v>
      </c>
      <c r="I2165" s="20" t="s">
        <v>4485</v>
      </c>
      <c r="J2165" s="18" t="s">
        <v>58</v>
      </c>
      <c r="K2165" s="18" t="s">
        <v>24</v>
      </c>
      <c r="L2165" s="18" t="s">
        <v>25</v>
      </c>
      <c r="N2165" s="18" t="s">
        <v>154</v>
      </c>
    </row>
    <row r="2166" spans="1:14" ht="15" customHeight="1" x14ac:dyDescent="0.3">
      <c r="A2166" s="18" t="s">
        <v>4464</v>
      </c>
      <c r="B2166" s="19" t="s">
        <v>15</v>
      </c>
      <c r="C2166" s="18" t="s">
        <v>4465</v>
      </c>
      <c r="D2166" s="18" t="s">
        <v>116</v>
      </c>
      <c r="E2166" s="18" t="s">
        <v>117</v>
      </c>
      <c r="F2166" s="18" t="s">
        <v>4486</v>
      </c>
      <c r="G2166" s="18" t="s">
        <v>28</v>
      </c>
      <c r="H2166" s="18" t="s">
        <v>4478</v>
      </c>
      <c r="I2166" s="20" t="s">
        <v>4487</v>
      </c>
      <c r="J2166" s="18" t="s">
        <v>58</v>
      </c>
      <c r="K2166" s="18" t="s">
        <v>24</v>
      </c>
      <c r="L2166" s="18" t="s">
        <v>25</v>
      </c>
      <c r="N2166" s="18" t="s">
        <v>154</v>
      </c>
    </row>
    <row r="2167" spans="1:14" ht="15" customHeight="1" x14ac:dyDescent="0.3">
      <c r="A2167" s="18" t="s">
        <v>4464</v>
      </c>
      <c r="B2167" s="19" t="s">
        <v>15</v>
      </c>
      <c r="C2167" s="18" t="s">
        <v>4465</v>
      </c>
      <c r="D2167" s="18" t="s">
        <v>116</v>
      </c>
      <c r="E2167" s="18" t="s">
        <v>117</v>
      </c>
      <c r="F2167" s="18" t="s">
        <v>4488</v>
      </c>
      <c r="G2167" s="18" t="s">
        <v>1204</v>
      </c>
      <c r="H2167" s="18" t="s">
        <v>4478</v>
      </c>
      <c r="I2167" s="20" t="s">
        <v>4489</v>
      </c>
      <c r="J2167" s="18" t="s">
        <v>58</v>
      </c>
      <c r="K2167" s="18" t="s">
        <v>24</v>
      </c>
      <c r="L2167" s="18" t="s">
        <v>25</v>
      </c>
      <c r="N2167" s="18" t="s">
        <v>154</v>
      </c>
    </row>
    <row r="2168" spans="1:14" ht="15" customHeight="1" x14ac:dyDescent="0.3">
      <c r="A2168" s="18" t="s">
        <v>4464</v>
      </c>
      <c r="B2168" s="19" t="s">
        <v>15</v>
      </c>
      <c r="C2168" s="18" t="s">
        <v>4469</v>
      </c>
      <c r="D2168" s="18" t="s">
        <v>116</v>
      </c>
      <c r="E2168" s="18" t="s">
        <v>117</v>
      </c>
      <c r="F2168" s="18" t="s">
        <v>4490</v>
      </c>
      <c r="G2168" s="18" t="s">
        <v>2047</v>
      </c>
      <c r="H2168" s="18" t="s">
        <v>4471</v>
      </c>
      <c r="I2168" s="20" t="s">
        <v>4491</v>
      </c>
      <c r="J2168" s="18" t="s">
        <v>58</v>
      </c>
      <c r="K2168" s="18" t="s">
        <v>24</v>
      </c>
      <c r="L2168" s="18" t="s">
        <v>25</v>
      </c>
      <c r="N2168" s="18" t="s">
        <v>973</v>
      </c>
    </row>
    <row r="2169" spans="1:14" ht="15" customHeight="1" x14ac:dyDescent="0.3">
      <c r="A2169" s="18" t="s">
        <v>4464</v>
      </c>
      <c r="B2169" s="19" t="s">
        <v>15</v>
      </c>
      <c r="C2169" s="18" t="s">
        <v>4469</v>
      </c>
      <c r="D2169" s="18" t="s">
        <v>116</v>
      </c>
      <c r="E2169" s="18" t="s">
        <v>117</v>
      </c>
      <c r="F2169" s="18" t="s">
        <v>4492</v>
      </c>
      <c r="G2169" s="18" t="s">
        <v>2489</v>
      </c>
      <c r="H2169" s="18" t="s">
        <v>4471</v>
      </c>
      <c r="I2169" s="20" t="s">
        <v>4493</v>
      </c>
      <c r="J2169" s="18" t="s">
        <v>58</v>
      </c>
      <c r="K2169" s="18" t="s">
        <v>24</v>
      </c>
      <c r="L2169" s="18" t="s">
        <v>25</v>
      </c>
      <c r="N2169" s="18" t="s">
        <v>973</v>
      </c>
    </row>
    <row r="2170" spans="1:14" ht="15" customHeight="1" x14ac:dyDescent="0.3">
      <c r="A2170" s="18" t="s">
        <v>4464</v>
      </c>
      <c r="B2170" s="19" t="s">
        <v>15</v>
      </c>
      <c r="C2170" s="18" t="s">
        <v>4465</v>
      </c>
      <c r="D2170" s="18" t="s">
        <v>116</v>
      </c>
      <c r="E2170" s="18" t="s">
        <v>117</v>
      </c>
      <c r="F2170" s="18" t="s">
        <v>1309</v>
      </c>
      <c r="G2170" s="18" t="s">
        <v>536</v>
      </c>
      <c r="H2170" s="18" t="s">
        <v>4478</v>
      </c>
      <c r="I2170" s="20" t="s">
        <v>4494</v>
      </c>
      <c r="J2170" s="18" t="s">
        <v>58</v>
      </c>
      <c r="K2170" s="18" t="s">
        <v>24</v>
      </c>
      <c r="L2170" s="18" t="s">
        <v>25</v>
      </c>
      <c r="N2170" s="18" t="s">
        <v>154</v>
      </c>
    </row>
    <row r="2171" spans="1:14" ht="15" customHeight="1" x14ac:dyDescent="0.3">
      <c r="A2171" s="18" t="s">
        <v>4464</v>
      </c>
      <c r="B2171" s="19" t="s">
        <v>15</v>
      </c>
      <c r="C2171" s="18" t="s">
        <v>4480</v>
      </c>
      <c r="D2171" s="18" t="s">
        <v>116</v>
      </c>
      <c r="E2171" s="18" t="s">
        <v>117</v>
      </c>
      <c r="F2171" s="18" t="s">
        <v>1864</v>
      </c>
      <c r="G2171" s="18" t="s">
        <v>63</v>
      </c>
      <c r="H2171" s="18" t="s">
        <v>4482</v>
      </c>
      <c r="I2171" s="20" t="s">
        <v>4495</v>
      </c>
      <c r="J2171" s="18" t="s">
        <v>58</v>
      </c>
      <c r="K2171" s="18" t="s">
        <v>24</v>
      </c>
      <c r="L2171" s="18" t="s">
        <v>25</v>
      </c>
      <c r="N2171" s="18" t="s">
        <v>973</v>
      </c>
    </row>
    <row r="2172" spans="1:14" ht="15" customHeight="1" x14ac:dyDescent="0.3">
      <c r="A2172" s="18" t="s">
        <v>4464</v>
      </c>
      <c r="B2172" s="19" t="s">
        <v>15</v>
      </c>
      <c r="C2172" s="18" t="s">
        <v>4469</v>
      </c>
      <c r="D2172" s="18" t="s">
        <v>116</v>
      </c>
      <c r="E2172" s="18" t="s">
        <v>117</v>
      </c>
      <c r="F2172" s="18" t="s">
        <v>2876</v>
      </c>
      <c r="G2172" s="18" t="s">
        <v>2047</v>
      </c>
      <c r="H2172" s="18" t="s">
        <v>4471</v>
      </c>
      <c r="I2172" s="20" t="s">
        <v>4496</v>
      </c>
      <c r="J2172" s="18" t="s">
        <v>58</v>
      </c>
      <c r="K2172" s="18" t="s">
        <v>24</v>
      </c>
      <c r="L2172" s="18" t="s">
        <v>25</v>
      </c>
      <c r="N2172" s="18" t="s">
        <v>973</v>
      </c>
    </row>
    <row r="2173" spans="1:14" ht="15" customHeight="1" x14ac:dyDescent="0.3">
      <c r="A2173" s="18" t="s">
        <v>4464</v>
      </c>
      <c r="B2173" s="19" t="s">
        <v>15</v>
      </c>
      <c r="C2173" s="18" t="s">
        <v>4465</v>
      </c>
      <c r="D2173" s="18" t="s">
        <v>116</v>
      </c>
      <c r="E2173" s="18" t="s">
        <v>117</v>
      </c>
      <c r="F2173" s="18" t="s">
        <v>2699</v>
      </c>
      <c r="G2173" s="18" t="s">
        <v>41</v>
      </c>
      <c r="H2173" s="18" t="s">
        <v>4478</v>
      </c>
      <c r="I2173" s="20" t="s">
        <v>4497</v>
      </c>
      <c r="J2173" s="18" t="s">
        <v>58</v>
      </c>
      <c r="K2173" s="18" t="s">
        <v>24</v>
      </c>
      <c r="L2173" s="18" t="s">
        <v>25</v>
      </c>
      <c r="N2173" s="18" t="s">
        <v>154</v>
      </c>
    </row>
    <row r="2174" spans="1:14" ht="15" customHeight="1" x14ac:dyDescent="0.3">
      <c r="A2174" s="18" t="s">
        <v>4464</v>
      </c>
      <c r="B2174" s="19" t="s">
        <v>15</v>
      </c>
      <c r="C2174" s="18" t="s">
        <v>4480</v>
      </c>
      <c r="D2174" s="18" t="s">
        <v>116</v>
      </c>
      <c r="E2174" s="18" t="s">
        <v>117</v>
      </c>
      <c r="F2174" s="18" t="s">
        <v>4498</v>
      </c>
      <c r="G2174" s="18" t="s">
        <v>41</v>
      </c>
      <c r="H2174" s="18" t="s">
        <v>4482</v>
      </c>
      <c r="I2174" s="20" t="s">
        <v>4499</v>
      </c>
      <c r="J2174" s="18" t="s">
        <v>58</v>
      </c>
      <c r="K2174" s="18" t="s">
        <v>24</v>
      </c>
      <c r="L2174" s="18" t="s">
        <v>25</v>
      </c>
      <c r="N2174" s="18" t="s">
        <v>973</v>
      </c>
    </row>
    <row r="2175" spans="1:14" ht="15" customHeight="1" x14ac:dyDescent="0.3">
      <c r="A2175" s="18" t="s">
        <v>4464</v>
      </c>
      <c r="B2175" s="19" t="s">
        <v>15</v>
      </c>
      <c r="C2175" s="18" t="s">
        <v>4469</v>
      </c>
      <c r="D2175" s="18" t="s">
        <v>116</v>
      </c>
      <c r="E2175" s="18" t="s">
        <v>117</v>
      </c>
      <c r="F2175" s="18" t="s">
        <v>4500</v>
      </c>
      <c r="G2175" s="18" t="s">
        <v>1009</v>
      </c>
      <c r="H2175" s="18" t="s">
        <v>4471</v>
      </c>
      <c r="I2175" s="20" t="s">
        <v>4501</v>
      </c>
      <c r="J2175" s="18" t="s">
        <v>58</v>
      </c>
      <c r="K2175" s="18" t="s">
        <v>24</v>
      </c>
      <c r="L2175" s="18" t="s">
        <v>25</v>
      </c>
      <c r="N2175" s="18" t="s">
        <v>973</v>
      </c>
    </row>
    <row r="2176" spans="1:14" ht="15" customHeight="1" x14ac:dyDescent="0.3">
      <c r="A2176" s="18" t="s">
        <v>4464</v>
      </c>
      <c r="B2176" s="19" t="s">
        <v>15</v>
      </c>
      <c r="C2176" s="18" t="s">
        <v>4465</v>
      </c>
      <c r="D2176" s="18" t="s">
        <v>116</v>
      </c>
      <c r="E2176" s="18" t="s">
        <v>117</v>
      </c>
      <c r="F2176" s="18" t="s">
        <v>3059</v>
      </c>
      <c r="G2176" s="18" t="s">
        <v>28</v>
      </c>
      <c r="H2176" s="18" t="s">
        <v>4474</v>
      </c>
      <c r="I2176" s="20" t="s">
        <v>4502</v>
      </c>
      <c r="J2176" s="18" t="s">
        <v>58</v>
      </c>
      <c r="K2176" s="18" t="s">
        <v>24</v>
      </c>
      <c r="L2176" s="18" t="s">
        <v>25</v>
      </c>
      <c r="N2176" s="18" t="s">
        <v>154</v>
      </c>
    </row>
    <row r="2177" spans="1:14" ht="15" customHeight="1" x14ac:dyDescent="0.3">
      <c r="A2177" s="18" t="s">
        <v>4464</v>
      </c>
      <c r="B2177" s="19" t="s">
        <v>15</v>
      </c>
      <c r="C2177" s="18" t="s">
        <v>4465</v>
      </c>
      <c r="D2177" s="18" t="s">
        <v>116</v>
      </c>
      <c r="E2177" s="18" t="s">
        <v>117</v>
      </c>
      <c r="F2177" s="18" t="s">
        <v>4503</v>
      </c>
      <c r="G2177" s="18" t="s">
        <v>63</v>
      </c>
      <c r="H2177" s="18" t="s">
        <v>4478</v>
      </c>
      <c r="I2177" s="20" t="s">
        <v>4504</v>
      </c>
      <c r="J2177" s="18" t="s">
        <v>58</v>
      </c>
      <c r="K2177" s="18" t="s">
        <v>24</v>
      </c>
      <c r="L2177" s="18" t="s">
        <v>25</v>
      </c>
      <c r="N2177" s="18" t="s">
        <v>154</v>
      </c>
    </row>
    <row r="2178" spans="1:14" ht="15" customHeight="1" x14ac:dyDescent="0.3">
      <c r="A2178" s="18" t="s">
        <v>4464</v>
      </c>
      <c r="B2178" s="19" t="s">
        <v>15</v>
      </c>
      <c r="C2178" s="18" t="s">
        <v>4469</v>
      </c>
      <c r="D2178" s="18" t="s">
        <v>116</v>
      </c>
      <c r="E2178" s="18" t="s">
        <v>117</v>
      </c>
      <c r="F2178" s="18" t="s">
        <v>4505</v>
      </c>
      <c r="G2178" s="18" t="s">
        <v>606</v>
      </c>
      <c r="H2178" s="18" t="s">
        <v>4471</v>
      </c>
      <c r="I2178" s="20" t="s">
        <v>4506</v>
      </c>
      <c r="J2178" s="18" t="s">
        <v>58</v>
      </c>
      <c r="K2178" s="18" t="s">
        <v>24</v>
      </c>
      <c r="L2178" s="18" t="s">
        <v>25</v>
      </c>
      <c r="N2178" s="18" t="s">
        <v>973</v>
      </c>
    </row>
    <row r="2179" spans="1:14" ht="15" customHeight="1" x14ac:dyDescent="0.3">
      <c r="A2179" s="18" t="s">
        <v>4464</v>
      </c>
      <c r="B2179" s="19" t="s">
        <v>15</v>
      </c>
      <c r="C2179" s="18" t="s">
        <v>4465</v>
      </c>
      <c r="D2179" s="18" t="s">
        <v>116</v>
      </c>
      <c r="E2179" s="18" t="s">
        <v>117</v>
      </c>
      <c r="F2179" s="18" t="s">
        <v>1577</v>
      </c>
      <c r="G2179" s="18" t="s">
        <v>47</v>
      </c>
      <c r="H2179" s="18" t="s">
        <v>4478</v>
      </c>
      <c r="I2179" s="20" t="s">
        <v>4507</v>
      </c>
      <c r="J2179" s="18" t="s">
        <v>58</v>
      </c>
      <c r="K2179" s="18" t="s">
        <v>24</v>
      </c>
      <c r="L2179" s="18" t="s">
        <v>25</v>
      </c>
      <c r="N2179" s="18" t="s">
        <v>154</v>
      </c>
    </row>
    <row r="2180" spans="1:14" ht="15" customHeight="1" x14ac:dyDescent="0.3">
      <c r="A2180" s="18" t="s">
        <v>4464</v>
      </c>
      <c r="B2180" s="19" t="s">
        <v>15</v>
      </c>
      <c r="C2180" s="18" t="s">
        <v>4465</v>
      </c>
      <c r="D2180" s="18" t="s">
        <v>116</v>
      </c>
      <c r="E2180" s="18" t="s">
        <v>117</v>
      </c>
      <c r="F2180" s="18" t="s">
        <v>4508</v>
      </c>
      <c r="G2180" s="18" t="s">
        <v>1295</v>
      </c>
      <c r="H2180" s="18" t="s">
        <v>4474</v>
      </c>
      <c r="I2180" s="20" t="s">
        <v>4509</v>
      </c>
      <c r="J2180" s="18" t="s">
        <v>58</v>
      </c>
      <c r="K2180" s="18" t="s">
        <v>24</v>
      </c>
      <c r="L2180" s="18" t="s">
        <v>25</v>
      </c>
      <c r="N2180" s="18" t="s">
        <v>154</v>
      </c>
    </row>
    <row r="2181" spans="1:14" ht="15" customHeight="1" x14ac:dyDescent="0.3">
      <c r="A2181" s="18" t="s">
        <v>4464</v>
      </c>
      <c r="B2181" s="19" t="s">
        <v>15</v>
      </c>
      <c r="C2181" s="18" t="s">
        <v>4465</v>
      </c>
      <c r="D2181" s="18" t="s">
        <v>116</v>
      </c>
      <c r="E2181" s="18" t="s">
        <v>117</v>
      </c>
      <c r="F2181" s="18" t="s">
        <v>4510</v>
      </c>
      <c r="G2181" s="18" t="s">
        <v>263</v>
      </c>
      <c r="H2181" s="18" t="s">
        <v>4474</v>
      </c>
      <c r="I2181" s="20" t="s">
        <v>4511</v>
      </c>
      <c r="J2181" s="18" t="s">
        <v>58</v>
      </c>
      <c r="K2181" s="18" t="s">
        <v>24</v>
      </c>
      <c r="L2181" s="18" t="s">
        <v>25</v>
      </c>
      <c r="N2181" s="18" t="s">
        <v>154</v>
      </c>
    </row>
    <row r="2182" spans="1:14" ht="15" customHeight="1" x14ac:dyDescent="0.3">
      <c r="A2182" s="18" t="s">
        <v>4464</v>
      </c>
      <c r="B2182" s="19" t="s">
        <v>15</v>
      </c>
      <c r="C2182" s="18" t="s">
        <v>4465</v>
      </c>
      <c r="D2182" s="18" t="s">
        <v>116</v>
      </c>
      <c r="E2182" s="18" t="s">
        <v>117</v>
      </c>
      <c r="F2182" s="18" t="s">
        <v>4512</v>
      </c>
      <c r="G2182" s="18" t="s">
        <v>35</v>
      </c>
      <c r="H2182" s="18" t="s">
        <v>4478</v>
      </c>
      <c r="I2182" s="20" t="s">
        <v>4513</v>
      </c>
      <c r="J2182" s="18" t="s">
        <v>58</v>
      </c>
      <c r="K2182" s="18" t="s">
        <v>24</v>
      </c>
      <c r="L2182" s="18" t="s">
        <v>25</v>
      </c>
      <c r="N2182" s="18" t="s">
        <v>154</v>
      </c>
    </row>
    <row r="2183" spans="1:14" ht="15" customHeight="1" x14ac:dyDescent="0.3">
      <c r="A2183" s="18" t="s">
        <v>4464</v>
      </c>
      <c r="B2183" s="19" t="s">
        <v>15</v>
      </c>
      <c r="C2183" s="18" t="s">
        <v>4469</v>
      </c>
      <c r="D2183" s="18" t="s">
        <v>116</v>
      </c>
      <c r="E2183" s="18" t="s">
        <v>117</v>
      </c>
      <c r="F2183" s="18" t="s">
        <v>4514</v>
      </c>
      <c r="G2183" s="18" t="s">
        <v>207</v>
      </c>
      <c r="H2183" s="18" t="s">
        <v>4471</v>
      </c>
      <c r="I2183" s="20" t="s">
        <v>4515</v>
      </c>
      <c r="J2183" s="18" t="s">
        <v>58</v>
      </c>
      <c r="K2183" s="18" t="s">
        <v>24</v>
      </c>
      <c r="L2183" s="18" t="s">
        <v>25</v>
      </c>
      <c r="N2183" s="18" t="s">
        <v>973</v>
      </c>
    </row>
    <row r="2184" spans="1:14" ht="15" customHeight="1" x14ac:dyDescent="0.3">
      <c r="A2184" s="18" t="s">
        <v>4464</v>
      </c>
      <c r="B2184" s="19" t="s">
        <v>15</v>
      </c>
      <c r="C2184" s="18" t="s">
        <v>4480</v>
      </c>
      <c r="D2184" s="18" t="s">
        <v>116</v>
      </c>
      <c r="E2184" s="18" t="s">
        <v>117</v>
      </c>
      <c r="F2184" s="18" t="s">
        <v>4516</v>
      </c>
      <c r="G2184" s="18" t="s">
        <v>207</v>
      </c>
      <c r="H2184" s="18" t="s">
        <v>4482</v>
      </c>
      <c r="I2184" s="20" t="s">
        <v>4517</v>
      </c>
      <c r="J2184" s="18" t="s">
        <v>58</v>
      </c>
      <c r="K2184" s="18" t="s">
        <v>24</v>
      </c>
      <c r="L2184" s="18" t="s">
        <v>25</v>
      </c>
      <c r="N2184" s="18" t="s">
        <v>973</v>
      </c>
    </row>
    <row r="2185" spans="1:14" ht="15" customHeight="1" x14ac:dyDescent="0.3">
      <c r="A2185" s="18" t="s">
        <v>4464</v>
      </c>
      <c r="B2185" s="19" t="s">
        <v>15</v>
      </c>
      <c r="C2185" s="18" t="s">
        <v>4469</v>
      </c>
      <c r="D2185" s="18" t="s">
        <v>116</v>
      </c>
      <c r="E2185" s="18" t="s">
        <v>117</v>
      </c>
      <c r="F2185" s="18" t="s">
        <v>4518</v>
      </c>
      <c r="G2185" s="18" t="s">
        <v>2047</v>
      </c>
      <c r="H2185" s="18" t="s">
        <v>4471</v>
      </c>
      <c r="I2185" s="20" t="s">
        <v>4519</v>
      </c>
      <c r="J2185" s="18" t="s">
        <v>58</v>
      </c>
      <c r="K2185" s="18" t="s">
        <v>24</v>
      </c>
      <c r="L2185" s="18" t="s">
        <v>25</v>
      </c>
      <c r="N2185" s="18" t="s">
        <v>973</v>
      </c>
    </row>
    <row r="2186" spans="1:14" ht="15" customHeight="1" x14ac:dyDescent="0.3">
      <c r="A2186" s="18" t="s">
        <v>4464</v>
      </c>
      <c r="B2186" s="19" t="s">
        <v>15</v>
      </c>
      <c r="C2186" s="18" t="s">
        <v>4465</v>
      </c>
      <c r="D2186" s="18" t="s">
        <v>116</v>
      </c>
      <c r="E2186" s="18" t="s">
        <v>117</v>
      </c>
      <c r="F2186" s="18" t="s">
        <v>4520</v>
      </c>
      <c r="G2186" s="18" t="s">
        <v>35</v>
      </c>
      <c r="H2186" s="18" t="s">
        <v>4478</v>
      </c>
      <c r="I2186" s="20" t="s">
        <v>4521</v>
      </c>
      <c r="J2186" s="18" t="s">
        <v>58</v>
      </c>
      <c r="K2186" s="18" t="s">
        <v>24</v>
      </c>
      <c r="L2186" s="18" t="s">
        <v>25</v>
      </c>
      <c r="N2186" s="18" t="s">
        <v>154</v>
      </c>
    </row>
    <row r="2187" spans="1:14" ht="15" customHeight="1" x14ac:dyDescent="0.3">
      <c r="A2187" s="18" t="s">
        <v>4464</v>
      </c>
      <c r="B2187" s="19" t="s">
        <v>15</v>
      </c>
      <c r="C2187" s="18" t="s">
        <v>4465</v>
      </c>
      <c r="D2187" s="18" t="s">
        <v>116</v>
      </c>
      <c r="E2187" s="18" t="s">
        <v>117</v>
      </c>
      <c r="F2187" s="18" t="s">
        <v>4522</v>
      </c>
      <c r="G2187" s="18" t="s">
        <v>60</v>
      </c>
      <c r="H2187" s="18" t="s">
        <v>4478</v>
      </c>
      <c r="I2187" s="20" t="s">
        <v>4523</v>
      </c>
      <c r="J2187" s="18" t="s">
        <v>58</v>
      </c>
      <c r="K2187" s="18" t="s">
        <v>24</v>
      </c>
      <c r="L2187" s="18" t="s">
        <v>25</v>
      </c>
      <c r="N2187" s="18" t="s">
        <v>154</v>
      </c>
    </row>
    <row r="2188" spans="1:14" ht="15" customHeight="1" x14ac:dyDescent="0.3">
      <c r="A2188" s="18" t="s">
        <v>4464</v>
      </c>
      <c r="B2188" s="19" t="s">
        <v>15</v>
      </c>
      <c r="C2188" s="18" t="s">
        <v>4465</v>
      </c>
      <c r="D2188" s="18" t="s">
        <v>116</v>
      </c>
      <c r="E2188" s="18" t="s">
        <v>117</v>
      </c>
      <c r="F2188" s="18" t="s">
        <v>4524</v>
      </c>
      <c r="G2188" s="18" t="s">
        <v>212</v>
      </c>
      <c r="H2188" s="18" t="s">
        <v>4478</v>
      </c>
      <c r="I2188" s="20" t="s">
        <v>4525</v>
      </c>
      <c r="J2188" s="18" t="s">
        <v>58</v>
      </c>
      <c r="K2188" s="18" t="s">
        <v>24</v>
      </c>
      <c r="L2188" s="18" t="s">
        <v>25</v>
      </c>
      <c r="N2188" s="18" t="s">
        <v>154</v>
      </c>
    </row>
    <row r="2189" spans="1:14" ht="15" customHeight="1" x14ac:dyDescent="0.3">
      <c r="A2189" s="18" t="s">
        <v>4464</v>
      </c>
      <c r="B2189" s="19" t="s">
        <v>15</v>
      </c>
      <c r="C2189" s="18" t="s">
        <v>4480</v>
      </c>
      <c r="D2189" s="18" t="s">
        <v>116</v>
      </c>
      <c r="E2189" s="18" t="s">
        <v>117</v>
      </c>
      <c r="F2189" s="18" t="s">
        <v>3075</v>
      </c>
      <c r="G2189" s="18" t="s">
        <v>41</v>
      </c>
      <c r="H2189" s="18" t="s">
        <v>4482</v>
      </c>
      <c r="I2189" s="20" t="s">
        <v>4526</v>
      </c>
      <c r="J2189" s="18" t="s">
        <v>58</v>
      </c>
      <c r="K2189" s="18" t="s">
        <v>24</v>
      </c>
      <c r="L2189" s="18" t="s">
        <v>25</v>
      </c>
      <c r="N2189" s="18" t="s">
        <v>973</v>
      </c>
    </row>
    <row r="2190" spans="1:14" ht="15" customHeight="1" x14ac:dyDescent="0.3">
      <c r="A2190" s="18" t="s">
        <v>4464</v>
      </c>
      <c r="B2190" s="19" t="s">
        <v>15</v>
      </c>
      <c r="C2190" s="18" t="s">
        <v>4465</v>
      </c>
      <c r="D2190" s="18" t="s">
        <v>116</v>
      </c>
      <c r="E2190" s="18" t="s">
        <v>117</v>
      </c>
      <c r="F2190" s="18" t="s">
        <v>4527</v>
      </c>
      <c r="G2190" s="18" t="s">
        <v>63</v>
      </c>
      <c r="H2190" s="18" t="s">
        <v>4478</v>
      </c>
      <c r="I2190" s="20" t="s">
        <v>4528</v>
      </c>
      <c r="J2190" s="18" t="s">
        <v>58</v>
      </c>
      <c r="K2190" s="18" t="s">
        <v>24</v>
      </c>
      <c r="L2190" s="18" t="s">
        <v>25</v>
      </c>
      <c r="N2190" s="18" t="s">
        <v>154</v>
      </c>
    </row>
    <row r="2191" spans="1:14" ht="15" customHeight="1" x14ac:dyDescent="0.3">
      <c r="A2191" s="18" t="s">
        <v>4464</v>
      </c>
      <c r="B2191" s="19" t="s">
        <v>15</v>
      </c>
      <c r="C2191" s="18" t="s">
        <v>4465</v>
      </c>
      <c r="D2191" s="18" t="s">
        <v>116</v>
      </c>
      <c r="E2191" s="18" t="s">
        <v>117</v>
      </c>
      <c r="F2191" s="18" t="s">
        <v>1220</v>
      </c>
      <c r="G2191" s="18" t="s">
        <v>1251</v>
      </c>
      <c r="H2191" s="18" t="s">
        <v>4478</v>
      </c>
      <c r="I2191" s="20" t="s">
        <v>4529</v>
      </c>
      <c r="J2191" s="18" t="s">
        <v>58</v>
      </c>
      <c r="K2191" s="18" t="s">
        <v>24</v>
      </c>
      <c r="L2191" s="18" t="s">
        <v>25</v>
      </c>
      <c r="N2191" s="18" t="s">
        <v>154</v>
      </c>
    </row>
    <row r="2192" spans="1:14" ht="15" customHeight="1" x14ac:dyDescent="0.3">
      <c r="A2192" s="18" t="s">
        <v>4464</v>
      </c>
      <c r="B2192" s="19" t="s">
        <v>15</v>
      </c>
      <c r="C2192" s="18" t="s">
        <v>4465</v>
      </c>
      <c r="D2192" s="18" t="s">
        <v>116</v>
      </c>
      <c r="E2192" s="18" t="s">
        <v>117</v>
      </c>
      <c r="F2192" s="18" t="s">
        <v>2717</v>
      </c>
      <c r="G2192" s="18" t="s">
        <v>913</v>
      </c>
      <c r="H2192" s="18" t="s">
        <v>4478</v>
      </c>
      <c r="I2192" s="20" t="s">
        <v>4530</v>
      </c>
      <c r="J2192" s="18" t="s">
        <v>58</v>
      </c>
      <c r="K2192" s="18" t="s">
        <v>24</v>
      </c>
      <c r="L2192" s="18" t="s">
        <v>25</v>
      </c>
      <c r="N2192" s="18" t="s">
        <v>154</v>
      </c>
    </row>
    <row r="2193" spans="1:14" ht="15" customHeight="1" x14ac:dyDescent="0.3">
      <c r="A2193" s="18" t="s">
        <v>4464</v>
      </c>
      <c r="B2193" s="19" t="s">
        <v>15</v>
      </c>
      <c r="C2193" s="18" t="s">
        <v>4465</v>
      </c>
      <c r="D2193" s="18" t="s">
        <v>116</v>
      </c>
      <c r="E2193" s="18" t="s">
        <v>117</v>
      </c>
      <c r="F2193" s="18" t="s">
        <v>128</v>
      </c>
      <c r="G2193" s="18" t="s">
        <v>47</v>
      </c>
      <c r="H2193" s="18" t="s">
        <v>4478</v>
      </c>
      <c r="I2193" s="20" t="s">
        <v>4531</v>
      </c>
      <c r="J2193" s="18" t="s">
        <v>58</v>
      </c>
      <c r="K2193" s="18" t="s">
        <v>24</v>
      </c>
      <c r="L2193" s="18" t="s">
        <v>25</v>
      </c>
      <c r="N2193" s="18" t="s">
        <v>154</v>
      </c>
    </row>
    <row r="2194" spans="1:14" ht="15" customHeight="1" x14ac:dyDescent="0.3">
      <c r="A2194" s="18" t="s">
        <v>4464</v>
      </c>
      <c r="B2194" s="19" t="s">
        <v>15</v>
      </c>
      <c r="C2194" s="18" t="s">
        <v>4465</v>
      </c>
      <c r="D2194" s="18" t="s">
        <v>116</v>
      </c>
      <c r="E2194" s="18" t="s">
        <v>117</v>
      </c>
      <c r="F2194" s="18" t="s">
        <v>4532</v>
      </c>
      <c r="G2194" s="18" t="s">
        <v>173</v>
      </c>
      <c r="H2194" s="18" t="s">
        <v>4478</v>
      </c>
      <c r="I2194" s="20" t="s">
        <v>4533</v>
      </c>
      <c r="J2194" s="18" t="s">
        <v>58</v>
      </c>
      <c r="K2194" s="18" t="s">
        <v>24</v>
      </c>
      <c r="L2194" s="18" t="s">
        <v>25</v>
      </c>
      <c r="N2194" s="18" t="s">
        <v>154</v>
      </c>
    </row>
    <row r="2195" spans="1:14" ht="15" customHeight="1" x14ac:dyDescent="0.3">
      <c r="A2195" s="18" t="s">
        <v>4464</v>
      </c>
      <c r="B2195" s="19" t="s">
        <v>15</v>
      </c>
      <c r="C2195" s="18" t="s">
        <v>4469</v>
      </c>
      <c r="D2195" s="18" t="s">
        <v>116</v>
      </c>
      <c r="E2195" s="18" t="s">
        <v>117</v>
      </c>
      <c r="F2195" s="18" t="s">
        <v>1380</v>
      </c>
      <c r="G2195" s="18" t="s">
        <v>44</v>
      </c>
      <c r="H2195" s="18" t="s">
        <v>4471</v>
      </c>
      <c r="I2195" s="20" t="s">
        <v>4534</v>
      </c>
      <c r="J2195" s="18" t="s">
        <v>58</v>
      </c>
      <c r="K2195" s="18" t="s">
        <v>24</v>
      </c>
      <c r="L2195" s="18" t="s">
        <v>25</v>
      </c>
      <c r="N2195" s="18" t="s">
        <v>973</v>
      </c>
    </row>
    <row r="2196" spans="1:14" ht="15" customHeight="1" x14ac:dyDescent="0.3">
      <c r="A2196" s="18" t="s">
        <v>4464</v>
      </c>
      <c r="B2196" s="19" t="s">
        <v>15</v>
      </c>
      <c r="C2196" s="18" t="s">
        <v>4465</v>
      </c>
      <c r="D2196" s="18" t="s">
        <v>116</v>
      </c>
      <c r="E2196" s="18" t="s">
        <v>117</v>
      </c>
      <c r="F2196" s="18" t="s">
        <v>4535</v>
      </c>
      <c r="G2196" s="18" t="s">
        <v>197</v>
      </c>
      <c r="H2196" s="18" t="s">
        <v>4474</v>
      </c>
      <c r="I2196" s="20" t="s">
        <v>4536</v>
      </c>
      <c r="J2196" s="18" t="s">
        <v>58</v>
      </c>
      <c r="K2196" s="18" t="s">
        <v>24</v>
      </c>
      <c r="L2196" s="18" t="s">
        <v>25</v>
      </c>
      <c r="N2196" s="18" t="s">
        <v>154</v>
      </c>
    </row>
    <row r="2197" spans="1:14" ht="15" customHeight="1" x14ac:dyDescent="0.3">
      <c r="A2197" s="18" t="s">
        <v>4464</v>
      </c>
      <c r="B2197" s="19" t="s">
        <v>15</v>
      </c>
      <c r="C2197" s="18" t="s">
        <v>4465</v>
      </c>
      <c r="D2197" s="18" t="s">
        <v>116</v>
      </c>
      <c r="E2197" s="18" t="s">
        <v>117</v>
      </c>
      <c r="F2197" s="18" t="s">
        <v>2523</v>
      </c>
      <c r="G2197" s="18" t="s">
        <v>1075</v>
      </c>
      <c r="H2197" s="18" t="s">
        <v>4478</v>
      </c>
      <c r="I2197" s="20" t="s">
        <v>4537</v>
      </c>
      <c r="J2197" s="18" t="s">
        <v>58</v>
      </c>
      <c r="K2197" s="18" t="s">
        <v>24</v>
      </c>
      <c r="L2197" s="18" t="s">
        <v>25</v>
      </c>
      <c r="N2197" s="18" t="s">
        <v>154</v>
      </c>
    </row>
    <row r="2198" spans="1:14" ht="15" customHeight="1" x14ac:dyDescent="0.3">
      <c r="A2198" s="18" t="s">
        <v>4464</v>
      </c>
      <c r="B2198" s="19" t="s">
        <v>15</v>
      </c>
      <c r="C2198" s="18" t="s">
        <v>4465</v>
      </c>
      <c r="D2198" s="18" t="s">
        <v>116</v>
      </c>
      <c r="E2198" s="18" t="s">
        <v>117</v>
      </c>
      <c r="F2198" s="18" t="s">
        <v>4538</v>
      </c>
      <c r="G2198" s="18" t="s">
        <v>1204</v>
      </c>
      <c r="H2198" s="18" t="s">
        <v>4478</v>
      </c>
      <c r="I2198" s="20" t="s">
        <v>4539</v>
      </c>
      <c r="J2198" s="18" t="s">
        <v>58</v>
      </c>
      <c r="K2198" s="18" t="s">
        <v>24</v>
      </c>
      <c r="L2198" s="18" t="s">
        <v>25</v>
      </c>
      <c r="N2198" s="18" t="s">
        <v>154</v>
      </c>
    </row>
    <row r="2199" spans="1:14" ht="15" customHeight="1" x14ac:dyDescent="0.3">
      <c r="A2199" s="18" t="s">
        <v>4464</v>
      </c>
      <c r="B2199" s="19" t="s">
        <v>15</v>
      </c>
      <c r="C2199" s="18" t="s">
        <v>4465</v>
      </c>
      <c r="D2199" s="18" t="s">
        <v>116</v>
      </c>
      <c r="E2199" s="18" t="s">
        <v>117</v>
      </c>
      <c r="F2199" s="18" t="s">
        <v>1235</v>
      </c>
      <c r="G2199" s="18" t="s">
        <v>47</v>
      </c>
      <c r="H2199" s="18" t="s">
        <v>4478</v>
      </c>
      <c r="I2199" s="20" t="s">
        <v>4540</v>
      </c>
      <c r="J2199" s="18" t="s">
        <v>58</v>
      </c>
      <c r="K2199" s="18" t="s">
        <v>24</v>
      </c>
      <c r="L2199" s="18" t="s">
        <v>25</v>
      </c>
      <c r="N2199" s="18" t="s">
        <v>154</v>
      </c>
    </row>
    <row r="2200" spans="1:14" ht="15" customHeight="1" x14ac:dyDescent="0.3">
      <c r="A2200" s="18" t="s">
        <v>4464</v>
      </c>
      <c r="B2200" s="19" t="s">
        <v>15</v>
      </c>
      <c r="C2200" s="18" t="s">
        <v>4465</v>
      </c>
      <c r="D2200" s="18" t="s">
        <v>116</v>
      </c>
      <c r="E2200" s="18" t="s">
        <v>117</v>
      </c>
      <c r="F2200" s="18" t="s">
        <v>720</v>
      </c>
      <c r="G2200" s="18" t="s">
        <v>20</v>
      </c>
      <c r="H2200" s="18" t="s">
        <v>4541</v>
      </c>
      <c r="I2200" s="20" t="s">
        <v>4542</v>
      </c>
      <c r="J2200" s="18" t="s">
        <v>58</v>
      </c>
      <c r="K2200" s="18" t="s">
        <v>24</v>
      </c>
      <c r="L2200" s="18" t="s">
        <v>25</v>
      </c>
      <c r="N2200" s="18" t="s">
        <v>154</v>
      </c>
    </row>
    <row r="2201" spans="1:14" ht="15" customHeight="1" x14ac:dyDescent="0.3">
      <c r="A2201" s="18" t="s">
        <v>4464</v>
      </c>
      <c r="B2201" s="19" t="s">
        <v>15</v>
      </c>
      <c r="C2201" s="18" t="s">
        <v>4465</v>
      </c>
      <c r="D2201" s="18" t="s">
        <v>116</v>
      </c>
      <c r="E2201" s="18" t="s">
        <v>117</v>
      </c>
      <c r="F2201" s="18" t="s">
        <v>4543</v>
      </c>
      <c r="G2201" s="18" t="s">
        <v>51</v>
      </c>
      <c r="H2201" s="18" t="s">
        <v>4478</v>
      </c>
      <c r="I2201" s="20" t="s">
        <v>4544</v>
      </c>
      <c r="J2201" s="18" t="s">
        <v>58</v>
      </c>
      <c r="K2201" s="18" t="s">
        <v>24</v>
      </c>
      <c r="L2201" s="18" t="s">
        <v>25</v>
      </c>
      <c r="N2201" s="18" t="s">
        <v>154</v>
      </c>
    </row>
    <row r="2202" spans="1:14" ht="15" customHeight="1" x14ac:dyDescent="0.3">
      <c r="A2202" s="18" t="s">
        <v>4464</v>
      </c>
      <c r="B2202" s="19" t="s">
        <v>15</v>
      </c>
      <c r="C2202" s="18" t="s">
        <v>4480</v>
      </c>
      <c r="D2202" s="18" t="s">
        <v>116</v>
      </c>
      <c r="E2202" s="18" t="s">
        <v>117</v>
      </c>
      <c r="F2202" s="18" t="s">
        <v>1329</v>
      </c>
      <c r="G2202" s="18" t="s">
        <v>51</v>
      </c>
      <c r="H2202" s="18" t="s">
        <v>4482</v>
      </c>
      <c r="I2202" s="20" t="s">
        <v>4545</v>
      </c>
      <c r="J2202" s="18" t="s">
        <v>58</v>
      </c>
      <c r="K2202" s="18" t="s">
        <v>24</v>
      </c>
      <c r="L2202" s="18" t="s">
        <v>25</v>
      </c>
      <c r="N2202" s="18" t="s">
        <v>973</v>
      </c>
    </row>
    <row r="2203" spans="1:14" ht="15" customHeight="1" x14ac:dyDescent="0.3">
      <c r="A2203" s="18" t="s">
        <v>4464</v>
      </c>
      <c r="B2203" s="19" t="s">
        <v>15</v>
      </c>
      <c r="C2203" s="18" t="s">
        <v>4546</v>
      </c>
      <c r="D2203" s="18" t="s">
        <v>116</v>
      </c>
      <c r="E2203" s="18" t="s">
        <v>117</v>
      </c>
      <c r="F2203" s="18" t="s">
        <v>1653</v>
      </c>
      <c r="G2203" s="18" t="s">
        <v>1019</v>
      </c>
      <c r="H2203" s="18" t="s">
        <v>4547</v>
      </c>
      <c r="I2203" s="20" t="s">
        <v>4548</v>
      </c>
      <c r="J2203" s="18" t="s">
        <v>58</v>
      </c>
      <c r="K2203" s="18" t="s">
        <v>24</v>
      </c>
      <c r="L2203" s="18" t="s">
        <v>25</v>
      </c>
      <c r="N2203" s="18" t="s">
        <v>973</v>
      </c>
    </row>
    <row r="2204" spans="1:14" ht="15" customHeight="1" x14ac:dyDescent="0.3">
      <c r="A2204" s="18" t="s">
        <v>4464</v>
      </c>
      <c r="B2204" s="19" t="s">
        <v>15</v>
      </c>
      <c r="C2204" s="18" t="s">
        <v>4469</v>
      </c>
      <c r="D2204" s="18" t="s">
        <v>116</v>
      </c>
      <c r="E2204" s="18" t="s">
        <v>117</v>
      </c>
      <c r="F2204" s="18" t="s">
        <v>4549</v>
      </c>
      <c r="G2204" s="18" t="s">
        <v>536</v>
      </c>
      <c r="H2204" s="18" t="s">
        <v>4471</v>
      </c>
      <c r="I2204" s="20" t="s">
        <v>4550</v>
      </c>
      <c r="J2204" s="18" t="s">
        <v>58</v>
      </c>
      <c r="K2204" s="18" t="s">
        <v>24</v>
      </c>
      <c r="L2204" s="18" t="s">
        <v>25</v>
      </c>
      <c r="N2204" s="18" t="s">
        <v>973</v>
      </c>
    </row>
    <row r="2205" spans="1:14" ht="15" customHeight="1" x14ac:dyDescent="0.3">
      <c r="A2205" s="18" t="s">
        <v>4464</v>
      </c>
      <c r="B2205" s="19" t="s">
        <v>15</v>
      </c>
      <c r="C2205" s="18" t="s">
        <v>4465</v>
      </c>
      <c r="D2205" s="18" t="s">
        <v>116</v>
      </c>
      <c r="E2205" s="18" t="s">
        <v>117</v>
      </c>
      <c r="F2205" s="18" t="s">
        <v>4551</v>
      </c>
      <c r="G2205" s="18" t="s">
        <v>536</v>
      </c>
      <c r="H2205" s="18" t="s">
        <v>4478</v>
      </c>
      <c r="I2205" s="20" t="s">
        <v>4552</v>
      </c>
      <c r="J2205" s="18" t="s">
        <v>58</v>
      </c>
      <c r="K2205" s="18" t="s">
        <v>24</v>
      </c>
      <c r="L2205" s="18" t="s">
        <v>25</v>
      </c>
      <c r="N2205" s="18" t="s">
        <v>154</v>
      </c>
    </row>
    <row r="2206" spans="1:14" ht="15" customHeight="1" x14ac:dyDescent="0.3">
      <c r="A2206" s="18" t="s">
        <v>4464</v>
      </c>
      <c r="B2206" s="19" t="s">
        <v>15</v>
      </c>
      <c r="C2206" s="18" t="s">
        <v>4469</v>
      </c>
      <c r="D2206" s="18" t="s">
        <v>116</v>
      </c>
      <c r="E2206" s="18" t="s">
        <v>18</v>
      </c>
      <c r="F2206" s="18" t="s">
        <v>2084</v>
      </c>
      <c r="G2206" s="18" t="s">
        <v>1704</v>
      </c>
      <c r="H2206" s="18" t="s">
        <v>4471</v>
      </c>
      <c r="I2206" s="20" t="s">
        <v>4553</v>
      </c>
      <c r="J2206" s="18" t="s">
        <v>30</v>
      </c>
      <c r="K2206" s="18" t="s">
        <v>24</v>
      </c>
      <c r="L2206" s="18" t="s">
        <v>25</v>
      </c>
      <c r="N2206" s="18" t="s">
        <v>973</v>
      </c>
    </row>
    <row r="2207" spans="1:14" ht="15" customHeight="1" x14ac:dyDescent="0.3">
      <c r="A2207" s="18" t="s">
        <v>4464</v>
      </c>
      <c r="B2207" s="19" t="s">
        <v>15</v>
      </c>
      <c r="C2207" s="18" t="s">
        <v>4546</v>
      </c>
      <c r="D2207" s="18" t="s">
        <v>116</v>
      </c>
      <c r="E2207" s="18" t="s">
        <v>18</v>
      </c>
      <c r="F2207" s="18" t="s">
        <v>4554</v>
      </c>
      <c r="G2207" s="18" t="s">
        <v>1019</v>
      </c>
      <c r="H2207" s="18" t="s">
        <v>4555</v>
      </c>
      <c r="I2207" s="20" t="s">
        <v>4556</v>
      </c>
      <c r="J2207" s="18" t="s">
        <v>30</v>
      </c>
      <c r="K2207" s="18" t="s">
        <v>24</v>
      </c>
      <c r="L2207" s="18" t="s">
        <v>25</v>
      </c>
      <c r="N2207" s="18" t="s">
        <v>973</v>
      </c>
    </row>
    <row r="2208" spans="1:14" ht="15" customHeight="1" x14ac:dyDescent="0.3">
      <c r="A2208" s="18" t="s">
        <v>4464</v>
      </c>
      <c r="B2208" s="19" t="s">
        <v>15</v>
      </c>
      <c r="C2208" s="18" t="s">
        <v>4465</v>
      </c>
      <c r="D2208" s="18" t="s">
        <v>116</v>
      </c>
      <c r="E2208" s="18" t="s">
        <v>18</v>
      </c>
      <c r="F2208" s="18" t="s">
        <v>4557</v>
      </c>
      <c r="G2208" s="18" t="s">
        <v>151</v>
      </c>
      <c r="H2208" s="18" t="s">
        <v>4558</v>
      </c>
      <c r="I2208" s="20" t="s">
        <v>4559</v>
      </c>
      <c r="J2208" s="18" t="s">
        <v>30</v>
      </c>
      <c r="K2208" s="18" t="s">
        <v>24</v>
      </c>
      <c r="L2208" s="18" t="s">
        <v>25</v>
      </c>
      <c r="N2208" s="18" t="s">
        <v>154</v>
      </c>
    </row>
    <row r="2209" spans="1:14" ht="15" customHeight="1" x14ac:dyDescent="0.3">
      <c r="A2209" s="18" t="s">
        <v>4464</v>
      </c>
      <c r="B2209" s="19" t="s">
        <v>15</v>
      </c>
      <c r="C2209" s="18" t="s">
        <v>4465</v>
      </c>
      <c r="D2209" s="18" t="s">
        <v>116</v>
      </c>
      <c r="E2209" s="18" t="s">
        <v>18</v>
      </c>
      <c r="F2209" s="18" t="s">
        <v>4560</v>
      </c>
      <c r="G2209" s="18" t="s">
        <v>160</v>
      </c>
      <c r="H2209" s="18" t="s">
        <v>4474</v>
      </c>
      <c r="I2209" s="20" t="s">
        <v>4561</v>
      </c>
      <c r="J2209" s="18" t="s">
        <v>30</v>
      </c>
      <c r="K2209" s="18" t="s">
        <v>24</v>
      </c>
      <c r="L2209" s="18" t="s">
        <v>25</v>
      </c>
      <c r="N2209" s="18" t="s">
        <v>154</v>
      </c>
    </row>
    <row r="2210" spans="1:14" ht="15" customHeight="1" x14ac:dyDescent="0.3">
      <c r="A2210" s="18" t="s">
        <v>4464</v>
      </c>
      <c r="B2210" s="19" t="s">
        <v>15</v>
      </c>
      <c r="C2210" s="18" t="s">
        <v>4469</v>
      </c>
      <c r="D2210" s="18" t="s">
        <v>116</v>
      </c>
      <c r="E2210" s="18" t="s">
        <v>18</v>
      </c>
      <c r="F2210" s="18" t="s">
        <v>2743</v>
      </c>
      <c r="G2210" s="18" t="s">
        <v>606</v>
      </c>
      <c r="H2210" s="18" t="s">
        <v>4471</v>
      </c>
      <c r="I2210" s="20" t="s">
        <v>4562</v>
      </c>
      <c r="J2210" s="18" t="s">
        <v>30</v>
      </c>
      <c r="K2210" s="18" t="s">
        <v>24</v>
      </c>
      <c r="L2210" s="18" t="s">
        <v>25</v>
      </c>
      <c r="N2210" s="18" t="s">
        <v>973</v>
      </c>
    </row>
    <row r="2211" spans="1:14" ht="15" customHeight="1" x14ac:dyDescent="0.3">
      <c r="A2211" s="18" t="s">
        <v>4464</v>
      </c>
      <c r="B2211" s="19" t="s">
        <v>15</v>
      </c>
      <c r="C2211" s="18" t="s">
        <v>4480</v>
      </c>
      <c r="D2211" s="18" t="s">
        <v>116</v>
      </c>
      <c r="E2211" s="18" t="s">
        <v>18</v>
      </c>
      <c r="F2211" s="18" t="s">
        <v>85</v>
      </c>
      <c r="G2211" s="18" t="s">
        <v>85</v>
      </c>
      <c r="H2211" s="18" t="s">
        <v>4563</v>
      </c>
      <c r="I2211" s="20" t="s">
        <v>4564</v>
      </c>
      <c r="J2211" s="18" t="s">
        <v>30</v>
      </c>
      <c r="K2211" s="18" t="s">
        <v>24</v>
      </c>
      <c r="L2211" s="18" t="s">
        <v>25</v>
      </c>
      <c r="N2211" s="18" t="s">
        <v>973</v>
      </c>
    </row>
    <row r="2212" spans="1:14" ht="15" customHeight="1" x14ac:dyDescent="0.3">
      <c r="A2212" s="18" t="s">
        <v>4464</v>
      </c>
      <c r="B2212" s="19" t="s">
        <v>15</v>
      </c>
      <c r="C2212" s="18" t="s">
        <v>4465</v>
      </c>
      <c r="D2212" s="18" t="s">
        <v>116</v>
      </c>
      <c r="E2212" s="18" t="s">
        <v>18</v>
      </c>
      <c r="F2212" s="18" t="s">
        <v>4565</v>
      </c>
      <c r="G2212" s="18" t="s">
        <v>28</v>
      </c>
      <c r="H2212" s="18" t="s">
        <v>4566</v>
      </c>
      <c r="I2212" s="20" t="s">
        <v>4567</v>
      </c>
      <c r="J2212" s="18" t="s">
        <v>30</v>
      </c>
      <c r="K2212" s="18" t="s">
        <v>24</v>
      </c>
      <c r="L2212" s="18" t="s">
        <v>25</v>
      </c>
      <c r="N2212" s="18" t="s">
        <v>154</v>
      </c>
    </row>
    <row r="2213" spans="1:14" ht="15" customHeight="1" x14ac:dyDescent="0.3">
      <c r="A2213" s="18" t="s">
        <v>4464</v>
      </c>
      <c r="B2213" s="19" t="s">
        <v>15</v>
      </c>
      <c r="C2213" s="18" t="s">
        <v>4465</v>
      </c>
      <c r="D2213" s="18" t="s">
        <v>116</v>
      </c>
      <c r="E2213" s="18" t="s">
        <v>18</v>
      </c>
      <c r="F2213" s="18" t="s">
        <v>4568</v>
      </c>
      <c r="G2213" s="18" t="s">
        <v>28</v>
      </c>
      <c r="H2213" s="18" t="s">
        <v>4467</v>
      </c>
      <c r="I2213" s="20" t="s">
        <v>4569</v>
      </c>
      <c r="J2213" s="18" t="s">
        <v>30</v>
      </c>
      <c r="K2213" s="18" t="s">
        <v>24</v>
      </c>
      <c r="L2213" s="18" t="s">
        <v>25</v>
      </c>
      <c r="N2213" s="18" t="s">
        <v>154</v>
      </c>
    </row>
    <row r="2214" spans="1:14" ht="15" customHeight="1" x14ac:dyDescent="0.3">
      <c r="A2214" s="18" t="s">
        <v>4464</v>
      </c>
      <c r="B2214" s="19" t="s">
        <v>15</v>
      </c>
      <c r="C2214" s="18" t="s">
        <v>4546</v>
      </c>
      <c r="D2214" s="18" t="s">
        <v>116</v>
      </c>
      <c r="E2214" s="18" t="s">
        <v>18</v>
      </c>
      <c r="F2214" s="18" t="s">
        <v>2767</v>
      </c>
      <c r="G2214" s="18" t="s">
        <v>1019</v>
      </c>
      <c r="H2214" s="18" t="s">
        <v>4547</v>
      </c>
      <c r="I2214" s="20" t="s">
        <v>4570</v>
      </c>
      <c r="J2214" s="18" t="s">
        <v>30</v>
      </c>
      <c r="K2214" s="18" t="s">
        <v>24</v>
      </c>
      <c r="L2214" s="18" t="s">
        <v>25</v>
      </c>
      <c r="N2214" s="18" t="s">
        <v>973</v>
      </c>
    </row>
    <row r="2215" spans="1:14" ht="15" customHeight="1" x14ac:dyDescent="0.3">
      <c r="A2215" s="18" t="s">
        <v>4464</v>
      </c>
      <c r="B2215" s="19" t="s">
        <v>15</v>
      </c>
      <c r="C2215" s="18" t="s">
        <v>4465</v>
      </c>
      <c r="D2215" s="18" t="s">
        <v>116</v>
      </c>
      <c r="E2215" s="18" t="s">
        <v>18</v>
      </c>
      <c r="F2215" s="18" t="s">
        <v>272</v>
      </c>
      <c r="G2215" s="18" t="s">
        <v>273</v>
      </c>
      <c r="H2215" s="18" t="s">
        <v>4474</v>
      </c>
      <c r="I2215" s="20" t="s">
        <v>4571</v>
      </c>
      <c r="J2215" s="18" t="s">
        <v>30</v>
      </c>
      <c r="K2215" s="18" t="s">
        <v>24</v>
      </c>
      <c r="L2215" s="18" t="s">
        <v>25</v>
      </c>
      <c r="N2215" s="18" t="s">
        <v>154</v>
      </c>
    </row>
    <row r="2216" spans="1:14" ht="15" customHeight="1" x14ac:dyDescent="0.3">
      <c r="A2216" s="18" t="s">
        <v>4464</v>
      </c>
      <c r="B2216" s="19" t="s">
        <v>15</v>
      </c>
      <c r="C2216" s="18" t="s">
        <v>4465</v>
      </c>
      <c r="D2216" s="18" t="s">
        <v>116</v>
      </c>
      <c r="E2216" s="18" t="s">
        <v>18</v>
      </c>
      <c r="F2216" s="18" t="s">
        <v>381</v>
      </c>
      <c r="G2216" s="18" t="s">
        <v>381</v>
      </c>
      <c r="H2216" s="18" t="s">
        <v>4541</v>
      </c>
      <c r="I2216" s="20" t="s">
        <v>4572</v>
      </c>
      <c r="J2216" s="18" t="s">
        <v>23</v>
      </c>
      <c r="K2216" s="18" t="s">
        <v>24</v>
      </c>
      <c r="L2216" s="18" t="s">
        <v>25</v>
      </c>
      <c r="N2216" s="18" t="s">
        <v>154</v>
      </c>
    </row>
    <row r="2217" spans="1:14" ht="15" customHeight="1" x14ac:dyDescent="0.3">
      <c r="A2217" s="18" t="s">
        <v>4464</v>
      </c>
      <c r="B2217" s="19" t="s">
        <v>15</v>
      </c>
      <c r="C2217" s="18" t="s">
        <v>4469</v>
      </c>
      <c r="D2217" s="18" t="s">
        <v>116</v>
      </c>
      <c r="E2217" s="18" t="s">
        <v>18</v>
      </c>
      <c r="F2217" s="18" t="s">
        <v>624</v>
      </c>
      <c r="G2217" s="18" t="s">
        <v>920</v>
      </c>
      <c r="H2217" s="18" t="s">
        <v>4471</v>
      </c>
      <c r="I2217" s="20" t="s">
        <v>4573</v>
      </c>
      <c r="J2217" s="18" t="s">
        <v>30</v>
      </c>
      <c r="K2217" s="18" t="s">
        <v>24</v>
      </c>
      <c r="L2217" s="18" t="s">
        <v>25</v>
      </c>
      <c r="N2217" s="18" t="s">
        <v>973</v>
      </c>
    </row>
    <row r="2218" spans="1:14" ht="15" customHeight="1" x14ac:dyDescent="0.3">
      <c r="A2218" s="18" t="s">
        <v>4464</v>
      </c>
      <c r="B2218" s="19" t="s">
        <v>15</v>
      </c>
      <c r="C2218" s="18" t="s">
        <v>4465</v>
      </c>
      <c r="D2218" s="18" t="s">
        <v>116</v>
      </c>
      <c r="E2218" s="18" t="s">
        <v>18</v>
      </c>
      <c r="F2218" s="18" t="s">
        <v>2124</v>
      </c>
      <c r="G2218" s="18" t="s">
        <v>913</v>
      </c>
      <c r="H2218" s="18" t="s">
        <v>4467</v>
      </c>
      <c r="I2218" s="20" t="s">
        <v>4574</v>
      </c>
      <c r="J2218" s="18" t="s">
        <v>30</v>
      </c>
      <c r="K2218" s="18" t="s">
        <v>24</v>
      </c>
      <c r="L2218" s="18" t="s">
        <v>25</v>
      </c>
      <c r="N2218" s="18" t="s">
        <v>154</v>
      </c>
    </row>
    <row r="2219" spans="1:14" ht="15" customHeight="1" x14ac:dyDescent="0.3">
      <c r="A2219" s="18" t="s">
        <v>4464</v>
      </c>
      <c r="B2219" s="19" t="s">
        <v>15</v>
      </c>
      <c r="C2219" s="18" t="s">
        <v>4465</v>
      </c>
      <c r="D2219" s="18" t="s">
        <v>116</v>
      </c>
      <c r="E2219" s="18" t="s">
        <v>18</v>
      </c>
      <c r="F2219" s="18" t="s">
        <v>4575</v>
      </c>
      <c r="G2219" s="18" t="s">
        <v>212</v>
      </c>
      <c r="H2219" s="18" t="s">
        <v>4467</v>
      </c>
      <c r="I2219" s="20" t="s">
        <v>4576</v>
      </c>
      <c r="J2219" s="18" t="s">
        <v>30</v>
      </c>
      <c r="K2219" s="18" t="s">
        <v>24</v>
      </c>
      <c r="L2219" s="18" t="s">
        <v>25</v>
      </c>
      <c r="N2219" s="18" t="s">
        <v>154</v>
      </c>
    </row>
    <row r="2220" spans="1:14" ht="15" customHeight="1" x14ac:dyDescent="0.3">
      <c r="A2220" s="18" t="s">
        <v>4464</v>
      </c>
      <c r="B2220" s="19" t="s">
        <v>15</v>
      </c>
      <c r="C2220" s="18" t="s">
        <v>4465</v>
      </c>
      <c r="D2220" s="18" t="s">
        <v>116</v>
      </c>
      <c r="E2220" s="18" t="s">
        <v>18</v>
      </c>
      <c r="F2220" s="18" t="s">
        <v>1072</v>
      </c>
      <c r="G2220" s="18" t="s">
        <v>47</v>
      </c>
      <c r="H2220" s="18" t="s">
        <v>4467</v>
      </c>
      <c r="I2220" s="20" t="s">
        <v>4577</v>
      </c>
      <c r="J2220" s="18" t="s">
        <v>30</v>
      </c>
      <c r="K2220" s="18" t="s">
        <v>24</v>
      </c>
      <c r="L2220" s="18" t="s">
        <v>25</v>
      </c>
      <c r="N2220" s="18" t="s">
        <v>154</v>
      </c>
    </row>
    <row r="2221" spans="1:14" ht="15" customHeight="1" x14ac:dyDescent="0.3">
      <c r="A2221" s="18" t="s">
        <v>4464</v>
      </c>
      <c r="B2221" s="19" t="s">
        <v>15</v>
      </c>
      <c r="C2221" s="18" t="s">
        <v>4465</v>
      </c>
      <c r="D2221" s="18" t="s">
        <v>116</v>
      </c>
      <c r="E2221" s="18" t="s">
        <v>18</v>
      </c>
      <c r="F2221" s="18" t="s">
        <v>4578</v>
      </c>
      <c r="G2221" s="18" t="s">
        <v>35</v>
      </c>
      <c r="H2221" s="18" t="s">
        <v>4467</v>
      </c>
      <c r="I2221" s="20" t="s">
        <v>4579</v>
      </c>
      <c r="J2221" s="18" t="s">
        <v>30</v>
      </c>
      <c r="K2221" s="18" t="s">
        <v>24</v>
      </c>
      <c r="L2221" s="18" t="s">
        <v>25</v>
      </c>
      <c r="N2221" s="18" t="s">
        <v>154</v>
      </c>
    </row>
    <row r="2222" spans="1:14" ht="15" customHeight="1" x14ac:dyDescent="0.3">
      <c r="A2222" s="18" t="s">
        <v>4464</v>
      </c>
      <c r="B2222" s="19" t="s">
        <v>15</v>
      </c>
      <c r="C2222" s="18" t="s">
        <v>4465</v>
      </c>
      <c r="D2222" s="18" t="s">
        <v>116</v>
      </c>
      <c r="E2222" s="18" t="s">
        <v>18</v>
      </c>
      <c r="F2222" s="18" t="s">
        <v>34</v>
      </c>
      <c r="G2222" s="18" t="s">
        <v>35</v>
      </c>
      <c r="H2222" s="18" t="s">
        <v>4467</v>
      </c>
      <c r="I2222" s="20" t="s">
        <v>4580</v>
      </c>
      <c r="J2222" s="18" t="s">
        <v>30</v>
      </c>
      <c r="K2222" s="18" t="s">
        <v>24</v>
      </c>
      <c r="L2222" s="18" t="s">
        <v>25</v>
      </c>
      <c r="N2222" s="18" t="s">
        <v>154</v>
      </c>
    </row>
    <row r="2223" spans="1:14" ht="15" customHeight="1" x14ac:dyDescent="0.3">
      <c r="A2223" s="18" t="s">
        <v>4464</v>
      </c>
      <c r="B2223" s="19" t="s">
        <v>15</v>
      </c>
      <c r="C2223" s="18" t="s">
        <v>4465</v>
      </c>
      <c r="D2223" s="18" t="s">
        <v>116</v>
      </c>
      <c r="E2223" s="18" t="s">
        <v>18</v>
      </c>
      <c r="F2223" s="18" t="s">
        <v>4581</v>
      </c>
      <c r="G2223" s="18" t="s">
        <v>47</v>
      </c>
      <c r="H2223" s="18" t="s">
        <v>4467</v>
      </c>
      <c r="I2223" s="20" t="s">
        <v>4582</v>
      </c>
      <c r="J2223" s="18" t="s">
        <v>30</v>
      </c>
      <c r="K2223" s="18" t="s">
        <v>24</v>
      </c>
      <c r="L2223" s="18" t="s">
        <v>25</v>
      </c>
      <c r="N2223" s="18" t="s">
        <v>154</v>
      </c>
    </row>
    <row r="2224" spans="1:14" ht="15" customHeight="1" x14ac:dyDescent="0.3">
      <c r="A2224" s="18" t="s">
        <v>4464</v>
      </c>
      <c r="B2224" s="19" t="s">
        <v>15</v>
      </c>
      <c r="C2224" s="18" t="s">
        <v>4465</v>
      </c>
      <c r="D2224" s="18" t="s">
        <v>116</v>
      </c>
      <c r="E2224" s="18" t="s">
        <v>18</v>
      </c>
      <c r="F2224" s="18" t="s">
        <v>4583</v>
      </c>
      <c r="G2224" s="18" t="s">
        <v>47</v>
      </c>
      <c r="H2224" s="18" t="s">
        <v>4467</v>
      </c>
      <c r="I2224" s="20" t="s">
        <v>4584</v>
      </c>
      <c r="J2224" s="18" t="s">
        <v>30</v>
      </c>
      <c r="K2224" s="18" t="s">
        <v>24</v>
      </c>
      <c r="L2224" s="18" t="s">
        <v>25</v>
      </c>
      <c r="N2224" s="18" t="s">
        <v>154</v>
      </c>
    </row>
    <row r="2225" spans="1:14" ht="15" customHeight="1" x14ac:dyDescent="0.3">
      <c r="A2225" s="18" t="s">
        <v>4464</v>
      </c>
      <c r="B2225" s="19" t="s">
        <v>15</v>
      </c>
      <c r="C2225" s="18" t="s">
        <v>4469</v>
      </c>
      <c r="D2225" s="18" t="s">
        <v>116</v>
      </c>
      <c r="E2225" s="18" t="s">
        <v>18</v>
      </c>
      <c r="F2225" s="18" t="s">
        <v>4585</v>
      </c>
      <c r="G2225" s="18" t="s">
        <v>1502</v>
      </c>
      <c r="H2225" s="18" t="s">
        <v>4471</v>
      </c>
      <c r="I2225" s="20" t="s">
        <v>4586</v>
      </c>
      <c r="J2225" s="18" t="s">
        <v>30</v>
      </c>
      <c r="K2225" s="18" t="s">
        <v>24</v>
      </c>
      <c r="L2225" s="18" t="s">
        <v>25</v>
      </c>
      <c r="N2225" s="18" t="s">
        <v>973</v>
      </c>
    </row>
    <row r="2226" spans="1:14" ht="15" customHeight="1" x14ac:dyDescent="0.3">
      <c r="A2226" s="18" t="s">
        <v>4464</v>
      </c>
      <c r="B2226" s="19" t="s">
        <v>15</v>
      </c>
      <c r="C2226" s="18" t="s">
        <v>4465</v>
      </c>
      <c r="D2226" s="18" t="s">
        <v>116</v>
      </c>
      <c r="E2226" s="18" t="s">
        <v>18</v>
      </c>
      <c r="F2226" s="18" t="s">
        <v>580</v>
      </c>
      <c r="G2226" s="18" t="s">
        <v>20</v>
      </c>
      <c r="H2226" s="18" t="s">
        <v>4587</v>
      </c>
      <c r="I2226" s="20" t="s">
        <v>4588</v>
      </c>
      <c r="J2226" s="18" t="s">
        <v>23</v>
      </c>
      <c r="K2226" s="18" t="s">
        <v>24</v>
      </c>
      <c r="L2226" s="18" t="s">
        <v>25</v>
      </c>
      <c r="N2226" s="18" t="s">
        <v>154</v>
      </c>
    </row>
    <row r="2227" spans="1:14" ht="15" customHeight="1" x14ac:dyDescent="0.3">
      <c r="A2227" s="18" t="s">
        <v>4464</v>
      </c>
      <c r="B2227" s="19" t="s">
        <v>15</v>
      </c>
      <c r="C2227" s="18" t="s">
        <v>4465</v>
      </c>
      <c r="D2227" s="18" t="s">
        <v>116</v>
      </c>
      <c r="E2227" s="18" t="s">
        <v>18</v>
      </c>
      <c r="F2227" s="18" t="s">
        <v>4589</v>
      </c>
      <c r="G2227" s="18" t="s">
        <v>1634</v>
      </c>
      <c r="H2227" s="18" t="s">
        <v>4467</v>
      </c>
      <c r="I2227" s="20" t="s">
        <v>4590</v>
      </c>
      <c r="J2227" s="18" t="s">
        <v>30</v>
      </c>
      <c r="K2227" s="18" t="s">
        <v>24</v>
      </c>
      <c r="L2227" s="18" t="s">
        <v>25</v>
      </c>
      <c r="N2227" s="18" t="s">
        <v>154</v>
      </c>
    </row>
    <row r="2228" spans="1:14" ht="15" customHeight="1" x14ac:dyDescent="0.3">
      <c r="A2228" s="18" t="s">
        <v>4464</v>
      </c>
      <c r="B2228" s="19" t="s">
        <v>15</v>
      </c>
      <c r="C2228" s="18" t="s">
        <v>4465</v>
      </c>
      <c r="D2228" s="18" t="s">
        <v>116</v>
      </c>
      <c r="E2228" s="18" t="s">
        <v>18</v>
      </c>
      <c r="F2228" s="18" t="s">
        <v>572</v>
      </c>
      <c r="G2228" s="18" t="s">
        <v>263</v>
      </c>
      <c r="H2228" s="18" t="s">
        <v>4474</v>
      </c>
      <c r="I2228" s="20" t="s">
        <v>4591</v>
      </c>
      <c r="J2228" s="18" t="s">
        <v>30</v>
      </c>
      <c r="K2228" s="18" t="s">
        <v>24</v>
      </c>
      <c r="L2228" s="18" t="s">
        <v>25</v>
      </c>
      <c r="N2228" s="18" t="s">
        <v>154</v>
      </c>
    </row>
    <row r="2229" spans="1:14" ht="15" customHeight="1" x14ac:dyDescent="0.3">
      <c r="A2229" s="18" t="s">
        <v>4464</v>
      </c>
      <c r="B2229" s="19" t="s">
        <v>15</v>
      </c>
      <c r="C2229" s="18" t="s">
        <v>4465</v>
      </c>
      <c r="D2229" s="18" t="s">
        <v>116</v>
      </c>
      <c r="E2229" s="18" t="s">
        <v>18</v>
      </c>
      <c r="F2229" s="18" t="s">
        <v>40</v>
      </c>
      <c r="G2229" s="18" t="s">
        <v>41</v>
      </c>
      <c r="H2229" s="18" t="s">
        <v>4467</v>
      </c>
      <c r="I2229" s="20" t="s">
        <v>4592</v>
      </c>
      <c r="J2229" s="18" t="s">
        <v>30</v>
      </c>
      <c r="K2229" s="18" t="s">
        <v>24</v>
      </c>
      <c r="L2229" s="18" t="s">
        <v>25</v>
      </c>
      <c r="N2229" s="18" t="s">
        <v>154</v>
      </c>
    </row>
    <row r="2230" spans="1:14" ht="15" customHeight="1" x14ac:dyDescent="0.3">
      <c r="A2230" s="18" t="s">
        <v>4464</v>
      </c>
      <c r="B2230" s="19" t="s">
        <v>15</v>
      </c>
      <c r="C2230" s="18" t="s">
        <v>4480</v>
      </c>
      <c r="D2230" s="18" t="s">
        <v>116</v>
      </c>
      <c r="E2230" s="18" t="s">
        <v>18</v>
      </c>
      <c r="F2230" s="18" t="s">
        <v>4593</v>
      </c>
      <c r="G2230" s="18" t="s">
        <v>51</v>
      </c>
      <c r="H2230" s="18" t="s">
        <v>4594</v>
      </c>
      <c r="I2230" s="20" t="s">
        <v>4595</v>
      </c>
      <c r="J2230" s="18" t="s">
        <v>30</v>
      </c>
      <c r="K2230" s="18" t="s">
        <v>24</v>
      </c>
      <c r="L2230" s="18" t="s">
        <v>25</v>
      </c>
      <c r="N2230" s="18" t="s">
        <v>973</v>
      </c>
    </row>
    <row r="2231" spans="1:14" ht="15" customHeight="1" x14ac:dyDescent="0.3">
      <c r="A2231" s="18" t="s">
        <v>4464</v>
      </c>
      <c r="B2231" s="19" t="s">
        <v>15</v>
      </c>
      <c r="C2231" s="18" t="s">
        <v>4465</v>
      </c>
      <c r="D2231" s="18" t="s">
        <v>116</v>
      </c>
      <c r="E2231" s="18" t="s">
        <v>18</v>
      </c>
      <c r="F2231" s="18" t="s">
        <v>4596</v>
      </c>
      <c r="G2231" s="18" t="s">
        <v>4597</v>
      </c>
      <c r="H2231" s="18" t="s">
        <v>4467</v>
      </c>
      <c r="I2231" s="20" t="s">
        <v>4598</v>
      </c>
      <c r="J2231" s="18" t="s">
        <v>30</v>
      </c>
      <c r="K2231" s="18" t="s">
        <v>24</v>
      </c>
      <c r="L2231" s="18" t="s">
        <v>25</v>
      </c>
      <c r="N2231" s="18" t="s">
        <v>154</v>
      </c>
    </row>
    <row r="2232" spans="1:14" ht="15" customHeight="1" x14ac:dyDescent="0.3">
      <c r="A2232" s="18" t="s">
        <v>4464</v>
      </c>
      <c r="B2232" s="19" t="s">
        <v>15</v>
      </c>
      <c r="C2232" s="18" t="s">
        <v>4480</v>
      </c>
      <c r="D2232" s="18" t="s">
        <v>116</v>
      </c>
      <c r="E2232" s="18" t="s">
        <v>18</v>
      </c>
      <c r="F2232" s="18" t="s">
        <v>4599</v>
      </c>
      <c r="G2232" s="18" t="s">
        <v>207</v>
      </c>
      <c r="H2232" s="18" t="s">
        <v>4594</v>
      </c>
      <c r="I2232" s="20" t="s">
        <v>4600</v>
      </c>
      <c r="J2232" s="18" t="s">
        <v>30</v>
      </c>
      <c r="K2232" s="18" t="s">
        <v>24</v>
      </c>
      <c r="L2232" s="18" t="s">
        <v>25</v>
      </c>
      <c r="N2232" s="18" t="s">
        <v>973</v>
      </c>
    </row>
    <row r="2233" spans="1:14" ht="15" customHeight="1" x14ac:dyDescent="0.3">
      <c r="A2233" s="18" t="s">
        <v>4464</v>
      </c>
      <c r="B2233" s="19" t="s">
        <v>15</v>
      </c>
      <c r="C2233" s="18" t="s">
        <v>4480</v>
      </c>
      <c r="D2233" s="18" t="s">
        <v>116</v>
      </c>
      <c r="E2233" s="18" t="s">
        <v>18</v>
      </c>
      <c r="F2233" s="18" t="s">
        <v>4601</v>
      </c>
      <c r="G2233" s="18" t="s">
        <v>41</v>
      </c>
      <c r="H2233" s="18" t="s">
        <v>4594</v>
      </c>
      <c r="I2233" s="20" t="s">
        <v>4602</v>
      </c>
      <c r="J2233" s="18" t="s">
        <v>30</v>
      </c>
      <c r="K2233" s="18" t="s">
        <v>24</v>
      </c>
      <c r="L2233" s="18" t="s">
        <v>25</v>
      </c>
      <c r="N2233" s="18" t="s">
        <v>973</v>
      </c>
    </row>
    <row r="2234" spans="1:14" ht="15" customHeight="1" x14ac:dyDescent="0.3">
      <c r="A2234" s="18" t="s">
        <v>4464</v>
      </c>
      <c r="B2234" s="19" t="s">
        <v>15</v>
      </c>
      <c r="C2234" s="18" t="s">
        <v>4465</v>
      </c>
      <c r="D2234" s="18" t="s">
        <v>116</v>
      </c>
      <c r="E2234" s="18" t="s">
        <v>18</v>
      </c>
      <c r="F2234" s="18" t="s">
        <v>4603</v>
      </c>
      <c r="G2234" s="18" t="s">
        <v>913</v>
      </c>
      <c r="H2234" s="18" t="s">
        <v>4467</v>
      </c>
      <c r="I2234" s="20" t="s">
        <v>4604</v>
      </c>
      <c r="J2234" s="18" t="s">
        <v>30</v>
      </c>
      <c r="K2234" s="18" t="s">
        <v>24</v>
      </c>
      <c r="L2234" s="18" t="s">
        <v>25</v>
      </c>
      <c r="N2234" s="18" t="s">
        <v>154</v>
      </c>
    </row>
    <row r="2235" spans="1:14" ht="15" customHeight="1" x14ac:dyDescent="0.3">
      <c r="A2235" s="18" t="s">
        <v>4464</v>
      </c>
      <c r="B2235" s="19" t="s">
        <v>15</v>
      </c>
      <c r="C2235" s="18" t="s">
        <v>4469</v>
      </c>
      <c r="D2235" s="18" t="s">
        <v>116</v>
      </c>
      <c r="E2235" s="18" t="s">
        <v>18</v>
      </c>
      <c r="F2235" s="18" t="s">
        <v>4605</v>
      </c>
      <c r="G2235" s="18" t="s">
        <v>2199</v>
      </c>
      <c r="H2235" s="18" t="s">
        <v>4471</v>
      </c>
      <c r="I2235" s="20" t="s">
        <v>4606</v>
      </c>
      <c r="J2235" s="18" t="s">
        <v>30</v>
      </c>
      <c r="K2235" s="18" t="s">
        <v>24</v>
      </c>
      <c r="L2235" s="18" t="s">
        <v>25</v>
      </c>
      <c r="N2235" s="18" t="s">
        <v>973</v>
      </c>
    </row>
    <row r="2236" spans="1:14" ht="15" customHeight="1" x14ac:dyDescent="0.3">
      <c r="A2236" s="18" t="s">
        <v>4464</v>
      </c>
      <c r="B2236" s="19" t="s">
        <v>15</v>
      </c>
      <c r="C2236" s="18" t="s">
        <v>4465</v>
      </c>
      <c r="D2236" s="18" t="s">
        <v>116</v>
      </c>
      <c r="E2236" s="18" t="s">
        <v>18</v>
      </c>
      <c r="F2236" s="18" t="s">
        <v>537</v>
      </c>
      <c r="G2236" s="18" t="s">
        <v>536</v>
      </c>
      <c r="H2236" s="18" t="s">
        <v>4467</v>
      </c>
      <c r="I2236" s="20" t="s">
        <v>4607</v>
      </c>
      <c r="J2236" s="18" t="s">
        <v>30</v>
      </c>
      <c r="K2236" s="18" t="s">
        <v>24</v>
      </c>
      <c r="L2236" s="18" t="s">
        <v>25</v>
      </c>
      <c r="N2236" s="18" t="s">
        <v>154</v>
      </c>
    </row>
    <row r="2237" spans="1:14" ht="15" customHeight="1" x14ac:dyDescent="0.3">
      <c r="A2237" s="18" t="s">
        <v>4464</v>
      </c>
      <c r="B2237" s="19" t="s">
        <v>15</v>
      </c>
      <c r="C2237" s="18" t="s">
        <v>4469</v>
      </c>
      <c r="D2237" s="18" t="s">
        <v>116</v>
      </c>
      <c r="E2237" s="18" t="s">
        <v>55</v>
      </c>
      <c r="F2237" s="18" t="s">
        <v>2728</v>
      </c>
      <c r="G2237" s="18" t="s">
        <v>2047</v>
      </c>
      <c r="H2237" s="18" t="s">
        <v>4471</v>
      </c>
      <c r="I2237" s="20" t="s">
        <v>4608</v>
      </c>
      <c r="J2237" s="18" t="s">
        <v>58</v>
      </c>
      <c r="K2237" s="18" t="s">
        <v>24</v>
      </c>
      <c r="L2237" s="18" t="s">
        <v>25</v>
      </c>
      <c r="N2237" s="18" t="s">
        <v>973</v>
      </c>
    </row>
    <row r="2238" spans="1:14" ht="15" customHeight="1" x14ac:dyDescent="0.3">
      <c r="A2238" s="18" t="s">
        <v>4464</v>
      </c>
      <c r="B2238" s="19" t="s">
        <v>15</v>
      </c>
      <c r="C2238" s="18" t="s">
        <v>4546</v>
      </c>
      <c r="D2238" s="18" t="s">
        <v>116</v>
      </c>
      <c r="E2238" s="18" t="s">
        <v>55</v>
      </c>
      <c r="F2238" s="18" t="s">
        <v>4609</v>
      </c>
      <c r="G2238" s="18" t="s">
        <v>1019</v>
      </c>
      <c r="H2238" s="18" t="s">
        <v>4555</v>
      </c>
      <c r="I2238" s="20" t="s">
        <v>4610</v>
      </c>
      <c r="J2238" s="18" t="s">
        <v>58</v>
      </c>
      <c r="K2238" s="18" t="s">
        <v>24</v>
      </c>
      <c r="L2238" s="18" t="s">
        <v>25</v>
      </c>
      <c r="N2238" s="18" t="s">
        <v>973</v>
      </c>
    </row>
    <row r="2239" spans="1:14" ht="15" customHeight="1" x14ac:dyDescent="0.3">
      <c r="A2239" s="18" t="s">
        <v>4464</v>
      </c>
      <c r="B2239" s="19" t="s">
        <v>15</v>
      </c>
      <c r="C2239" s="18" t="s">
        <v>4469</v>
      </c>
      <c r="D2239" s="18" t="s">
        <v>116</v>
      </c>
      <c r="E2239" s="18" t="s">
        <v>55</v>
      </c>
      <c r="F2239" s="18" t="s">
        <v>4611</v>
      </c>
      <c r="G2239" s="18" t="s">
        <v>2242</v>
      </c>
      <c r="H2239" s="18" t="s">
        <v>4612</v>
      </c>
      <c r="I2239" s="20" t="s">
        <v>4613</v>
      </c>
      <c r="J2239" s="18" t="s">
        <v>199</v>
      </c>
      <c r="K2239" s="18" t="s">
        <v>24</v>
      </c>
      <c r="L2239" s="18" t="s">
        <v>25</v>
      </c>
      <c r="N2239" s="18" t="s">
        <v>973</v>
      </c>
    </row>
    <row r="2240" spans="1:14" ht="15" customHeight="1" x14ac:dyDescent="0.3">
      <c r="A2240" s="18" t="s">
        <v>4464</v>
      </c>
      <c r="B2240" s="19" t="s">
        <v>15</v>
      </c>
      <c r="C2240" s="18" t="s">
        <v>4469</v>
      </c>
      <c r="D2240" s="18" t="s">
        <v>116</v>
      </c>
      <c r="E2240" s="18" t="s">
        <v>55</v>
      </c>
      <c r="F2240" s="18" t="s">
        <v>4614</v>
      </c>
      <c r="G2240" s="18" t="s">
        <v>606</v>
      </c>
      <c r="H2240" s="18" t="s">
        <v>4612</v>
      </c>
      <c r="I2240" s="20" t="s">
        <v>4615</v>
      </c>
      <c r="J2240" s="18" t="s">
        <v>58</v>
      </c>
      <c r="K2240" s="18" t="s">
        <v>24</v>
      </c>
      <c r="L2240" s="18" t="s">
        <v>25</v>
      </c>
      <c r="N2240" s="18" t="s">
        <v>973</v>
      </c>
    </row>
    <row r="2241" spans="1:14" ht="15" customHeight="1" x14ac:dyDescent="0.3">
      <c r="A2241" s="18" t="s">
        <v>4464</v>
      </c>
      <c r="B2241" s="19" t="s">
        <v>15</v>
      </c>
      <c r="C2241" s="18" t="s">
        <v>4465</v>
      </c>
      <c r="D2241" s="18" t="s">
        <v>116</v>
      </c>
      <c r="E2241" s="18" t="s">
        <v>55</v>
      </c>
      <c r="F2241" s="18" t="s">
        <v>1466</v>
      </c>
      <c r="G2241" s="18" t="s">
        <v>47</v>
      </c>
      <c r="H2241" s="18" t="s">
        <v>4467</v>
      </c>
      <c r="I2241" s="20" t="s">
        <v>4616</v>
      </c>
      <c r="J2241" s="18" t="s">
        <v>58</v>
      </c>
      <c r="K2241" s="18" t="s">
        <v>24</v>
      </c>
      <c r="L2241" s="18" t="s">
        <v>25</v>
      </c>
      <c r="N2241" s="18" t="s">
        <v>154</v>
      </c>
    </row>
    <row r="2242" spans="1:14" ht="15" customHeight="1" x14ac:dyDescent="0.3">
      <c r="A2242" s="18" t="s">
        <v>4464</v>
      </c>
      <c r="B2242" s="19" t="s">
        <v>15</v>
      </c>
      <c r="C2242" s="18" t="s">
        <v>4465</v>
      </c>
      <c r="D2242" s="18" t="s">
        <v>116</v>
      </c>
      <c r="E2242" s="18" t="s">
        <v>55</v>
      </c>
      <c r="F2242" s="18" t="s">
        <v>1947</v>
      </c>
      <c r="G2242" s="18" t="s">
        <v>85</v>
      </c>
      <c r="H2242" s="18" t="s">
        <v>4617</v>
      </c>
      <c r="I2242" s="20" t="s">
        <v>4618</v>
      </c>
      <c r="J2242" s="18" t="s">
        <v>58</v>
      </c>
      <c r="K2242" s="18" t="s">
        <v>24</v>
      </c>
      <c r="L2242" s="18" t="s">
        <v>25</v>
      </c>
      <c r="N2242" s="18" t="s">
        <v>154</v>
      </c>
    </row>
    <row r="2243" spans="1:14" ht="15" customHeight="1" x14ac:dyDescent="0.3">
      <c r="A2243" s="18" t="s">
        <v>4464</v>
      </c>
      <c r="B2243" s="19" t="s">
        <v>15</v>
      </c>
      <c r="C2243" s="18" t="s">
        <v>4465</v>
      </c>
      <c r="D2243" s="18" t="s">
        <v>116</v>
      </c>
      <c r="E2243" s="18" t="s">
        <v>55</v>
      </c>
      <c r="F2243" s="18" t="s">
        <v>4619</v>
      </c>
      <c r="G2243" s="18" t="s">
        <v>28</v>
      </c>
      <c r="H2243" s="18" t="s">
        <v>4467</v>
      </c>
      <c r="I2243" s="20" t="s">
        <v>4620</v>
      </c>
      <c r="J2243" s="18" t="s">
        <v>58</v>
      </c>
      <c r="K2243" s="18" t="s">
        <v>24</v>
      </c>
      <c r="L2243" s="18" t="s">
        <v>25</v>
      </c>
      <c r="N2243" s="18" t="s">
        <v>154</v>
      </c>
    </row>
    <row r="2244" spans="1:14" ht="15" customHeight="1" x14ac:dyDescent="0.3">
      <c r="A2244" s="18" t="s">
        <v>4464</v>
      </c>
      <c r="B2244" s="19" t="s">
        <v>15</v>
      </c>
      <c r="C2244" s="18" t="s">
        <v>4546</v>
      </c>
      <c r="D2244" s="18" t="s">
        <v>116</v>
      </c>
      <c r="E2244" s="18" t="s">
        <v>55</v>
      </c>
      <c r="F2244" s="18" t="s">
        <v>4621</v>
      </c>
      <c r="G2244" s="18" t="s">
        <v>1019</v>
      </c>
      <c r="H2244" s="18" t="s">
        <v>4547</v>
      </c>
      <c r="I2244" s="20" t="s">
        <v>4622</v>
      </c>
      <c r="J2244" s="18" t="s">
        <v>58</v>
      </c>
      <c r="K2244" s="18" t="s">
        <v>24</v>
      </c>
      <c r="L2244" s="18" t="s">
        <v>25</v>
      </c>
      <c r="N2244" s="18" t="s">
        <v>973</v>
      </c>
    </row>
    <row r="2245" spans="1:14" ht="15" customHeight="1" x14ac:dyDescent="0.3">
      <c r="A2245" s="18" t="s">
        <v>4464</v>
      </c>
      <c r="B2245" s="19" t="s">
        <v>15</v>
      </c>
      <c r="C2245" s="18" t="s">
        <v>4465</v>
      </c>
      <c r="D2245" s="18" t="s">
        <v>116</v>
      </c>
      <c r="E2245" s="18" t="s">
        <v>55</v>
      </c>
      <c r="F2245" s="18" t="s">
        <v>3553</v>
      </c>
      <c r="G2245" s="18" t="s">
        <v>273</v>
      </c>
      <c r="H2245" s="18" t="s">
        <v>4623</v>
      </c>
      <c r="I2245" s="20" t="s">
        <v>4624</v>
      </c>
      <c r="J2245" s="18" t="s">
        <v>73</v>
      </c>
      <c r="K2245" s="18" t="s">
        <v>24</v>
      </c>
      <c r="L2245" s="18" t="s">
        <v>25</v>
      </c>
      <c r="N2245" s="18" t="s">
        <v>154</v>
      </c>
    </row>
    <row r="2246" spans="1:14" ht="15" customHeight="1" x14ac:dyDescent="0.3">
      <c r="A2246" s="18" t="s">
        <v>4464</v>
      </c>
      <c r="B2246" s="19" t="s">
        <v>15</v>
      </c>
      <c r="C2246" s="18" t="s">
        <v>4465</v>
      </c>
      <c r="D2246" s="18" t="s">
        <v>116</v>
      </c>
      <c r="E2246" s="18" t="s">
        <v>55</v>
      </c>
      <c r="F2246" s="18" t="s">
        <v>4625</v>
      </c>
      <c r="G2246" s="18" t="s">
        <v>273</v>
      </c>
      <c r="H2246" s="18" t="s">
        <v>4623</v>
      </c>
      <c r="I2246" s="20" t="s">
        <v>4626</v>
      </c>
      <c r="J2246" s="18" t="s">
        <v>58</v>
      </c>
      <c r="K2246" s="18" t="s">
        <v>24</v>
      </c>
      <c r="L2246" s="18" t="s">
        <v>25</v>
      </c>
      <c r="M2246" s="18" t="s">
        <v>39</v>
      </c>
      <c r="N2246" s="18" t="s">
        <v>154</v>
      </c>
    </row>
    <row r="2247" spans="1:14" ht="15" customHeight="1" x14ac:dyDescent="0.3">
      <c r="A2247" s="18" t="s">
        <v>4464</v>
      </c>
      <c r="B2247" s="19" t="s">
        <v>15</v>
      </c>
      <c r="C2247" s="18" t="s">
        <v>4465</v>
      </c>
      <c r="D2247" s="18" t="s">
        <v>116</v>
      </c>
      <c r="E2247" s="18" t="s">
        <v>55</v>
      </c>
      <c r="F2247" s="18" t="s">
        <v>1526</v>
      </c>
      <c r="G2247" s="18" t="s">
        <v>1527</v>
      </c>
      <c r="H2247" s="18" t="s">
        <v>4623</v>
      </c>
      <c r="I2247" s="20" t="s">
        <v>4627</v>
      </c>
      <c r="J2247" s="18" t="s">
        <v>73</v>
      </c>
      <c r="K2247" s="18" t="s">
        <v>24</v>
      </c>
      <c r="L2247" s="18" t="s">
        <v>25</v>
      </c>
      <c r="M2247" s="18" t="s">
        <v>39</v>
      </c>
      <c r="N2247" s="18" t="s">
        <v>154</v>
      </c>
    </row>
    <row r="2248" spans="1:14" ht="15" customHeight="1" x14ac:dyDescent="0.3">
      <c r="A2248" s="18" t="s">
        <v>4464</v>
      </c>
      <c r="B2248" s="19" t="s">
        <v>15</v>
      </c>
      <c r="C2248" s="18" t="s">
        <v>4465</v>
      </c>
      <c r="D2248" s="18" t="s">
        <v>116</v>
      </c>
      <c r="E2248" s="18" t="s">
        <v>55</v>
      </c>
      <c r="F2248" s="18" t="s">
        <v>1529</v>
      </c>
      <c r="G2248" s="18" t="s">
        <v>1527</v>
      </c>
      <c r="H2248" s="18" t="s">
        <v>4623</v>
      </c>
      <c r="I2248" s="20" t="s">
        <v>4628</v>
      </c>
      <c r="J2248" s="18" t="s">
        <v>58</v>
      </c>
      <c r="K2248" s="18" t="s">
        <v>24</v>
      </c>
      <c r="L2248" s="18" t="s">
        <v>25</v>
      </c>
      <c r="N2248" s="18" t="s">
        <v>154</v>
      </c>
    </row>
    <row r="2249" spans="1:14" ht="15" customHeight="1" x14ac:dyDescent="0.3">
      <c r="A2249" s="18" t="s">
        <v>4464</v>
      </c>
      <c r="B2249" s="19" t="s">
        <v>15</v>
      </c>
      <c r="C2249" s="18" t="s">
        <v>4465</v>
      </c>
      <c r="D2249" s="18" t="s">
        <v>116</v>
      </c>
      <c r="E2249" s="18" t="s">
        <v>55</v>
      </c>
      <c r="F2249" s="18" t="s">
        <v>4629</v>
      </c>
      <c r="G2249" s="18" t="s">
        <v>1075</v>
      </c>
      <c r="H2249" s="18" t="s">
        <v>4467</v>
      </c>
      <c r="I2249" s="20" t="s">
        <v>4630</v>
      </c>
      <c r="J2249" s="18" t="s">
        <v>199</v>
      </c>
      <c r="K2249" s="18" t="s">
        <v>24</v>
      </c>
      <c r="L2249" s="18" t="s">
        <v>25</v>
      </c>
      <c r="N2249" s="18" t="s">
        <v>154</v>
      </c>
    </row>
    <row r="2250" spans="1:14" ht="15" customHeight="1" x14ac:dyDescent="0.3">
      <c r="A2250" s="18" t="s">
        <v>4464</v>
      </c>
      <c r="B2250" s="19" t="s">
        <v>15</v>
      </c>
      <c r="C2250" s="18" t="s">
        <v>4465</v>
      </c>
      <c r="D2250" s="18" t="s">
        <v>116</v>
      </c>
      <c r="E2250" s="18" t="s">
        <v>55</v>
      </c>
      <c r="F2250" s="18" t="s">
        <v>4631</v>
      </c>
      <c r="G2250" s="18" t="s">
        <v>41</v>
      </c>
      <c r="H2250" s="18" t="s">
        <v>4467</v>
      </c>
      <c r="I2250" s="20" t="s">
        <v>4632</v>
      </c>
      <c r="J2250" s="18" t="s">
        <v>58</v>
      </c>
      <c r="K2250" s="18" t="s">
        <v>24</v>
      </c>
      <c r="L2250" s="18" t="s">
        <v>25</v>
      </c>
      <c r="M2250" s="18" t="s">
        <v>39</v>
      </c>
      <c r="N2250" s="18" t="s">
        <v>154</v>
      </c>
    </row>
    <row r="2251" spans="1:14" ht="15" customHeight="1" x14ac:dyDescent="0.3">
      <c r="A2251" s="18" t="s">
        <v>4464</v>
      </c>
      <c r="B2251" s="19" t="s">
        <v>15</v>
      </c>
      <c r="C2251" s="18" t="s">
        <v>4465</v>
      </c>
      <c r="D2251" s="18" t="s">
        <v>116</v>
      </c>
      <c r="E2251" s="18" t="s">
        <v>55</v>
      </c>
      <c r="F2251" s="18" t="s">
        <v>2361</v>
      </c>
      <c r="G2251" s="18" t="s">
        <v>381</v>
      </c>
      <c r="H2251" s="18" t="s">
        <v>4633</v>
      </c>
      <c r="I2251" s="20" t="s">
        <v>4634</v>
      </c>
      <c r="J2251" s="18" t="s">
        <v>73</v>
      </c>
      <c r="K2251" s="18" t="s">
        <v>24</v>
      </c>
      <c r="L2251" s="18" t="s">
        <v>25</v>
      </c>
      <c r="N2251" s="18" t="s">
        <v>154</v>
      </c>
    </row>
    <row r="2252" spans="1:14" ht="15" customHeight="1" x14ac:dyDescent="0.3">
      <c r="A2252" s="18" t="s">
        <v>4464</v>
      </c>
      <c r="B2252" s="19" t="s">
        <v>15</v>
      </c>
      <c r="C2252" s="18" t="s">
        <v>4465</v>
      </c>
      <c r="D2252" s="18" t="s">
        <v>116</v>
      </c>
      <c r="E2252" s="18" t="s">
        <v>55</v>
      </c>
      <c r="F2252" s="18" t="s">
        <v>584</v>
      </c>
      <c r="G2252" s="18" t="s">
        <v>381</v>
      </c>
      <c r="H2252" s="18" t="s">
        <v>4633</v>
      </c>
      <c r="I2252" s="20" t="s">
        <v>4635</v>
      </c>
      <c r="J2252" s="18" t="s">
        <v>73</v>
      </c>
      <c r="K2252" s="18" t="s">
        <v>24</v>
      </c>
      <c r="L2252" s="18" t="s">
        <v>25</v>
      </c>
      <c r="N2252" s="18" t="s">
        <v>154</v>
      </c>
    </row>
    <row r="2253" spans="1:14" ht="15" customHeight="1" x14ac:dyDescent="0.3">
      <c r="A2253" s="18" t="s">
        <v>4464</v>
      </c>
      <c r="B2253" s="19" t="s">
        <v>15</v>
      </c>
      <c r="C2253" s="18" t="s">
        <v>4465</v>
      </c>
      <c r="D2253" s="18" t="s">
        <v>116</v>
      </c>
      <c r="E2253" s="18" t="s">
        <v>55</v>
      </c>
      <c r="F2253" s="18" t="s">
        <v>642</v>
      </c>
      <c r="G2253" s="18" t="s">
        <v>381</v>
      </c>
      <c r="H2253" s="18" t="s">
        <v>4633</v>
      </c>
      <c r="I2253" s="20" t="s">
        <v>4636</v>
      </c>
      <c r="J2253" s="18" t="s">
        <v>73</v>
      </c>
      <c r="K2253" s="18" t="s">
        <v>24</v>
      </c>
      <c r="L2253" s="18" t="s">
        <v>25</v>
      </c>
      <c r="N2253" s="18" t="s">
        <v>154</v>
      </c>
    </row>
    <row r="2254" spans="1:14" ht="15" customHeight="1" x14ac:dyDescent="0.3">
      <c r="A2254" s="18" t="s">
        <v>4464</v>
      </c>
      <c r="B2254" s="19" t="s">
        <v>15</v>
      </c>
      <c r="C2254" s="18" t="s">
        <v>4469</v>
      </c>
      <c r="D2254" s="18" t="s">
        <v>116</v>
      </c>
      <c r="E2254" s="18" t="s">
        <v>55</v>
      </c>
      <c r="F2254" s="18" t="s">
        <v>4637</v>
      </c>
      <c r="G2254" s="18" t="s">
        <v>920</v>
      </c>
      <c r="H2254" s="18" t="s">
        <v>4638</v>
      </c>
      <c r="I2254" s="20" t="s">
        <v>4639</v>
      </c>
      <c r="J2254" s="18" t="s">
        <v>58</v>
      </c>
      <c r="K2254" s="18" t="s">
        <v>24</v>
      </c>
      <c r="L2254" s="18" t="s">
        <v>25</v>
      </c>
      <c r="N2254" s="18" t="s">
        <v>973</v>
      </c>
    </row>
    <row r="2255" spans="1:14" ht="15" customHeight="1" x14ac:dyDescent="0.3">
      <c r="A2255" s="18" t="s">
        <v>4464</v>
      </c>
      <c r="B2255" s="19" t="s">
        <v>15</v>
      </c>
      <c r="C2255" s="18" t="s">
        <v>4469</v>
      </c>
      <c r="D2255" s="18" t="s">
        <v>116</v>
      </c>
      <c r="E2255" s="18" t="s">
        <v>55</v>
      </c>
      <c r="F2255" s="18" t="s">
        <v>2366</v>
      </c>
      <c r="G2255" s="18" t="s">
        <v>920</v>
      </c>
      <c r="H2255" s="18" t="s">
        <v>4640</v>
      </c>
      <c r="I2255" s="20" t="s">
        <v>4641</v>
      </c>
      <c r="J2255" s="18" t="s">
        <v>58</v>
      </c>
      <c r="K2255" s="18" t="s">
        <v>24</v>
      </c>
      <c r="L2255" s="18" t="s">
        <v>25</v>
      </c>
      <c r="N2255" s="18" t="s">
        <v>973</v>
      </c>
    </row>
    <row r="2256" spans="1:14" ht="15" customHeight="1" x14ac:dyDescent="0.3">
      <c r="A2256" s="18" t="s">
        <v>4464</v>
      </c>
      <c r="B2256" s="19" t="s">
        <v>15</v>
      </c>
      <c r="C2256" s="18" t="s">
        <v>4465</v>
      </c>
      <c r="D2256" s="18" t="s">
        <v>116</v>
      </c>
      <c r="E2256" s="18" t="s">
        <v>55</v>
      </c>
      <c r="F2256" s="18" t="s">
        <v>383</v>
      </c>
      <c r="G2256" s="18" t="s">
        <v>381</v>
      </c>
      <c r="H2256" s="18" t="s">
        <v>4633</v>
      </c>
      <c r="I2256" s="20" t="s">
        <v>4642</v>
      </c>
      <c r="J2256" s="18" t="s">
        <v>73</v>
      </c>
      <c r="K2256" s="18" t="s">
        <v>24</v>
      </c>
      <c r="L2256" s="18" t="s">
        <v>25</v>
      </c>
      <c r="N2256" s="18" t="s">
        <v>154</v>
      </c>
    </row>
    <row r="2257" spans="1:14" ht="15" customHeight="1" x14ac:dyDescent="0.3">
      <c r="A2257" s="18" t="s">
        <v>4464</v>
      </c>
      <c r="B2257" s="19" t="s">
        <v>15</v>
      </c>
      <c r="C2257" s="18" t="s">
        <v>4465</v>
      </c>
      <c r="D2257" s="18" t="s">
        <v>116</v>
      </c>
      <c r="E2257" s="18" t="s">
        <v>55</v>
      </c>
      <c r="F2257" s="18" t="s">
        <v>519</v>
      </c>
      <c r="G2257" s="18" t="s">
        <v>381</v>
      </c>
      <c r="H2257" s="18" t="s">
        <v>4633</v>
      </c>
      <c r="I2257" s="20" t="s">
        <v>4643</v>
      </c>
      <c r="J2257" s="18" t="s">
        <v>58</v>
      </c>
      <c r="K2257" s="18" t="s">
        <v>24</v>
      </c>
      <c r="L2257" s="18" t="s">
        <v>25</v>
      </c>
      <c r="N2257" s="18" t="s">
        <v>154</v>
      </c>
    </row>
    <row r="2258" spans="1:14" ht="15" customHeight="1" x14ac:dyDescent="0.3">
      <c r="A2258" s="18" t="s">
        <v>4464</v>
      </c>
      <c r="B2258" s="19" t="s">
        <v>15</v>
      </c>
      <c r="C2258" s="18" t="s">
        <v>4465</v>
      </c>
      <c r="D2258" s="18" t="s">
        <v>116</v>
      </c>
      <c r="E2258" s="18" t="s">
        <v>55</v>
      </c>
      <c r="F2258" s="18" t="s">
        <v>385</v>
      </c>
      <c r="G2258" s="18" t="s">
        <v>381</v>
      </c>
      <c r="H2258" s="18" t="s">
        <v>4633</v>
      </c>
      <c r="I2258" s="20" t="s">
        <v>4644</v>
      </c>
      <c r="J2258" s="18" t="s">
        <v>73</v>
      </c>
      <c r="K2258" s="18" t="s">
        <v>24</v>
      </c>
      <c r="L2258" s="18" t="s">
        <v>25</v>
      </c>
      <c r="N2258" s="18" t="s">
        <v>154</v>
      </c>
    </row>
    <row r="2259" spans="1:14" ht="15" customHeight="1" x14ac:dyDescent="0.3">
      <c r="A2259" s="18" t="s">
        <v>4464</v>
      </c>
      <c r="B2259" s="19" t="s">
        <v>15</v>
      </c>
      <c r="C2259" s="18" t="s">
        <v>4465</v>
      </c>
      <c r="D2259" s="18" t="s">
        <v>116</v>
      </c>
      <c r="E2259" s="18" t="s">
        <v>55</v>
      </c>
      <c r="F2259" s="18" t="s">
        <v>4645</v>
      </c>
      <c r="G2259" s="18" t="s">
        <v>381</v>
      </c>
      <c r="H2259" s="18" t="s">
        <v>4633</v>
      </c>
      <c r="I2259" s="20" t="s">
        <v>4646</v>
      </c>
      <c r="J2259" s="18" t="s">
        <v>73</v>
      </c>
      <c r="K2259" s="18" t="s">
        <v>24</v>
      </c>
      <c r="L2259" s="18" t="s">
        <v>25</v>
      </c>
      <c r="N2259" s="18" t="s">
        <v>154</v>
      </c>
    </row>
    <row r="2260" spans="1:14" ht="15" customHeight="1" x14ac:dyDescent="0.3">
      <c r="A2260" s="18" t="s">
        <v>4464</v>
      </c>
      <c r="B2260" s="19" t="s">
        <v>15</v>
      </c>
      <c r="C2260" s="18" t="s">
        <v>4469</v>
      </c>
      <c r="D2260" s="18" t="s">
        <v>116</v>
      </c>
      <c r="E2260" s="18" t="s">
        <v>55</v>
      </c>
      <c r="F2260" s="18" t="s">
        <v>2294</v>
      </c>
      <c r="G2260" s="18" t="s">
        <v>1704</v>
      </c>
      <c r="H2260" s="18" t="s">
        <v>4612</v>
      </c>
      <c r="I2260" s="20" t="s">
        <v>4647</v>
      </c>
      <c r="J2260" s="18" t="s">
        <v>58</v>
      </c>
      <c r="K2260" s="18" t="s">
        <v>24</v>
      </c>
      <c r="L2260" s="18" t="s">
        <v>25</v>
      </c>
      <c r="N2260" s="18" t="s">
        <v>973</v>
      </c>
    </row>
    <row r="2261" spans="1:14" ht="15" customHeight="1" x14ac:dyDescent="0.3">
      <c r="A2261" s="18" t="s">
        <v>4464</v>
      </c>
      <c r="B2261" s="19" t="s">
        <v>15</v>
      </c>
      <c r="C2261" s="18" t="s">
        <v>4465</v>
      </c>
      <c r="D2261" s="18" t="s">
        <v>116</v>
      </c>
      <c r="E2261" s="18" t="s">
        <v>55</v>
      </c>
      <c r="F2261" s="18" t="s">
        <v>2124</v>
      </c>
      <c r="G2261" s="18" t="s">
        <v>913</v>
      </c>
      <c r="H2261" s="18" t="s">
        <v>4467</v>
      </c>
      <c r="I2261" s="20" t="s">
        <v>4648</v>
      </c>
      <c r="J2261" s="18" t="s">
        <v>58</v>
      </c>
      <c r="K2261" s="18" t="s">
        <v>24</v>
      </c>
      <c r="L2261" s="18" t="s">
        <v>25</v>
      </c>
      <c r="N2261" s="18" t="s">
        <v>154</v>
      </c>
    </row>
    <row r="2262" spans="1:14" ht="15" customHeight="1" x14ac:dyDescent="0.3">
      <c r="A2262" s="18" t="s">
        <v>4464</v>
      </c>
      <c r="B2262" s="19" t="s">
        <v>15</v>
      </c>
      <c r="C2262" s="18" t="s">
        <v>4465</v>
      </c>
      <c r="D2262" s="18" t="s">
        <v>116</v>
      </c>
      <c r="E2262" s="18" t="s">
        <v>55</v>
      </c>
      <c r="F2262" s="18" t="s">
        <v>4575</v>
      </c>
      <c r="G2262" s="18" t="s">
        <v>212</v>
      </c>
      <c r="H2262" s="18" t="s">
        <v>4467</v>
      </c>
      <c r="I2262" s="20" t="s">
        <v>4649</v>
      </c>
      <c r="J2262" s="18" t="s">
        <v>58</v>
      </c>
      <c r="K2262" s="18" t="s">
        <v>24</v>
      </c>
      <c r="L2262" s="18" t="s">
        <v>25</v>
      </c>
      <c r="N2262" s="18" t="s">
        <v>154</v>
      </c>
    </row>
    <row r="2263" spans="1:14" ht="15" customHeight="1" x14ac:dyDescent="0.3">
      <c r="A2263" s="18" t="s">
        <v>4464</v>
      </c>
      <c r="B2263" s="19" t="s">
        <v>15</v>
      </c>
      <c r="C2263" s="18" t="s">
        <v>4465</v>
      </c>
      <c r="D2263" s="18" t="s">
        <v>116</v>
      </c>
      <c r="E2263" s="18" t="s">
        <v>55</v>
      </c>
      <c r="F2263" s="18" t="s">
        <v>1072</v>
      </c>
      <c r="G2263" s="18" t="s">
        <v>47</v>
      </c>
      <c r="H2263" s="18" t="s">
        <v>4467</v>
      </c>
      <c r="I2263" s="20" t="s">
        <v>4650</v>
      </c>
      <c r="J2263" s="18" t="s">
        <v>58</v>
      </c>
      <c r="K2263" s="18" t="s">
        <v>24</v>
      </c>
      <c r="L2263" s="18" t="s">
        <v>25</v>
      </c>
      <c r="N2263" s="18" t="s">
        <v>154</v>
      </c>
    </row>
    <row r="2264" spans="1:14" ht="15" customHeight="1" x14ac:dyDescent="0.3">
      <c r="A2264" s="18" t="s">
        <v>4464</v>
      </c>
      <c r="B2264" s="19" t="s">
        <v>15</v>
      </c>
      <c r="C2264" s="18" t="s">
        <v>4465</v>
      </c>
      <c r="D2264" s="18" t="s">
        <v>116</v>
      </c>
      <c r="E2264" s="18" t="s">
        <v>55</v>
      </c>
      <c r="F2264" s="18" t="s">
        <v>4651</v>
      </c>
      <c r="G2264" s="18" t="s">
        <v>35</v>
      </c>
      <c r="H2264" s="18" t="s">
        <v>4467</v>
      </c>
      <c r="I2264" s="20" t="s">
        <v>4652</v>
      </c>
      <c r="J2264" s="18" t="s">
        <v>58</v>
      </c>
      <c r="K2264" s="18" t="s">
        <v>24</v>
      </c>
      <c r="L2264" s="18" t="s">
        <v>25</v>
      </c>
      <c r="N2264" s="18" t="s">
        <v>154</v>
      </c>
    </row>
    <row r="2265" spans="1:14" ht="15" customHeight="1" x14ac:dyDescent="0.3">
      <c r="A2265" s="18" t="s">
        <v>4464</v>
      </c>
      <c r="B2265" s="19" t="s">
        <v>15</v>
      </c>
      <c r="C2265" s="18" t="s">
        <v>4469</v>
      </c>
      <c r="D2265" s="18" t="s">
        <v>116</v>
      </c>
      <c r="E2265" s="18" t="s">
        <v>55</v>
      </c>
      <c r="F2265" s="18" t="s">
        <v>4653</v>
      </c>
      <c r="G2265" s="18" t="s">
        <v>1502</v>
      </c>
      <c r="H2265" s="18" t="s">
        <v>4471</v>
      </c>
      <c r="I2265" s="20" t="s">
        <v>4654</v>
      </c>
      <c r="J2265" s="18" t="s">
        <v>58</v>
      </c>
      <c r="K2265" s="18" t="s">
        <v>24</v>
      </c>
      <c r="L2265" s="18" t="s">
        <v>25</v>
      </c>
      <c r="N2265" s="18" t="s">
        <v>973</v>
      </c>
    </row>
    <row r="2266" spans="1:14" ht="15" customHeight="1" x14ac:dyDescent="0.3">
      <c r="A2266" s="18" t="s">
        <v>4464</v>
      </c>
      <c r="B2266" s="19" t="s">
        <v>15</v>
      </c>
      <c r="C2266" s="18" t="s">
        <v>4465</v>
      </c>
      <c r="D2266" s="18" t="s">
        <v>116</v>
      </c>
      <c r="E2266" s="18" t="s">
        <v>55</v>
      </c>
      <c r="F2266" s="18" t="s">
        <v>281</v>
      </c>
      <c r="G2266" s="18" t="s">
        <v>1860</v>
      </c>
      <c r="H2266" s="18" t="s">
        <v>4623</v>
      </c>
      <c r="I2266" s="20" t="s">
        <v>4655</v>
      </c>
      <c r="J2266" s="18" t="s">
        <v>58</v>
      </c>
      <c r="K2266" s="18" t="s">
        <v>24</v>
      </c>
      <c r="L2266" s="18" t="s">
        <v>25</v>
      </c>
      <c r="N2266" s="18" t="s">
        <v>154</v>
      </c>
    </row>
    <row r="2267" spans="1:14" ht="15" customHeight="1" x14ac:dyDescent="0.3">
      <c r="A2267" s="18" t="s">
        <v>4464</v>
      </c>
      <c r="B2267" s="19" t="s">
        <v>15</v>
      </c>
      <c r="C2267" s="18" t="s">
        <v>4465</v>
      </c>
      <c r="D2267" s="18" t="s">
        <v>116</v>
      </c>
      <c r="E2267" s="18" t="s">
        <v>55</v>
      </c>
      <c r="F2267" s="18" t="s">
        <v>284</v>
      </c>
      <c r="G2267" s="18" t="s">
        <v>1860</v>
      </c>
      <c r="H2267" s="18" t="s">
        <v>4623</v>
      </c>
      <c r="I2267" s="20" t="s">
        <v>4656</v>
      </c>
      <c r="J2267" s="18" t="s">
        <v>58</v>
      </c>
      <c r="K2267" s="18" t="s">
        <v>24</v>
      </c>
      <c r="L2267" s="18" t="s">
        <v>25</v>
      </c>
      <c r="N2267" s="18" t="s">
        <v>154</v>
      </c>
    </row>
    <row r="2268" spans="1:14" ht="15" customHeight="1" x14ac:dyDescent="0.3">
      <c r="A2268" s="18" t="s">
        <v>4464</v>
      </c>
      <c r="B2268" s="19" t="s">
        <v>15</v>
      </c>
      <c r="C2268" s="18" t="s">
        <v>4657</v>
      </c>
      <c r="D2268" s="18" t="s">
        <v>116</v>
      </c>
      <c r="E2268" s="18" t="s">
        <v>55</v>
      </c>
      <c r="F2268" s="18" t="s">
        <v>4658</v>
      </c>
      <c r="G2268" s="18" t="s">
        <v>1019</v>
      </c>
      <c r="H2268" s="18" t="s">
        <v>4659</v>
      </c>
      <c r="I2268" s="20" t="s">
        <v>4660</v>
      </c>
      <c r="J2268" s="18" t="s">
        <v>58</v>
      </c>
      <c r="K2268" s="18" t="s">
        <v>24</v>
      </c>
      <c r="L2268" s="18" t="s">
        <v>25</v>
      </c>
      <c r="N2268" s="18" t="s">
        <v>154</v>
      </c>
    </row>
    <row r="2269" spans="1:14" ht="15" customHeight="1" x14ac:dyDescent="0.3">
      <c r="A2269" s="18" t="s">
        <v>4464</v>
      </c>
      <c r="B2269" s="19" t="s">
        <v>15</v>
      </c>
      <c r="C2269" s="18" t="s">
        <v>4465</v>
      </c>
      <c r="D2269" s="18" t="s">
        <v>116</v>
      </c>
      <c r="E2269" s="18" t="s">
        <v>55</v>
      </c>
      <c r="F2269" s="18" t="s">
        <v>2610</v>
      </c>
      <c r="G2269" s="18" t="s">
        <v>263</v>
      </c>
      <c r="H2269" s="18" t="s">
        <v>4623</v>
      </c>
      <c r="I2269" s="20" t="s">
        <v>4661</v>
      </c>
      <c r="J2269" s="18" t="s">
        <v>58</v>
      </c>
      <c r="K2269" s="18" t="s">
        <v>24</v>
      </c>
      <c r="L2269" s="18" t="s">
        <v>25</v>
      </c>
      <c r="N2269" s="18" t="s">
        <v>154</v>
      </c>
    </row>
    <row r="2270" spans="1:14" ht="15" customHeight="1" x14ac:dyDescent="0.3">
      <c r="A2270" s="18" t="s">
        <v>4464</v>
      </c>
      <c r="B2270" s="19" t="s">
        <v>15</v>
      </c>
      <c r="C2270" s="18" t="s">
        <v>4469</v>
      </c>
      <c r="D2270" s="18" t="s">
        <v>116</v>
      </c>
      <c r="E2270" s="18" t="s">
        <v>55</v>
      </c>
      <c r="F2270" s="18" t="s">
        <v>4662</v>
      </c>
      <c r="G2270" s="18" t="s">
        <v>1009</v>
      </c>
      <c r="H2270" s="18" t="s">
        <v>4612</v>
      </c>
      <c r="I2270" s="20" t="s">
        <v>4663</v>
      </c>
      <c r="J2270" s="18" t="s">
        <v>58</v>
      </c>
      <c r="K2270" s="18" t="s">
        <v>24</v>
      </c>
      <c r="L2270" s="18" t="s">
        <v>25</v>
      </c>
      <c r="M2270" s="18" t="s">
        <v>39</v>
      </c>
      <c r="N2270" s="18" t="s">
        <v>973</v>
      </c>
    </row>
    <row r="2271" spans="1:14" ht="15" customHeight="1" x14ac:dyDescent="0.3">
      <c r="A2271" s="18" t="s">
        <v>4464</v>
      </c>
      <c r="B2271" s="19" t="s">
        <v>15</v>
      </c>
      <c r="C2271" s="18" t="s">
        <v>4465</v>
      </c>
      <c r="D2271" s="18" t="s">
        <v>116</v>
      </c>
      <c r="E2271" s="18" t="s">
        <v>55</v>
      </c>
      <c r="F2271" s="18" t="s">
        <v>4664</v>
      </c>
      <c r="G2271" s="18" t="s">
        <v>160</v>
      </c>
      <c r="H2271" s="18" t="s">
        <v>4623</v>
      </c>
      <c r="I2271" s="20" t="s">
        <v>4665</v>
      </c>
      <c r="J2271" s="18" t="s">
        <v>73</v>
      </c>
      <c r="K2271" s="18" t="s">
        <v>24</v>
      </c>
      <c r="L2271" s="18" t="s">
        <v>25</v>
      </c>
      <c r="N2271" s="18" t="s">
        <v>154</v>
      </c>
    </row>
    <row r="2272" spans="1:14" ht="15" customHeight="1" x14ac:dyDescent="0.3">
      <c r="A2272" s="18" t="s">
        <v>4464</v>
      </c>
      <c r="B2272" s="19" t="s">
        <v>15</v>
      </c>
      <c r="C2272" s="18" t="s">
        <v>4465</v>
      </c>
      <c r="D2272" s="18" t="s">
        <v>116</v>
      </c>
      <c r="E2272" s="18" t="s">
        <v>55</v>
      </c>
      <c r="F2272" s="18" t="s">
        <v>4666</v>
      </c>
      <c r="G2272" s="18" t="s">
        <v>63</v>
      </c>
      <c r="H2272" s="18" t="s">
        <v>4467</v>
      </c>
      <c r="I2272" s="20" t="s">
        <v>4667</v>
      </c>
      <c r="J2272" s="18" t="s">
        <v>58</v>
      </c>
      <c r="K2272" s="18" t="s">
        <v>24</v>
      </c>
      <c r="L2272" s="18" t="s">
        <v>25</v>
      </c>
      <c r="N2272" s="18" t="s">
        <v>154</v>
      </c>
    </row>
    <row r="2273" spans="1:14" ht="15" customHeight="1" x14ac:dyDescent="0.3">
      <c r="A2273" s="18" t="s">
        <v>4464</v>
      </c>
      <c r="B2273" s="19" t="s">
        <v>15</v>
      </c>
      <c r="C2273" s="18" t="s">
        <v>4465</v>
      </c>
      <c r="D2273" s="18" t="s">
        <v>116</v>
      </c>
      <c r="E2273" s="18" t="s">
        <v>55</v>
      </c>
      <c r="F2273" s="18" t="s">
        <v>2388</v>
      </c>
      <c r="G2273" s="18" t="s">
        <v>41</v>
      </c>
      <c r="H2273" s="18" t="s">
        <v>4668</v>
      </c>
      <c r="I2273" s="20" t="s">
        <v>4669</v>
      </c>
      <c r="J2273" s="18" t="s">
        <v>1267</v>
      </c>
      <c r="K2273" s="18" t="s">
        <v>24</v>
      </c>
      <c r="L2273" s="18" t="s">
        <v>25</v>
      </c>
      <c r="N2273" s="18" t="s">
        <v>154</v>
      </c>
    </row>
    <row r="2274" spans="1:14" ht="15" customHeight="1" x14ac:dyDescent="0.3">
      <c r="A2274" s="18" t="s">
        <v>4464</v>
      </c>
      <c r="B2274" s="19" t="s">
        <v>15</v>
      </c>
      <c r="C2274" s="18" t="s">
        <v>4465</v>
      </c>
      <c r="D2274" s="18" t="s">
        <v>116</v>
      </c>
      <c r="E2274" s="18" t="s">
        <v>55</v>
      </c>
      <c r="F2274" s="18" t="s">
        <v>4670</v>
      </c>
      <c r="G2274" s="18" t="s">
        <v>41</v>
      </c>
      <c r="H2274" s="18" t="s">
        <v>4671</v>
      </c>
      <c r="I2274" s="20" t="s">
        <v>4672</v>
      </c>
      <c r="J2274" s="18" t="s">
        <v>1267</v>
      </c>
      <c r="K2274" s="18" t="s">
        <v>24</v>
      </c>
      <c r="L2274" s="18" t="s">
        <v>25</v>
      </c>
      <c r="N2274" s="18" t="s">
        <v>154</v>
      </c>
    </row>
    <row r="2275" spans="1:14" ht="15" customHeight="1" x14ac:dyDescent="0.3">
      <c r="A2275" s="18" t="s">
        <v>4464</v>
      </c>
      <c r="B2275" s="19" t="s">
        <v>15</v>
      </c>
      <c r="C2275" s="18" t="s">
        <v>4480</v>
      </c>
      <c r="D2275" s="18" t="s">
        <v>116</v>
      </c>
      <c r="E2275" s="18" t="s">
        <v>55</v>
      </c>
      <c r="F2275" s="18" t="s">
        <v>1769</v>
      </c>
      <c r="G2275" s="18" t="s">
        <v>51</v>
      </c>
      <c r="H2275" s="18" t="s">
        <v>4673</v>
      </c>
      <c r="I2275" s="20" t="s">
        <v>4674</v>
      </c>
      <c r="J2275" s="18" t="s">
        <v>58</v>
      </c>
      <c r="K2275" s="18" t="s">
        <v>24</v>
      </c>
      <c r="L2275" s="18" t="s">
        <v>25</v>
      </c>
      <c r="N2275" s="18" t="s">
        <v>973</v>
      </c>
    </row>
    <row r="2276" spans="1:14" ht="15" customHeight="1" x14ac:dyDescent="0.3">
      <c r="A2276" s="18" t="s">
        <v>4464</v>
      </c>
      <c r="B2276" s="19" t="s">
        <v>15</v>
      </c>
      <c r="C2276" s="18" t="s">
        <v>4480</v>
      </c>
      <c r="D2276" s="18" t="s">
        <v>116</v>
      </c>
      <c r="E2276" s="18" t="s">
        <v>55</v>
      </c>
      <c r="F2276" s="18" t="s">
        <v>1832</v>
      </c>
      <c r="G2276" s="18" t="s">
        <v>207</v>
      </c>
      <c r="H2276" s="18" t="s">
        <v>4675</v>
      </c>
      <c r="I2276" s="20" t="s">
        <v>4676</v>
      </c>
      <c r="J2276" s="18" t="s">
        <v>58</v>
      </c>
      <c r="K2276" s="18" t="s">
        <v>24</v>
      </c>
      <c r="L2276" s="18" t="s">
        <v>25</v>
      </c>
      <c r="M2276" s="18" t="s">
        <v>39</v>
      </c>
      <c r="N2276" s="18" t="s">
        <v>973</v>
      </c>
    </row>
    <row r="2277" spans="1:14" ht="15" customHeight="1" x14ac:dyDescent="0.3">
      <c r="A2277" s="18" t="s">
        <v>4464</v>
      </c>
      <c r="B2277" s="19" t="s">
        <v>15</v>
      </c>
      <c r="C2277" s="18" t="s">
        <v>4480</v>
      </c>
      <c r="D2277" s="18" t="s">
        <v>116</v>
      </c>
      <c r="E2277" s="18" t="s">
        <v>55</v>
      </c>
      <c r="F2277" s="18" t="s">
        <v>1318</v>
      </c>
      <c r="G2277" s="18" t="s">
        <v>207</v>
      </c>
      <c r="H2277" s="18" t="s">
        <v>4675</v>
      </c>
      <c r="I2277" s="20" t="s">
        <v>4677</v>
      </c>
      <c r="J2277" s="18" t="s">
        <v>58</v>
      </c>
      <c r="K2277" s="18" t="s">
        <v>24</v>
      </c>
      <c r="L2277" s="18" t="s">
        <v>25</v>
      </c>
      <c r="N2277" s="18" t="s">
        <v>973</v>
      </c>
    </row>
    <row r="2278" spans="1:14" ht="15" customHeight="1" x14ac:dyDescent="0.3">
      <c r="A2278" s="18" t="s">
        <v>4464</v>
      </c>
      <c r="B2278" s="19" t="s">
        <v>15</v>
      </c>
      <c r="C2278" s="18" t="s">
        <v>4465</v>
      </c>
      <c r="D2278" s="18" t="s">
        <v>116</v>
      </c>
      <c r="E2278" s="18" t="s">
        <v>55</v>
      </c>
      <c r="F2278" s="18" t="s">
        <v>4678</v>
      </c>
      <c r="G2278" s="18" t="s">
        <v>47</v>
      </c>
      <c r="H2278" s="18" t="s">
        <v>4467</v>
      </c>
      <c r="I2278" s="20" t="s">
        <v>4679</v>
      </c>
      <c r="J2278" s="18" t="s">
        <v>58</v>
      </c>
      <c r="K2278" s="18" t="s">
        <v>24</v>
      </c>
      <c r="L2278" s="18" t="s">
        <v>25</v>
      </c>
      <c r="M2278" s="18" t="s">
        <v>39</v>
      </c>
      <c r="N2278" s="18" t="s">
        <v>154</v>
      </c>
    </row>
    <row r="2279" spans="1:14" ht="15" customHeight="1" x14ac:dyDescent="0.3">
      <c r="A2279" s="18" t="s">
        <v>4464</v>
      </c>
      <c r="B2279" s="19" t="s">
        <v>15</v>
      </c>
      <c r="C2279" s="18" t="s">
        <v>4469</v>
      </c>
      <c r="D2279" s="18" t="s">
        <v>116</v>
      </c>
      <c r="E2279" s="18" t="s">
        <v>55</v>
      </c>
      <c r="F2279" s="18" t="s">
        <v>2427</v>
      </c>
      <c r="G2279" s="18" t="s">
        <v>2428</v>
      </c>
      <c r="H2279" s="18" t="s">
        <v>4680</v>
      </c>
      <c r="I2279" s="20" t="s">
        <v>4681</v>
      </c>
      <c r="J2279" s="18" t="s">
        <v>58</v>
      </c>
      <c r="K2279" s="18" t="s">
        <v>24</v>
      </c>
      <c r="L2279" s="18" t="s">
        <v>25</v>
      </c>
      <c r="N2279" s="18" t="s">
        <v>973</v>
      </c>
    </row>
    <row r="2280" spans="1:14" ht="15" customHeight="1" x14ac:dyDescent="0.3">
      <c r="A2280" s="18" t="s">
        <v>4464</v>
      </c>
      <c r="B2280" s="19" t="s">
        <v>15</v>
      </c>
      <c r="C2280" s="18" t="s">
        <v>4465</v>
      </c>
      <c r="D2280" s="18" t="s">
        <v>116</v>
      </c>
      <c r="E2280" s="18" t="s">
        <v>55</v>
      </c>
      <c r="F2280" s="18" t="s">
        <v>4682</v>
      </c>
      <c r="G2280" s="18" t="s">
        <v>273</v>
      </c>
      <c r="H2280" s="18" t="s">
        <v>4623</v>
      </c>
      <c r="I2280" s="20" t="s">
        <v>4683</v>
      </c>
      <c r="J2280" s="18" t="s">
        <v>58</v>
      </c>
      <c r="K2280" s="18" t="s">
        <v>24</v>
      </c>
      <c r="L2280" s="18" t="s">
        <v>25</v>
      </c>
      <c r="N2280" s="18" t="s">
        <v>154</v>
      </c>
    </row>
    <row r="2281" spans="1:14" ht="15" customHeight="1" x14ac:dyDescent="0.3">
      <c r="A2281" s="18" t="s">
        <v>4464</v>
      </c>
      <c r="B2281" s="19" t="s">
        <v>15</v>
      </c>
      <c r="C2281" s="18" t="s">
        <v>4546</v>
      </c>
      <c r="D2281" s="18" t="s">
        <v>116</v>
      </c>
      <c r="E2281" s="18" t="s">
        <v>55</v>
      </c>
      <c r="F2281" s="18" t="s">
        <v>1653</v>
      </c>
      <c r="G2281" s="18" t="s">
        <v>1019</v>
      </c>
      <c r="H2281" s="18" t="s">
        <v>4547</v>
      </c>
      <c r="I2281" s="20" t="s">
        <v>4684</v>
      </c>
      <c r="J2281" s="18" t="s">
        <v>58</v>
      </c>
      <c r="K2281" s="18" t="s">
        <v>24</v>
      </c>
      <c r="L2281" s="18" t="s">
        <v>25</v>
      </c>
      <c r="N2281" s="18" t="s">
        <v>973</v>
      </c>
    </row>
    <row r="2282" spans="1:14" ht="15" customHeight="1" x14ac:dyDescent="0.3">
      <c r="A2282" s="18" t="s">
        <v>4464</v>
      </c>
      <c r="B2282" s="19" t="s">
        <v>15</v>
      </c>
      <c r="C2282" s="18" t="s">
        <v>4465</v>
      </c>
      <c r="D2282" s="18" t="s">
        <v>116</v>
      </c>
      <c r="E2282" s="18" t="s">
        <v>55</v>
      </c>
      <c r="F2282" s="18" t="s">
        <v>4685</v>
      </c>
      <c r="G2282" s="18" t="s">
        <v>536</v>
      </c>
      <c r="H2282" s="18" t="s">
        <v>4467</v>
      </c>
      <c r="I2282" s="20" t="s">
        <v>4686</v>
      </c>
      <c r="J2282" s="18" t="s">
        <v>58</v>
      </c>
      <c r="K2282" s="18" t="s">
        <v>24</v>
      </c>
      <c r="L2282" s="18" t="s">
        <v>25</v>
      </c>
      <c r="N2282" s="18" t="s">
        <v>154</v>
      </c>
    </row>
    <row r="2283" spans="1:14" ht="15" customHeight="1" x14ac:dyDescent="0.3">
      <c r="A2283" s="18" t="s">
        <v>4464</v>
      </c>
      <c r="B2283" s="19" t="s">
        <v>15</v>
      </c>
      <c r="C2283" s="18" t="s">
        <v>4469</v>
      </c>
      <c r="D2283" s="18" t="s">
        <v>116</v>
      </c>
      <c r="E2283" s="18" t="s">
        <v>55</v>
      </c>
      <c r="F2283" s="18" t="s">
        <v>2813</v>
      </c>
      <c r="G2283" s="18" t="s">
        <v>2242</v>
      </c>
      <c r="H2283" s="18" t="s">
        <v>4612</v>
      </c>
      <c r="I2283" s="20" t="s">
        <v>4687</v>
      </c>
      <c r="J2283" s="18" t="s">
        <v>58</v>
      </c>
      <c r="K2283" s="18" t="s">
        <v>24</v>
      </c>
      <c r="L2283" s="18" t="s">
        <v>25</v>
      </c>
      <c r="N2283" s="18" t="s">
        <v>973</v>
      </c>
    </row>
    <row r="2284" spans="1:14" ht="15" customHeight="1" x14ac:dyDescent="0.3">
      <c r="A2284" s="18" t="s">
        <v>4464</v>
      </c>
      <c r="B2284" s="19" t="s">
        <v>15</v>
      </c>
      <c r="C2284" s="18" t="s">
        <v>4465</v>
      </c>
      <c r="D2284" s="18" t="s">
        <v>116</v>
      </c>
      <c r="E2284" s="18" t="s">
        <v>74</v>
      </c>
      <c r="F2284" s="18" t="s">
        <v>4688</v>
      </c>
      <c r="G2284" s="18" t="s">
        <v>433</v>
      </c>
      <c r="H2284" s="18" t="s">
        <v>4689</v>
      </c>
      <c r="I2284" s="20" t="s">
        <v>4690</v>
      </c>
      <c r="J2284" s="18" t="s">
        <v>1128</v>
      </c>
      <c r="K2284" s="18" t="s">
        <v>24</v>
      </c>
      <c r="L2284" s="18" t="s">
        <v>25</v>
      </c>
      <c r="N2284" s="18" t="s">
        <v>154</v>
      </c>
    </row>
    <row r="2285" spans="1:14" ht="15" customHeight="1" x14ac:dyDescent="0.3">
      <c r="A2285" s="18" t="s">
        <v>4464</v>
      </c>
      <c r="B2285" s="19" t="s">
        <v>15</v>
      </c>
      <c r="C2285" s="18" t="s">
        <v>4465</v>
      </c>
      <c r="D2285" s="18" t="s">
        <v>116</v>
      </c>
      <c r="E2285" s="18" t="s">
        <v>74</v>
      </c>
      <c r="F2285" s="18" t="s">
        <v>4691</v>
      </c>
      <c r="G2285" s="18" t="s">
        <v>28</v>
      </c>
      <c r="H2285" s="18" t="s">
        <v>4692</v>
      </c>
      <c r="I2285" s="20" t="s">
        <v>4693</v>
      </c>
      <c r="J2285" s="18" t="s">
        <v>1128</v>
      </c>
      <c r="K2285" s="18" t="s">
        <v>24</v>
      </c>
      <c r="L2285" s="18" t="s">
        <v>25</v>
      </c>
      <c r="N2285" s="18" t="s">
        <v>154</v>
      </c>
    </row>
    <row r="2286" spans="1:14" ht="15" customHeight="1" x14ac:dyDescent="0.3">
      <c r="A2286" s="18" t="s">
        <v>4464</v>
      </c>
      <c r="B2286" s="19" t="s">
        <v>15</v>
      </c>
      <c r="C2286" s="18" t="s">
        <v>4465</v>
      </c>
      <c r="D2286" s="18" t="s">
        <v>116</v>
      </c>
      <c r="E2286" s="18" t="s">
        <v>74</v>
      </c>
      <c r="F2286" s="18" t="s">
        <v>4694</v>
      </c>
      <c r="G2286" s="18" t="s">
        <v>1026</v>
      </c>
      <c r="H2286" s="18" t="s">
        <v>4695</v>
      </c>
      <c r="I2286" s="20" t="s">
        <v>4696</v>
      </c>
      <c r="J2286" s="18" t="s">
        <v>199</v>
      </c>
      <c r="K2286" s="18" t="s">
        <v>293</v>
      </c>
      <c r="L2286" s="18" t="s">
        <v>25</v>
      </c>
      <c r="N2286" s="18" t="s">
        <v>154</v>
      </c>
    </row>
    <row r="2287" spans="1:14" ht="15" customHeight="1" x14ac:dyDescent="0.3">
      <c r="A2287" s="18" t="s">
        <v>4464</v>
      </c>
      <c r="B2287" s="19" t="s">
        <v>15</v>
      </c>
      <c r="C2287" s="18" t="s">
        <v>4697</v>
      </c>
      <c r="D2287" s="18" t="s">
        <v>116</v>
      </c>
      <c r="E2287" s="18" t="s">
        <v>74</v>
      </c>
      <c r="F2287" s="18" t="s">
        <v>4698</v>
      </c>
      <c r="G2287" s="18" t="s">
        <v>41</v>
      </c>
      <c r="H2287" s="18" t="s">
        <v>4699</v>
      </c>
      <c r="I2287" s="20" t="s">
        <v>4700</v>
      </c>
      <c r="J2287" s="18" t="s">
        <v>1128</v>
      </c>
      <c r="K2287" s="18" t="s">
        <v>24</v>
      </c>
      <c r="L2287" s="18" t="s">
        <v>25</v>
      </c>
      <c r="N2287" s="18" t="s">
        <v>154</v>
      </c>
    </row>
    <row r="2288" spans="1:14" ht="15" customHeight="1" x14ac:dyDescent="0.3">
      <c r="A2288" s="18" t="s">
        <v>4464</v>
      </c>
      <c r="B2288" s="19" t="s">
        <v>15</v>
      </c>
      <c r="C2288" s="18" t="s">
        <v>4701</v>
      </c>
      <c r="D2288" s="18" t="s">
        <v>116</v>
      </c>
      <c r="E2288" s="18" t="s">
        <v>74</v>
      </c>
      <c r="F2288" s="18" t="s">
        <v>4702</v>
      </c>
      <c r="G2288" s="18" t="s">
        <v>219</v>
      </c>
      <c r="H2288" s="18" t="s">
        <v>4703</v>
      </c>
      <c r="I2288" s="20" t="s">
        <v>4704</v>
      </c>
      <c r="J2288" s="18" t="s">
        <v>4705</v>
      </c>
      <c r="K2288" s="18" t="s">
        <v>91</v>
      </c>
      <c r="L2288" s="18" t="s">
        <v>25</v>
      </c>
      <c r="N2288" s="18" t="s">
        <v>973</v>
      </c>
    </row>
    <row r="2289" spans="1:14" ht="15" customHeight="1" x14ac:dyDescent="0.3">
      <c r="A2289" s="18" t="s">
        <v>4464</v>
      </c>
      <c r="B2289" s="19" t="s">
        <v>15</v>
      </c>
      <c r="C2289" s="18" t="s">
        <v>4706</v>
      </c>
      <c r="D2289" s="18" t="s">
        <v>116</v>
      </c>
      <c r="E2289" s="18" t="s">
        <v>74</v>
      </c>
      <c r="F2289" s="18" t="s">
        <v>4707</v>
      </c>
      <c r="G2289" s="18" t="s">
        <v>20</v>
      </c>
      <c r="H2289" s="18" t="s">
        <v>4708</v>
      </c>
      <c r="I2289" s="20" t="s">
        <v>4709</v>
      </c>
      <c r="J2289" s="18" t="s">
        <v>4710</v>
      </c>
      <c r="K2289" s="18" t="s">
        <v>293</v>
      </c>
      <c r="L2289" s="18" t="s">
        <v>25</v>
      </c>
      <c r="N2289" s="18" t="s">
        <v>154</v>
      </c>
    </row>
    <row r="2290" spans="1:14" ht="15" customHeight="1" x14ac:dyDescent="0.3">
      <c r="A2290" s="18" t="s">
        <v>4464</v>
      </c>
      <c r="B2290" s="19" t="s">
        <v>15</v>
      </c>
      <c r="C2290" s="18" t="s">
        <v>4465</v>
      </c>
      <c r="D2290" s="18" t="s">
        <v>116</v>
      </c>
      <c r="E2290" s="18" t="s">
        <v>74</v>
      </c>
      <c r="F2290" s="18" t="s">
        <v>4711</v>
      </c>
      <c r="G2290" s="18" t="s">
        <v>41</v>
      </c>
      <c r="H2290" s="18" t="s">
        <v>4712</v>
      </c>
      <c r="I2290" s="20" t="s">
        <v>4713</v>
      </c>
      <c r="J2290" s="18" t="s">
        <v>1128</v>
      </c>
      <c r="K2290" s="18" t="s">
        <v>24</v>
      </c>
      <c r="L2290" s="18" t="s">
        <v>25</v>
      </c>
      <c r="N2290" s="18" t="s">
        <v>154</v>
      </c>
    </row>
    <row r="2291" spans="1:14" ht="15" customHeight="1" x14ac:dyDescent="0.3">
      <c r="A2291" s="18" t="s">
        <v>4464</v>
      </c>
      <c r="B2291" s="19" t="s">
        <v>15</v>
      </c>
      <c r="C2291" s="18" t="s">
        <v>4480</v>
      </c>
      <c r="D2291" s="18" t="s">
        <v>116</v>
      </c>
      <c r="E2291" s="18" t="s">
        <v>74</v>
      </c>
      <c r="F2291" s="18" t="s">
        <v>4714</v>
      </c>
      <c r="G2291" s="18" t="s">
        <v>207</v>
      </c>
      <c r="H2291" s="18" t="s">
        <v>4703</v>
      </c>
      <c r="I2291" s="20" t="s">
        <v>4715</v>
      </c>
      <c r="J2291" s="18" t="s">
        <v>1128</v>
      </c>
      <c r="K2291" s="18" t="s">
        <v>293</v>
      </c>
      <c r="L2291" s="18" t="s">
        <v>25</v>
      </c>
      <c r="N2291" s="18" t="s">
        <v>973</v>
      </c>
    </row>
    <row r="2292" spans="1:14" ht="15" customHeight="1" x14ac:dyDescent="0.3">
      <c r="A2292" s="18" t="s">
        <v>4464</v>
      </c>
      <c r="B2292" s="19" t="s">
        <v>15</v>
      </c>
      <c r="C2292" s="18" t="s">
        <v>4716</v>
      </c>
      <c r="D2292" s="18" t="s">
        <v>116</v>
      </c>
      <c r="E2292" s="18" t="s">
        <v>74</v>
      </c>
      <c r="F2292" s="18" t="s">
        <v>4717</v>
      </c>
      <c r="G2292" s="18" t="s">
        <v>207</v>
      </c>
      <c r="H2292" s="18" t="s">
        <v>4718</v>
      </c>
      <c r="I2292" s="20" t="s">
        <v>4719</v>
      </c>
      <c r="J2292" s="18" t="s">
        <v>1128</v>
      </c>
      <c r="K2292" s="18" t="s">
        <v>24</v>
      </c>
      <c r="L2292" s="18" t="s">
        <v>25</v>
      </c>
      <c r="N2292" s="18" t="s">
        <v>154</v>
      </c>
    </row>
    <row r="2293" spans="1:14" ht="15" customHeight="1" x14ac:dyDescent="0.3">
      <c r="A2293" s="18" t="s">
        <v>4464</v>
      </c>
      <c r="B2293" s="19" t="s">
        <v>15</v>
      </c>
      <c r="C2293" s="18" t="s">
        <v>4465</v>
      </c>
      <c r="D2293" s="18" t="s">
        <v>116</v>
      </c>
      <c r="E2293" s="18" t="s">
        <v>74</v>
      </c>
      <c r="F2293" s="18" t="s">
        <v>4720</v>
      </c>
      <c r="G2293" s="18" t="s">
        <v>1009</v>
      </c>
      <c r="H2293" s="18" t="s">
        <v>4708</v>
      </c>
      <c r="I2293" s="20" t="s">
        <v>4721</v>
      </c>
      <c r="J2293" s="18" t="s">
        <v>1128</v>
      </c>
      <c r="K2293" s="18" t="s">
        <v>293</v>
      </c>
      <c r="L2293" s="18" t="s">
        <v>25</v>
      </c>
      <c r="N2293" s="18" t="s">
        <v>154</v>
      </c>
    </row>
    <row r="2294" spans="1:14" ht="15" customHeight="1" x14ac:dyDescent="0.3">
      <c r="A2294" s="18" t="s">
        <v>4464</v>
      </c>
      <c r="B2294" s="19" t="s">
        <v>15</v>
      </c>
      <c r="C2294" s="18" t="s">
        <v>4465</v>
      </c>
      <c r="D2294" s="18" t="s">
        <v>116</v>
      </c>
      <c r="E2294" s="18" t="s">
        <v>74</v>
      </c>
      <c r="F2294" s="18" t="s">
        <v>4722</v>
      </c>
      <c r="G2294" s="18" t="s">
        <v>4723</v>
      </c>
      <c r="H2294" s="18" t="s">
        <v>4712</v>
      </c>
      <c r="I2294" s="20" t="s">
        <v>4724</v>
      </c>
      <c r="J2294" s="18" t="s">
        <v>1128</v>
      </c>
      <c r="K2294" s="18" t="s">
        <v>24</v>
      </c>
      <c r="L2294" s="18" t="s">
        <v>25</v>
      </c>
      <c r="N2294" s="18" t="s">
        <v>154</v>
      </c>
    </row>
    <row r="2295" spans="1:14" ht="15" customHeight="1" x14ac:dyDescent="0.3">
      <c r="A2295" s="18" t="s">
        <v>4464</v>
      </c>
      <c r="B2295" s="19" t="s">
        <v>15</v>
      </c>
      <c r="C2295" s="18" t="s">
        <v>4465</v>
      </c>
      <c r="D2295" s="18" t="s">
        <v>116</v>
      </c>
      <c r="E2295" s="18" t="s">
        <v>74</v>
      </c>
      <c r="F2295" s="18" t="s">
        <v>4725</v>
      </c>
      <c r="G2295" s="18" t="s">
        <v>1204</v>
      </c>
      <c r="H2295" s="18" t="s">
        <v>4712</v>
      </c>
      <c r="I2295" s="20" t="s">
        <v>4726</v>
      </c>
      <c r="J2295" s="18" t="s">
        <v>1128</v>
      </c>
      <c r="K2295" s="18" t="s">
        <v>24</v>
      </c>
      <c r="L2295" s="18" t="s">
        <v>25</v>
      </c>
      <c r="N2295" s="18" t="s">
        <v>154</v>
      </c>
    </row>
    <row r="2296" spans="1:14" ht="15" customHeight="1" x14ac:dyDescent="0.3">
      <c r="A2296" s="18" t="s">
        <v>4727</v>
      </c>
      <c r="B2296" s="19" t="s">
        <v>15</v>
      </c>
      <c r="C2296" s="18" t="s">
        <v>3975</v>
      </c>
      <c r="D2296" s="18" t="s">
        <v>116</v>
      </c>
      <c r="E2296" s="18" t="s">
        <v>117</v>
      </c>
      <c r="F2296" s="18" t="s">
        <v>2728</v>
      </c>
      <c r="G2296" s="18" t="s">
        <v>2047</v>
      </c>
      <c r="H2296" s="18" t="s">
        <v>4728</v>
      </c>
      <c r="I2296" s="20" t="s">
        <v>4729</v>
      </c>
      <c r="J2296" s="18" t="s">
        <v>58</v>
      </c>
      <c r="K2296" s="18" t="s">
        <v>24</v>
      </c>
      <c r="L2296" s="18" t="s">
        <v>25</v>
      </c>
      <c r="N2296" s="18" t="s">
        <v>807</v>
      </c>
    </row>
    <row r="2297" spans="1:14" ht="15" customHeight="1" x14ac:dyDescent="0.3">
      <c r="A2297" s="18" t="s">
        <v>4727</v>
      </c>
      <c r="B2297" s="19" t="s">
        <v>15</v>
      </c>
      <c r="C2297" s="18" t="s">
        <v>3975</v>
      </c>
      <c r="D2297" s="18" t="s">
        <v>116</v>
      </c>
      <c r="E2297" s="18" t="s">
        <v>117</v>
      </c>
      <c r="F2297" s="18" t="s">
        <v>765</v>
      </c>
      <c r="G2297" s="18" t="s">
        <v>429</v>
      </c>
      <c r="H2297" s="18" t="s">
        <v>4730</v>
      </c>
      <c r="I2297" s="20" t="s">
        <v>4731</v>
      </c>
      <c r="J2297" s="18" t="s">
        <v>58</v>
      </c>
      <c r="K2297" s="18" t="s">
        <v>24</v>
      </c>
      <c r="L2297" s="18" t="s">
        <v>25</v>
      </c>
      <c r="N2297" s="18" t="s">
        <v>807</v>
      </c>
    </row>
    <row r="2298" spans="1:14" ht="15" customHeight="1" x14ac:dyDescent="0.3">
      <c r="A2298" s="18" t="s">
        <v>4727</v>
      </c>
      <c r="B2298" s="19" t="s">
        <v>15</v>
      </c>
      <c r="C2298" s="18" t="s">
        <v>3975</v>
      </c>
      <c r="D2298" s="18" t="s">
        <v>116</v>
      </c>
      <c r="E2298" s="18" t="s">
        <v>117</v>
      </c>
      <c r="F2298" s="18" t="s">
        <v>1294</v>
      </c>
      <c r="G2298" s="18" t="s">
        <v>1295</v>
      </c>
      <c r="H2298" s="18" t="s">
        <v>4732</v>
      </c>
      <c r="I2298" s="20" t="s">
        <v>4733</v>
      </c>
      <c r="J2298" s="18" t="s">
        <v>58</v>
      </c>
      <c r="K2298" s="18" t="s">
        <v>24</v>
      </c>
      <c r="L2298" s="18" t="s">
        <v>25</v>
      </c>
      <c r="N2298" s="18" t="s">
        <v>807</v>
      </c>
    </row>
    <row r="2299" spans="1:14" ht="15" customHeight="1" x14ac:dyDescent="0.3">
      <c r="A2299" s="18" t="s">
        <v>4727</v>
      </c>
      <c r="B2299" s="19" t="s">
        <v>15</v>
      </c>
      <c r="C2299" s="18" t="s">
        <v>4734</v>
      </c>
      <c r="D2299" s="18" t="s">
        <v>116</v>
      </c>
      <c r="E2299" s="18" t="s">
        <v>117</v>
      </c>
      <c r="F2299" s="18" t="s">
        <v>4735</v>
      </c>
      <c r="G2299" s="18" t="s">
        <v>270</v>
      </c>
      <c r="H2299" s="18" t="s">
        <v>4736</v>
      </c>
      <c r="I2299" s="20" t="s">
        <v>4737</v>
      </c>
      <c r="J2299" s="18" t="s">
        <v>58</v>
      </c>
      <c r="K2299" s="18" t="s">
        <v>24</v>
      </c>
      <c r="L2299" s="18" t="s">
        <v>25</v>
      </c>
      <c r="N2299" s="18" t="s">
        <v>973</v>
      </c>
    </row>
    <row r="2300" spans="1:14" ht="15" customHeight="1" x14ac:dyDescent="0.3">
      <c r="A2300" s="18" t="s">
        <v>4727</v>
      </c>
      <c r="B2300" s="19" t="s">
        <v>15</v>
      </c>
      <c r="C2300" s="18" t="s">
        <v>3975</v>
      </c>
      <c r="D2300" s="18" t="s">
        <v>116</v>
      </c>
      <c r="E2300" s="18" t="s">
        <v>117</v>
      </c>
      <c r="F2300" s="18" t="s">
        <v>4738</v>
      </c>
      <c r="G2300" s="18" t="s">
        <v>273</v>
      </c>
      <c r="H2300" s="18" t="s">
        <v>4732</v>
      </c>
      <c r="I2300" s="20" t="s">
        <v>4739</v>
      </c>
      <c r="J2300" s="18" t="s">
        <v>58</v>
      </c>
      <c r="K2300" s="18" t="s">
        <v>24</v>
      </c>
      <c r="L2300" s="18" t="s">
        <v>25</v>
      </c>
      <c r="N2300" s="18" t="s">
        <v>807</v>
      </c>
    </row>
    <row r="2301" spans="1:14" ht="15" customHeight="1" x14ac:dyDescent="0.3">
      <c r="A2301" s="18" t="s">
        <v>4727</v>
      </c>
      <c r="B2301" s="19" t="s">
        <v>15</v>
      </c>
      <c r="C2301" s="18" t="s">
        <v>3975</v>
      </c>
      <c r="D2301" s="18" t="s">
        <v>116</v>
      </c>
      <c r="E2301" s="18" t="s">
        <v>117</v>
      </c>
      <c r="F2301" s="18" t="s">
        <v>4740</v>
      </c>
      <c r="G2301" s="18" t="s">
        <v>1075</v>
      </c>
      <c r="H2301" s="18" t="s">
        <v>4730</v>
      </c>
      <c r="I2301" s="20" t="s">
        <v>4741</v>
      </c>
      <c r="J2301" s="18" t="s">
        <v>58</v>
      </c>
      <c r="K2301" s="18" t="s">
        <v>24</v>
      </c>
      <c r="L2301" s="18" t="s">
        <v>25</v>
      </c>
      <c r="N2301" s="18" t="s">
        <v>807</v>
      </c>
    </row>
    <row r="2302" spans="1:14" ht="15" customHeight="1" x14ac:dyDescent="0.3">
      <c r="A2302" s="18" t="s">
        <v>4727</v>
      </c>
      <c r="B2302" s="19" t="s">
        <v>15</v>
      </c>
      <c r="C2302" s="18" t="s">
        <v>4734</v>
      </c>
      <c r="D2302" s="18" t="s">
        <v>116</v>
      </c>
      <c r="E2302" s="18" t="s">
        <v>117</v>
      </c>
      <c r="F2302" s="18" t="s">
        <v>4742</v>
      </c>
      <c r="G2302" s="18" t="s">
        <v>47</v>
      </c>
      <c r="H2302" s="18" t="s">
        <v>4736</v>
      </c>
      <c r="I2302" s="20" t="s">
        <v>4743</v>
      </c>
      <c r="J2302" s="18" t="s">
        <v>58</v>
      </c>
      <c r="K2302" s="18" t="s">
        <v>24</v>
      </c>
      <c r="L2302" s="18" t="s">
        <v>25</v>
      </c>
      <c r="N2302" s="18" t="s">
        <v>973</v>
      </c>
    </row>
    <row r="2303" spans="1:14" ht="15" customHeight="1" x14ac:dyDescent="0.3">
      <c r="A2303" s="18" t="s">
        <v>4727</v>
      </c>
      <c r="B2303" s="19" t="s">
        <v>15</v>
      </c>
      <c r="C2303" s="18" t="s">
        <v>4734</v>
      </c>
      <c r="D2303" s="18" t="s">
        <v>116</v>
      </c>
      <c r="E2303" s="18" t="s">
        <v>117</v>
      </c>
      <c r="F2303" s="18" t="s">
        <v>4744</v>
      </c>
      <c r="G2303" s="18" t="s">
        <v>47</v>
      </c>
      <c r="H2303" s="18" t="s">
        <v>4736</v>
      </c>
      <c r="I2303" s="20" t="s">
        <v>4745</v>
      </c>
      <c r="J2303" s="18" t="s">
        <v>58</v>
      </c>
      <c r="K2303" s="18" t="s">
        <v>24</v>
      </c>
      <c r="L2303" s="18" t="s">
        <v>25</v>
      </c>
      <c r="N2303" s="18" t="s">
        <v>973</v>
      </c>
    </row>
    <row r="2304" spans="1:14" ht="15" customHeight="1" x14ac:dyDescent="0.3">
      <c r="A2304" s="18" t="s">
        <v>4727</v>
      </c>
      <c r="B2304" s="19" t="s">
        <v>15</v>
      </c>
      <c r="C2304" s="18" t="s">
        <v>4734</v>
      </c>
      <c r="D2304" s="18" t="s">
        <v>116</v>
      </c>
      <c r="E2304" s="18" t="s">
        <v>117</v>
      </c>
      <c r="F2304" s="18" t="s">
        <v>546</v>
      </c>
      <c r="G2304" s="18" t="s">
        <v>85</v>
      </c>
      <c r="H2304" s="18" t="s">
        <v>4736</v>
      </c>
      <c r="I2304" s="20" t="s">
        <v>4746</v>
      </c>
      <c r="J2304" s="18" t="s">
        <v>58</v>
      </c>
      <c r="K2304" s="18" t="s">
        <v>24</v>
      </c>
      <c r="L2304" s="18" t="s">
        <v>25</v>
      </c>
      <c r="N2304" s="18" t="s">
        <v>973</v>
      </c>
    </row>
    <row r="2305" spans="1:14" ht="15" customHeight="1" x14ac:dyDescent="0.3">
      <c r="A2305" s="18" t="s">
        <v>4727</v>
      </c>
      <c r="B2305" s="19" t="s">
        <v>15</v>
      </c>
      <c r="C2305" s="18" t="s">
        <v>3975</v>
      </c>
      <c r="D2305" s="18" t="s">
        <v>116</v>
      </c>
      <c r="E2305" s="18" t="s">
        <v>117</v>
      </c>
      <c r="F2305" s="18" t="s">
        <v>2196</v>
      </c>
      <c r="G2305" s="18" t="s">
        <v>4747</v>
      </c>
      <c r="H2305" s="18" t="s">
        <v>4728</v>
      </c>
      <c r="I2305" s="20" t="s">
        <v>4748</v>
      </c>
      <c r="J2305" s="18" t="s">
        <v>58</v>
      </c>
      <c r="K2305" s="18" t="s">
        <v>24</v>
      </c>
      <c r="L2305" s="18" t="s">
        <v>25</v>
      </c>
      <c r="N2305" s="18" t="s">
        <v>807</v>
      </c>
    </row>
    <row r="2306" spans="1:14" ht="15" customHeight="1" x14ac:dyDescent="0.3">
      <c r="A2306" s="18" t="s">
        <v>4727</v>
      </c>
      <c r="B2306" s="19" t="s">
        <v>15</v>
      </c>
      <c r="C2306" s="18" t="s">
        <v>3975</v>
      </c>
      <c r="D2306" s="18" t="s">
        <v>116</v>
      </c>
      <c r="E2306" s="18" t="s">
        <v>117</v>
      </c>
      <c r="F2306" s="18" t="s">
        <v>4749</v>
      </c>
      <c r="G2306" s="18" t="s">
        <v>28</v>
      </c>
      <c r="H2306" s="18" t="s">
        <v>4730</v>
      </c>
      <c r="I2306" s="20" t="s">
        <v>4750</v>
      </c>
      <c r="J2306" s="18" t="s">
        <v>58</v>
      </c>
      <c r="K2306" s="18" t="s">
        <v>24</v>
      </c>
      <c r="L2306" s="18" t="s">
        <v>25</v>
      </c>
      <c r="N2306" s="18" t="s">
        <v>807</v>
      </c>
    </row>
    <row r="2307" spans="1:14" ht="15" customHeight="1" x14ac:dyDescent="0.3">
      <c r="A2307" s="18" t="s">
        <v>4727</v>
      </c>
      <c r="B2307" s="19" t="s">
        <v>15</v>
      </c>
      <c r="C2307" s="18" t="s">
        <v>3975</v>
      </c>
      <c r="D2307" s="18" t="s">
        <v>116</v>
      </c>
      <c r="E2307" s="18" t="s">
        <v>117</v>
      </c>
      <c r="F2307" s="18" t="s">
        <v>1917</v>
      </c>
      <c r="G2307" s="18" t="s">
        <v>47</v>
      </c>
      <c r="H2307" s="18" t="s">
        <v>4730</v>
      </c>
      <c r="I2307" s="20" t="s">
        <v>4751</v>
      </c>
      <c r="J2307" s="18" t="s">
        <v>58</v>
      </c>
      <c r="K2307" s="18" t="s">
        <v>24</v>
      </c>
      <c r="L2307" s="18" t="s">
        <v>25</v>
      </c>
      <c r="N2307" s="18" t="s">
        <v>807</v>
      </c>
    </row>
    <row r="2308" spans="1:14" ht="15" customHeight="1" x14ac:dyDescent="0.3">
      <c r="A2308" s="18" t="s">
        <v>4727</v>
      </c>
      <c r="B2308" s="19" t="s">
        <v>15</v>
      </c>
      <c r="C2308" s="18" t="s">
        <v>3975</v>
      </c>
      <c r="D2308" s="18" t="s">
        <v>116</v>
      </c>
      <c r="E2308" s="18" t="s">
        <v>117</v>
      </c>
      <c r="F2308" s="18" t="s">
        <v>4752</v>
      </c>
      <c r="G2308" s="18" t="s">
        <v>28</v>
      </c>
      <c r="H2308" s="18" t="s">
        <v>4730</v>
      </c>
      <c r="I2308" s="20" t="s">
        <v>4753</v>
      </c>
      <c r="J2308" s="18" t="s">
        <v>58</v>
      </c>
      <c r="K2308" s="18" t="s">
        <v>24</v>
      </c>
      <c r="L2308" s="18" t="s">
        <v>25</v>
      </c>
      <c r="N2308" s="18" t="s">
        <v>807</v>
      </c>
    </row>
    <row r="2309" spans="1:14" ht="15" customHeight="1" x14ac:dyDescent="0.3">
      <c r="A2309" s="18" t="s">
        <v>4727</v>
      </c>
      <c r="B2309" s="19" t="s">
        <v>15</v>
      </c>
      <c r="C2309" s="18" t="s">
        <v>3975</v>
      </c>
      <c r="D2309" s="18" t="s">
        <v>116</v>
      </c>
      <c r="E2309" s="18" t="s">
        <v>117</v>
      </c>
      <c r="F2309" s="18" t="s">
        <v>4488</v>
      </c>
      <c r="G2309" s="18" t="s">
        <v>1204</v>
      </c>
      <c r="H2309" s="18" t="s">
        <v>4730</v>
      </c>
      <c r="I2309" s="20" t="s">
        <v>4754</v>
      </c>
      <c r="J2309" s="18" t="s">
        <v>58</v>
      </c>
      <c r="K2309" s="18" t="s">
        <v>24</v>
      </c>
      <c r="L2309" s="18" t="s">
        <v>25</v>
      </c>
      <c r="N2309" s="18" t="s">
        <v>807</v>
      </c>
    </row>
    <row r="2310" spans="1:14" ht="15" customHeight="1" x14ac:dyDescent="0.3">
      <c r="A2310" s="18" t="s">
        <v>4727</v>
      </c>
      <c r="B2310" s="19" t="s">
        <v>15</v>
      </c>
      <c r="C2310" s="18" t="s">
        <v>3975</v>
      </c>
      <c r="D2310" s="18" t="s">
        <v>116</v>
      </c>
      <c r="E2310" s="18" t="s">
        <v>117</v>
      </c>
      <c r="F2310" s="18" t="s">
        <v>4755</v>
      </c>
      <c r="G2310" s="18" t="s">
        <v>1204</v>
      </c>
      <c r="H2310" s="18" t="s">
        <v>4730</v>
      </c>
      <c r="I2310" s="20" t="s">
        <v>4756</v>
      </c>
      <c r="J2310" s="18" t="s">
        <v>58</v>
      </c>
      <c r="K2310" s="18" t="s">
        <v>24</v>
      </c>
      <c r="L2310" s="18" t="s">
        <v>25</v>
      </c>
      <c r="N2310" s="18" t="s">
        <v>807</v>
      </c>
    </row>
    <row r="2311" spans="1:14" ht="15" customHeight="1" x14ac:dyDescent="0.3">
      <c r="A2311" s="18" t="s">
        <v>4727</v>
      </c>
      <c r="B2311" s="19" t="s">
        <v>15</v>
      </c>
      <c r="C2311" s="18" t="s">
        <v>3975</v>
      </c>
      <c r="D2311" s="18" t="s">
        <v>116</v>
      </c>
      <c r="E2311" s="18" t="s">
        <v>117</v>
      </c>
      <c r="F2311" s="18" t="s">
        <v>2506</v>
      </c>
      <c r="G2311" s="18" t="s">
        <v>1204</v>
      </c>
      <c r="H2311" s="18" t="s">
        <v>4730</v>
      </c>
      <c r="I2311" s="20" t="s">
        <v>4757</v>
      </c>
      <c r="J2311" s="18" t="s">
        <v>58</v>
      </c>
      <c r="K2311" s="18" t="s">
        <v>24</v>
      </c>
      <c r="L2311" s="18" t="s">
        <v>25</v>
      </c>
      <c r="N2311" s="18" t="s">
        <v>807</v>
      </c>
    </row>
    <row r="2312" spans="1:14" ht="15" customHeight="1" x14ac:dyDescent="0.3">
      <c r="A2312" s="18" t="s">
        <v>4727</v>
      </c>
      <c r="B2312" s="19" t="s">
        <v>15</v>
      </c>
      <c r="C2312" s="18" t="s">
        <v>3975</v>
      </c>
      <c r="D2312" s="18" t="s">
        <v>116</v>
      </c>
      <c r="E2312" s="18" t="s">
        <v>117</v>
      </c>
      <c r="F2312" s="18" t="s">
        <v>4758</v>
      </c>
      <c r="G2312" s="18" t="s">
        <v>2199</v>
      </c>
      <c r="H2312" s="18" t="s">
        <v>4728</v>
      </c>
      <c r="I2312" s="20" t="s">
        <v>4759</v>
      </c>
      <c r="J2312" s="18" t="s">
        <v>58</v>
      </c>
      <c r="K2312" s="18" t="s">
        <v>24</v>
      </c>
      <c r="L2312" s="18" t="s">
        <v>25</v>
      </c>
      <c r="N2312" s="18" t="s">
        <v>807</v>
      </c>
    </row>
    <row r="2313" spans="1:14" ht="15" customHeight="1" x14ac:dyDescent="0.3">
      <c r="A2313" s="18" t="s">
        <v>4727</v>
      </c>
      <c r="B2313" s="19" t="s">
        <v>15</v>
      </c>
      <c r="C2313" s="18" t="s">
        <v>4760</v>
      </c>
      <c r="D2313" s="18" t="s">
        <v>116</v>
      </c>
      <c r="E2313" s="18" t="s">
        <v>117</v>
      </c>
      <c r="F2313" s="18" t="s">
        <v>4761</v>
      </c>
      <c r="G2313" s="18" t="s">
        <v>2047</v>
      </c>
      <c r="H2313" s="18" t="s">
        <v>4728</v>
      </c>
      <c r="I2313" s="20" t="s">
        <v>4762</v>
      </c>
      <c r="J2313" s="18" t="s">
        <v>58</v>
      </c>
      <c r="K2313" s="18" t="s">
        <v>24</v>
      </c>
      <c r="L2313" s="18" t="s">
        <v>25</v>
      </c>
      <c r="N2313" s="18" t="s">
        <v>807</v>
      </c>
    </row>
    <row r="2314" spans="1:14" ht="15" customHeight="1" x14ac:dyDescent="0.3">
      <c r="A2314" s="18" t="s">
        <v>4727</v>
      </c>
      <c r="B2314" s="19" t="s">
        <v>15</v>
      </c>
      <c r="C2314" s="18" t="s">
        <v>3975</v>
      </c>
      <c r="D2314" s="18" t="s">
        <v>116</v>
      </c>
      <c r="E2314" s="18" t="s">
        <v>117</v>
      </c>
      <c r="F2314" s="18" t="s">
        <v>1639</v>
      </c>
      <c r="G2314" s="18" t="s">
        <v>1634</v>
      </c>
      <c r="H2314" s="18" t="s">
        <v>4732</v>
      </c>
      <c r="I2314" s="20" t="s">
        <v>4763</v>
      </c>
      <c r="J2314" s="18" t="s">
        <v>58</v>
      </c>
      <c r="K2314" s="18" t="s">
        <v>24</v>
      </c>
      <c r="L2314" s="18" t="s">
        <v>25</v>
      </c>
      <c r="N2314" s="18" t="s">
        <v>807</v>
      </c>
    </row>
    <row r="2315" spans="1:14" ht="15" customHeight="1" x14ac:dyDescent="0.3">
      <c r="A2315" s="18" t="s">
        <v>4727</v>
      </c>
      <c r="B2315" s="19" t="s">
        <v>15</v>
      </c>
      <c r="C2315" s="18" t="s">
        <v>3975</v>
      </c>
      <c r="D2315" s="18" t="s">
        <v>116</v>
      </c>
      <c r="E2315" s="18" t="s">
        <v>117</v>
      </c>
      <c r="F2315" s="18" t="s">
        <v>1920</v>
      </c>
      <c r="G2315" s="18" t="s">
        <v>219</v>
      </c>
      <c r="H2315" s="18" t="s">
        <v>4730</v>
      </c>
      <c r="I2315" s="20" t="s">
        <v>4764</v>
      </c>
      <c r="J2315" s="18" t="s">
        <v>58</v>
      </c>
      <c r="K2315" s="18" t="s">
        <v>24</v>
      </c>
      <c r="L2315" s="18" t="s">
        <v>25</v>
      </c>
      <c r="N2315" s="18" t="s">
        <v>807</v>
      </c>
    </row>
    <row r="2316" spans="1:14" ht="15" customHeight="1" x14ac:dyDescent="0.3">
      <c r="A2316" s="18" t="s">
        <v>4727</v>
      </c>
      <c r="B2316" s="19" t="s">
        <v>15</v>
      </c>
      <c r="C2316" s="18" t="s">
        <v>3975</v>
      </c>
      <c r="D2316" s="18" t="s">
        <v>116</v>
      </c>
      <c r="E2316" s="18" t="s">
        <v>117</v>
      </c>
      <c r="F2316" s="18" t="s">
        <v>4765</v>
      </c>
      <c r="G2316" s="18" t="s">
        <v>826</v>
      </c>
      <c r="H2316" s="18" t="s">
        <v>4730</v>
      </c>
      <c r="I2316" s="20" t="s">
        <v>4766</v>
      </c>
      <c r="J2316" s="18" t="s">
        <v>58</v>
      </c>
      <c r="K2316" s="18" t="s">
        <v>24</v>
      </c>
      <c r="L2316" s="18" t="s">
        <v>25</v>
      </c>
      <c r="N2316" s="18" t="s">
        <v>807</v>
      </c>
    </row>
    <row r="2317" spans="1:14" ht="15" customHeight="1" x14ac:dyDescent="0.3">
      <c r="A2317" s="18" t="s">
        <v>4727</v>
      </c>
      <c r="B2317" s="19" t="s">
        <v>15</v>
      </c>
      <c r="C2317" s="18" t="s">
        <v>3975</v>
      </c>
      <c r="D2317" s="18" t="s">
        <v>116</v>
      </c>
      <c r="E2317" s="18" t="s">
        <v>117</v>
      </c>
      <c r="F2317" s="18" t="s">
        <v>4767</v>
      </c>
      <c r="G2317" s="18" t="s">
        <v>536</v>
      </c>
      <c r="H2317" s="18" t="s">
        <v>4730</v>
      </c>
      <c r="I2317" s="20" t="s">
        <v>4768</v>
      </c>
      <c r="J2317" s="18" t="s">
        <v>58</v>
      </c>
      <c r="K2317" s="18" t="s">
        <v>24</v>
      </c>
      <c r="L2317" s="18" t="s">
        <v>25</v>
      </c>
      <c r="N2317" s="18" t="s">
        <v>807</v>
      </c>
    </row>
    <row r="2318" spans="1:14" ht="15" customHeight="1" x14ac:dyDescent="0.3">
      <c r="A2318" s="18" t="s">
        <v>4727</v>
      </c>
      <c r="B2318" s="19" t="s">
        <v>15</v>
      </c>
      <c r="C2318" s="18" t="s">
        <v>4734</v>
      </c>
      <c r="D2318" s="18" t="s">
        <v>116</v>
      </c>
      <c r="E2318" s="18" t="s">
        <v>117</v>
      </c>
      <c r="F2318" s="18" t="s">
        <v>1258</v>
      </c>
      <c r="G2318" s="18" t="s">
        <v>47</v>
      </c>
      <c r="H2318" s="18" t="s">
        <v>4736</v>
      </c>
      <c r="I2318" s="20" t="s">
        <v>4769</v>
      </c>
      <c r="J2318" s="18" t="s">
        <v>58</v>
      </c>
      <c r="K2318" s="18" t="s">
        <v>24</v>
      </c>
      <c r="L2318" s="18" t="s">
        <v>25</v>
      </c>
      <c r="N2318" s="18" t="s">
        <v>973</v>
      </c>
    </row>
    <row r="2319" spans="1:14" ht="15" customHeight="1" x14ac:dyDescent="0.3">
      <c r="A2319" s="18" t="s">
        <v>4727</v>
      </c>
      <c r="B2319" s="19" t="s">
        <v>15</v>
      </c>
      <c r="C2319" s="18" t="s">
        <v>4734</v>
      </c>
      <c r="D2319" s="18" t="s">
        <v>116</v>
      </c>
      <c r="E2319" s="18" t="s">
        <v>117</v>
      </c>
      <c r="F2319" s="18" t="s">
        <v>4770</v>
      </c>
      <c r="G2319" s="18" t="s">
        <v>2489</v>
      </c>
      <c r="H2319" s="18" t="s">
        <v>4736</v>
      </c>
      <c r="I2319" s="20" t="s">
        <v>4771</v>
      </c>
      <c r="J2319" s="18" t="s">
        <v>58</v>
      </c>
      <c r="K2319" s="18" t="s">
        <v>24</v>
      </c>
      <c r="L2319" s="18" t="s">
        <v>25</v>
      </c>
      <c r="N2319" s="18" t="s">
        <v>973</v>
      </c>
    </row>
    <row r="2320" spans="1:14" ht="15" customHeight="1" x14ac:dyDescent="0.3">
      <c r="A2320" s="18" t="s">
        <v>4727</v>
      </c>
      <c r="B2320" s="19" t="s">
        <v>15</v>
      </c>
      <c r="C2320" s="18" t="s">
        <v>4734</v>
      </c>
      <c r="D2320" s="18" t="s">
        <v>116</v>
      </c>
      <c r="E2320" s="18" t="s">
        <v>117</v>
      </c>
      <c r="F2320" s="18" t="s">
        <v>353</v>
      </c>
      <c r="G2320" s="18" t="s">
        <v>263</v>
      </c>
      <c r="H2320" s="18" t="s">
        <v>4736</v>
      </c>
      <c r="I2320" s="20" t="s">
        <v>4772</v>
      </c>
      <c r="J2320" s="18" t="s">
        <v>58</v>
      </c>
      <c r="K2320" s="18" t="s">
        <v>24</v>
      </c>
      <c r="L2320" s="18" t="s">
        <v>25</v>
      </c>
      <c r="N2320" s="18" t="s">
        <v>973</v>
      </c>
    </row>
    <row r="2321" spans="1:14" ht="15" customHeight="1" x14ac:dyDescent="0.3">
      <c r="A2321" s="18" t="s">
        <v>4727</v>
      </c>
      <c r="B2321" s="19" t="s">
        <v>15</v>
      </c>
      <c r="C2321" s="18" t="s">
        <v>3975</v>
      </c>
      <c r="D2321" s="18" t="s">
        <v>116</v>
      </c>
      <c r="E2321" s="18" t="s">
        <v>117</v>
      </c>
      <c r="F2321" s="18" t="s">
        <v>4159</v>
      </c>
      <c r="G2321" s="18" t="s">
        <v>35</v>
      </c>
      <c r="H2321" s="18" t="s">
        <v>4730</v>
      </c>
      <c r="I2321" s="20" t="s">
        <v>4773</v>
      </c>
      <c r="J2321" s="18" t="s">
        <v>58</v>
      </c>
      <c r="K2321" s="18" t="s">
        <v>24</v>
      </c>
      <c r="L2321" s="18" t="s">
        <v>25</v>
      </c>
      <c r="N2321" s="18" t="s">
        <v>807</v>
      </c>
    </row>
    <row r="2322" spans="1:14" ht="15" customHeight="1" x14ac:dyDescent="0.3">
      <c r="A2322" s="18" t="s">
        <v>4727</v>
      </c>
      <c r="B2322" s="19" t="s">
        <v>15</v>
      </c>
      <c r="C2322" s="18" t="s">
        <v>3975</v>
      </c>
      <c r="D2322" s="18" t="s">
        <v>116</v>
      </c>
      <c r="E2322" s="18" t="s">
        <v>117</v>
      </c>
      <c r="F2322" s="18" t="s">
        <v>4774</v>
      </c>
      <c r="G2322" s="18" t="s">
        <v>173</v>
      </c>
      <c r="H2322" s="18" t="s">
        <v>4730</v>
      </c>
      <c r="I2322" s="20" t="s">
        <v>4775</v>
      </c>
      <c r="J2322" s="18" t="s">
        <v>58</v>
      </c>
      <c r="K2322" s="18" t="s">
        <v>24</v>
      </c>
      <c r="L2322" s="18" t="s">
        <v>25</v>
      </c>
      <c r="N2322" s="18" t="s">
        <v>807</v>
      </c>
    </row>
    <row r="2323" spans="1:14" ht="15" customHeight="1" x14ac:dyDescent="0.3">
      <c r="A2323" s="18" t="s">
        <v>4727</v>
      </c>
      <c r="B2323" s="19" t="s">
        <v>15</v>
      </c>
      <c r="C2323" s="18" t="s">
        <v>3975</v>
      </c>
      <c r="D2323" s="18" t="s">
        <v>116</v>
      </c>
      <c r="E2323" s="18" t="s">
        <v>117</v>
      </c>
      <c r="F2323" s="18" t="s">
        <v>2242</v>
      </c>
      <c r="G2323" s="18" t="s">
        <v>2242</v>
      </c>
      <c r="H2323" s="18" t="s">
        <v>4728</v>
      </c>
      <c r="I2323" s="20" t="s">
        <v>4776</v>
      </c>
      <c r="J2323" s="18" t="s">
        <v>58</v>
      </c>
      <c r="K2323" s="18" t="s">
        <v>24</v>
      </c>
      <c r="L2323" s="18" t="s">
        <v>25</v>
      </c>
      <c r="N2323" s="18" t="s">
        <v>807</v>
      </c>
    </row>
    <row r="2324" spans="1:14" ht="15" customHeight="1" x14ac:dyDescent="0.3">
      <c r="A2324" s="18" t="s">
        <v>4727</v>
      </c>
      <c r="B2324" s="19" t="s">
        <v>15</v>
      </c>
      <c r="C2324" s="18" t="s">
        <v>3975</v>
      </c>
      <c r="D2324" s="18" t="s">
        <v>116</v>
      </c>
      <c r="E2324" s="18" t="s">
        <v>117</v>
      </c>
      <c r="F2324" s="18" t="s">
        <v>2244</v>
      </c>
      <c r="G2324" s="18" t="s">
        <v>2245</v>
      </c>
      <c r="H2324" s="18" t="s">
        <v>4732</v>
      </c>
      <c r="I2324" s="20" t="s">
        <v>4777</v>
      </c>
      <c r="J2324" s="18" t="s">
        <v>58</v>
      </c>
      <c r="K2324" s="18" t="s">
        <v>24</v>
      </c>
      <c r="L2324" s="18" t="s">
        <v>25</v>
      </c>
      <c r="N2324" s="18" t="s">
        <v>807</v>
      </c>
    </row>
    <row r="2325" spans="1:14" ht="15" customHeight="1" x14ac:dyDescent="0.3">
      <c r="A2325" s="18" t="s">
        <v>4727</v>
      </c>
      <c r="B2325" s="19" t="s">
        <v>15</v>
      </c>
      <c r="C2325" s="18" t="s">
        <v>3975</v>
      </c>
      <c r="D2325" s="18" t="s">
        <v>116</v>
      </c>
      <c r="E2325" s="18" t="s">
        <v>117</v>
      </c>
      <c r="F2325" s="18" t="s">
        <v>1223</v>
      </c>
      <c r="G2325" s="18" t="s">
        <v>44</v>
      </c>
      <c r="H2325" s="18" t="s">
        <v>4728</v>
      </c>
      <c r="I2325" s="20" t="s">
        <v>4778</v>
      </c>
      <c r="J2325" s="18" t="s">
        <v>58</v>
      </c>
      <c r="K2325" s="18" t="s">
        <v>24</v>
      </c>
      <c r="L2325" s="18" t="s">
        <v>25</v>
      </c>
      <c r="N2325" s="18" t="s">
        <v>807</v>
      </c>
    </row>
    <row r="2326" spans="1:14" ht="15" customHeight="1" x14ac:dyDescent="0.3">
      <c r="A2326" s="18" t="s">
        <v>4727</v>
      </c>
      <c r="B2326" s="19" t="s">
        <v>15</v>
      </c>
      <c r="C2326" s="18" t="s">
        <v>3975</v>
      </c>
      <c r="D2326" s="18" t="s">
        <v>116</v>
      </c>
      <c r="E2326" s="18" t="s">
        <v>117</v>
      </c>
      <c r="F2326" s="18" t="s">
        <v>4779</v>
      </c>
      <c r="G2326" s="18" t="s">
        <v>212</v>
      </c>
      <c r="H2326" s="18" t="s">
        <v>4730</v>
      </c>
      <c r="I2326" s="20" t="s">
        <v>4780</v>
      </c>
      <c r="J2326" s="18" t="s">
        <v>58</v>
      </c>
      <c r="K2326" s="18" t="s">
        <v>24</v>
      </c>
      <c r="L2326" s="18" t="s">
        <v>25</v>
      </c>
      <c r="N2326" s="18" t="s">
        <v>807</v>
      </c>
    </row>
    <row r="2327" spans="1:14" ht="15" customHeight="1" x14ac:dyDescent="0.3">
      <c r="A2327" s="18" t="s">
        <v>4727</v>
      </c>
      <c r="B2327" s="19" t="s">
        <v>15</v>
      </c>
      <c r="C2327" s="18" t="s">
        <v>3975</v>
      </c>
      <c r="D2327" s="18" t="s">
        <v>116</v>
      </c>
      <c r="E2327" s="18" t="s">
        <v>117</v>
      </c>
      <c r="F2327" s="18" t="s">
        <v>128</v>
      </c>
      <c r="G2327" s="18" t="s">
        <v>47</v>
      </c>
      <c r="H2327" s="18" t="s">
        <v>4730</v>
      </c>
      <c r="I2327" s="20" t="s">
        <v>4781</v>
      </c>
      <c r="J2327" s="18" t="s">
        <v>58</v>
      </c>
      <c r="K2327" s="18" t="s">
        <v>24</v>
      </c>
      <c r="L2327" s="18" t="s">
        <v>25</v>
      </c>
      <c r="N2327" s="18" t="s">
        <v>807</v>
      </c>
    </row>
    <row r="2328" spans="1:14" ht="15" customHeight="1" x14ac:dyDescent="0.3">
      <c r="A2328" s="18" t="s">
        <v>4727</v>
      </c>
      <c r="B2328" s="19" t="s">
        <v>15</v>
      </c>
      <c r="C2328" s="18" t="s">
        <v>4734</v>
      </c>
      <c r="D2328" s="18" t="s">
        <v>116</v>
      </c>
      <c r="E2328" s="18" t="s">
        <v>117</v>
      </c>
      <c r="F2328" s="18" t="s">
        <v>4782</v>
      </c>
      <c r="G2328" s="18" t="s">
        <v>219</v>
      </c>
      <c r="H2328" s="18" t="s">
        <v>4736</v>
      </c>
      <c r="I2328" s="20" t="s">
        <v>4783</v>
      </c>
      <c r="J2328" s="18" t="s">
        <v>58</v>
      </c>
      <c r="K2328" s="18" t="s">
        <v>24</v>
      </c>
      <c r="L2328" s="18" t="s">
        <v>25</v>
      </c>
      <c r="N2328" s="18" t="s">
        <v>973</v>
      </c>
    </row>
    <row r="2329" spans="1:14" ht="15" customHeight="1" x14ac:dyDescent="0.3">
      <c r="A2329" s="18" t="s">
        <v>4727</v>
      </c>
      <c r="B2329" s="19" t="s">
        <v>15</v>
      </c>
      <c r="C2329" s="18" t="s">
        <v>3975</v>
      </c>
      <c r="D2329" s="18" t="s">
        <v>116</v>
      </c>
      <c r="E2329" s="18" t="s">
        <v>117</v>
      </c>
      <c r="F2329" s="18" t="s">
        <v>4784</v>
      </c>
      <c r="G2329" s="18" t="s">
        <v>47</v>
      </c>
      <c r="H2329" s="18" t="s">
        <v>4728</v>
      </c>
      <c r="I2329" s="20" t="s">
        <v>4785</v>
      </c>
      <c r="J2329" s="18" t="s">
        <v>58</v>
      </c>
      <c r="K2329" s="18" t="s">
        <v>24</v>
      </c>
      <c r="L2329" s="18" t="s">
        <v>25</v>
      </c>
      <c r="N2329" s="18" t="s">
        <v>807</v>
      </c>
    </row>
    <row r="2330" spans="1:14" ht="15" customHeight="1" x14ac:dyDescent="0.3">
      <c r="A2330" s="18" t="s">
        <v>4727</v>
      </c>
      <c r="B2330" s="19" t="s">
        <v>15</v>
      </c>
      <c r="C2330" s="18" t="s">
        <v>3975</v>
      </c>
      <c r="D2330" s="18" t="s">
        <v>116</v>
      </c>
      <c r="E2330" s="18" t="s">
        <v>117</v>
      </c>
      <c r="F2330" s="18" t="s">
        <v>2260</v>
      </c>
      <c r="G2330" s="18" t="s">
        <v>913</v>
      </c>
      <c r="H2330" s="18" t="s">
        <v>4728</v>
      </c>
      <c r="I2330" s="20" t="s">
        <v>4786</v>
      </c>
      <c r="J2330" s="18" t="s">
        <v>58</v>
      </c>
      <c r="K2330" s="18" t="s">
        <v>24</v>
      </c>
      <c r="L2330" s="18" t="s">
        <v>25</v>
      </c>
      <c r="N2330" s="18" t="s">
        <v>807</v>
      </c>
    </row>
    <row r="2331" spans="1:14" ht="15" customHeight="1" x14ac:dyDescent="0.3">
      <c r="A2331" s="18" t="s">
        <v>4727</v>
      </c>
      <c r="B2331" s="19" t="s">
        <v>15</v>
      </c>
      <c r="C2331" s="18" t="s">
        <v>3975</v>
      </c>
      <c r="D2331" s="18" t="s">
        <v>116</v>
      </c>
      <c r="E2331" s="18" t="s">
        <v>117</v>
      </c>
      <c r="F2331" s="18" t="s">
        <v>3112</v>
      </c>
      <c r="G2331" s="18" t="s">
        <v>60</v>
      </c>
      <c r="H2331" s="18" t="s">
        <v>4730</v>
      </c>
      <c r="I2331" s="20" t="s">
        <v>4787</v>
      </c>
      <c r="J2331" s="18" t="s">
        <v>58</v>
      </c>
      <c r="K2331" s="18" t="s">
        <v>24</v>
      </c>
      <c r="L2331" s="18" t="s">
        <v>25</v>
      </c>
      <c r="N2331" s="18" t="s">
        <v>807</v>
      </c>
    </row>
    <row r="2332" spans="1:14" ht="15" customHeight="1" x14ac:dyDescent="0.3">
      <c r="A2332" s="18" t="s">
        <v>4727</v>
      </c>
      <c r="B2332" s="19" t="s">
        <v>15</v>
      </c>
      <c r="C2332" s="18" t="s">
        <v>3975</v>
      </c>
      <c r="D2332" s="18" t="s">
        <v>116</v>
      </c>
      <c r="E2332" s="18" t="s">
        <v>117</v>
      </c>
      <c r="F2332" s="18" t="s">
        <v>3908</v>
      </c>
      <c r="G2332" s="18" t="s">
        <v>1502</v>
      </c>
      <c r="H2332" s="18" t="s">
        <v>4730</v>
      </c>
      <c r="I2332" s="20" t="s">
        <v>4788</v>
      </c>
      <c r="J2332" s="18" t="s">
        <v>58</v>
      </c>
      <c r="K2332" s="18" t="s">
        <v>24</v>
      </c>
      <c r="L2332" s="18" t="s">
        <v>25</v>
      </c>
      <c r="N2332" s="18" t="s">
        <v>807</v>
      </c>
    </row>
    <row r="2333" spans="1:14" ht="15" customHeight="1" x14ac:dyDescent="0.3">
      <c r="A2333" s="18" t="s">
        <v>4727</v>
      </c>
      <c r="B2333" s="19" t="s">
        <v>15</v>
      </c>
      <c r="C2333" s="18" t="s">
        <v>4734</v>
      </c>
      <c r="D2333" s="18" t="s">
        <v>116</v>
      </c>
      <c r="E2333" s="18" t="s">
        <v>117</v>
      </c>
      <c r="F2333" s="18" t="s">
        <v>1235</v>
      </c>
      <c r="G2333" s="18" t="s">
        <v>47</v>
      </c>
      <c r="H2333" s="18" t="s">
        <v>4736</v>
      </c>
      <c r="I2333" s="20" t="s">
        <v>4789</v>
      </c>
      <c r="J2333" s="18" t="s">
        <v>58</v>
      </c>
      <c r="K2333" s="18" t="s">
        <v>24</v>
      </c>
      <c r="L2333" s="18" t="s">
        <v>25</v>
      </c>
      <c r="N2333" s="18" t="s">
        <v>973</v>
      </c>
    </row>
    <row r="2334" spans="1:14" ht="15" customHeight="1" x14ac:dyDescent="0.3">
      <c r="A2334" s="18" t="s">
        <v>4727</v>
      </c>
      <c r="B2334" s="19" t="s">
        <v>15</v>
      </c>
      <c r="C2334" s="18" t="s">
        <v>4734</v>
      </c>
      <c r="D2334" s="18" t="s">
        <v>116</v>
      </c>
      <c r="E2334" s="18" t="s">
        <v>117</v>
      </c>
      <c r="F2334" s="18" t="s">
        <v>1329</v>
      </c>
      <c r="G2334" s="18" t="s">
        <v>51</v>
      </c>
      <c r="H2334" s="18" t="s">
        <v>4736</v>
      </c>
      <c r="I2334" s="20" t="s">
        <v>4790</v>
      </c>
      <c r="J2334" s="18" t="s">
        <v>58</v>
      </c>
      <c r="K2334" s="18" t="s">
        <v>24</v>
      </c>
      <c r="L2334" s="18" t="s">
        <v>25</v>
      </c>
      <c r="N2334" s="18" t="s">
        <v>973</v>
      </c>
    </row>
    <row r="2335" spans="1:14" ht="15" customHeight="1" x14ac:dyDescent="0.3">
      <c r="A2335" s="18" t="s">
        <v>4727</v>
      </c>
      <c r="B2335" s="19" t="s">
        <v>15</v>
      </c>
      <c r="C2335" s="18" t="s">
        <v>4734</v>
      </c>
      <c r="D2335" s="18" t="s">
        <v>116</v>
      </c>
      <c r="E2335" s="18" t="s">
        <v>117</v>
      </c>
      <c r="F2335" s="18" t="s">
        <v>1655</v>
      </c>
      <c r="G2335" s="18" t="s">
        <v>536</v>
      </c>
      <c r="H2335" s="18" t="s">
        <v>4736</v>
      </c>
      <c r="I2335" s="20" t="s">
        <v>4791</v>
      </c>
      <c r="J2335" s="18" t="s">
        <v>58</v>
      </c>
      <c r="K2335" s="18" t="s">
        <v>24</v>
      </c>
      <c r="L2335" s="18" t="s">
        <v>25</v>
      </c>
      <c r="N2335" s="18" t="s">
        <v>973</v>
      </c>
    </row>
    <row r="2336" spans="1:14" ht="15" customHeight="1" x14ac:dyDescent="0.3">
      <c r="A2336" s="18" t="s">
        <v>4727</v>
      </c>
      <c r="B2336" s="19" t="s">
        <v>15</v>
      </c>
      <c r="C2336" s="18" t="s">
        <v>3975</v>
      </c>
      <c r="D2336" s="18" t="s">
        <v>116</v>
      </c>
      <c r="E2336" s="18" t="s">
        <v>117</v>
      </c>
      <c r="F2336" s="18" t="s">
        <v>2081</v>
      </c>
      <c r="G2336" s="18" t="s">
        <v>913</v>
      </c>
      <c r="H2336" s="18" t="s">
        <v>4728</v>
      </c>
      <c r="I2336" s="20" t="s">
        <v>4792</v>
      </c>
      <c r="J2336" s="18" t="s">
        <v>58</v>
      </c>
      <c r="K2336" s="18" t="s">
        <v>24</v>
      </c>
      <c r="L2336" s="18" t="s">
        <v>25</v>
      </c>
      <c r="N2336" s="18" t="s">
        <v>807</v>
      </c>
    </row>
    <row r="2337" spans="1:14" ht="15" customHeight="1" x14ac:dyDescent="0.3">
      <c r="A2337" s="18" t="s">
        <v>4727</v>
      </c>
      <c r="B2337" s="19" t="s">
        <v>15</v>
      </c>
      <c r="C2337" s="18" t="s">
        <v>3975</v>
      </c>
      <c r="D2337" s="18" t="s">
        <v>116</v>
      </c>
      <c r="E2337" s="18" t="s">
        <v>18</v>
      </c>
      <c r="F2337" s="18" t="s">
        <v>4793</v>
      </c>
      <c r="G2337" s="18" t="s">
        <v>2245</v>
      </c>
      <c r="H2337" s="18" t="s">
        <v>4732</v>
      </c>
      <c r="I2337" s="20" t="s">
        <v>4794</v>
      </c>
      <c r="J2337" s="18" t="s">
        <v>30</v>
      </c>
      <c r="K2337" s="18" t="s">
        <v>24</v>
      </c>
      <c r="L2337" s="18" t="s">
        <v>25</v>
      </c>
      <c r="N2337" s="18" t="s">
        <v>807</v>
      </c>
    </row>
    <row r="2338" spans="1:14" ht="15" customHeight="1" x14ac:dyDescent="0.3">
      <c r="A2338" s="18" t="s">
        <v>4727</v>
      </c>
      <c r="B2338" s="19" t="s">
        <v>15</v>
      </c>
      <c r="C2338" s="18" t="s">
        <v>3975</v>
      </c>
      <c r="D2338" s="18" t="s">
        <v>116</v>
      </c>
      <c r="E2338" s="18" t="s">
        <v>18</v>
      </c>
      <c r="F2338" s="18" t="s">
        <v>4795</v>
      </c>
      <c r="G2338" s="18" t="s">
        <v>3133</v>
      </c>
      <c r="H2338" s="18" t="s">
        <v>4732</v>
      </c>
      <c r="I2338" s="20" t="s">
        <v>4796</v>
      </c>
      <c r="J2338" s="18" t="s">
        <v>30</v>
      </c>
      <c r="K2338" s="18" t="s">
        <v>24</v>
      </c>
      <c r="L2338" s="18" t="s">
        <v>25</v>
      </c>
      <c r="N2338" s="18" t="s">
        <v>807</v>
      </c>
    </row>
    <row r="2339" spans="1:14" ht="15" customHeight="1" x14ac:dyDescent="0.3">
      <c r="A2339" s="18" t="s">
        <v>4727</v>
      </c>
      <c r="B2339" s="19" t="s">
        <v>15</v>
      </c>
      <c r="C2339" s="18" t="s">
        <v>3975</v>
      </c>
      <c r="D2339" s="18" t="s">
        <v>116</v>
      </c>
      <c r="E2339" s="18" t="s">
        <v>18</v>
      </c>
      <c r="F2339" s="18" t="s">
        <v>2743</v>
      </c>
      <c r="G2339" s="18" t="s">
        <v>606</v>
      </c>
      <c r="H2339" s="18" t="s">
        <v>4728</v>
      </c>
      <c r="I2339" s="20" t="s">
        <v>4797</v>
      </c>
      <c r="J2339" s="18" t="s">
        <v>30</v>
      </c>
      <c r="K2339" s="18" t="s">
        <v>24</v>
      </c>
      <c r="L2339" s="18" t="s">
        <v>25</v>
      </c>
      <c r="N2339" s="18" t="s">
        <v>807</v>
      </c>
    </row>
    <row r="2340" spans="1:14" ht="15" customHeight="1" x14ac:dyDescent="0.3">
      <c r="A2340" s="18" t="s">
        <v>4727</v>
      </c>
      <c r="B2340" s="19" t="s">
        <v>15</v>
      </c>
      <c r="C2340" s="18" t="s">
        <v>3975</v>
      </c>
      <c r="D2340" s="18" t="s">
        <v>116</v>
      </c>
      <c r="E2340" s="18" t="s">
        <v>18</v>
      </c>
      <c r="F2340" s="18" t="s">
        <v>4798</v>
      </c>
      <c r="G2340" s="18" t="s">
        <v>2242</v>
      </c>
      <c r="H2340" s="18" t="s">
        <v>4728</v>
      </c>
      <c r="I2340" s="20" t="s">
        <v>4799</v>
      </c>
      <c r="J2340" s="18" t="s">
        <v>30</v>
      </c>
      <c r="K2340" s="18" t="s">
        <v>24</v>
      </c>
      <c r="L2340" s="18" t="s">
        <v>25</v>
      </c>
      <c r="N2340" s="18" t="s">
        <v>807</v>
      </c>
    </row>
    <row r="2341" spans="1:14" ht="15" customHeight="1" x14ac:dyDescent="0.3">
      <c r="A2341" s="18" t="s">
        <v>4727</v>
      </c>
      <c r="B2341" s="19" t="s">
        <v>15</v>
      </c>
      <c r="C2341" s="18" t="s">
        <v>3975</v>
      </c>
      <c r="D2341" s="18" t="s">
        <v>116</v>
      </c>
      <c r="E2341" s="18" t="s">
        <v>18</v>
      </c>
      <c r="F2341" s="18" t="s">
        <v>4800</v>
      </c>
      <c r="G2341" s="18" t="s">
        <v>1009</v>
      </c>
      <c r="H2341" s="18" t="s">
        <v>4730</v>
      </c>
      <c r="I2341" s="20" t="s">
        <v>4801</v>
      </c>
      <c r="J2341" s="18" t="s">
        <v>30</v>
      </c>
      <c r="K2341" s="18" t="s">
        <v>24</v>
      </c>
      <c r="L2341" s="18" t="s">
        <v>25</v>
      </c>
      <c r="N2341" s="18" t="s">
        <v>807</v>
      </c>
    </row>
    <row r="2342" spans="1:14" ht="15" customHeight="1" x14ac:dyDescent="0.3">
      <c r="A2342" s="18" t="s">
        <v>4727</v>
      </c>
      <c r="B2342" s="19" t="s">
        <v>15</v>
      </c>
      <c r="C2342" s="18" t="s">
        <v>3975</v>
      </c>
      <c r="D2342" s="18" t="s">
        <v>116</v>
      </c>
      <c r="E2342" s="18" t="s">
        <v>18</v>
      </c>
      <c r="F2342" s="18" t="s">
        <v>2755</v>
      </c>
      <c r="G2342" s="18" t="s">
        <v>1340</v>
      </c>
      <c r="H2342" s="18" t="s">
        <v>4732</v>
      </c>
      <c r="I2342" s="20" t="s">
        <v>4802</v>
      </c>
      <c r="J2342" s="18" t="s">
        <v>30</v>
      </c>
      <c r="K2342" s="18" t="s">
        <v>24</v>
      </c>
      <c r="L2342" s="18" t="s">
        <v>25</v>
      </c>
      <c r="N2342" s="18" t="s">
        <v>807</v>
      </c>
    </row>
    <row r="2343" spans="1:14" ht="15" customHeight="1" x14ac:dyDescent="0.3">
      <c r="A2343" s="18" t="s">
        <v>4727</v>
      </c>
      <c r="B2343" s="19" t="s">
        <v>15</v>
      </c>
      <c r="C2343" s="18" t="s">
        <v>3975</v>
      </c>
      <c r="D2343" s="18" t="s">
        <v>116</v>
      </c>
      <c r="E2343" s="18" t="s">
        <v>18</v>
      </c>
      <c r="F2343" s="18" t="s">
        <v>1806</v>
      </c>
      <c r="G2343" s="18" t="s">
        <v>85</v>
      </c>
      <c r="H2343" s="18" t="s">
        <v>4730</v>
      </c>
      <c r="I2343" s="20" t="s">
        <v>4803</v>
      </c>
      <c r="J2343" s="18" t="s">
        <v>30</v>
      </c>
      <c r="K2343" s="18" t="s">
        <v>24</v>
      </c>
      <c r="L2343" s="18" t="s">
        <v>25</v>
      </c>
      <c r="N2343" s="18" t="s">
        <v>807</v>
      </c>
    </row>
    <row r="2344" spans="1:14" ht="15" customHeight="1" x14ac:dyDescent="0.3">
      <c r="A2344" s="18" t="s">
        <v>4727</v>
      </c>
      <c r="B2344" s="19" t="s">
        <v>15</v>
      </c>
      <c r="C2344" s="18" t="s">
        <v>3975</v>
      </c>
      <c r="D2344" s="18" t="s">
        <v>116</v>
      </c>
      <c r="E2344" s="18" t="s">
        <v>18</v>
      </c>
      <c r="F2344" s="18" t="s">
        <v>2544</v>
      </c>
      <c r="G2344" s="18" t="s">
        <v>1019</v>
      </c>
      <c r="H2344" s="18" t="s">
        <v>4732</v>
      </c>
      <c r="I2344" s="20" t="s">
        <v>4804</v>
      </c>
      <c r="J2344" s="18" t="s">
        <v>30</v>
      </c>
      <c r="K2344" s="18" t="s">
        <v>24</v>
      </c>
      <c r="L2344" s="18" t="s">
        <v>25</v>
      </c>
      <c r="N2344" s="18" t="s">
        <v>807</v>
      </c>
    </row>
    <row r="2345" spans="1:14" ht="15" customHeight="1" x14ac:dyDescent="0.3">
      <c r="A2345" s="18" t="s">
        <v>4727</v>
      </c>
      <c r="B2345" s="19" t="s">
        <v>15</v>
      </c>
      <c r="C2345" s="18" t="s">
        <v>3975</v>
      </c>
      <c r="D2345" s="18" t="s">
        <v>116</v>
      </c>
      <c r="E2345" s="18" t="s">
        <v>18</v>
      </c>
      <c r="F2345" s="18" t="s">
        <v>272</v>
      </c>
      <c r="G2345" s="18" t="s">
        <v>273</v>
      </c>
      <c r="H2345" s="18" t="s">
        <v>4732</v>
      </c>
      <c r="I2345" s="20" t="s">
        <v>4805</v>
      </c>
      <c r="J2345" s="18" t="s">
        <v>30</v>
      </c>
      <c r="K2345" s="18" t="s">
        <v>24</v>
      </c>
      <c r="L2345" s="18" t="s">
        <v>25</v>
      </c>
      <c r="N2345" s="18" t="s">
        <v>807</v>
      </c>
    </row>
    <row r="2346" spans="1:14" ht="15" customHeight="1" x14ac:dyDescent="0.3">
      <c r="A2346" s="18" t="s">
        <v>4727</v>
      </c>
      <c r="B2346" s="19" t="s">
        <v>15</v>
      </c>
      <c r="C2346" s="18" t="s">
        <v>3975</v>
      </c>
      <c r="D2346" s="18" t="s">
        <v>116</v>
      </c>
      <c r="E2346" s="18" t="s">
        <v>18</v>
      </c>
      <c r="F2346" s="18" t="s">
        <v>356</v>
      </c>
      <c r="G2346" s="18" t="s">
        <v>273</v>
      </c>
      <c r="H2346" s="18" t="s">
        <v>4732</v>
      </c>
      <c r="I2346" s="20" t="s">
        <v>4806</v>
      </c>
      <c r="J2346" s="18" t="s">
        <v>30</v>
      </c>
      <c r="K2346" s="18" t="s">
        <v>24</v>
      </c>
      <c r="L2346" s="18" t="s">
        <v>25</v>
      </c>
      <c r="N2346" s="18" t="s">
        <v>807</v>
      </c>
    </row>
    <row r="2347" spans="1:14" ht="15" customHeight="1" x14ac:dyDescent="0.3">
      <c r="A2347" s="18" t="s">
        <v>4727</v>
      </c>
      <c r="B2347" s="19" t="s">
        <v>15</v>
      </c>
      <c r="C2347" s="18" t="s">
        <v>3975</v>
      </c>
      <c r="D2347" s="18" t="s">
        <v>116</v>
      </c>
      <c r="E2347" s="18" t="s">
        <v>18</v>
      </c>
      <c r="F2347" s="18" t="s">
        <v>381</v>
      </c>
      <c r="G2347" s="18" t="s">
        <v>381</v>
      </c>
      <c r="H2347" s="18" t="s">
        <v>4807</v>
      </c>
      <c r="I2347" s="20" t="s">
        <v>4808</v>
      </c>
      <c r="J2347" s="18" t="s">
        <v>23</v>
      </c>
      <c r="K2347" s="18" t="s">
        <v>24</v>
      </c>
      <c r="L2347" s="18" t="s">
        <v>25</v>
      </c>
      <c r="N2347" s="18" t="s">
        <v>807</v>
      </c>
    </row>
    <row r="2348" spans="1:14" ht="15" customHeight="1" x14ac:dyDescent="0.3">
      <c r="A2348" s="18" t="s">
        <v>4727</v>
      </c>
      <c r="B2348" s="19" t="s">
        <v>15</v>
      </c>
      <c r="C2348" s="18" t="s">
        <v>3975</v>
      </c>
      <c r="D2348" s="18" t="s">
        <v>116</v>
      </c>
      <c r="E2348" s="18" t="s">
        <v>18</v>
      </c>
      <c r="F2348" s="18" t="s">
        <v>624</v>
      </c>
      <c r="G2348" s="18" t="s">
        <v>4747</v>
      </c>
      <c r="H2348" s="18" t="s">
        <v>4728</v>
      </c>
      <c r="I2348" s="20" t="s">
        <v>4809</v>
      </c>
      <c r="J2348" s="18" t="s">
        <v>30</v>
      </c>
      <c r="K2348" s="18" t="s">
        <v>24</v>
      </c>
      <c r="L2348" s="18" t="s">
        <v>25</v>
      </c>
      <c r="N2348" s="18" t="s">
        <v>807</v>
      </c>
    </row>
    <row r="2349" spans="1:14" ht="15" customHeight="1" x14ac:dyDescent="0.3">
      <c r="A2349" s="18" t="s">
        <v>4727</v>
      </c>
      <c r="B2349" s="19" t="s">
        <v>15</v>
      </c>
      <c r="C2349" s="18" t="s">
        <v>3975</v>
      </c>
      <c r="D2349" s="18" t="s">
        <v>116</v>
      </c>
      <c r="E2349" s="18" t="s">
        <v>18</v>
      </c>
      <c r="F2349" s="18" t="s">
        <v>2294</v>
      </c>
      <c r="G2349" s="18" t="s">
        <v>1704</v>
      </c>
      <c r="H2349" s="18" t="s">
        <v>4728</v>
      </c>
      <c r="I2349" s="20" t="s">
        <v>4810</v>
      </c>
      <c r="J2349" s="18" t="s">
        <v>30</v>
      </c>
      <c r="K2349" s="18" t="s">
        <v>24</v>
      </c>
      <c r="L2349" s="18" t="s">
        <v>25</v>
      </c>
      <c r="N2349" s="18" t="s">
        <v>807</v>
      </c>
    </row>
    <row r="2350" spans="1:14" ht="15" customHeight="1" x14ac:dyDescent="0.3">
      <c r="A2350" s="18" t="s">
        <v>4727</v>
      </c>
      <c r="B2350" s="19" t="s">
        <v>15</v>
      </c>
      <c r="C2350" s="18" t="s">
        <v>3975</v>
      </c>
      <c r="D2350" s="18" t="s">
        <v>116</v>
      </c>
      <c r="E2350" s="18" t="s">
        <v>18</v>
      </c>
      <c r="F2350" s="18" t="s">
        <v>2124</v>
      </c>
      <c r="G2350" s="18" t="s">
        <v>913</v>
      </c>
      <c r="H2350" s="18" t="s">
        <v>4728</v>
      </c>
      <c r="I2350" s="20" t="s">
        <v>4811</v>
      </c>
      <c r="J2350" s="18" t="s">
        <v>30</v>
      </c>
      <c r="K2350" s="18" t="s">
        <v>24</v>
      </c>
      <c r="L2350" s="18" t="s">
        <v>25</v>
      </c>
      <c r="N2350" s="18" t="s">
        <v>807</v>
      </c>
    </row>
    <row r="2351" spans="1:14" ht="15" customHeight="1" x14ac:dyDescent="0.3">
      <c r="A2351" s="18" t="s">
        <v>4727</v>
      </c>
      <c r="B2351" s="19" t="s">
        <v>15</v>
      </c>
      <c r="C2351" s="18" t="s">
        <v>3975</v>
      </c>
      <c r="D2351" s="18" t="s">
        <v>116</v>
      </c>
      <c r="E2351" s="18" t="s">
        <v>18</v>
      </c>
      <c r="F2351" s="18" t="s">
        <v>221</v>
      </c>
      <c r="G2351" s="18" t="s">
        <v>212</v>
      </c>
      <c r="H2351" s="18" t="s">
        <v>4730</v>
      </c>
      <c r="I2351" s="20" t="s">
        <v>4812</v>
      </c>
      <c r="J2351" s="18" t="s">
        <v>30</v>
      </c>
      <c r="K2351" s="18" t="s">
        <v>24</v>
      </c>
      <c r="L2351" s="18" t="s">
        <v>25</v>
      </c>
      <c r="N2351" s="18" t="s">
        <v>807</v>
      </c>
    </row>
    <row r="2352" spans="1:14" ht="15" customHeight="1" x14ac:dyDescent="0.3">
      <c r="A2352" s="18" t="s">
        <v>4727</v>
      </c>
      <c r="B2352" s="19" t="s">
        <v>15</v>
      </c>
      <c r="C2352" s="18" t="s">
        <v>3975</v>
      </c>
      <c r="D2352" s="18" t="s">
        <v>116</v>
      </c>
      <c r="E2352" s="18" t="s">
        <v>18</v>
      </c>
      <c r="F2352" s="18" t="s">
        <v>1272</v>
      </c>
      <c r="G2352" s="18" t="s">
        <v>1204</v>
      </c>
      <c r="H2352" s="18" t="s">
        <v>4730</v>
      </c>
      <c r="I2352" s="20" t="s">
        <v>4813</v>
      </c>
      <c r="J2352" s="18" t="s">
        <v>30</v>
      </c>
      <c r="K2352" s="18" t="s">
        <v>24</v>
      </c>
      <c r="L2352" s="18" t="s">
        <v>25</v>
      </c>
      <c r="N2352" s="18" t="s">
        <v>807</v>
      </c>
    </row>
    <row r="2353" spans="1:14" ht="15" customHeight="1" x14ac:dyDescent="0.3">
      <c r="A2353" s="18" t="s">
        <v>4727</v>
      </c>
      <c r="B2353" s="19" t="s">
        <v>15</v>
      </c>
      <c r="C2353" s="18" t="s">
        <v>3975</v>
      </c>
      <c r="D2353" s="18" t="s">
        <v>116</v>
      </c>
      <c r="E2353" s="18" t="s">
        <v>18</v>
      </c>
      <c r="F2353" s="18" t="s">
        <v>1072</v>
      </c>
      <c r="G2353" s="18" t="s">
        <v>47</v>
      </c>
      <c r="H2353" s="18" t="s">
        <v>4730</v>
      </c>
      <c r="I2353" s="20" t="s">
        <v>4814</v>
      </c>
      <c r="J2353" s="18" t="s">
        <v>30</v>
      </c>
      <c r="K2353" s="18" t="s">
        <v>24</v>
      </c>
      <c r="L2353" s="18" t="s">
        <v>25</v>
      </c>
      <c r="N2353" s="18" t="s">
        <v>807</v>
      </c>
    </row>
    <row r="2354" spans="1:14" ht="15" customHeight="1" x14ac:dyDescent="0.3">
      <c r="A2354" s="18" t="s">
        <v>4727</v>
      </c>
      <c r="B2354" s="19" t="s">
        <v>15</v>
      </c>
      <c r="C2354" s="18" t="s">
        <v>4734</v>
      </c>
      <c r="D2354" s="18" t="s">
        <v>116</v>
      </c>
      <c r="E2354" s="18" t="s">
        <v>18</v>
      </c>
      <c r="F2354" s="18" t="s">
        <v>4815</v>
      </c>
      <c r="G2354" s="18" t="s">
        <v>47</v>
      </c>
      <c r="H2354" s="18" t="s">
        <v>4736</v>
      </c>
      <c r="I2354" s="20" t="s">
        <v>4816</v>
      </c>
      <c r="J2354" s="18" t="s">
        <v>30</v>
      </c>
      <c r="K2354" s="18" t="s">
        <v>24</v>
      </c>
      <c r="L2354" s="18" t="s">
        <v>25</v>
      </c>
      <c r="N2354" s="18" t="s">
        <v>973</v>
      </c>
    </row>
    <row r="2355" spans="1:14" ht="15" customHeight="1" x14ac:dyDescent="0.3">
      <c r="A2355" s="18" t="s">
        <v>4727</v>
      </c>
      <c r="B2355" s="19" t="s">
        <v>15</v>
      </c>
      <c r="C2355" s="18" t="s">
        <v>3975</v>
      </c>
      <c r="D2355" s="18" t="s">
        <v>116</v>
      </c>
      <c r="E2355" s="18" t="s">
        <v>18</v>
      </c>
      <c r="F2355" s="18" t="s">
        <v>34</v>
      </c>
      <c r="G2355" s="18" t="s">
        <v>35</v>
      </c>
      <c r="H2355" s="18" t="s">
        <v>4730</v>
      </c>
      <c r="I2355" s="20" t="s">
        <v>4817</v>
      </c>
      <c r="J2355" s="18" t="s">
        <v>30</v>
      </c>
      <c r="K2355" s="18" t="s">
        <v>24</v>
      </c>
      <c r="L2355" s="18" t="s">
        <v>25</v>
      </c>
      <c r="N2355" s="18" t="s">
        <v>807</v>
      </c>
    </row>
    <row r="2356" spans="1:14" ht="15" customHeight="1" x14ac:dyDescent="0.3">
      <c r="A2356" s="18" t="s">
        <v>4727</v>
      </c>
      <c r="B2356" s="19" t="s">
        <v>15</v>
      </c>
      <c r="C2356" s="18" t="s">
        <v>3975</v>
      </c>
      <c r="D2356" s="18" t="s">
        <v>116</v>
      </c>
      <c r="E2356" s="18" t="s">
        <v>18</v>
      </c>
      <c r="F2356" s="18" t="s">
        <v>2302</v>
      </c>
      <c r="G2356" s="18" t="s">
        <v>2242</v>
      </c>
      <c r="H2356" s="18" t="s">
        <v>4728</v>
      </c>
      <c r="I2356" s="20" t="s">
        <v>4818</v>
      </c>
      <c r="J2356" s="18" t="s">
        <v>30</v>
      </c>
      <c r="K2356" s="18" t="s">
        <v>24</v>
      </c>
      <c r="L2356" s="18" t="s">
        <v>25</v>
      </c>
      <c r="N2356" s="18" t="s">
        <v>807</v>
      </c>
    </row>
    <row r="2357" spans="1:14" ht="15" customHeight="1" x14ac:dyDescent="0.3">
      <c r="A2357" s="18" t="s">
        <v>4727</v>
      </c>
      <c r="B2357" s="19" t="s">
        <v>15</v>
      </c>
      <c r="C2357" s="18" t="s">
        <v>3975</v>
      </c>
      <c r="D2357" s="18" t="s">
        <v>116</v>
      </c>
      <c r="E2357" s="18" t="s">
        <v>18</v>
      </c>
      <c r="F2357" s="18" t="s">
        <v>2099</v>
      </c>
      <c r="G2357" s="18" t="s">
        <v>1502</v>
      </c>
      <c r="H2357" s="18" t="s">
        <v>4730</v>
      </c>
      <c r="I2357" s="20" t="s">
        <v>4819</v>
      </c>
      <c r="J2357" s="18" t="s">
        <v>30</v>
      </c>
      <c r="K2357" s="18" t="s">
        <v>24</v>
      </c>
      <c r="L2357" s="18" t="s">
        <v>25</v>
      </c>
      <c r="N2357" s="18" t="s">
        <v>807</v>
      </c>
    </row>
    <row r="2358" spans="1:14" ht="15" customHeight="1" x14ac:dyDescent="0.3">
      <c r="A2358" s="18" t="s">
        <v>4727</v>
      </c>
      <c r="B2358" s="19" t="s">
        <v>15</v>
      </c>
      <c r="C2358" s="18" t="s">
        <v>3975</v>
      </c>
      <c r="D2358" s="18" t="s">
        <v>116</v>
      </c>
      <c r="E2358" s="18" t="s">
        <v>18</v>
      </c>
      <c r="F2358" s="18" t="s">
        <v>580</v>
      </c>
      <c r="G2358" s="18" t="s">
        <v>20</v>
      </c>
      <c r="H2358" s="18" t="s">
        <v>4807</v>
      </c>
      <c r="I2358" s="20" t="s">
        <v>4820</v>
      </c>
      <c r="J2358" s="18" t="s">
        <v>23</v>
      </c>
      <c r="K2358" s="18" t="s">
        <v>24</v>
      </c>
      <c r="L2358" s="18" t="s">
        <v>25</v>
      </c>
      <c r="N2358" s="18" t="s">
        <v>807</v>
      </c>
    </row>
    <row r="2359" spans="1:14" ht="15" customHeight="1" x14ac:dyDescent="0.3">
      <c r="A2359" s="18" t="s">
        <v>4727</v>
      </c>
      <c r="B2359" s="19" t="s">
        <v>15</v>
      </c>
      <c r="C2359" s="18" t="s">
        <v>4734</v>
      </c>
      <c r="D2359" s="18" t="s">
        <v>116</v>
      </c>
      <c r="E2359" s="18" t="s">
        <v>18</v>
      </c>
      <c r="F2359" s="18" t="s">
        <v>1959</v>
      </c>
      <c r="G2359" s="18" t="s">
        <v>219</v>
      </c>
      <c r="H2359" s="18" t="s">
        <v>4736</v>
      </c>
      <c r="I2359" s="20" t="s">
        <v>4821</v>
      </c>
      <c r="J2359" s="18" t="s">
        <v>30</v>
      </c>
      <c r="K2359" s="18" t="s">
        <v>24</v>
      </c>
      <c r="L2359" s="18" t="s">
        <v>25</v>
      </c>
      <c r="N2359" s="18" t="s">
        <v>973</v>
      </c>
    </row>
    <row r="2360" spans="1:14" ht="15" customHeight="1" x14ac:dyDescent="0.3">
      <c r="A2360" s="18" t="s">
        <v>4727</v>
      </c>
      <c r="B2360" s="19" t="s">
        <v>15</v>
      </c>
      <c r="C2360" s="18" t="s">
        <v>3975</v>
      </c>
      <c r="D2360" s="18" t="s">
        <v>116</v>
      </c>
      <c r="E2360" s="18" t="s">
        <v>18</v>
      </c>
      <c r="F2360" s="18" t="s">
        <v>1864</v>
      </c>
      <c r="G2360" s="18" t="s">
        <v>63</v>
      </c>
      <c r="H2360" s="18" t="s">
        <v>4730</v>
      </c>
      <c r="I2360" s="20" t="s">
        <v>4822</v>
      </c>
      <c r="J2360" s="18" t="s">
        <v>30</v>
      </c>
      <c r="K2360" s="18" t="s">
        <v>24</v>
      </c>
      <c r="L2360" s="18" t="s">
        <v>25</v>
      </c>
      <c r="N2360" s="18" t="s">
        <v>807</v>
      </c>
    </row>
    <row r="2361" spans="1:14" ht="15" customHeight="1" x14ac:dyDescent="0.3">
      <c r="A2361" s="18" t="s">
        <v>4727</v>
      </c>
      <c r="B2361" s="19" t="s">
        <v>15</v>
      </c>
      <c r="C2361" s="18" t="s">
        <v>4734</v>
      </c>
      <c r="D2361" s="18" t="s">
        <v>116</v>
      </c>
      <c r="E2361" s="18" t="s">
        <v>18</v>
      </c>
      <c r="F2361" s="18" t="s">
        <v>4823</v>
      </c>
      <c r="G2361" s="18" t="s">
        <v>536</v>
      </c>
      <c r="H2361" s="18" t="s">
        <v>4736</v>
      </c>
      <c r="I2361" s="20" t="s">
        <v>4824</v>
      </c>
      <c r="J2361" s="18" t="s">
        <v>30</v>
      </c>
      <c r="K2361" s="18" t="s">
        <v>24</v>
      </c>
      <c r="L2361" s="18" t="s">
        <v>25</v>
      </c>
      <c r="N2361" s="18" t="s">
        <v>973</v>
      </c>
    </row>
    <row r="2362" spans="1:14" ht="15" customHeight="1" x14ac:dyDescent="0.3">
      <c r="A2362" s="18" t="s">
        <v>4727</v>
      </c>
      <c r="B2362" s="19" t="s">
        <v>15</v>
      </c>
      <c r="C2362" s="18" t="s">
        <v>3975</v>
      </c>
      <c r="D2362" s="18" t="s">
        <v>116</v>
      </c>
      <c r="E2362" s="18" t="s">
        <v>18</v>
      </c>
      <c r="F2362" s="18" t="s">
        <v>1450</v>
      </c>
      <c r="G2362" s="18" t="s">
        <v>41</v>
      </c>
      <c r="H2362" s="18" t="s">
        <v>4730</v>
      </c>
      <c r="I2362" s="20" t="s">
        <v>4825</v>
      </c>
      <c r="J2362" s="18" t="s">
        <v>30</v>
      </c>
      <c r="K2362" s="18" t="s">
        <v>24</v>
      </c>
      <c r="L2362" s="18" t="s">
        <v>25</v>
      </c>
      <c r="N2362" s="18" t="s">
        <v>807</v>
      </c>
    </row>
    <row r="2363" spans="1:14" ht="15" customHeight="1" x14ac:dyDescent="0.3">
      <c r="A2363" s="18" t="s">
        <v>4727</v>
      </c>
      <c r="B2363" s="19" t="s">
        <v>15</v>
      </c>
      <c r="C2363" s="18" t="s">
        <v>4734</v>
      </c>
      <c r="D2363" s="18" t="s">
        <v>116</v>
      </c>
      <c r="E2363" s="18" t="s">
        <v>18</v>
      </c>
      <c r="F2363" s="18" t="s">
        <v>4826</v>
      </c>
      <c r="G2363" s="18" t="s">
        <v>41</v>
      </c>
      <c r="H2363" s="18" t="s">
        <v>4736</v>
      </c>
      <c r="I2363" s="20" t="s">
        <v>4827</v>
      </c>
      <c r="J2363" s="18" t="s">
        <v>30</v>
      </c>
      <c r="K2363" s="18" t="s">
        <v>24</v>
      </c>
      <c r="L2363" s="18" t="s">
        <v>25</v>
      </c>
      <c r="N2363" s="18" t="s">
        <v>973</v>
      </c>
    </row>
    <row r="2364" spans="1:14" ht="15" customHeight="1" x14ac:dyDescent="0.3">
      <c r="A2364" s="18" t="s">
        <v>4727</v>
      </c>
      <c r="B2364" s="19" t="s">
        <v>15</v>
      </c>
      <c r="C2364" s="18" t="s">
        <v>3975</v>
      </c>
      <c r="D2364" s="18" t="s">
        <v>116</v>
      </c>
      <c r="E2364" s="18" t="s">
        <v>18</v>
      </c>
      <c r="F2364" s="18" t="s">
        <v>1832</v>
      </c>
      <c r="G2364" s="18" t="s">
        <v>207</v>
      </c>
      <c r="H2364" s="18" t="s">
        <v>4730</v>
      </c>
      <c r="I2364" s="20" t="s">
        <v>4828</v>
      </c>
      <c r="J2364" s="18" t="s">
        <v>30</v>
      </c>
      <c r="K2364" s="18" t="s">
        <v>24</v>
      </c>
      <c r="L2364" s="18" t="s">
        <v>25</v>
      </c>
      <c r="N2364" s="18" t="s">
        <v>807</v>
      </c>
    </row>
    <row r="2365" spans="1:14" ht="15" customHeight="1" x14ac:dyDescent="0.3">
      <c r="A2365" s="18" t="s">
        <v>4727</v>
      </c>
      <c r="B2365" s="19" t="s">
        <v>15</v>
      </c>
      <c r="C2365" s="18" t="s">
        <v>3975</v>
      </c>
      <c r="D2365" s="18" t="s">
        <v>116</v>
      </c>
      <c r="E2365" s="18" t="s">
        <v>18</v>
      </c>
      <c r="F2365" s="18" t="s">
        <v>4829</v>
      </c>
      <c r="G2365" s="18" t="s">
        <v>207</v>
      </c>
      <c r="H2365" s="18" t="s">
        <v>4732</v>
      </c>
      <c r="I2365" s="20" t="s">
        <v>4830</v>
      </c>
      <c r="J2365" s="18" t="s">
        <v>30</v>
      </c>
      <c r="K2365" s="18" t="s">
        <v>24</v>
      </c>
      <c r="L2365" s="18" t="s">
        <v>25</v>
      </c>
      <c r="N2365" s="18" t="s">
        <v>807</v>
      </c>
    </row>
    <row r="2366" spans="1:14" ht="15" customHeight="1" x14ac:dyDescent="0.3">
      <c r="A2366" s="18" t="s">
        <v>4727</v>
      </c>
      <c r="B2366" s="19" t="s">
        <v>15</v>
      </c>
      <c r="C2366" s="18" t="s">
        <v>3975</v>
      </c>
      <c r="D2366" s="18" t="s">
        <v>116</v>
      </c>
      <c r="E2366" s="18" t="s">
        <v>18</v>
      </c>
      <c r="F2366" s="18" t="s">
        <v>4831</v>
      </c>
      <c r="G2366" s="18" t="s">
        <v>606</v>
      </c>
      <c r="H2366" s="18" t="s">
        <v>4728</v>
      </c>
      <c r="I2366" s="20" t="s">
        <v>4832</v>
      </c>
      <c r="J2366" s="18" t="s">
        <v>30</v>
      </c>
      <c r="K2366" s="18" t="s">
        <v>24</v>
      </c>
      <c r="L2366" s="18" t="s">
        <v>25</v>
      </c>
      <c r="N2366" s="18" t="s">
        <v>807</v>
      </c>
    </row>
    <row r="2367" spans="1:14" ht="15" customHeight="1" x14ac:dyDescent="0.3">
      <c r="A2367" s="18" t="s">
        <v>4727</v>
      </c>
      <c r="B2367" s="19" t="s">
        <v>15</v>
      </c>
      <c r="C2367" s="18" t="s">
        <v>4734</v>
      </c>
      <c r="D2367" s="18" t="s">
        <v>116</v>
      </c>
      <c r="E2367" s="18" t="s">
        <v>18</v>
      </c>
      <c r="F2367" s="18" t="s">
        <v>3762</v>
      </c>
      <c r="G2367" s="18" t="s">
        <v>270</v>
      </c>
      <c r="H2367" s="18" t="s">
        <v>4736</v>
      </c>
      <c r="I2367" s="20" t="s">
        <v>4833</v>
      </c>
      <c r="J2367" s="18" t="s">
        <v>30</v>
      </c>
      <c r="K2367" s="18" t="s">
        <v>24</v>
      </c>
      <c r="L2367" s="18" t="s">
        <v>25</v>
      </c>
      <c r="N2367" s="18" t="s">
        <v>973</v>
      </c>
    </row>
    <row r="2368" spans="1:14" ht="15" customHeight="1" x14ac:dyDescent="0.3">
      <c r="A2368" s="18" t="s">
        <v>4727</v>
      </c>
      <c r="B2368" s="19" t="s">
        <v>15</v>
      </c>
      <c r="C2368" s="18" t="s">
        <v>4734</v>
      </c>
      <c r="D2368" s="18" t="s">
        <v>116</v>
      </c>
      <c r="E2368" s="18" t="s">
        <v>18</v>
      </c>
      <c r="F2368" s="18" t="s">
        <v>1102</v>
      </c>
      <c r="G2368" s="18" t="s">
        <v>263</v>
      </c>
      <c r="H2368" s="18" t="s">
        <v>4736</v>
      </c>
      <c r="I2368" s="20" t="s">
        <v>4834</v>
      </c>
      <c r="J2368" s="18" t="s">
        <v>30</v>
      </c>
      <c r="K2368" s="18" t="s">
        <v>24</v>
      </c>
      <c r="L2368" s="18" t="s">
        <v>25</v>
      </c>
      <c r="N2368" s="18" t="s">
        <v>973</v>
      </c>
    </row>
    <row r="2369" spans="1:14" ht="15" customHeight="1" x14ac:dyDescent="0.3">
      <c r="A2369" s="18" t="s">
        <v>4727</v>
      </c>
      <c r="B2369" s="19" t="s">
        <v>15</v>
      </c>
      <c r="C2369" s="18" t="s">
        <v>3975</v>
      </c>
      <c r="D2369" s="18" t="s">
        <v>116</v>
      </c>
      <c r="E2369" s="18" t="s">
        <v>18</v>
      </c>
      <c r="F2369" s="18" t="s">
        <v>4835</v>
      </c>
      <c r="G2369" s="18" t="s">
        <v>28</v>
      </c>
      <c r="H2369" s="18" t="s">
        <v>4730</v>
      </c>
      <c r="I2369" s="20" t="s">
        <v>4836</v>
      </c>
      <c r="J2369" s="18" t="s">
        <v>30</v>
      </c>
      <c r="K2369" s="18" t="s">
        <v>24</v>
      </c>
      <c r="L2369" s="18" t="s">
        <v>25</v>
      </c>
      <c r="N2369" s="18" t="s">
        <v>807</v>
      </c>
    </row>
    <row r="2370" spans="1:14" ht="15" customHeight="1" x14ac:dyDescent="0.3">
      <c r="A2370" s="18" t="s">
        <v>4727</v>
      </c>
      <c r="B2370" s="19" t="s">
        <v>15</v>
      </c>
      <c r="C2370" s="18" t="s">
        <v>3975</v>
      </c>
      <c r="D2370" s="18" t="s">
        <v>116</v>
      </c>
      <c r="E2370" s="18" t="s">
        <v>18</v>
      </c>
      <c r="F2370" s="18" t="s">
        <v>4837</v>
      </c>
      <c r="G2370" s="18" t="s">
        <v>4838</v>
      </c>
      <c r="H2370" s="18" t="s">
        <v>4730</v>
      </c>
      <c r="I2370" s="20" t="s">
        <v>4839</v>
      </c>
      <c r="J2370" s="18" t="s">
        <v>30</v>
      </c>
      <c r="K2370" s="18" t="s">
        <v>24</v>
      </c>
      <c r="L2370" s="18" t="s">
        <v>25</v>
      </c>
      <c r="N2370" s="18" t="s">
        <v>807</v>
      </c>
    </row>
    <row r="2371" spans="1:14" ht="15" customHeight="1" x14ac:dyDescent="0.3">
      <c r="A2371" s="18" t="s">
        <v>4727</v>
      </c>
      <c r="B2371" s="19" t="s">
        <v>15</v>
      </c>
      <c r="C2371" s="18" t="s">
        <v>3975</v>
      </c>
      <c r="D2371" s="18" t="s">
        <v>116</v>
      </c>
      <c r="E2371" s="18" t="s">
        <v>18</v>
      </c>
      <c r="F2371" s="18" t="s">
        <v>4840</v>
      </c>
      <c r="G2371" s="18" t="s">
        <v>160</v>
      </c>
      <c r="H2371" s="18" t="s">
        <v>4730</v>
      </c>
      <c r="I2371" s="20" t="s">
        <v>4841</v>
      </c>
      <c r="J2371" s="18" t="s">
        <v>30</v>
      </c>
      <c r="K2371" s="18" t="s">
        <v>24</v>
      </c>
      <c r="L2371" s="18" t="s">
        <v>25</v>
      </c>
      <c r="N2371" s="18" t="s">
        <v>807</v>
      </c>
    </row>
    <row r="2372" spans="1:14" ht="15" customHeight="1" x14ac:dyDescent="0.3">
      <c r="A2372" s="18" t="s">
        <v>4727</v>
      </c>
      <c r="B2372" s="19" t="s">
        <v>15</v>
      </c>
      <c r="C2372" s="18" t="s">
        <v>3975</v>
      </c>
      <c r="D2372" s="18" t="s">
        <v>116</v>
      </c>
      <c r="E2372" s="18" t="s">
        <v>18</v>
      </c>
      <c r="F2372" s="18" t="s">
        <v>537</v>
      </c>
      <c r="G2372" s="18" t="s">
        <v>536</v>
      </c>
      <c r="H2372" s="18" t="s">
        <v>4730</v>
      </c>
      <c r="I2372" s="20" t="s">
        <v>4842</v>
      </c>
      <c r="J2372" s="18" t="s">
        <v>30</v>
      </c>
      <c r="K2372" s="18" t="s">
        <v>24</v>
      </c>
      <c r="L2372" s="18" t="s">
        <v>25</v>
      </c>
      <c r="N2372" s="18" t="s">
        <v>807</v>
      </c>
    </row>
    <row r="2373" spans="1:14" ht="15" customHeight="1" x14ac:dyDescent="0.3">
      <c r="A2373" s="18" t="s">
        <v>4727</v>
      </c>
      <c r="B2373" s="19" t="s">
        <v>15</v>
      </c>
      <c r="C2373" s="18" t="s">
        <v>3975</v>
      </c>
      <c r="D2373" s="18" t="s">
        <v>116</v>
      </c>
      <c r="E2373" s="18" t="s">
        <v>55</v>
      </c>
      <c r="F2373" s="18" t="s">
        <v>4843</v>
      </c>
      <c r="G2373" s="18" t="s">
        <v>1009</v>
      </c>
      <c r="H2373" s="18" t="s">
        <v>4730</v>
      </c>
      <c r="I2373" s="20" t="s">
        <v>4844</v>
      </c>
      <c r="J2373" s="18" t="s">
        <v>73</v>
      </c>
      <c r="K2373" s="18" t="s">
        <v>24</v>
      </c>
      <c r="L2373" s="18" t="s">
        <v>25</v>
      </c>
      <c r="N2373" s="18" t="s">
        <v>807</v>
      </c>
    </row>
    <row r="2374" spans="1:14" ht="15" customHeight="1" x14ac:dyDescent="0.3">
      <c r="A2374" s="18" t="s">
        <v>4727</v>
      </c>
      <c r="B2374" s="19" t="s">
        <v>15</v>
      </c>
      <c r="C2374" s="18" t="s">
        <v>4734</v>
      </c>
      <c r="D2374" s="18" t="s">
        <v>116</v>
      </c>
      <c r="E2374" s="18" t="s">
        <v>55</v>
      </c>
      <c r="F2374" s="18" t="s">
        <v>4845</v>
      </c>
      <c r="G2374" s="18" t="s">
        <v>270</v>
      </c>
      <c r="H2374" s="18" t="s">
        <v>4736</v>
      </c>
      <c r="I2374" s="20" t="s">
        <v>4846</v>
      </c>
      <c r="J2374" s="18" t="s">
        <v>58</v>
      </c>
      <c r="K2374" s="18" t="s">
        <v>24</v>
      </c>
      <c r="L2374" s="18" t="s">
        <v>25</v>
      </c>
      <c r="N2374" s="18" t="s">
        <v>973</v>
      </c>
    </row>
    <row r="2375" spans="1:14" ht="15" customHeight="1" x14ac:dyDescent="0.3">
      <c r="A2375" s="18" t="s">
        <v>4727</v>
      </c>
      <c r="B2375" s="19" t="s">
        <v>15</v>
      </c>
      <c r="C2375" s="18" t="s">
        <v>3975</v>
      </c>
      <c r="D2375" s="18" t="s">
        <v>116</v>
      </c>
      <c r="E2375" s="18" t="s">
        <v>55</v>
      </c>
      <c r="F2375" s="18" t="s">
        <v>4847</v>
      </c>
      <c r="G2375" s="18" t="s">
        <v>207</v>
      </c>
      <c r="H2375" s="18" t="s">
        <v>4732</v>
      </c>
      <c r="I2375" s="20" t="s">
        <v>4848</v>
      </c>
      <c r="J2375" s="18" t="s">
        <v>58</v>
      </c>
      <c r="K2375" s="18" t="s">
        <v>24</v>
      </c>
      <c r="L2375" s="18" t="s">
        <v>25</v>
      </c>
      <c r="N2375" s="18" t="s">
        <v>807</v>
      </c>
    </row>
    <row r="2376" spans="1:14" ht="15" customHeight="1" x14ac:dyDescent="0.3">
      <c r="A2376" s="18" t="s">
        <v>4727</v>
      </c>
      <c r="B2376" s="19" t="s">
        <v>15</v>
      </c>
      <c r="C2376" s="18" t="s">
        <v>4734</v>
      </c>
      <c r="D2376" s="18" t="s">
        <v>116</v>
      </c>
      <c r="E2376" s="18" t="s">
        <v>55</v>
      </c>
      <c r="F2376" s="18" t="s">
        <v>4849</v>
      </c>
      <c r="G2376" s="18" t="s">
        <v>41</v>
      </c>
      <c r="H2376" s="18" t="s">
        <v>4736</v>
      </c>
      <c r="I2376" s="20" t="s">
        <v>4850</v>
      </c>
      <c r="J2376" s="18" t="s">
        <v>58</v>
      </c>
      <c r="K2376" s="18" t="s">
        <v>24</v>
      </c>
      <c r="L2376" s="18" t="s">
        <v>25</v>
      </c>
      <c r="N2376" s="18" t="s">
        <v>973</v>
      </c>
    </row>
    <row r="2377" spans="1:14" ht="15" customHeight="1" x14ac:dyDescent="0.3">
      <c r="A2377" s="18" t="s">
        <v>4727</v>
      </c>
      <c r="B2377" s="19" t="s">
        <v>15</v>
      </c>
      <c r="C2377" s="18" t="s">
        <v>3975</v>
      </c>
      <c r="D2377" s="18" t="s">
        <v>116</v>
      </c>
      <c r="E2377" s="18" t="s">
        <v>55</v>
      </c>
      <c r="F2377" s="18" t="s">
        <v>4851</v>
      </c>
      <c r="G2377" s="18" t="s">
        <v>1019</v>
      </c>
      <c r="H2377" s="18" t="s">
        <v>4732</v>
      </c>
      <c r="I2377" s="20" t="s">
        <v>4852</v>
      </c>
      <c r="J2377" s="18" t="s">
        <v>58</v>
      </c>
      <c r="K2377" s="18" t="s">
        <v>24</v>
      </c>
      <c r="L2377" s="18" t="s">
        <v>25</v>
      </c>
      <c r="M2377" s="18" t="s">
        <v>39</v>
      </c>
      <c r="N2377" s="18" t="s">
        <v>807</v>
      </c>
    </row>
    <row r="2378" spans="1:14" ht="15" customHeight="1" x14ac:dyDescent="0.3">
      <c r="A2378" s="18" t="s">
        <v>4727</v>
      </c>
      <c r="B2378" s="19" t="s">
        <v>15</v>
      </c>
      <c r="C2378" s="18" t="s">
        <v>3975</v>
      </c>
      <c r="D2378" s="18" t="s">
        <v>116</v>
      </c>
      <c r="E2378" s="18" t="s">
        <v>55</v>
      </c>
      <c r="F2378" s="18" t="s">
        <v>4853</v>
      </c>
      <c r="G2378" s="18" t="s">
        <v>273</v>
      </c>
      <c r="H2378" s="18" t="s">
        <v>4732</v>
      </c>
      <c r="I2378" s="20" t="s">
        <v>4854</v>
      </c>
      <c r="J2378" s="18" t="s">
        <v>58</v>
      </c>
      <c r="K2378" s="18" t="s">
        <v>24</v>
      </c>
      <c r="L2378" s="18" t="s">
        <v>25</v>
      </c>
      <c r="N2378" s="18" t="s">
        <v>807</v>
      </c>
    </row>
    <row r="2379" spans="1:14" ht="15" customHeight="1" x14ac:dyDescent="0.3">
      <c r="A2379" s="18" t="s">
        <v>4727</v>
      </c>
      <c r="B2379" s="19" t="s">
        <v>15</v>
      </c>
      <c r="C2379" s="18" t="s">
        <v>3975</v>
      </c>
      <c r="D2379" s="18" t="s">
        <v>116</v>
      </c>
      <c r="E2379" s="18" t="s">
        <v>55</v>
      </c>
      <c r="F2379" s="18" t="s">
        <v>278</v>
      </c>
      <c r="G2379" s="18" t="s">
        <v>1527</v>
      </c>
      <c r="H2379" s="18" t="s">
        <v>4732</v>
      </c>
      <c r="I2379" s="20" t="s">
        <v>4855</v>
      </c>
      <c r="J2379" s="18" t="s">
        <v>58</v>
      </c>
      <c r="K2379" s="18" t="s">
        <v>24</v>
      </c>
      <c r="L2379" s="18" t="s">
        <v>25</v>
      </c>
      <c r="N2379" s="18" t="s">
        <v>807</v>
      </c>
    </row>
    <row r="2380" spans="1:14" ht="15" customHeight="1" x14ac:dyDescent="0.3">
      <c r="A2380" s="18" t="s">
        <v>4727</v>
      </c>
      <c r="B2380" s="19" t="s">
        <v>15</v>
      </c>
      <c r="C2380" s="18" t="s">
        <v>3975</v>
      </c>
      <c r="D2380" s="18" t="s">
        <v>116</v>
      </c>
      <c r="E2380" s="18" t="s">
        <v>55</v>
      </c>
      <c r="F2380" s="18" t="s">
        <v>4856</v>
      </c>
      <c r="G2380" s="18" t="s">
        <v>381</v>
      </c>
      <c r="H2380" s="18" t="s">
        <v>4807</v>
      </c>
      <c r="I2380" s="20" t="s">
        <v>4857</v>
      </c>
      <c r="J2380" s="18" t="s">
        <v>73</v>
      </c>
      <c r="K2380" s="18" t="s">
        <v>24</v>
      </c>
      <c r="L2380" s="18" t="s">
        <v>25</v>
      </c>
      <c r="N2380" s="18" t="s">
        <v>807</v>
      </c>
    </row>
    <row r="2381" spans="1:14" ht="15" customHeight="1" x14ac:dyDescent="0.3">
      <c r="A2381" s="18" t="s">
        <v>4727</v>
      </c>
      <c r="B2381" s="19" t="s">
        <v>15</v>
      </c>
      <c r="C2381" s="18" t="s">
        <v>3975</v>
      </c>
      <c r="D2381" s="18" t="s">
        <v>116</v>
      </c>
      <c r="E2381" s="18" t="s">
        <v>55</v>
      </c>
      <c r="F2381" s="18" t="s">
        <v>3272</v>
      </c>
      <c r="G2381" s="18" t="s">
        <v>381</v>
      </c>
      <c r="H2381" s="18" t="s">
        <v>4807</v>
      </c>
      <c r="I2381" s="20" t="s">
        <v>4858</v>
      </c>
      <c r="J2381" s="18" t="s">
        <v>73</v>
      </c>
      <c r="K2381" s="18" t="s">
        <v>24</v>
      </c>
      <c r="L2381" s="18" t="s">
        <v>25</v>
      </c>
      <c r="N2381" s="18" t="s">
        <v>807</v>
      </c>
    </row>
    <row r="2382" spans="1:14" ht="15" customHeight="1" x14ac:dyDescent="0.3">
      <c r="A2382" s="18" t="s">
        <v>4727</v>
      </c>
      <c r="B2382" s="19" t="s">
        <v>15</v>
      </c>
      <c r="C2382" s="18" t="s">
        <v>3975</v>
      </c>
      <c r="D2382" s="18" t="s">
        <v>116</v>
      </c>
      <c r="E2382" s="18" t="s">
        <v>55</v>
      </c>
      <c r="F2382" s="18" t="s">
        <v>2366</v>
      </c>
      <c r="G2382" s="18" t="s">
        <v>4747</v>
      </c>
      <c r="H2382" s="18" t="s">
        <v>4859</v>
      </c>
      <c r="I2382" s="20" t="s">
        <v>4860</v>
      </c>
      <c r="J2382" s="18" t="s">
        <v>58</v>
      </c>
      <c r="K2382" s="18" t="s">
        <v>24</v>
      </c>
      <c r="L2382" s="18" t="s">
        <v>25</v>
      </c>
      <c r="N2382" s="18" t="s">
        <v>807</v>
      </c>
    </row>
    <row r="2383" spans="1:14" ht="15" customHeight="1" x14ac:dyDescent="0.3">
      <c r="A2383" s="18" t="s">
        <v>4727</v>
      </c>
      <c r="B2383" s="19" t="s">
        <v>15</v>
      </c>
      <c r="C2383" s="18" t="s">
        <v>3975</v>
      </c>
      <c r="D2383" s="18" t="s">
        <v>116</v>
      </c>
      <c r="E2383" s="18" t="s">
        <v>55</v>
      </c>
      <c r="F2383" s="18" t="s">
        <v>383</v>
      </c>
      <c r="G2383" s="18" t="s">
        <v>381</v>
      </c>
      <c r="H2383" s="18" t="s">
        <v>4807</v>
      </c>
      <c r="I2383" s="20" t="s">
        <v>4861</v>
      </c>
      <c r="J2383" s="18" t="s">
        <v>73</v>
      </c>
      <c r="K2383" s="18" t="s">
        <v>24</v>
      </c>
      <c r="L2383" s="18" t="s">
        <v>25</v>
      </c>
      <c r="N2383" s="18" t="s">
        <v>807</v>
      </c>
    </row>
    <row r="2384" spans="1:14" ht="15" customHeight="1" x14ac:dyDescent="0.3">
      <c r="A2384" s="18" t="s">
        <v>4727</v>
      </c>
      <c r="B2384" s="19" t="s">
        <v>15</v>
      </c>
      <c r="C2384" s="18" t="s">
        <v>3975</v>
      </c>
      <c r="D2384" s="18" t="s">
        <v>116</v>
      </c>
      <c r="E2384" s="18" t="s">
        <v>55</v>
      </c>
      <c r="F2384" s="18" t="s">
        <v>488</v>
      </c>
      <c r="G2384" s="18" t="s">
        <v>381</v>
      </c>
      <c r="H2384" s="18" t="s">
        <v>4807</v>
      </c>
      <c r="I2384" s="20" t="s">
        <v>4862</v>
      </c>
      <c r="J2384" s="18" t="s">
        <v>73</v>
      </c>
      <c r="K2384" s="18" t="s">
        <v>24</v>
      </c>
      <c r="L2384" s="18" t="s">
        <v>25</v>
      </c>
      <c r="N2384" s="18" t="s">
        <v>807</v>
      </c>
    </row>
    <row r="2385" spans="1:14" ht="15" customHeight="1" x14ac:dyDescent="0.3">
      <c r="A2385" s="18" t="s">
        <v>4727</v>
      </c>
      <c r="B2385" s="19" t="s">
        <v>15</v>
      </c>
      <c r="C2385" s="18" t="s">
        <v>3975</v>
      </c>
      <c r="D2385" s="18" t="s">
        <v>116</v>
      </c>
      <c r="E2385" s="18" t="s">
        <v>55</v>
      </c>
      <c r="F2385" s="18" t="s">
        <v>519</v>
      </c>
      <c r="G2385" s="18" t="s">
        <v>381</v>
      </c>
      <c r="H2385" s="18" t="s">
        <v>4807</v>
      </c>
      <c r="I2385" s="20" t="s">
        <v>4863</v>
      </c>
      <c r="J2385" s="18" t="s">
        <v>58</v>
      </c>
      <c r="K2385" s="18" t="s">
        <v>24</v>
      </c>
      <c r="L2385" s="18" t="s">
        <v>25</v>
      </c>
      <c r="N2385" s="18" t="s">
        <v>807</v>
      </c>
    </row>
    <row r="2386" spans="1:14" ht="15" customHeight="1" x14ac:dyDescent="0.3">
      <c r="A2386" s="18" t="s">
        <v>4727</v>
      </c>
      <c r="B2386" s="19" t="s">
        <v>15</v>
      </c>
      <c r="C2386" s="18" t="s">
        <v>3975</v>
      </c>
      <c r="D2386" s="18" t="s">
        <v>116</v>
      </c>
      <c r="E2386" s="18" t="s">
        <v>55</v>
      </c>
      <c r="F2386" s="18" t="s">
        <v>385</v>
      </c>
      <c r="G2386" s="18" t="s">
        <v>381</v>
      </c>
      <c r="H2386" s="18" t="s">
        <v>4807</v>
      </c>
      <c r="I2386" s="20" t="s">
        <v>4864</v>
      </c>
      <c r="J2386" s="18" t="s">
        <v>73</v>
      </c>
      <c r="K2386" s="18" t="s">
        <v>24</v>
      </c>
      <c r="L2386" s="18" t="s">
        <v>25</v>
      </c>
      <c r="N2386" s="18" t="s">
        <v>807</v>
      </c>
    </row>
    <row r="2387" spans="1:14" ht="15" customHeight="1" x14ac:dyDescent="0.3">
      <c r="A2387" s="18" t="s">
        <v>4727</v>
      </c>
      <c r="B2387" s="19" t="s">
        <v>15</v>
      </c>
      <c r="C2387" s="18" t="s">
        <v>3975</v>
      </c>
      <c r="D2387" s="18" t="s">
        <v>116</v>
      </c>
      <c r="E2387" s="18" t="s">
        <v>55</v>
      </c>
      <c r="F2387" s="18" t="s">
        <v>2294</v>
      </c>
      <c r="G2387" s="18" t="s">
        <v>1704</v>
      </c>
      <c r="H2387" s="18" t="s">
        <v>4728</v>
      </c>
      <c r="I2387" s="20" t="s">
        <v>4865</v>
      </c>
      <c r="J2387" s="18" t="s">
        <v>58</v>
      </c>
      <c r="K2387" s="18" t="s">
        <v>24</v>
      </c>
      <c r="L2387" s="18" t="s">
        <v>25</v>
      </c>
      <c r="N2387" s="18" t="s">
        <v>807</v>
      </c>
    </row>
    <row r="2388" spans="1:14" ht="15" customHeight="1" x14ac:dyDescent="0.3">
      <c r="A2388" s="18" t="s">
        <v>4727</v>
      </c>
      <c r="B2388" s="19" t="s">
        <v>15</v>
      </c>
      <c r="C2388" s="18" t="s">
        <v>3975</v>
      </c>
      <c r="D2388" s="18" t="s">
        <v>116</v>
      </c>
      <c r="E2388" s="18" t="s">
        <v>55</v>
      </c>
      <c r="F2388" s="18" t="s">
        <v>4866</v>
      </c>
      <c r="G2388" s="18" t="s">
        <v>1204</v>
      </c>
      <c r="H2388" s="18" t="s">
        <v>4730</v>
      </c>
      <c r="I2388" s="20" t="s">
        <v>4867</v>
      </c>
      <c r="J2388" s="18" t="s">
        <v>58</v>
      </c>
      <c r="K2388" s="18" t="s">
        <v>24</v>
      </c>
      <c r="L2388" s="18" t="s">
        <v>25</v>
      </c>
      <c r="N2388" s="18" t="s">
        <v>807</v>
      </c>
    </row>
    <row r="2389" spans="1:14" ht="15" customHeight="1" x14ac:dyDescent="0.3">
      <c r="A2389" s="18" t="s">
        <v>4727</v>
      </c>
      <c r="B2389" s="19" t="s">
        <v>15</v>
      </c>
      <c r="C2389" s="18" t="s">
        <v>3975</v>
      </c>
      <c r="D2389" s="18" t="s">
        <v>116</v>
      </c>
      <c r="E2389" s="18" t="s">
        <v>55</v>
      </c>
      <c r="F2389" s="18" t="s">
        <v>4868</v>
      </c>
      <c r="G2389" s="18" t="s">
        <v>47</v>
      </c>
      <c r="H2389" s="18" t="s">
        <v>4730</v>
      </c>
      <c r="I2389" s="20" t="s">
        <v>4869</v>
      </c>
      <c r="J2389" s="18" t="s">
        <v>58</v>
      </c>
      <c r="K2389" s="18" t="s">
        <v>24</v>
      </c>
      <c r="L2389" s="18" t="s">
        <v>25</v>
      </c>
      <c r="N2389" s="18" t="s">
        <v>807</v>
      </c>
    </row>
    <row r="2390" spans="1:14" ht="15" customHeight="1" x14ac:dyDescent="0.3">
      <c r="A2390" s="18" t="s">
        <v>4727</v>
      </c>
      <c r="B2390" s="19" t="s">
        <v>15</v>
      </c>
      <c r="C2390" s="18" t="s">
        <v>3975</v>
      </c>
      <c r="D2390" s="18" t="s">
        <v>116</v>
      </c>
      <c r="E2390" s="18" t="s">
        <v>55</v>
      </c>
      <c r="F2390" s="18" t="s">
        <v>4870</v>
      </c>
      <c r="G2390" s="18" t="s">
        <v>35</v>
      </c>
      <c r="H2390" s="18" t="s">
        <v>4730</v>
      </c>
      <c r="I2390" s="20" t="s">
        <v>4871</v>
      </c>
      <c r="J2390" s="18" t="s">
        <v>58</v>
      </c>
      <c r="K2390" s="18" t="s">
        <v>24</v>
      </c>
      <c r="L2390" s="18" t="s">
        <v>25</v>
      </c>
      <c r="N2390" s="18" t="s">
        <v>807</v>
      </c>
    </row>
    <row r="2391" spans="1:14" ht="15" customHeight="1" x14ac:dyDescent="0.3">
      <c r="A2391" s="18" t="s">
        <v>4727</v>
      </c>
      <c r="B2391" s="19" t="s">
        <v>15</v>
      </c>
      <c r="C2391" s="18" t="s">
        <v>3975</v>
      </c>
      <c r="D2391" s="18" t="s">
        <v>116</v>
      </c>
      <c r="E2391" s="18" t="s">
        <v>55</v>
      </c>
      <c r="F2391" s="18" t="s">
        <v>4872</v>
      </c>
      <c r="G2391" s="18" t="s">
        <v>212</v>
      </c>
      <c r="H2391" s="18" t="s">
        <v>4730</v>
      </c>
      <c r="I2391" s="20" t="s">
        <v>4873</v>
      </c>
      <c r="J2391" s="18" t="s">
        <v>58</v>
      </c>
      <c r="K2391" s="18" t="s">
        <v>24</v>
      </c>
      <c r="L2391" s="18" t="s">
        <v>25</v>
      </c>
      <c r="N2391" s="18" t="s">
        <v>807</v>
      </c>
    </row>
    <row r="2392" spans="1:14" ht="15" customHeight="1" x14ac:dyDescent="0.3">
      <c r="A2392" s="18" t="s">
        <v>4727</v>
      </c>
      <c r="B2392" s="19" t="s">
        <v>15</v>
      </c>
      <c r="C2392" s="18" t="s">
        <v>3975</v>
      </c>
      <c r="D2392" s="18" t="s">
        <v>116</v>
      </c>
      <c r="E2392" s="18" t="s">
        <v>55</v>
      </c>
      <c r="F2392" s="18" t="s">
        <v>3579</v>
      </c>
      <c r="G2392" s="18" t="s">
        <v>4874</v>
      </c>
      <c r="H2392" s="18" t="s">
        <v>4732</v>
      </c>
      <c r="I2392" s="20" t="s">
        <v>4875</v>
      </c>
      <c r="J2392" s="18" t="s">
        <v>58</v>
      </c>
      <c r="K2392" s="18" t="s">
        <v>24</v>
      </c>
      <c r="L2392" s="18" t="s">
        <v>25</v>
      </c>
      <c r="N2392" s="18" t="s">
        <v>807</v>
      </c>
    </row>
    <row r="2393" spans="1:14" ht="15" customHeight="1" x14ac:dyDescent="0.3">
      <c r="A2393" s="18" t="s">
        <v>4727</v>
      </c>
      <c r="B2393" s="19" t="s">
        <v>15</v>
      </c>
      <c r="C2393" s="18" t="s">
        <v>3975</v>
      </c>
      <c r="D2393" s="18" t="s">
        <v>116</v>
      </c>
      <c r="E2393" s="18" t="s">
        <v>55</v>
      </c>
      <c r="F2393" s="18" t="s">
        <v>281</v>
      </c>
      <c r="G2393" s="18" t="s">
        <v>1860</v>
      </c>
      <c r="H2393" s="18" t="s">
        <v>4732</v>
      </c>
      <c r="I2393" s="20" t="s">
        <v>4876</v>
      </c>
      <c r="J2393" s="18" t="s">
        <v>58</v>
      </c>
      <c r="K2393" s="18" t="s">
        <v>24</v>
      </c>
      <c r="L2393" s="18" t="s">
        <v>25</v>
      </c>
      <c r="N2393" s="18" t="s">
        <v>807</v>
      </c>
    </row>
    <row r="2394" spans="1:14" ht="15" customHeight="1" x14ac:dyDescent="0.3">
      <c r="A2394" s="18" t="s">
        <v>4727</v>
      </c>
      <c r="B2394" s="19" t="s">
        <v>15</v>
      </c>
      <c r="C2394" s="18" t="s">
        <v>3975</v>
      </c>
      <c r="D2394" s="18" t="s">
        <v>116</v>
      </c>
      <c r="E2394" s="18" t="s">
        <v>55</v>
      </c>
      <c r="F2394" s="18" t="s">
        <v>284</v>
      </c>
      <c r="G2394" s="18" t="s">
        <v>1860</v>
      </c>
      <c r="H2394" s="18" t="s">
        <v>4732</v>
      </c>
      <c r="I2394" s="20" t="s">
        <v>4877</v>
      </c>
      <c r="J2394" s="18" t="s">
        <v>58</v>
      </c>
      <c r="K2394" s="18" t="s">
        <v>24</v>
      </c>
      <c r="L2394" s="18" t="s">
        <v>25</v>
      </c>
      <c r="N2394" s="18" t="s">
        <v>807</v>
      </c>
    </row>
    <row r="2395" spans="1:14" ht="15" customHeight="1" x14ac:dyDescent="0.3">
      <c r="A2395" s="18" t="s">
        <v>4727</v>
      </c>
      <c r="B2395" s="19" t="s">
        <v>15</v>
      </c>
      <c r="C2395" s="18" t="s">
        <v>3975</v>
      </c>
      <c r="D2395" s="18" t="s">
        <v>116</v>
      </c>
      <c r="E2395" s="18" t="s">
        <v>55</v>
      </c>
      <c r="F2395" s="18" t="s">
        <v>3301</v>
      </c>
      <c r="G2395" s="18" t="s">
        <v>564</v>
      </c>
      <c r="H2395" s="18" t="s">
        <v>4730</v>
      </c>
      <c r="I2395" s="20" t="s">
        <v>4878</v>
      </c>
      <c r="J2395" s="18" t="s">
        <v>58</v>
      </c>
      <c r="K2395" s="18" t="s">
        <v>24</v>
      </c>
      <c r="L2395" s="18" t="s">
        <v>25</v>
      </c>
      <c r="N2395" s="18" t="s">
        <v>807</v>
      </c>
    </row>
    <row r="2396" spans="1:14" ht="15" customHeight="1" x14ac:dyDescent="0.3">
      <c r="A2396" s="18" t="s">
        <v>4727</v>
      </c>
      <c r="B2396" s="19" t="s">
        <v>15</v>
      </c>
      <c r="C2396" s="18" t="s">
        <v>3975</v>
      </c>
      <c r="D2396" s="18" t="s">
        <v>116</v>
      </c>
      <c r="E2396" s="18" t="s">
        <v>55</v>
      </c>
      <c r="F2396" s="18" t="s">
        <v>40</v>
      </c>
      <c r="G2396" s="18" t="s">
        <v>41</v>
      </c>
      <c r="H2396" s="18" t="s">
        <v>4730</v>
      </c>
      <c r="I2396" s="20" t="s">
        <v>4879</v>
      </c>
      <c r="J2396" s="18" t="s">
        <v>58</v>
      </c>
      <c r="K2396" s="18" t="s">
        <v>24</v>
      </c>
      <c r="L2396" s="18" t="s">
        <v>25</v>
      </c>
      <c r="N2396" s="18" t="s">
        <v>807</v>
      </c>
    </row>
    <row r="2397" spans="1:14" ht="15" customHeight="1" x14ac:dyDescent="0.3">
      <c r="A2397" s="18" t="s">
        <v>4727</v>
      </c>
      <c r="B2397" s="19" t="s">
        <v>15</v>
      </c>
      <c r="C2397" s="18" t="s">
        <v>3975</v>
      </c>
      <c r="D2397" s="18" t="s">
        <v>116</v>
      </c>
      <c r="E2397" s="18" t="s">
        <v>55</v>
      </c>
      <c r="F2397" s="18" t="s">
        <v>1023</v>
      </c>
      <c r="G2397" s="18" t="s">
        <v>536</v>
      </c>
      <c r="H2397" s="18" t="s">
        <v>4730</v>
      </c>
      <c r="I2397" s="20" t="s">
        <v>4880</v>
      </c>
      <c r="J2397" s="18" t="s">
        <v>58</v>
      </c>
      <c r="K2397" s="18" t="s">
        <v>24</v>
      </c>
      <c r="L2397" s="18" t="s">
        <v>25</v>
      </c>
      <c r="N2397" s="18" t="s">
        <v>807</v>
      </c>
    </row>
    <row r="2398" spans="1:14" ht="15" customHeight="1" x14ac:dyDescent="0.3">
      <c r="A2398" s="18" t="s">
        <v>4727</v>
      </c>
      <c r="B2398" s="19" t="s">
        <v>15</v>
      </c>
      <c r="C2398" s="18" t="s">
        <v>4734</v>
      </c>
      <c r="D2398" s="18" t="s">
        <v>116</v>
      </c>
      <c r="E2398" s="18" t="s">
        <v>55</v>
      </c>
      <c r="F2398" s="18" t="s">
        <v>2055</v>
      </c>
      <c r="G2398" s="18" t="s">
        <v>41</v>
      </c>
      <c r="H2398" s="18" t="s">
        <v>4736</v>
      </c>
      <c r="I2398" s="20" t="s">
        <v>4881</v>
      </c>
      <c r="J2398" s="18" t="s">
        <v>58</v>
      </c>
      <c r="K2398" s="18" t="s">
        <v>24</v>
      </c>
      <c r="L2398" s="18" t="s">
        <v>25</v>
      </c>
      <c r="N2398" s="18" t="s">
        <v>973</v>
      </c>
    </row>
    <row r="2399" spans="1:14" ht="15" customHeight="1" x14ac:dyDescent="0.3">
      <c r="A2399" s="18" t="s">
        <v>4727</v>
      </c>
      <c r="B2399" s="19" t="s">
        <v>15</v>
      </c>
      <c r="C2399" s="18" t="s">
        <v>4734</v>
      </c>
      <c r="D2399" s="18" t="s">
        <v>116</v>
      </c>
      <c r="E2399" s="18" t="s">
        <v>55</v>
      </c>
      <c r="F2399" s="18" t="s">
        <v>4882</v>
      </c>
      <c r="G2399" s="18" t="s">
        <v>197</v>
      </c>
      <c r="H2399" s="18" t="s">
        <v>4736</v>
      </c>
      <c r="I2399" s="20" t="s">
        <v>4883</v>
      </c>
      <c r="J2399" s="18" t="s">
        <v>58</v>
      </c>
      <c r="K2399" s="18" t="s">
        <v>24</v>
      </c>
      <c r="L2399" s="18" t="s">
        <v>25</v>
      </c>
      <c r="N2399" s="18" t="s">
        <v>973</v>
      </c>
    </row>
    <row r="2400" spans="1:14" ht="15" customHeight="1" x14ac:dyDescent="0.3">
      <c r="A2400" s="18" t="s">
        <v>4727</v>
      </c>
      <c r="B2400" s="19" t="s">
        <v>15</v>
      </c>
      <c r="C2400" s="18" t="s">
        <v>3975</v>
      </c>
      <c r="D2400" s="18" t="s">
        <v>116</v>
      </c>
      <c r="E2400" s="18" t="s">
        <v>55</v>
      </c>
      <c r="F2400" s="18" t="s">
        <v>4884</v>
      </c>
      <c r="G2400" s="18" t="s">
        <v>263</v>
      </c>
      <c r="H2400" s="18" t="s">
        <v>4732</v>
      </c>
      <c r="I2400" s="20" t="s">
        <v>4885</v>
      </c>
      <c r="J2400" s="18" t="s">
        <v>58</v>
      </c>
      <c r="K2400" s="18" t="s">
        <v>24</v>
      </c>
      <c r="L2400" s="18" t="s">
        <v>25</v>
      </c>
      <c r="N2400" s="18" t="s">
        <v>807</v>
      </c>
    </row>
    <row r="2401" spans="1:14" ht="15" customHeight="1" x14ac:dyDescent="0.3">
      <c r="A2401" s="18" t="s">
        <v>4727</v>
      </c>
      <c r="B2401" s="19" t="s">
        <v>15</v>
      </c>
      <c r="C2401" s="18" t="s">
        <v>3975</v>
      </c>
      <c r="D2401" s="18" t="s">
        <v>116</v>
      </c>
      <c r="E2401" s="18" t="s">
        <v>55</v>
      </c>
      <c r="F2401" s="18" t="s">
        <v>1832</v>
      </c>
      <c r="G2401" s="18" t="s">
        <v>207</v>
      </c>
      <c r="H2401" s="18" t="s">
        <v>4730</v>
      </c>
      <c r="I2401" s="20" t="s">
        <v>4886</v>
      </c>
      <c r="J2401" s="18" t="s">
        <v>58</v>
      </c>
      <c r="K2401" s="18" t="s">
        <v>24</v>
      </c>
      <c r="L2401" s="18" t="s">
        <v>25</v>
      </c>
      <c r="N2401" s="18" t="s">
        <v>807</v>
      </c>
    </row>
    <row r="2402" spans="1:14" ht="15" customHeight="1" x14ac:dyDescent="0.3">
      <c r="A2402" s="18" t="s">
        <v>4727</v>
      </c>
      <c r="B2402" s="19" t="s">
        <v>15</v>
      </c>
      <c r="C2402" s="18" t="s">
        <v>3975</v>
      </c>
      <c r="D2402" s="18" t="s">
        <v>116</v>
      </c>
      <c r="E2402" s="18" t="s">
        <v>55</v>
      </c>
      <c r="F2402" s="18" t="s">
        <v>4887</v>
      </c>
      <c r="G2402" s="18" t="s">
        <v>273</v>
      </c>
      <c r="H2402" s="18" t="s">
        <v>4732</v>
      </c>
      <c r="I2402" s="20" t="s">
        <v>4888</v>
      </c>
      <c r="J2402" s="18" t="s">
        <v>58</v>
      </c>
      <c r="K2402" s="18" t="s">
        <v>24</v>
      </c>
      <c r="L2402" s="18" t="s">
        <v>25</v>
      </c>
      <c r="N2402" s="18" t="s">
        <v>807</v>
      </c>
    </row>
    <row r="2403" spans="1:14" ht="15" customHeight="1" x14ac:dyDescent="0.3">
      <c r="A2403" s="18" t="s">
        <v>4727</v>
      </c>
      <c r="B2403" s="19" t="s">
        <v>15</v>
      </c>
      <c r="C2403" s="18" t="s">
        <v>3975</v>
      </c>
      <c r="D2403" s="18" t="s">
        <v>116</v>
      </c>
      <c r="E2403" s="18" t="s">
        <v>55</v>
      </c>
      <c r="F2403" s="18" t="s">
        <v>4889</v>
      </c>
      <c r="G2403" s="18" t="s">
        <v>913</v>
      </c>
      <c r="H2403" s="18" t="s">
        <v>4728</v>
      </c>
      <c r="I2403" s="20" t="s">
        <v>4890</v>
      </c>
      <c r="J2403" s="18" t="s">
        <v>58</v>
      </c>
      <c r="K2403" s="18" t="s">
        <v>24</v>
      </c>
      <c r="L2403" s="18" t="s">
        <v>25</v>
      </c>
      <c r="N2403" s="18" t="s">
        <v>807</v>
      </c>
    </row>
    <row r="2404" spans="1:14" ht="15" customHeight="1" x14ac:dyDescent="0.3">
      <c r="A2404" s="18" t="s">
        <v>4727</v>
      </c>
      <c r="B2404" s="19" t="s">
        <v>15</v>
      </c>
      <c r="C2404" s="18" t="s">
        <v>3975</v>
      </c>
      <c r="D2404" s="18" t="s">
        <v>116</v>
      </c>
      <c r="E2404" s="18" t="s">
        <v>55</v>
      </c>
      <c r="F2404" s="18" t="s">
        <v>3908</v>
      </c>
      <c r="G2404" s="18" t="s">
        <v>1502</v>
      </c>
      <c r="H2404" s="18" t="s">
        <v>4730</v>
      </c>
      <c r="I2404" s="20" t="s">
        <v>4891</v>
      </c>
      <c r="J2404" s="18" t="s">
        <v>58</v>
      </c>
      <c r="K2404" s="18" t="s">
        <v>24</v>
      </c>
      <c r="L2404" s="18" t="s">
        <v>25</v>
      </c>
      <c r="N2404" s="18" t="s">
        <v>807</v>
      </c>
    </row>
    <row r="2405" spans="1:14" ht="15" customHeight="1" x14ac:dyDescent="0.3">
      <c r="A2405" s="18" t="s">
        <v>4727</v>
      </c>
      <c r="B2405" s="19" t="s">
        <v>15</v>
      </c>
      <c r="C2405" s="18" t="s">
        <v>3975</v>
      </c>
      <c r="D2405" s="18" t="s">
        <v>116</v>
      </c>
      <c r="E2405" s="18" t="s">
        <v>55</v>
      </c>
      <c r="F2405" s="18" t="s">
        <v>4892</v>
      </c>
      <c r="G2405" s="18" t="s">
        <v>2242</v>
      </c>
      <c r="H2405" s="18" t="s">
        <v>4728</v>
      </c>
      <c r="I2405" s="20" t="s">
        <v>4893</v>
      </c>
      <c r="J2405" s="18" t="s">
        <v>58</v>
      </c>
      <c r="K2405" s="18" t="s">
        <v>24</v>
      </c>
      <c r="L2405" s="18" t="s">
        <v>25</v>
      </c>
      <c r="N2405" s="18" t="s">
        <v>807</v>
      </c>
    </row>
    <row r="2406" spans="1:14" ht="15" customHeight="1" x14ac:dyDescent="0.3">
      <c r="A2406" s="18" t="s">
        <v>4727</v>
      </c>
      <c r="B2406" s="19" t="s">
        <v>15</v>
      </c>
      <c r="C2406" s="18" t="s">
        <v>4734</v>
      </c>
      <c r="D2406" s="18" t="s">
        <v>116</v>
      </c>
      <c r="E2406" s="18" t="s">
        <v>55</v>
      </c>
      <c r="F2406" s="18" t="s">
        <v>4894</v>
      </c>
      <c r="G2406" s="18" t="s">
        <v>47</v>
      </c>
      <c r="H2406" s="18" t="s">
        <v>4736</v>
      </c>
      <c r="I2406" s="20" t="s">
        <v>4895</v>
      </c>
      <c r="J2406" s="18" t="s">
        <v>58</v>
      </c>
      <c r="K2406" s="18" t="s">
        <v>24</v>
      </c>
      <c r="L2406" s="18" t="s">
        <v>25</v>
      </c>
      <c r="N2406" s="18" t="s">
        <v>973</v>
      </c>
    </row>
    <row r="2407" spans="1:14" ht="15" customHeight="1" x14ac:dyDescent="0.3">
      <c r="A2407" s="18" t="s">
        <v>4727</v>
      </c>
      <c r="B2407" s="19" t="s">
        <v>15</v>
      </c>
      <c r="C2407" s="18" t="s">
        <v>3975</v>
      </c>
      <c r="D2407" s="18" t="s">
        <v>116</v>
      </c>
      <c r="E2407" s="18" t="s">
        <v>74</v>
      </c>
      <c r="F2407" s="18" t="s">
        <v>4896</v>
      </c>
      <c r="G2407" s="18" t="s">
        <v>1204</v>
      </c>
      <c r="H2407" s="18" t="s">
        <v>4897</v>
      </c>
      <c r="I2407" s="20" t="s">
        <v>4898</v>
      </c>
      <c r="J2407" s="18" t="s">
        <v>58</v>
      </c>
      <c r="K2407" s="18" t="s">
        <v>24</v>
      </c>
      <c r="L2407" s="18" t="s">
        <v>25</v>
      </c>
      <c r="N2407" s="18" t="s">
        <v>807</v>
      </c>
    </row>
    <row r="2408" spans="1:14" ht="15" customHeight="1" x14ac:dyDescent="0.3">
      <c r="A2408" s="18" t="s">
        <v>4727</v>
      </c>
      <c r="B2408" s="19" t="s">
        <v>15</v>
      </c>
      <c r="C2408" s="18" t="s">
        <v>3975</v>
      </c>
      <c r="D2408" s="18" t="s">
        <v>116</v>
      </c>
      <c r="E2408" s="18" t="s">
        <v>74</v>
      </c>
      <c r="F2408" s="18" t="s">
        <v>4868</v>
      </c>
      <c r="G2408" s="18" t="s">
        <v>47</v>
      </c>
      <c r="H2408" s="18" t="s">
        <v>4899</v>
      </c>
      <c r="I2408" s="20" t="s">
        <v>4900</v>
      </c>
      <c r="J2408" s="18" t="s">
        <v>58</v>
      </c>
      <c r="K2408" s="18" t="s">
        <v>24</v>
      </c>
      <c r="L2408" s="18" t="s">
        <v>25</v>
      </c>
      <c r="N2408" s="18" t="s">
        <v>807</v>
      </c>
    </row>
    <row r="2409" spans="1:14" ht="15" customHeight="1" x14ac:dyDescent="0.3">
      <c r="A2409" s="18" t="s">
        <v>4727</v>
      </c>
      <c r="B2409" s="19" t="s">
        <v>15</v>
      </c>
      <c r="C2409" s="18" t="s">
        <v>3975</v>
      </c>
      <c r="D2409" s="18" t="s">
        <v>116</v>
      </c>
      <c r="E2409" s="18" t="s">
        <v>74</v>
      </c>
      <c r="F2409" s="18" t="s">
        <v>4870</v>
      </c>
      <c r="G2409" s="18" t="s">
        <v>63</v>
      </c>
      <c r="H2409" s="18" t="s">
        <v>4901</v>
      </c>
      <c r="I2409" s="20" t="s">
        <v>4902</v>
      </c>
      <c r="J2409" s="18" t="s">
        <v>58</v>
      </c>
      <c r="K2409" s="18" t="s">
        <v>24</v>
      </c>
      <c r="L2409" s="18" t="s">
        <v>25</v>
      </c>
      <c r="N2409" s="18" t="s">
        <v>807</v>
      </c>
    </row>
    <row r="2410" spans="1:14" ht="15" customHeight="1" x14ac:dyDescent="0.3">
      <c r="A2410" s="18" t="s">
        <v>4727</v>
      </c>
      <c r="B2410" s="19" t="s">
        <v>15</v>
      </c>
      <c r="C2410" s="18" t="s">
        <v>3975</v>
      </c>
      <c r="D2410" s="18" t="s">
        <v>116</v>
      </c>
      <c r="E2410" s="18" t="s">
        <v>74</v>
      </c>
      <c r="F2410" s="18" t="s">
        <v>4872</v>
      </c>
      <c r="G2410" s="18" t="s">
        <v>212</v>
      </c>
      <c r="H2410" s="18" t="s">
        <v>4903</v>
      </c>
      <c r="I2410" s="20" t="s">
        <v>4904</v>
      </c>
      <c r="J2410" s="18" t="s">
        <v>58</v>
      </c>
      <c r="K2410" s="18" t="s">
        <v>24</v>
      </c>
      <c r="L2410" s="18" t="s">
        <v>25</v>
      </c>
      <c r="N2410" s="18" t="s">
        <v>807</v>
      </c>
    </row>
    <row r="2411" spans="1:14" ht="15" customHeight="1" x14ac:dyDescent="0.3">
      <c r="A2411" s="18" t="s">
        <v>4727</v>
      </c>
      <c r="B2411" s="19" t="s">
        <v>15</v>
      </c>
      <c r="C2411" s="18" t="s">
        <v>3975</v>
      </c>
      <c r="D2411" s="18" t="s">
        <v>116</v>
      </c>
      <c r="E2411" s="18" t="s">
        <v>74</v>
      </c>
      <c r="F2411" s="18" t="s">
        <v>3301</v>
      </c>
      <c r="G2411" s="18" t="s">
        <v>564</v>
      </c>
      <c r="H2411" s="18" t="s">
        <v>4905</v>
      </c>
      <c r="I2411" s="20" t="s">
        <v>4906</v>
      </c>
      <c r="J2411" s="18" t="s">
        <v>58</v>
      </c>
      <c r="K2411" s="18" t="s">
        <v>24</v>
      </c>
      <c r="L2411" s="18" t="s">
        <v>25</v>
      </c>
      <c r="N2411" s="18" t="s">
        <v>807</v>
      </c>
    </row>
    <row r="2412" spans="1:14" ht="15" customHeight="1" x14ac:dyDescent="0.3">
      <c r="A2412" s="18" t="s">
        <v>4727</v>
      </c>
      <c r="B2412" s="19" t="s">
        <v>15</v>
      </c>
      <c r="C2412" s="18" t="s">
        <v>3975</v>
      </c>
      <c r="D2412" s="18" t="s">
        <v>116</v>
      </c>
      <c r="E2412" s="18" t="s">
        <v>74</v>
      </c>
      <c r="F2412" s="18" t="s">
        <v>1023</v>
      </c>
      <c r="G2412" s="18" t="s">
        <v>536</v>
      </c>
      <c r="H2412" s="18" t="s">
        <v>4907</v>
      </c>
      <c r="I2412" s="20" t="s">
        <v>4908</v>
      </c>
      <c r="J2412" s="18" t="s">
        <v>58</v>
      </c>
      <c r="K2412" s="18" t="s">
        <v>24</v>
      </c>
      <c r="L2412" s="18" t="s">
        <v>25</v>
      </c>
      <c r="N2412" s="18" t="s">
        <v>807</v>
      </c>
    </row>
    <row r="2413" spans="1:14" ht="15" customHeight="1" x14ac:dyDescent="0.3">
      <c r="A2413" s="18" t="s">
        <v>4727</v>
      </c>
      <c r="B2413" s="19" t="s">
        <v>15</v>
      </c>
      <c r="C2413" s="18" t="s">
        <v>3975</v>
      </c>
      <c r="D2413" s="18" t="s">
        <v>116</v>
      </c>
      <c r="E2413" s="18" t="s">
        <v>74</v>
      </c>
      <c r="F2413" s="18" t="s">
        <v>1832</v>
      </c>
      <c r="G2413" s="18" t="s">
        <v>207</v>
      </c>
      <c r="H2413" s="18" t="s">
        <v>4909</v>
      </c>
      <c r="I2413" s="20" t="s">
        <v>4910</v>
      </c>
      <c r="J2413" s="18" t="s">
        <v>58</v>
      </c>
      <c r="K2413" s="18" t="s">
        <v>24</v>
      </c>
      <c r="L2413" s="18" t="s">
        <v>25</v>
      </c>
      <c r="N2413" s="18" t="s">
        <v>807</v>
      </c>
    </row>
    <row r="2414" spans="1:14" ht="15" customHeight="1" x14ac:dyDescent="0.3">
      <c r="A2414" s="18" t="s">
        <v>4727</v>
      </c>
      <c r="B2414" s="19" t="s">
        <v>15</v>
      </c>
      <c r="C2414" s="18" t="s">
        <v>3975</v>
      </c>
      <c r="D2414" s="18" t="s">
        <v>116</v>
      </c>
      <c r="E2414" s="18" t="s">
        <v>74</v>
      </c>
      <c r="F2414" s="18" t="s">
        <v>3908</v>
      </c>
      <c r="G2414" s="18" t="s">
        <v>1502</v>
      </c>
      <c r="H2414" s="18" t="s">
        <v>4911</v>
      </c>
      <c r="I2414" s="20" t="s">
        <v>4912</v>
      </c>
      <c r="J2414" s="18" t="s">
        <v>58</v>
      </c>
      <c r="K2414" s="18" t="s">
        <v>24</v>
      </c>
      <c r="L2414" s="18" t="s">
        <v>25</v>
      </c>
      <c r="N2414" s="18" t="s">
        <v>807</v>
      </c>
    </row>
    <row r="2415" spans="1:14" ht="15" customHeight="1" x14ac:dyDescent="0.3">
      <c r="A2415" s="18" t="s">
        <v>4913</v>
      </c>
      <c r="B2415" s="19" t="s">
        <v>15</v>
      </c>
      <c r="C2415" s="18" t="s">
        <v>4914</v>
      </c>
      <c r="D2415" s="18" t="s">
        <v>116</v>
      </c>
      <c r="E2415" s="18" t="s">
        <v>117</v>
      </c>
      <c r="F2415" s="18" t="s">
        <v>4915</v>
      </c>
      <c r="G2415" s="18" t="s">
        <v>88</v>
      </c>
      <c r="H2415" s="18" t="s">
        <v>4916</v>
      </c>
      <c r="I2415" s="20" t="s">
        <v>4917</v>
      </c>
      <c r="J2415" s="18" t="s">
        <v>58</v>
      </c>
      <c r="K2415" s="18" t="s">
        <v>24</v>
      </c>
      <c r="L2415" s="18" t="s">
        <v>25</v>
      </c>
      <c r="N2415" s="18" t="s">
        <v>154</v>
      </c>
    </row>
    <row r="2416" spans="1:14" ht="15" customHeight="1" x14ac:dyDescent="0.3">
      <c r="A2416" s="18" t="s">
        <v>4913</v>
      </c>
      <c r="B2416" s="19" t="s">
        <v>15</v>
      </c>
      <c r="C2416" s="18" t="s">
        <v>4914</v>
      </c>
      <c r="D2416" s="18" t="s">
        <v>116</v>
      </c>
      <c r="E2416" s="18" t="s">
        <v>117</v>
      </c>
      <c r="F2416" s="18" t="s">
        <v>4918</v>
      </c>
      <c r="G2416" s="18" t="s">
        <v>47</v>
      </c>
      <c r="H2416" s="18" t="s">
        <v>4919</v>
      </c>
      <c r="I2416" s="20" t="s">
        <v>4920</v>
      </c>
      <c r="J2416" s="18" t="s">
        <v>58</v>
      </c>
      <c r="K2416" s="18" t="s">
        <v>24</v>
      </c>
      <c r="L2416" s="18" t="s">
        <v>25</v>
      </c>
      <c r="N2416" s="18" t="s">
        <v>154</v>
      </c>
    </row>
    <row r="2417" spans="1:14" ht="15" customHeight="1" x14ac:dyDescent="0.3">
      <c r="A2417" s="18" t="s">
        <v>4913</v>
      </c>
      <c r="B2417" s="19" t="s">
        <v>15</v>
      </c>
      <c r="C2417" s="18" t="s">
        <v>4914</v>
      </c>
      <c r="D2417" s="18" t="s">
        <v>116</v>
      </c>
      <c r="E2417" s="18" t="s">
        <v>117</v>
      </c>
      <c r="F2417" s="18" t="s">
        <v>3021</v>
      </c>
      <c r="G2417" s="18" t="s">
        <v>41</v>
      </c>
      <c r="H2417" s="18" t="s">
        <v>4919</v>
      </c>
      <c r="I2417" s="20" t="s">
        <v>4921</v>
      </c>
      <c r="J2417" s="18" t="s">
        <v>58</v>
      </c>
      <c r="K2417" s="18" t="s">
        <v>24</v>
      </c>
      <c r="L2417" s="18" t="s">
        <v>25</v>
      </c>
      <c r="N2417" s="18" t="s">
        <v>154</v>
      </c>
    </row>
    <row r="2418" spans="1:14" ht="15" customHeight="1" x14ac:dyDescent="0.3">
      <c r="A2418" s="18" t="s">
        <v>4913</v>
      </c>
      <c r="B2418" s="19" t="s">
        <v>15</v>
      </c>
      <c r="C2418" s="18" t="s">
        <v>4914</v>
      </c>
      <c r="D2418" s="18" t="s">
        <v>116</v>
      </c>
      <c r="E2418" s="18" t="s">
        <v>117</v>
      </c>
      <c r="F2418" s="18" t="s">
        <v>2479</v>
      </c>
      <c r="G2418" s="18" t="s">
        <v>270</v>
      </c>
      <c r="H2418" s="18" t="s">
        <v>4919</v>
      </c>
      <c r="I2418" s="20" t="s">
        <v>4922</v>
      </c>
      <c r="J2418" s="18" t="s">
        <v>58</v>
      </c>
      <c r="K2418" s="18" t="s">
        <v>24</v>
      </c>
      <c r="L2418" s="18" t="s">
        <v>25</v>
      </c>
      <c r="N2418" s="18" t="s">
        <v>154</v>
      </c>
    </row>
    <row r="2419" spans="1:14" ht="15" customHeight="1" x14ac:dyDescent="0.3">
      <c r="A2419" s="18" t="s">
        <v>4913</v>
      </c>
      <c r="B2419" s="19" t="s">
        <v>15</v>
      </c>
      <c r="C2419" s="18" t="s">
        <v>4914</v>
      </c>
      <c r="D2419" s="18" t="s">
        <v>116</v>
      </c>
      <c r="E2419" s="18" t="s">
        <v>117</v>
      </c>
      <c r="F2419" s="18" t="s">
        <v>4923</v>
      </c>
      <c r="G2419" s="18" t="s">
        <v>160</v>
      </c>
      <c r="H2419" s="18" t="s">
        <v>4919</v>
      </c>
      <c r="I2419" s="20" t="s">
        <v>4924</v>
      </c>
      <c r="J2419" s="18" t="s">
        <v>58</v>
      </c>
      <c r="K2419" s="18" t="s">
        <v>24</v>
      </c>
      <c r="L2419" s="18" t="s">
        <v>25</v>
      </c>
      <c r="N2419" s="18" t="s">
        <v>154</v>
      </c>
    </row>
    <row r="2420" spans="1:14" ht="15" customHeight="1" x14ac:dyDescent="0.3">
      <c r="A2420" s="18" t="s">
        <v>4913</v>
      </c>
      <c r="B2420" s="19" t="s">
        <v>15</v>
      </c>
      <c r="C2420" s="18" t="s">
        <v>4914</v>
      </c>
      <c r="D2420" s="18" t="s">
        <v>116</v>
      </c>
      <c r="E2420" s="18" t="s">
        <v>117</v>
      </c>
      <c r="F2420" s="18" t="s">
        <v>4925</v>
      </c>
      <c r="G2420" s="18" t="s">
        <v>1204</v>
      </c>
      <c r="H2420" s="18" t="s">
        <v>4919</v>
      </c>
      <c r="I2420" s="20" t="s">
        <v>4926</v>
      </c>
      <c r="J2420" s="18" t="s">
        <v>58</v>
      </c>
      <c r="K2420" s="18" t="s">
        <v>24</v>
      </c>
      <c r="L2420" s="18" t="s">
        <v>25</v>
      </c>
      <c r="N2420" s="18" t="s">
        <v>154</v>
      </c>
    </row>
    <row r="2421" spans="1:14" ht="15" customHeight="1" x14ac:dyDescent="0.3">
      <c r="A2421" s="18" t="s">
        <v>4913</v>
      </c>
      <c r="B2421" s="19" t="s">
        <v>15</v>
      </c>
      <c r="C2421" s="18" t="s">
        <v>4914</v>
      </c>
      <c r="D2421" s="18" t="s">
        <v>116</v>
      </c>
      <c r="E2421" s="18" t="s">
        <v>117</v>
      </c>
      <c r="F2421" s="18" t="s">
        <v>1263</v>
      </c>
      <c r="G2421" s="18" t="s">
        <v>219</v>
      </c>
      <c r="H2421" s="18" t="s">
        <v>4919</v>
      </c>
      <c r="I2421" s="20" t="s">
        <v>4927</v>
      </c>
      <c r="J2421" s="18" t="s">
        <v>58</v>
      </c>
      <c r="K2421" s="18" t="s">
        <v>24</v>
      </c>
      <c r="L2421" s="18" t="s">
        <v>25</v>
      </c>
      <c r="N2421" s="18" t="s">
        <v>154</v>
      </c>
    </row>
    <row r="2422" spans="1:14" ht="15" customHeight="1" x14ac:dyDescent="0.3">
      <c r="A2422" s="18" t="s">
        <v>4913</v>
      </c>
      <c r="B2422" s="19" t="s">
        <v>15</v>
      </c>
      <c r="C2422" s="18" t="s">
        <v>4914</v>
      </c>
      <c r="D2422" s="18" t="s">
        <v>116</v>
      </c>
      <c r="E2422" s="18" t="s">
        <v>117</v>
      </c>
      <c r="F2422" s="18" t="s">
        <v>4928</v>
      </c>
      <c r="G2422" s="18" t="s">
        <v>212</v>
      </c>
      <c r="H2422" s="18" t="s">
        <v>4919</v>
      </c>
      <c r="I2422" s="20" t="s">
        <v>4929</v>
      </c>
      <c r="J2422" s="18" t="s">
        <v>58</v>
      </c>
      <c r="K2422" s="18" t="s">
        <v>24</v>
      </c>
      <c r="L2422" s="18" t="s">
        <v>25</v>
      </c>
      <c r="N2422" s="18" t="s">
        <v>154</v>
      </c>
    </row>
    <row r="2423" spans="1:14" ht="15" customHeight="1" x14ac:dyDescent="0.3">
      <c r="A2423" s="18" t="s">
        <v>4913</v>
      </c>
      <c r="B2423" s="19" t="s">
        <v>15</v>
      </c>
      <c r="C2423" s="18" t="s">
        <v>4914</v>
      </c>
      <c r="D2423" s="18" t="s">
        <v>116</v>
      </c>
      <c r="E2423" s="18" t="s">
        <v>117</v>
      </c>
      <c r="F2423" s="18" t="s">
        <v>2193</v>
      </c>
      <c r="G2423" s="18" t="s">
        <v>1634</v>
      </c>
      <c r="H2423" s="18" t="s">
        <v>4930</v>
      </c>
      <c r="I2423" s="20" t="s">
        <v>4931</v>
      </c>
      <c r="J2423" s="18" t="s">
        <v>58</v>
      </c>
      <c r="K2423" s="18" t="s">
        <v>24</v>
      </c>
      <c r="L2423" s="18" t="s">
        <v>25</v>
      </c>
      <c r="N2423" s="18" t="s">
        <v>154</v>
      </c>
    </row>
    <row r="2424" spans="1:14" ht="15" customHeight="1" x14ac:dyDescent="0.3">
      <c r="A2424" s="18" t="s">
        <v>4913</v>
      </c>
      <c r="B2424" s="19" t="s">
        <v>15</v>
      </c>
      <c r="C2424" s="18" t="s">
        <v>4914</v>
      </c>
      <c r="D2424" s="18" t="s">
        <v>116</v>
      </c>
      <c r="E2424" s="18" t="s">
        <v>117</v>
      </c>
      <c r="F2424" s="18" t="s">
        <v>4932</v>
      </c>
      <c r="G2424" s="18" t="s">
        <v>35</v>
      </c>
      <c r="H2424" s="18" t="s">
        <v>4919</v>
      </c>
      <c r="I2424" s="20" t="s">
        <v>4933</v>
      </c>
      <c r="J2424" s="18" t="s">
        <v>58</v>
      </c>
      <c r="K2424" s="18" t="s">
        <v>24</v>
      </c>
      <c r="L2424" s="18" t="s">
        <v>25</v>
      </c>
      <c r="N2424" s="18" t="s">
        <v>154</v>
      </c>
    </row>
    <row r="2425" spans="1:14" ht="15" customHeight="1" x14ac:dyDescent="0.3">
      <c r="A2425" s="18" t="s">
        <v>4913</v>
      </c>
      <c r="B2425" s="19" t="s">
        <v>15</v>
      </c>
      <c r="C2425" s="18" t="s">
        <v>4914</v>
      </c>
      <c r="D2425" s="18" t="s">
        <v>116</v>
      </c>
      <c r="E2425" s="18" t="s">
        <v>117</v>
      </c>
      <c r="F2425" s="18" t="s">
        <v>2498</v>
      </c>
      <c r="G2425" s="18" t="s">
        <v>47</v>
      </c>
      <c r="H2425" s="18" t="s">
        <v>4919</v>
      </c>
      <c r="I2425" s="20" t="s">
        <v>4934</v>
      </c>
      <c r="J2425" s="18" t="s">
        <v>58</v>
      </c>
      <c r="K2425" s="18" t="s">
        <v>24</v>
      </c>
      <c r="L2425" s="18" t="s">
        <v>25</v>
      </c>
      <c r="N2425" s="18" t="s">
        <v>154</v>
      </c>
    </row>
    <row r="2426" spans="1:14" ht="15" customHeight="1" x14ac:dyDescent="0.3">
      <c r="A2426" s="18" t="s">
        <v>4913</v>
      </c>
      <c r="B2426" s="19" t="s">
        <v>15</v>
      </c>
      <c r="C2426" s="18" t="s">
        <v>4914</v>
      </c>
      <c r="D2426" s="18" t="s">
        <v>116</v>
      </c>
      <c r="E2426" s="18" t="s">
        <v>117</v>
      </c>
      <c r="F2426" s="18" t="s">
        <v>4935</v>
      </c>
      <c r="G2426" s="18" t="s">
        <v>28</v>
      </c>
      <c r="H2426" s="18" t="s">
        <v>4936</v>
      </c>
      <c r="I2426" s="20" t="s">
        <v>4937</v>
      </c>
      <c r="J2426" s="18" t="s">
        <v>58</v>
      </c>
      <c r="K2426" s="18" t="s">
        <v>24</v>
      </c>
      <c r="L2426" s="18" t="s">
        <v>25</v>
      </c>
      <c r="N2426" s="18" t="s">
        <v>154</v>
      </c>
    </row>
    <row r="2427" spans="1:14" ht="15" customHeight="1" x14ac:dyDescent="0.3">
      <c r="A2427" s="18" t="s">
        <v>4913</v>
      </c>
      <c r="B2427" s="19" t="s">
        <v>15</v>
      </c>
      <c r="C2427" s="18" t="s">
        <v>4914</v>
      </c>
      <c r="D2427" s="18" t="s">
        <v>116</v>
      </c>
      <c r="E2427" s="18" t="s">
        <v>117</v>
      </c>
      <c r="F2427" s="18" t="s">
        <v>2283</v>
      </c>
      <c r="G2427" s="18" t="s">
        <v>47</v>
      </c>
      <c r="H2427" s="18" t="s">
        <v>4938</v>
      </c>
      <c r="I2427" s="20" t="s">
        <v>4939</v>
      </c>
      <c r="J2427" s="18" t="s">
        <v>58</v>
      </c>
      <c r="K2427" s="18" t="s">
        <v>24</v>
      </c>
      <c r="L2427" s="18" t="s">
        <v>25</v>
      </c>
      <c r="N2427" s="18" t="s">
        <v>154</v>
      </c>
    </row>
    <row r="2428" spans="1:14" ht="15" customHeight="1" x14ac:dyDescent="0.3">
      <c r="A2428" s="18" t="s">
        <v>4913</v>
      </c>
      <c r="B2428" s="19" t="s">
        <v>15</v>
      </c>
      <c r="C2428" s="18" t="s">
        <v>4914</v>
      </c>
      <c r="D2428" s="18" t="s">
        <v>116</v>
      </c>
      <c r="E2428" s="18" t="s">
        <v>117</v>
      </c>
      <c r="F2428" s="18" t="s">
        <v>4940</v>
      </c>
      <c r="G2428" s="18" t="s">
        <v>28</v>
      </c>
      <c r="H2428" s="18" t="s">
        <v>4919</v>
      </c>
      <c r="I2428" s="20" t="s">
        <v>4941</v>
      </c>
      <c r="J2428" s="18" t="s">
        <v>58</v>
      </c>
      <c r="K2428" s="18" t="s">
        <v>24</v>
      </c>
      <c r="L2428" s="18" t="s">
        <v>25</v>
      </c>
      <c r="N2428" s="18" t="s">
        <v>154</v>
      </c>
    </row>
    <row r="2429" spans="1:14" ht="15" customHeight="1" x14ac:dyDescent="0.3">
      <c r="A2429" s="18" t="s">
        <v>4913</v>
      </c>
      <c r="B2429" s="19" t="s">
        <v>15</v>
      </c>
      <c r="C2429" s="18" t="s">
        <v>4914</v>
      </c>
      <c r="D2429" s="18" t="s">
        <v>116</v>
      </c>
      <c r="E2429" s="18" t="s">
        <v>117</v>
      </c>
      <c r="F2429" s="18" t="s">
        <v>3037</v>
      </c>
      <c r="G2429" s="18" t="s">
        <v>160</v>
      </c>
      <c r="H2429" s="18" t="s">
        <v>4919</v>
      </c>
      <c r="I2429" s="20" t="s">
        <v>4942</v>
      </c>
      <c r="J2429" s="18" t="s">
        <v>58</v>
      </c>
      <c r="K2429" s="18" t="s">
        <v>24</v>
      </c>
      <c r="L2429" s="18" t="s">
        <v>25</v>
      </c>
      <c r="N2429" s="18" t="s">
        <v>154</v>
      </c>
    </row>
    <row r="2430" spans="1:14" ht="15" customHeight="1" x14ac:dyDescent="0.3">
      <c r="A2430" s="18" t="s">
        <v>4913</v>
      </c>
      <c r="B2430" s="19" t="s">
        <v>15</v>
      </c>
      <c r="C2430" s="18" t="s">
        <v>4914</v>
      </c>
      <c r="D2430" s="18" t="s">
        <v>116</v>
      </c>
      <c r="E2430" s="18" t="s">
        <v>117</v>
      </c>
      <c r="F2430" s="18" t="s">
        <v>4943</v>
      </c>
      <c r="G2430" s="18" t="s">
        <v>1075</v>
      </c>
      <c r="H2430" s="18" t="s">
        <v>4919</v>
      </c>
      <c r="I2430" s="20" t="s">
        <v>4944</v>
      </c>
      <c r="J2430" s="18" t="s">
        <v>58</v>
      </c>
      <c r="K2430" s="18" t="s">
        <v>24</v>
      </c>
      <c r="L2430" s="18" t="s">
        <v>25</v>
      </c>
      <c r="N2430" s="18" t="s">
        <v>154</v>
      </c>
    </row>
    <row r="2431" spans="1:14" ht="15" customHeight="1" x14ac:dyDescent="0.3">
      <c r="A2431" s="18" t="s">
        <v>4913</v>
      </c>
      <c r="B2431" s="19" t="s">
        <v>15</v>
      </c>
      <c r="C2431" s="18" t="s">
        <v>4914</v>
      </c>
      <c r="D2431" s="18" t="s">
        <v>116</v>
      </c>
      <c r="E2431" s="18" t="s">
        <v>117</v>
      </c>
      <c r="F2431" s="18" t="s">
        <v>4945</v>
      </c>
      <c r="G2431" s="18" t="s">
        <v>1204</v>
      </c>
      <c r="H2431" s="18" t="s">
        <v>4919</v>
      </c>
      <c r="I2431" s="20" t="s">
        <v>4946</v>
      </c>
      <c r="J2431" s="18" t="s">
        <v>58</v>
      </c>
      <c r="K2431" s="18" t="s">
        <v>24</v>
      </c>
      <c r="L2431" s="18" t="s">
        <v>25</v>
      </c>
      <c r="N2431" s="18" t="s">
        <v>154</v>
      </c>
    </row>
    <row r="2432" spans="1:14" ht="15" customHeight="1" x14ac:dyDescent="0.3">
      <c r="A2432" s="18" t="s">
        <v>4913</v>
      </c>
      <c r="B2432" s="19" t="s">
        <v>15</v>
      </c>
      <c r="C2432" s="18" t="s">
        <v>4914</v>
      </c>
      <c r="D2432" s="18" t="s">
        <v>116</v>
      </c>
      <c r="E2432" s="18" t="s">
        <v>117</v>
      </c>
      <c r="F2432" s="18" t="s">
        <v>4947</v>
      </c>
      <c r="G2432" s="18" t="s">
        <v>1204</v>
      </c>
      <c r="H2432" s="18" t="s">
        <v>4919</v>
      </c>
      <c r="I2432" s="20" t="s">
        <v>4948</v>
      </c>
      <c r="J2432" s="18" t="s">
        <v>58</v>
      </c>
      <c r="K2432" s="18" t="s">
        <v>24</v>
      </c>
      <c r="L2432" s="18" t="s">
        <v>25</v>
      </c>
      <c r="N2432" s="18" t="s">
        <v>154</v>
      </c>
    </row>
    <row r="2433" spans="1:14" ht="15" customHeight="1" x14ac:dyDescent="0.3">
      <c r="A2433" s="18" t="s">
        <v>4913</v>
      </c>
      <c r="B2433" s="19" t="s">
        <v>15</v>
      </c>
      <c r="C2433" s="18" t="s">
        <v>4914</v>
      </c>
      <c r="D2433" s="18" t="s">
        <v>116</v>
      </c>
      <c r="E2433" s="18" t="s">
        <v>117</v>
      </c>
      <c r="F2433" s="18" t="s">
        <v>4949</v>
      </c>
      <c r="G2433" s="18" t="s">
        <v>1019</v>
      </c>
      <c r="H2433" s="18" t="s">
        <v>4919</v>
      </c>
      <c r="I2433" s="20" t="s">
        <v>4950</v>
      </c>
      <c r="J2433" s="18" t="s">
        <v>58</v>
      </c>
      <c r="K2433" s="18" t="s">
        <v>24</v>
      </c>
      <c r="L2433" s="18" t="s">
        <v>25</v>
      </c>
      <c r="N2433" s="18" t="s">
        <v>154</v>
      </c>
    </row>
    <row r="2434" spans="1:14" ht="15" customHeight="1" x14ac:dyDescent="0.3">
      <c r="A2434" s="18" t="s">
        <v>4913</v>
      </c>
      <c r="B2434" s="19" t="s">
        <v>15</v>
      </c>
      <c r="C2434" s="18" t="s">
        <v>4914</v>
      </c>
      <c r="D2434" s="18" t="s">
        <v>116</v>
      </c>
      <c r="E2434" s="18" t="s">
        <v>117</v>
      </c>
      <c r="F2434" s="18" t="s">
        <v>4951</v>
      </c>
      <c r="G2434" s="18" t="s">
        <v>219</v>
      </c>
      <c r="H2434" s="18" t="s">
        <v>4919</v>
      </c>
      <c r="I2434" s="20" t="s">
        <v>4952</v>
      </c>
      <c r="J2434" s="18" t="s">
        <v>58</v>
      </c>
      <c r="K2434" s="18" t="s">
        <v>24</v>
      </c>
      <c r="L2434" s="18" t="s">
        <v>25</v>
      </c>
      <c r="N2434" s="18" t="s">
        <v>154</v>
      </c>
    </row>
    <row r="2435" spans="1:14" ht="15" customHeight="1" x14ac:dyDescent="0.3">
      <c r="A2435" s="18" t="s">
        <v>4913</v>
      </c>
      <c r="B2435" s="19" t="s">
        <v>15</v>
      </c>
      <c r="C2435" s="18" t="s">
        <v>4914</v>
      </c>
      <c r="D2435" s="18" t="s">
        <v>116</v>
      </c>
      <c r="E2435" s="18" t="s">
        <v>117</v>
      </c>
      <c r="F2435" s="18" t="s">
        <v>2220</v>
      </c>
      <c r="G2435" s="18" t="s">
        <v>2047</v>
      </c>
      <c r="H2435" s="18" t="s">
        <v>4919</v>
      </c>
      <c r="I2435" s="20" t="s">
        <v>4953</v>
      </c>
      <c r="J2435" s="18" t="s">
        <v>58</v>
      </c>
      <c r="K2435" s="18" t="s">
        <v>24</v>
      </c>
      <c r="L2435" s="18" t="s">
        <v>25</v>
      </c>
      <c r="N2435" s="18" t="s">
        <v>154</v>
      </c>
    </row>
    <row r="2436" spans="1:14" ht="15" customHeight="1" x14ac:dyDescent="0.3">
      <c r="A2436" s="18" t="s">
        <v>4913</v>
      </c>
      <c r="B2436" s="19" t="s">
        <v>15</v>
      </c>
      <c r="C2436" s="18" t="s">
        <v>2519</v>
      </c>
      <c r="D2436" s="18" t="s">
        <v>116</v>
      </c>
      <c r="E2436" s="18" t="s">
        <v>117</v>
      </c>
      <c r="F2436" s="18" t="s">
        <v>1961</v>
      </c>
      <c r="G2436" s="18" t="s">
        <v>41</v>
      </c>
      <c r="H2436" s="18" t="s">
        <v>4954</v>
      </c>
      <c r="I2436" s="20" t="s">
        <v>4955</v>
      </c>
      <c r="J2436" s="18" t="s">
        <v>58</v>
      </c>
      <c r="K2436" s="18" t="s">
        <v>24</v>
      </c>
      <c r="L2436" s="18" t="s">
        <v>25</v>
      </c>
      <c r="N2436" s="18" t="s">
        <v>973</v>
      </c>
    </row>
    <row r="2437" spans="1:14" ht="15" customHeight="1" x14ac:dyDescent="0.3">
      <c r="A2437" s="18" t="s">
        <v>4913</v>
      </c>
      <c r="B2437" s="19" t="s">
        <v>15</v>
      </c>
      <c r="C2437" s="18" t="s">
        <v>4914</v>
      </c>
      <c r="D2437" s="18" t="s">
        <v>116</v>
      </c>
      <c r="E2437" s="18" t="s">
        <v>117</v>
      </c>
      <c r="F2437" s="18" t="s">
        <v>4956</v>
      </c>
      <c r="G2437" s="18" t="s">
        <v>85</v>
      </c>
      <c r="H2437" s="18" t="s">
        <v>4919</v>
      </c>
      <c r="I2437" s="20" t="s">
        <v>4957</v>
      </c>
      <c r="J2437" s="18" t="s">
        <v>58</v>
      </c>
      <c r="K2437" s="18" t="s">
        <v>24</v>
      </c>
      <c r="L2437" s="18" t="s">
        <v>25</v>
      </c>
      <c r="N2437" s="18" t="s">
        <v>154</v>
      </c>
    </row>
    <row r="2438" spans="1:14" ht="15" customHeight="1" x14ac:dyDescent="0.3">
      <c r="A2438" s="18" t="s">
        <v>4913</v>
      </c>
      <c r="B2438" s="19" t="s">
        <v>15</v>
      </c>
      <c r="C2438" s="18" t="s">
        <v>4914</v>
      </c>
      <c r="D2438" s="18" t="s">
        <v>116</v>
      </c>
      <c r="E2438" s="18" t="s">
        <v>117</v>
      </c>
      <c r="F2438" s="18" t="s">
        <v>4958</v>
      </c>
      <c r="G2438" s="18" t="s">
        <v>63</v>
      </c>
      <c r="H2438" s="18" t="s">
        <v>4919</v>
      </c>
      <c r="I2438" s="20" t="s">
        <v>4959</v>
      </c>
      <c r="J2438" s="18" t="s">
        <v>58</v>
      </c>
      <c r="K2438" s="18" t="s">
        <v>24</v>
      </c>
      <c r="L2438" s="18" t="s">
        <v>25</v>
      </c>
      <c r="N2438" s="18" t="s">
        <v>154</v>
      </c>
    </row>
    <row r="2439" spans="1:14" ht="15" customHeight="1" x14ac:dyDescent="0.3">
      <c r="A2439" s="18" t="s">
        <v>4913</v>
      </c>
      <c r="B2439" s="19" t="s">
        <v>15</v>
      </c>
      <c r="C2439" s="18" t="s">
        <v>4914</v>
      </c>
      <c r="D2439" s="18" t="s">
        <v>116</v>
      </c>
      <c r="E2439" s="18" t="s">
        <v>117</v>
      </c>
      <c r="F2439" s="18" t="s">
        <v>4960</v>
      </c>
      <c r="G2439" s="18" t="s">
        <v>1019</v>
      </c>
      <c r="H2439" s="18" t="s">
        <v>4919</v>
      </c>
      <c r="I2439" s="20" t="s">
        <v>4961</v>
      </c>
      <c r="J2439" s="18" t="s">
        <v>58</v>
      </c>
      <c r="K2439" s="18" t="s">
        <v>24</v>
      </c>
      <c r="L2439" s="18" t="s">
        <v>25</v>
      </c>
      <c r="N2439" s="18" t="s">
        <v>154</v>
      </c>
    </row>
    <row r="2440" spans="1:14" ht="15" customHeight="1" x14ac:dyDescent="0.3">
      <c r="A2440" s="18" t="s">
        <v>4913</v>
      </c>
      <c r="B2440" s="19" t="s">
        <v>15</v>
      </c>
      <c r="C2440" s="18" t="s">
        <v>4914</v>
      </c>
      <c r="D2440" s="18" t="s">
        <v>116</v>
      </c>
      <c r="E2440" s="18" t="s">
        <v>117</v>
      </c>
      <c r="F2440" s="18" t="s">
        <v>4962</v>
      </c>
      <c r="G2440" s="18" t="s">
        <v>2489</v>
      </c>
      <c r="H2440" s="18" t="s">
        <v>4919</v>
      </c>
      <c r="I2440" s="20" t="s">
        <v>4963</v>
      </c>
      <c r="J2440" s="18" t="s">
        <v>58</v>
      </c>
      <c r="K2440" s="18" t="s">
        <v>24</v>
      </c>
      <c r="L2440" s="18" t="s">
        <v>25</v>
      </c>
      <c r="N2440" s="18" t="s">
        <v>154</v>
      </c>
    </row>
    <row r="2441" spans="1:14" ht="15" customHeight="1" x14ac:dyDescent="0.3">
      <c r="A2441" s="18" t="s">
        <v>4913</v>
      </c>
      <c r="B2441" s="19" t="s">
        <v>15</v>
      </c>
      <c r="C2441" s="18" t="s">
        <v>4914</v>
      </c>
      <c r="D2441" s="18" t="s">
        <v>116</v>
      </c>
      <c r="E2441" s="18" t="s">
        <v>117</v>
      </c>
      <c r="F2441" s="18" t="s">
        <v>4964</v>
      </c>
      <c r="G2441" s="18" t="s">
        <v>564</v>
      </c>
      <c r="H2441" s="18" t="s">
        <v>4919</v>
      </c>
      <c r="I2441" s="20" t="s">
        <v>4965</v>
      </c>
      <c r="J2441" s="18" t="s">
        <v>58</v>
      </c>
      <c r="K2441" s="18" t="s">
        <v>24</v>
      </c>
      <c r="L2441" s="18" t="s">
        <v>25</v>
      </c>
      <c r="N2441" s="18" t="s">
        <v>154</v>
      </c>
    </row>
    <row r="2442" spans="1:14" ht="15" customHeight="1" x14ac:dyDescent="0.3">
      <c r="A2442" s="18" t="s">
        <v>4913</v>
      </c>
      <c r="B2442" s="19" t="s">
        <v>15</v>
      </c>
      <c r="C2442" s="18" t="s">
        <v>4914</v>
      </c>
      <c r="D2442" s="18" t="s">
        <v>116</v>
      </c>
      <c r="E2442" s="18" t="s">
        <v>117</v>
      </c>
      <c r="F2442" s="18" t="s">
        <v>4966</v>
      </c>
      <c r="G2442" s="18" t="s">
        <v>1634</v>
      </c>
      <c r="H2442" s="18" t="s">
        <v>4930</v>
      </c>
      <c r="I2442" s="20" t="s">
        <v>4967</v>
      </c>
      <c r="J2442" s="18" t="s">
        <v>58</v>
      </c>
      <c r="K2442" s="18" t="s">
        <v>24</v>
      </c>
      <c r="L2442" s="18" t="s">
        <v>25</v>
      </c>
      <c r="N2442" s="18" t="s">
        <v>154</v>
      </c>
    </row>
    <row r="2443" spans="1:14" ht="15" customHeight="1" x14ac:dyDescent="0.3">
      <c r="A2443" s="18" t="s">
        <v>4913</v>
      </c>
      <c r="B2443" s="19" t="s">
        <v>15</v>
      </c>
      <c r="C2443" s="18" t="s">
        <v>4914</v>
      </c>
      <c r="D2443" s="18" t="s">
        <v>116</v>
      </c>
      <c r="E2443" s="18" t="s">
        <v>117</v>
      </c>
      <c r="F2443" s="18" t="s">
        <v>4968</v>
      </c>
      <c r="G2443" s="18" t="s">
        <v>212</v>
      </c>
      <c r="H2443" s="18" t="s">
        <v>4919</v>
      </c>
      <c r="I2443" s="20" t="s">
        <v>4969</v>
      </c>
      <c r="J2443" s="18" t="s">
        <v>58</v>
      </c>
      <c r="K2443" s="18" t="s">
        <v>24</v>
      </c>
      <c r="L2443" s="18" t="s">
        <v>25</v>
      </c>
      <c r="N2443" s="18" t="s">
        <v>154</v>
      </c>
    </row>
    <row r="2444" spans="1:14" ht="15" customHeight="1" x14ac:dyDescent="0.3">
      <c r="A2444" s="18" t="s">
        <v>4913</v>
      </c>
      <c r="B2444" s="19" t="s">
        <v>15</v>
      </c>
      <c r="C2444" s="18" t="s">
        <v>4914</v>
      </c>
      <c r="D2444" s="18" t="s">
        <v>116</v>
      </c>
      <c r="E2444" s="18" t="s">
        <v>117</v>
      </c>
      <c r="F2444" s="18" t="s">
        <v>2230</v>
      </c>
      <c r="G2444" s="18" t="s">
        <v>28</v>
      </c>
      <c r="H2444" s="18" t="s">
        <v>4919</v>
      </c>
      <c r="I2444" s="20" t="s">
        <v>4970</v>
      </c>
      <c r="J2444" s="18" t="s">
        <v>58</v>
      </c>
      <c r="K2444" s="18" t="s">
        <v>24</v>
      </c>
      <c r="L2444" s="18" t="s">
        <v>25</v>
      </c>
      <c r="N2444" s="18" t="s">
        <v>154</v>
      </c>
    </row>
    <row r="2445" spans="1:14" ht="15" customHeight="1" x14ac:dyDescent="0.3">
      <c r="A2445" s="18" t="s">
        <v>4913</v>
      </c>
      <c r="B2445" s="19" t="s">
        <v>15</v>
      </c>
      <c r="C2445" s="18" t="s">
        <v>4914</v>
      </c>
      <c r="D2445" s="18" t="s">
        <v>116</v>
      </c>
      <c r="E2445" s="18" t="s">
        <v>117</v>
      </c>
      <c r="F2445" s="18" t="s">
        <v>4971</v>
      </c>
      <c r="G2445" s="18" t="s">
        <v>63</v>
      </c>
      <c r="H2445" s="18" t="s">
        <v>4919</v>
      </c>
      <c r="I2445" s="20" t="s">
        <v>4972</v>
      </c>
      <c r="J2445" s="18" t="s">
        <v>58</v>
      </c>
      <c r="K2445" s="18" t="s">
        <v>24</v>
      </c>
      <c r="L2445" s="18" t="s">
        <v>25</v>
      </c>
      <c r="N2445" s="18" t="s">
        <v>154</v>
      </c>
    </row>
    <row r="2446" spans="1:14" ht="15" customHeight="1" x14ac:dyDescent="0.3">
      <c r="A2446" s="18" t="s">
        <v>4913</v>
      </c>
      <c r="B2446" s="19" t="s">
        <v>15</v>
      </c>
      <c r="C2446" s="18" t="s">
        <v>4914</v>
      </c>
      <c r="D2446" s="18" t="s">
        <v>116</v>
      </c>
      <c r="E2446" s="18" t="s">
        <v>117</v>
      </c>
      <c r="F2446" s="18" t="s">
        <v>4973</v>
      </c>
      <c r="G2446" s="18" t="s">
        <v>913</v>
      </c>
      <c r="H2446" s="18" t="s">
        <v>4919</v>
      </c>
      <c r="I2446" s="20" t="s">
        <v>4974</v>
      </c>
      <c r="J2446" s="18" t="s">
        <v>58</v>
      </c>
      <c r="K2446" s="18" t="s">
        <v>24</v>
      </c>
      <c r="L2446" s="18" t="s">
        <v>25</v>
      </c>
      <c r="N2446" s="18" t="s">
        <v>154</v>
      </c>
    </row>
    <row r="2447" spans="1:14" ht="15" customHeight="1" x14ac:dyDescent="0.3">
      <c r="A2447" s="18" t="s">
        <v>4913</v>
      </c>
      <c r="B2447" s="19" t="s">
        <v>15</v>
      </c>
      <c r="C2447" s="18" t="s">
        <v>4914</v>
      </c>
      <c r="D2447" s="18" t="s">
        <v>116</v>
      </c>
      <c r="E2447" s="18" t="s">
        <v>117</v>
      </c>
      <c r="F2447" s="18" t="s">
        <v>4975</v>
      </c>
      <c r="G2447" s="18" t="s">
        <v>35</v>
      </c>
      <c r="H2447" s="18" t="s">
        <v>4919</v>
      </c>
      <c r="I2447" s="20" t="s">
        <v>4976</v>
      </c>
      <c r="J2447" s="18" t="s">
        <v>58</v>
      </c>
      <c r="K2447" s="18" t="s">
        <v>24</v>
      </c>
      <c r="L2447" s="18" t="s">
        <v>25</v>
      </c>
      <c r="N2447" s="18" t="s">
        <v>154</v>
      </c>
    </row>
    <row r="2448" spans="1:14" ht="15" customHeight="1" x14ac:dyDescent="0.3">
      <c r="A2448" s="18" t="s">
        <v>4913</v>
      </c>
      <c r="B2448" s="19" t="s">
        <v>15</v>
      </c>
      <c r="C2448" s="18" t="s">
        <v>4914</v>
      </c>
      <c r="D2448" s="18" t="s">
        <v>116</v>
      </c>
      <c r="E2448" s="18" t="s">
        <v>117</v>
      </c>
      <c r="F2448" s="18" t="s">
        <v>4977</v>
      </c>
      <c r="G2448" s="18" t="s">
        <v>47</v>
      </c>
      <c r="H2448" s="18" t="s">
        <v>4919</v>
      </c>
      <c r="I2448" s="20" t="s">
        <v>4978</v>
      </c>
      <c r="J2448" s="18" t="s">
        <v>58</v>
      </c>
      <c r="K2448" s="18" t="s">
        <v>24</v>
      </c>
      <c r="L2448" s="18" t="s">
        <v>25</v>
      </c>
      <c r="N2448" s="18" t="s">
        <v>154</v>
      </c>
    </row>
    <row r="2449" spans="1:14" ht="15" customHeight="1" x14ac:dyDescent="0.3">
      <c r="A2449" s="18" t="s">
        <v>4913</v>
      </c>
      <c r="B2449" s="19" t="s">
        <v>15</v>
      </c>
      <c r="C2449" s="18" t="s">
        <v>4914</v>
      </c>
      <c r="D2449" s="18" t="s">
        <v>116</v>
      </c>
      <c r="E2449" s="18" t="s">
        <v>117</v>
      </c>
      <c r="F2449" s="18" t="s">
        <v>4979</v>
      </c>
      <c r="G2449" s="18" t="s">
        <v>1634</v>
      </c>
      <c r="H2449" s="18" t="s">
        <v>4930</v>
      </c>
      <c r="I2449" s="20" t="s">
        <v>4980</v>
      </c>
      <c r="J2449" s="18" t="s">
        <v>58</v>
      </c>
      <c r="K2449" s="18" t="s">
        <v>24</v>
      </c>
      <c r="L2449" s="18" t="s">
        <v>25</v>
      </c>
      <c r="N2449" s="18" t="s">
        <v>154</v>
      </c>
    </row>
    <row r="2450" spans="1:14" ht="15" customHeight="1" x14ac:dyDescent="0.3">
      <c r="A2450" s="18" t="s">
        <v>4913</v>
      </c>
      <c r="B2450" s="19" t="s">
        <v>15</v>
      </c>
      <c r="C2450" s="18" t="s">
        <v>4914</v>
      </c>
      <c r="D2450" s="18" t="s">
        <v>116</v>
      </c>
      <c r="E2450" s="18" t="s">
        <v>117</v>
      </c>
      <c r="F2450" s="18" t="s">
        <v>4159</v>
      </c>
      <c r="G2450" s="18" t="s">
        <v>35</v>
      </c>
      <c r="H2450" s="18" t="s">
        <v>4919</v>
      </c>
      <c r="I2450" s="20" t="s">
        <v>4981</v>
      </c>
      <c r="J2450" s="18" t="s">
        <v>58</v>
      </c>
      <c r="K2450" s="18" t="s">
        <v>24</v>
      </c>
      <c r="L2450" s="18" t="s">
        <v>25</v>
      </c>
      <c r="N2450" s="18" t="s">
        <v>154</v>
      </c>
    </row>
    <row r="2451" spans="1:14" ht="15" customHeight="1" x14ac:dyDescent="0.3">
      <c r="A2451" s="18" t="s">
        <v>4913</v>
      </c>
      <c r="B2451" s="19" t="s">
        <v>15</v>
      </c>
      <c r="C2451" s="18" t="s">
        <v>4914</v>
      </c>
      <c r="D2451" s="18" t="s">
        <v>116</v>
      </c>
      <c r="E2451" s="18" t="s">
        <v>117</v>
      </c>
      <c r="F2451" s="18" t="s">
        <v>4982</v>
      </c>
      <c r="G2451" s="18" t="s">
        <v>207</v>
      </c>
      <c r="H2451" s="18" t="s">
        <v>4919</v>
      </c>
      <c r="I2451" s="20" t="s">
        <v>4983</v>
      </c>
      <c r="J2451" s="18" t="s">
        <v>58</v>
      </c>
      <c r="K2451" s="18" t="s">
        <v>24</v>
      </c>
      <c r="L2451" s="18" t="s">
        <v>25</v>
      </c>
      <c r="N2451" s="18" t="s">
        <v>154</v>
      </c>
    </row>
    <row r="2452" spans="1:14" ht="15" customHeight="1" x14ac:dyDescent="0.3">
      <c r="A2452" s="18" t="s">
        <v>4913</v>
      </c>
      <c r="B2452" s="19" t="s">
        <v>15</v>
      </c>
      <c r="C2452" s="18" t="s">
        <v>4914</v>
      </c>
      <c r="D2452" s="18" t="s">
        <v>116</v>
      </c>
      <c r="E2452" s="18" t="s">
        <v>117</v>
      </c>
      <c r="F2452" s="18" t="s">
        <v>4522</v>
      </c>
      <c r="G2452" s="18" t="s">
        <v>60</v>
      </c>
      <c r="H2452" s="18" t="s">
        <v>4919</v>
      </c>
      <c r="I2452" s="20" t="s">
        <v>4984</v>
      </c>
      <c r="J2452" s="18" t="s">
        <v>58</v>
      </c>
      <c r="K2452" s="18" t="s">
        <v>24</v>
      </c>
      <c r="L2452" s="18" t="s">
        <v>25</v>
      </c>
      <c r="N2452" s="18" t="s">
        <v>154</v>
      </c>
    </row>
    <row r="2453" spans="1:14" ht="15" customHeight="1" x14ac:dyDescent="0.3">
      <c r="A2453" s="18" t="s">
        <v>4913</v>
      </c>
      <c r="B2453" s="19" t="s">
        <v>15</v>
      </c>
      <c r="C2453" s="18" t="s">
        <v>4914</v>
      </c>
      <c r="D2453" s="18" t="s">
        <v>116</v>
      </c>
      <c r="E2453" s="18" t="s">
        <v>117</v>
      </c>
      <c r="F2453" s="18" t="s">
        <v>4985</v>
      </c>
      <c r="G2453" s="18" t="s">
        <v>60</v>
      </c>
      <c r="H2453" s="18" t="s">
        <v>4919</v>
      </c>
      <c r="I2453" s="20" t="s">
        <v>4986</v>
      </c>
      <c r="J2453" s="18" t="s">
        <v>58</v>
      </c>
      <c r="K2453" s="18" t="s">
        <v>24</v>
      </c>
      <c r="L2453" s="18" t="s">
        <v>25</v>
      </c>
      <c r="N2453" s="18" t="s">
        <v>154</v>
      </c>
    </row>
    <row r="2454" spans="1:14" ht="15" customHeight="1" x14ac:dyDescent="0.3">
      <c r="A2454" s="18" t="s">
        <v>4913</v>
      </c>
      <c r="B2454" s="19" t="s">
        <v>15</v>
      </c>
      <c r="C2454" s="18" t="s">
        <v>4914</v>
      </c>
      <c r="D2454" s="18" t="s">
        <v>116</v>
      </c>
      <c r="E2454" s="18" t="s">
        <v>117</v>
      </c>
      <c r="F2454" s="18" t="s">
        <v>4987</v>
      </c>
      <c r="G2454" s="18" t="s">
        <v>4988</v>
      </c>
      <c r="H2454" s="18" t="s">
        <v>4919</v>
      </c>
      <c r="I2454" s="20" t="s">
        <v>4989</v>
      </c>
      <c r="J2454" s="18" t="s">
        <v>58</v>
      </c>
      <c r="K2454" s="18" t="s">
        <v>24</v>
      </c>
      <c r="L2454" s="18" t="s">
        <v>25</v>
      </c>
      <c r="N2454" s="18" t="s">
        <v>154</v>
      </c>
    </row>
    <row r="2455" spans="1:14" ht="15" customHeight="1" x14ac:dyDescent="0.3">
      <c r="A2455" s="18" t="s">
        <v>4913</v>
      </c>
      <c r="B2455" s="19" t="s">
        <v>15</v>
      </c>
      <c r="C2455" s="18" t="s">
        <v>4914</v>
      </c>
      <c r="D2455" s="18" t="s">
        <v>116</v>
      </c>
      <c r="E2455" s="18" t="s">
        <v>117</v>
      </c>
      <c r="F2455" s="18" t="s">
        <v>4990</v>
      </c>
      <c r="G2455" s="18" t="s">
        <v>536</v>
      </c>
      <c r="H2455" s="18" t="s">
        <v>4919</v>
      </c>
      <c r="I2455" s="20" t="s">
        <v>4991</v>
      </c>
      <c r="J2455" s="18" t="s">
        <v>58</v>
      </c>
      <c r="K2455" s="18" t="s">
        <v>24</v>
      </c>
      <c r="L2455" s="18" t="s">
        <v>25</v>
      </c>
      <c r="N2455" s="18" t="s">
        <v>154</v>
      </c>
    </row>
    <row r="2456" spans="1:14" ht="15" customHeight="1" x14ac:dyDescent="0.3">
      <c r="A2456" s="18" t="s">
        <v>4913</v>
      </c>
      <c r="B2456" s="19" t="s">
        <v>15</v>
      </c>
      <c r="C2456" s="18" t="s">
        <v>4914</v>
      </c>
      <c r="D2456" s="18" t="s">
        <v>116</v>
      </c>
      <c r="E2456" s="18" t="s">
        <v>117</v>
      </c>
      <c r="F2456" s="18" t="s">
        <v>4992</v>
      </c>
      <c r="G2456" s="18" t="s">
        <v>1634</v>
      </c>
      <c r="H2456" s="18" t="s">
        <v>4919</v>
      </c>
      <c r="I2456" s="20" t="s">
        <v>4993</v>
      </c>
      <c r="J2456" s="18" t="s">
        <v>58</v>
      </c>
      <c r="K2456" s="18" t="s">
        <v>24</v>
      </c>
      <c r="L2456" s="18" t="s">
        <v>25</v>
      </c>
      <c r="N2456" s="18" t="s">
        <v>154</v>
      </c>
    </row>
    <row r="2457" spans="1:14" ht="15" customHeight="1" x14ac:dyDescent="0.3">
      <c r="A2457" s="18" t="s">
        <v>4913</v>
      </c>
      <c r="B2457" s="19" t="s">
        <v>15</v>
      </c>
      <c r="C2457" s="18" t="s">
        <v>4914</v>
      </c>
      <c r="D2457" s="18" t="s">
        <v>116</v>
      </c>
      <c r="E2457" s="18" t="s">
        <v>117</v>
      </c>
      <c r="F2457" s="18" t="s">
        <v>4994</v>
      </c>
      <c r="G2457" s="18" t="s">
        <v>212</v>
      </c>
      <c r="H2457" s="18" t="s">
        <v>4919</v>
      </c>
      <c r="I2457" s="20" t="s">
        <v>4995</v>
      </c>
      <c r="J2457" s="18" t="s">
        <v>58</v>
      </c>
      <c r="K2457" s="18" t="s">
        <v>24</v>
      </c>
      <c r="L2457" s="18" t="s">
        <v>25</v>
      </c>
      <c r="N2457" s="18" t="s">
        <v>154</v>
      </c>
    </row>
    <row r="2458" spans="1:14" ht="15" customHeight="1" x14ac:dyDescent="0.3">
      <c r="A2458" s="18" t="s">
        <v>4913</v>
      </c>
      <c r="B2458" s="19" t="s">
        <v>15</v>
      </c>
      <c r="C2458" s="18" t="s">
        <v>4914</v>
      </c>
      <c r="D2458" s="18" t="s">
        <v>116</v>
      </c>
      <c r="E2458" s="18" t="s">
        <v>117</v>
      </c>
      <c r="F2458" s="18" t="s">
        <v>4996</v>
      </c>
      <c r="G2458" s="18" t="s">
        <v>212</v>
      </c>
      <c r="H2458" s="18" t="s">
        <v>4919</v>
      </c>
      <c r="I2458" s="20" t="s">
        <v>4997</v>
      </c>
      <c r="J2458" s="18" t="s">
        <v>58</v>
      </c>
      <c r="K2458" s="18" t="s">
        <v>24</v>
      </c>
      <c r="L2458" s="18" t="s">
        <v>25</v>
      </c>
      <c r="N2458" s="18" t="s">
        <v>154</v>
      </c>
    </row>
    <row r="2459" spans="1:14" ht="15" customHeight="1" x14ac:dyDescent="0.3">
      <c r="A2459" s="18" t="s">
        <v>4913</v>
      </c>
      <c r="B2459" s="19" t="s">
        <v>15</v>
      </c>
      <c r="C2459" s="18" t="s">
        <v>4914</v>
      </c>
      <c r="D2459" s="18" t="s">
        <v>116</v>
      </c>
      <c r="E2459" s="18" t="s">
        <v>117</v>
      </c>
      <c r="F2459" s="18" t="s">
        <v>4998</v>
      </c>
      <c r="G2459" s="18" t="s">
        <v>63</v>
      </c>
      <c r="H2459" s="18" t="s">
        <v>4919</v>
      </c>
      <c r="I2459" s="20" t="s">
        <v>4999</v>
      </c>
      <c r="J2459" s="18" t="s">
        <v>58</v>
      </c>
      <c r="K2459" s="18" t="s">
        <v>24</v>
      </c>
      <c r="L2459" s="18" t="s">
        <v>25</v>
      </c>
      <c r="N2459" s="18" t="s">
        <v>154</v>
      </c>
    </row>
    <row r="2460" spans="1:14" ht="15" customHeight="1" x14ac:dyDescent="0.3">
      <c r="A2460" s="18" t="s">
        <v>4913</v>
      </c>
      <c r="B2460" s="19" t="s">
        <v>15</v>
      </c>
      <c r="C2460" s="18" t="s">
        <v>4914</v>
      </c>
      <c r="D2460" s="18" t="s">
        <v>116</v>
      </c>
      <c r="E2460" s="18" t="s">
        <v>117</v>
      </c>
      <c r="F2460" s="18" t="s">
        <v>5000</v>
      </c>
      <c r="G2460" s="18" t="s">
        <v>47</v>
      </c>
      <c r="H2460" s="18" t="s">
        <v>4919</v>
      </c>
      <c r="I2460" s="20" t="s">
        <v>5001</v>
      </c>
      <c r="J2460" s="18" t="s">
        <v>58</v>
      </c>
      <c r="K2460" s="18" t="s">
        <v>24</v>
      </c>
      <c r="L2460" s="18" t="s">
        <v>25</v>
      </c>
      <c r="N2460" s="18" t="s">
        <v>154</v>
      </c>
    </row>
    <row r="2461" spans="1:14" ht="15" customHeight="1" x14ac:dyDescent="0.3">
      <c r="A2461" s="18" t="s">
        <v>4913</v>
      </c>
      <c r="B2461" s="19" t="s">
        <v>15</v>
      </c>
      <c r="C2461" s="18" t="s">
        <v>4914</v>
      </c>
      <c r="D2461" s="18" t="s">
        <v>116</v>
      </c>
      <c r="E2461" s="18" t="s">
        <v>117</v>
      </c>
      <c r="F2461" s="18" t="s">
        <v>5002</v>
      </c>
      <c r="G2461" s="18" t="s">
        <v>1204</v>
      </c>
      <c r="H2461" s="18" t="s">
        <v>4919</v>
      </c>
      <c r="I2461" s="20" t="s">
        <v>5003</v>
      </c>
      <c r="J2461" s="18" t="s">
        <v>58</v>
      </c>
      <c r="K2461" s="18" t="s">
        <v>24</v>
      </c>
      <c r="L2461" s="18" t="s">
        <v>25</v>
      </c>
      <c r="N2461" s="18" t="s">
        <v>154</v>
      </c>
    </row>
    <row r="2462" spans="1:14" ht="15" customHeight="1" x14ac:dyDescent="0.3">
      <c r="A2462" s="18" t="s">
        <v>4913</v>
      </c>
      <c r="B2462" s="19" t="s">
        <v>15</v>
      </c>
      <c r="C2462" s="18" t="s">
        <v>4914</v>
      </c>
      <c r="D2462" s="18" t="s">
        <v>116</v>
      </c>
      <c r="E2462" s="18" t="s">
        <v>117</v>
      </c>
      <c r="F2462" s="18" t="s">
        <v>5004</v>
      </c>
      <c r="G2462" s="18" t="s">
        <v>60</v>
      </c>
      <c r="H2462" s="18" t="s">
        <v>4919</v>
      </c>
      <c r="I2462" s="20" t="s">
        <v>5005</v>
      </c>
      <c r="J2462" s="18" t="s">
        <v>58</v>
      </c>
      <c r="K2462" s="18" t="s">
        <v>24</v>
      </c>
      <c r="L2462" s="18" t="s">
        <v>25</v>
      </c>
      <c r="N2462" s="18" t="s">
        <v>154</v>
      </c>
    </row>
    <row r="2463" spans="1:14" ht="15" customHeight="1" x14ac:dyDescent="0.3">
      <c r="A2463" s="18" t="s">
        <v>4913</v>
      </c>
      <c r="B2463" s="19" t="s">
        <v>15</v>
      </c>
      <c r="C2463" s="18" t="s">
        <v>4914</v>
      </c>
      <c r="D2463" s="18" t="s">
        <v>116</v>
      </c>
      <c r="E2463" s="18" t="s">
        <v>117</v>
      </c>
      <c r="F2463" s="18" t="s">
        <v>5006</v>
      </c>
      <c r="G2463" s="18" t="s">
        <v>1075</v>
      </c>
      <c r="H2463" s="18" t="s">
        <v>4919</v>
      </c>
      <c r="I2463" s="20" t="s">
        <v>5007</v>
      </c>
      <c r="J2463" s="18" t="s">
        <v>58</v>
      </c>
      <c r="K2463" s="18" t="s">
        <v>24</v>
      </c>
      <c r="L2463" s="18" t="s">
        <v>25</v>
      </c>
      <c r="N2463" s="18" t="s">
        <v>154</v>
      </c>
    </row>
    <row r="2464" spans="1:14" ht="15" customHeight="1" x14ac:dyDescent="0.3">
      <c r="A2464" s="18" t="s">
        <v>4913</v>
      </c>
      <c r="B2464" s="19" t="s">
        <v>15</v>
      </c>
      <c r="C2464" s="18" t="s">
        <v>4914</v>
      </c>
      <c r="D2464" s="18" t="s">
        <v>116</v>
      </c>
      <c r="E2464" s="18" t="s">
        <v>117</v>
      </c>
      <c r="F2464" s="18" t="s">
        <v>5008</v>
      </c>
      <c r="G2464" s="18" t="s">
        <v>47</v>
      </c>
      <c r="H2464" s="18" t="s">
        <v>4919</v>
      </c>
      <c r="I2464" s="20" t="s">
        <v>5009</v>
      </c>
      <c r="J2464" s="18" t="s">
        <v>58</v>
      </c>
      <c r="K2464" s="18" t="s">
        <v>24</v>
      </c>
      <c r="L2464" s="18" t="s">
        <v>25</v>
      </c>
      <c r="N2464" s="18" t="s">
        <v>154</v>
      </c>
    </row>
    <row r="2465" spans="1:14" ht="15" customHeight="1" x14ac:dyDescent="0.3">
      <c r="A2465" s="18" t="s">
        <v>4913</v>
      </c>
      <c r="B2465" s="19" t="s">
        <v>15</v>
      </c>
      <c r="C2465" s="18" t="s">
        <v>4914</v>
      </c>
      <c r="D2465" s="18" t="s">
        <v>116</v>
      </c>
      <c r="E2465" s="18" t="s">
        <v>117</v>
      </c>
      <c r="F2465" s="18" t="s">
        <v>2020</v>
      </c>
      <c r="G2465" s="18" t="s">
        <v>619</v>
      </c>
      <c r="H2465" s="18" t="s">
        <v>4919</v>
      </c>
      <c r="I2465" s="20" t="s">
        <v>5010</v>
      </c>
      <c r="J2465" s="18" t="s">
        <v>58</v>
      </c>
      <c r="K2465" s="18" t="s">
        <v>24</v>
      </c>
      <c r="L2465" s="18" t="s">
        <v>25</v>
      </c>
      <c r="N2465" s="18" t="s">
        <v>154</v>
      </c>
    </row>
    <row r="2466" spans="1:14" ht="15" customHeight="1" x14ac:dyDescent="0.3">
      <c r="A2466" s="18" t="s">
        <v>4913</v>
      </c>
      <c r="B2466" s="19" t="s">
        <v>15</v>
      </c>
      <c r="C2466" s="18" t="s">
        <v>4914</v>
      </c>
      <c r="D2466" s="18" t="s">
        <v>116</v>
      </c>
      <c r="E2466" s="18" t="s">
        <v>117</v>
      </c>
      <c r="F2466" s="18" t="s">
        <v>2523</v>
      </c>
      <c r="G2466" s="18" t="s">
        <v>1075</v>
      </c>
      <c r="H2466" s="18" t="s">
        <v>4919</v>
      </c>
      <c r="I2466" s="20" t="s">
        <v>5011</v>
      </c>
      <c r="J2466" s="18" t="s">
        <v>58</v>
      </c>
      <c r="K2466" s="18" t="s">
        <v>24</v>
      </c>
      <c r="L2466" s="18" t="s">
        <v>25</v>
      </c>
      <c r="N2466" s="18" t="s">
        <v>154</v>
      </c>
    </row>
    <row r="2467" spans="1:14" ht="15" customHeight="1" x14ac:dyDescent="0.3">
      <c r="A2467" s="18" t="s">
        <v>4913</v>
      </c>
      <c r="B2467" s="19" t="s">
        <v>15</v>
      </c>
      <c r="C2467" s="18" t="s">
        <v>4914</v>
      </c>
      <c r="D2467" s="18" t="s">
        <v>116</v>
      </c>
      <c r="E2467" s="18" t="s">
        <v>117</v>
      </c>
      <c r="F2467" s="18" t="s">
        <v>5012</v>
      </c>
      <c r="G2467" s="18" t="s">
        <v>47</v>
      </c>
      <c r="H2467" s="18" t="s">
        <v>4919</v>
      </c>
      <c r="I2467" s="20" t="s">
        <v>5013</v>
      </c>
      <c r="J2467" s="18" t="s">
        <v>58</v>
      </c>
      <c r="K2467" s="18" t="s">
        <v>24</v>
      </c>
      <c r="L2467" s="18" t="s">
        <v>25</v>
      </c>
      <c r="N2467" s="18" t="s">
        <v>154</v>
      </c>
    </row>
    <row r="2468" spans="1:14" ht="15" customHeight="1" x14ac:dyDescent="0.3">
      <c r="A2468" s="18" t="s">
        <v>4913</v>
      </c>
      <c r="B2468" s="19" t="s">
        <v>15</v>
      </c>
      <c r="C2468" s="18" t="s">
        <v>4914</v>
      </c>
      <c r="D2468" s="18" t="s">
        <v>116</v>
      </c>
      <c r="E2468" s="18" t="s">
        <v>117</v>
      </c>
      <c r="F2468" s="18" t="s">
        <v>5014</v>
      </c>
      <c r="G2468" s="18" t="s">
        <v>35</v>
      </c>
      <c r="H2468" s="18" t="s">
        <v>4919</v>
      </c>
      <c r="I2468" s="20" t="s">
        <v>5015</v>
      </c>
      <c r="J2468" s="18" t="s">
        <v>58</v>
      </c>
      <c r="K2468" s="18" t="s">
        <v>24</v>
      </c>
      <c r="L2468" s="18" t="s">
        <v>25</v>
      </c>
      <c r="N2468" s="18" t="s">
        <v>154</v>
      </c>
    </row>
    <row r="2469" spans="1:14" ht="15" customHeight="1" x14ac:dyDescent="0.3">
      <c r="A2469" s="18" t="s">
        <v>4913</v>
      </c>
      <c r="B2469" s="19" t="s">
        <v>15</v>
      </c>
      <c r="C2469" s="18" t="s">
        <v>4914</v>
      </c>
      <c r="D2469" s="18" t="s">
        <v>116</v>
      </c>
      <c r="E2469" s="18" t="s">
        <v>117</v>
      </c>
      <c r="F2469" s="18" t="s">
        <v>4178</v>
      </c>
      <c r="G2469" s="18" t="s">
        <v>212</v>
      </c>
      <c r="H2469" s="18" t="s">
        <v>4919</v>
      </c>
      <c r="I2469" s="20" t="s">
        <v>5016</v>
      </c>
      <c r="J2469" s="18" t="s">
        <v>58</v>
      </c>
      <c r="K2469" s="18" t="s">
        <v>24</v>
      </c>
      <c r="L2469" s="18" t="s">
        <v>25</v>
      </c>
      <c r="N2469" s="18" t="s">
        <v>154</v>
      </c>
    </row>
    <row r="2470" spans="1:14" ht="15" customHeight="1" x14ac:dyDescent="0.3">
      <c r="A2470" s="18" t="s">
        <v>4913</v>
      </c>
      <c r="B2470" s="19" t="s">
        <v>15</v>
      </c>
      <c r="C2470" s="18" t="s">
        <v>4914</v>
      </c>
      <c r="D2470" s="18" t="s">
        <v>116</v>
      </c>
      <c r="E2470" s="18" t="s">
        <v>117</v>
      </c>
      <c r="F2470" s="18" t="s">
        <v>5017</v>
      </c>
      <c r="G2470" s="18" t="s">
        <v>5018</v>
      </c>
      <c r="H2470" s="18" t="s">
        <v>4919</v>
      </c>
      <c r="I2470" s="20" t="s">
        <v>5019</v>
      </c>
      <c r="J2470" s="18" t="s">
        <v>58</v>
      </c>
      <c r="K2470" s="18" t="s">
        <v>24</v>
      </c>
      <c r="L2470" s="18" t="s">
        <v>25</v>
      </c>
      <c r="N2470" s="18" t="s">
        <v>154</v>
      </c>
    </row>
    <row r="2471" spans="1:14" ht="15" customHeight="1" x14ac:dyDescent="0.3">
      <c r="A2471" s="18" t="s">
        <v>4913</v>
      </c>
      <c r="B2471" s="19" t="s">
        <v>15</v>
      </c>
      <c r="C2471" s="18" t="s">
        <v>4914</v>
      </c>
      <c r="D2471" s="18" t="s">
        <v>116</v>
      </c>
      <c r="E2471" s="18" t="s">
        <v>117</v>
      </c>
      <c r="F2471" s="18" t="s">
        <v>5020</v>
      </c>
      <c r="G2471" s="18" t="s">
        <v>47</v>
      </c>
      <c r="H2471" s="18" t="s">
        <v>4919</v>
      </c>
      <c r="I2471" s="20" t="s">
        <v>5021</v>
      </c>
      <c r="J2471" s="18" t="s">
        <v>58</v>
      </c>
      <c r="K2471" s="18" t="s">
        <v>24</v>
      </c>
      <c r="L2471" s="18" t="s">
        <v>25</v>
      </c>
      <c r="N2471" s="18" t="s">
        <v>154</v>
      </c>
    </row>
    <row r="2472" spans="1:14" ht="15" customHeight="1" x14ac:dyDescent="0.3">
      <c r="A2472" s="18" t="s">
        <v>4913</v>
      </c>
      <c r="B2472" s="19" t="s">
        <v>15</v>
      </c>
      <c r="C2472" s="18" t="s">
        <v>4914</v>
      </c>
      <c r="D2472" s="18" t="s">
        <v>116</v>
      </c>
      <c r="E2472" s="18" t="s">
        <v>117</v>
      </c>
      <c r="F2472" s="18" t="s">
        <v>1653</v>
      </c>
      <c r="G2472" s="18" t="s">
        <v>1019</v>
      </c>
      <c r="H2472" s="18" t="s">
        <v>4919</v>
      </c>
      <c r="I2472" s="20" t="s">
        <v>5022</v>
      </c>
      <c r="J2472" s="18" t="s">
        <v>58</v>
      </c>
      <c r="K2472" s="18" t="s">
        <v>24</v>
      </c>
      <c r="L2472" s="18" t="s">
        <v>25</v>
      </c>
      <c r="N2472" s="18" t="s">
        <v>154</v>
      </c>
    </row>
    <row r="2473" spans="1:14" ht="15" customHeight="1" x14ac:dyDescent="0.3">
      <c r="A2473" s="18" t="s">
        <v>4913</v>
      </c>
      <c r="B2473" s="19" t="s">
        <v>15</v>
      </c>
      <c r="C2473" s="18" t="s">
        <v>4914</v>
      </c>
      <c r="D2473" s="18" t="s">
        <v>116</v>
      </c>
      <c r="E2473" s="18" t="s">
        <v>117</v>
      </c>
      <c r="F2473" s="18" t="s">
        <v>5023</v>
      </c>
      <c r="G2473" s="18" t="s">
        <v>536</v>
      </c>
      <c r="H2473" s="18" t="s">
        <v>4919</v>
      </c>
      <c r="I2473" s="20" t="s">
        <v>5024</v>
      </c>
      <c r="J2473" s="18" t="s">
        <v>58</v>
      </c>
      <c r="K2473" s="18" t="s">
        <v>24</v>
      </c>
      <c r="L2473" s="18" t="s">
        <v>25</v>
      </c>
      <c r="N2473" s="18" t="s">
        <v>154</v>
      </c>
    </row>
    <row r="2474" spans="1:14" ht="15" customHeight="1" x14ac:dyDescent="0.3">
      <c r="A2474" s="18" t="s">
        <v>4913</v>
      </c>
      <c r="B2474" s="19" t="s">
        <v>15</v>
      </c>
      <c r="C2474" s="18" t="s">
        <v>4914</v>
      </c>
      <c r="D2474" s="18" t="s">
        <v>116</v>
      </c>
      <c r="E2474" s="18" t="s">
        <v>117</v>
      </c>
      <c r="F2474" s="18" t="s">
        <v>5025</v>
      </c>
      <c r="G2474" s="18" t="s">
        <v>536</v>
      </c>
      <c r="H2474" s="18" t="s">
        <v>4919</v>
      </c>
      <c r="I2474" s="20" t="s">
        <v>5026</v>
      </c>
      <c r="J2474" s="18" t="s">
        <v>58</v>
      </c>
      <c r="K2474" s="18" t="s">
        <v>24</v>
      </c>
      <c r="L2474" s="18" t="s">
        <v>25</v>
      </c>
      <c r="N2474" s="18" t="s">
        <v>154</v>
      </c>
    </row>
    <row r="2475" spans="1:14" ht="15" customHeight="1" x14ac:dyDescent="0.3">
      <c r="A2475" s="18" t="s">
        <v>4913</v>
      </c>
      <c r="B2475" s="19" t="s">
        <v>15</v>
      </c>
      <c r="C2475" s="18" t="s">
        <v>2519</v>
      </c>
      <c r="D2475" s="18" t="s">
        <v>116</v>
      </c>
      <c r="E2475" s="18" t="s">
        <v>18</v>
      </c>
      <c r="F2475" s="18" t="s">
        <v>3128</v>
      </c>
      <c r="G2475" s="18" t="s">
        <v>41</v>
      </c>
      <c r="H2475" s="18" t="s">
        <v>4954</v>
      </c>
      <c r="I2475" s="20" t="s">
        <v>5027</v>
      </c>
      <c r="J2475" s="18" t="s">
        <v>30</v>
      </c>
      <c r="K2475" s="18" t="s">
        <v>24</v>
      </c>
      <c r="L2475" s="18" t="s">
        <v>25</v>
      </c>
      <c r="N2475" s="18" t="s">
        <v>973</v>
      </c>
    </row>
    <row r="2476" spans="1:14" ht="15" customHeight="1" x14ac:dyDescent="0.3">
      <c r="A2476" s="18" t="s">
        <v>4913</v>
      </c>
      <c r="B2476" s="19" t="s">
        <v>15</v>
      </c>
      <c r="C2476" s="18" t="s">
        <v>4914</v>
      </c>
      <c r="D2476" s="18" t="s">
        <v>116</v>
      </c>
      <c r="E2476" s="18" t="s">
        <v>18</v>
      </c>
      <c r="F2476" s="18" t="s">
        <v>1806</v>
      </c>
      <c r="G2476" s="18" t="s">
        <v>85</v>
      </c>
      <c r="H2476" s="18" t="s">
        <v>5028</v>
      </c>
      <c r="I2476" s="20" t="s">
        <v>5029</v>
      </c>
      <c r="J2476" s="18" t="s">
        <v>30</v>
      </c>
      <c r="K2476" s="18" t="s">
        <v>24</v>
      </c>
      <c r="L2476" s="18" t="s">
        <v>25</v>
      </c>
      <c r="N2476" s="18" t="s">
        <v>154</v>
      </c>
    </row>
    <row r="2477" spans="1:14" ht="15" customHeight="1" x14ac:dyDescent="0.3">
      <c r="A2477" s="18" t="s">
        <v>4913</v>
      </c>
      <c r="B2477" s="19" t="s">
        <v>15</v>
      </c>
      <c r="C2477" s="18" t="s">
        <v>4914</v>
      </c>
      <c r="D2477" s="18" t="s">
        <v>116</v>
      </c>
      <c r="E2477" s="18" t="s">
        <v>18</v>
      </c>
      <c r="F2477" s="18" t="s">
        <v>5030</v>
      </c>
      <c r="G2477" s="18" t="s">
        <v>160</v>
      </c>
      <c r="H2477" s="18" t="s">
        <v>5031</v>
      </c>
      <c r="I2477" s="20" t="s">
        <v>5032</v>
      </c>
      <c r="J2477" s="18" t="s">
        <v>30</v>
      </c>
      <c r="K2477" s="18" t="s">
        <v>24</v>
      </c>
      <c r="L2477" s="18" t="s">
        <v>25</v>
      </c>
      <c r="N2477" s="18" t="s">
        <v>154</v>
      </c>
    </row>
    <row r="2478" spans="1:14" ht="15" customHeight="1" x14ac:dyDescent="0.3">
      <c r="A2478" s="18" t="s">
        <v>4913</v>
      </c>
      <c r="B2478" s="19" t="s">
        <v>15</v>
      </c>
      <c r="C2478" s="18" t="s">
        <v>4914</v>
      </c>
      <c r="D2478" s="18" t="s">
        <v>116</v>
      </c>
      <c r="E2478" s="18" t="s">
        <v>18</v>
      </c>
      <c r="F2478" s="18" t="s">
        <v>2587</v>
      </c>
      <c r="G2478" s="18" t="s">
        <v>28</v>
      </c>
      <c r="H2478" s="18" t="s">
        <v>5031</v>
      </c>
      <c r="I2478" s="20" t="s">
        <v>5033</v>
      </c>
      <c r="J2478" s="18" t="s">
        <v>30</v>
      </c>
      <c r="K2478" s="18" t="s">
        <v>24</v>
      </c>
      <c r="L2478" s="18" t="s">
        <v>25</v>
      </c>
      <c r="N2478" s="18" t="s">
        <v>154</v>
      </c>
    </row>
    <row r="2479" spans="1:14" ht="15" customHeight="1" x14ac:dyDescent="0.3">
      <c r="A2479" s="18" t="s">
        <v>4913</v>
      </c>
      <c r="B2479" s="19" t="s">
        <v>15</v>
      </c>
      <c r="C2479" s="18" t="s">
        <v>4914</v>
      </c>
      <c r="D2479" s="18" t="s">
        <v>116</v>
      </c>
      <c r="E2479" s="18" t="s">
        <v>18</v>
      </c>
      <c r="F2479" s="18" t="s">
        <v>3148</v>
      </c>
      <c r="G2479" s="18" t="s">
        <v>28</v>
      </c>
      <c r="H2479" s="18" t="s">
        <v>5031</v>
      </c>
      <c r="I2479" s="20" t="s">
        <v>5034</v>
      </c>
      <c r="J2479" s="18" t="s">
        <v>30</v>
      </c>
      <c r="K2479" s="18" t="s">
        <v>24</v>
      </c>
      <c r="L2479" s="18" t="s">
        <v>25</v>
      </c>
      <c r="N2479" s="18" t="s">
        <v>154</v>
      </c>
    </row>
    <row r="2480" spans="1:14" ht="15" customHeight="1" x14ac:dyDescent="0.3">
      <c r="A2480" s="18" t="s">
        <v>4913</v>
      </c>
      <c r="B2480" s="19" t="s">
        <v>15</v>
      </c>
      <c r="C2480" s="18" t="s">
        <v>5035</v>
      </c>
      <c r="D2480" s="18" t="s">
        <v>116</v>
      </c>
      <c r="E2480" s="18" t="s">
        <v>18</v>
      </c>
      <c r="F2480" s="18" t="s">
        <v>1019</v>
      </c>
      <c r="G2480" s="18" t="s">
        <v>1019</v>
      </c>
      <c r="H2480" s="18" t="s">
        <v>5036</v>
      </c>
      <c r="I2480" s="20" t="s">
        <v>5037</v>
      </c>
      <c r="J2480" s="18" t="s">
        <v>30</v>
      </c>
      <c r="K2480" s="18" t="s">
        <v>24</v>
      </c>
      <c r="L2480" s="18" t="s">
        <v>25</v>
      </c>
      <c r="N2480" s="18" t="s">
        <v>154</v>
      </c>
    </row>
    <row r="2481" spans="1:14" ht="15" customHeight="1" x14ac:dyDescent="0.3">
      <c r="A2481" s="18" t="s">
        <v>4913</v>
      </c>
      <c r="B2481" s="19" t="s">
        <v>15</v>
      </c>
      <c r="C2481" s="18" t="s">
        <v>4914</v>
      </c>
      <c r="D2481" s="18" t="s">
        <v>116</v>
      </c>
      <c r="E2481" s="18" t="s">
        <v>18</v>
      </c>
      <c r="F2481" s="18" t="s">
        <v>1244</v>
      </c>
      <c r="G2481" s="18" t="s">
        <v>1204</v>
      </c>
      <c r="H2481" s="18" t="s">
        <v>5038</v>
      </c>
      <c r="I2481" s="20" t="s">
        <v>5039</v>
      </c>
      <c r="J2481" s="18" t="s">
        <v>30</v>
      </c>
      <c r="K2481" s="18" t="s">
        <v>24</v>
      </c>
      <c r="L2481" s="18" t="s">
        <v>25</v>
      </c>
      <c r="N2481" s="18" t="s">
        <v>154</v>
      </c>
    </row>
    <row r="2482" spans="1:14" ht="15" customHeight="1" x14ac:dyDescent="0.3">
      <c r="A2482" s="18" t="s">
        <v>4913</v>
      </c>
      <c r="B2482" s="19" t="s">
        <v>15</v>
      </c>
      <c r="C2482" s="18" t="s">
        <v>4914</v>
      </c>
      <c r="D2482" s="18" t="s">
        <v>116</v>
      </c>
      <c r="E2482" s="18" t="s">
        <v>18</v>
      </c>
      <c r="F2482" s="18" t="s">
        <v>5040</v>
      </c>
      <c r="G2482" s="18" t="s">
        <v>47</v>
      </c>
      <c r="H2482" s="18" t="s">
        <v>5041</v>
      </c>
      <c r="I2482" s="20" t="s">
        <v>5042</v>
      </c>
      <c r="J2482" s="18" t="s">
        <v>30</v>
      </c>
      <c r="K2482" s="18" t="s">
        <v>24</v>
      </c>
      <c r="L2482" s="18" t="s">
        <v>25</v>
      </c>
      <c r="N2482" s="18" t="s">
        <v>154</v>
      </c>
    </row>
    <row r="2483" spans="1:14" ht="15" customHeight="1" x14ac:dyDescent="0.3">
      <c r="A2483" s="18" t="s">
        <v>4913</v>
      </c>
      <c r="B2483" s="19" t="s">
        <v>15</v>
      </c>
      <c r="C2483" s="18" t="s">
        <v>4914</v>
      </c>
      <c r="D2483" s="18" t="s">
        <v>116</v>
      </c>
      <c r="E2483" s="18" t="s">
        <v>18</v>
      </c>
      <c r="F2483" s="18" t="s">
        <v>5043</v>
      </c>
      <c r="G2483" s="18" t="s">
        <v>47</v>
      </c>
      <c r="H2483" s="18" t="s">
        <v>5041</v>
      </c>
      <c r="I2483" s="20" t="s">
        <v>5044</v>
      </c>
      <c r="J2483" s="18" t="s">
        <v>30</v>
      </c>
      <c r="K2483" s="18" t="s">
        <v>24</v>
      </c>
      <c r="L2483" s="18" t="s">
        <v>25</v>
      </c>
      <c r="N2483" s="18" t="s">
        <v>154</v>
      </c>
    </row>
    <row r="2484" spans="1:14" ht="15" customHeight="1" x14ac:dyDescent="0.3">
      <c r="A2484" s="18" t="s">
        <v>4913</v>
      </c>
      <c r="B2484" s="19" t="s">
        <v>15</v>
      </c>
      <c r="C2484" s="18" t="s">
        <v>4914</v>
      </c>
      <c r="D2484" s="18" t="s">
        <v>116</v>
      </c>
      <c r="E2484" s="18" t="s">
        <v>18</v>
      </c>
      <c r="F2484" s="18" t="s">
        <v>5045</v>
      </c>
      <c r="G2484" s="18" t="s">
        <v>47</v>
      </c>
      <c r="H2484" s="18" t="s">
        <v>5041</v>
      </c>
      <c r="I2484" s="20" t="s">
        <v>5046</v>
      </c>
      <c r="J2484" s="18" t="s">
        <v>30</v>
      </c>
      <c r="K2484" s="18" t="s">
        <v>24</v>
      </c>
      <c r="L2484" s="18" t="s">
        <v>25</v>
      </c>
      <c r="N2484" s="18" t="s">
        <v>154</v>
      </c>
    </row>
    <row r="2485" spans="1:14" ht="15" customHeight="1" x14ac:dyDescent="0.3">
      <c r="A2485" s="18" t="s">
        <v>4913</v>
      </c>
      <c r="B2485" s="19" t="s">
        <v>15</v>
      </c>
      <c r="C2485" s="18" t="s">
        <v>4914</v>
      </c>
      <c r="D2485" s="18" t="s">
        <v>116</v>
      </c>
      <c r="E2485" s="18" t="s">
        <v>18</v>
      </c>
      <c r="F2485" s="18" t="s">
        <v>1253</v>
      </c>
      <c r="G2485" s="18" t="s">
        <v>63</v>
      </c>
      <c r="H2485" s="18" t="s">
        <v>5041</v>
      </c>
      <c r="I2485" s="20" t="s">
        <v>5047</v>
      </c>
      <c r="J2485" s="18" t="s">
        <v>30</v>
      </c>
      <c r="K2485" s="18" t="s">
        <v>24</v>
      </c>
      <c r="L2485" s="18" t="s">
        <v>25</v>
      </c>
      <c r="N2485" s="18" t="s">
        <v>154</v>
      </c>
    </row>
    <row r="2486" spans="1:14" ht="15" customHeight="1" x14ac:dyDescent="0.3">
      <c r="A2486" s="18" t="s">
        <v>4913</v>
      </c>
      <c r="B2486" s="19" t="s">
        <v>15</v>
      </c>
      <c r="C2486" s="18" t="s">
        <v>4914</v>
      </c>
      <c r="D2486" s="18" t="s">
        <v>116</v>
      </c>
      <c r="E2486" s="18" t="s">
        <v>18</v>
      </c>
      <c r="F2486" s="18" t="s">
        <v>5048</v>
      </c>
      <c r="G2486" s="18" t="s">
        <v>47</v>
      </c>
      <c r="H2486" s="18" t="s">
        <v>5041</v>
      </c>
      <c r="I2486" s="20" t="s">
        <v>5049</v>
      </c>
      <c r="J2486" s="18" t="s">
        <v>30</v>
      </c>
      <c r="K2486" s="18" t="s">
        <v>24</v>
      </c>
      <c r="L2486" s="18" t="s">
        <v>25</v>
      </c>
      <c r="N2486" s="18" t="s">
        <v>154</v>
      </c>
    </row>
    <row r="2487" spans="1:14" ht="15" customHeight="1" x14ac:dyDescent="0.3">
      <c r="A2487" s="18" t="s">
        <v>4913</v>
      </c>
      <c r="B2487" s="19" t="s">
        <v>15</v>
      </c>
      <c r="C2487" s="18" t="s">
        <v>4914</v>
      </c>
      <c r="D2487" s="18" t="s">
        <v>116</v>
      </c>
      <c r="E2487" s="18" t="s">
        <v>18</v>
      </c>
      <c r="F2487" s="18" t="s">
        <v>5050</v>
      </c>
      <c r="G2487" s="18" t="s">
        <v>564</v>
      </c>
      <c r="H2487" s="18" t="s">
        <v>5051</v>
      </c>
      <c r="I2487" s="20" t="s">
        <v>5052</v>
      </c>
      <c r="J2487" s="18" t="s">
        <v>30</v>
      </c>
      <c r="K2487" s="18" t="s">
        <v>24</v>
      </c>
      <c r="L2487" s="18" t="s">
        <v>25</v>
      </c>
      <c r="N2487" s="18" t="s">
        <v>154</v>
      </c>
    </row>
    <row r="2488" spans="1:14" ht="15" customHeight="1" x14ac:dyDescent="0.3">
      <c r="A2488" s="18" t="s">
        <v>4913</v>
      </c>
      <c r="B2488" s="19" t="s">
        <v>15</v>
      </c>
      <c r="C2488" s="18" t="s">
        <v>4914</v>
      </c>
      <c r="D2488" s="18" t="s">
        <v>116</v>
      </c>
      <c r="E2488" s="18" t="s">
        <v>18</v>
      </c>
      <c r="F2488" s="18" t="s">
        <v>3398</v>
      </c>
      <c r="G2488" s="18" t="s">
        <v>85</v>
      </c>
      <c r="H2488" s="18" t="s">
        <v>5051</v>
      </c>
      <c r="I2488" s="20" t="s">
        <v>5053</v>
      </c>
      <c r="J2488" s="18" t="s">
        <v>30</v>
      </c>
      <c r="K2488" s="18" t="s">
        <v>24</v>
      </c>
      <c r="L2488" s="18" t="s">
        <v>25</v>
      </c>
      <c r="N2488" s="18" t="s">
        <v>154</v>
      </c>
    </row>
    <row r="2489" spans="1:14" ht="15" customHeight="1" x14ac:dyDescent="0.3">
      <c r="A2489" s="18" t="s">
        <v>4913</v>
      </c>
      <c r="B2489" s="19" t="s">
        <v>15</v>
      </c>
      <c r="C2489" s="18" t="s">
        <v>4914</v>
      </c>
      <c r="D2489" s="18" t="s">
        <v>116</v>
      </c>
      <c r="E2489" s="18" t="s">
        <v>18</v>
      </c>
      <c r="F2489" s="18" t="s">
        <v>5054</v>
      </c>
      <c r="G2489" s="18" t="s">
        <v>1634</v>
      </c>
      <c r="H2489" s="18" t="s">
        <v>5055</v>
      </c>
      <c r="I2489" s="20" t="s">
        <v>5056</v>
      </c>
      <c r="J2489" s="18" t="s">
        <v>30</v>
      </c>
      <c r="K2489" s="18" t="s">
        <v>24</v>
      </c>
      <c r="L2489" s="18" t="s">
        <v>25</v>
      </c>
      <c r="N2489" s="18" t="s">
        <v>154</v>
      </c>
    </row>
    <row r="2490" spans="1:14" ht="15" customHeight="1" x14ac:dyDescent="0.3">
      <c r="A2490" s="18" t="s">
        <v>4913</v>
      </c>
      <c r="B2490" s="19" t="s">
        <v>15</v>
      </c>
      <c r="C2490" s="18" t="s">
        <v>4914</v>
      </c>
      <c r="D2490" s="18" t="s">
        <v>116</v>
      </c>
      <c r="E2490" s="18" t="s">
        <v>18</v>
      </c>
      <c r="F2490" s="18" t="s">
        <v>1309</v>
      </c>
      <c r="G2490" s="18" t="s">
        <v>536</v>
      </c>
      <c r="H2490" s="18" t="s">
        <v>5055</v>
      </c>
      <c r="I2490" s="20" t="s">
        <v>5057</v>
      </c>
      <c r="J2490" s="18" t="s">
        <v>30</v>
      </c>
      <c r="K2490" s="18" t="s">
        <v>24</v>
      </c>
      <c r="L2490" s="18" t="s">
        <v>25</v>
      </c>
      <c r="N2490" s="18" t="s">
        <v>154</v>
      </c>
    </row>
    <row r="2491" spans="1:14" ht="15" customHeight="1" x14ac:dyDescent="0.3">
      <c r="A2491" s="18" t="s">
        <v>4913</v>
      </c>
      <c r="B2491" s="19" t="s">
        <v>15</v>
      </c>
      <c r="C2491" s="18" t="s">
        <v>4914</v>
      </c>
      <c r="D2491" s="18" t="s">
        <v>116</v>
      </c>
      <c r="E2491" s="18" t="s">
        <v>18</v>
      </c>
      <c r="F2491" s="18" t="s">
        <v>2451</v>
      </c>
      <c r="G2491" s="18" t="s">
        <v>41</v>
      </c>
      <c r="H2491" s="18" t="s">
        <v>5051</v>
      </c>
      <c r="I2491" s="20" t="s">
        <v>5058</v>
      </c>
      <c r="J2491" s="18" t="s">
        <v>30</v>
      </c>
      <c r="K2491" s="18" t="s">
        <v>24</v>
      </c>
      <c r="L2491" s="18" t="s">
        <v>25</v>
      </c>
      <c r="N2491" s="18" t="s">
        <v>154</v>
      </c>
    </row>
    <row r="2492" spans="1:14" ht="15" customHeight="1" x14ac:dyDescent="0.3">
      <c r="A2492" s="18" t="s">
        <v>4913</v>
      </c>
      <c r="B2492" s="19" t="s">
        <v>15</v>
      </c>
      <c r="C2492" s="18" t="s">
        <v>5059</v>
      </c>
      <c r="D2492" s="18" t="s">
        <v>116</v>
      </c>
      <c r="E2492" s="18" t="s">
        <v>18</v>
      </c>
      <c r="F2492" s="18" t="s">
        <v>5060</v>
      </c>
      <c r="G2492" s="18" t="s">
        <v>41</v>
      </c>
      <c r="H2492" s="18" t="s">
        <v>5061</v>
      </c>
      <c r="I2492" s="20" t="s">
        <v>5062</v>
      </c>
      <c r="J2492" s="18" t="s">
        <v>30</v>
      </c>
      <c r="K2492" s="18" t="s">
        <v>293</v>
      </c>
      <c r="L2492" s="18" t="s">
        <v>25</v>
      </c>
      <c r="N2492" s="18" t="s">
        <v>154</v>
      </c>
    </row>
    <row r="2493" spans="1:14" ht="15" customHeight="1" x14ac:dyDescent="0.3">
      <c r="A2493" s="18" t="s">
        <v>4913</v>
      </c>
      <c r="B2493" s="19" t="s">
        <v>15</v>
      </c>
      <c r="C2493" s="18" t="s">
        <v>4914</v>
      </c>
      <c r="D2493" s="18" t="s">
        <v>116</v>
      </c>
      <c r="E2493" s="18" t="s">
        <v>18</v>
      </c>
      <c r="F2493" s="18" t="s">
        <v>5063</v>
      </c>
      <c r="G2493" s="18" t="s">
        <v>536</v>
      </c>
      <c r="H2493" s="18" t="s">
        <v>5055</v>
      </c>
      <c r="I2493" s="20" t="s">
        <v>5064</v>
      </c>
      <c r="J2493" s="18" t="s">
        <v>30</v>
      </c>
      <c r="K2493" s="18" t="s">
        <v>24</v>
      </c>
      <c r="L2493" s="18" t="s">
        <v>25</v>
      </c>
      <c r="N2493" s="18" t="s">
        <v>154</v>
      </c>
    </row>
    <row r="2494" spans="1:14" ht="15" customHeight="1" x14ac:dyDescent="0.3">
      <c r="A2494" s="18" t="s">
        <v>4913</v>
      </c>
      <c r="B2494" s="19" t="s">
        <v>15</v>
      </c>
      <c r="C2494" s="18" t="s">
        <v>4914</v>
      </c>
      <c r="D2494" s="18" t="s">
        <v>116</v>
      </c>
      <c r="E2494" s="18" t="s">
        <v>18</v>
      </c>
      <c r="F2494" s="18" t="s">
        <v>1450</v>
      </c>
      <c r="G2494" s="18" t="s">
        <v>41</v>
      </c>
      <c r="H2494" s="18" t="s">
        <v>5051</v>
      </c>
      <c r="I2494" s="20" t="s">
        <v>5065</v>
      </c>
      <c r="J2494" s="18" t="s">
        <v>30</v>
      </c>
      <c r="K2494" s="18" t="s">
        <v>24</v>
      </c>
      <c r="L2494" s="18" t="s">
        <v>25</v>
      </c>
      <c r="N2494" s="18" t="s">
        <v>154</v>
      </c>
    </row>
    <row r="2495" spans="1:14" ht="15" customHeight="1" x14ac:dyDescent="0.3">
      <c r="A2495" s="18" t="s">
        <v>4913</v>
      </c>
      <c r="B2495" s="19" t="s">
        <v>15</v>
      </c>
      <c r="C2495" s="18" t="s">
        <v>4914</v>
      </c>
      <c r="D2495" s="18" t="s">
        <v>116</v>
      </c>
      <c r="E2495" s="18" t="s">
        <v>18</v>
      </c>
      <c r="F2495" s="18" t="s">
        <v>2027</v>
      </c>
      <c r="G2495" s="18" t="s">
        <v>619</v>
      </c>
      <c r="H2495" s="18" t="s">
        <v>5051</v>
      </c>
      <c r="I2495" s="20" t="s">
        <v>5066</v>
      </c>
      <c r="J2495" s="18" t="s">
        <v>30</v>
      </c>
      <c r="K2495" s="18" t="s">
        <v>24</v>
      </c>
      <c r="L2495" s="18" t="s">
        <v>25</v>
      </c>
      <c r="N2495" s="18" t="s">
        <v>154</v>
      </c>
    </row>
    <row r="2496" spans="1:14" ht="15" customHeight="1" x14ac:dyDescent="0.3">
      <c r="A2496" s="18" t="s">
        <v>4913</v>
      </c>
      <c r="B2496" s="19" t="s">
        <v>15</v>
      </c>
      <c r="C2496" s="18" t="s">
        <v>4914</v>
      </c>
      <c r="D2496" s="18" t="s">
        <v>116</v>
      </c>
      <c r="E2496" s="18" t="s">
        <v>55</v>
      </c>
      <c r="F2496" s="18" t="s">
        <v>3538</v>
      </c>
      <c r="G2496" s="18" t="s">
        <v>85</v>
      </c>
      <c r="H2496" s="18" t="s">
        <v>5067</v>
      </c>
      <c r="I2496" s="20" t="s">
        <v>5068</v>
      </c>
      <c r="J2496" s="18" t="s">
        <v>58</v>
      </c>
      <c r="K2496" s="18" t="s">
        <v>24</v>
      </c>
      <c r="L2496" s="18" t="s">
        <v>25</v>
      </c>
      <c r="N2496" s="18" t="s">
        <v>154</v>
      </c>
    </row>
    <row r="2497" spans="1:14" ht="15" customHeight="1" x14ac:dyDescent="0.3">
      <c r="A2497" s="18" t="s">
        <v>4913</v>
      </c>
      <c r="B2497" s="19" t="s">
        <v>15</v>
      </c>
      <c r="C2497" s="18" t="s">
        <v>4914</v>
      </c>
      <c r="D2497" s="18" t="s">
        <v>116</v>
      </c>
      <c r="E2497" s="18" t="s">
        <v>55</v>
      </c>
      <c r="F2497" s="18" t="s">
        <v>5069</v>
      </c>
      <c r="G2497" s="18" t="s">
        <v>47</v>
      </c>
      <c r="H2497" s="18" t="s">
        <v>5038</v>
      </c>
      <c r="I2497" s="20" t="s">
        <v>5070</v>
      </c>
      <c r="J2497" s="18" t="s">
        <v>199</v>
      </c>
      <c r="K2497" s="18" t="s">
        <v>24</v>
      </c>
      <c r="L2497" s="18" t="s">
        <v>25</v>
      </c>
      <c r="N2497" s="18" t="s">
        <v>154</v>
      </c>
    </row>
    <row r="2498" spans="1:14" ht="15" customHeight="1" x14ac:dyDescent="0.3">
      <c r="A2498" s="18" t="s">
        <v>4913</v>
      </c>
      <c r="B2498" s="19" t="s">
        <v>15</v>
      </c>
      <c r="C2498" s="18" t="s">
        <v>4914</v>
      </c>
      <c r="D2498" s="18" t="s">
        <v>116</v>
      </c>
      <c r="E2498" s="18" t="s">
        <v>55</v>
      </c>
      <c r="F2498" s="18" t="s">
        <v>1947</v>
      </c>
      <c r="G2498" s="18" t="s">
        <v>85</v>
      </c>
      <c r="H2498" s="18" t="s">
        <v>5051</v>
      </c>
      <c r="I2498" s="20" t="s">
        <v>5071</v>
      </c>
      <c r="J2498" s="18" t="s">
        <v>58</v>
      </c>
      <c r="K2498" s="18" t="s">
        <v>24</v>
      </c>
      <c r="L2498" s="18" t="s">
        <v>25</v>
      </c>
      <c r="N2498" s="18" t="s">
        <v>154</v>
      </c>
    </row>
    <row r="2499" spans="1:14" ht="15" customHeight="1" x14ac:dyDescent="0.3">
      <c r="A2499" s="18" t="s">
        <v>4913</v>
      </c>
      <c r="B2499" s="19" t="s">
        <v>15</v>
      </c>
      <c r="C2499" s="18" t="s">
        <v>4914</v>
      </c>
      <c r="D2499" s="18" t="s">
        <v>116</v>
      </c>
      <c r="E2499" s="18" t="s">
        <v>55</v>
      </c>
      <c r="F2499" s="18" t="s">
        <v>3867</v>
      </c>
      <c r="G2499" s="18" t="s">
        <v>160</v>
      </c>
      <c r="H2499" s="18" t="s">
        <v>5031</v>
      </c>
      <c r="I2499" s="20" t="s">
        <v>5072</v>
      </c>
      <c r="J2499" s="18" t="s">
        <v>58</v>
      </c>
      <c r="K2499" s="18" t="s">
        <v>24</v>
      </c>
      <c r="L2499" s="18" t="s">
        <v>25</v>
      </c>
      <c r="N2499" s="18" t="s">
        <v>154</v>
      </c>
    </row>
    <row r="2500" spans="1:14" ht="15" customHeight="1" x14ac:dyDescent="0.3">
      <c r="A2500" s="18" t="s">
        <v>4913</v>
      </c>
      <c r="B2500" s="19" t="s">
        <v>15</v>
      </c>
      <c r="C2500" s="18" t="s">
        <v>4914</v>
      </c>
      <c r="D2500" s="18" t="s">
        <v>116</v>
      </c>
      <c r="E2500" s="18" t="s">
        <v>55</v>
      </c>
      <c r="F2500" s="18" t="s">
        <v>4327</v>
      </c>
      <c r="G2500" s="18" t="s">
        <v>28</v>
      </c>
      <c r="H2500" s="18" t="s">
        <v>5073</v>
      </c>
      <c r="I2500" s="20" t="s">
        <v>5074</v>
      </c>
      <c r="J2500" s="18" t="s">
        <v>58</v>
      </c>
      <c r="K2500" s="18" t="s">
        <v>24</v>
      </c>
      <c r="L2500" s="18" t="s">
        <v>25</v>
      </c>
      <c r="N2500" s="18" t="s">
        <v>154</v>
      </c>
    </row>
    <row r="2501" spans="1:14" ht="15" customHeight="1" x14ac:dyDescent="0.3">
      <c r="A2501" s="18" t="s">
        <v>4913</v>
      </c>
      <c r="B2501" s="19" t="s">
        <v>15</v>
      </c>
      <c r="C2501" s="18" t="s">
        <v>4914</v>
      </c>
      <c r="D2501" s="18" t="s">
        <v>116</v>
      </c>
      <c r="E2501" s="18" t="s">
        <v>55</v>
      </c>
      <c r="F2501" s="18" t="s">
        <v>2287</v>
      </c>
      <c r="G2501" s="18" t="s">
        <v>536</v>
      </c>
      <c r="H2501" s="18" t="s">
        <v>5055</v>
      </c>
      <c r="I2501" s="20" t="s">
        <v>5075</v>
      </c>
      <c r="J2501" s="18" t="s">
        <v>58</v>
      </c>
      <c r="K2501" s="18" t="s">
        <v>24</v>
      </c>
      <c r="L2501" s="18" t="s">
        <v>25</v>
      </c>
      <c r="N2501" s="18" t="s">
        <v>154</v>
      </c>
    </row>
    <row r="2502" spans="1:14" ht="15" customHeight="1" x14ac:dyDescent="0.3">
      <c r="A2502" s="18" t="s">
        <v>4913</v>
      </c>
      <c r="B2502" s="19" t="s">
        <v>15</v>
      </c>
      <c r="C2502" s="18" t="s">
        <v>4914</v>
      </c>
      <c r="D2502" s="18" t="s">
        <v>116</v>
      </c>
      <c r="E2502" s="18" t="s">
        <v>55</v>
      </c>
      <c r="F2502" s="18" t="s">
        <v>5076</v>
      </c>
      <c r="G2502" s="18" t="s">
        <v>1075</v>
      </c>
      <c r="H2502" s="18" t="s">
        <v>5041</v>
      </c>
      <c r="I2502" s="20" t="s">
        <v>5077</v>
      </c>
      <c r="J2502" s="18" t="s">
        <v>58</v>
      </c>
      <c r="K2502" s="18" t="s">
        <v>24</v>
      </c>
      <c r="L2502" s="18" t="s">
        <v>25</v>
      </c>
      <c r="N2502" s="18" t="s">
        <v>154</v>
      </c>
    </row>
    <row r="2503" spans="1:14" ht="15" customHeight="1" x14ac:dyDescent="0.3">
      <c r="A2503" s="18" t="s">
        <v>4913</v>
      </c>
      <c r="B2503" s="19" t="s">
        <v>15</v>
      </c>
      <c r="C2503" s="18" t="s">
        <v>4914</v>
      </c>
      <c r="D2503" s="18" t="s">
        <v>116</v>
      </c>
      <c r="E2503" s="18" t="s">
        <v>55</v>
      </c>
      <c r="F2503" s="18" t="s">
        <v>1072</v>
      </c>
      <c r="G2503" s="18" t="s">
        <v>47</v>
      </c>
      <c r="H2503" s="18" t="s">
        <v>5041</v>
      </c>
      <c r="I2503" s="20" t="s">
        <v>5078</v>
      </c>
      <c r="J2503" s="18" t="s">
        <v>58</v>
      </c>
      <c r="K2503" s="18" t="s">
        <v>24</v>
      </c>
      <c r="L2503" s="18" t="s">
        <v>25</v>
      </c>
      <c r="N2503" s="18" t="s">
        <v>154</v>
      </c>
    </row>
    <row r="2504" spans="1:14" ht="15" customHeight="1" x14ac:dyDescent="0.3">
      <c r="A2504" s="18" t="s">
        <v>4913</v>
      </c>
      <c r="B2504" s="19" t="s">
        <v>15</v>
      </c>
      <c r="C2504" s="18" t="s">
        <v>4914</v>
      </c>
      <c r="D2504" s="18" t="s">
        <v>116</v>
      </c>
      <c r="E2504" s="18" t="s">
        <v>55</v>
      </c>
      <c r="F2504" s="18" t="s">
        <v>1253</v>
      </c>
      <c r="G2504" s="18" t="s">
        <v>63</v>
      </c>
      <c r="H2504" s="18" t="s">
        <v>5041</v>
      </c>
      <c r="I2504" s="20" t="s">
        <v>5079</v>
      </c>
      <c r="J2504" s="18" t="s">
        <v>58</v>
      </c>
      <c r="K2504" s="18" t="s">
        <v>24</v>
      </c>
      <c r="L2504" s="18" t="s">
        <v>25</v>
      </c>
      <c r="N2504" s="18" t="s">
        <v>154</v>
      </c>
    </row>
    <row r="2505" spans="1:14" ht="15" customHeight="1" x14ac:dyDescent="0.3">
      <c r="A2505" s="18" t="s">
        <v>4913</v>
      </c>
      <c r="B2505" s="19" t="s">
        <v>15</v>
      </c>
      <c r="C2505" s="18" t="s">
        <v>4914</v>
      </c>
      <c r="D2505" s="18" t="s">
        <v>116</v>
      </c>
      <c r="E2505" s="18" t="s">
        <v>55</v>
      </c>
      <c r="F2505" s="18" t="s">
        <v>5048</v>
      </c>
      <c r="G2505" s="18" t="s">
        <v>47</v>
      </c>
      <c r="H2505" s="18" t="s">
        <v>5041</v>
      </c>
      <c r="I2505" s="20" t="s">
        <v>5080</v>
      </c>
      <c r="J2505" s="18" t="s">
        <v>58</v>
      </c>
      <c r="K2505" s="18" t="s">
        <v>24</v>
      </c>
      <c r="L2505" s="18" t="s">
        <v>25</v>
      </c>
      <c r="N2505" s="18" t="s">
        <v>154</v>
      </c>
    </row>
    <row r="2506" spans="1:14" ht="15" customHeight="1" x14ac:dyDescent="0.3">
      <c r="A2506" s="18" t="s">
        <v>4913</v>
      </c>
      <c r="B2506" s="19" t="s">
        <v>15</v>
      </c>
      <c r="C2506" s="18" t="s">
        <v>4914</v>
      </c>
      <c r="D2506" s="18" t="s">
        <v>116</v>
      </c>
      <c r="E2506" s="18" t="s">
        <v>55</v>
      </c>
      <c r="F2506" s="18" t="s">
        <v>3398</v>
      </c>
      <c r="G2506" s="18" t="s">
        <v>85</v>
      </c>
      <c r="H2506" s="18" t="s">
        <v>5051</v>
      </c>
      <c r="I2506" s="20" t="s">
        <v>5081</v>
      </c>
      <c r="J2506" s="18" t="s">
        <v>58</v>
      </c>
      <c r="K2506" s="18" t="s">
        <v>24</v>
      </c>
      <c r="L2506" s="18" t="s">
        <v>25</v>
      </c>
      <c r="N2506" s="18" t="s">
        <v>154</v>
      </c>
    </row>
    <row r="2507" spans="1:14" ht="15" customHeight="1" x14ac:dyDescent="0.3">
      <c r="A2507" s="18" t="s">
        <v>4913</v>
      </c>
      <c r="B2507" s="19" t="s">
        <v>15</v>
      </c>
      <c r="C2507" s="18" t="s">
        <v>4914</v>
      </c>
      <c r="D2507" s="18" t="s">
        <v>116</v>
      </c>
      <c r="E2507" s="18" t="s">
        <v>55</v>
      </c>
      <c r="F2507" s="18" t="s">
        <v>40</v>
      </c>
      <c r="G2507" s="18" t="s">
        <v>41</v>
      </c>
      <c r="H2507" s="18" t="s">
        <v>5051</v>
      </c>
      <c r="I2507" s="20" t="s">
        <v>5082</v>
      </c>
      <c r="J2507" s="18" t="s">
        <v>58</v>
      </c>
      <c r="K2507" s="18" t="s">
        <v>24</v>
      </c>
      <c r="L2507" s="18" t="s">
        <v>25</v>
      </c>
      <c r="N2507" s="18" t="s">
        <v>154</v>
      </c>
    </row>
    <row r="2508" spans="1:14" ht="15" customHeight="1" x14ac:dyDescent="0.3">
      <c r="A2508" s="18" t="s">
        <v>4913</v>
      </c>
      <c r="B2508" s="19" t="s">
        <v>15</v>
      </c>
      <c r="C2508" s="18" t="s">
        <v>4914</v>
      </c>
      <c r="D2508" s="18" t="s">
        <v>116</v>
      </c>
      <c r="E2508" s="18" t="s">
        <v>55</v>
      </c>
      <c r="F2508" s="18" t="s">
        <v>1354</v>
      </c>
      <c r="G2508" s="18" t="s">
        <v>41</v>
      </c>
      <c r="H2508" s="18" t="s">
        <v>5051</v>
      </c>
      <c r="I2508" s="20" t="s">
        <v>5083</v>
      </c>
      <c r="J2508" s="18" t="s">
        <v>58</v>
      </c>
      <c r="K2508" s="18" t="s">
        <v>24</v>
      </c>
      <c r="L2508" s="18" t="s">
        <v>25</v>
      </c>
      <c r="N2508" s="18" t="s">
        <v>154</v>
      </c>
    </row>
    <row r="2509" spans="1:14" ht="15" customHeight="1" x14ac:dyDescent="0.3">
      <c r="A2509" s="18" t="s">
        <v>4913</v>
      </c>
      <c r="B2509" s="19" t="s">
        <v>15</v>
      </c>
      <c r="C2509" s="18" t="s">
        <v>4914</v>
      </c>
      <c r="D2509" s="18" t="s">
        <v>116</v>
      </c>
      <c r="E2509" s="18" t="s">
        <v>55</v>
      </c>
      <c r="F2509" s="18" t="s">
        <v>5084</v>
      </c>
      <c r="G2509" s="18" t="s">
        <v>41</v>
      </c>
      <c r="H2509" s="18" t="s">
        <v>5051</v>
      </c>
      <c r="I2509" s="20" t="s">
        <v>5085</v>
      </c>
      <c r="J2509" s="18" t="s">
        <v>199</v>
      </c>
      <c r="K2509" s="18" t="s">
        <v>24</v>
      </c>
      <c r="L2509" s="18" t="s">
        <v>25</v>
      </c>
      <c r="N2509" s="18" t="s">
        <v>154</v>
      </c>
    </row>
    <row r="2510" spans="1:14" ht="15" customHeight="1" x14ac:dyDescent="0.3">
      <c r="A2510" s="18" t="s">
        <v>4913</v>
      </c>
      <c r="B2510" s="19" t="s">
        <v>15</v>
      </c>
      <c r="C2510" s="18" t="s">
        <v>4914</v>
      </c>
      <c r="D2510" s="18" t="s">
        <v>116</v>
      </c>
      <c r="E2510" s="18" t="s">
        <v>55</v>
      </c>
      <c r="F2510" s="18" t="s">
        <v>1157</v>
      </c>
      <c r="G2510" s="18" t="s">
        <v>85</v>
      </c>
      <c r="H2510" s="18" t="s">
        <v>5051</v>
      </c>
      <c r="I2510" s="20" t="s">
        <v>5086</v>
      </c>
      <c r="J2510" s="18" t="s">
        <v>199</v>
      </c>
      <c r="K2510" s="18" t="s">
        <v>24</v>
      </c>
      <c r="L2510" s="18" t="s">
        <v>25</v>
      </c>
      <c r="N2510" s="18" t="s">
        <v>154</v>
      </c>
    </row>
    <row r="2511" spans="1:14" ht="15" customHeight="1" x14ac:dyDescent="0.3">
      <c r="A2511" s="18" t="s">
        <v>4913</v>
      </c>
      <c r="B2511" s="19" t="s">
        <v>15</v>
      </c>
      <c r="C2511" s="18" t="s">
        <v>4914</v>
      </c>
      <c r="D2511" s="18" t="s">
        <v>116</v>
      </c>
      <c r="E2511" s="18" t="s">
        <v>55</v>
      </c>
      <c r="F2511" s="18" t="s">
        <v>5087</v>
      </c>
      <c r="G2511" s="18" t="s">
        <v>41</v>
      </c>
      <c r="H2511" s="18" t="s">
        <v>5041</v>
      </c>
      <c r="I2511" s="20" t="s">
        <v>5088</v>
      </c>
      <c r="J2511" s="18" t="s">
        <v>199</v>
      </c>
      <c r="K2511" s="18" t="s">
        <v>24</v>
      </c>
      <c r="L2511" s="18" t="s">
        <v>25</v>
      </c>
      <c r="N2511" s="18" t="s">
        <v>154</v>
      </c>
    </row>
    <row r="2512" spans="1:14" ht="15" customHeight="1" x14ac:dyDescent="0.3">
      <c r="A2512" s="18" t="s">
        <v>4913</v>
      </c>
      <c r="B2512" s="19" t="s">
        <v>15</v>
      </c>
      <c r="C2512" s="18" t="s">
        <v>4914</v>
      </c>
      <c r="D2512" s="18" t="s">
        <v>116</v>
      </c>
      <c r="E2512" s="18" t="s">
        <v>55</v>
      </c>
      <c r="F2512" s="18" t="s">
        <v>2388</v>
      </c>
      <c r="G2512" s="18" t="s">
        <v>41</v>
      </c>
      <c r="H2512" s="18" t="s">
        <v>5051</v>
      </c>
      <c r="I2512" s="20" t="s">
        <v>5089</v>
      </c>
      <c r="J2512" s="18" t="s">
        <v>1267</v>
      </c>
      <c r="K2512" s="18" t="s">
        <v>24</v>
      </c>
      <c r="L2512" s="18" t="s">
        <v>25</v>
      </c>
      <c r="N2512" s="18" t="s">
        <v>154</v>
      </c>
    </row>
    <row r="2513" spans="1:14" ht="15" customHeight="1" x14ac:dyDescent="0.3">
      <c r="A2513" s="18" t="s">
        <v>4913</v>
      </c>
      <c r="B2513" s="19" t="s">
        <v>15</v>
      </c>
      <c r="C2513" s="18" t="s">
        <v>2519</v>
      </c>
      <c r="D2513" s="18" t="s">
        <v>116</v>
      </c>
      <c r="E2513" s="18" t="s">
        <v>55</v>
      </c>
      <c r="F2513" s="18" t="s">
        <v>1450</v>
      </c>
      <c r="G2513" s="18" t="s">
        <v>41</v>
      </c>
      <c r="H2513" s="18" t="s">
        <v>4954</v>
      </c>
      <c r="I2513" s="20" t="s">
        <v>5090</v>
      </c>
      <c r="J2513" s="18" t="s">
        <v>58</v>
      </c>
      <c r="K2513" s="18" t="s">
        <v>24</v>
      </c>
      <c r="L2513" s="18" t="s">
        <v>25</v>
      </c>
      <c r="N2513" s="18" t="s">
        <v>973</v>
      </c>
    </row>
    <row r="2514" spans="1:14" ht="15" customHeight="1" x14ac:dyDescent="0.3">
      <c r="A2514" s="18" t="s">
        <v>4913</v>
      </c>
      <c r="B2514" s="19" t="s">
        <v>15</v>
      </c>
      <c r="C2514" s="18" t="s">
        <v>4914</v>
      </c>
      <c r="D2514" s="18" t="s">
        <v>116</v>
      </c>
      <c r="E2514" s="18" t="s">
        <v>55</v>
      </c>
      <c r="F2514" s="18" t="s">
        <v>1453</v>
      </c>
      <c r="G2514" s="18" t="s">
        <v>536</v>
      </c>
      <c r="H2514" s="18" t="s">
        <v>5091</v>
      </c>
      <c r="I2514" s="20" t="s">
        <v>5092</v>
      </c>
      <c r="J2514" s="18" t="s">
        <v>58</v>
      </c>
      <c r="K2514" s="18" t="s">
        <v>24</v>
      </c>
      <c r="L2514" s="18" t="s">
        <v>25</v>
      </c>
      <c r="N2514" s="18" t="s">
        <v>154</v>
      </c>
    </row>
    <row r="2515" spans="1:14" ht="15" customHeight="1" x14ac:dyDescent="0.3">
      <c r="A2515" s="18" t="s">
        <v>4913</v>
      </c>
      <c r="B2515" s="19" t="s">
        <v>15</v>
      </c>
      <c r="C2515" s="18" t="s">
        <v>4914</v>
      </c>
      <c r="D2515" s="18" t="s">
        <v>116</v>
      </c>
      <c r="E2515" s="18" t="s">
        <v>55</v>
      </c>
      <c r="F2515" s="18" t="s">
        <v>5093</v>
      </c>
      <c r="G2515" s="18" t="s">
        <v>41</v>
      </c>
      <c r="H2515" s="18" t="s">
        <v>5051</v>
      </c>
      <c r="I2515" s="20" t="s">
        <v>5094</v>
      </c>
      <c r="J2515" s="18" t="s">
        <v>199</v>
      </c>
      <c r="K2515" s="18" t="s">
        <v>24</v>
      </c>
      <c r="L2515" s="18" t="s">
        <v>25</v>
      </c>
      <c r="N2515" s="18" t="s">
        <v>154</v>
      </c>
    </row>
    <row r="2516" spans="1:14" ht="15" customHeight="1" x14ac:dyDescent="0.3">
      <c r="A2516" s="18" t="s">
        <v>4913</v>
      </c>
      <c r="B2516" s="19" t="s">
        <v>15</v>
      </c>
      <c r="C2516" s="18" t="s">
        <v>4914</v>
      </c>
      <c r="D2516" s="18" t="s">
        <v>116</v>
      </c>
      <c r="E2516" s="18" t="s">
        <v>55</v>
      </c>
      <c r="F2516" s="18" t="s">
        <v>5095</v>
      </c>
      <c r="G2516" s="18" t="s">
        <v>28</v>
      </c>
      <c r="H2516" s="18" t="s">
        <v>5073</v>
      </c>
      <c r="I2516" s="20" t="s">
        <v>5096</v>
      </c>
      <c r="J2516" s="18" t="s">
        <v>58</v>
      </c>
      <c r="K2516" s="18" t="s">
        <v>24</v>
      </c>
      <c r="L2516" s="18" t="s">
        <v>25</v>
      </c>
      <c r="N2516" s="18" t="s">
        <v>154</v>
      </c>
    </row>
    <row r="2517" spans="1:14" ht="15" customHeight="1" x14ac:dyDescent="0.3">
      <c r="A2517" s="18" t="s">
        <v>4913</v>
      </c>
      <c r="B2517" s="19" t="s">
        <v>15</v>
      </c>
      <c r="C2517" s="18" t="s">
        <v>4914</v>
      </c>
      <c r="D2517" s="18" t="s">
        <v>116</v>
      </c>
      <c r="E2517" s="18" t="s">
        <v>55</v>
      </c>
      <c r="F2517" s="18" t="s">
        <v>5097</v>
      </c>
      <c r="G2517" s="18" t="s">
        <v>47</v>
      </c>
      <c r="H2517" s="18" t="s">
        <v>5041</v>
      </c>
      <c r="I2517" s="20" t="s">
        <v>5098</v>
      </c>
      <c r="J2517" s="18" t="s">
        <v>58</v>
      </c>
      <c r="K2517" s="18" t="s">
        <v>24</v>
      </c>
      <c r="L2517" s="18" t="s">
        <v>25</v>
      </c>
      <c r="N2517" s="18" t="s">
        <v>154</v>
      </c>
    </row>
    <row r="2518" spans="1:14" ht="15" customHeight="1" x14ac:dyDescent="0.3">
      <c r="A2518" s="18" t="s">
        <v>4913</v>
      </c>
      <c r="B2518" s="19" t="s">
        <v>15</v>
      </c>
      <c r="C2518" s="18" t="s">
        <v>4914</v>
      </c>
      <c r="D2518" s="18" t="s">
        <v>116</v>
      </c>
      <c r="E2518" s="18" t="s">
        <v>55</v>
      </c>
      <c r="F2518" s="18" t="s">
        <v>1769</v>
      </c>
      <c r="G2518" s="18" t="s">
        <v>51</v>
      </c>
      <c r="H2518" s="18" t="s">
        <v>5051</v>
      </c>
      <c r="I2518" s="20" t="s">
        <v>5099</v>
      </c>
      <c r="J2518" s="18" t="s">
        <v>58</v>
      </c>
      <c r="K2518" s="18" t="s">
        <v>24</v>
      </c>
      <c r="L2518" s="18" t="s">
        <v>25</v>
      </c>
      <c r="N2518" s="18" t="s">
        <v>154</v>
      </c>
    </row>
    <row r="2519" spans="1:14" ht="15" customHeight="1" x14ac:dyDescent="0.3">
      <c r="A2519" s="18" t="s">
        <v>4913</v>
      </c>
      <c r="B2519" s="19" t="s">
        <v>15</v>
      </c>
      <c r="C2519" s="18" t="s">
        <v>4914</v>
      </c>
      <c r="D2519" s="18" t="s">
        <v>116</v>
      </c>
      <c r="E2519" s="18" t="s">
        <v>55</v>
      </c>
      <c r="F2519" s="18" t="s">
        <v>4270</v>
      </c>
      <c r="G2519" s="18" t="s">
        <v>51</v>
      </c>
      <c r="H2519" s="18" t="s">
        <v>5041</v>
      </c>
      <c r="I2519" s="20" t="s">
        <v>5100</v>
      </c>
      <c r="J2519" s="18" t="s">
        <v>199</v>
      </c>
      <c r="K2519" s="18" t="s">
        <v>24</v>
      </c>
      <c r="L2519" s="18" t="s">
        <v>25</v>
      </c>
      <c r="N2519" s="18" t="s">
        <v>154</v>
      </c>
    </row>
    <row r="2520" spans="1:14" ht="15" customHeight="1" x14ac:dyDescent="0.3">
      <c r="A2520" s="18" t="s">
        <v>4913</v>
      </c>
      <c r="B2520" s="19" t="s">
        <v>15</v>
      </c>
      <c r="C2520" s="18" t="s">
        <v>4914</v>
      </c>
      <c r="D2520" s="18" t="s">
        <v>116</v>
      </c>
      <c r="E2520" s="18" t="s">
        <v>55</v>
      </c>
      <c r="F2520" s="18" t="s">
        <v>1832</v>
      </c>
      <c r="G2520" s="18" t="s">
        <v>207</v>
      </c>
      <c r="H2520" s="18" t="s">
        <v>5051</v>
      </c>
      <c r="I2520" s="20" t="s">
        <v>5101</v>
      </c>
      <c r="J2520" s="18" t="s">
        <v>58</v>
      </c>
      <c r="K2520" s="18" t="s">
        <v>24</v>
      </c>
      <c r="L2520" s="18" t="s">
        <v>25</v>
      </c>
      <c r="N2520" s="18" t="s">
        <v>154</v>
      </c>
    </row>
    <row r="2521" spans="1:14" ht="15" customHeight="1" x14ac:dyDescent="0.3">
      <c r="A2521" s="18" t="s">
        <v>4913</v>
      </c>
      <c r="B2521" s="19" t="s">
        <v>15</v>
      </c>
      <c r="C2521" s="18" t="s">
        <v>4914</v>
      </c>
      <c r="D2521" s="18" t="s">
        <v>116</v>
      </c>
      <c r="E2521" s="18" t="s">
        <v>55</v>
      </c>
      <c r="F2521" s="18" t="s">
        <v>2410</v>
      </c>
      <c r="G2521" s="18" t="s">
        <v>207</v>
      </c>
      <c r="H2521" s="18" t="s">
        <v>5091</v>
      </c>
      <c r="I2521" s="20" t="s">
        <v>5102</v>
      </c>
      <c r="J2521" s="18" t="s">
        <v>58</v>
      </c>
      <c r="K2521" s="18" t="s">
        <v>24</v>
      </c>
      <c r="L2521" s="18" t="s">
        <v>25</v>
      </c>
      <c r="N2521" s="18" t="s">
        <v>154</v>
      </c>
    </row>
    <row r="2522" spans="1:14" ht="15" customHeight="1" x14ac:dyDescent="0.3">
      <c r="A2522" s="18" t="s">
        <v>4913</v>
      </c>
      <c r="B2522" s="19" t="s">
        <v>15</v>
      </c>
      <c r="C2522" s="18" t="s">
        <v>4914</v>
      </c>
      <c r="D2522" s="18" t="s">
        <v>116</v>
      </c>
      <c r="E2522" s="18" t="s">
        <v>55</v>
      </c>
      <c r="F2522" s="18" t="s">
        <v>5103</v>
      </c>
      <c r="G2522" s="18" t="s">
        <v>160</v>
      </c>
      <c r="H2522" s="18" t="s">
        <v>5073</v>
      </c>
      <c r="I2522" s="20" t="s">
        <v>5104</v>
      </c>
      <c r="J2522" s="18" t="s">
        <v>199</v>
      </c>
      <c r="K2522" s="18" t="s">
        <v>24</v>
      </c>
      <c r="L2522" s="18" t="s">
        <v>25</v>
      </c>
      <c r="N2522" s="18" t="s">
        <v>154</v>
      </c>
    </row>
    <row r="2523" spans="1:14" ht="15" customHeight="1" x14ac:dyDescent="0.3">
      <c r="A2523" s="18" t="s">
        <v>4913</v>
      </c>
      <c r="B2523" s="19" t="s">
        <v>15</v>
      </c>
      <c r="C2523" s="18" t="s">
        <v>4914</v>
      </c>
      <c r="D2523" s="18" t="s">
        <v>116</v>
      </c>
      <c r="E2523" s="18" t="s">
        <v>55</v>
      </c>
      <c r="F2523" s="18" t="s">
        <v>5105</v>
      </c>
      <c r="G2523" s="18" t="s">
        <v>619</v>
      </c>
      <c r="H2523" s="18" t="s">
        <v>5051</v>
      </c>
      <c r="I2523" s="20" t="s">
        <v>5106</v>
      </c>
      <c r="J2523" s="18" t="s">
        <v>199</v>
      </c>
      <c r="K2523" s="18" t="s">
        <v>24</v>
      </c>
      <c r="L2523" s="18" t="s">
        <v>25</v>
      </c>
      <c r="N2523" s="18" t="s">
        <v>154</v>
      </c>
    </row>
    <row r="2524" spans="1:14" ht="15" customHeight="1" x14ac:dyDescent="0.3">
      <c r="A2524" s="18" t="s">
        <v>4913</v>
      </c>
      <c r="B2524" s="19" t="s">
        <v>15</v>
      </c>
      <c r="C2524" s="18" t="s">
        <v>4914</v>
      </c>
      <c r="D2524" s="18" t="s">
        <v>116</v>
      </c>
      <c r="E2524" s="18" t="s">
        <v>55</v>
      </c>
      <c r="F2524" s="18" t="s">
        <v>5107</v>
      </c>
      <c r="G2524" s="18" t="s">
        <v>93</v>
      </c>
      <c r="H2524" s="18" t="s">
        <v>5041</v>
      </c>
      <c r="I2524" s="20" t="s">
        <v>5108</v>
      </c>
      <c r="J2524" s="18" t="s">
        <v>58</v>
      </c>
      <c r="K2524" s="18" t="s">
        <v>24</v>
      </c>
      <c r="L2524" s="18" t="s">
        <v>25</v>
      </c>
      <c r="N2524" s="18" t="s">
        <v>154</v>
      </c>
    </row>
    <row r="2525" spans="1:14" ht="15" customHeight="1" x14ac:dyDescent="0.3">
      <c r="A2525" s="18" t="s">
        <v>4913</v>
      </c>
      <c r="B2525" s="19" t="s">
        <v>15</v>
      </c>
      <c r="C2525" s="18" t="s">
        <v>4914</v>
      </c>
      <c r="D2525" s="18" t="s">
        <v>116</v>
      </c>
      <c r="E2525" s="18" t="s">
        <v>55</v>
      </c>
      <c r="F2525" s="18" t="s">
        <v>2027</v>
      </c>
      <c r="G2525" s="18" t="s">
        <v>619</v>
      </c>
      <c r="H2525" s="18" t="s">
        <v>5051</v>
      </c>
      <c r="I2525" s="20" t="s">
        <v>5109</v>
      </c>
      <c r="J2525" s="18" t="s">
        <v>58</v>
      </c>
      <c r="K2525" s="18" t="s">
        <v>24</v>
      </c>
      <c r="L2525" s="18" t="s">
        <v>25</v>
      </c>
      <c r="N2525" s="18" t="s">
        <v>154</v>
      </c>
    </row>
    <row r="2526" spans="1:14" ht="15" customHeight="1" x14ac:dyDescent="0.3">
      <c r="A2526" s="18" t="s">
        <v>4913</v>
      </c>
      <c r="B2526" s="19" t="s">
        <v>15</v>
      </c>
      <c r="C2526" s="18" t="s">
        <v>5035</v>
      </c>
      <c r="D2526" s="18" t="s">
        <v>116</v>
      </c>
      <c r="E2526" s="18" t="s">
        <v>55</v>
      </c>
      <c r="F2526" s="18" t="s">
        <v>5110</v>
      </c>
      <c r="G2526" s="18" t="s">
        <v>1019</v>
      </c>
      <c r="H2526" s="18" t="s">
        <v>5036</v>
      </c>
      <c r="I2526" s="20" t="s">
        <v>5111</v>
      </c>
      <c r="J2526" s="18" t="s">
        <v>199</v>
      </c>
      <c r="K2526" s="18" t="s">
        <v>24</v>
      </c>
      <c r="L2526" s="18" t="s">
        <v>25</v>
      </c>
      <c r="N2526" s="18" t="s">
        <v>154</v>
      </c>
    </row>
    <row r="2527" spans="1:14" ht="15" customHeight="1" x14ac:dyDescent="0.3">
      <c r="A2527" s="18" t="s">
        <v>4913</v>
      </c>
      <c r="B2527" s="19" t="s">
        <v>15</v>
      </c>
      <c r="C2527" s="18" t="s">
        <v>4914</v>
      </c>
      <c r="D2527" s="18" t="s">
        <v>116</v>
      </c>
      <c r="E2527" s="18" t="s">
        <v>55</v>
      </c>
      <c r="F2527" s="18" t="s">
        <v>5112</v>
      </c>
      <c r="G2527" s="18" t="s">
        <v>1019</v>
      </c>
      <c r="H2527" s="18" t="s">
        <v>5041</v>
      </c>
      <c r="I2527" s="20" t="s">
        <v>5113</v>
      </c>
      <c r="J2527" s="18" t="s">
        <v>199</v>
      </c>
      <c r="K2527" s="18" t="s">
        <v>24</v>
      </c>
      <c r="L2527" s="18" t="s">
        <v>25</v>
      </c>
      <c r="N2527" s="18" t="s">
        <v>154</v>
      </c>
    </row>
    <row r="2528" spans="1:14" ht="15" customHeight="1" x14ac:dyDescent="0.3">
      <c r="A2528" s="18" t="s">
        <v>4913</v>
      </c>
      <c r="B2528" s="19" t="s">
        <v>15</v>
      </c>
      <c r="C2528" s="18" t="s">
        <v>4914</v>
      </c>
      <c r="D2528" s="18" t="s">
        <v>116</v>
      </c>
      <c r="E2528" s="18" t="s">
        <v>55</v>
      </c>
      <c r="F2528" s="18" t="s">
        <v>5114</v>
      </c>
      <c r="G2528" s="18" t="s">
        <v>273</v>
      </c>
      <c r="H2528" s="18" t="s">
        <v>5041</v>
      </c>
      <c r="I2528" s="20" t="s">
        <v>5115</v>
      </c>
      <c r="J2528" s="18" t="s">
        <v>199</v>
      </c>
      <c r="K2528" s="18" t="s">
        <v>24</v>
      </c>
      <c r="L2528" s="18" t="s">
        <v>25</v>
      </c>
      <c r="N2528" s="18" t="s">
        <v>154</v>
      </c>
    </row>
    <row r="2529" spans="1:14" ht="15" customHeight="1" x14ac:dyDescent="0.3">
      <c r="A2529" s="18" t="s">
        <v>4913</v>
      </c>
      <c r="B2529" s="19" t="s">
        <v>15</v>
      </c>
      <c r="C2529" s="18" t="s">
        <v>5035</v>
      </c>
      <c r="D2529" s="18" t="s">
        <v>116</v>
      </c>
      <c r="E2529" s="18" t="s">
        <v>55</v>
      </c>
      <c r="F2529" s="18" t="s">
        <v>1653</v>
      </c>
      <c r="G2529" s="18" t="s">
        <v>1019</v>
      </c>
      <c r="H2529" s="18" t="s">
        <v>5036</v>
      </c>
      <c r="I2529" s="20" t="s">
        <v>5116</v>
      </c>
      <c r="J2529" s="18" t="s">
        <v>58</v>
      </c>
      <c r="K2529" s="18" t="s">
        <v>24</v>
      </c>
      <c r="L2529" s="18" t="s">
        <v>25</v>
      </c>
      <c r="N2529" s="18" t="s">
        <v>154</v>
      </c>
    </row>
    <row r="2530" spans="1:14" ht="15" customHeight="1" x14ac:dyDescent="0.3">
      <c r="A2530" s="18" t="s">
        <v>4913</v>
      </c>
      <c r="B2530" s="19" t="s">
        <v>15</v>
      </c>
      <c r="C2530" s="18" t="s">
        <v>4914</v>
      </c>
      <c r="D2530" s="18" t="s">
        <v>116</v>
      </c>
      <c r="E2530" s="18" t="s">
        <v>74</v>
      </c>
      <c r="F2530" s="18" t="s">
        <v>5117</v>
      </c>
      <c r="G2530" s="18" t="s">
        <v>85</v>
      </c>
      <c r="H2530" s="18" t="s">
        <v>1435</v>
      </c>
      <c r="I2530" s="20" t="s">
        <v>5118</v>
      </c>
      <c r="J2530" s="18" t="s">
        <v>832</v>
      </c>
      <c r="K2530" s="18" t="s">
        <v>24</v>
      </c>
      <c r="L2530" s="18" t="s">
        <v>25</v>
      </c>
      <c r="N2530" s="18" t="s">
        <v>154</v>
      </c>
    </row>
    <row r="2531" spans="1:14" ht="15" customHeight="1" x14ac:dyDescent="0.3">
      <c r="A2531" s="18" t="s">
        <v>4913</v>
      </c>
      <c r="B2531" s="19" t="s">
        <v>15</v>
      </c>
      <c r="C2531" s="18" t="s">
        <v>4914</v>
      </c>
      <c r="D2531" s="18" t="s">
        <v>116</v>
      </c>
      <c r="E2531" s="18" t="s">
        <v>74</v>
      </c>
      <c r="F2531" s="18" t="s">
        <v>5119</v>
      </c>
      <c r="G2531" s="18" t="s">
        <v>47</v>
      </c>
      <c r="H2531" s="18" t="s">
        <v>2648</v>
      </c>
      <c r="I2531" s="20" t="s">
        <v>5120</v>
      </c>
      <c r="J2531" s="18" t="s">
        <v>832</v>
      </c>
      <c r="K2531" s="18" t="s">
        <v>24</v>
      </c>
      <c r="L2531" s="18" t="s">
        <v>25</v>
      </c>
      <c r="N2531" s="18" t="s">
        <v>154</v>
      </c>
    </row>
    <row r="2532" spans="1:14" ht="15" customHeight="1" x14ac:dyDescent="0.3">
      <c r="A2532" s="18" t="s">
        <v>4913</v>
      </c>
      <c r="B2532" s="19" t="s">
        <v>15</v>
      </c>
      <c r="C2532" s="18" t="s">
        <v>4914</v>
      </c>
      <c r="D2532" s="18" t="s">
        <v>116</v>
      </c>
      <c r="E2532" s="18" t="s">
        <v>74</v>
      </c>
      <c r="F2532" s="18" t="s">
        <v>5121</v>
      </c>
      <c r="G2532" s="18" t="s">
        <v>85</v>
      </c>
      <c r="H2532" s="18" t="s">
        <v>1435</v>
      </c>
      <c r="I2532" s="20" t="s">
        <v>5122</v>
      </c>
      <c r="J2532" s="18" t="s">
        <v>5123</v>
      </c>
      <c r="K2532" s="18" t="s">
        <v>24</v>
      </c>
      <c r="L2532" s="18" t="s">
        <v>25</v>
      </c>
      <c r="N2532" s="18" t="s">
        <v>154</v>
      </c>
    </row>
    <row r="2533" spans="1:14" ht="15" customHeight="1" x14ac:dyDescent="0.3">
      <c r="A2533" s="18" t="s">
        <v>4913</v>
      </c>
      <c r="B2533" s="19" t="s">
        <v>15</v>
      </c>
      <c r="C2533" s="18" t="s">
        <v>4914</v>
      </c>
      <c r="D2533" s="18" t="s">
        <v>116</v>
      </c>
      <c r="E2533" s="18" t="s">
        <v>74</v>
      </c>
      <c r="F2533" s="18" t="s">
        <v>5124</v>
      </c>
      <c r="G2533" s="18" t="s">
        <v>85</v>
      </c>
      <c r="H2533" s="18" t="s">
        <v>1435</v>
      </c>
      <c r="I2533" s="20" t="s">
        <v>5125</v>
      </c>
      <c r="J2533" s="18" t="s">
        <v>5123</v>
      </c>
      <c r="K2533" s="18" t="s">
        <v>24</v>
      </c>
      <c r="L2533" s="18" t="s">
        <v>25</v>
      </c>
      <c r="N2533" s="18" t="s">
        <v>154</v>
      </c>
    </row>
    <row r="2534" spans="1:14" ht="15" customHeight="1" x14ac:dyDescent="0.3">
      <c r="A2534" s="18" t="s">
        <v>4913</v>
      </c>
      <c r="B2534" s="19" t="s">
        <v>15</v>
      </c>
      <c r="C2534" s="18" t="s">
        <v>2476</v>
      </c>
      <c r="D2534" s="18" t="s">
        <v>116</v>
      </c>
      <c r="E2534" s="18" t="s">
        <v>74</v>
      </c>
      <c r="F2534" s="18" t="s">
        <v>5126</v>
      </c>
      <c r="G2534" s="18" t="s">
        <v>85</v>
      </c>
      <c r="H2534" s="18" t="s">
        <v>1435</v>
      </c>
      <c r="I2534" s="20" t="s">
        <v>5127</v>
      </c>
      <c r="J2534" s="18" t="s">
        <v>1884</v>
      </c>
      <c r="K2534" s="18" t="s">
        <v>24</v>
      </c>
      <c r="L2534" s="18" t="s">
        <v>25</v>
      </c>
      <c r="N2534" s="18" t="s">
        <v>807</v>
      </c>
    </row>
    <row r="2535" spans="1:14" ht="15" customHeight="1" x14ac:dyDescent="0.3">
      <c r="A2535" s="18" t="s">
        <v>4913</v>
      </c>
      <c r="B2535" s="19" t="s">
        <v>15</v>
      </c>
      <c r="C2535" s="18" t="s">
        <v>4914</v>
      </c>
      <c r="D2535" s="18" t="s">
        <v>116</v>
      </c>
      <c r="E2535" s="18" t="s">
        <v>74</v>
      </c>
      <c r="F2535" s="18" t="s">
        <v>5128</v>
      </c>
      <c r="G2535" s="18" t="s">
        <v>85</v>
      </c>
      <c r="H2535" s="18" t="s">
        <v>5129</v>
      </c>
      <c r="I2535" s="20" t="s">
        <v>5130</v>
      </c>
      <c r="J2535" s="18" t="s">
        <v>832</v>
      </c>
      <c r="K2535" s="18" t="s">
        <v>24</v>
      </c>
      <c r="L2535" s="18" t="s">
        <v>25</v>
      </c>
      <c r="N2535" s="18" t="s">
        <v>154</v>
      </c>
    </row>
    <row r="2536" spans="1:14" ht="15" customHeight="1" x14ac:dyDescent="0.3">
      <c r="A2536" s="18" t="s">
        <v>4913</v>
      </c>
      <c r="B2536" s="19" t="s">
        <v>15</v>
      </c>
      <c r="C2536" s="18" t="s">
        <v>2476</v>
      </c>
      <c r="D2536" s="18" t="s">
        <v>116</v>
      </c>
      <c r="E2536" s="18" t="s">
        <v>74</v>
      </c>
      <c r="F2536" s="18" t="s">
        <v>5131</v>
      </c>
      <c r="G2536" s="18" t="s">
        <v>619</v>
      </c>
      <c r="H2536" s="18" t="s">
        <v>1435</v>
      </c>
      <c r="I2536" s="20" t="s">
        <v>5132</v>
      </c>
      <c r="J2536" s="18" t="s">
        <v>1884</v>
      </c>
      <c r="K2536" s="18" t="s">
        <v>24</v>
      </c>
      <c r="L2536" s="18" t="s">
        <v>25</v>
      </c>
      <c r="N2536" s="18" t="s">
        <v>807</v>
      </c>
    </row>
    <row r="2537" spans="1:14" ht="15" customHeight="1" x14ac:dyDescent="0.3">
      <c r="A2537" s="18" t="s">
        <v>4913</v>
      </c>
      <c r="B2537" s="19" t="s">
        <v>15</v>
      </c>
      <c r="C2537" s="18" t="s">
        <v>4914</v>
      </c>
      <c r="D2537" s="18" t="s">
        <v>116</v>
      </c>
      <c r="E2537" s="18" t="s">
        <v>74</v>
      </c>
      <c r="F2537" s="18" t="s">
        <v>5133</v>
      </c>
      <c r="G2537" s="18" t="s">
        <v>88</v>
      </c>
      <c r="H2537" s="18" t="s">
        <v>2648</v>
      </c>
      <c r="I2537" s="20" t="s">
        <v>5134</v>
      </c>
      <c r="J2537" s="18" t="s">
        <v>449</v>
      </c>
      <c r="K2537" s="18" t="s">
        <v>24</v>
      </c>
      <c r="L2537" s="18" t="s">
        <v>25</v>
      </c>
      <c r="N2537" s="18" t="s">
        <v>154</v>
      </c>
    </row>
    <row r="2538" spans="1:14" ht="15" customHeight="1" x14ac:dyDescent="0.3">
      <c r="A2538" s="18" t="s">
        <v>4913</v>
      </c>
      <c r="B2538" s="19" t="s">
        <v>15</v>
      </c>
      <c r="C2538" s="18" t="s">
        <v>4914</v>
      </c>
      <c r="D2538" s="18" t="s">
        <v>116</v>
      </c>
      <c r="E2538" s="18" t="s">
        <v>74</v>
      </c>
      <c r="F2538" s="18" t="s">
        <v>5135</v>
      </c>
      <c r="G2538" s="18" t="s">
        <v>28</v>
      </c>
      <c r="H2538" s="18" t="s">
        <v>5136</v>
      </c>
      <c r="I2538" s="20" t="s">
        <v>5137</v>
      </c>
      <c r="J2538" s="18" t="s">
        <v>832</v>
      </c>
      <c r="K2538" s="18" t="s">
        <v>24</v>
      </c>
      <c r="L2538" s="18" t="s">
        <v>25</v>
      </c>
      <c r="N2538" s="18" t="s">
        <v>154</v>
      </c>
    </row>
    <row r="2539" spans="1:14" ht="15" customHeight="1" x14ac:dyDescent="0.3">
      <c r="A2539" s="18" t="s">
        <v>4913</v>
      </c>
      <c r="B2539" s="19" t="s">
        <v>15</v>
      </c>
      <c r="C2539" s="18" t="s">
        <v>4914</v>
      </c>
      <c r="D2539" s="18" t="s">
        <v>116</v>
      </c>
      <c r="E2539" s="18" t="s">
        <v>74</v>
      </c>
      <c r="F2539" s="18" t="s">
        <v>5138</v>
      </c>
      <c r="G2539" s="18" t="s">
        <v>28</v>
      </c>
      <c r="H2539" s="18" t="s">
        <v>5136</v>
      </c>
      <c r="I2539" s="20" t="s">
        <v>5139</v>
      </c>
      <c r="J2539" s="18" t="s">
        <v>5140</v>
      </c>
      <c r="K2539" s="18" t="s">
        <v>24</v>
      </c>
      <c r="L2539" s="18" t="s">
        <v>25</v>
      </c>
      <c r="N2539" s="18" t="s">
        <v>154</v>
      </c>
    </row>
    <row r="2540" spans="1:14" ht="15" customHeight="1" x14ac:dyDescent="0.3">
      <c r="A2540" s="18" t="s">
        <v>4913</v>
      </c>
      <c r="B2540" s="19" t="s">
        <v>15</v>
      </c>
      <c r="C2540" s="18" t="s">
        <v>4914</v>
      </c>
      <c r="D2540" s="18" t="s">
        <v>116</v>
      </c>
      <c r="E2540" s="18" t="s">
        <v>74</v>
      </c>
      <c r="F2540" s="18" t="s">
        <v>5141</v>
      </c>
      <c r="G2540" s="18" t="s">
        <v>207</v>
      </c>
      <c r="H2540" s="18" t="s">
        <v>5142</v>
      </c>
      <c r="I2540" s="20" t="s">
        <v>5143</v>
      </c>
      <c r="J2540" s="18" t="s">
        <v>832</v>
      </c>
      <c r="K2540" s="18" t="s">
        <v>24</v>
      </c>
      <c r="L2540" s="18" t="s">
        <v>25</v>
      </c>
      <c r="N2540" s="18" t="s">
        <v>154</v>
      </c>
    </row>
    <row r="2541" spans="1:14" ht="15" customHeight="1" x14ac:dyDescent="0.3">
      <c r="A2541" s="18" t="s">
        <v>4913</v>
      </c>
      <c r="B2541" s="19" t="s">
        <v>15</v>
      </c>
      <c r="C2541" s="18" t="s">
        <v>4914</v>
      </c>
      <c r="D2541" s="18" t="s">
        <v>116</v>
      </c>
      <c r="E2541" s="18" t="s">
        <v>74</v>
      </c>
      <c r="F2541" s="18" t="s">
        <v>5144</v>
      </c>
      <c r="G2541" s="18" t="s">
        <v>619</v>
      </c>
      <c r="H2541" s="18" t="s">
        <v>1435</v>
      </c>
      <c r="I2541" s="20" t="s">
        <v>5145</v>
      </c>
      <c r="J2541" s="18" t="s">
        <v>832</v>
      </c>
      <c r="K2541" s="18" t="s">
        <v>24</v>
      </c>
      <c r="L2541" s="18" t="s">
        <v>25</v>
      </c>
      <c r="N2541" s="18" t="s">
        <v>154</v>
      </c>
    </row>
    <row r="2542" spans="1:14" ht="15" customHeight="1" x14ac:dyDescent="0.3">
      <c r="A2542" s="18" t="s">
        <v>4913</v>
      </c>
      <c r="B2542" s="19" t="s">
        <v>15</v>
      </c>
      <c r="C2542" s="18" t="s">
        <v>4914</v>
      </c>
      <c r="D2542" s="18" t="s">
        <v>116</v>
      </c>
      <c r="E2542" s="18" t="s">
        <v>74</v>
      </c>
      <c r="F2542" s="18" t="s">
        <v>5146</v>
      </c>
      <c r="G2542" s="18" t="s">
        <v>619</v>
      </c>
      <c r="H2542" s="18" t="s">
        <v>1435</v>
      </c>
      <c r="I2542" s="20" t="s">
        <v>5147</v>
      </c>
      <c r="J2542" s="18" t="s">
        <v>832</v>
      </c>
      <c r="K2542" s="18" t="s">
        <v>24</v>
      </c>
      <c r="L2542" s="18" t="s">
        <v>25</v>
      </c>
      <c r="N2542" s="18" t="s">
        <v>154</v>
      </c>
    </row>
    <row r="2543" spans="1:14" ht="15" customHeight="1" x14ac:dyDescent="0.3">
      <c r="A2543" s="18" t="s">
        <v>4913</v>
      </c>
      <c r="B2543" s="19" t="s">
        <v>15</v>
      </c>
      <c r="C2543" s="18" t="s">
        <v>4914</v>
      </c>
      <c r="D2543" s="18" t="s">
        <v>116</v>
      </c>
      <c r="E2543" s="18" t="s">
        <v>74</v>
      </c>
      <c r="F2543" s="18" t="s">
        <v>5148</v>
      </c>
      <c r="G2543" s="18" t="s">
        <v>619</v>
      </c>
      <c r="H2543" s="18" t="s">
        <v>1435</v>
      </c>
      <c r="I2543" s="20" t="s">
        <v>5149</v>
      </c>
      <c r="J2543" s="18" t="s">
        <v>832</v>
      </c>
      <c r="K2543" s="18" t="s">
        <v>24</v>
      </c>
      <c r="L2543" s="18" t="s">
        <v>25</v>
      </c>
      <c r="N2543" s="18" t="s">
        <v>154</v>
      </c>
    </row>
    <row r="2544" spans="1:14" ht="15" customHeight="1" x14ac:dyDescent="0.3">
      <c r="A2544" s="18" t="s">
        <v>4913</v>
      </c>
      <c r="B2544" s="19" t="s">
        <v>15</v>
      </c>
      <c r="C2544" s="18" t="s">
        <v>4914</v>
      </c>
      <c r="D2544" s="18" t="s">
        <v>116</v>
      </c>
      <c r="E2544" s="18" t="s">
        <v>74</v>
      </c>
      <c r="F2544" s="18" t="s">
        <v>5150</v>
      </c>
      <c r="G2544" s="18" t="s">
        <v>564</v>
      </c>
      <c r="H2544" s="18" t="s">
        <v>1435</v>
      </c>
      <c r="I2544" s="20" t="s">
        <v>5151</v>
      </c>
      <c r="J2544" s="18" t="s">
        <v>832</v>
      </c>
      <c r="K2544" s="18" t="s">
        <v>24</v>
      </c>
      <c r="L2544" s="18" t="s">
        <v>25</v>
      </c>
      <c r="N2544" s="18" t="s">
        <v>154</v>
      </c>
    </row>
    <row r="2545" spans="1:14" ht="15" customHeight="1" x14ac:dyDescent="0.3">
      <c r="A2545" s="18" t="s">
        <v>4913</v>
      </c>
      <c r="B2545" s="19" t="s">
        <v>15</v>
      </c>
      <c r="C2545" s="18" t="s">
        <v>4914</v>
      </c>
      <c r="D2545" s="18" t="s">
        <v>116</v>
      </c>
      <c r="E2545" s="18" t="s">
        <v>74</v>
      </c>
      <c r="F2545" s="18" t="s">
        <v>3398</v>
      </c>
      <c r="G2545" s="18" t="s">
        <v>85</v>
      </c>
      <c r="H2545" s="18" t="s">
        <v>1435</v>
      </c>
      <c r="I2545" s="20" t="s">
        <v>5152</v>
      </c>
      <c r="J2545" s="18" t="s">
        <v>5140</v>
      </c>
      <c r="K2545" s="18" t="s">
        <v>24</v>
      </c>
      <c r="L2545" s="18" t="s">
        <v>25</v>
      </c>
      <c r="N2545" s="18" t="s">
        <v>154</v>
      </c>
    </row>
    <row r="2546" spans="1:14" ht="15" customHeight="1" x14ac:dyDescent="0.3">
      <c r="A2546" s="18" t="s">
        <v>4913</v>
      </c>
      <c r="B2546" s="19" t="s">
        <v>15</v>
      </c>
      <c r="C2546" s="18" t="s">
        <v>4914</v>
      </c>
      <c r="D2546" s="18" t="s">
        <v>116</v>
      </c>
      <c r="E2546" s="18" t="s">
        <v>74</v>
      </c>
      <c r="F2546" s="18" t="s">
        <v>5153</v>
      </c>
      <c r="G2546" s="18" t="s">
        <v>1019</v>
      </c>
      <c r="H2546" s="18" t="s">
        <v>5154</v>
      </c>
      <c r="I2546" s="20" t="s">
        <v>5155</v>
      </c>
      <c r="J2546" s="18" t="s">
        <v>832</v>
      </c>
      <c r="K2546" s="18" t="s">
        <v>24</v>
      </c>
      <c r="L2546" s="18" t="s">
        <v>25</v>
      </c>
      <c r="N2546" s="18" t="s">
        <v>154</v>
      </c>
    </row>
    <row r="2547" spans="1:14" ht="15" customHeight="1" x14ac:dyDescent="0.3">
      <c r="A2547" s="18" t="s">
        <v>4913</v>
      </c>
      <c r="B2547" s="19" t="s">
        <v>15</v>
      </c>
      <c r="C2547" s="18" t="s">
        <v>4914</v>
      </c>
      <c r="D2547" s="18" t="s">
        <v>116</v>
      </c>
      <c r="E2547" s="18" t="s">
        <v>74</v>
      </c>
      <c r="F2547" s="18" t="s">
        <v>5156</v>
      </c>
      <c r="G2547" s="18" t="s">
        <v>1019</v>
      </c>
      <c r="H2547" s="18" t="s">
        <v>5154</v>
      </c>
      <c r="I2547" s="20" t="s">
        <v>5157</v>
      </c>
      <c r="J2547" s="18" t="s">
        <v>832</v>
      </c>
      <c r="K2547" s="18" t="s">
        <v>24</v>
      </c>
      <c r="L2547" s="18" t="s">
        <v>25</v>
      </c>
      <c r="N2547" s="18" t="s">
        <v>154</v>
      </c>
    </row>
    <row r="2548" spans="1:14" ht="15" customHeight="1" x14ac:dyDescent="0.3">
      <c r="A2548" s="18" t="s">
        <v>4913</v>
      </c>
      <c r="B2548" s="19" t="s">
        <v>15</v>
      </c>
      <c r="C2548" s="18" t="s">
        <v>4914</v>
      </c>
      <c r="D2548" s="18" t="s">
        <v>116</v>
      </c>
      <c r="E2548" s="18" t="s">
        <v>74</v>
      </c>
      <c r="F2548" s="18" t="s">
        <v>1749</v>
      </c>
      <c r="G2548" s="18" t="s">
        <v>536</v>
      </c>
      <c r="H2548" s="18" t="s">
        <v>1435</v>
      </c>
      <c r="I2548" s="20" t="s">
        <v>5158</v>
      </c>
      <c r="J2548" s="18" t="s">
        <v>832</v>
      </c>
      <c r="K2548" s="18" t="s">
        <v>24</v>
      </c>
      <c r="L2548" s="18" t="s">
        <v>25</v>
      </c>
      <c r="N2548" s="18" t="s">
        <v>154</v>
      </c>
    </row>
    <row r="2549" spans="1:14" ht="15" customHeight="1" x14ac:dyDescent="0.3">
      <c r="A2549" s="18" t="s">
        <v>4913</v>
      </c>
      <c r="B2549" s="19" t="s">
        <v>15</v>
      </c>
      <c r="C2549" s="18" t="s">
        <v>4914</v>
      </c>
      <c r="D2549" s="18" t="s">
        <v>116</v>
      </c>
      <c r="E2549" s="18" t="s">
        <v>74</v>
      </c>
      <c r="F2549" s="18" t="s">
        <v>5159</v>
      </c>
      <c r="G2549" s="18" t="s">
        <v>41</v>
      </c>
      <c r="H2549" s="18" t="s">
        <v>1435</v>
      </c>
      <c r="I2549" s="20" t="s">
        <v>5160</v>
      </c>
      <c r="J2549" s="18" t="s">
        <v>5123</v>
      </c>
      <c r="K2549" s="18" t="s">
        <v>24</v>
      </c>
      <c r="L2549" s="18" t="s">
        <v>25</v>
      </c>
      <c r="N2549" s="18" t="s">
        <v>154</v>
      </c>
    </row>
    <row r="2550" spans="1:14" ht="15" customHeight="1" x14ac:dyDescent="0.3">
      <c r="A2550" s="18" t="s">
        <v>4913</v>
      </c>
      <c r="B2550" s="19" t="s">
        <v>15</v>
      </c>
      <c r="C2550" s="18" t="s">
        <v>2476</v>
      </c>
      <c r="D2550" s="18" t="s">
        <v>116</v>
      </c>
      <c r="E2550" s="18" t="s">
        <v>74</v>
      </c>
      <c r="F2550" s="18" t="s">
        <v>5161</v>
      </c>
      <c r="G2550" s="18" t="s">
        <v>536</v>
      </c>
      <c r="H2550" s="18" t="s">
        <v>1435</v>
      </c>
      <c r="I2550" s="20" t="s">
        <v>5162</v>
      </c>
      <c r="J2550" s="18" t="s">
        <v>1884</v>
      </c>
      <c r="K2550" s="18" t="s">
        <v>24</v>
      </c>
      <c r="L2550" s="18" t="s">
        <v>25</v>
      </c>
      <c r="N2550" s="18" t="s">
        <v>807</v>
      </c>
    </row>
    <row r="2551" spans="1:14" ht="15" customHeight="1" x14ac:dyDescent="0.3">
      <c r="A2551" s="18" t="s">
        <v>4913</v>
      </c>
      <c r="B2551" s="19" t="s">
        <v>15</v>
      </c>
      <c r="C2551" s="18" t="s">
        <v>4914</v>
      </c>
      <c r="D2551" s="18" t="s">
        <v>116</v>
      </c>
      <c r="E2551" s="18" t="s">
        <v>74</v>
      </c>
      <c r="F2551" s="18" t="s">
        <v>4335</v>
      </c>
      <c r="G2551" s="18" t="s">
        <v>28</v>
      </c>
      <c r="H2551" s="18" t="s">
        <v>5136</v>
      </c>
      <c r="I2551" s="20" t="s">
        <v>5163</v>
      </c>
      <c r="J2551" s="18" t="s">
        <v>832</v>
      </c>
      <c r="K2551" s="18" t="s">
        <v>24</v>
      </c>
      <c r="L2551" s="18" t="s">
        <v>25</v>
      </c>
      <c r="N2551" s="18" t="s">
        <v>154</v>
      </c>
    </row>
    <row r="2552" spans="1:14" ht="15" customHeight="1" x14ac:dyDescent="0.3">
      <c r="A2552" s="18" t="s">
        <v>4913</v>
      </c>
      <c r="B2552" s="19" t="s">
        <v>15</v>
      </c>
      <c r="C2552" s="18" t="s">
        <v>4914</v>
      </c>
      <c r="D2552" s="18" t="s">
        <v>116</v>
      </c>
      <c r="E2552" s="18" t="s">
        <v>74</v>
      </c>
      <c r="F2552" s="18" t="s">
        <v>5164</v>
      </c>
      <c r="G2552" s="18" t="s">
        <v>564</v>
      </c>
      <c r="H2552" s="18" t="s">
        <v>1435</v>
      </c>
      <c r="I2552" s="20" t="s">
        <v>5165</v>
      </c>
      <c r="J2552" s="18" t="s">
        <v>5123</v>
      </c>
      <c r="K2552" s="18" t="s">
        <v>24</v>
      </c>
      <c r="L2552" s="18" t="s">
        <v>25</v>
      </c>
      <c r="N2552" s="18" t="s">
        <v>154</v>
      </c>
    </row>
    <row r="2553" spans="1:14" ht="15" customHeight="1" x14ac:dyDescent="0.3">
      <c r="A2553" s="18" t="s">
        <v>4913</v>
      </c>
      <c r="B2553" s="19" t="s">
        <v>15</v>
      </c>
      <c r="C2553" s="18" t="s">
        <v>437</v>
      </c>
      <c r="D2553" s="18" t="s">
        <v>116</v>
      </c>
      <c r="E2553" s="18" t="s">
        <v>74</v>
      </c>
      <c r="F2553" s="18" t="s">
        <v>1318</v>
      </c>
      <c r="G2553" s="18" t="s">
        <v>207</v>
      </c>
      <c r="H2553" s="18" t="s">
        <v>5166</v>
      </c>
      <c r="I2553" s="20" t="s">
        <v>5167</v>
      </c>
      <c r="J2553" s="18" t="s">
        <v>5168</v>
      </c>
      <c r="K2553" s="18" t="s">
        <v>293</v>
      </c>
      <c r="L2553" s="18" t="s">
        <v>25</v>
      </c>
      <c r="N2553" s="18" t="s">
        <v>441</v>
      </c>
    </row>
    <row r="2554" spans="1:14" ht="15" customHeight="1" x14ac:dyDescent="0.3">
      <c r="A2554" s="18" t="s">
        <v>4913</v>
      </c>
      <c r="B2554" s="19" t="s">
        <v>15</v>
      </c>
      <c r="C2554" s="18" t="s">
        <v>4914</v>
      </c>
      <c r="D2554" s="18" t="s">
        <v>116</v>
      </c>
      <c r="E2554" s="18" t="s">
        <v>74</v>
      </c>
      <c r="F2554" s="18" t="s">
        <v>5169</v>
      </c>
      <c r="G2554" s="18" t="s">
        <v>207</v>
      </c>
      <c r="H2554" s="18" t="s">
        <v>1435</v>
      </c>
      <c r="I2554" s="20" t="s">
        <v>5170</v>
      </c>
      <c r="J2554" s="18" t="s">
        <v>832</v>
      </c>
      <c r="K2554" s="18" t="s">
        <v>24</v>
      </c>
      <c r="L2554" s="18" t="s">
        <v>25</v>
      </c>
      <c r="N2554" s="18" t="s">
        <v>154</v>
      </c>
    </row>
    <row r="2555" spans="1:14" ht="15" customHeight="1" x14ac:dyDescent="0.3">
      <c r="A2555" s="18" t="s">
        <v>4913</v>
      </c>
      <c r="B2555" s="19" t="s">
        <v>15</v>
      </c>
      <c r="C2555" s="18" t="s">
        <v>4914</v>
      </c>
      <c r="D2555" s="18" t="s">
        <v>116</v>
      </c>
      <c r="E2555" s="18" t="s">
        <v>74</v>
      </c>
      <c r="F2555" s="18" t="s">
        <v>5171</v>
      </c>
      <c r="G2555" s="18" t="s">
        <v>619</v>
      </c>
      <c r="H2555" s="18" t="s">
        <v>1435</v>
      </c>
      <c r="I2555" s="20" t="s">
        <v>5172</v>
      </c>
      <c r="J2555" s="18" t="s">
        <v>832</v>
      </c>
      <c r="K2555" s="18" t="s">
        <v>24</v>
      </c>
      <c r="L2555" s="18" t="s">
        <v>25</v>
      </c>
      <c r="N2555" s="18" t="s">
        <v>154</v>
      </c>
    </row>
    <row r="2556" spans="1:14" ht="15" customHeight="1" x14ac:dyDescent="0.3">
      <c r="A2556" s="18" t="s">
        <v>4913</v>
      </c>
      <c r="B2556" s="19" t="s">
        <v>15</v>
      </c>
      <c r="C2556" s="18" t="s">
        <v>2476</v>
      </c>
      <c r="D2556" s="18" t="s">
        <v>116</v>
      </c>
      <c r="E2556" s="18" t="s">
        <v>74</v>
      </c>
      <c r="F2556" s="18" t="s">
        <v>5173</v>
      </c>
      <c r="G2556" s="18" t="s">
        <v>41</v>
      </c>
      <c r="H2556" s="18" t="s">
        <v>1435</v>
      </c>
      <c r="I2556" s="20" t="s">
        <v>5174</v>
      </c>
      <c r="J2556" s="18" t="s">
        <v>1884</v>
      </c>
      <c r="K2556" s="18" t="s">
        <v>24</v>
      </c>
      <c r="L2556" s="18" t="s">
        <v>25</v>
      </c>
      <c r="N2556" s="18" t="s">
        <v>807</v>
      </c>
    </row>
    <row r="2557" spans="1:14" ht="15" customHeight="1" x14ac:dyDescent="0.3">
      <c r="A2557" s="18" t="s">
        <v>4913</v>
      </c>
      <c r="B2557" s="19" t="s">
        <v>15</v>
      </c>
      <c r="C2557" s="18" t="s">
        <v>2476</v>
      </c>
      <c r="D2557" s="18" t="s">
        <v>116</v>
      </c>
      <c r="E2557" s="18" t="s">
        <v>74</v>
      </c>
      <c r="F2557" s="18" t="s">
        <v>3437</v>
      </c>
      <c r="G2557" s="18" t="s">
        <v>619</v>
      </c>
      <c r="H2557" s="18" t="s">
        <v>1435</v>
      </c>
      <c r="I2557" s="20" t="s">
        <v>5175</v>
      </c>
      <c r="J2557" s="18" t="s">
        <v>1884</v>
      </c>
      <c r="K2557" s="18" t="s">
        <v>24</v>
      </c>
      <c r="L2557" s="18" t="s">
        <v>25</v>
      </c>
      <c r="N2557" s="18" t="s">
        <v>807</v>
      </c>
    </row>
    <row r="2558" spans="1:14" ht="15" customHeight="1" x14ac:dyDescent="0.3">
      <c r="A2558" s="18" t="s">
        <v>4913</v>
      </c>
      <c r="B2558" s="19" t="s">
        <v>15</v>
      </c>
      <c r="C2558" s="18" t="s">
        <v>4914</v>
      </c>
      <c r="D2558" s="18" t="s">
        <v>116</v>
      </c>
      <c r="E2558" s="18" t="s">
        <v>74</v>
      </c>
      <c r="F2558" s="18" t="s">
        <v>5176</v>
      </c>
      <c r="G2558" s="18" t="s">
        <v>1019</v>
      </c>
      <c r="H2558" s="18" t="s">
        <v>5154</v>
      </c>
      <c r="I2558" s="20" t="s">
        <v>5177</v>
      </c>
      <c r="J2558" s="18" t="s">
        <v>832</v>
      </c>
      <c r="K2558" s="18" t="s">
        <v>24</v>
      </c>
      <c r="L2558" s="18" t="s">
        <v>25</v>
      </c>
      <c r="N2558" s="18" t="s">
        <v>154</v>
      </c>
    </row>
    <row r="2559" spans="1:14" ht="15" customHeight="1" x14ac:dyDescent="0.3">
      <c r="A2559" s="18" t="s">
        <v>4913</v>
      </c>
      <c r="B2559" s="19" t="s">
        <v>15</v>
      </c>
      <c r="C2559" s="18" t="s">
        <v>4914</v>
      </c>
      <c r="D2559" s="18" t="s">
        <v>116</v>
      </c>
      <c r="E2559" s="18" t="s">
        <v>74</v>
      </c>
      <c r="F2559" s="18" t="s">
        <v>5178</v>
      </c>
      <c r="G2559" s="18" t="s">
        <v>63</v>
      </c>
      <c r="H2559" s="18" t="s">
        <v>5179</v>
      </c>
      <c r="I2559" s="20" t="s">
        <v>5180</v>
      </c>
      <c r="J2559" s="18" t="s">
        <v>832</v>
      </c>
      <c r="K2559" s="18" t="s">
        <v>24</v>
      </c>
      <c r="L2559" s="18" t="s">
        <v>25</v>
      </c>
      <c r="N2559" s="18" t="s">
        <v>154</v>
      </c>
    </row>
    <row r="2560" spans="1:14" ht="15" customHeight="1" x14ac:dyDescent="0.3">
      <c r="A2560" s="18" t="s">
        <v>4913</v>
      </c>
      <c r="B2560" s="19" t="s">
        <v>15</v>
      </c>
      <c r="C2560" s="18" t="s">
        <v>2476</v>
      </c>
      <c r="D2560" s="18" t="s">
        <v>116</v>
      </c>
      <c r="E2560" s="18" t="s">
        <v>74</v>
      </c>
      <c r="F2560" s="18" t="s">
        <v>5181</v>
      </c>
      <c r="G2560" s="18" t="s">
        <v>536</v>
      </c>
      <c r="H2560" s="18" t="s">
        <v>1435</v>
      </c>
      <c r="I2560" s="20" t="s">
        <v>5182</v>
      </c>
      <c r="J2560" s="18" t="s">
        <v>1884</v>
      </c>
      <c r="K2560" s="18" t="s">
        <v>24</v>
      </c>
      <c r="L2560" s="18" t="s">
        <v>25</v>
      </c>
      <c r="N2560" s="18" t="s">
        <v>807</v>
      </c>
    </row>
    <row r="2561" spans="1:14" ht="15" customHeight="1" x14ac:dyDescent="0.3">
      <c r="A2561" s="18" t="s">
        <v>4913</v>
      </c>
      <c r="B2561" s="19" t="s">
        <v>15</v>
      </c>
      <c r="C2561" s="18" t="s">
        <v>4914</v>
      </c>
      <c r="D2561" s="18" t="s">
        <v>116</v>
      </c>
      <c r="E2561" s="18" t="s">
        <v>74</v>
      </c>
      <c r="F2561" s="18" t="s">
        <v>5183</v>
      </c>
      <c r="G2561" s="18" t="s">
        <v>28</v>
      </c>
      <c r="H2561" s="18" t="s">
        <v>5136</v>
      </c>
      <c r="I2561" s="20" t="s">
        <v>5184</v>
      </c>
      <c r="J2561" s="18" t="s">
        <v>449</v>
      </c>
      <c r="K2561" s="18" t="s">
        <v>293</v>
      </c>
      <c r="L2561" s="18" t="s">
        <v>25</v>
      </c>
      <c r="N2561" s="18" t="s">
        <v>154</v>
      </c>
    </row>
    <row r="2562" spans="1:14" ht="15" customHeight="1" x14ac:dyDescent="0.3">
      <c r="A2562" s="18" t="s">
        <v>5185</v>
      </c>
      <c r="B2562" s="19" t="s">
        <v>15</v>
      </c>
      <c r="C2562" s="18" t="s">
        <v>149</v>
      </c>
      <c r="D2562" s="18" t="s">
        <v>116</v>
      </c>
      <c r="E2562" s="18" t="s">
        <v>117</v>
      </c>
      <c r="F2562" s="18" t="s">
        <v>1623</v>
      </c>
      <c r="G2562" s="18" t="s">
        <v>263</v>
      </c>
      <c r="H2562" s="18" t="s">
        <v>2152</v>
      </c>
      <c r="I2562" s="20" t="s">
        <v>5186</v>
      </c>
      <c r="J2562" s="18" t="s">
        <v>58</v>
      </c>
      <c r="K2562" s="18" t="s">
        <v>24</v>
      </c>
      <c r="L2562" s="18" t="s">
        <v>25</v>
      </c>
      <c r="N2562" s="18" t="s">
        <v>154</v>
      </c>
    </row>
    <row r="2563" spans="1:14" ht="15" customHeight="1" x14ac:dyDescent="0.3">
      <c r="A2563" s="18" t="s">
        <v>5185</v>
      </c>
      <c r="B2563" s="19" t="s">
        <v>15</v>
      </c>
      <c r="C2563" s="18" t="s">
        <v>5187</v>
      </c>
      <c r="D2563" s="18" t="s">
        <v>116</v>
      </c>
      <c r="E2563" s="18" t="s">
        <v>117</v>
      </c>
      <c r="F2563" s="18" t="s">
        <v>5188</v>
      </c>
      <c r="G2563" s="18" t="s">
        <v>913</v>
      </c>
      <c r="H2563" s="18" t="s">
        <v>5189</v>
      </c>
      <c r="I2563" s="20" t="s">
        <v>5190</v>
      </c>
      <c r="J2563" s="18" t="s">
        <v>58</v>
      </c>
      <c r="K2563" s="18" t="s">
        <v>24</v>
      </c>
      <c r="L2563" s="18" t="s">
        <v>25</v>
      </c>
      <c r="N2563" s="18" t="s">
        <v>973</v>
      </c>
    </row>
    <row r="2564" spans="1:14" ht="15" customHeight="1" x14ac:dyDescent="0.3">
      <c r="A2564" s="18" t="s">
        <v>5185</v>
      </c>
      <c r="B2564" s="19" t="s">
        <v>15</v>
      </c>
      <c r="C2564" s="18" t="s">
        <v>5187</v>
      </c>
      <c r="D2564" s="18" t="s">
        <v>116</v>
      </c>
      <c r="E2564" s="18" t="s">
        <v>117</v>
      </c>
      <c r="F2564" s="18" t="s">
        <v>3130</v>
      </c>
      <c r="G2564" s="18" t="s">
        <v>537</v>
      </c>
      <c r="H2564" s="18" t="s">
        <v>5189</v>
      </c>
      <c r="I2564" s="20" t="s">
        <v>5191</v>
      </c>
      <c r="J2564" s="18" t="s">
        <v>58</v>
      </c>
      <c r="K2564" s="18" t="s">
        <v>24</v>
      </c>
      <c r="L2564" s="18" t="s">
        <v>25</v>
      </c>
      <c r="N2564" s="18" t="s">
        <v>973</v>
      </c>
    </row>
    <row r="2565" spans="1:14" ht="15" customHeight="1" x14ac:dyDescent="0.3">
      <c r="A2565" s="18" t="s">
        <v>5185</v>
      </c>
      <c r="B2565" s="19" t="s">
        <v>15</v>
      </c>
      <c r="C2565" s="18" t="s">
        <v>5192</v>
      </c>
      <c r="D2565" s="18" t="s">
        <v>116</v>
      </c>
      <c r="E2565" s="18" t="s">
        <v>117</v>
      </c>
      <c r="F2565" s="18" t="s">
        <v>5193</v>
      </c>
      <c r="G2565" s="18" t="s">
        <v>5194</v>
      </c>
      <c r="H2565" s="18" t="s">
        <v>5195</v>
      </c>
      <c r="I2565" s="20" t="s">
        <v>5196</v>
      </c>
      <c r="J2565" s="18" t="s">
        <v>58</v>
      </c>
      <c r="K2565" s="18" t="s">
        <v>24</v>
      </c>
      <c r="L2565" s="18" t="s">
        <v>25</v>
      </c>
      <c r="N2565" s="18" t="s">
        <v>154</v>
      </c>
    </row>
    <row r="2566" spans="1:14" ht="15" customHeight="1" x14ac:dyDescent="0.3">
      <c r="A2566" s="18" t="s">
        <v>5185</v>
      </c>
      <c r="B2566" s="19" t="s">
        <v>15</v>
      </c>
      <c r="C2566" s="18" t="s">
        <v>5187</v>
      </c>
      <c r="D2566" s="18" t="s">
        <v>116</v>
      </c>
      <c r="E2566" s="18" t="s">
        <v>117</v>
      </c>
      <c r="F2566" s="18" t="s">
        <v>5197</v>
      </c>
      <c r="G2566" s="18" t="s">
        <v>629</v>
      </c>
      <c r="H2566" s="18" t="s">
        <v>5189</v>
      </c>
      <c r="I2566" s="20" t="s">
        <v>5198</v>
      </c>
      <c r="J2566" s="18" t="s">
        <v>58</v>
      </c>
      <c r="K2566" s="18" t="s">
        <v>24</v>
      </c>
      <c r="L2566" s="18" t="s">
        <v>25</v>
      </c>
      <c r="N2566" s="18" t="s">
        <v>973</v>
      </c>
    </row>
    <row r="2567" spans="1:14" ht="15" customHeight="1" x14ac:dyDescent="0.3">
      <c r="A2567" s="18" t="s">
        <v>5185</v>
      </c>
      <c r="B2567" s="19" t="s">
        <v>15</v>
      </c>
      <c r="C2567" s="18" t="s">
        <v>149</v>
      </c>
      <c r="D2567" s="18" t="s">
        <v>116</v>
      </c>
      <c r="E2567" s="18" t="s">
        <v>117</v>
      </c>
      <c r="F2567" s="18" t="s">
        <v>5199</v>
      </c>
      <c r="G2567" s="18" t="s">
        <v>5200</v>
      </c>
      <c r="H2567" s="18" t="s">
        <v>2152</v>
      </c>
      <c r="I2567" s="20" t="s">
        <v>5201</v>
      </c>
      <c r="J2567" s="18" t="s">
        <v>58</v>
      </c>
      <c r="K2567" s="18" t="s">
        <v>24</v>
      </c>
      <c r="L2567" s="18" t="s">
        <v>25</v>
      </c>
      <c r="N2567" s="18" t="s">
        <v>154</v>
      </c>
    </row>
    <row r="2568" spans="1:14" ht="15" customHeight="1" x14ac:dyDescent="0.3">
      <c r="A2568" s="18" t="s">
        <v>5185</v>
      </c>
      <c r="B2568" s="19" t="s">
        <v>15</v>
      </c>
      <c r="C2568" s="18" t="s">
        <v>149</v>
      </c>
      <c r="D2568" s="18" t="s">
        <v>116</v>
      </c>
      <c r="E2568" s="18" t="s">
        <v>117</v>
      </c>
      <c r="F2568" s="18" t="s">
        <v>4133</v>
      </c>
      <c r="G2568" s="18" t="s">
        <v>1075</v>
      </c>
      <c r="H2568" s="18" t="s">
        <v>5202</v>
      </c>
      <c r="I2568" s="20" t="s">
        <v>5203</v>
      </c>
      <c r="J2568" s="18" t="s">
        <v>58</v>
      </c>
      <c r="K2568" s="18" t="s">
        <v>24</v>
      </c>
      <c r="L2568" s="18" t="s">
        <v>25</v>
      </c>
      <c r="N2568" s="18" t="s">
        <v>154</v>
      </c>
    </row>
    <row r="2569" spans="1:14" ht="15" customHeight="1" x14ac:dyDescent="0.3">
      <c r="A2569" s="18" t="s">
        <v>5185</v>
      </c>
      <c r="B2569" s="19" t="s">
        <v>15</v>
      </c>
      <c r="C2569" s="18" t="s">
        <v>5204</v>
      </c>
      <c r="D2569" s="18" t="s">
        <v>116</v>
      </c>
      <c r="E2569" s="18" t="s">
        <v>117</v>
      </c>
      <c r="F2569" s="18" t="s">
        <v>5205</v>
      </c>
      <c r="G2569" s="18" t="s">
        <v>47</v>
      </c>
      <c r="H2569" s="18" t="s">
        <v>3343</v>
      </c>
      <c r="I2569" s="20" t="s">
        <v>5206</v>
      </c>
      <c r="J2569" s="18" t="s">
        <v>58</v>
      </c>
      <c r="K2569" s="18" t="s">
        <v>24</v>
      </c>
      <c r="L2569" s="18" t="s">
        <v>25</v>
      </c>
      <c r="N2569" s="18" t="s">
        <v>973</v>
      </c>
    </row>
    <row r="2570" spans="1:14" ht="15" customHeight="1" x14ac:dyDescent="0.3">
      <c r="A2570" s="18" t="s">
        <v>5185</v>
      </c>
      <c r="B2570" s="19" t="s">
        <v>15</v>
      </c>
      <c r="C2570" s="18" t="s">
        <v>149</v>
      </c>
      <c r="D2570" s="18" t="s">
        <v>116</v>
      </c>
      <c r="E2570" s="18" t="s">
        <v>117</v>
      </c>
      <c r="F2570" s="18" t="s">
        <v>5207</v>
      </c>
      <c r="G2570" s="18" t="s">
        <v>913</v>
      </c>
      <c r="H2570" s="18" t="s">
        <v>5208</v>
      </c>
      <c r="I2570" s="20" t="s">
        <v>5209</v>
      </c>
      <c r="J2570" s="18" t="s">
        <v>58</v>
      </c>
      <c r="K2570" s="18" t="s">
        <v>24</v>
      </c>
      <c r="L2570" s="18" t="s">
        <v>25</v>
      </c>
      <c r="N2570" s="18" t="s">
        <v>154</v>
      </c>
    </row>
    <row r="2571" spans="1:14" ht="15" customHeight="1" x14ac:dyDescent="0.3">
      <c r="A2571" s="18" t="s">
        <v>5185</v>
      </c>
      <c r="B2571" s="19" t="s">
        <v>15</v>
      </c>
      <c r="C2571" s="18" t="s">
        <v>149</v>
      </c>
      <c r="D2571" s="18" t="s">
        <v>116</v>
      </c>
      <c r="E2571" s="18" t="s">
        <v>117</v>
      </c>
      <c r="F2571" s="18" t="s">
        <v>5210</v>
      </c>
      <c r="G2571" s="18" t="s">
        <v>433</v>
      </c>
      <c r="H2571" s="18" t="s">
        <v>5208</v>
      </c>
      <c r="I2571" s="20" t="s">
        <v>5211</v>
      </c>
      <c r="J2571" s="18" t="s">
        <v>58</v>
      </c>
      <c r="K2571" s="18" t="s">
        <v>24</v>
      </c>
      <c r="L2571" s="18" t="s">
        <v>25</v>
      </c>
      <c r="N2571" s="18" t="s">
        <v>154</v>
      </c>
    </row>
    <row r="2572" spans="1:14" ht="15" customHeight="1" x14ac:dyDescent="0.3">
      <c r="A2572" s="18" t="s">
        <v>5185</v>
      </c>
      <c r="B2572" s="19" t="s">
        <v>15</v>
      </c>
      <c r="C2572" s="18" t="s">
        <v>149</v>
      </c>
      <c r="D2572" s="18" t="s">
        <v>116</v>
      </c>
      <c r="E2572" s="18" t="s">
        <v>117</v>
      </c>
      <c r="F2572" s="18" t="s">
        <v>5212</v>
      </c>
      <c r="G2572" s="18" t="s">
        <v>429</v>
      </c>
      <c r="H2572" s="18" t="s">
        <v>5208</v>
      </c>
      <c r="I2572" s="20" t="s">
        <v>5213</v>
      </c>
      <c r="J2572" s="18" t="s">
        <v>58</v>
      </c>
      <c r="K2572" s="18" t="s">
        <v>24</v>
      </c>
      <c r="L2572" s="18" t="s">
        <v>25</v>
      </c>
      <c r="N2572" s="18" t="s">
        <v>154</v>
      </c>
    </row>
    <row r="2573" spans="1:14" ht="15" customHeight="1" x14ac:dyDescent="0.3">
      <c r="A2573" s="18" t="s">
        <v>5185</v>
      </c>
      <c r="B2573" s="19" t="s">
        <v>15</v>
      </c>
      <c r="C2573" s="18" t="s">
        <v>5204</v>
      </c>
      <c r="D2573" s="18" t="s">
        <v>116</v>
      </c>
      <c r="E2573" s="18" t="s">
        <v>117</v>
      </c>
      <c r="F2573" s="18" t="s">
        <v>1917</v>
      </c>
      <c r="G2573" s="18" t="s">
        <v>47</v>
      </c>
      <c r="H2573" s="18" t="s">
        <v>3343</v>
      </c>
      <c r="I2573" s="20" t="s">
        <v>5214</v>
      </c>
      <c r="J2573" s="18" t="s">
        <v>58</v>
      </c>
      <c r="K2573" s="18" t="s">
        <v>24</v>
      </c>
      <c r="L2573" s="18" t="s">
        <v>25</v>
      </c>
      <c r="N2573" s="18" t="s">
        <v>973</v>
      </c>
    </row>
    <row r="2574" spans="1:14" ht="15" customHeight="1" x14ac:dyDescent="0.3">
      <c r="A2574" s="18" t="s">
        <v>5185</v>
      </c>
      <c r="B2574" s="19" t="s">
        <v>15</v>
      </c>
      <c r="C2574" s="18" t="s">
        <v>149</v>
      </c>
      <c r="D2574" s="18" t="s">
        <v>116</v>
      </c>
      <c r="E2574" s="18" t="s">
        <v>117</v>
      </c>
      <c r="F2574" s="18" t="s">
        <v>5215</v>
      </c>
      <c r="G2574" s="18" t="s">
        <v>47</v>
      </c>
      <c r="H2574" s="18" t="s">
        <v>5202</v>
      </c>
      <c r="I2574" s="20" t="s">
        <v>5216</v>
      </c>
      <c r="J2574" s="18" t="s">
        <v>58</v>
      </c>
      <c r="K2574" s="18" t="s">
        <v>24</v>
      </c>
      <c r="L2574" s="18" t="s">
        <v>25</v>
      </c>
      <c r="N2574" s="18" t="s">
        <v>154</v>
      </c>
    </row>
    <row r="2575" spans="1:14" ht="15" customHeight="1" x14ac:dyDescent="0.3">
      <c r="A2575" s="18" t="s">
        <v>5185</v>
      </c>
      <c r="B2575" s="19" t="s">
        <v>15</v>
      </c>
      <c r="C2575" s="18" t="s">
        <v>5187</v>
      </c>
      <c r="D2575" s="18" t="s">
        <v>116</v>
      </c>
      <c r="E2575" s="18" t="s">
        <v>117</v>
      </c>
      <c r="F2575" s="18" t="s">
        <v>5217</v>
      </c>
      <c r="G2575" s="18" t="s">
        <v>1291</v>
      </c>
      <c r="H2575" s="18" t="s">
        <v>5218</v>
      </c>
      <c r="I2575" s="20" t="s">
        <v>5219</v>
      </c>
      <c r="J2575" s="18" t="s">
        <v>58</v>
      </c>
      <c r="K2575" s="18" t="s">
        <v>24</v>
      </c>
      <c r="L2575" s="18" t="s">
        <v>25</v>
      </c>
      <c r="N2575" s="18" t="s">
        <v>973</v>
      </c>
    </row>
    <row r="2576" spans="1:14" ht="15" customHeight="1" x14ac:dyDescent="0.3">
      <c r="A2576" s="18" t="s">
        <v>5185</v>
      </c>
      <c r="B2576" s="19" t="s">
        <v>15</v>
      </c>
      <c r="C2576" s="18" t="s">
        <v>5187</v>
      </c>
      <c r="D2576" s="18" t="s">
        <v>116</v>
      </c>
      <c r="E2576" s="18" t="s">
        <v>117</v>
      </c>
      <c r="F2576" s="18" t="s">
        <v>5220</v>
      </c>
      <c r="G2576" s="18" t="s">
        <v>28</v>
      </c>
      <c r="H2576" s="18" t="s">
        <v>5218</v>
      </c>
      <c r="I2576" s="20" t="s">
        <v>5221</v>
      </c>
      <c r="J2576" s="18" t="s">
        <v>58</v>
      </c>
      <c r="K2576" s="18" t="s">
        <v>24</v>
      </c>
      <c r="L2576" s="18" t="s">
        <v>25</v>
      </c>
      <c r="N2576" s="18" t="s">
        <v>973</v>
      </c>
    </row>
    <row r="2577" spans="1:14" ht="15" customHeight="1" x14ac:dyDescent="0.3">
      <c r="A2577" s="18" t="s">
        <v>5185</v>
      </c>
      <c r="B2577" s="19" t="s">
        <v>15</v>
      </c>
      <c r="C2577" s="18" t="s">
        <v>5187</v>
      </c>
      <c r="D2577" s="18" t="s">
        <v>116</v>
      </c>
      <c r="E2577" s="18" t="s">
        <v>117</v>
      </c>
      <c r="F2577" s="18" t="s">
        <v>5222</v>
      </c>
      <c r="G2577" s="18" t="s">
        <v>1291</v>
      </c>
      <c r="H2577" s="18" t="s">
        <v>5218</v>
      </c>
      <c r="I2577" s="20" t="s">
        <v>5223</v>
      </c>
      <c r="J2577" s="18" t="s">
        <v>58</v>
      </c>
      <c r="K2577" s="18" t="s">
        <v>24</v>
      </c>
      <c r="L2577" s="18" t="s">
        <v>25</v>
      </c>
      <c r="N2577" s="18" t="s">
        <v>973</v>
      </c>
    </row>
    <row r="2578" spans="1:14" ht="15" customHeight="1" x14ac:dyDescent="0.3">
      <c r="A2578" s="18" t="s">
        <v>5185</v>
      </c>
      <c r="B2578" s="19" t="s">
        <v>15</v>
      </c>
      <c r="C2578" s="18" t="s">
        <v>149</v>
      </c>
      <c r="D2578" s="18" t="s">
        <v>116</v>
      </c>
      <c r="E2578" s="18" t="s">
        <v>117</v>
      </c>
      <c r="F2578" s="18" t="s">
        <v>2015</v>
      </c>
      <c r="G2578" s="18" t="s">
        <v>1019</v>
      </c>
      <c r="H2578" s="18" t="s">
        <v>2152</v>
      </c>
      <c r="I2578" s="20" t="s">
        <v>5224</v>
      </c>
      <c r="J2578" s="18" t="s">
        <v>58</v>
      </c>
      <c r="K2578" s="18" t="s">
        <v>24</v>
      </c>
      <c r="L2578" s="18" t="s">
        <v>25</v>
      </c>
      <c r="N2578" s="18" t="s">
        <v>154</v>
      </c>
    </row>
    <row r="2579" spans="1:14" ht="15" customHeight="1" x14ac:dyDescent="0.3">
      <c r="A2579" s="18" t="s">
        <v>5185</v>
      </c>
      <c r="B2579" s="19" t="s">
        <v>15</v>
      </c>
      <c r="C2579" s="18" t="s">
        <v>149</v>
      </c>
      <c r="D2579" s="18" t="s">
        <v>116</v>
      </c>
      <c r="E2579" s="18" t="s">
        <v>117</v>
      </c>
      <c r="F2579" s="18" t="s">
        <v>5225</v>
      </c>
      <c r="G2579" s="18" t="s">
        <v>1204</v>
      </c>
      <c r="H2579" s="18" t="s">
        <v>5202</v>
      </c>
      <c r="I2579" s="20" t="s">
        <v>5226</v>
      </c>
      <c r="J2579" s="18" t="s">
        <v>58</v>
      </c>
      <c r="K2579" s="18" t="s">
        <v>24</v>
      </c>
      <c r="L2579" s="18" t="s">
        <v>25</v>
      </c>
      <c r="N2579" s="18" t="s">
        <v>154</v>
      </c>
    </row>
    <row r="2580" spans="1:14" ht="15" customHeight="1" x14ac:dyDescent="0.3">
      <c r="A2580" s="18" t="s">
        <v>5185</v>
      </c>
      <c r="B2580" s="19" t="s">
        <v>15</v>
      </c>
      <c r="C2580" s="18" t="s">
        <v>149</v>
      </c>
      <c r="D2580" s="18" t="s">
        <v>116</v>
      </c>
      <c r="E2580" s="18" t="s">
        <v>117</v>
      </c>
      <c r="F2580" s="18" t="s">
        <v>5227</v>
      </c>
      <c r="G2580" s="18" t="s">
        <v>212</v>
      </c>
      <c r="H2580" s="18" t="s">
        <v>5202</v>
      </c>
      <c r="I2580" s="20" t="s">
        <v>5228</v>
      </c>
      <c r="J2580" s="18" t="s">
        <v>58</v>
      </c>
      <c r="K2580" s="18" t="s">
        <v>24</v>
      </c>
      <c r="L2580" s="18" t="s">
        <v>25</v>
      </c>
      <c r="N2580" s="18" t="s">
        <v>154</v>
      </c>
    </row>
    <row r="2581" spans="1:14" ht="15" customHeight="1" x14ac:dyDescent="0.3">
      <c r="A2581" s="18" t="s">
        <v>5185</v>
      </c>
      <c r="B2581" s="19" t="s">
        <v>15</v>
      </c>
      <c r="C2581" s="18" t="s">
        <v>5187</v>
      </c>
      <c r="D2581" s="18" t="s">
        <v>116</v>
      </c>
      <c r="E2581" s="18" t="s">
        <v>117</v>
      </c>
      <c r="F2581" s="18" t="s">
        <v>5229</v>
      </c>
      <c r="G2581" s="18" t="s">
        <v>629</v>
      </c>
      <c r="H2581" s="18" t="s">
        <v>5189</v>
      </c>
      <c r="I2581" s="20" t="s">
        <v>5230</v>
      </c>
      <c r="J2581" s="18" t="s">
        <v>58</v>
      </c>
      <c r="K2581" s="18" t="s">
        <v>24</v>
      </c>
      <c r="L2581" s="18" t="s">
        <v>25</v>
      </c>
      <c r="N2581" s="18" t="s">
        <v>973</v>
      </c>
    </row>
    <row r="2582" spans="1:14" ht="15" customHeight="1" x14ac:dyDescent="0.3">
      <c r="A2582" s="18" t="s">
        <v>5185</v>
      </c>
      <c r="B2582" s="19" t="s">
        <v>15</v>
      </c>
      <c r="C2582" s="18" t="s">
        <v>5204</v>
      </c>
      <c r="D2582" s="18" t="s">
        <v>116</v>
      </c>
      <c r="E2582" s="18" t="s">
        <v>117</v>
      </c>
      <c r="F2582" s="18" t="s">
        <v>5231</v>
      </c>
      <c r="G2582" s="18" t="s">
        <v>41</v>
      </c>
      <c r="H2582" s="18" t="s">
        <v>3343</v>
      </c>
      <c r="I2582" s="20" t="s">
        <v>5232</v>
      </c>
      <c r="J2582" s="18" t="s">
        <v>58</v>
      </c>
      <c r="K2582" s="18" t="s">
        <v>24</v>
      </c>
      <c r="L2582" s="18" t="s">
        <v>25</v>
      </c>
      <c r="N2582" s="18" t="s">
        <v>973</v>
      </c>
    </row>
    <row r="2583" spans="1:14" ht="15" customHeight="1" x14ac:dyDescent="0.3">
      <c r="A2583" s="18" t="s">
        <v>5185</v>
      </c>
      <c r="B2583" s="19" t="s">
        <v>15</v>
      </c>
      <c r="C2583" s="18" t="s">
        <v>5204</v>
      </c>
      <c r="D2583" s="18" t="s">
        <v>116</v>
      </c>
      <c r="E2583" s="18" t="s">
        <v>117</v>
      </c>
      <c r="F2583" s="18" t="s">
        <v>5233</v>
      </c>
      <c r="G2583" s="18" t="s">
        <v>41</v>
      </c>
      <c r="H2583" s="18" t="s">
        <v>3343</v>
      </c>
      <c r="I2583" s="20" t="s">
        <v>5234</v>
      </c>
      <c r="J2583" s="18" t="s">
        <v>58</v>
      </c>
      <c r="K2583" s="18" t="s">
        <v>24</v>
      </c>
      <c r="L2583" s="18" t="s">
        <v>25</v>
      </c>
      <c r="N2583" s="18" t="s">
        <v>973</v>
      </c>
    </row>
    <row r="2584" spans="1:14" ht="15" customHeight="1" x14ac:dyDescent="0.3">
      <c r="A2584" s="18" t="s">
        <v>5185</v>
      </c>
      <c r="B2584" s="19" t="s">
        <v>15</v>
      </c>
      <c r="C2584" s="18" t="s">
        <v>5192</v>
      </c>
      <c r="D2584" s="18" t="s">
        <v>116</v>
      </c>
      <c r="E2584" s="18" t="s">
        <v>117</v>
      </c>
      <c r="F2584" s="18" t="s">
        <v>5235</v>
      </c>
      <c r="G2584" s="18" t="s">
        <v>41</v>
      </c>
      <c r="H2584" s="18" t="s">
        <v>5195</v>
      </c>
      <c r="I2584" s="20" t="s">
        <v>5236</v>
      </c>
      <c r="J2584" s="18" t="s">
        <v>58</v>
      </c>
      <c r="K2584" s="18" t="s">
        <v>24</v>
      </c>
      <c r="L2584" s="18" t="s">
        <v>25</v>
      </c>
      <c r="N2584" s="18" t="s">
        <v>154</v>
      </c>
    </row>
    <row r="2585" spans="1:14" ht="15" customHeight="1" x14ac:dyDescent="0.3">
      <c r="A2585" s="18" t="s">
        <v>5185</v>
      </c>
      <c r="B2585" s="19" t="s">
        <v>15</v>
      </c>
      <c r="C2585" s="18" t="s">
        <v>5204</v>
      </c>
      <c r="D2585" s="18" t="s">
        <v>116</v>
      </c>
      <c r="E2585" s="18" t="s">
        <v>117</v>
      </c>
      <c r="F2585" s="18" t="s">
        <v>5237</v>
      </c>
      <c r="G2585" s="18" t="s">
        <v>207</v>
      </c>
      <c r="H2585" s="18" t="s">
        <v>3343</v>
      </c>
      <c r="I2585" s="20" t="s">
        <v>5238</v>
      </c>
      <c r="J2585" s="18" t="s">
        <v>58</v>
      </c>
      <c r="K2585" s="18" t="s">
        <v>24</v>
      </c>
      <c r="L2585" s="18" t="s">
        <v>25</v>
      </c>
      <c r="N2585" s="18" t="s">
        <v>973</v>
      </c>
    </row>
    <row r="2586" spans="1:14" ht="15" customHeight="1" x14ac:dyDescent="0.3">
      <c r="A2586" s="18" t="s">
        <v>5185</v>
      </c>
      <c r="B2586" s="19" t="s">
        <v>15</v>
      </c>
      <c r="C2586" s="18" t="s">
        <v>5187</v>
      </c>
      <c r="D2586" s="18" t="s">
        <v>116</v>
      </c>
      <c r="E2586" s="18" t="s">
        <v>117</v>
      </c>
      <c r="F2586" s="18" t="s">
        <v>5239</v>
      </c>
      <c r="G2586" s="18" t="s">
        <v>629</v>
      </c>
      <c r="H2586" s="18" t="s">
        <v>5189</v>
      </c>
      <c r="I2586" s="20" t="s">
        <v>5240</v>
      </c>
      <c r="J2586" s="18" t="s">
        <v>58</v>
      </c>
      <c r="K2586" s="18" t="s">
        <v>24</v>
      </c>
      <c r="L2586" s="18" t="s">
        <v>25</v>
      </c>
      <c r="N2586" s="18" t="s">
        <v>973</v>
      </c>
    </row>
    <row r="2587" spans="1:14" ht="15" customHeight="1" x14ac:dyDescent="0.3">
      <c r="A2587" s="18" t="s">
        <v>5185</v>
      </c>
      <c r="B2587" s="19" t="s">
        <v>15</v>
      </c>
      <c r="C2587" s="18" t="s">
        <v>5204</v>
      </c>
      <c r="D2587" s="18" t="s">
        <v>116</v>
      </c>
      <c r="E2587" s="18" t="s">
        <v>117</v>
      </c>
      <c r="F2587" s="18" t="s">
        <v>5241</v>
      </c>
      <c r="G2587" s="18" t="s">
        <v>41</v>
      </c>
      <c r="H2587" s="18" t="s">
        <v>3343</v>
      </c>
      <c r="I2587" s="20" t="s">
        <v>5242</v>
      </c>
      <c r="J2587" s="18" t="s">
        <v>58</v>
      </c>
      <c r="K2587" s="18" t="s">
        <v>24</v>
      </c>
      <c r="L2587" s="18" t="s">
        <v>25</v>
      </c>
      <c r="N2587" s="18" t="s">
        <v>973</v>
      </c>
    </row>
    <row r="2588" spans="1:14" ht="15" customHeight="1" x14ac:dyDescent="0.3">
      <c r="A2588" s="18" t="s">
        <v>5185</v>
      </c>
      <c r="B2588" s="19" t="s">
        <v>15</v>
      </c>
      <c r="C2588" s="18" t="s">
        <v>149</v>
      </c>
      <c r="D2588" s="18" t="s">
        <v>116</v>
      </c>
      <c r="E2588" s="18" t="s">
        <v>117</v>
      </c>
      <c r="F2588" s="18" t="s">
        <v>3059</v>
      </c>
      <c r="G2588" s="18" t="s">
        <v>28</v>
      </c>
      <c r="H2588" s="18" t="s">
        <v>2152</v>
      </c>
      <c r="I2588" s="20" t="s">
        <v>5243</v>
      </c>
      <c r="J2588" s="18" t="s">
        <v>58</v>
      </c>
      <c r="K2588" s="18" t="s">
        <v>24</v>
      </c>
      <c r="L2588" s="18" t="s">
        <v>25</v>
      </c>
      <c r="N2588" s="18" t="s">
        <v>154</v>
      </c>
    </row>
    <row r="2589" spans="1:14" ht="15" customHeight="1" x14ac:dyDescent="0.3">
      <c r="A2589" s="18" t="s">
        <v>5185</v>
      </c>
      <c r="B2589" s="19" t="s">
        <v>15</v>
      </c>
      <c r="C2589" s="18" t="s">
        <v>5204</v>
      </c>
      <c r="D2589" s="18" t="s">
        <v>116</v>
      </c>
      <c r="E2589" s="18" t="s">
        <v>117</v>
      </c>
      <c r="F2589" s="18" t="s">
        <v>5244</v>
      </c>
      <c r="G2589" s="18" t="s">
        <v>47</v>
      </c>
      <c r="H2589" s="18" t="s">
        <v>3343</v>
      </c>
      <c r="I2589" s="20" t="s">
        <v>5245</v>
      </c>
      <c r="J2589" s="18" t="s">
        <v>58</v>
      </c>
      <c r="K2589" s="18" t="s">
        <v>24</v>
      </c>
      <c r="L2589" s="18" t="s">
        <v>25</v>
      </c>
      <c r="N2589" s="18" t="s">
        <v>973</v>
      </c>
    </row>
    <row r="2590" spans="1:14" ht="15" customHeight="1" x14ac:dyDescent="0.3">
      <c r="A2590" s="18" t="s">
        <v>5185</v>
      </c>
      <c r="B2590" s="19" t="s">
        <v>15</v>
      </c>
      <c r="C2590" s="18" t="s">
        <v>149</v>
      </c>
      <c r="D2590" s="18" t="s">
        <v>116</v>
      </c>
      <c r="E2590" s="18" t="s">
        <v>117</v>
      </c>
      <c r="F2590" s="18" t="s">
        <v>5246</v>
      </c>
      <c r="G2590" s="18" t="s">
        <v>606</v>
      </c>
      <c r="H2590" s="18" t="s">
        <v>5208</v>
      </c>
      <c r="I2590" s="20" t="s">
        <v>5247</v>
      </c>
      <c r="J2590" s="18" t="s">
        <v>58</v>
      </c>
      <c r="K2590" s="18" t="s">
        <v>24</v>
      </c>
      <c r="L2590" s="18" t="s">
        <v>25</v>
      </c>
      <c r="N2590" s="18" t="s">
        <v>154</v>
      </c>
    </row>
    <row r="2591" spans="1:14" ht="15" customHeight="1" x14ac:dyDescent="0.3">
      <c r="A2591" s="18" t="s">
        <v>5185</v>
      </c>
      <c r="B2591" s="19" t="s">
        <v>15</v>
      </c>
      <c r="C2591" s="18" t="s">
        <v>5204</v>
      </c>
      <c r="D2591" s="18" t="s">
        <v>116</v>
      </c>
      <c r="E2591" s="18" t="s">
        <v>117</v>
      </c>
      <c r="F2591" s="18" t="s">
        <v>4159</v>
      </c>
      <c r="G2591" s="18" t="s">
        <v>34</v>
      </c>
      <c r="H2591" s="18" t="s">
        <v>3343</v>
      </c>
      <c r="I2591" s="20" t="s">
        <v>5248</v>
      </c>
      <c r="J2591" s="18" t="s">
        <v>58</v>
      </c>
      <c r="K2591" s="18" t="s">
        <v>24</v>
      </c>
      <c r="L2591" s="18" t="s">
        <v>25</v>
      </c>
      <c r="N2591" s="18" t="s">
        <v>973</v>
      </c>
    </row>
    <row r="2592" spans="1:14" ht="15" customHeight="1" x14ac:dyDescent="0.3">
      <c r="A2592" s="18" t="s">
        <v>5185</v>
      </c>
      <c r="B2592" s="19" t="s">
        <v>15</v>
      </c>
      <c r="C2592" s="18" t="s">
        <v>149</v>
      </c>
      <c r="D2592" s="18" t="s">
        <v>116</v>
      </c>
      <c r="E2592" s="18" t="s">
        <v>117</v>
      </c>
      <c r="F2592" s="18" t="s">
        <v>5249</v>
      </c>
      <c r="G2592" s="18" t="s">
        <v>2245</v>
      </c>
      <c r="H2592" s="18" t="s">
        <v>5250</v>
      </c>
      <c r="I2592" s="20" t="s">
        <v>5251</v>
      </c>
      <c r="J2592" s="18" t="s">
        <v>58</v>
      </c>
      <c r="K2592" s="18" t="s">
        <v>24</v>
      </c>
      <c r="L2592" s="18" t="s">
        <v>25</v>
      </c>
      <c r="N2592" s="18" t="s">
        <v>154</v>
      </c>
    </row>
    <row r="2593" spans="1:14" ht="15" customHeight="1" x14ac:dyDescent="0.3">
      <c r="A2593" s="18" t="s">
        <v>5185</v>
      </c>
      <c r="B2593" s="19" t="s">
        <v>15</v>
      </c>
      <c r="C2593" s="18" t="s">
        <v>149</v>
      </c>
      <c r="D2593" s="18" t="s">
        <v>116</v>
      </c>
      <c r="E2593" s="18" t="s">
        <v>117</v>
      </c>
      <c r="F2593" s="18" t="s">
        <v>5252</v>
      </c>
      <c r="G2593" s="18" t="s">
        <v>606</v>
      </c>
      <c r="H2593" s="18" t="s">
        <v>5208</v>
      </c>
      <c r="I2593" s="20" t="s">
        <v>5253</v>
      </c>
      <c r="J2593" s="18" t="s">
        <v>58</v>
      </c>
      <c r="K2593" s="18" t="s">
        <v>24</v>
      </c>
      <c r="L2593" s="18" t="s">
        <v>25</v>
      </c>
      <c r="N2593" s="18" t="s">
        <v>154</v>
      </c>
    </row>
    <row r="2594" spans="1:14" ht="15" customHeight="1" x14ac:dyDescent="0.3">
      <c r="A2594" s="18" t="s">
        <v>5185</v>
      </c>
      <c r="B2594" s="19" t="s">
        <v>15</v>
      </c>
      <c r="C2594" s="18" t="s">
        <v>149</v>
      </c>
      <c r="D2594" s="18" t="s">
        <v>116</v>
      </c>
      <c r="E2594" s="18" t="s">
        <v>117</v>
      </c>
      <c r="F2594" s="18" t="s">
        <v>5254</v>
      </c>
      <c r="G2594" s="18" t="s">
        <v>1204</v>
      </c>
      <c r="H2594" s="18" t="s">
        <v>5202</v>
      </c>
      <c r="I2594" s="20" t="s">
        <v>5255</v>
      </c>
      <c r="J2594" s="18" t="s">
        <v>58</v>
      </c>
      <c r="K2594" s="18" t="s">
        <v>24</v>
      </c>
      <c r="L2594" s="18" t="s">
        <v>25</v>
      </c>
      <c r="N2594" s="18" t="s">
        <v>154</v>
      </c>
    </row>
    <row r="2595" spans="1:14" ht="15" customHeight="1" x14ac:dyDescent="0.3">
      <c r="A2595" s="18" t="s">
        <v>5185</v>
      </c>
      <c r="B2595" s="19" t="s">
        <v>15</v>
      </c>
      <c r="C2595" s="18" t="s">
        <v>5187</v>
      </c>
      <c r="D2595" s="18" t="s">
        <v>116</v>
      </c>
      <c r="E2595" s="18" t="s">
        <v>117</v>
      </c>
      <c r="F2595" s="18" t="s">
        <v>5256</v>
      </c>
      <c r="G2595" s="18" t="s">
        <v>28</v>
      </c>
      <c r="H2595" s="18" t="s">
        <v>5218</v>
      </c>
      <c r="I2595" s="20" t="s">
        <v>5257</v>
      </c>
      <c r="J2595" s="18" t="s">
        <v>58</v>
      </c>
      <c r="K2595" s="18" t="s">
        <v>24</v>
      </c>
      <c r="L2595" s="18" t="s">
        <v>25</v>
      </c>
      <c r="N2595" s="18" t="s">
        <v>973</v>
      </c>
    </row>
    <row r="2596" spans="1:14" ht="15" customHeight="1" x14ac:dyDescent="0.3">
      <c r="A2596" s="18" t="s">
        <v>5185</v>
      </c>
      <c r="B2596" s="19" t="s">
        <v>15</v>
      </c>
      <c r="C2596" s="18" t="s">
        <v>5187</v>
      </c>
      <c r="D2596" s="18" t="s">
        <v>116</v>
      </c>
      <c r="E2596" s="18" t="s">
        <v>117</v>
      </c>
      <c r="F2596" s="18" t="s">
        <v>5258</v>
      </c>
      <c r="G2596" s="18" t="s">
        <v>1291</v>
      </c>
      <c r="H2596" s="18" t="s">
        <v>5218</v>
      </c>
      <c r="I2596" s="20" t="s">
        <v>5259</v>
      </c>
      <c r="J2596" s="18" t="s">
        <v>58</v>
      </c>
      <c r="K2596" s="18" t="s">
        <v>24</v>
      </c>
      <c r="L2596" s="18" t="s">
        <v>25</v>
      </c>
      <c r="N2596" s="18" t="s">
        <v>973</v>
      </c>
    </row>
    <row r="2597" spans="1:14" ht="15" customHeight="1" x14ac:dyDescent="0.3">
      <c r="A2597" s="18" t="s">
        <v>5185</v>
      </c>
      <c r="B2597" s="19" t="s">
        <v>15</v>
      </c>
      <c r="C2597" s="18" t="s">
        <v>5192</v>
      </c>
      <c r="D2597" s="18" t="s">
        <v>116</v>
      </c>
      <c r="E2597" s="18" t="s">
        <v>117</v>
      </c>
      <c r="F2597" s="18" t="s">
        <v>5260</v>
      </c>
      <c r="G2597" s="18" t="s">
        <v>207</v>
      </c>
      <c r="H2597" s="18" t="s">
        <v>5195</v>
      </c>
      <c r="I2597" s="20" t="s">
        <v>5261</v>
      </c>
      <c r="J2597" s="18" t="s">
        <v>58</v>
      </c>
      <c r="K2597" s="18" t="s">
        <v>24</v>
      </c>
      <c r="L2597" s="18" t="s">
        <v>25</v>
      </c>
      <c r="N2597" s="18" t="s">
        <v>154</v>
      </c>
    </row>
    <row r="2598" spans="1:14" ht="15" customHeight="1" x14ac:dyDescent="0.3">
      <c r="A2598" s="18" t="s">
        <v>5185</v>
      </c>
      <c r="B2598" s="19" t="s">
        <v>15</v>
      </c>
      <c r="C2598" s="18" t="s">
        <v>5187</v>
      </c>
      <c r="D2598" s="18" t="s">
        <v>116</v>
      </c>
      <c r="E2598" s="18" t="s">
        <v>117</v>
      </c>
      <c r="F2598" s="18" t="s">
        <v>2235</v>
      </c>
      <c r="G2598" s="18" t="s">
        <v>629</v>
      </c>
      <c r="H2598" s="18" t="s">
        <v>5189</v>
      </c>
      <c r="I2598" s="20" t="s">
        <v>5262</v>
      </c>
      <c r="J2598" s="18" t="s">
        <v>58</v>
      </c>
      <c r="K2598" s="18" t="s">
        <v>24</v>
      </c>
      <c r="L2598" s="18" t="s">
        <v>25</v>
      </c>
      <c r="N2598" s="18" t="s">
        <v>973</v>
      </c>
    </row>
    <row r="2599" spans="1:14" ht="15" customHeight="1" x14ac:dyDescent="0.3">
      <c r="A2599" s="18" t="s">
        <v>5185</v>
      </c>
      <c r="B2599" s="19" t="s">
        <v>15</v>
      </c>
      <c r="C2599" s="18" t="s">
        <v>149</v>
      </c>
      <c r="D2599" s="18" t="s">
        <v>116</v>
      </c>
      <c r="E2599" s="18" t="s">
        <v>117</v>
      </c>
      <c r="F2599" s="18" t="s">
        <v>5263</v>
      </c>
      <c r="G2599" s="18" t="s">
        <v>80</v>
      </c>
      <c r="H2599" s="18" t="s">
        <v>5208</v>
      </c>
      <c r="I2599" s="20" t="s">
        <v>5264</v>
      </c>
      <c r="J2599" s="18" t="s">
        <v>58</v>
      </c>
      <c r="K2599" s="18" t="s">
        <v>24</v>
      </c>
      <c r="L2599" s="18" t="s">
        <v>25</v>
      </c>
      <c r="N2599" s="18" t="s">
        <v>154</v>
      </c>
    </row>
    <row r="2600" spans="1:14" ht="15" customHeight="1" x14ac:dyDescent="0.3">
      <c r="A2600" s="18" t="s">
        <v>5185</v>
      </c>
      <c r="B2600" s="19" t="s">
        <v>15</v>
      </c>
      <c r="C2600" s="18" t="s">
        <v>149</v>
      </c>
      <c r="D2600" s="18" t="s">
        <v>116</v>
      </c>
      <c r="E2600" s="18" t="s">
        <v>117</v>
      </c>
      <c r="F2600" s="18" t="s">
        <v>5265</v>
      </c>
      <c r="G2600" s="18" t="s">
        <v>1291</v>
      </c>
      <c r="H2600" s="18" t="s">
        <v>5250</v>
      </c>
      <c r="I2600" s="20" t="s">
        <v>5266</v>
      </c>
      <c r="J2600" s="18" t="s">
        <v>58</v>
      </c>
      <c r="K2600" s="18" t="s">
        <v>24</v>
      </c>
      <c r="L2600" s="18" t="s">
        <v>25</v>
      </c>
      <c r="N2600" s="18" t="s">
        <v>154</v>
      </c>
    </row>
    <row r="2601" spans="1:14" ht="15" customHeight="1" x14ac:dyDescent="0.3">
      <c r="A2601" s="18" t="s">
        <v>5185</v>
      </c>
      <c r="B2601" s="19" t="s">
        <v>15</v>
      </c>
      <c r="C2601" s="18" t="s">
        <v>149</v>
      </c>
      <c r="D2601" s="18" t="s">
        <v>116</v>
      </c>
      <c r="E2601" s="18" t="s">
        <v>117</v>
      </c>
      <c r="F2601" s="18" t="s">
        <v>5267</v>
      </c>
      <c r="G2601" s="18" t="s">
        <v>429</v>
      </c>
      <c r="H2601" s="18" t="s">
        <v>5208</v>
      </c>
      <c r="I2601" s="20" t="s">
        <v>5268</v>
      </c>
      <c r="J2601" s="18" t="s">
        <v>58</v>
      </c>
      <c r="K2601" s="18" t="s">
        <v>24</v>
      </c>
      <c r="L2601" s="18" t="s">
        <v>25</v>
      </c>
      <c r="N2601" s="18" t="s">
        <v>154</v>
      </c>
    </row>
    <row r="2602" spans="1:14" ht="15" customHeight="1" x14ac:dyDescent="0.3">
      <c r="A2602" s="18" t="s">
        <v>5185</v>
      </c>
      <c r="B2602" s="19" t="s">
        <v>15</v>
      </c>
      <c r="C2602" s="18" t="s">
        <v>149</v>
      </c>
      <c r="D2602" s="18" t="s">
        <v>116</v>
      </c>
      <c r="E2602" s="18" t="s">
        <v>117</v>
      </c>
      <c r="F2602" s="18" t="s">
        <v>5269</v>
      </c>
      <c r="G2602" s="18" t="s">
        <v>1211</v>
      </c>
      <c r="H2602" s="18" t="s">
        <v>5208</v>
      </c>
      <c r="I2602" s="20" t="s">
        <v>5270</v>
      </c>
      <c r="J2602" s="18" t="s">
        <v>58</v>
      </c>
      <c r="K2602" s="18" t="s">
        <v>24</v>
      </c>
      <c r="L2602" s="18" t="s">
        <v>25</v>
      </c>
      <c r="N2602" s="18" t="s">
        <v>154</v>
      </c>
    </row>
    <row r="2603" spans="1:14" ht="15" customHeight="1" x14ac:dyDescent="0.3">
      <c r="A2603" s="18" t="s">
        <v>5185</v>
      </c>
      <c r="B2603" s="19" t="s">
        <v>15</v>
      </c>
      <c r="C2603" s="18" t="s">
        <v>5192</v>
      </c>
      <c r="D2603" s="18" t="s">
        <v>116</v>
      </c>
      <c r="E2603" s="18" t="s">
        <v>117</v>
      </c>
      <c r="F2603" s="18" t="s">
        <v>5271</v>
      </c>
      <c r="G2603" s="18" t="s">
        <v>207</v>
      </c>
      <c r="H2603" s="18" t="s">
        <v>5195</v>
      </c>
      <c r="I2603" s="20" t="s">
        <v>5272</v>
      </c>
      <c r="J2603" s="18" t="s">
        <v>58</v>
      </c>
      <c r="K2603" s="18" t="s">
        <v>24</v>
      </c>
      <c r="L2603" s="18" t="s">
        <v>25</v>
      </c>
      <c r="N2603" s="18" t="s">
        <v>154</v>
      </c>
    </row>
    <row r="2604" spans="1:14" ht="15" customHeight="1" x14ac:dyDescent="0.3">
      <c r="A2604" s="18" t="s">
        <v>5185</v>
      </c>
      <c r="B2604" s="19" t="s">
        <v>15</v>
      </c>
      <c r="C2604" s="18" t="s">
        <v>5204</v>
      </c>
      <c r="D2604" s="18" t="s">
        <v>116</v>
      </c>
      <c r="E2604" s="18" t="s">
        <v>117</v>
      </c>
      <c r="F2604" s="18" t="s">
        <v>2020</v>
      </c>
      <c r="G2604" s="18" t="s">
        <v>619</v>
      </c>
      <c r="H2604" s="18" t="s">
        <v>3343</v>
      </c>
      <c r="I2604" s="20" t="s">
        <v>5273</v>
      </c>
      <c r="J2604" s="18" t="s">
        <v>58</v>
      </c>
      <c r="K2604" s="18" t="s">
        <v>24</v>
      </c>
      <c r="L2604" s="18" t="s">
        <v>25</v>
      </c>
      <c r="N2604" s="18" t="s">
        <v>973</v>
      </c>
    </row>
    <row r="2605" spans="1:14" ht="15" customHeight="1" x14ac:dyDescent="0.3">
      <c r="A2605" s="18" t="s">
        <v>5185</v>
      </c>
      <c r="B2605" s="19" t="s">
        <v>15</v>
      </c>
      <c r="C2605" s="18" t="s">
        <v>5187</v>
      </c>
      <c r="D2605" s="18" t="s">
        <v>116</v>
      </c>
      <c r="E2605" s="18" t="s">
        <v>117</v>
      </c>
      <c r="F2605" s="18" t="s">
        <v>5274</v>
      </c>
      <c r="G2605" s="18" t="s">
        <v>629</v>
      </c>
      <c r="H2605" s="18" t="s">
        <v>5189</v>
      </c>
      <c r="I2605" s="20" t="s">
        <v>5275</v>
      </c>
      <c r="J2605" s="18" t="s">
        <v>58</v>
      </c>
      <c r="K2605" s="18" t="s">
        <v>24</v>
      </c>
      <c r="L2605" s="18" t="s">
        <v>25</v>
      </c>
      <c r="N2605" s="18" t="s">
        <v>973</v>
      </c>
    </row>
    <row r="2606" spans="1:14" ht="15" customHeight="1" x14ac:dyDescent="0.3">
      <c r="A2606" s="18" t="s">
        <v>5185</v>
      </c>
      <c r="B2606" s="19" t="s">
        <v>15</v>
      </c>
      <c r="C2606" s="18" t="s">
        <v>149</v>
      </c>
      <c r="D2606" s="18" t="s">
        <v>116</v>
      </c>
      <c r="E2606" s="18" t="s">
        <v>117</v>
      </c>
      <c r="F2606" s="18" t="s">
        <v>5276</v>
      </c>
      <c r="G2606" s="18" t="s">
        <v>273</v>
      </c>
      <c r="H2606" s="18" t="s">
        <v>2152</v>
      </c>
      <c r="I2606" s="20" t="s">
        <v>5277</v>
      </c>
      <c r="J2606" s="18" t="s">
        <v>58</v>
      </c>
      <c r="K2606" s="18" t="s">
        <v>24</v>
      </c>
      <c r="L2606" s="18" t="s">
        <v>25</v>
      </c>
      <c r="N2606" s="18" t="s">
        <v>154</v>
      </c>
    </row>
    <row r="2607" spans="1:14" ht="15" customHeight="1" x14ac:dyDescent="0.3">
      <c r="A2607" s="18" t="s">
        <v>5185</v>
      </c>
      <c r="B2607" s="19" t="s">
        <v>15</v>
      </c>
      <c r="C2607" s="18" t="s">
        <v>149</v>
      </c>
      <c r="D2607" s="18" t="s">
        <v>116</v>
      </c>
      <c r="E2607" s="18" t="s">
        <v>117</v>
      </c>
      <c r="F2607" s="18" t="s">
        <v>5278</v>
      </c>
      <c r="G2607" s="18" t="s">
        <v>263</v>
      </c>
      <c r="H2607" s="18" t="s">
        <v>2152</v>
      </c>
      <c r="I2607" s="20" t="s">
        <v>5279</v>
      </c>
      <c r="J2607" s="18" t="s">
        <v>58</v>
      </c>
      <c r="K2607" s="18" t="s">
        <v>24</v>
      </c>
      <c r="L2607" s="18" t="s">
        <v>25</v>
      </c>
      <c r="N2607" s="18" t="s">
        <v>154</v>
      </c>
    </row>
    <row r="2608" spans="1:14" ht="15" customHeight="1" x14ac:dyDescent="0.3">
      <c r="A2608" s="18" t="s">
        <v>5185</v>
      </c>
      <c r="B2608" s="19" t="s">
        <v>15</v>
      </c>
      <c r="C2608" s="18" t="s">
        <v>149</v>
      </c>
      <c r="D2608" s="18" t="s">
        <v>116</v>
      </c>
      <c r="E2608" s="18" t="s">
        <v>117</v>
      </c>
      <c r="F2608" s="18" t="s">
        <v>3110</v>
      </c>
      <c r="G2608" s="18" t="s">
        <v>34</v>
      </c>
      <c r="H2608" s="18" t="s">
        <v>5202</v>
      </c>
      <c r="I2608" s="20" t="s">
        <v>5280</v>
      </c>
      <c r="J2608" s="18" t="s">
        <v>58</v>
      </c>
      <c r="K2608" s="18" t="s">
        <v>24</v>
      </c>
      <c r="L2608" s="18" t="s">
        <v>25</v>
      </c>
      <c r="N2608" s="18" t="s">
        <v>154</v>
      </c>
    </row>
    <row r="2609" spans="1:14" ht="15" customHeight="1" x14ac:dyDescent="0.3">
      <c r="A2609" s="18" t="s">
        <v>5185</v>
      </c>
      <c r="B2609" s="19" t="s">
        <v>15</v>
      </c>
      <c r="C2609" s="18" t="s">
        <v>149</v>
      </c>
      <c r="D2609" s="18" t="s">
        <v>116</v>
      </c>
      <c r="E2609" s="18" t="s">
        <v>117</v>
      </c>
      <c r="F2609" s="18" t="s">
        <v>5281</v>
      </c>
      <c r="G2609" s="18" t="s">
        <v>429</v>
      </c>
      <c r="H2609" s="18" t="s">
        <v>5208</v>
      </c>
      <c r="I2609" s="20" t="s">
        <v>5282</v>
      </c>
      <c r="J2609" s="18" t="s">
        <v>58</v>
      </c>
      <c r="K2609" s="18" t="s">
        <v>24</v>
      </c>
      <c r="L2609" s="18" t="s">
        <v>25</v>
      </c>
      <c r="N2609" s="18" t="s">
        <v>154</v>
      </c>
    </row>
    <row r="2610" spans="1:14" ht="15" customHeight="1" x14ac:dyDescent="0.3">
      <c r="A2610" s="18" t="s">
        <v>5185</v>
      </c>
      <c r="B2610" s="19" t="s">
        <v>15</v>
      </c>
      <c r="C2610" s="18" t="s">
        <v>149</v>
      </c>
      <c r="D2610" s="18" t="s">
        <v>116</v>
      </c>
      <c r="E2610" s="18" t="s">
        <v>117</v>
      </c>
      <c r="F2610" s="18" t="s">
        <v>5283</v>
      </c>
      <c r="G2610" s="18" t="s">
        <v>34</v>
      </c>
      <c r="H2610" s="18" t="s">
        <v>5202</v>
      </c>
      <c r="I2610" s="20" t="s">
        <v>5284</v>
      </c>
      <c r="J2610" s="18" t="s">
        <v>58</v>
      </c>
      <c r="K2610" s="18" t="s">
        <v>24</v>
      </c>
      <c r="L2610" s="18" t="s">
        <v>25</v>
      </c>
      <c r="N2610" s="18" t="s">
        <v>154</v>
      </c>
    </row>
    <row r="2611" spans="1:14" ht="15" customHeight="1" x14ac:dyDescent="0.3">
      <c r="A2611" s="18" t="s">
        <v>5185</v>
      </c>
      <c r="B2611" s="19" t="s">
        <v>15</v>
      </c>
      <c r="C2611" s="18" t="s">
        <v>5192</v>
      </c>
      <c r="D2611" s="18" t="s">
        <v>116</v>
      </c>
      <c r="E2611" s="18" t="s">
        <v>117</v>
      </c>
      <c r="F2611" s="18" t="s">
        <v>5285</v>
      </c>
      <c r="G2611" s="18" t="s">
        <v>47</v>
      </c>
      <c r="H2611" s="18" t="s">
        <v>5195</v>
      </c>
      <c r="I2611" s="20" t="s">
        <v>5286</v>
      </c>
      <c r="J2611" s="18" t="s">
        <v>58</v>
      </c>
      <c r="K2611" s="18" t="s">
        <v>24</v>
      </c>
      <c r="L2611" s="18" t="s">
        <v>25</v>
      </c>
      <c r="N2611" s="18" t="s">
        <v>154</v>
      </c>
    </row>
    <row r="2612" spans="1:14" ht="15" customHeight="1" x14ac:dyDescent="0.3">
      <c r="A2612" s="18" t="s">
        <v>5185</v>
      </c>
      <c r="B2612" s="19" t="s">
        <v>15</v>
      </c>
      <c r="C2612" s="18" t="s">
        <v>5192</v>
      </c>
      <c r="D2612" s="18" t="s">
        <v>116</v>
      </c>
      <c r="E2612" s="18" t="s">
        <v>117</v>
      </c>
      <c r="F2612" s="18" t="s">
        <v>5287</v>
      </c>
      <c r="G2612" s="18" t="s">
        <v>47</v>
      </c>
      <c r="H2612" s="18" t="s">
        <v>5195</v>
      </c>
      <c r="I2612" s="20" t="s">
        <v>5288</v>
      </c>
      <c r="J2612" s="18" t="s">
        <v>58</v>
      </c>
      <c r="K2612" s="18" t="s">
        <v>24</v>
      </c>
      <c r="L2612" s="18" t="s">
        <v>25</v>
      </c>
      <c r="N2612" s="18" t="s">
        <v>154</v>
      </c>
    </row>
    <row r="2613" spans="1:14" ht="15" customHeight="1" x14ac:dyDescent="0.3">
      <c r="A2613" s="18" t="s">
        <v>5185</v>
      </c>
      <c r="B2613" s="19" t="s">
        <v>15</v>
      </c>
      <c r="C2613" s="18" t="s">
        <v>5192</v>
      </c>
      <c r="D2613" s="18" t="s">
        <v>116</v>
      </c>
      <c r="E2613" s="18" t="s">
        <v>117</v>
      </c>
      <c r="F2613" s="18" t="s">
        <v>5289</v>
      </c>
      <c r="G2613" s="18" t="s">
        <v>47</v>
      </c>
      <c r="H2613" s="18" t="s">
        <v>5195</v>
      </c>
      <c r="I2613" s="20" t="s">
        <v>5290</v>
      </c>
      <c r="J2613" s="18" t="s">
        <v>58</v>
      </c>
      <c r="K2613" s="18" t="s">
        <v>24</v>
      </c>
      <c r="L2613" s="18" t="s">
        <v>25</v>
      </c>
      <c r="N2613" s="18" t="s">
        <v>154</v>
      </c>
    </row>
    <row r="2614" spans="1:14" ht="15" customHeight="1" x14ac:dyDescent="0.3">
      <c r="A2614" s="18" t="s">
        <v>5185</v>
      </c>
      <c r="B2614" s="19" t="s">
        <v>15</v>
      </c>
      <c r="C2614" s="18" t="s">
        <v>5192</v>
      </c>
      <c r="D2614" s="18" t="s">
        <v>116</v>
      </c>
      <c r="E2614" s="18" t="s">
        <v>117</v>
      </c>
      <c r="F2614" s="18" t="s">
        <v>5291</v>
      </c>
      <c r="G2614" s="18" t="s">
        <v>47</v>
      </c>
      <c r="H2614" s="18" t="s">
        <v>5195</v>
      </c>
      <c r="I2614" s="20" t="s">
        <v>5292</v>
      </c>
      <c r="J2614" s="18" t="s">
        <v>58</v>
      </c>
      <c r="K2614" s="18" t="s">
        <v>24</v>
      </c>
      <c r="L2614" s="18" t="s">
        <v>25</v>
      </c>
      <c r="N2614" s="18" t="s">
        <v>154</v>
      </c>
    </row>
    <row r="2615" spans="1:14" ht="15" customHeight="1" x14ac:dyDescent="0.3">
      <c r="A2615" s="18" t="s">
        <v>5185</v>
      </c>
      <c r="B2615" s="19" t="s">
        <v>15</v>
      </c>
      <c r="C2615" s="18" t="s">
        <v>5204</v>
      </c>
      <c r="D2615" s="18" t="s">
        <v>116</v>
      </c>
      <c r="E2615" s="18" t="s">
        <v>117</v>
      </c>
      <c r="F2615" s="18" t="s">
        <v>5293</v>
      </c>
      <c r="G2615" s="18" t="s">
        <v>47</v>
      </c>
      <c r="H2615" s="18" t="s">
        <v>3343</v>
      </c>
      <c r="I2615" s="20" t="s">
        <v>5294</v>
      </c>
      <c r="J2615" s="18" t="s">
        <v>58</v>
      </c>
      <c r="K2615" s="18" t="s">
        <v>24</v>
      </c>
      <c r="L2615" s="18" t="s">
        <v>25</v>
      </c>
      <c r="N2615" s="18" t="s">
        <v>973</v>
      </c>
    </row>
    <row r="2616" spans="1:14" ht="15" customHeight="1" x14ac:dyDescent="0.3">
      <c r="A2616" s="18" t="s">
        <v>5185</v>
      </c>
      <c r="B2616" s="19" t="s">
        <v>15</v>
      </c>
      <c r="C2616" s="18" t="s">
        <v>5187</v>
      </c>
      <c r="D2616" s="18" t="s">
        <v>116</v>
      </c>
      <c r="E2616" s="18" t="s">
        <v>117</v>
      </c>
      <c r="F2616" s="18" t="s">
        <v>1447</v>
      </c>
      <c r="G2616" s="18" t="s">
        <v>537</v>
      </c>
      <c r="H2616" s="18" t="s">
        <v>5189</v>
      </c>
      <c r="I2616" s="20" t="s">
        <v>5295</v>
      </c>
      <c r="J2616" s="18" t="s">
        <v>58</v>
      </c>
      <c r="K2616" s="18" t="s">
        <v>24</v>
      </c>
      <c r="L2616" s="18" t="s">
        <v>25</v>
      </c>
      <c r="N2616" s="18" t="s">
        <v>973</v>
      </c>
    </row>
    <row r="2617" spans="1:14" ht="15" customHeight="1" x14ac:dyDescent="0.3">
      <c r="A2617" s="18" t="s">
        <v>5185</v>
      </c>
      <c r="B2617" s="19" t="s">
        <v>15</v>
      </c>
      <c r="C2617" s="18" t="s">
        <v>5204</v>
      </c>
      <c r="D2617" s="18" t="s">
        <v>116</v>
      </c>
      <c r="E2617" s="18" t="s">
        <v>117</v>
      </c>
      <c r="F2617" s="18" t="s">
        <v>5296</v>
      </c>
      <c r="G2617" s="18" t="s">
        <v>212</v>
      </c>
      <c r="H2617" s="18" t="s">
        <v>3343</v>
      </c>
      <c r="I2617" s="20" t="s">
        <v>5297</v>
      </c>
      <c r="J2617" s="18" t="s">
        <v>58</v>
      </c>
      <c r="K2617" s="18" t="s">
        <v>24</v>
      </c>
      <c r="L2617" s="18" t="s">
        <v>25</v>
      </c>
      <c r="N2617" s="18" t="s">
        <v>973</v>
      </c>
    </row>
    <row r="2618" spans="1:14" ht="15" customHeight="1" x14ac:dyDescent="0.3">
      <c r="A2618" s="18" t="s">
        <v>5185</v>
      </c>
      <c r="B2618" s="19" t="s">
        <v>15</v>
      </c>
      <c r="C2618" s="18" t="s">
        <v>149</v>
      </c>
      <c r="D2618" s="18" t="s">
        <v>116</v>
      </c>
      <c r="E2618" s="18" t="s">
        <v>117</v>
      </c>
      <c r="F2618" s="18" t="s">
        <v>5298</v>
      </c>
      <c r="G2618" s="18" t="s">
        <v>197</v>
      </c>
      <c r="H2618" s="18" t="s">
        <v>2152</v>
      </c>
      <c r="I2618" s="20" t="s">
        <v>5299</v>
      </c>
      <c r="J2618" s="18" t="s">
        <v>58</v>
      </c>
      <c r="K2618" s="18" t="s">
        <v>24</v>
      </c>
      <c r="L2618" s="18" t="s">
        <v>25</v>
      </c>
      <c r="N2618" s="18" t="s">
        <v>154</v>
      </c>
    </row>
    <row r="2619" spans="1:14" ht="15" customHeight="1" x14ac:dyDescent="0.3">
      <c r="A2619" s="18" t="s">
        <v>5185</v>
      </c>
      <c r="B2619" s="19" t="s">
        <v>15</v>
      </c>
      <c r="C2619" s="18" t="s">
        <v>5192</v>
      </c>
      <c r="D2619" s="18" t="s">
        <v>116</v>
      </c>
      <c r="E2619" s="18" t="s">
        <v>117</v>
      </c>
      <c r="F2619" s="18" t="s">
        <v>5300</v>
      </c>
      <c r="G2619" s="18" t="s">
        <v>219</v>
      </c>
      <c r="H2619" s="18" t="s">
        <v>5195</v>
      </c>
      <c r="I2619" s="20" t="s">
        <v>5301</v>
      </c>
      <c r="J2619" s="18" t="s">
        <v>58</v>
      </c>
      <c r="K2619" s="18" t="s">
        <v>24</v>
      </c>
      <c r="L2619" s="18" t="s">
        <v>25</v>
      </c>
      <c r="N2619" s="18" t="s">
        <v>154</v>
      </c>
    </row>
    <row r="2620" spans="1:14" ht="15" customHeight="1" x14ac:dyDescent="0.3">
      <c r="A2620" s="18" t="s">
        <v>5185</v>
      </c>
      <c r="B2620" s="19" t="s">
        <v>15</v>
      </c>
      <c r="C2620" s="18" t="s">
        <v>149</v>
      </c>
      <c r="D2620" s="18" t="s">
        <v>116</v>
      </c>
      <c r="E2620" s="18" t="s">
        <v>18</v>
      </c>
      <c r="F2620" s="18" t="s">
        <v>5302</v>
      </c>
      <c r="G2620" s="18" t="s">
        <v>151</v>
      </c>
      <c r="H2620" s="18" t="s">
        <v>2152</v>
      </c>
      <c r="I2620" s="20" t="s">
        <v>5303</v>
      </c>
      <c r="J2620" s="18" t="s">
        <v>30</v>
      </c>
      <c r="K2620" s="18" t="s">
        <v>24</v>
      </c>
      <c r="L2620" s="18" t="s">
        <v>25</v>
      </c>
      <c r="N2620" s="18" t="s">
        <v>154</v>
      </c>
    </row>
    <row r="2621" spans="1:14" ht="15" customHeight="1" x14ac:dyDescent="0.3">
      <c r="A2621" s="18" t="s">
        <v>5185</v>
      </c>
      <c r="B2621" s="19" t="s">
        <v>15</v>
      </c>
      <c r="C2621" s="18" t="s">
        <v>5192</v>
      </c>
      <c r="D2621" s="18" t="s">
        <v>116</v>
      </c>
      <c r="E2621" s="18" t="s">
        <v>18</v>
      </c>
      <c r="F2621" s="18" t="s">
        <v>5304</v>
      </c>
      <c r="G2621" s="18" t="s">
        <v>4225</v>
      </c>
      <c r="H2621" s="18" t="s">
        <v>5305</v>
      </c>
      <c r="I2621" s="20" t="s">
        <v>5306</v>
      </c>
      <c r="J2621" s="18" t="s">
        <v>30</v>
      </c>
      <c r="K2621" s="18" t="s">
        <v>24</v>
      </c>
      <c r="L2621" s="18" t="s">
        <v>25</v>
      </c>
      <c r="N2621" s="18" t="s">
        <v>154</v>
      </c>
    </row>
    <row r="2622" spans="1:14" ht="15" customHeight="1" x14ac:dyDescent="0.3">
      <c r="A2622" s="18" t="s">
        <v>5185</v>
      </c>
      <c r="B2622" s="19" t="s">
        <v>15</v>
      </c>
      <c r="C2622" s="18" t="s">
        <v>149</v>
      </c>
      <c r="D2622" s="18" t="s">
        <v>116</v>
      </c>
      <c r="E2622" s="18" t="s">
        <v>18</v>
      </c>
      <c r="F2622" s="18" t="s">
        <v>2738</v>
      </c>
      <c r="G2622" s="18" t="s">
        <v>429</v>
      </c>
      <c r="H2622" s="18" t="s">
        <v>5208</v>
      </c>
      <c r="I2622" s="20" t="s">
        <v>5307</v>
      </c>
      <c r="J2622" s="18" t="s">
        <v>23</v>
      </c>
      <c r="K2622" s="18" t="s">
        <v>24</v>
      </c>
      <c r="L2622" s="18" t="s">
        <v>25</v>
      </c>
      <c r="N2622" s="18" t="s">
        <v>154</v>
      </c>
    </row>
    <row r="2623" spans="1:14" ht="15" customHeight="1" x14ac:dyDescent="0.3">
      <c r="A2623" s="18" t="s">
        <v>5185</v>
      </c>
      <c r="B2623" s="19" t="s">
        <v>15</v>
      </c>
      <c r="C2623" s="18" t="s">
        <v>149</v>
      </c>
      <c r="D2623" s="18" t="s">
        <v>116</v>
      </c>
      <c r="E2623" s="18" t="s">
        <v>18</v>
      </c>
      <c r="F2623" s="18" t="s">
        <v>5308</v>
      </c>
      <c r="G2623" s="18" t="s">
        <v>606</v>
      </c>
      <c r="H2623" s="18" t="s">
        <v>5202</v>
      </c>
      <c r="I2623" s="20" t="s">
        <v>5309</v>
      </c>
      <c r="J2623" s="18" t="s">
        <v>30</v>
      </c>
      <c r="K2623" s="18" t="s">
        <v>24</v>
      </c>
      <c r="L2623" s="18" t="s">
        <v>25</v>
      </c>
      <c r="N2623" s="18" t="s">
        <v>154</v>
      </c>
    </row>
    <row r="2624" spans="1:14" ht="15" customHeight="1" x14ac:dyDescent="0.3">
      <c r="A2624" s="18" t="s">
        <v>5185</v>
      </c>
      <c r="B2624" s="19" t="s">
        <v>15</v>
      </c>
      <c r="C2624" s="18" t="s">
        <v>149</v>
      </c>
      <c r="D2624" s="18" t="s">
        <v>116</v>
      </c>
      <c r="E2624" s="18" t="s">
        <v>18</v>
      </c>
      <c r="F2624" s="18" t="s">
        <v>1795</v>
      </c>
      <c r="G2624" s="18" t="s">
        <v>606</v>
      </c>
      <c r="H2624" s="18" t="s">
        <v>5208</v>
      </c>
      <c r="I2624" s="20" t="s">
        <v>5310</v>
      </c>
      <c r="J2624" s="18" t="s">
        <v>30</v>
      </c>
      <c r="K2624" s="18" t="s">
        <v>24</v>
      </c>
      <c r="L2624" s="18" t="s">
        <v>25</v>
      </c>
      <c r="N2624" s="18" t="s">
        <v>154</v>
      </c>
    </row>
    <row r="2625" spans="1:14" ht="15" customHeight="1" x14ac:dyDescent="0.3">
      <c r="A2625" s="18" t="s">
        <v>5185</v>
      </c>
      <c r="B2625" s="19" t="s">
        <v>15</v>
      </c>
      <c r="C2625" s="18" t="s">
        <v>5187</v>
      </c>
      <c r="D2625" s="18" t="s">
        <v>116</v>
      </c>
      <c r="E2625" s="18" t="s">
        <v>18</v>
      </c>
      <c r="F2625" s="18" t="s">
        <v>159</v>
      </c>
      <c r="G2625" s="18" t="s">
        <v>1291</v>
      </c>
      <c r="H2625" s="18" t="s">
        <v>5218</v>
      </c>
      <c r="I2625" s="20" t="s">
        <v>5311</v>
      </c>
      <c r="J2625" s="18" t="s">
        <v>30</v>
      </c>
      <c r="K2625" s="18" t="s">
        <v>24</v>
      </c>
      <c r="L2625" s="18" t="s">
        <v>25</v>
      </c>
      <c r="N2625" s="18" t="s">
        <v>973</v>
      </c>
    </row>
    <row r="2626" spans="1:14" ht="15" customHeight="1" x14ac:dyDescent="0.3">
      <c r="A2626" s="18" t="s">
        <v>5185</v>
      </c>
      <c r="B2626" s="19" t="s">
        <v>15</v>
      </c>
      <c r="C2626" s="18" t="s">
        <v>149</v>
      </c>
      <c r="D2626" s="18" t="s">
        <v>116</v>
      </c>
      <c r="E2626" s="18" t="s">
        <v>18</v>
      </c>
      <c r="F2626" s="18" t="s">
        <v>616</v>
      </c>
      <c r="G2626" s="18" t="s">
        <v>429</v>
      </c>
      <c r="H2626" s="18" t="s">
        <v>5208</v>
      </c>
      <c r="I2626" s="20" t="s">
        <v>5312</v>
      </c>
      <c r="J2626" s="18" t="s">
        <v>23</v>
      </c>
      <c r="K2626" s="18" t="s">
        <v>24</v>
      </c>
      <c r="L2626" s="18" t="s">
        <v>25</v>
      </c>
      <c r="N2626" s="18" t="s">
        <v>154</v>
      </c>
    </row>
    <row r="2627" spans="1:14" ht="15" customHeight="1" x14ac:dyDescent="0.3">
      <c r="A2627" s="18" t="s">
        <v>5185</v>
      </c>
      <c r="B2627" s="19" t="s">
        <v>15</v>
      </c>
      <c r="C2627" s="18" t="s">
        <v>5204</v>
      </c>
      <c r="D2627" s="18" t="s">
        <v>116</v>
      </c>
      <c r="E2627" s="18" t="s">
        <v>18</v>
      </c>
      <c r="F2627" s="18" t="s">
        <v>4231</v>
      </c>
      <c r="G2627" s="18" t="s">
        <v>41</v>
      </c>
      <c r="H2627" s="18" t="s">
        <v>3343</v>
      </c>
      <c r="I2627" s="20" t="s">
        <v>5313</v>
      </c>
      <c r="J2627" s="18" t="s">
        <v>30</v>
      </c>
      <c r="K2627" s="18" t="s">
        <v>24</v>
      </c>
      <c r="L2627" s="18" t="s">
        <v>25</v>
      </c>
      <c r="N2627" s="18" t="s">
        <v>973</v>
      </c>
    </row>
    <row r="2628" spans="1:14" ht="15" customHeight="1" x14ac:dyDescent="0.3">
      <c r="A2628" s="18" t="s">
        <v>5185</v>
      </c>
      <c r="B2628" s="19" t="s">
        <v>15</v>
      </c>
      <c r="C2628" s="18" t="s">
        <v>5192</v>
      </c>
      <c r="D2628" s="18" t="s">
        <v>116</v>
      </c>
      <c r="E2628" s="18" t="s">
        <v>18</v>
      </c>
      <c r="F2628" s="18" t="s">
        <v>5314</v>
      </c>
      <c r="G2628" s="18" t="s">
        <v>5315</v>
      </c>
      <c r="H2628" s="18" t="s">
        <v>5305</v>
      </c>
      <c r="I2628" s="20" t="s">
        <v>5316</v>
      </c>
      <c r="J2628" s="18" t="s">
        <v>30</v>
      </c>
      <c r="K2628" s="18" t="s">
        <v>24</v>
      </c>
      <c r="L2628" s="18" t="s">
        <v>25</v>
      </c>
      <c r="N2628" s="18" t="s">
        <v>154</v>
      </c>
    </row>
    <row r="2629" spans="1:14" ht="15" customHeight="1" x14ac:dyDescent="0.3">
      <c r="A2629" s="18" t="s">
        <v>5185</v>
      </c>
      <c r="B2629" s="19" t="s">
        <v>15</v>
      </c>
      <c r="C2629" s="18" t="s">
        <v>5192</v>
      </c>
      <c r="D2629" s="18" t="s">
        <v>116</v>
      </c>
      <c r="E2629" s="18" t="s">
        <v>18</v>
      </c>
      <c r="F2629" s="18" t="s">
        <v>5317</v>
      </c>
      <c r="G2629" s="18" t="s">
        <v>207</v>
      </c>
      <c r="H2629" s="18" t="s">
        <v>5305</v>
      </c>
      <c r="I2629" s="20" t="s">
        <v>5318</v>
      </c>
      <c r="J2629" s="18" t="s">
        <v>30</v>
      </c>
      <c r="K2629" s="18" t="s">
        <v>24</v>
      </c>
      <c r="L2629" s="18" t="s">
        <v>25</v>
      </c>
      <c r="N2629" s="18" t="s">
        <v>154</v>
      </c>
    </row>
    <row r="2630" spans="1:14" ht="15" customHeight="1" x14ac:dyDescent="0.3">
      <c r="A2630" s="18" t="s">
        <v>5185</v>
      </c>
      <c r="B2630" s="19" t="s">
        <v>15</v>
      </c>
      <c r="C2630" s="18" t="s">
        <v>5192</v>
      </c>
      <c r="D2630" s="18" t="s">
        <v>116</v>
      </c>
      <c r="E2630" s="18" t="s">
        <v>18</v>
      </c>
      <c r="F2630" s="18" t="s">
        <v>1629</v>
      </c>
      <c r="G2630" s="18" t="s">
        <v>219</v>
      </c>
      <c r="H2630" s="18" t="s">
        <v>5305</v>
      </c>
      <c r="I2630" s="20" t="s">
        <v>5319</v>
      </c>
      <c r="J2630" s="18" t="s">
        <v>30</v>
      </c>
      <c r="K2630" s="18" t="s">
        <v>24</v>
      </c>
      <c r="L2630" s="18" t="s">
        <v>25</v>
      </c>
      <c r="N2630" s="18" t="s">
        <v>154</v>
      </c>
    </row>
    <row r="2631" spans="1:14" ht="15" customHeight="1" x14ac:dyDescent="0.3">
      <c r="A2631" s="18" t="s">
        <v>5185</v>
      </c>
      <c r="B2631" s="19" t="s">
        <v>15</v>
      </c>
      <c r="C2631" s="18" t="s">
        <v>5192</v>
      </c>
      <c r="D2631" s="18" t="s">
        <v>116</v>
      </c>
      <c r="E2631" s="18" t="s">
        <v>18</v>
      </c>
      <c r="F2631" s="18" t="s">
        <v>2761</v>
      </c>
      <c r="G2631" s="18" t="s">
        <v>85</v>
      </c>
      <c r="H2631" s="18" t="s">
        <v>5305</v>
      </c>
      <c r="I2631" s="20" t="s">
        <v>5320</v>
      </c>
      <c r="J2631" s="18" t="s">
        <v>30</v>
      </c>
      <c r="K2631" s="18" t="s">
        <v>24</v>
      </c>
      <c r="L2631" s="18" t="s">
        <v>25</v>
      </c>
      <c r="N2631" s="18" t="s">
        <v>154</v>
      </c>
    </row>
    <row r="2632" spans="1:14" ht="15" customHeight="1" x14ac:dyDescent="0.3">
      <c r="A2632" s="18" t="s">
        <v>5185</v>
      </c>
      <c r="B2632" s="19" t="s">
        <v>15</v>
      </c>
      <c r="C2632" s="18" t="s">
        <v>5192</v>
      </c>
      <c r="D2632" s="18" t="s">
        <v>116</v>
      </c>
      <c r="E2632" s="18" t="s">
        <v>18</v>
      </c>
      <c r="F2632" s="18" t="s">
        <v>5321</v>
      </c>
      <c r="G2632" s="18" t="s">
        <v>41</v>
      </c>
      <c r="H2632" s="18" t="s">
        <v>5305</v>
      </c>
      <c r="I2632" s="20" t="s">
        <v>5322</v>
      </c>
      <c r="J2632" s="18" t="s">
        <v>30</v>
      </c>
      <c r="K2632" s="18" t="s">
        <v>24</v>
      </c>
      <c r="L2632" s="18" t="s">
        <v>25</v>
      </c>
      <c r="N2632" s="18" t="s">
        <v>154</v>
      </c>
    </row>
    <row r="2633" spans="1:14" ht="15" customHeight="1" x14ac:dyDescent="0.3">
      <c r="A2633" s="18" t="s">
        <v>5185</v>
      </c>
      <c r="B2633" s="19" t="s">
        <v>15</v>
      </c>
      <c r="C2633" s="18" t="s">
        <v>5187</v>
      </c>
      <c r="D2633" s="18" t="s">
        <v>116</v>
      </c>
      <c r="E2633" s="18" t="s">
        <v>18</v>
      </c>
      <c r="F2633" s="18" t="s">
        <v>28</v>
      </c>
      <c r="G2633" s="18" t="s">
        <v>28</v>
      </c>
      <c r="H2633" s="18" t="s">
        <v>5218</v>
      </c>
      <c r="I2633" s="20" t="s">
        <v>5323</v>
      </c>
      <c r="J2633" s="18" t="s">
        <v>30</v>
      </c>
      <c r="K2633" s="18" t="s">
        <v>24</v>
      </c>
      <c r="L2633" s="18" t="s">
        <v>25</v>
      </c>
      <c r="N2633" s="18" t="s">
        <v>973</v>
      </c>
    </row>
    <row r="2634" spans="1:14" ht="15" customHeight="1" x14ac:dyDescent="0.3">
      <c r="A2634" s="18" t="s">
        <v>5185</v>
      </c>
      <c r="B2634" s="19" t="s">
        <v>15</v>
      </c>
      <c r="C2634" s="18" t="s">
        <v>149</v>
      </c>
      <c r="D2634" s="18" t="s">
        <v>116</v>
      </c>
      <c r="E2634" s="18" t="s">
        <v>18</v>
      </c>
      <c r="F2634" s="18" t="s">
        <v>1019</v>
      </c>
      <c r="G2634" s="18" t="s">
        <v>1019</v>
      </c>
      <c r="H2634" s="18" t="s">
        <v>2152</v>
      </c>
      <c r="I2634" s="20" t="s">
        <v>5324</v>
      </c>
      <c r="J2634" s="18" t="s">
        <v>30</v>
      </c>
      <c r="K2634" s="18" t="s">
        <v>24</v>
      </c>
      <c r="L2634" s="18" t="s">
        <v>25</v>
      </c>
      <c r="N2634" s="18" t="s">
        <v>154</v>
      </c>
    </row>
    <row r="2635" spans="1:14" ht="15" customHeight="1" x14ac:dyDescent="0.3">
      <c r="A2635" s="18" t="s">
        <v>5185</v>
      </c>
      <c r="B2635" s="19" t="s">
        <v>15</v>
      </c>
      <c r="C2635" s="18" t="s">
        <v>149</v>
      </c>
      <c r="D2635" s="18" t="s">
        <v>116</v>
      </c>
      <c r="E2635" s="18" t="s">
        <v>18</v>
      </c>
      <c r="F2635" s="18" t="s">
        <v>272</v>
      </c>
      <c r="G2635" s="18" t="s">
        <v>273</v>
      </c>
      <c r="H2635" s="18" t="s">
        <v>2152</v>
      </c>
      <c r="I2635" s="20" t="s">
        <v>5325</v>
      </c>
      <c r="J2635" s="18" t="s">
        <v>30</v>
      </c>
      <c r="K2635" s="18" t="s">
        <v>24</v>
      </c>
      <c r="L2635" s="18" t="s">
        <v>25</v>
      </c>
      <c r="N2635" s="18" t="s">
        <v>154</v>
      </c>
    </row>
    <row r="2636" spans="1:14" ht="15" customHeight="1" x14ac:dyDescent="0.3">
      <c r="A2636" s="18" t="s">
        <v>5185</v>
      </c>
      <c r="B2636" s="19" t="s">
        <v>15</v>
      </c>
      <c r="C2636" s="18" t="s">
        <v>149</v>
      </c>
      <c r="D2636" s="18" t="s">
        <v>116</v>
      </c>
      <c r="E2636" s="18" t="s">
        <v>18</v>
      </c>
      <c r="F2636" s="18" t="s">
        <v>5326</v>
      </c>
      <c r="G2636" s="18" t="s">
        <v>151</v>
      </c>
      <c r="H2636" s="18" t="s">
        <v>2152</v>
      </c>
      <c r="I2636" s="20" t="s">
        <v>5327</v>
      </c>
      <c r="J2636" s="18" t="s">
        <v>30</v>
      </c>
      <c r="K2636" s="18" t="s">
        <v>24</v>
      </c>
      <c r="L2636" s="18" t="s">
        <v>25</v>
      </c>
      <c r="N2636" s="18" t="s">
        <v>154</v>
      </c>
    </row>
    <row r="2637" spans="1:14" ht="15" customHeight="1" x14ac:dyDescent="0.3">
      <c r="A2637" s="18" t="s">
        <v>5185</v>
      </c>
      <c r="B2637" s="19" t="s">
        <v>15</v>
      </c>
      <c r="C2637" s="18" t="s">
        <v>149</v>
      </c>
      <c r="D2637" s="18" t="s">
        <v>116</v>
      </c>
      <c r="E2637" s="18" t="s">
        <v>18</v>
      </c>
      <c r="F2637" s="18" t="s">
        <v>356</v>
      </c>
      <c r="G2637" s="18" t="s">
        <v>273</v>
      </c>
      <c r="H2637" s="18" t="s">
        <v>2152</v>
      </c>
      <c r="I2637" s="20" t="s">
        <v>5328</v>
      </c>
      <c r="J2637" s="18" t="s">
        <v>30</v>
      </c>
      <c r="K2637" s="18" t="s">
        <v>24</v>
      </c>
      <c r="L2637" s="18" t="s">
        <v>25</v>
      </c>
      <c r="N2637" s="18" t="s">
        <v>154</v>
      </c>
    </row>
    <row r="2638" spans="1:14" ht="15" customHeight="1" x14ac:dyDescent="0.3">
      <c r="A2638" s="18" t="s">
        <v>5185</v>
      </c>
      <c r="B2638" s="19" t="s">
        <v>15</v>
      </c>
      <c r="C2638" s="18" t="s">
        <v>149</v>
      </c>
      <c r="D2638" s="18" t="s">
        <v>116</v>
      </c>
      <c r="E2638" s="18" t="s">
        <v>18</v>
      </c>
      <c r="F2638" s="18" t="s">
        <v>1239</v>
      </c>
      <c r="G2638" s="18" t="s">
        <v>1075</v>
      </c>
      <c r="H2638" s="18" t="s">
        <v>5202</v>
      </c>
      <c r="I2638" s="20" t="s">
        <v>5329</v>
      </c>
      <c r="J2638" s="18" t="s">
        <v>30</v>
      </c>
      <c r="K2638" s="18" t="s">
        <v>24</v>
      </c>
      <c r="L2638" s="18" t="s">
        <v>25</v>
      </c>
      <c r="N2638" s="18" t="s">
        <v>154</v>
      </c>
    </row>
    <row r="2639" spans="1:14" ht="15" customHeight="1" x14ac:dyDescent="0.3">
      <c r="A2639" s="18" t="s">
        <v>5185</v>
      </c>
      <c r="B2639" s="19" t="s">
        <v>15</v>
      </c>
      <c r="C2639" s="18" t="s">
        <v>149</v>
      </c>
      <c r="D2639" s="18" t="s">
        <v>116</v>
      </c>
      <c r="E2639" s="18" t="s">
        <v>18</v>
      </c>
      <c r="F2639" s="18" t="s">
        <v>221</v>
      </c>
      <c r="G2639" s="18" t="s">
        <v>212</v>
      </c>
      <c r="H2639" s="18" t="s">
        <v>5202</v>
      </c>
      <c r="I2639" s="20" t="s">
        <v>5330</v>
      </c>
      <c r="J2639" s="18" t="s">
        <v>30</v>
      </c>
      <c r="K2639" s="18" t="s">
        <v>24</v>
      </c>
      <c r="L2639" s="18" t="s">
        <v>25</v>
      </c>
      <c r="N2639" s="18" t="s">
        <v>154</v>
      </c>
    </row>
    <row r="2640" spans="1:14" ht="15" customHeight="1" x14ac:dyDescent="0.3">
      <c r="A2640" s="18" t="s">
        <v>5185</v>
      </c>
      <c r="B2640" s="19" t="s">
        <v>15</v>
      </c>
      <c r="C2640" s="18" t="s">
        <v>149</v>
      </c>
      <c r="D2640" s="18" t="s">
        <v>116</v>
      </c>
      <c r="E2640" s="18" t="s">
        <v>18</v>
      </c>
      <c r="F2640" s="18" t="s">
        <v>5331</v>
      </c>
      <c r="G2640" s="18" t="s">
        <v>1204</v>
      </c>
      <c r="H2640" s="18" t="s">
        <v>5202</v>
      </c>
      <c r="I2640" s="20" t="s">
        <v>5332</v>
      </c>
      <c r="J2640" s="18" t="s">
        <v>30</v>
      </c>
      <c r="K2640" s="18" t="s">
        <v>24</v>
      </c>
      <c r="L2640" s="18" t="s">
        <v>25</v>
      </c>
      <c r="N2640" s="18" t="s">
        <v>154</v>
      </c>
    </row>
    <row r="2641" spans="1:14" ht="15" customHeight="1" x14ac:dyDescent="0.3">
      <c r="A2641" s="18" t="s">
        <v>5185</v>
      </c>
      <c r="B2641" s="19" t="s">
        <v>15</v>
      </c>
      <c r="C2641" s="18" t="s">
        <v>149</v>
      </c>
      <c r="D2641" s="18" t="s">
        <v>116</v>
      </c>
      <c r="E2641" s="18" t="s">
        <v>18</v>
      </c>
      <c r="F2641" s="18" t="s">
        <v>1244</v>
      </c>
      <c r="G2641" s="18" t="s">
        <v>1075</v>
      </c>
      <c r="H2641" s="18" t="s">
        <v>5202</v>
      </c>
      <c r="I2641" s="20" t="s">
        <v>5333</v>
      </c>
      <c r="J2641" s="18" t="s">
        <v>30</v>
      </c>
      <c r="K2641" s="18" t="s">
        <v>24</v>
      </c>
      <c r="L2641" s="18" t="s">
        <v>25</v>
      </c>
      <c r="N2641" s="18" t="s">
        <v>154</v>
      </c>
    </row>
    <row r="2642" spans="1:14" ht="15" customHeight="1" x14ac:dyDescent="0.3">
      <c r="A2642" s="18" t="s">
        <v>5185</v>
      </c>
      <c r="B2642" s="19" t="s">
        <v>15</v>
      </c>
      <c r="C2642" s="18" t="s">
        <v>149</v>
      </c>
      <c r="D2642" s="18" t="s">
        <v>116</v>
      </c>
      <c r="E2642" s="18" t="s">
        <v>18</v>
      </c>
      <c r="F2642" s="18" t="s">
        <v>3487</v>
      </c>
      <c r="G2642" s="18" t="s">
        <v>3138</v>
      </c>
      <c r="H2642" s="18" t="s">
        <v>5202</v>
      </c>
      <c r="I2642" s="20" t="s">
        <v>5334</v>
      </c>
      <c r="J2642" s="18" t="s">
        <v>30</v>
      </c>
      <c r="K2642" s="18" t="s">
        <v>24</v>
      </c>
      <c r="L2642" s="18" t="s">
        <v>25</v>
      </c>
      <c r="N2642" s="18" t="s">
        <v>154</v>
      </c>
    </row>
    <row r="2643" spans="1:14" ht="15" customHeight="1" x14ac:dyDescent="0.3">
      <c r="A2643" s="18" t="s">
        <v>5185</v>
      </c>
      <c r="B2643" s="19" t="s">
        <v>15</v>
      </c>
      <c r="C2643" s="18" t="s">
        <v>149</v>
      </c>
      <c r="D2643" s="18" t="s">
        <v>116</v>
      </c>
      <c r="E2643" s="18" t="s">
        <v>18</v>
      </c>
      <c r="F2643" s="18" t="s">
        <v>5335</v>
      </c>
      <c r="G2643" s="18" t="s">
        <v>1204</v>
      </c>
      <c r="H2643" s="18" t="s">
        <v>5202</v>
      </c>
      <c r="I2643" s="20" t="s">
        <v>5336</v>
      </c>
      <c r="J2643" s="18" t="s">
        <v>30</v>
      </c>
      <c r="K2643" s="18" t="s">
        <v>24</v>
      </c>
      <c r="L2643" s="18" t="s">
        <v>25</v>
      </c>
      <c r="N2643" s="18" t="s">
        <v>154</v>
      </c>
    </row>
    <row r="2644" spans="1:14" ht="15" customHeight="1" x14ac:dyDescent="0.3">
      <c r="A2644" s="18" t="s">
        <v>5185</v>
      </c>
      <c r="B2644" s="19" t="s">
        <v>15</v>
      </c>
      <c r="C2644" s="18" t="s">
        <v>149</v>
      </c>
      <c r="D2644" s="18" t="s">
        <v>116</v>
      </c>
      <c r="E2644" s="18" t="s">
        <v>18</v>
      </c>
      <c r="F2644" s="18" t="s">
        <v>1072</v>
      </c>
      <c r="G2644" s="18" t="s">
        <v>47</v>
      </c>
      <c r="H2644" s="18" t="s">
        <v>5202</v>
      </c>
      <c r="I2644" s="20" t="s">
        <v>5337</v>
      </c>
      <c r="J2644" s="18" t="s">
        <v>30</v>
      </c>
      <c r="K2644" s="18" t="s">
        <v>24</v>
      </c>
      <c r="L2644" s="18" t="s">
        <v>25</v>
      </c>
      <c r="N2644" s="18" t="s">
        <v>154</v>
      </c>
    </row>
    <row r="2645" spans="1:14" ht="15" customHeight="1" x14ac:dyDescent="0.3">
      <c r="A2645" s="18" t="s">
        <v>5185</v>
      </c>
      <c r="B2645" s="19" t="s">
        <v>15</v>
      </c>
      <c r="C2645" s="18" t="s">
        <v>149</v>
      </c>
      <c r="D2645" s="18" t="s">
        <v>116</v>
      </c>
      <c r="E2645" s="18" t="s">
        <v>18</v>
      </c>
      <c r="F2645" s="18" t="s">
        <v>34</v>
      </c>
      <c r="G2645" s="18" t="s">
        <v>34</v>
      </c>
      <c r="H2645" s="18" t="s">
        <v>5202</v>
      </c>
      <c r="I2645" s="20" t="s">
        <v>5338</v>
      </c>
      <c r="J2645" s="18" t="s">
        <v>30</v>
      </c>
      <c r="K2645" s="18" t="s">
        <v>24</v>
      </c>
      <c r="L2645" s="18" t="s">
        <v>25</v>
      </c>
      <c r="N2645" s="18" t="s">
        <v>154</v>
      </c>
    </row>
    <row r="2646" spans="1:14" ht="15" customHeight="1" x14ac:dyDescent="0.3">
      <c r="A2646" s="18" t="s">
        <v>5185</v>
      </c>
      <c r="B2646" s="19" t="s">
        <v>15</v>
      </c>
      <c r="C2646" s="18" t="s">
        <v>149</v>
      </c>
      <c r="D2646" s="18" t="s">
        <v>116</v>
      </c>
      <c r="E2646" s="18" t="s">
        <v>18</v>
      </c>
      <c r="F2646" s="18" t="s">
        <v>5339</v>
      </c>
      <c r="G2646" s="18" t="s">
        <v>34</v>
      </c>
      <c r="H2646" s="18" t="s">
        <v>5202</v>
      </c>
      <c r="I2646" s="20" t="s">
        <v>5340</v>
      </c>
      <c r="J2646" s="18" t="s">
        <v>30</v>
      </c>
      <c r="K2646" s="18" t="s">
        <v>24</v>
      </c>
      <c r="L2646" s="18" t="s">
        <v>25</v>
      </c>
      <c r="N2646" s="18" t="s">
        <v>154</v>
      </c>
    </row>
    <row r="2647" spans="1:14" ht="15" customHeight="1" x14ac:dyDescent="0.3">
      <c r="A2647" s="18" t="s">
        <v>5185</v>
      </c>
      <c r="B2647" s="19" t="s">
        <v>15</v>
      </c>
      <c r="C2647" s="18" t="s">
        <v>149</v>
      </c>
      <c r="D2647" s="18" t="s">
        <v>116</v>
      </c>
      <c r="E2647" s="18" t="s">
        <v>18</v>
      </c>
      <c r="F2647" s="18" t="s">
        <v>1250</v>
      </c>
      <c r="G2647" s="18" t="s">
        <v>1251</v>
      </c>
      <c r="H2647" s="18" t="s">
        <v>5202</v>
      </c>
      <c r="I2647" s="20" t="s">
        <v>5341</v>
      </c>
      <c r="J2647" s="18" t="s">
        <v>30</v>
      </c>
      <c r="K2647" s="18" t="s">
        <v>24</v>
      </c>
      <c r="L2647" s="18" t="s">
        <v>25</v>
      </c>
      <c r="N2647" s="18" t="s">
        <v>154</v>
      </c>
    </row>
    <row r="2648" spans="1:14" ht="15" customHeight="1" x14ac:dyDescent="0.3">
      <c r="A2648" s="18" t="s">
        <v>5185</v>
      </c>
      <c r="B2648" s="19" t="s">
        <v>15</v>
      </c>
      <c r="C2648" s="18" t="s">
        <v>149</v>
      </c>
      <c r="D2648" s="18" t="s">
        <v>116</v>
      </c>
      <c r="E2648" s="18" t="s">
        <v>18</v>
      </c>
      <c r="F2648" s="18" t="s">
        <v>5342</v>
      </c>
      <c r="G2648" s="18" t="s">
        <v>1221</v>
      </c>
      <c r="H2648" s="18" t="s">
        <v>5202</v>
      </c>
      <c r="I2648" s="20" t="s">
        <v>5343</v>
      </c>
      <c r="J2648" s="18" t="s">
        <v>30</v>
      </c>
      <c r="K2648" s="18" t="s">
        <v>24</v>
      </c>
      <c r="L2648" s="18" t="s">
        <v>25</v>
      </c>
      <c r="N2648" s="18" t="s">
        <v>154</v>
      </c>
    </row>
    <row r="2649" spans="1:14" ht="15" customHeight="1" x14ac:dyDescent="0.3">
      <c r="A2649" s="18" t="s">
        <v>5185</v>
      </c>
      <c r="B2649" s="19" t="s">
        <v>15</v>
      </c>
      <c r="C2649" s="18" t="s">
        <v>149</v>
      </c>
      <c r="D2649" s="18" t="s">
        <v>116</v>
      </c>
      <c r="E2649" s="18" t="s">
        <v>18</v>
      </c>
      <c r="F2649" s="18" t="s">
        <v>1074</v>
      </c>
      <c r="G2649" s="18" t="s">
        <v>1075</v>
      </c>
      <c r="H2649" s="18" t="s">
        <v>5202</v>
      </c>
      <c r="I2649" s="20" t="s">
        <v>5344</v>
      </c>
      <c r="J2649" s="18" t="s">
        <v>30</v>
      </c>
      <c r="K2649" s="18" t="s">
        <v>24</v>
      </c>
      <c r="L2649" s="18" t="s">
        <v>25</v>
      </c>
      <c r="N2649" s="18" t="s">
        <v>154</v>
      </c>
    </row>
    <row r="2650" spans="1:14" ht="15" customHeight="1" x14ac:dyDescent="0.3">
      <c r="A2650" s="18" t="s">
        <v>5185</v>
      </c>
      <c r="B2650" s="19" t="s">
        <v>15</v>
      </c>
      <c r="C2650" s="18" t="s">
        <v>149</v>
      </c>
      <c r="D2650" s="18" t="s">
        <v>116</v>
      </c>
      <c r="E2650" s="18" t="s">
        <v>18</v>
      </c>
      <c r="F2650" s="18" t="s">
        <v>1253</v>
      </c>
      <c r="G2650" s="18" t="s">
        <v>1254</v>
      </c>
      <c r="H2650" s="18" t="s">
        <v>5202</v>
      </c>
      <c r="I2650" s="20" t="s">
        <v>5345</v>
      </c>
      <c r="J2650" s="18" t="s">
        <v>30</v>
      </c>
      <c r="K2650" s="18" t="s">
        <v>24</v>
      </c>
      <c r="L2650" s="18" t="s">
        <v>25</v>
      </c>
      <c r="N2650" s="18" t="s">
        <v>154</v>
      </c>
    </row>
    <row r="2651" spans="1:14" ht="15" customHeight="1" x14ac:dyDescent="0.3">
      <c r="A2651" s="18" t="s">
        <v>5185</v>
      </c>
      <c r="B2651" s="19" t="s">
        <v>15</v>
      </c>
      <c r="C2651" s="18" t="s">
        <v>149</v>
      </c>
      <c r="D2651" s="18" t="s">
        <v>116</v>
      </c>
      <c r="E2651" s="18" t="s">
        <v>18</v>
      </c>
      <c r="F2651" s="18" t="s">
        <v>578</v>
      </c>
      <c r="G2651" s="18" t="s">
        <v>80</v>
      </c>
      <c r="H2651" s="18" t="s">
        <v>5208</v>
      </c>
      <c r="I2651" s="20" t="s">
        <v>5346</v>
      </c>
      <c r="J2651" s="18" t="s">
        <v>23</v>
      </c>
      <c r="K2651" s="18" t="s">
        <v>24</v>
      </c>
      <c r="L2651" s="18" t="s">
        <v>25</v>
      </c>
      <c r="N2651" s="18" t="s">
        <v>154</v>
      </c>
    </row>
    <row r="2652" spans="1:14" ht="15" customHeight="1" x14ac:dyDescent="0.3">
      <c r="A2652" s="18" t="s">
        <v>5185</v>
      </c>
      <c r="B2652" s="19" t="s">
        <v>15</v>
      </c>
      <c r="C2652" s="18" t="s">
        <v>149</v>
      </c>
      <c r="D2652" s="18" t="s">
        <v>116</v>
      </c>
      <c r="E2652" s="18" t="s">
        <v>18</v>
      </c>
      <c r="F2652" s="18" t="s">
        <v>2559</v>
      </c>
      <c r="G2652" s="18" t="s">
        <v>429</v>
      </c>
      <c r="H2652" s="18" t="s">
        <v>5208</v>
      </c>
      <c r="I2652" s="20" t="s">
        <v>5347</v>
      </c>
      <c r="J2652" s="18" t="s">
        <v>23</v>
      </c>
      <c r="K2652" s="18" t="s">
        <v>24</v>
      </c>
      <c r="L2652" s="18" t="s">
        <v>25</v>
      </c>
      <c r="N2652" s="18" t="s">
        <v>154</v>
      </c>
    </row>
    <row r="2653" spans="1:14" ht="15" customHeight="1" x14ac:dyDescent="0.3">
      <c r="A2653" s="18" t="s">
        <v>5185</v>
      </c>
      <c r="B2653" s="19" t="s">
        <v>15</v>
      </c>
      <c r="C2653" s="18" t="s">
        <v>149</v>
      </c>
      <c r="D2653" s="18" t="s">
        <v>116</v>
      </c>
      <c r="E2653" s="18" t="s">
        <v>18</v>
      </c>
      <c r="F2653" s="18" t="s">
        <v>580</v>
      </c>
      <c r="G2653" s="18" t="s">
        <v>20</v>
      </c>
      <c r="H2653" s="18" t="s">
        <v>5208</v>
      </c>
      <c r="I2653" s="20" t="s">
        <v>5348</v>
      </c>
      <c r="J2653" s="18" t="s">
        <v>23</v>
      </c>
      <c r="K2653" s="18" t="s">
        <v>24</v>
      </c>
      <c r="L2653" s="18" t="s">
        <v>25</v>
      </c>
      <c r="N2653" s="18" t="s">
        <v>154</v>
      </c>
    </row>
    <row r="2654" spans="1:14" ht="15" customHeight="1" x14ac:dyDescent="0.3">
      <c r="A2654" s="18" t="s">
        <v>5185</v>
      </c>
      <c r="B2654" s="19" t="s">
        <v>15</v>
      </c>
      <c r="C2654" s="18" t="s">
        <v>5187</v>
      </c>
      <c r="D2654" s="18" t="s">
        <v>116</v>
      </c>
      <c r="E2654" s="18" t="s">
        <v>18</v>
      </c>
      <c r="F2654" s="18" t="s">
        <v>4387</v>
      </c>
      <c r="G2654" s="18" t="s">
        <v>1291</v>
      </c>
      <c r="H2654" s="18" t="s">
        <v>5218</v>
      </c>
      <c r="I2654" s="20" t="s">
        <v>5349</v>
      </c>
      <c r="J2654" s="18" t="s">
        <v>30</v>
      </c>
      <c r="K2654" s="18" t="s">
        <v>24</v>
      </c>
      <c r="L2654" s="18" t="s">
        <v>25</v>
      </c>
      <c r="N2654" s="18" t="s">
        <v>973</v>
      </c>
    </row>
    <row r="2655" spans="1:14" ht="15" customHeight="1" x14ac:dyDescent="0.3">
      <c r="A2655" s="18" t="s">
        <v>5185</v>
      </c>
      <c r="B2655" s="19" t="s">
        <v>15</v>
      </c>
      <c r="C2655" s="18" t="s">
        <v>149</v>
      </c>
      <c r="D2655" s="18" t="s">
        <v>116</v>
      </c>
      <c r="E2655" s="18" t="s">
        <v>18</v>
      </c>
      <c r="F2655" s="18" t="s">
        <v>5350</v>
      </c>
      <c r="G2655" s="18" t="s">
        <v>3138</v>
      </c>
      <c r="H2655" s="18" t="s">
        <v>5208</v>
      </c>
      <c r="I2655" s="20" t="s">
        <v>5351</v>
      </c>
      <c r="J2655" s="18" t="s">
        <v>30</v>
      </c>
      <c r="K2655" s="18" t="s">
        <v>24</v>
      </c>
      <c r="L2655" s="18" t="s">
        <v>25</v>
      </c>
      <c r="N2655" s="18" t="s">
        <v>154</v>
      </c>
    </row>
    <row r="2656" spans="1:14" ht="15" customHeight="1" x14ac:dyDescent="0.3">
      <c r="A2656" s="18" t="s">
        <v>5185</v>
      </c>
      <c r="B2656" s="19" t="s">
        <v>15</v>
      </c>
      <c r="C2656" s="18" t="s">
        <v>5192</v>
      </c>
      <c r="D2656" s="18" t="s">
        <v>116</v>
      </c>
      <c r="E2656" s="18" t="s">
        <v>18</v>
      </c>
      <c r="F2656" s="18" t="s">
        <v>40</v>
      </c>
      <c r="G2656" s="18" t="s">
        <v>41</v>
      </c>
      <c r="H2656" s="18" t="s">
        <v>5305</v>
      </c>
      <c r="I2656" s="20" t="s">
        <v>5352</v>
      </c>
      <c r="J2656" s="18" t="s">
        <v>30</v>
      </c>
      <c r="K2656" s="18" t="s">
        <v>24</v>
      </c>
      <c r="L2656" s="18" t="s">
        <v>25</v>
      </c>
      <c r="N2656" s="18" t="s">
        <v>154</v>
      </c>
    </row>
    <row r="2657" spans="1:14" ht="15" customHeight="1" x14ac:dyDescent="0.3">
      <c r="A2657" s="18" t="s">
        <v>5185</v>
      </c>
      <c r="B2657" s="19" t="s">
        <v>15</v>
      </c>
      <c r="C2657" s="18" t="s">
        <v>5204</v>
      </c>
      <c r="D2657" s="18" t="s">
        <v>116</v>
      </c>
      <c r="E2657" s="18" t="s">
        <v>18</v>
      </c>
      <c r="F2657" s="18" t="s">
        <v>1084</v>
      </c>
      <c r="G2657" s="18" t="s">
        <v>41</v>
      </c>
      <c r="H2657" s="18" t="s">
        <v>3343</v>
      </c>
      <c r="I2657" s="20" t="s">
        <v>5353</v>
      </c>
      <c r="J2657" s="18" t="s">
        <v>30</v>
      </c>
      <c r="K2657" s="18" t="s">
        <v>24</v>
      </c>
      <c r="L2657" s="18" t="s">
        <v>25</v>
      </c>
      <c r="N2657" s="18" t="s">
        <v>973</v>
      </c>
    </row>
    <row r="2658" spans="1:14" ht="15" customHeight="1" x14ac:dyDescent="0.3">
      <c r="A2658" s="18" t="s">
        <v>5185</v>
      </c>
      <c r="B2658" s="19" t="s">
        <v>15</v>
      </c>
      <c r="C2658" s="18" t="s">
        <v>5192</v>
      </c>
      <c r="D2658" s="18" t="s">
        <v>116</v>
      </c>
      <c r="E2658" s="18" t="s">
        <v>18</v>
      </c>
      <c r="F2658" s="18" t="s">
        <v>5354</v>
      </c>
      <c r="G2658" s="18" t="s">
        <v>298</v>
      </c>
      <c r="H2658" s="18" t="s">
        <v>5305</v>
      </c>
      <c r="I2658" s="20" t="s">
        <v>5355</v>
      </c>
      <c r="J2658" s="18" t="s">
        <v>30</v>
      </c>
      <c r="K2658" s="18" t="s">
        <v>24</v>
      </c>
      <c r="L2658" s="18" t="s">
        <v>25</v>
      </c>
      <c r="M2658" s="18" t="s">
        <v>39</v>
      </c>
      <c r="N2658" s="18" t="s">
        <v>154</v>
      </c>
    </row>
    <row r="2659" spans="1:14" ht="15" customHeight="1" x14ac:dyDescent="0.3">
      <c r="A2659" s="18" t="s">
        <v>5185</v>
      </c>
      <c r="B2659" s="19" t="s">
        <v>15</v>
      </c>
      <c r="C2659" s="18" t="s">
        <v>5187</v>
      </c>
      <c r="D2659" s="18" t="s">
        <v>116</v>
      </c>
      <c r="E2659" s="18" t="s">
        <v>18</v>
      </c>
      <c r="F2659" s="18" t="s">
        <v>3179</v>
      </c>
      <c r="G2659" s="18" t="s">
        <v>629</v>
      </c>
      <c r="H2659" s="18" t="s">
        <v>5189</v>
      </c>
      <c r="I2659" s="20" t="s">
        <v>5356</v>
      </c>
      <c r="J2659" s="18" t="s">
        <v>30</v>
      </c>
      <c r="K2659" s="18" t="s">
        <v>24</v>
      </c>
      <c r="L2659" s="18" t="s">
        <v>25</v>
      </c>
      <c r="N2659" s="18" t="s">
        <v>973</v>
      </c>
    </row>
    <row r="2660" spans="1:14" ht="15" customHeight="1" x14ac:dyDescent="0.3">
      <c r="A2660" s="18" t="s">
        <v>5185</v>
      </c>
      <c r="B2660" s="19" t="s">
        <v>15</v>
      </c>
      <c r="C2660" s="18" t="s">
        <v>5187</v>
      </c>
      <c r="D2660" s="18" t="s">
        <v>116</v>
      </c>
      <c r="E2660" s="18" t="s">
        <v>18</v>
      </c>
      <c r="F2660" s="18" t="s">
        <v>5357</v>
      </c>
      <c r="G2660" s="18" t="s">
        <v>537</v>
      </c>
      <c r="H2660" s="18" t="s">
        <v>5189</v>
      </c>
      <c r="I2660" s="20" t="s">
        <v>5358</v>
      </c>
      <c r="J2660" s="18" t="s">
        <v>30</v>
      </c>
      <c r="K2660" s="18" t="s">
        <v>24</v>
      </c>
      <c r="L2660" s="18" t="s">
        <v>25</v>
      </c>
      <c r="N2660" s="18" t="s">
        <v>973</v>
      </c>
    </row>
    <row r="2661" spans="1:14" ht="15" customHeight="1" x14ac:dyDescent="0.3">
      <c r="A2661" s="18" t="s">
        <v>5185</v>
      </c>
      <c r="B2661" s="19" t="s">
        <v>15</v>
      </c>
      <c r="C2661" s="18" t="s">
        <v>149</v>
      </c>
      <c r="D2661" s="18" t="s">
        <v>116</v>
      </c>
      <c r="E2661" s="18" t="s">
        <v>18</v>
      </c>
      <c r="F2661" s="18" t="s">
        <v>5359</v>
      </c>
      <c r="G2661" s="18" t="s">
        <v>197</v>
      </c>
      <c r="H2661" s="18" t="s">
        <v>2152</v>
      </c>
      <c r="I2661" s="20" t="s">
        <v>5360</v>
      </c>
      <c r="J2661" s="18" t="s">
        <v>30</v>
      </c>
      <c r="K2661" s="18" t="s">
        <v>24</v>
      </c>
      <c r="L2661" s="18" t="s">
        <v>25</v>
      </c>
      <c r="N2661" s="18" t="s">
        <v>154</v>
      </c>
    </row>
    <row r="2662" spans="1:14" ht="15" customHeight="1" x14ac:dyDescent="0.3">
      <c r="A2662" s="18" t="s">
        <v>5185</v>
      </c>
      <c r="B2662" s="19" t="s">
        <v>15</v>
      </c>
      <c r="C2662" s="18" t="s">
        <v>5187</v>
      </c>
      <c r="D2662" s="18" t="s">
        <v>116</v>
      </c>
      <c r="E2662" s="18" t="s">
        <v>18</v>
      </c>
      <c r="F2662" s="18" t="s">
        <v>5361</v>
      </c>
      <c r="G2662" s="18" t="s">
        <v>629</v>
      </c>
      <c r="H2662" s="18" t="s">
        <v>5189</v>
      </c>
      <c r="I2662" s="20" t="s">
        <v>5362</v>
      </c>
      <c r="J2662" s="18" t="s">
        <v>30</v>
      </c>
      <c r="K2662" s="18" t="s">
        <v>24</v>
      </c>
      <c r="L2662" s="18" t="s">
        <v>25</v>
      </c>
      <c r="N2662" s="18" t="s">
        <v>973</v>
      </c>
    </row>
    <row r="2663" spans="1:14" ht="15" customHeight="1" x14ac:dyDescent="0.3">
      <c r="A2663" s="18" t="s">
        <v>5185</v>
      </c>
      <c r="B2663" s="19" t="s">
        <v>15</v>
      </c>
      <c r="C2663" s="18" t="s">
        <v>149</v>
      </c>
      <c r="D2663" s="18" t="s">
        <v>116</v>
      </c>
      <c r="E2663" s="18" t="s">
        <v>18</v>
      </c>
      <c r="F2663" s="18" t="s">
        <v>774</v>
      </c>
      <c r="G2663" s="18" t="s">
        <v>429</v>
      </c>
      <c r="H2663" s="18" t="s">
        <v>5208</v>
      </c>
      <c r="I2663" s="20" t="s">
        <v>5363</v>
      </c>
      <c r="J2663" s="18" t="s">
        <v>23</v>
      </c>
      <c r="K2663" s="18" t="s">
        <v>24</v>
      </c>
      <c r="L2663" s="18" t="s">
        <v>25</v>
      </c>
      <c r="N2663" s="18" t="s">
        <v>154</v>
      </c>
    </row>
    <row r="2664" spans="1:14" ht="15" customHeight="1" x14ac:dyDescent="0.3">
      <c r="A2664" s="18" t="s">
        <v>5185</v>
      </c>
      <c r="B2664" s="19" t="s">
        <v>15</v>
      </c>
      <c r="C2664" s="18" t="s">
        <v>149</v>
      </c>
      <c r="D2664" s="18" t="s">
        <v>116</v>
      </c>
      <c r="E2664" s="18" t="s">
        <v>18</v>
      </c>
      <c r="F2664" s="18" t="s">
        <v>5364</v>
      </c>
      <c r="G2664" s="18" t="s">
        <v>298</v>
      </c>
      <c r="H2664" s="18" t="s">
        <v>2152</v>
      </c>
      <c r="I2664" s="20" t="s">
        <v>5365</v>
      </c>
      <c r="J2664" s="18" t="s">
        <v>30</v>
      </c>
      <c r="K2664" s="18" t="s">
        <v>24</v>
      </c>
      <c r="L2664" s="18" t="s">
        <v>25</v>
      </c>
      <c r="N2664" s="18" t="s">
        <v>154</v>
      </c>
    </row>
    <row r="2665" spans="1:14" ht="15" customHeight="1" x14ac:dyDescent="0.3">
      <c r="A2665" s="18" t="s">
        <v>5185</v>
      </c>
      <c r="B2665" s="19" t="s">
        <v>15</v>
      </c>
      <c r="C2665" s="18" t="s">
        <v>5192</v>
      </c>
      <c r="D2665" s="18" t="s">
        <v>116</v>
      </c>
      <c r="E2665" s="18" t="s">
        <v>18</v>
      </c>
      <c r="F2665" s="18" t="s">
        <v>1832</v>
      </c>
      <c r="G2665" s="18" t="s">
        <v>207</v>
      </c>
      <c r="H2665" s="18" t="s">
        <v>5305</v>
      </c>
      <c r="I2665" s="20" t="s">
        <v>5366</v>
      </c>
      <c r="J2665" s="18" t="s">
        <v>30</v>
      </c>
      <c r="K2665" s="18" t="s">
        <v>24</v>
      </c>
      <c r="L2665" s="18" t="s">
        <v>25</v>
      </c>
      <c r="N2665" s="18" t="s">
        <v>154</v>
      </c>
    </row>
    <row r="2666" spans="1:14" ht="15" customHeight="1" x14ac:dyDescent="0.3">
      <c r="A2666" s="18" t="s">
        <v>5185</v>
      </c>
      <c r="B2666" s="19" t="s">
        <v>15</v>
      </c>
      <c r="C2666" s="18" t="s">
        <v>5187</v>
      </c>
      <c r="D2666" s="18" t="s">
        <v>116</v>
      </c>
      <c r="E2666" s="18" t="s">
        <v>18</v>
      </c>
      <c r="F2666" s="18" t="s">
        <v>2327</v>
      </c>
      <c r="G2666" s="18" t="s">
        <v>1291</v>
      </c>
      <c r="H2666" s="18" t="s">
        <v>5218</v>
      </c>
      <c r="I2666" s="20" t="s">
        <v>5367</v>
      </c>
      <c r="J2666" s="18" t="s">
        <v>30</v>
      </c>
      <c r="K2666" s="18" t="s">
        <v>24</v>
      </c>
      <c r="L2666" s="18" t="s">
        <v>25</v>
      </c>
      <c r="N2666" s="18" t="s">
        <v>973</v>
      </c>
    </row>
    <row r="2667" spans="1:14" ht="15" customHeight="1" x14ac:dyDescent="0.3">
      <c r="A2667" s="18" t="s">
        <v>5185</v>
      </c>
      <c r="B2667" s="19" t="s">
        <v>15</v>
      </c>
      <c r="C2667" s="18" t="s">
        <v>149</v>
      </c>
      <c r="D2667" s="18" t="s">
        <v>116</v>
      </c>
      <c r="E2667" s="18" t="s">
        <v>18</v>
      </c>
      <c r="F2667" s="18" t="s">
        <v>2574</v>
      </c>
      <c r="G2667" s="18" t="s">
        <v>2574</v>
      </c>
      <c r="H2667" s="18" t="s">
        <v>5250</v>
      </c>
      <c r="I2667" s="20" t="s">
        <v>5368</v>
      </c>
      <c r="J2667" s="18" t="s">
        <v>30</v>
      </c>
      <c r="K2667" s="18" t="s">
        <v>24</v>
      </c>
      <c r="L2667" s="18" t="s">
        <v>25</v>
      </c>
      <c r="N2667" s="18" t="s">
        <v>154</v>
      </c>
    </row>
    <row r="2668" spans="1:14" ht="15" customHeight="1" x14ac:dyDescent="0.3">
      <c r="A2668" s="18" t="s">
        <v>5185</v>
      </c>
      <c r="B2668" s="19" t="s">
        <v>15</v>
      </c>
      <c r="C2668" s="18" t="s">
        <v>149</v>
      </c>
      <c r="D2668" s="18" t="s">
        <v>116</v>
      </c>
      <c r="E2668" s="18" t="s">
        <v>18</v>
      </c>
      <c r="F2668" s="18" t="s">
        <v>5369</v>
      </c>
      <c r="G2668" s="18" t="s">
        <v>2574</v>
      </c>
      <c r="H2668" s="18" t="s">
        <v>5250</v>
      </c>
      <c r="I2668" s="20" t="s">
        <v>5370</v>
      </c>
      <c r="J2668" s="18" t="s">
        <v>30</v>
      </c>
      <c r="K2668" s="18" t="s">
        <v>24</v>
      </c>
      <c r="L2668" s="18" t="s">
        <v>25</v>
      </c>
      <c r="N2668" s="18" t="s">
        <v>154</v>
      </c>
    </row>
    <row r="2669" spans="1:14" ht="15" customHeight="1" x14ac:dyDescent="0.3">
      <c r="A2669" s="18" t="s">
        <v>5185</v>
      </c>
      <c r="B2669" s="19" t="s">
        <v>15</v>
      </c>
      <c r="C2669" s="18" t="s">
        <v>149</v>
      </c>
      <c r="D2669" s="18" t="s">
        <v>116</v>
      </c>
      <c r="E2669" s="18" t="s">
        <v>18</v>
      </c>
      <c r="F2669" s="18" t="s">
        <v>5371</v>
      </c>
      <c r="G2669" s="18" t="s">
        <v>2574</v>
      </c>
      <c r="H2669" s="18" t="s">
        <v>5250</v>
      </c>
      <c r="I2669" s="20" t="s">
        <v>5372</v>
      </c>
      <c r="J2669" s="18" t="s">
        <v>30</v>
      </c>
      <c r="K2669" s="18" t="s">
        <v>24</v>
      </c>
      <c r="L2669" s="18" t="s">
        <v>25</v>
      </c>
      <c r="N2669" s="18" t="s">
        <v>154</v>
      </c>
    </row>
    <row r="2670" spans="1:14" ht="15" customHeight="1" x14ac:dyDescent="0.3">
      <c r="A2670" s="18" t="s">
        <v>5185</v>
      </c>
      <c r="B2670" s="19" t="s">
        <v>15</v>
      </c>
      <c r="C2670" s="18" t="s">
        <v>149</v>
      </c>
      <c r="D2670" s="18" t="s">
        <v>116</v>
      </c>
      <c r="E2670" s="18" t="s">
        <v>18</v>
      </c>
      <c r="F2670" s="18" t="s">
        <v>5373</v>
      </c>
      <c r="G2670" s="18" t="s">
        <v>2574</v>
      </c>
      <c r="H2670" s="18" t="s">
        <v>5250</v>
      </c>
      <c r="I2670" s="20" t="s">
        <v>5374</v>
      </c>
      <c r="J2670" s="18" t="s">
        <v>30</v>
      </c>
      <c r="K2670" s="18" t="s">
        <v>24</v>
      </c>
      <c r="L2670" s="18" t="s">
        <v>25</v>
      </c>
      <c r="N2670" s="18" t="s">
        <v>154</v>
      </c>
    </row>
    <row r="2671" spans="1:14" ht="15" customHeight="1" x14ac:dyDescent="0.3">
      <c r="A2671" s="18" t="s">
        <v>5185</v>
      </c>
      <c r="B2671" s="19" t="s">
        <v>15</v>
      </c>
      <c r="C2671" s="18" t="s">
        <v>149</v>
      </c>
      <c r="D2671" s="18" t="s">
        <v>116</v>
      </c>
      <c r="E2671" s="18" t="s">
        <v>18</v>
      </c>
      <c r="F2671" s="18" t="s">
        <v>5375</v>
      </c>
      <c r="G2671" s="18" t="s">
        <v>2574</v>
      </c>
      <c r="H2671" s="18" t="s">
        <v>5250</v>
      </c>
      <c r="I2671" s="20" t="s">
        <v>5376</v>
      </c>
      <c r="J2671" s="18" t="s">
        <v>30</v>
      </c>
      <c r="K2671" s="18" t="s">
        <v>24</v>
      </c>
      <c r="L2671" s="18" t="s">
        <v>25</v>
      </c>
      <c r="N2671" s="18" t="s">
        <v>154</v>
      </c>
    </row>
    <row r="2672" spans="1:14" ht="15" customHeight="1" x14ac:dyDescent="0.3">
      <c r="A2672" s="18" t="s">
        <v>5185</v>
      </c>
      <c r="B2672" s="19" t="s">
        <v>15</v>
      </c>
      <c r="C2672" s="18" t="s">
        <v>149</v>
      </c>
      <c r="D2672" s="18" t="s">
        <v>116</v>
      </c>
      <c r="E2672" s="18" t="s">
        <v>18</v>
      </c>
      <c r="F2672" s="18" t="s">
        <v>5377</v>
      </c>
      <c r="G2672" s="18" t="s">
        <v>2574</v>
      </c>
      <c r="H2672" s="18" t="s">
        <v>5250</v>
      </c>
      <c r="I2672" s="20" t="s">
        <v>5378</v>
      </c>
      <c r="J2672" s="18" t="s">
        <v>30</v>
      </c>
      <c r="K2672" s="18" t="s">
        <v>24</v>
      </c>
      <c r="L2672" s="18" t="s">
        <v>25</v>
      </c>
      <c r="N2672" s="18" t="s">
        <v>154</v>
      </c>
    </row>
    <row r="2673" spans="1:14" ht="15" customHeight="1" x14ac:dyDescent="0.3">
      <c r="A2673" s="18" t="s">
        <v>5185</v>
      </c>
      <c r="B2673" s="19" t="s">
        <v>15</v>
      </c>
      <c r="C2673" s="18" t="s">
        <v>149</v>
      </c>
      <c r="D2673" s="18" t="s">
        <v>116</v>
      </c>
      <c r="E2673" s="18" t="s">
        <v>18</v>
      </c>
      <c r="F2673" s="18" t="s">
        <v>5379</v>
      </c>
      <c r="G2673" s="18" t="s">
        <v>429</v>
      </c>
      <c r="H2673" s="18" t="s">
        <v>5208</v>
      </c>
      <c r="I2673" s="20" t="s">
        <v>5380</v>
      </c>
      <c r="J2673" s="18" t="s">
        <v>23</v>
      </c>
      <c r="K2673" s="18" t="s">
        <v>24</v>
      </c>
      <c r="L2673" s="18" t="s">
        <v>25</v>
      </c>
      <c r="N2673" s="18" t="s">
        <v>154</v>
      </c>
    </row>
    <row r="2674" spans="1:14" ht="15" customHeight="1" x14ac:dyDescent="0.3">
      <c r="A2674" s="18" t="s">
        <v>5185</v>
      </c>
      <c r="B2674" s="19" t="s">
        <v>15</v>
      </c>
      <c r="C2674" s="18" t="s">
        <v>149</v>
      </c>
      <c r="D2674" s="18" t="s">
        <v>116</v>
      </c>
      <c r="E2674" s="18" t="s">
        <v>18</v>
      </c>
      <c r="F2674" s="18" t="s">
        <v>582</v>
      </c>
      <c r="G2674" s="18" t="s">
        <v>20</v>
      </c>
      <c r="H2674" s="18" t="s">
        <v>5208</v>
      </c>
      <c r="I2674" s="20" t="s">
        <v>5381</v>
      </c>
      <c r="J2674" s="18" t="s">
        <v>23</v>
      </c>
      <c r="K2674" s="18" t="s">
        <v>24</v>
      </c>
      <c r="L2674" s="18" t="s">
        <v>25</v>
      </c>
      <c r="N2674" s="18" t="s">
        <v>154</v>
      </c>
    </row>
    <row r="2675" spans="1:14" ht="15" customHeight="1" x14ac:dyDescent="0.3">
      <c r="A2675" s="18" t="s">
        <v>5185</v>
      </c>
      <c r="B2675" s="19" t="s">
        <v>15</v>
      </c>
      <c r="C2675" s="18" t="s">
        <v>5192</v>
      </c>
      <c r="D2675" s="18" t="s">
        <v>116</v>
      </c>
      <c r="E2675" s="18" t="s">
        <v>18</v>
      </c>
      <c r="F2675" s="18" t="s">
        <v>5382</v>
      </c>
      <c r="G2675" s="18" t="s">
        <v>41</v>
      </c>
      <c r="H2675" s="18" t="s">
        <v>5305</v>
      </c>
      <c r="I2675" s="20" t="s">
        <v>5383</v>
      </c>
      <c r="J2675" s="18" t="s">
        <v>30</v>
      </c>
      <c r="K2675" s="18" t="s">
        <v>24</v>
      </c>
      <c r="L2675" s="18" t="s">
        <v>25</v>
      </c>
      <c r="N2675" s="18" t="s">
        <v>154</v>
      </c>
    </row>
    <row r="2676" spans="1:14" ht="15" customHeight="1" x14ac:dyDescent="0.3">
      <c r="A2676" s="18" t="s">
        <v>5185</v>
      </c>
      <c r="B2676" s="19" t="s">
        <v>15</v>
      </c>
      <c r="C2676" s="18" t="s">
        <v>149</v>
      </c>
      <c r="D2676" s="18" t="s">
        <v>116</v>
      </c>
      <c r="E2676" s="18" t="s">
        <v>18</v>
      </c>
      <c r="F2676" s="18" t="s">
        <v>2798</v>
      </c>
      <c r="G2676" s="18" t="s">
        <v>1211</v>
      </c>
      <c r="H2676" s="18" t="s">
        <v>5208</v>
      </c>
      <c r="I2676" s="20" t="s">
        <v>5384</v>
      </c>
      <c r="J2676" s="18" t="s">
        <v>23</v>
      </c>
      <c r="K2676" s="18" t="s">
        <v>24</v>
      </c>
      <c r="L2676" s="18" t="s">
        <v>25</v>
      </c>
      <c r="N2676" s="18" t="s">
        <v>154</v>
      </c>
    </row>
    <row r="2677" spans="1:14" ht="15" customHeight="1" x14ac:dyDescent="0.3">
      <c r="A2677" s="18" t="s">
        <v>5185</v>
      </c>
      <c r="B2677" s="19" t="s">
        <v>15</v>
      </c>
      <c r="C2677" s="18" t="s">
        <v>149</v>
      </c>
      <c r="D2677" s="18" t="s">
        <v>116</v>
      </c>
      <c r="E2677" s="18" t="s">
        <v>18</v>
      </c>
      <c r="F2677" s="18" t="s">
        <v>1980</v>
      </c>
      <c r="G2677" s="18" t="s">
        <v>433</v>
      </c>
      <c r="H2677" s="18" t="s">
        <v>5385</v>
      </c>
      <c r="I2677" s="20" t="s">
        <v>5386</v>
      </c>
      <c r="J2677" s="18" t="s">
        <v>30</v>
      </c>
      <c r="K2677" s="18" t="s">
        <v>24</v>
      </c>
      <c r="L2677" s="18" t="s">
        <v>25</v>
      </c>
      <c r="N2677" s="18" t="s">
        <v>154</v>
      </c>
    </row>
    <row r="2678" spans="1:14" ht="15" customHeight="1" x14ac:dyDescent="0.3">
      <c r="A2678" s="18" t="s">
        <v>5185</v>
      </c>
      <c r="B2678" s="19" t="s">
        <v>15</v>
      </c>
      <c r="C2678" s="18" t="s">
        <v>5204</v>
      </c>
      <c r="D2678" s="18" t="s">
        <v>116</v>
      </c>
      <c r="E2678" s="18" t="s">
        <v>18</v>
      </c>
      <c r="F2678" s="18" t="s">
        <v>5387</v>
      </c>
      <c r="G2678" s="18" t="s">
        <v>47</v>
      </c>
      <c r="H2678" s="18" t="s">
        <v>3343</v>
      </c>
      <c r="I2678" s="20" t="s">
        <v>5388</v>
      </c>
      <c r="J2678" s="18" t="s">
        <v>30</v>
      </c>
      <c r="K2678" s="18" t="s">
        <v>24</v>
      </c>
      <c r="L2678" s="18" t="s">
        <v>25</v>
      </c>
      <c r="N2678" s="18" t="s">
        <v>973</v>
      </c>
    </row>
    <row r="2679" spans="1:14" ht="15" customHeight="1" x14ac:dyDescent="0.3">
      <c r="A2679" s="18" t="s">
        <v>5185</v>
      </c>
      <c r="B2679" s="19" t="s">
        <v>15</v>
      </c>
      <c r="C2679" s="18" t="s">
        <v>5204</v>
      </c>
      <c r="D2679" s="18" t="s">
        <v>116</v>
      </c>
      <c r="E2679" s="18" t="s">
        <v>18</v>
      </c>
      <c r="F2679" s="18" t="s">
        <v>5389</v>
      </c>
      <c r="G2679" s="18" t="s">
        <v>826</v>
      </c>
      <c r="H2679" s="18" t="s">
        <v>3343</v>
      </c>
      <c r="I2679" s="20" t="s">
        <v>5390</v>
      </c>
      <c r="J2679" s="18" t="s">
        <v>30</v>
      </c>
      <c r="K2679" s="18" t="s">
        <v>24</v>
      </c>
      <c r="L2679" s="18" t="s">
        <v>25</v>
      </c>
      <c r="N2679" s="18" t="s">
        <v>973</v>
      </c>
    </row>
    <row r="2680" spans="1:14" ht="15" customHeight="1" x14ac:dyDescent="0.3">
      <c r="A2680" s="18" t="s">
        <v>5185</v>
      </c>
      <c r="B2680" s="19" t="s">
        <v>15</v>
      </c>
      <c r="C2680" s="18" t="s">
        <v>5204</v>
      </c>
      <c r="D2680" s="18" t="s">
        <v>116</v>
      </c>
      <c r="E2680" s="18" t="s">
        <v>18</v>
      </c>
      <c r="F2680" s="18" t="s">
        <v>5391</v>
      </c>
      <c r="G2680" s="18" t="s">
        <v>47</v>
      </c>
      <c r="H2680" s="18" t="s">
        <v>3343</v>
      </c>
      <c r="I2680" s="20" t="s">
        <v>5392</v>
      </c>
      <c r="J2680" s="18" t="s">
        <v>30</v>
      </c>
      <c r="K2680" s="18" t="s">
        <v>24</v>
      </c>
      <c r="L2680" s="18" t="s">
        <v>25</v>
      </c>
      <c r="N2680" s="18" t="s">
        <v>973</v>
      </c>
    </row>
    <row r="2681" spans="1:14" ht="15" customHeight="1" x14ac:dyDescent="0.3">
      <c r="A2681" s="18" t="s">
        <v>5185</v>
      </c>
      <c r="B2681" s="19" t="s">
        <v>15</v>
      </c>
      <c r="C2681" s="18" t="s">
        <v>5204</v>
      </c>
      <c r="D2681" s="18" t="s">
        <v>116</v>
      </c>
      <c r="E2681" s="18" t="s">
        <v>18</v>
      </c>
      <c r="F2681" s="18" t="s">
        <v>2027</v>
      </c>
      <c r="G2681" s="18" t="s">
        <v>619</v>
      </c>
      <c r="H2681" s="18" t="s">
        <v>3343</v>
      </c>
      <c r="I2681" s="20" t="s">
        <v>5393</v>
      </c>
      <c r="J2681" s="18" t="s">
        <v>30</v>
      </c>
      <c r="K2681" s="18" t="s">
        <v>24</v>
      </c>
      <c r="L2681" s="18" t="s">
        <v>25</v>
      </c>
      <c r="N2681" s="18" t="s">
        <v>973</v>
      </c>
    </row>
    <row r="2682" spans="1:14" ht="15" customHeight="1" x14ac:dyDescent="0.3">
      <c r="A2682" s="18" t="s">
        <v>5185</v>
      </c>
      <c r="B2682" s="19" t="s">
        <v>15</v>
      </c>
      <c r="C2682" s="18" t="s">
        <v>149</v>
      </c>
      <c r="D2682" s="18" t="s">
        <v>116</v>
      </c>
      <c r="E2682" s="18" t="s">
        <v>18</v>
      </c>
      <c r="F2682" s="18" t="s">
        <v>164</v>
      </c>
      <c r="G2682" s="18" t="s">
        <v>2245</v>
      </c>
      <c r="H2682" s="18" t="s">
        <v>5250</v>
      </c>
      <c r="I2682" s="20" t="s">
        <v>5394</v>
      </c>
      <c r="J2682" s="18" t="s">
        <v>30</v>
      </c>
      <c r="K2682" s="18" t="s">
        <v>24</v>
      </c>
      <c r="L2682" s="18" t="s">
        <v>25</v>
      </c>
      <c r="N2682" s="18" t="s">
        <v>154</v>
      </c>
    </row>
    <row r="2683" spans="1:14" ht="15" customHeight="1" x14ac:dyDescent="0.3">
      <c r="A2683" s="18" t="s">
        <v>5185</v>
      </c>
      <c r="B2683" s="19" t="s">
        <v>15</v>
      </c>
      <c r="C2683" s="18" t="s">
        <v>149</v>
      </c>
      <c r="D2683" s="18" t="s">
        <v>116</v>
      </c>
      <c r="E2683" s="18" t="s">
        <v>18</v>
      </c>
      <c r="F2683" s="18" t="s">
        <v>5395</v>
      </c>
      <c r="G2683" s="18" t="s">
        <v>2245</v>
      </c>
      <c r="H2683" s="18" t="s">
        <v>5250</v>
      </c>
      <c r="I2683" s="20" t="s">
        <v>5396</v>
      </c>
      <c r="J2683" s="18" t="s">
        <v>30</v>
      </c>
      <c r="K2683" s="18" t="s">
        <v>24</v>
      </c>
      <c r="L2683" s="18" t="s">
        <v>25</v>
      </c>
      <c r="N2683" s="18" t="s">
        <v>154</v>
      </c>
    </row>
    <row r="2684" spans="1:14" ht="15" customHeight="1" x14ac:dyDescent="0.3">
      <c r="A2684" s="18" t="s">
        <v>5185</v>
      </c>
      <c r="B2684" s="19" t="s">
        <v>15</v>
      </c>
      <c r="C2684" s="18" t="s">
        <v>149</v>
      </c>
      <c r="D2684" s="18" t="s">
        <v>116</v>
      </c>
      <c r="E2684" s="18" t="s">
        <v>18</v>
      </c>
      <c r="F2684" s="18" t="s">
        <v>5397</v>
      </c>
      <c r="G2684" s="18" t="s">
        <v>2245</v>
      </c>
      <c r="H2684" s="18" t="s">
        <v>5250</v>
      </c>
      <c r="I2684" s="20" t="s">
        <v>5398</v>
      </c>
      <c r="J2684" s="18" t="s">
        <v>30</v>
      </c>
      <c r="K2684" s="18" t="s">
        <v>24</v>
      </c>
      <c r="L2684" s="18" t="s">
        <v>25</v>
      </c>
      <c r="N2684" s="18" t="s">
        <v>154</v>
      </c>
    </row>
    <row r="2685" spans="1:14" ht="15" customHeight="1" x14ac:dyDescent="0.3">
      <c r="A2685" s="18" t="s">
        <v>5185</v>
      </c>
      <c r="B2685" s="19" t="s">
        <v>15</v>
      </c>
      <c r="C2685" s="18" t="s">
        <v>149</v>
      </c>
      <c r="D2685" s="18" t="s">
        <v>116</v>
      </c>
      <c r="E2685" s="18" t="s">
        <v>18</v>
      </c>
      <c r="F2685" s="18" t="s">
        <v>5399</v>
      </c>
      <c r="G2685" s="18" t="s">
        <v>2245</v>
      </c>
      <c r="H2685" s="18" t="s">
        <v>5250</v>
      </c>
      <c r="I2685" s="20" t="s">
        <v>5400</v>
      </c>
      <c r="J2685" s="18" t="s">
        <v>30</v>
      </c>
      <c r="K2685" s="18" t="s">
        <v>24</v>
      </c>
      <c r="L2685" s="18" t="s">
        <v>25</v>
      </c>
      <c r="N2685" s="18" t="s">
        <v>154</v>
      </c>
    </row>
    <row r="2686" spans="1:14" ht="15" customHeight="1" x14ac:dyDescent="0.3">
      <c r="A2686" s="18" t="s">
        <v>5185</v>
      </c>
      <c r="B2686" s="19" t="s">
        <v>15</v>
      </c>
      <c r="C2686" s="18" t="s">
        <v>149</v>
      </c>
      <c r="D2686" s="18" t="s">
        <v>116</v>
      </c>
      <c r="E2686" s="18" t="s">
        <v>18</v>
      </c>
      <c r="F2686" s="18" t="s">
        <v>5401</v>
      </c>
      <c r="G2686" s="18" t="s">
        <v>2245</v>
      </c>
      <c r="H2686" s="18" t="s">
        <v>5250</v>
      </c>
      <c r="I2686" s="20" t="s">
        <v>5402</v>
      </c>
      <c r="J2686" s="18" t="s">
        <v>30</v>
      </c>
      <c r="K2686" s="18" t="s">
        <v>24</v>
      </c>
      <c r="L2686" s="18" t="s">
        <v>25</v>
      </c>
      <c r="N2686" s="18" t="s">
        <v>154</v>
      </c>
    </row>
    <row r="2687" spans="1:14" ht="15" customHeight="1" x14ac:dyDescent="0.3">
      <c r="A2687" s="18" t="s">
        <v>5185</v>
      </c>
      <c r="B2687" s="19" t="s">
        <v>15</v>
      </c>
      <c r="C2687" s="18" t="s">
        <v>5204</v>
      </c>
      <c r="D2687" s="18" t="s">
        <v>116</v>
      </c>
      <c r="E2687" s="18" t="s">
        <v>18</v>
      </c>
      <c r="F2687" s="18" t="s">
        <v>4837</v>
      </c>
      <c r="G2687" s="18" t="s">
        <v>5403</v>
      </c>
      <c r="H2687" s="18" t="s">
        <v>3343</v>
      </c>
      <c r="I2687" s="20" t="s">
        <v>5404</v>
      </c>
      <c r="J2687" s="18" t="s">
        <v>30</v>
      </c>
      <c r="K2687" s="18" t="s">
        <v>24</v>
      </c>
      <c r="L2687" s="18" t="s">
        <v>25</v>
      </c>
      <c r="N2687" s="18" t="s">
        <v>973</v>
      </c>
    </row>
    <row r="2688" spans="1:14" ht="15" customHeight="1" x14ac:dyDescent="0.3">
      <c r="A2688" s="18" t="s">
        <v>5185</v>
      </c>
      <c r="B2688" s="19" t="s">
        <v>15</v>
      </c>
      <c r="C2688" s="18" t="s">
        <v>5187</v>
      </c>
      <c r="D2688" s="18" t="s">
        <v>116</v>
      </c>
      <c r="E2688" s="18" t="s">
        <v>18</v>
      </c>
      <c r="F2688" s="18" t="s">
        <v>5405</v>
      </c>
      <c r="G2688" s="18" t="s">
        <v>47</v>
      </c>
      <c r="H2688" s="18" t="s">
        <v>5218</v>
      </c>
      <c r="I2688" s="20" t="s">
        <v>5406</v>
      </c>
      <c r="J2688" s="18" t="s">
        <v>30</v>
      </c>
      <c r="K2688" s="18" t="s">
        <v>24</v>
      </c>
      <c r="L2688" s="18" t="s">
        <v>25</v>
      </c>
      <c r="N2688" s="18" t="s">
        <v>973</v>
      </c>
    </row>
    <row r="2689" spans="1:14" ht="15" customHeight="1" x14ac:dyDescent="0.3">
      <c r="A2689" s="18" t="s">
        <v>5185</v>
      </c>
      <c r="B2689" s="19" t="s">
        <v>15</v>
      </c>
      <c r="C2689" s="18" t="s">
        <v>149</v>
      </c>
      <c r="D2689" s="18" t="s">
        <v>116</v>
      </c>
      <c r="E2689" s="18" t="s">
        <v>18</v>
      </c>
      <c r="F2689" s="18" t="s">
        <v>5407</v>
      </c>
      <c r="G2689" s="18" t="s">
        <v>273</v>
      </c>
      <c r="H2689" s="18" t="s">
        <v>2152</v>
      </c>
      <c r="I2689" s="20" t="s">
        <v>5408</v>
      </c>
      <c r="J2689" s="18" t="s">
        <v>30</v>
      </c>
      <c r="K2689" s="18" t="s">
        <v>24</v>
      </c>
      <c r="L2689" s="18" t="s">
        <v>25</v>
      </c>
      <c r="N2689" s="18" t="s">
        <v>154</v>
      </c>
    </row>
    <row r="2690" spans="1:14" ht="15" customHeight="1" x14ac:dyDescent="0.3">
      <c r="A2690" s="18" t="s">
        <v>5185</v>
      </c>
      <c r="B2690" s="19" t="s">
        <v>15</v>
      </c>
      <c r="C2690" s="18" t="s">
        <v>149</v>
      </c>
      <c r="D2690" s="18" t="s">
        <v>116</v>
      </c>
      <c r="E2690" s="18" t="s">
        <v>18</v>
      </c>
      <c r="F2690" s="18" t="s">
        <v>874</v>
      </c>
      <c r="G2690" s="18" t="s">
        <v>20</v>
      </c>
      <c r="H2690" s="18" t="s">
        <v>5208</v>
      </c>
      <c r="I2690" s="20" t="s">
        <v>5409</v>
      </c>
      <c r="J2690" s="18" t="s">
        <v>23</v>
      </c>
      <c r="K2690" s="18" t="s">
        <v>24</v>
      </c>
      <c r="L2690" s="18" t="s">
        <v>25</v>
      </c>
      <c r="N2690" s="18" t="s">
        <v>154</v>
      </c>
    </row>
    <row r="2691" spans="1:14" ht="15" customHeight="1" x14ac:dyDescent="0.3">
      <c r="A2691" s="18" t="s">
        <v>5185</v>
      </c>
      <c r="B2691" s="19" t="s">
        <v>15</v>
      </c>
      <c r="C2691" s="18" t="s">
        <v>149</v>
      </c>
      <c r="D2691" s="18" t="s">
        <v>116</v>
      </c>
      <c r="E2691" s="18" t="s">
        <v>18</v>
      </c>
      <c r="F2691" s="18" t="s">
        <v>778</v>
      </c>
      <c r="G2691" s="18" t="s">
        <v>20</v>
      </c>
      <c r="H2691" s="18" t="s">
        <v>5208</v>
      </c>
      <c r="I2691" s="20" t="s">
        <v>5410</v>
      </c>
      <c r="J2691" s="18" t="s">
        <v>23</v>
      </c>
      <c r="K2691" s="18" t="s">
        <v>24</v>
      </c>
      <c r="L2691" s="18" t="s">
        <v>25</v>
      </c>
      <c r="N2691" s="18" t="s">
        <v>154</v>
      </c>
    </row>
    <row r="2692" spans="1:14" ht="15" customHeight="1" x14ac:dyDescent="0.3">
      <c r="A2692" s="18" t="s">
        <v>5185</v>
      </c>
      <c r="B2692" s="19" t="s">
        <v>15</v>
      </c>
      <c r="C2692" s="18" t="s">
        <v>149</v>
      </c>
      <c r="D2692" s="18" t="s">
        <v>116</v>
      </c>
      <c r="E2692" s="18" t="s">
        <v>18</v>
      </c>
      <c r="F2692" s="18" t="s">
        <v>5411</v>
      </c>
      <c r="G2692" s="18" t="s">
        <v>4225</v>
      </c>
      <c r="H2692" s="18" t="s">
        <v>2152</v>
      </c>
      <c r="I2692" s="20" t="s">
        <v>5412</v>
      </c>
      <c r="J2692" s="18" t="s">
        <v>30</v>
      </c>
      <c r="K2692" s="18" t="s">
        <v>24</v>
      </c>
      <c r="L2692" s="18" t="s">
        <v>25</v>
      </c>
      <c r="N2692" s="18" t="s">
        <v>154</v>
      </c>
    </row>
    <row r="2693" spans="1:14" ht="15" customHeight="1" x14ac:dyDescent="0.3">
      <c r="A2693" s="18" t="s">
        <v>5185</v>
      </c>
      <c r="B2693" s="19" t="s">
        <v>15</v>
      </c>
      <c r="C2693" s="18" t="s">
        <v>149</v>
      </c>
      <c r="D2693" s="18" t="s">
        <v>116</v>
      </c>
      <c r="E2693" s="18" t="s">
        <v>55</v>
      </c>
      <c r="F2693" s="18" t="s">
        <v>5413</v>
      </c>
      <c r="G2693" s="18" t="s">
        <v>20</v>
      </c>
      <c r="H2693" s="18" t="s">
        <v>5208</v>
      </c>
      <c r="I2693" s="20" t="s">
        <v>5414</v>
      </c>
      <c r="J2693" s="18" t="s">
        <v>58</v>
      </c>
      <c r="K2693" s="18" t="s">
        <v>24</v>
      </c>
      <c r="L2693" s="18" t="s">
        <v>25</v>
      </c>
      <c r="N2693" s="18" t="s">
        <v>154</v>
      </c>
    </row>
    <row r="2694" spans="1:14" ht="15" customHeight="1" x14ac:dyDescent="0.3">
      <c r="A2694" s="18" t="s">
        <v>5185</v>
      </c>
      <c r="B2694" s="19" t="s">
        <v>15</v>
      </c>
      <c r="C2694" s="18" t="s">
        <v>149</v>
      </c>
      <c r="D2694" s="18" t="s">
        <v>116</v>
      </c>
      <c r="E2694" s="18" t="s">
        <v>55</v>
      </c>
      <c r="F2694" s="18" t="s">
        <v>5415</v>
      </c>
      <c r="G2694" s="18" t="s">
        <v>273</v>
      </c>
      <c r="H2694" s="18" t="s">
        <v>2152</v>
      </c>
      <c r="I2694" s="20" t="s">
        <v>5416</v>
      </c>
      <c r="J2694" s="18" t="s">
        <v>58</v>
      </c>
      <c r="K2694" s="18" t="s">
        <v>24</v>
      </c>
      <c r="L2694" s="18" t="s">
        <v>25</v>
      </c>
      <c r="N2694" s="18" t="s">
        <v>154</v>
      </c>
    </row>
    <row r="2695" spans="1:14" ht="15" customHeight="1" x14ac:dyDescent="0.3">
      <c r="A2695" s="18" t="s">
        <v>5185</v>
      </c>
      <c r="B2695" s="19" t="s">
        <v>15</v>
      </c>
      <c r="C2695" s="18" t="s">
        <v>149</v>
      </c>
      <c r="D2695" s="18" t="s">
        <v>116</v>
      </c>
      <c r="E2695" s="18" t="s">
        <v>55</v>
      </c>
      <c r="F2695" s="18" t="s">
        <v>5417</v>
      </c>
      <c r="G2695" s="18" t="s">
        <v>273</v>
      </c>
      <c r="H2695" s="18" t="s">
        <v>2152</v>
      </c>
      <c r="I2695" s="20" t="s">
        <v>5418</v>
      </c>
      <c r="J2695" s="18" t="s">
        <v>73</v>
      </c>
      <c r="K2695" s="18" t="s">
        <v>24</v>
      </c>
      <c r="L2695" s="18" t="s">
        <v>25</v>
      </c>
      <c r="N2695" s="18" t="s">
        <v>154</v>
      </c>
    </row>
    <row r="2696" spans="1:14" ht="15" customHeight="1" x14ac:dyDescent="0.3">
      <c r="A2696" s="18" t="s">
        <v>5185</v>
      </c>
      <c r="B2696" s="19" t="s">
        <v>15</v>
      </c>
      <c r="C2696" s="18" t="s">
        <v>5187</v>
      </c>
      <c r="D2696" s="18" t="s">
        <v>116</v>
      </c>
      <c r="E2696" s="18" t="s">
        <v>55</v>
      </c>
      <c r="F2696" s="18" t="s">
        <v>3351</v>
      </c>
      <c r="G2696" s="18" t="s">
        <v>1291</v>
      </c>
      <c r="H2696" s="18" t="s">
        <v>5218</v>
      </c>
      <c r="I2696" s="20" t="s">
        <v>5419</v>
      </c>
      <c r="J2696" s="18" t="s">
        <v>58</v>
      </c>
      <c r="K2696" s="18" t="s">
        <v>24</v>
      </c>
      <c r="L2696" s="18" t="s">
        <v>25</v>
      </c>
      <c r="N2696" s="18" t="s">
        <v>973</v>
      </c>
    </row>
    <row r="2697" spans="1:14" ht="15" customHeight="1" x14ac:dyDescent="0.3">
      <c r="A2697" s="18" t="s">
        <v>5185</v>
      </c>
      <c r="B2697" s="19" t="s">
        <v>15</v>
      </c>
      <c r="C2697" s="18" t="s">
        <v>149</v>
      </c>
      <c r="D2697" s="18" t="s">
        <v>116</v>
      </c>
      <c r="E2697" s="18" t="s">
        <v>55</v>
      </c>
      <c r="F2697" s="18" t="s">
        <v>5420</v>
      </c>
      <c r="G2697" s="18" t="s">
        <v>429</v>
      </c>
      <c r="H2697" s="18" t="s">
        <v>5208</v>
      </c>
      <c r="I2697" s="20" t="s">
        <v>5421</v>
      </c>
      <c r="J2697" s="18" t="s">
        <v>58</v>
      </c>
      <c r="K2697" s="18" t="s">
        <v>24</v>
      </c>
      <c r="L2697" s="18" t="s">
        <v>25</v>
      </c>
      <c r="N2697" s="18" t="s">
        <v>154</v>
      </c>
    </row>
    <row r="2698" spans="1:14" ht="15" customHeight="1" x14ac:dyDescent="0.3">
      <c r="A2698" s="18" t="s">
        <v>5185</v>
      </c>
      <c r="B2698" s="19" t="s">
        <v>15</v>
      </c>
      <c r="C2698" s="18" t="s">
        <v>149</v>
      </c>
      <c r="D2698" s="18" t="s">
        <v>116</v>
      </c>
      <c r="E2698" s="18" t="s">
        <v>55</v>
      </c>
      <c r="F2698" s="18" t="s">
        <v>5422</v>
      </c>
      <c r="G2698" s="18" t="s">
        <v>2245</v>
      </c>
      <c r="H2698" s="18" t="s">
        <v>5250</v>
      </c>
      <c r="I2698" s="20" t="s">
        <v>5423</v>
      </c>
      <c r="J2698" s="18" t="s">
        <v>58</v>
      </c>
      <c r="K2698" s="18" t="s">
        <v>24</v>
      </c>
      <c r="L2698" s="18" t="s">
        <v>25</v>
      </c>
      <c r="N2698" s="18" t="s">
        <v>154</v>
      </c>
    </row>
    <row r="2699" spans="1:14" ht="15" customHeight="1" x14ac:dyDescent="0.3">
      <c r="A2699" s="18" t="s">
        <v>5185</v>
      </c>
      <c r="B2699" s="19" t="s">
        <v>15</v>
      </c>
      <c r="C2699" s="18" t="s">
        <v>149</v>
      </c>
      <c r="D2699" s="18" t="s">
        <v>116</v>
      </c>
      <c r="E2699" s="18" t="s">
        <v>55</v>
      </c>
      <c r="F2699" s="18" t="s">
        <v>5424</v>
      </c>
      <c r="G2699" s="18" t="s">
        <v>1291</v>
      </c>
      <c r="H2699" s="18" t="s">
        <v>5250</v>
      </c>
      <c r="I2699" s="20" t="s">
        <v>5425</v>
      </c>
      <c r="J2699" s="18" t="s">
        <v>58</v>
      </c>
      <c r="K2699" s="18" t="s">
        <v>24</v>
      </c>
      <c r="L2699" s="18" t="s">
        <v>25</v>
      </c>
      <c r="N2699" s="18" t="s">
        <v>154</v>
      </c>
    </row>
    <row r="2700" spans="1:14" ht="15" customHeight="1" x14ac:dyDescent="0.3">
      <c r="A2700" s="18" t="s">
        <v>5185</v>
      </c>
      <c r="B2700" s="19" t="s">
        <v>15</v>
      </c>
      <c r="C2700" s="18" t="s">
        <v>5192</v>
      </c>
      <c r="D2700" s="18" t="s">
        <v>116</v>
      </c>
      <c r="E2700" s="18" t="s">
        <v>55</v>
      </c>
      <c r="F2700" s="18" t="s">
        <v>5426</v>
      </c>
      <c r="G2700" s="18" t="s">
        <v>270</v>
      </c>
      <c r="H2700" s="18" t="s">
        <v>5195</v>
      </c>
      <c r="I2700" s="20" t="s">
        <v>5427</v>
      </c>
      <c r="J2700" s="18" t="s">
        <v>58</v>
      </c>
      <c r="K2700" s="18" t="s">
        <v>24</v>
      </c>
      <c r="L2700" s="18" t="s">
        <v>25</v>
      </c>
      <c r="N2700" s="18" t="s">
        <v>154</v>
      </c>
    </row>
    <row r="2701" spans="1:14" ht="15" customHeight="1" x14ac:dyDescent="0.3">
      <c r="A2701" s="18" t="s">
        <v>5185</v>
      </c>
      <c r="B2701" s="19" t="s">
        <v>15</v>
      </c>
      <c r="C2701" s="18" t="s">
        <v>5192</v>
      </c>
      <c r="D2701" s="18" t="s">
        <v>116</v>
      </c>
      <c r="E2701" s="18" t="s">
        <v>55</v>
      </c>
      <c r="F2701" s="18" t="s">
        <v>5428</v>
      </c>
      <c r="G2701" s="18" t="s">
        <v>207</v>
      </c>
      <c r="H2701" s="18" t="s">
        <v>5195</v>
      </c>
      <c r="I2701" s="20" t="s">
        <v>5429</v>
      </c>
      <c r="J2701" s="18" t="s">
        <v>58</v>
      </c>
      <c r="K2701" s="18" t="s">
        <v>24</v>
      </c>
      <c r="L2701" s="18" t="s">
        <v>25</v>
      </c>
      <c r="N2701" s="18" t="s">
        <v>154</v>
      </c>
    </row>
    <row r="2702" spans="1:14" ht="15" customHeight="1" x14ac:dyDescent="0.3">
      <c r="A2702" s="18" t="s">
        <v>5185</v>
      </c>
      <c r="B2702" s="19" t="s">
        <v>15</v>
      </c>
      <c r="C2702" s="18" t="s">
        <v>149</v>
      </c>
      <c r="D2702" s="18" t="s">
        <v>116</v>
      </c>
      <c r="E2702" s="18" t="s">
        <v>55</v>
      </c>
      <c r="F2702" s="18" t="s">
        <v>2738</v>
      </c>
      <c r="G2702" s="18" t="s">
        <v>429</v>
      </c>
      <c r="H2702" s="18" t="s">
        <v>5208</v>
      </c>
      <c r="I2702" s="20" t="s">
        <v>5430</v>
      </c>
      <c r="J2702" s="18" t="s">
        <v>58</v>
      </c>
      <c r="K2702" s="18" t="s">
        <v>24</v>
      </c>
      <c r="L2702" s="18" t="s">
        <v>25</v>
      </c>
      <c r="N2702" s="18" t="s">
        <v>154</v>
      </c>
    </row>
    <row r="2703" spans="1:14" ht="15" customHeight="1" x14ac:dyDescent="0.3">
      <c r="A2703" s="18" t="s">
        <v>5185</v>
      </c>
      <c r="B2703" s="19" t="s">
        <v>15</v>
      </c>
      <c r="C2703" s="18" t="s">
        <v>5192</v>
      </c>
      <c r="D2703" s="18" t="s">
        <v>116</v>
      </c>
      <c r="E2703" s="18" t="s">
        <v>55</v>
      </c>
      <c r="F2703" s="18" t="s">
        <v>3538</v>
      </c>
      <c r="G2703" s="18" t="s">
        <v>85</v>
      </c>
      <c r="H2703" s="18" t="s">
        <v>5195</v>
      </c>
      <c r="I2703" s="20" t="s">
        <v>5431</v>
      </c>
      <c r="J2703" s="18" t="s">
        <v>58</v>
      </c>
      <c r="K2703" s="18" t="s">
        <v>24</v>
      </c>
      <c r="L2703" s="18" t="s">
        <v>25</v>
      </c>
      <c r="N2703" s="18" t="s">
        <v>154</v>
      </c>
    </row>
    <row r="2704" spans="1:14" ht="15" customHeight="1" x14ac:dyDescent="0.3">
      <c r="A2704" s="18" t="s">
        <v>5185</v>
      </c>
      <c r="B2704" s="19" t="s">
        <v>15</v>
      </c>
      <c r="C2704" s="18" t="s">
        <v>149</v>
      </c>
      <c r="D2704" s="18" t="s">
        <v>116</v>
      </c>
      <c r="E2704" s="18" t="s">
        <v>55</v>
      </c>
      <c r="F2704" s="18" t="s">
        <v>5432</v>
      </c>
      <c r="G2704" s="18" t="s">
        <v>5194</v>
      </c>
      <c r="H2704" s="18" t="s">
        <v>5208</v>
      </c>
      <c r="I2704" s="20" t="s">
        <v>5433</v>
      </c>
      <c r="J2704" s="18" t="s">
        <v>58</v>
      </c>
      <c r="K2704" s="18" t="s">
        <v>24</v>
      </c>
      <c r="L2704" s="18" t="s">
        <v>25</v>
      </c>
      <c r="N2704" s="18" t="s">
        <v>154</v>
      </c>
    </row>
    <row r="2705" spans="1:14" ht="15" customHeight="1" x14ac:dyDescent="0.3">
      <c r="A2705" s="18" t="s">
        <v>5185</v>
      </c>
      <c r="B2705" s="19" t="s">
        <v>15</v>
      </c>
      <c r="C2705" s="18" t="s">
        <v>149</v>
      </c>
      <c r="D2705" s="18" t="s">
        <v>116</v>
      </c>
      <c r="E2705" s="18" t="s">
        <v>55</v>
      </c>
      <c r="F2705" s="18" t="s">
        <v>5434</v>
      </c>
      <c r="G2705" s="18" t="s">
        <v>606</v>
      </c>
      <c r="H2705" s="18" t="s">
        <v>5208</v>
      </c>
      <c r="I2705" s="20" t="s">
        <v>5435</v>
      </c>
      <c r="J2705" s="18" t="s">
        <v>58</v>
      </c>
      <c r="K2705" s="18" t="s">
        <v>24</v>
      </c>
      <c r="L2705" s="18" t="s">
        <v>25</v>
      </c>
      <c r="N2705" s="18" t="s">
        <v>154</v>
      </c>
    </row>
    <row r="2706" spans="1:14" ht="15" customHeight="1" x14ac:dyDescent="0.3">
      <c r="A2706" s="18" t="s">
        <v>5185</v>
      </c>
      <c r="B2706" s="19" t="s">
        <v>15</v>
      </c>
      <c r="C2706" s="18" t="s">
        <v>5187</v>
      </c>
      <c r="D2706" s="18" t="s">
        <v>116</v>
      </c>
      <c r="E2706" s="18" t="s">
        <v>55</v>
      </c>
      <c r="F2706" s="18" t="s">
        <v>5436</v>
      </c>
      <c r="G2706" s="18" t="s">
        <v>1291</v>
      </c>
      <c r="H2706" s="18" t="s">
        <v>5218</v>
      </c>
      <c r="I2706" s="20" t="s">
        <v>5437</v>
      </c>
      <c r="J2706" s="18" t="s">
        <v>58</v>
      </c>
      <c r="K2706" s="18" t="s">
        <v>24</v>
      </c>
      <c r="L2706" s="18" t="s">
        <v>25</v>
      </c>
      <c r="N2706" s="18" t="s">
        <v>973</v>
      </c>
    </row>
    <row r="2707" spans="1:14" ht="15" customHeight="1" x14ac:dyDescent="0.3">
      <c r="A2707" s="18" t="s">
        <v>5185</v>
      </c>
      <c r="B2707" s="19" t="s">
        <v>15</v>
      </c>
      <c r="C2707" s="18" t="s">
        <v>5187</v>
      </c>
      <c r="D2707" s="18" t="s">
        <v>116</v>
      </c>
      <c r="E2707" s="18" t="s">
        <v>55</v>
      </c>
      <c r="F2707" s="18" t="s">
        <v>5438</v>
      </c>
      <c r="G2707" s="18" t="s">
        <v>629</v>
      </c>
      <c r="H2707" s="18" t="s">
        <v>5189</v>
      </c>
      <c r="I2707" s="20" t="s">
        <v>5439</v>
      </c>
      <c r="J2707" s="18" t="s">
        <v>58</v>
      </c>
      <c r="K2707" s="18" t="s">
        <v>24</v>
      </c>
      <c r="L2707" s="18" t="s">
        <v>25</v>
      </c>
      <c r="N2707" s="18" t="s">
        <v>973</v>
      </c>
    </row>
    <row r="2708" spans="1:14" ht="15" customHeight="1" x14ac:dyDescent="0.3">
      <c r="A2708" s="18" t="s">
        <v>5185</v>
      </c>
      <c r="B2708" s="19" t="s">
        <v>15</v>
      </c>
      <c r="C2708" s="18" t="s">
        <v>149</v>
      </c>
      <c r="D2708" s="18" t="s">
        <v>116</v>
      </c>
      <c r="E2708" s="18" t="s">
        <v>55</v>
      </c>
      <c r="F2708" s="18" t="s">
        <v>5440</v>
      </c>
      <c r="G2708" s="18" t="s">
        <v>2574</v>
      </c>
      <c r="H2708" s="18" t="s">
        <v>5250</v>
      </c>
      <c r="I2708" s="20" t="s">
        <v>5441</v>
      </c>
      <c r="J2708" s="18" t="s">
        <v>58</v>
      </c>
      <c r="K2708" s="18" t="s">
        <v>24</v>
      </c>
      <c r="L2708" s="18" t="s">
        <v>25</v>
      </c>
      <c r="N2708" s="18" t="s">
        <v>154</v>
      </c>
    </row>
    <row r="2709" spans="1:14" ht="15" customHeight="1" x14ac:dyDescent="0.3">
      <c r="A2709" s="18" t="s">
        <v>5185</v>
      </c>
      <c r="B2709" s="19" t="s">
        <v>15</v>
      </c>
      <c r="C2709" s="18" t="s">
        <v>149</v>
      </c>
      <c r="D2709" s="18" t="s">
        <v>116</v>
      </c>
      <c r="E2709" s="18" t="s">
        <v>55</v>
      </c>
      <c r="F2709" s="18" t="s">
        <v>5442</v>
      </c>
      <c r="G2709" s="18" t="s">
        <v>47</v>
      </c>
      <c r="H2709" s="18" t="s">
        <v>5202</v>
      </c>
      <c r="I2709" s="20" t="s">
        <v>5443</v>
      </c>
      <c r="J2709" s="18" t="s">
        <v>58</v>
      </c>
      <c r="K2709" s="18" t="s">
        <v>24</v>
      </c>
      <c r="L2709" s="18" t="s">
        <v>25</v>
      </c>
      <c r="N2709" s="18" t="s">
        <v>154</v>
      </c>
    </row>
    <row r="2710" spans="1:14" ht="15" customHeight="1" x14ac:dyDescent="0.3">
      <c r="A2710" s="18" t="s">
        <v>5185</v>
      </c>
      <c r="B2710" s="19" t="s">
        <v>15</v>
      </c>
      <c r="C2710" s="18" t="s">
        <v>5192</v>
      </c>
      <c r="D2710" s="18" t="s">
        <v>116</v>
      </c>
      <c r="E2710" s="18" t="s">
        <v>55</v>
      </c>
      <c r="F2710" s="18" t="s">
        <v>1947</v>
      </c>
      <c r="G2710" s="18" t="s">
        <v>85</v>
      </c>
      <c r="H2710" s="18" t="s">
        <v>5195</v>
      </c>
      <c r="I2710" s="20" t="s">
        <v>5444</v>
      </c>
      <c r="J2710" s="18" t="s">
        <v>58</v>
      </c>
      <c r="K2710" s="18" t="s">
        <v>24</v>
      </c>
      <c r="L2710" s="18" t="s">
        <v>25</v>
      </c>
      <c r="N2710" s="18" t="s">
        <v>154</v>
      </c>
    </row>
    <row r="2711" spans="1:14" ht="15" customHeight="1" x14ac:dyDescent="0.3">
      <c r="A2711" s="18" t="s">
        <v>5185</v>
      </c>
      <c r="B2711" s="19" t="s">
        <v>15</v>
      </c>
      <c r="C2711" s="18" t="s">
        <v>5192</v>
      </c>
      <c r="D2711" s="18" t="s">
        <v>116</v>
      </c>
      <c r="E2711" s="18" t="s">
        <v>55</v>
      </c>
      <c r="F2711" s="18" t="s">
        <v>5445</v>
      </c>
      <c r="G2711" s="18" t="s">
        <v>41</v>
      </c>
      <c r="H2711" s="18" t="s">
        <v>5195</v>
      </c>
      <c r="I2711" s="20" t="s">
        <v>5446</v>
      </c>
      <c r="J2711" s="18" t="s">
        <v>199</v>
      </c>
      <c r="K2711" s="18" t="s">
        <v>24</v>
      </c>
      <c r="L2711" s="18" t="s">
        <v>25</v>
      </c>
      <c r="N2711" s="18" t="s">
        <v>154</v>
      </c>
    </row>
    <row r="2712" spans="1:14" ht="15" customHeight="1" x14ac:dyDescent="0.3">
      <c r="A2712" s="18" t="s">
        <v>5185</v>
      </c>
      <c r="B2712" s="19" t="s">
        <v>15</v>
      </c>
      <c r="C2712" s="18" t="s">
        <v>5187</v>
      </c>
      <c r="D2712" s="18" t="s">
        <v>116</v>
      </c>
      <c r="E2712" s="18" t="s">
        <v>55</v>
      </c>
      <c r="F2712" s="18" t="s">
        <v>28</v>
      </c>
      <c r="G2712" s="18" t="s">
        <v>28</v>
      </c>
      <c r="H2712" s="18" t="s">
        <v>5218</v>
      </c>
      <c r="I2712" s="20" t="s">
        <v>5447</v>
      </c>
      <c r="J2712" s="18" t="s">
        <v>58</v>
      </c>
      <c r="K2712" s="18" t="s">
        <v>24</v>
      </c>
      <c r="L2712" s="18" t="s">
        <v>25</v>
      </c>
      <c r="N2712" s="18" t="s">
        <v>973</v>
      </c>
    </row>
    <row r="2713" spans="1:14" ht="15" customHeight="1" x14ac:dyDescent="0.3">
      <c r="A2713" s="18" t="s">
        <v>5185</v>
      </c>
      <c r="B2713" s="19" t="s">
        <v>15</v>
      </c>
      <c r="C2713" s="18" t="s">
        <v>149</v>
      </c>
      <c r="D2713" s="18" t="s">
        <v>116</v>
      </c>
      <c r="E2713" s="18" t="s">
        <v>55</v>
      </c>
      <c r="F2713" s="18" t="s">
        <v>5448</v>
      </c>
      <c r="G2713" s="18" t="s">
        <v>273</v>
      </c>
      <c r="H2713" s="18" t="s">
        <v>2152</v>
      </c>
      <c r="I2713" s="20" t="s">
        <v>5449</v>
      </c>
      <c r="J2713" s="18" t="s">
        <v>73</v>
      </c>
      <c r="K2713" s="18" t="s">
        <v>24</v>
      </c>
      <c r="L2713" s="18" t="s">
        <v>25</v>
      </c>
      <c r="N2713" s="18" t="s">
        <v>154</v>
      </c>
    </row>
    <row r="2714" spans="1:14" ht="15" customHeight="1" x14ac:dyDescent="0.3">
      <c r="A2714" s="18" t="s">
        <v>5185</v>
      </c>
      <c r="B2714" s="19" t="s">
        <v>15</v>
      </c>
      <c r="C2714" s="18" t="s">
        <v>149</v>
      </c>
      <c r="D2714" s="18" t="s">
        <v>116</v>
      </c>
      <c r="E2714" s="18" t="s">
        <v>55</v>
      </c>
      <c r="F2714" s="18" t="s">
        <v>5450</v>
      </c>
      <c r="G2714" s="18" t="s">
        <v>273</v>
      </c>
      <c r="H2714" s="18" t="s">
        <v>2152</v>
      </c>
      <c r="I2714" s="20" t="s">
        <v>5451</v>
      </c>
      <c r="J2714" s="18" t="s">
        <v>73</v>
      </c>
      <c r="K2714" s="18" t="s">
        <v>24</v>
      </c>
      <c r="L2714" s="18" t="s">
        <v>25</v>
      </c>
      <c r="N2714" s="18" t="s">
        <v>154</v>
      </c>
    </row>
    <row r="2715" spans="1:14" ht="15" customHeight="1" x14ac:dyDescent="0.3">
      <c r="A2715" s="18" t="s">
        <v>5185</v>
      </c>
      <c r="B2715" s="19" t="s">
        <v>15</v>
      </c>
      <c r="C2715" s="18" t="s">
        <v>5187</v>
      </c>
      <c r="D2715" s="18" t="s">
        <v>116</v>
      </c>
      <c r="E2715" s="18" t="s">
        <v>55</v>
      </c>
      <c r="F2715" s="18" t="s">
        <v>5452</v>
      </c>
      <c r="G2715" s="18" t="s">
        <v>629</v>
      </c>
      <c r="H2715" s="18" t="s">
        <v>5189</v>
      </c>
      <c r="I2715" s="20" t="s">
        <v>5453</v>
      </c>
      <c r="J2715" s="18" t="s">
        <v>58</v>
      </c>
      <c r="K2715" s="18" t="s">
        <v>24</v>
      </c>
      <c r="L2715" s="18" t="s">
        <v>25</v>
      </c>
      <c r="N2715" s="18" t="s">
        <v>973</v>
      </c>
    </row>
    <row r="2716" spans="1:14" ht="15" customHeight="1" x14ac:dyDescent="0.3">
      <c r="A2716" s="18" t="s">
        <v>5185</v>
      </c>
      <c r="B2716" s="19" t="s">
        <v>15</v>
      </c>
      <c r="C2716" s="18" t="s">
        <v>149</v>
      </c>
      <c r="D2716" s="18" t="s">
        <v>116</v>
      </c>
      <c r="E2716" s="18" t="s">
        <v>55</v>
      </c>
      <c r="F2716" s="18" t="s">
        <v>5454</v>
      </c>
      <c r="G2716" s="18" t="s">
        <v>2841</v>
      </c>
      <c r="H2716" s="18" t="s">
        <v>2152</v>
      </c>
      <c r="I2716" s="20" t="s">
        <v>5455</v>
      </c>
      <c r="J2716" s="18" t="s">
        <v>58</v>
      </c>
      <c r="K2716" s="18" t="s">
        <v>24</v>
      </c>
      <c r="L2716" s="18" t="s">
        <v>25</v>
      </c>
      <c r="N2716" s="18" t="s">
        <v>154</v>
      </c>
    </row>
    <row r="2717" spans="1:14" ht="15" customHeight="1" x14ac:dyDescent="0.3">
      <c r="A2717" s="18" t="s">
        <v>5185</v>
      </c>
      <c r="B2717" s="19" t="s">
        <v>15</v>
      </c>
      <c r="C2717" s="18" t="s">
        <v>149</v>
      </c>
      <c r="D2717" s="18" t="s">
        <v>116</v>
      </c>
      <c r="E2717" s="18" t="s">
        <v>55</v>
      </c>
      <c r="F2717" s="18" t="s">
        <v>275</v>
      </c>
      <c r="G2717" s="18" t="s">
        <v>1527</v>
      </c>
      <c r="H2717" s="18" t="s">
        <v>2152</v>
      </c>
      <c r="I2717" s="20" t="s">
        <v>5456</v>
      </c>
      <c r="J2717" s="18" t="s">
        <v>73</v>
      </c>
      <c r="K2717" s="18" t="s">
        <v>24</v>
      </c>
      <c r="L2717" s="18" t="s">
        <v>25</v>
      </c>
      <c r="N2717" s="18" t="s">
        <v>154</v>
      </c>
    </row>
    <row r="2718" spans="1:14" ht="15" customHeight="1" x14ac:dyDescent="0.3">
      <c r="A2718" s="18" t="s">
        <v>5185</v>
      </c>
      <c r="B2718" s="19" t="s">
        <v>15</v>
      </c>
      <c r="C2718" s="18" t="s">
        <v>149</v>
      </c>
      <c r="D2718" s="18" t="s">
        <v>116</v>
      </c>
      <c r="E2718" s="18" t="s">
        <v>55</v>
      </c>
      <c r="F2718" s="18" t="s">
        <v>278</v>
      </c>
      <c r="G2718" s="18" t="s">
        <v>1527</v>
      </c>
      <c r="H2718" s="18" t="s">
        <v>2152</v>
      </c>
      <c r="I2718" s="20" t="s">
        <v>5457</v>
      </c>
      <c r="J2718" s="18" t="s">
        <v>58</v>
      </c>
      <c r="K2718" s="18" t="s">
        <v>24</v>
      </c>
      <c r="L2718" s="18" t="s">
        <v>25</v>
      </c>
      <c r="N2718" s="18" t="s">
        <v>154</v>
      </c>
    </row>
    <row r="2719" spans="1:14" ht="15" customHeight="1" x14ac:dyDescent="0.3">
      <c r="A2719" s="18" t="s">
        <v>5185</v>
      </c>
      <c r="B2719" s="19" t="s">
        <v>15</v>
      </c>
      <c r="C2719" s="18" t="s">
        <v>149</v>
      </c>
      <c r="D2719" s="18" t="s">
        <v>116</v>
      </c>
      <c r="E2719" s="18" t="s">
        <v>55</v>
      </c>
      <c r="F2719" s="18" t="s">
        <v>5458</v>
      </c>
      <c r="G2719" s="18" t="s">
        <v>273</v>
      </c>
      <c r="H2719" s="18" t="s">
        <v>2152</v>
      </c>
      <c r="I2719" s="20" t="s">
        <v>5459</v>
      </c>
      <c r="J2719" s="18" t="s">
        <v>58</v>
      </c>
      <c r="K2719" s="18" t="s">
        <v>24</v>
      </c>
      <c r="L2719" s="18" t="s">
        <v>25</v>
      </c>
      <c r="N2719" s="18" t="s">
        <v>154</v>
      </c>
    </row>
    <row r="2720" spans="1:14" ht="15" customHeight="1" x14ac:dyDescent="0.3">
      <c r="A2720" s="18" t="s">
        <v>5185</v>
      </c>
      <c r="B2720" s="19" t="s">
        <v>15</v>
      </c>
      <c r="C2720" s="18" t="s">
        <v>5192</v>
      </c>
      <c r="D2720" s="18" t="s">
        <v>116</v>
      </c>
      <c r="E2720" s="18" t="s">
        <v>55</v>
      </c>
      <c r="F2720" s="18" t="s">
        <v>5460</v>
      </c>
      <c r="G2720" s="18" t="s">
        <v>41</v>
      </c>
      <c r="H2720" s="18" t="s">
        <v>5195</v>
      </c>
      <c r="I2720" s="20" t="s">
        <v>5461</v>
      </c>
      <c r="J2720" s="18" t="s">
        <v>58</v>
      </c>
      <c r="K2720" s="18" t="s">
        <v>24</v>
      </c>
      <c r="L2720" s="18" t="s">
        <v>25</v>
      </c>
      <c r="N2720" s="18" t="s">
        <v>154</v>
      </c>
    </row>
    <row r="2721" spans="1:14" ht="15" customHeight="1" x14ac:dyDescent="0.3">
      <c r="A2721" s="18" t="s">
        <v>5185</v>
      </c>
      <c r="B2721" s="19" t="s">
        <v>15</v>
      </c>
      <c r="C2721" s="18" t="s">
        <v>149</v>
      </c>
      <c r="D2721" s="18" t="s">
        <v>116</v>
      </c>
      <c r="E2721" s="18" t="s">
        <v>55</v>
      </c>
      <c r="F2721" s="18" t="s">
        <v>5462</v>
      </c>
      <c r="G2721" s="18" t="s">
        <v>1204</v>
      </c>
      <c r="H2721" s="18" t="s">
        <v>5202</v>
      </c>
      <c r="I2721" s="20" t="s">
        <v>5463</v>
      </c>
      <c r="J2721" s="18" t="s">
        <v>58</v>
      </c>
      <c r="K2721" s="18" t="s">
        <v>24</v>
      </c>
      <c r="L2721" s="18" t="s">
        <v>25</v>
      </c>
      <c r="N2721" s="18" t="s">
        <v>154</v>
      </c>
    </row>
    <row r="2722" spans="1:14" ht="15" customHeight="1" x14ac:dyDescent="0.3">
      <c r="A2722" s="18" t="s">
        <v>5185</v>
      </c>
      <c r="B2722" s="19" t="s">
        <v>15</v>
      </c>
      <c r="C2722" s="18" t="s">
        <v>149</v>
      </c>
      <c r="D2722" s="18" t="s">
        <v>116</v>
      </c>
      <c r="E2722" s="18" t="s">
        <v>55</v>
      </c>
      <c r="F2722" s="18" t="s">
        <v>3161</v>
      </c>
      <c r="G2722" s="18" t="s">
        <v>60</v>
      </c>
      <c r="H2722" s="18" t="s">
        <v>5202</v>
      </c>
      <c r="I2722" s="20" t="s">
        <v>5464</v>
      </c>
      <c r="J2722" s="18" t="s">
        <v>58</v>
      </c>
      <c r="K2722" s="18" t="s">
        <v>24</v>
      </c>
      <c r="L2722" s="18" t="s">
        <v>25</v>
      </c>
      <c r="N2722" s="18" t="s">
        <v>154</v>
      </c>
    </row>
    <row r="2723" spans="1:14" ht="15" customHeight="1" x14ac:dyDescent="0.3">
      <c r="A2723" s="18" t="s">
        <v>5185</v>
      </c>
      <c r="B2723" s="19" t="s">
        <v>15</v>
      </c>
      <c r="C2723" s="18" t="s">
        <v>149</v>
      </c>
      <c r="D2723" s="18" t="s">
        <v>116</v>
      </c>
      <c r="E2723" s="18" t="s">
        <v>55</v>
      </c>
      <c r="F2723" s="18" t="s">
        <v>1239</v>
      </c>
      <c r="G2723" s="18" t="s">
        <v>1075</v>
      </c>
      <c r="H2723" s="18" t="s">
        <v>5202</v>
      </c>
      <c r="I2723" s="20" t="s">
        <v>5465</v>
      </c>
      <c r="J2723" s="18" t="s">
        <v>58</v>
      </c>
      <c r="K2723" s="18" t="s">
        <v>24</v>
      </c>
      <c r="L2723" s="18" t="s">
        <v>25</v>
      </c>
      <c r="N2723" s="18" t="s">
        <v>154</v>
      </c>
    </row>
    <row r="2724" spans="1:14" ht="15" customHeight="1" x14ac:dyDescent="0.3">
      <c r="A2724" s="18" t="s">
        <v>5185</v>
      </c>
      <c r="B2724" s="19" t="s">
        <v>15</v>
      </c>
      <c r="C2724" s="18" t="s">
        <v>149</v>
      </c>
      <c r="D2724" s="18" t="s">
        <v>116</v>
      </c>
      <c r="E2724" s="18" t="s">
        <v>55</v>
      </c>
      <c r="F2724" s="18" t="s">
        <v>221</v>
      </c>
      <c r="G2724" s="18" t="s">
        <v>212</v>
      </c>
      <c r="H2724" s="18" t="s">
        <v>5202</v>
      </c>
      <c r="I2724" s="20" t="s">
        <v>5466</v>
      </c>
      <c r="J2724" s="18" t="s">
        <v>58</v>
      </c>
      <c r="K2724" s="18" t="s">
        <v>24</v>
      </c>
      <c r="L2724" s="18" t="s">
        <v>25</v>
      </c>
      <c r="N2724" s="18" t="s">
        <v>154</v>
      </c>
    </row>
    <row r="2725" spans="1:14" ht="15" customHeight="1" x14ac:dyDescent="0.3">
      <c r="A2725" s="18" t="s">
        <v>5185</v>
      </c>
      <c r="B2725" s="19" t="s">
        <v>15</v>
      </c>
      <c r="C2725" s="18" t="s">
        <v>149</v>
      </c>
      <c r="D2725" s="18" t="s">
        <v>116</v>
      </c>
      <c r="E2725" s="18" t="s">
        <v>55</v>
      </c>
      <c r="F2725" s="18" t="s">
        <v>5331</v>
      </c>
      <c r="G2725" s="18" t="s">
        <v>1204</v>
      </c>
      <c r="H2725" s="18" t="s">
        <v>5202</v>
      </c>
      <c r="I2725" s="20" t="s">
        <v>5467</v>
      </c>
      <c r="J2725" s="18" t="s">
        <v>58</v>
      </c>
      <c r="K2725" s="18" t="s">
        <v>24</v>
      </c>
      <c r="L2725" s="18" t="s">
        <v>25</v>
      </c>
      <c r="N2725" s="18" t="s">
        <v>154</v>
      </c>
    </row>
    <row r="2726" spans="1:14" ht="15" customHeight="1" x14ac:dyDescent="0.3">
      <c r="A2726" s="18" t="s">
        <v>5185</v>
      </c>
      <c r="B2726" s="19" t="s">
        <v>15</v>
      </c>
      <c r="C2726" s="18" t="s">
        <v>149</v>
      </c>
      <c r="D2726" s="18" t="s">
        <v>116</v>
      </c>
      <c r="E2726" s="18" t="s">
        <v>55</v>
      </c>
      <c r="F2726" s="18" t="s">
        <v>1244</v>
      </c>
      <c r="G2726" s="18" t="s">
        <v>1075</v>
      </c>
      <c r="H2726" s="18" t="s">
        <v>5202</v>
      </c>
      <c r="I2726" s="20" t="s">
        <v>5468</v>
      </c>
      <c r="J2726" s="18" t="s">
        <v>58</v>
      </c>
      <c r="K2726" s="18" t="s">
        <v>24</v>
      </c>
      <c r="L2726" s="18" t="s">
        <v>25</v>
      </c>
      <c r="N2726" s="18" t="s">
        <v>154</v>
      </c>
    </row>
    <row r="2727" spans="1:14" ht="15" customHeight="1" x14ac:dyDescent="0.3">
      <c r="A2727" s="18" t="s">
        <v>5185</v>
      </c>
      <c r="B2727" s="19" t="s">
        <v>15</v>
      </c>
      <c r="C2727" s="18" t="s">
        <v>149</v>
      </c>
      <c r="D2727" s="18" t="s">
        <v>116</v>
      </c>
      <c r="E2727" s="18" t="s">
        <v>55</v>
      </c>
      <c r="F2727" s="18" t="s">
        <v>5335</v>
      </c>
      <c r="G2727" s="18" t="s">
        <v>1204</v>
      </c>
      <c r="H2727" s="18" t="s">
        <v>5202</v>
      </c>
      <c r="I2727" s="20" t="s">
        <v>5469</v>
      </c>
      <c r="J2727" s="18" t="s">
        <v>58</v>
      </c>
      <c r="K2727" s="18" t="s">
        <v>24</v>
      </c>
      <c r="L2727" s="18" t="s">
        <v>25</v>
      </c>
      <c r="N2727" s="18" t="s">
        <v>154</v>
      </c>
    </row>
    <row r="2728" spans="1:14" ht="15" customHeight="1" x14ac:dyDescent="0.3">
      <c r="A2728" s="18" t="s">
        <v>5185</v>
      </c>
      <c r="B2728" s="19" t="s">
        <v>15</v>
      </c>
      <c r="C2728" s="18" t="s">
        <v>149</v>
      </c>
      <c r="D2728" s="18" t="s">
        <v>116</v>
      </c>
      <c r="E2728" s="18" t="s">
        <v>55</v>
      </c>
      <c r="F2728" s="18" t="s">
        <v>1072</v>
      </c>
      <c r="G2728" s="18" t="s">
        <v>47</v>
      </c>
      <c r="H2728" s="18" t="s">
        <v>5202</v>
      </c>
      <c r="I2728" s="20" t="s">
        <v>5470</v>
      </c>
      <c r="J2728" s="18" t="s">
        <v>58</v>
      </c>
      <c r="K2728" s="18" t="s">
        <v>24</v>
      </c>
      <c r="L2728" s="18" t="s">
        <v>25</v>
      </c>
      <c r="N2728" s="18" t="s">
        <v>154</v>
      </c>
    </row>
    <row r="2729" spans="1:14" ht="15" customHeight="1" x14ac:dyDescent="0.3">
      <c r="A2729" s="18" t="s">
        <v>5185</v>
      </c>
      <c r="B2729" s="19" t="s">
        <v>15</v>
      </c>
      <c r="C2729" s="18" t="s">
        <v>149</v>
      </c>
      <c r="D2729" s="18" t="s">
        <v>116</v>
      </c>
      <c r="E2729" s="18" t="s">
        <v>55</v>
      </c>
      <c r="F2729" s="18" t="s">
        <v>34</v>
      </c>
      <c r="G2729" s="18" t="s">
        <v>34</v>
      </c>
      <c r="H2729" s="18" t="s">
        <v>5202</v>
      </c>
      <c r="I2729" s="20" t="s">
        <v>5471</v>
      </c>
      <c r="J2729" s="18" t="s">
        <v>58</v>
      </c>
      <c r="K2729" s="18" t="s">
        <v>24</v>
      </c>
      <c r="L2729" s="18" t="s">
        <v>25</v>
      </c>
      <c r="N2729" s="18" t="s">
        <v>154</v>
      </c>
    </row>
    <row r="2730" spans="1:14" ht="15" customHeight="1" x14ac:dyDescent="0.3">
      <c r="A2730" s="18" t="s">
        <v>5185</v>
      </c>
      <c r="B2730" s="19" t="s">
        <v>15</v>
      </c>
      <c r="C2730" s="18" t="s">
        <v>149</v>
      </c>
      <c r="D2730" s="18" t="s">
        <v>116</v>
      </c>
      <c r="E2730" s="18" t="s">
        <v>55</v>
      </c>
      <c r="F2730" s="18" t="s">
        <v>1250</v>
      </c>
      <c r="G2730" s="18" t="s">
        <v>1251</v>
      </c>
      <c r="H2730" s="18" t="s">
        <v>5202</v>
      </c>
      <c r="I2730" s="20" t="s">
        <v>5472</v>
      </c>
      <c r="J2730" s="18" t="s">
        <v>58</v>
      </c>
      <c r="K2730" s="18" t="s">
        <v>24</v>
      </c>
      <c r="L2730" s="18" t="s">
        <v>25</v>
      </c>
      <c r="N2730" s="18" t="s">
        <v>154</v>
      </c>
    </row>
    <row r="2731" spans="1:14" ht="15" customHeight="1" x14ac:dyDescent="0.3">
      <c r="A2731" s="18" t="s">
        <v>5185</v>
      </c>
      <c r="B2731" s="19" t="s">
        <v>15</v>
      </c>
      <c r="C2731" s="18" t="s">
        <v>149</v>
      </c>
      <c r="D2731" s="18" t="s">
        <v>116</v>
      </c>
      <c r="E2731" s="18" t="s">
        <v>55</v>
      </c>
      <c r="F2731" s="18" t="s">
        <v>5473</v>
      </c>
      <c r="G2731" s="18" t="s">
        <v>606</v>
      </c>
      <c r="H2731" s="18" t="s">
        <v>5202</v>
      </c>
      <c r="I2731" s="20" t="s">
        <v>5474</v>
      </c>
      <c r="J2731" s="18" t="s">
        <v>58</v>
      </c>
      <c r="K2731" s="18" t="s">
        <v>24</v>
      </c>
      <c r="L2731" s="18" t="s">
        <v>25</v>
      </c>
      <c r="N2731" s="18" t="s">
        <v>154</v>
      </c>
    </row>
    <row r="2732" spans="1:14" ht="15" customHeight="1" x14ac:dyDescent="0.3">
      <c r="A2732" s="18" t="s">
        <v>5185</v>
      </c>
      <c r="B2732" s="19" t="s">
        <v>15</v>
      </c>
      <c r="C2732" s="18" t="s">
        <v>149</v>
      </c>
      <c r="D2732" s="18" t="s">
        <v>116</v>
      </c>
      <c r="E2732" s="18" t="s">
        <v>55</v>
      </c>
      <c r="F2732" s="18" t="s">
        <v>5475</v>
      </c>
      <c r="G2732" s="18" t="s">
        <v>47</v>
      </c>
      <c r="H2732" s="18" t="s">
        <v>5202</v>
      </c>
      <c r="I2732" s="20" t="s">
        <v>5476</v>
      </c>
      <c r="J2732" s="18" t="s">
        <v>58</v>
      </c>
      <c r="K2732" s="18" t="s">
        <v>24</v>
      </c>
      <c r="L2732" s="18" t="s">
        <v>25</v>
      </c>
      <c r="N2732" s="18" t="s">
        <v>154</v>
      </c>
    </row>
    <row r="2733" spans="1:14" ht="15" customHeight="1" x14ac:dyDescent="0.3">
      <c r="A2733" s="18" t="s">
        <v>5185</v>
      </c>
      <c r="B2733" s="19" t="s">
        <v>15</v>
      </c>
      <c r="C2733" s="18" t="s">
        <v>149</v>
      </c>
      <c r="D2733" s="18" t="s">
        <v>116</v>
      </c>
      <c r="E2733" s="18" t="s">
        <v>55</v>
      </c>
      <c r="F2733" s="18" t="s">
        <v>5477</v>
      </c>
      <c r="G2733" s="18" t="s">
        <v>47</v>
      </c>
      <c r="H2733" s="18" t="s">
        <v>5202</v>
      </c>
      <c r="I2733" s="20" t="s">
        <v>5478</v>
      </c>
      <c r="J2733" s="18" t="s">
        <v>58</v>
      </c>
      <c r="K2733" s="18" t="s">
        <v>24</v>
      </c>
      <c r="L2733" s="18" t="s">
        <v>25</v>
      </c>
      <c r="N2733" s="18" t="s">
        <v>154</v>
      </c>
    </row>
    <row r="2734" spans="1:14" ht="15" customHeight="1" x14ac:dyDescent="0.3">
      <c r="A2734" s="18" t="s">
        <v>5185</v>
      </c>
      <c r="B2734" s="19" t="s">
        <v>15</v>
      </c>
      <c r="C2734" s="18" t="s">
        <v>149</v>
      </c>
      <c r="D2734" s="18" t="s">
        <v>116</v>
      </c>
      <c r="E2734" s="18" t="s">
        <v>55</v>
      </c>
      <c r="F2734" s="18" t="s">
        <v>1253</v>
      </c>
      <c r="G2734" s="18" t="s">
        <v>1254</v>
      </c>
      <c r="H2734" s="18" t="s">
        <v>5202</v>
      </c>
      <c r="I2734" s="20" t="s">
        <v>5479</v>
      </c>
      <c r="J2734" s="18" t="s">
        <v>58</v>
      </c>
      <c r="K2734" s="18" t="s">
        <v>24</v>
      </c>
      <c r="L2734" s="18" t="s">
        <v>25</v>
      </c>
      <c r="N2734" s="18" t="s">
        <v>154</v>
      </c>
    </row>
    <row r="2735" spans="1:14" ht="15" customHeight="1" x14ac:dyDescent="0.3">
      <c r="A2735" s="18" t="s">
        <v>5185</v>
      </c>
      <c r="B2735" s="19" t="s">
        <v>15</v>
      </c>
      <c r="C2735" s="18" t="s">
        <v>149</v>
      </c>
      <c r="D2735" s="18" t="s">
        <v>116</v>
      </c>
      <c r="E2735" s="18" t="s">
        <v>55</v>
      </c>
      <c r="F2735" s="18" t="s">
        <v>5480</v>
      </c>
      <c r="G2735" s="18" t="s">
        <v>41</v>
      </c>
      <c r="H2735" s="18" t="s">
        <v>5202</v>
      </c>
      <c r="I2735" s="20" t="s">
        <v>5481</v>
      </c>
      <c r="J2735" s="18" t="s">
        <v>58</v>
      </c>
      <c r="K2735" s="18" t="s">
        <v>24</v>
      </c>
      <c r="L2735" s="18" t="s">
        <v>25</v>
      </c>
      <c r="N2735" s="18" t="s">
        <v>154</v>
      </c>
    </row>
    <row r="2736" spans="1:14" ht="15" customHeight="1" x14ac:dyDescent="0.3">
      <c r="A2736" s="18" t="s">
        <v>5185</v>
      </c>
      <c r="B2736" s="19" t="s">
        <v>15</v>
      </c>
      <c r="C2736" s="18" t="s">
        <v>149</v>
      </c>
      <c r="D2736" s="18" t="s">
        <v>116</v>
      </c>
      <c r="E2736" s="18" t="s">
        <v>55</v>
      </c>
      <c r="F2736" s="18" t="s">
        <v>2379</v>
      </c>
      <c r="G2736" s="18" t="s">
        <v>2857</v>
      </c>
      <c r="H2736" s="18" t="s">
        <v>2152</v>
      </c>
      <c r="I2736" s="20" t="s">
        <v>5482</v>
      </c>
      <c r="J2736" s="18" t="s">
        <v>58</v>
      </c>
      <c r="K2736" s="18" t="s">
        <v>24</v>
      </c>
      <c r="L2736" s="18" t="s">
        <v>25</v>
      </c>
      <c r="N2736" s="18" t="s">
        <v>154</v>
      </c>
    </row>
    <row r="2737" spans="1:14" ht="15" customHeight="1" x14ac:dyDescent="0.3">
      <c r="A2737" s="18" t="s">
        <v>5185</v>
      </c>
      <c r="B2737" s="19" t="s">
        <v>15</v>
      </c>
      <c r="C2737" s="18" t="s">
        <v>149</v>
      </c>
      <c r="D2737" s="18" t="s">
        <v>116</v>
      </c>
      <c r="E2737" s="18" t="s">
        <v>55</v>
      </c>
      <c r="F2737" s="18" t="s">
        <v>3579</v>
      </c>
      <c r="G2737" s="18" t="s">
        <v>5483</v>
      </c>
      <c r="H2737" s="18" t="s">
        <v>2152</v>
      </c>
      <c r="I2737" s="20" t="s">
        <v>5484</v>
      </c>
      <c r="J2737" s="18" t="s">
        <v>58</v>
      </c>
      <c r="K2737" s="18" t="s">
        <v>24</v>
      </c>
      <c r="L2737" s="18" t="s">
        <v>25</v>
      </c>
      <c r="M2737" s="18" t="s">
        <v>39</v>
      </c>
      <c r="N2737" s="18" t="s">
        <v>154</v>
      </c>
    </row>
    <row r="2738" spans="1:14" ht="15" customHeight="1" x14ac:dyDescent="0.3">
      <c r="A2738" s="18" t="s">
        <v>5185</v>
      </c>
      <c r="B2738" s="19" t="s">
        <v>15</v>
      </c>
      <c r="C2738" s="18" t="s">
        <v>149</v>
      </c>
      <c r="D2738" s="18" t="s">
        <v>116</v>
      </c>
      <c r="E2738" s="18" t="s">
        <v>55</v>
      </c>
      <c r="F2738" s="18" t="s">
        <v>1366</v>
      </c>
      <c r="G2738" s="18" t="s">
        <v>1367</v>
      </c>
      <c r="H2738" s="18" t="s">
        <v>2152</v>
      </c>
      <c r="I2738" s="20" t="s">
        <v>5485</v>
      </c>
      <c r="J2738" s="18" t="s">
        <v>73</v>
      </c>
      <c r="K2738" s="18" t="s">
        <v>24</v>
      </c>
      <c r="L2738" s="18" t="s">
        <v>1369</v>
      </c>
      <c r="N2738" s="18" t="s">
        <v>154</v>
      </c>
    </row>
    <row r="2739" spans="1:14" ht="15" customHeight="1" x14ac:dyDescent="0.3">
      <c r="A2739" s="18" t="s">
        <v>5185</v>
      </c>
      <c r="B2739" s="19" t="s">
        <v>15</v>
      </c>
      <c r="C2739" s="18" t="s">
        <v>149</v>
      </c>
      <c r="D2739" s="18" t="s">
        <v>116</v>
      </c>
      <c r="E2739" s="18" t="s">
        <v>55</v>
      </c>
      <c r="F2739" s="18" t="s">
        <v>2605</v>
      </c>
      <c r="G2739" s="18" t="s">
        <v>2380</v>
      </c>
      <c r="H2739" s="18" t="s">
        <v>2152</v>
      </c>
      <c r="I2739" s="20" t="s">
        <v>5486</v>
      </c>
      <c r="J2739" s="18" t="s">
        <v>58</v>
      </c>
      <c r="K2739" s="18" t="s">
        <v>24</v>
      </c>
      <c r="L2739" s="18" t="s">
        <v>25</v>
      </c>
      <c r="N2739" s="18" t="s">
        <v>154</v>
      </c>
    </row>
    <row r="2740" spans="1:14" ht="15" customHeight="1" x14ac:dyDescent="0.3">
      <c r="A2740" s="18" t="s">
        <v>5185</v>
      </c>
      <c r="B2740" s="19" t="s">
        <v>15</v>
      </c>
      <c r="C2740" s="18" t="s">
        <v>149</v>
      </c>
      <c r="D2740" s="18" t="s">
        <v>116</v>
      </c>
      <c r="E2740" s="18" t="s">
        <v>55</v>
      </c>
      <c r="F2740" s="18" t="s">
        <v>5487</v>
      </c>
      <c r="G2740" s="18" t="s">
        <v>5488</v>
      </c>
      <c r="H2740" s="18" t="s">
        <v>2152</v>
      </c>
      <c r="I2740" s="20" t="s">
        <v>5489</v>
      </c>
      <c r="J2740" s="18" t="s">
        <v>58</v>
      </c>
      <c r="K2740" s="18" t="s">
        <v>24</v>
      </c>
      <c r="L2740" s="18" t="s">
        <v>1369</v>
      </c>
      <c r="M2740" s="18" t="s">
        <v>39</v>
      </c>
      <c r="N2740" s="18" t="s">
        <v>154</v>
      </c>
    </row>
    <row r="2741" spans="1:14" ht="15" customHeight="1" x14ac:dyDescent="0.3">
      <c r="A2741" s="18" t="s">
        <v>5185</v>
      </c>
      <c r="B2741" s="19" t="s">
        <v>15</v>
      </c>
      <c r="C2741" s="18" t="s">
        <v>149</v>
      </c>
      <c r="D2741" s="18" t="s">
        <v>116</v>
      </c>
      <c r="E2741" s="18" t="s">
        <v>55</v>
      </c>
      <c r="F2741" s="18" t="s">
        <v>281</v>
      </c>
      <c r="G2741" s="18" t="s">
        <v>1976</v>
      </c>
      <c r="H2741" s="18" t="s">
        <v>2152</v>
      </c>
      <c r="I2741" s="20" t="s">
        <v>5490</v>
      </c>
      <c r="J2741" s="18" t="s">
        <v>58</v>
      </c>
      <c r="K2741" s="18" t="s">
        <v>24</v>
      </c>
      <c r="L2741" s="18" t="s">
        <v>25</v>
      </c>
      <c r="N2741" s="18" t="s">
        <v>154</v>
      </c>
    </row>
    <row r="2742" spans="1:14" ht="15" customHeight="1" x14ac:dyDescent="0.3">
      <c r="A2742" s="18" t="s">
        <v>5185</v>
      </c>
      <c r="B2742" s="19" t="s">
        <v>15</v>
      </c>
      <c r="C2742" s="18" t="s">
        <v>149</v>
      </c>
      <c r="D2742" s="18" t="s">
        <v>116</v>
      </c>
      <c r="E2742" s="18" t="s">
        <v>55</v>
      </c>
      <c r="F2742" s="18" t="s">
        <v>284</v>
      </c>
      <c r="G2742" s="18" t="s">
        <v>1370</v>
      </c>
      <c r="H2742" s="18" t="s">
        <v>2152</v>
      </c>
      <c r="I2742" s="20" t="s">
        <v>5491</v>
      </c>
      <c r="J2742" s="18" t="s">
        <v>58</v>
      </c>
      <c r="K2742" s="18" t="s">
        <v>24</v>
      </c>
      <c r="L2742" s="18" t="s">
        <v>25</v>
      </c>
      <c r="N2742" s="18" t="s">
        <v>154</v>
      </c>
    </row>
    <row r="2743" spans="1:14" ht="15" customHeight="1" x14ac:dyDescent="0.3">
      <c r="A2743" s="18" t="s">
        <v>5185</v>
      </c>
      <c r="B2743" s="19" t="s">
        <v>15</v>
      </c>
      <c r="C2743" s="18" t="s">
        <v>149</v>
      </c>
      <c r="D2743" s="18" t="s">
        <v>116</v>
      </c>
      <c r="E2743" s="18" t="s">
        <v>55</v>
      </c>
      <c r="F2743" s="18" t="s">
        <v>5492</v>
      </c>
      <c r="G2743" s="18" t="s">
        <v>273</v>
      </c>
      <c r="H2743" s="18" t="s">
        <v>2152</v>
      </c>
      <c r="I2743" s="20" t="s">
        <v>5493</v>
      </c>
      <c r="J2743" s="18" t="s">
        <v>58</v>
      </c>
      <c r="K2743" s="18" t="s">
        <v>24</v>
      </c>
      <c r="L2743" s="18" t="s">
        <v>25</v>
      </c>
      <c r="N2743" s="18" t="s">
        <v>154</v>
      </c>
    </row>
    <row r="2744" spans="1:14" ht="15" customHeight="1" x14ac:dyDescent="0.3">
      <c r="A2744" s="18" t="s">
        <v>5185</v>
      </c>
      <c r="B2744" s="19" t="s">
        <v>15</v>
      </c>
      <c r="C2744" s="18" t="s">
        <v>5192</v>
      </c>
      <c r="D2744" s="18" t="s">
        <v>116</v>
      </c>
      <c r="E2744" s="18" t="s">
        <v>55</v>
      </c>
      <c r="F2744" s="18" t="s">
        <v>5494</v>
      </c>
      <c r="G2744" s="18" t="s">
        <v>298</v>
      </c>
      <c r="H2744" s="18" t="s">
        <v>5195</v>
      </c>
      <c r="I2744" s="20" t="s">
        <v>5495</v>
      </c>
      <c r="J2744" s="18" t="s">
        <v>58</v>
      </c>
      <c r="K2744" s="18" t="s">
        <v>24</v>
      </c>
      <c r="L2744" s="18" t="s">
        <v>25</v>
      </c>
      <c r="N2744" s="18" t="s">
        <v>154</v>
      </c>
    </row>
    <row r="2745" spans="1:14" ht="15" customHeight="1" x14ac:dyDescent="0.3">
      <c r="A2745" s="18" t="s">
        <v>5185</v>
      </c>
      <c r="B2745" s="19" t="s">
        <v>15</v>
      </c>
      <c r="C2745" s="18" t="s">
        <v>149</v>
      </c>
      <c r="D2745" s="18" t="s">
        <v>116</v>
      </c>
      <c r="E2745" s="18" t="s">
        <v>55</v>
      </c>
      <c r="F2745" s="18" t="s">
        <v>578</v>
      </c>
      <c r="G2745" s="18" t="s">
        <v>80</v>
      </c>
      <c r="H2745" s="18" t="s">
        <v>5208</v>
      </c>
      <c r="I2745" s="20" t="s">
        <v>5496</v>
      </c>
      <c r="J2745" s="18" t="s">
        <v>58</v>
      </c>
      <c r="K2745" s="18" t="s">
        <v>24</v>
      </c>
      <c r="L2745" s="18" t="s">
        <v>25</v>
      </c>
      <c r="N2745" s="18" t="s">
        <v>154</v>
      </c>
    </row>
    <row r="2746" spans="1:14" ht="15" customHeight="1" x14ac:dyDescent="0.3">
      <c r="A2746" s="18" t="s">
        <v>5185</v>
      </c>
      <c r="B2746" s="19" t="s">
        <v>15</v>
      </c>
      <c r="C2746" s="18" t="s">
        <v>5192</v>
      </c>
      <c r="D2746" s="18" t="s">
        <v>116</v>
      </c>
      <c r="E2746" s="18" t="s">
        <v>55</v>
      </c>
      <c r="F2746" s="18" t="s">
        <v>3301</v>
      </c>
      <c r="G2746" s="18" t="s">
        <v>564</v>
      </c>
      <c r="H2746" s="18" t="s">
        <v>5195</v>
      </c>
      <c r="I2746" s="20" t="s">
        <v>5497</v>
      </c>
      <c r="J2746" s="18" t="s">
        <v>58</v>
      </c>
      <c r="K2746" s="18" t="s">
        <v>24</v>
      </c>
      <c r="L2746" s="18" t="s">
        <v>25</v>
      </c>
      <c r="N2746" s="18" t="s">
        <v>154</v>
      </c>
    </row>
    <row r="2747" spans="1:14" ht="15" customHeight="1" x14ac:dyDescent="0.3">
      <c r="A2747" s="18" t="s">
        <v>5185</v>
      </c>
      <c r="B2747" s="19" t="s">
        <v>15</v>
      </c>
      <c r="C2747" s="18" t="s">
        <v>149</v>
      </c>
      <c r="D2747" s="18" t="s">
        <v>116</v>
      </c>
      <c r="E2747" s="18" t="s">
        <v>55</v>
      </c>
      <c r="F2747" s="18" t="s">
        <v>580</v>
      </c>
      <c r="G2747" s="18" t="s">
        <v>20</v>
      </c>
      <c r="H2747" s="18" t="s">
        <v>5208</v>
      </c>
      <c r="I2747" s="20" t="s">
        <v>5498</v>
      </c>
      <c r="J2747" s="18" t="s">
        <v>58</v>
      </c>
      <c r="K2747" s="18" t="s">
        <v>24</v>
      </c>
      <c r="L2747" s="18" t="s">
        <v>25</v>
      </c>
      <c r="N2747" s="18" t="s">
        <v>154</v>
      </c>
    </row>
    <row r="2748" spans="1:14" ht="15" customHeight="1" x14ac:dyDescent="0.3">
      <c r="A2748" s="18" t="s">
        <v>5185</v>
      </c>
      <c r="B2748" s="19" t="s">
        <v>15</v>
      </c>
      <c r="C2748" s="18" t="s">
        <v>149</v>
      </c>
      <c r="D2748" s="18" t="s">
        <v>116</v>
      </c>
      <c r="E2748" s="18" t="s">
        <v>55</v>
      </c>
      <c r="F2748" s="18" t="s">
        <v>5499</v>
      </c>
      <c r="G2748" s="18" t="s">
        <v>20</v>
      </c>
      <c r="H2748" s="18" t="s">
        <v>5208</v>
      </c>
      <c r="I2748" s="20" t="s">
        <v>5500</v>
      </c>
      <c r="J2748" s="18" t="s">
        <v>58</v>
      </c>
      <c r="K2748" s="18" t="s">
        <v>24</v>
      </c>
      <c r="L2748" s="18" t="s">
        <v>25</v>
      </c>
      <c r="N2748" s="18" t="s">
        <v>154</v>
      </c>
    </row>
    <row r="2749" spans="1:14" ht="15" customHeight="1" x14ac:dyDescent="0.3">
      <c r="A2749" s="18" t="s">
        <v>5185</v>
      </c>
      <c r="B2749" s="19" t="s">
        <v>15</v>
      </c>
      <c r="C2749" s="18" t="s">
        <v>5204</v>
      </c>
      <c r="D2749" s="18" t="s">
        <v>116</v>
      </c>
      <c r="E2749" s="18" t="s">
        <v>55</v>
      </c>
      <c r="F2749" s="18" t="s">
        <v>5501</v>
      </c>
      <c r="G2749" s="18" t="s">
        <v>93</v>
      </c>
      <c r="H2749" s="18" t="s">
        <v>3343</v>
      </c>
      <c r="I2749" s="20" t="s">
        <v>5502</v>
      </c>
      <c r="J2749" s="18" t="s">
        <v>58</v>
      </c>
      <c r="K2749" s="18" t="s">
        <v>24</v>
      </c>
      <c r="L2749" s="18" t="s">
        <v>25</v>
      </c>
      <c r="N2749" s="18" t="s">
        <v>973</v>
      </c>
    </row>
    <row r="2750" spans="1:14" ht="15" customHeight="1" x14ac:dyDescent="0.3">
      <c r="A2750" s="18" t="s">
        <v>5185</v>
      </c>
      <c r="B2750" s="19" t="s">
        <v>15</v>
      </c>
      <c r="C2750" s="18" t="s">
        <v>5192</v>
      </c>
      <c r="D2750" s="18" t="s">
        <v>116</v>
      </c>
      <c r="E2750" s="18" t="s">
        <v>55</v>
      </c>
      <c r="F2750" s="18" t="s">
        <v>2388</v>
      </c>
      <c r="G2750" s="18" t="s">
        <v>41</v>
      </c>
      <c r="H2750" s="18" t="s">
        <v>5195</v>
      </c>
      <c r="I2750" s="20" t="s">
        <v>5503</v>
      </c>
      <c r="J2750" s="18" t="s">
        <v>58</v>
      </c>
      <c r="K2750" s="18" t="s">
        <v>24</v>
      </c>
      <c r="L2750" s="18" t="s">
        <v>25</v>
      </c>
      <c r="N2750" s="18" t="s">
        <v>154</v>
      </c>
    </row>
    <row r="2751" spans="1:14" ht="15" customHeight="1" x14ac:dyDescent="0.3">
      <c r="A2751" s="18" t="s">
        <v>5185</v>
      </c>
      <c r="B2751" s="19" t="s">
        <v>15</v>
      </c>
      <c r="C2751" s="18" t="s">
        <v>5204</v>
      </c>
      <c r="D2751" s="18" t="s">
        <v>116</v>
      </c>
      <c r="E2751" s="18" t="s">
        <v>55</v>
      </c>
      <c r="F2751" s="18" t="s">
        <v>5504</v>
      </c>
      <c r="G2751" s="18" t="s">
        <v>41</v>
      </c>
      <c r="H2751" s="18" t="s">
        <v>3343</v>
      </c>
      <c r="I2751" s="20" t="s">
        <v>5505</v>
      </c>
      <c r="J2751" s="18" t="s">
        <v>58</v>
      </c>
      <c r="K2751" s="18" t="s">
        <v>24</v>
      </c>
      <c r="L2751" s="18" t="s">
        <v>25</v>
      </c>
      <c r="N2751" s="18" t="s">
        <v>973</v>
      </c>
    </row>
    <row r="2752" spans="1:14" ht="15" customHeight="1" x14ac:dyDescent="0.3">
      <c r="A2752" s="18" t="s">
        <v>5185</v>
      </c>
      <c r="B2752" s="19" t="s">
        <v>15</v>
      </c>
      <c r="C2752" s="18" t="s">
        <v>5204</v>
      </c>
      <c r="D2752" s="18" t="s">
        <v>116</v>
      </c>
      <c r="E2752" s="18" t="s">
        <v>55</v>
      </c>
      <c r="F2752" s="18" t="s">
        <v>1459</v>
      </c>
      <c r="G2752" s="18" t="s">
        <v>41</v>
      </c>
      <c r="H2752" s="18" t="s">
        <v>3343</v>
      </c>
      <c r="I2752" s="20" t="s">
        <v>5506</v>
      </c>
      <c r="J2752" s="18" t="s">
        <v>58</v>
      </c>
      <c r="K2752" s="18" t="s">
        <v>24</v>
      </c>
      <c r="L2752" s="18" t="s">
        <v>25</v>
      </c>
      <c r="N2752" s="18" t="s">
        <v>973</v>
      </c>
    </row>
    <row r="2753" spans="1:14" ht="15" customHeight="1" x14ac:dyDescent="0.3">
      <c r="A2753" s="18" t="s">
        <v>5185</v>
      </c>
      <c r="B2753" s="19" t="s">
        <v>15</v>
      </c>
      <c r="C2753" s="18" t="s">
        <v>5187</v>
      </c>
      <c r="D2753" s="18" t="s">
        <v>116</v>
      </c>
      <c r="E2753" s="18" t="s">
        <v>55</v>
      </c>
      <c r="F2753" s="18" t="s">
        <v>1453</v>
      </c>
      <c r="G2753" s="18" t="s">
        <v>537</v>
      </c>
      <c r="H2753" s="18" t="s">
        <v>5189</v>
      </c>
      <c r="I2753" s="20" t="s">
        <v>5507</v>
      </c>
      <c r="J2753" s="18" t="s">
        <v>58</v>
      </c>
      <c r="K2753" s="18" t="s">
        <v>24</v>
      </c>
      <c r="L2753" s="18" t="s">
        <v>25</v>
      </c>
      <c r="N2753" s="18" t="s">
        <v>973</v>
      </c>
    </row>
    <row r="2754" spans="1:14" ht="15" customHeight="1" x14ac:dyDescent="0.3">
      <c r="A2754" s="18" t="s">
        <v>5185</v>
      </c>
      <c r="B2754" s="19" t="s">
        <v>15</v>
      </c>
      <c r="C2754" s="18" t="s">
        <v>5204</v>
      </c>
      <c r="D2754" s="18" t="s">
        <v>116</v>
      </c>
      <c r="E2754" s="18" t="s">
        <v>55</v>
      </c>
      <c r="F2754" s="18" t="s">
        <v>5508</v>
      </c>
      <c r="G2754" s="18" t="s">
        <v>41</v>
      </c>
      <c r="H2754" s="18" t="s">
        <v>3343</v>
      </c>
      <c r="I2754" s="20" t="s">
        <v>5509</v>
      </c>
      <c r="J2754" s="18" t="s">
        <v>58</v>
      </c>
      <c r="K2754" s="18" t="s">
        <v>24</v>
      </c>
      <c r="L2754" s="18" t="s">
        <v>25</v>
      </c>
      <c r="N2754" s="18" t="s">
        <v>973</v>
      </c>
    </row>
    <row r="2755" spans="1:14" ht="15" customHeight="1" x14ac:dyDescent="0.3">
      <c r="A2755" s="18" t="s">
        <v>5185</v>
      </c>
      <c r="B2755" s="19" t="s">
        <v>15</v>
      </c>
      <c r="C2755" s="18" t="s">
        <v>5192</v>
      </c>
      <c r="D2755" s="18" t="s">
        <v>116</v>
      </c>
      <c r="E2755" s="18" t="s">
        <v>55</v>
      </c>
      <c r="F2755" s="18" t="s">
        <v>5510</v>
      </c>
      <c r="G2755" s="18" t="s">
        <v>41</v>
      </c>
      <c r="H2755" s="18" t="s">
        <v>5195</v>
      </c>
      <c r="I2755" s="20" t="s">
        <v>5511</v>
      </c>
      <c r="J2755" s="18" t="s">
        <v>58</v>
      </c>
      <c r="K2755" s="18" t="s">
        <v>24</v>
      </c>
      <c r="L2755" s="18" t="s">
        <v>25</v>
      </c>
      <c r="N2755" s="18" t="s">
        <v>154</v>
      </c>
    </row>
    <row r="2756" spans="1:14" ht="15" customHeight="1" x14ac:dyDescent="0.3">
      <c r="A2756" s="18" t="s">
        <v>5185</v>
      </c>
      <c r="B2756" s="19" t="s">
        <v>15</v>
      </c>
      <c r="C2756" s="18" t="s">
        <v>5192</v>
      </c>
      <c r="D2756" s="18" t="s">
        <v>116</v>
      </c>
      <c r="E2756" s="18" t="s">
        <v>55</v>
      </c>
      <c r="F2756" s="18" t="s">
        <v>5512</v>
      </c>
      <c r="G2756" s="18" t="s">
        <v>207</v>
      </c>
      <c r="H2756" s="18" t="s">
        <v>5195</v>
      </c>
      <c r="I2756" s="20" t="s">
        <v>5513</v>
      </c>
      <c r="J2756" s="18" t="s">
        <v>58</v>
      </c>
      <c r="K2756" s="18" t="s">
        <v>24</v>
      </c>
      <c r="L2756" s="18" t="s">
        <v>25</v>
      </c>
      <c r="N2756" s="18" t="s">
        <v>154</v>
      </c>
    </row>
    <row r="2757" spans="1:14" ht="15" customHeight="1" x14ac:dyDescent="0.3">
      <c r="A2757" s="18" t="s">
        <v>5185</v>
      </c>
      <c r="B2757" s="19" t="s">
        <v>15</v>
      </c>
      <c r="C2757" s="18" t="s">
        <v>5204</v>
      </c>
      <c r="D2757" s="18" t="s">
        <v>116</v>
      </c>
      <c r="E2757" s="18" t="s">
        <v>55</v>
      </c>
      <c r="F2757" s="18" t="s">
        <v>5514</v>
      </c>
      <c r="G2757" s="18" t="s">
        <v>41</v>
      </c>
      <c r="H2757" s="18" t="s">
        <v>3343</v>
      </c>
      <c r="I2757" s="20" t="s">
        <v>5515</v>
      </c>
      <c r="J2757" s="18" t="s">
        <v>58</v>
      </c>
      <c r="K2757" s="18" t="s">
        <v>24</v>
      </c>
      <c r="L2757" s="18" t="s">
        <v>25</v>
      </c>
      <c r="N2757" s="18" t="s">
        <v>973</v>
      </c>
    </row>
    <row r="2758" spans="1:14" ht="15" customHeight="1" x14ac:dyDescent="0.3">
      <c r="A2758" s="18" t="s">
        <v>5185</v>
      </c>
      <c r="B2758" s="19" t="s">
        <v>15</v>
      </c>
      <c r="C2758" s="18" t="s">
        <v>5192</v>
      </c>
      <c r="D2758" s="18" t="s">
        <v>116</v>
      </c>
      <c r="E2758" s="18" t="s">
        <v>55</v>
      </c>
      <c r="F2758" s="18" t="s">
        <v>5516</v>
      </c>
      <c r="G2758" s="18" t="s">
        <v>41</v>
      </c>
      <c r="H2758" s="18" t="s">
        <v>5195</v>
      </c>
      <c r="I2758" s="20" t="s">
        <v>5517</v>
      </c>
      <c r="J2758" s="18" t="s">
        <v>58</v>
      </c>
      <c r="K2758" s="18" t="s">
        <v>24</v>
      </c>
      <c r="L2758" s="18" t="s">
        <v>25</v>
      </c>
      <c r="M2758" s="18" t="s">
        <v>39</v>
      </c>
      <c r="N2758" s="18" t="s">
        <v>154</v>
      </c>
    </row>
    <row r="2759" spans="1:14" ht="15" customHeight="1" x14ac:dyDescent="0.3">
      <c r="A2759" s="18" t="s">
        <v>5185</v>
      </c>
      <c r="B2759" s="19" t="s">
        <v>15</v>
      </c>
      <c r="C2759" s="18" t="s">
        <v>149</v>
      </c>
      <c r="D2759" s="18" t="s">
        <v>116</v>
      </c>
      <c r="E2759" s="18" t="s">
        <v>55</v>
      </c>
      <c r="F2759" s="18" t="s">
        <v>5518</v>
      </c>
      <c r="G2759" s="18" t="s">
        <v>826</v>
      </c>
      <c r="H2759" s="18" t="s">
        <v>5208</v>
      </c>
      <c r="I2759" s="20" t="s">
        <v>5519</v>
      </c>
      <c r="J2759" s="18" t="s">
        <v>58</v>
      </c>
      <c r="K2759" s="18" t="s">
        <v>24</v>
      </c>
      <c r="L2759" s="18" t="s">
        <v>25</v>
      </c>
      <c r="N2759" s="18" t="s">
        <v>154</v>
      </c>
    </row>
    <row r="2760" spans="1:14" ht="15" customHeight="1" x14ac:dyDescent="0.3">
      <c r="A2760" s="18" t="s">
        <v>5185</v>
      </c>
      <c r="B2760" s="19" t="s">
        <v>15</v>
      </c>
      <c r="C2760" s="18" t="s">
        <v>5192</v>
      </c>
      <c r="D2760" s="18" t="s">
        <v>116</v>
      </c>
      <c r="E2760" s="18" t="s">
        <v>55</v>
      </c>
      <c r="F2760" s="18" t="s">
        <v>5520</v>
      </c>
      <c r="G2760" s="18" t="s">
        <v>207</v>
      </c>
      <c r="H2760" s="18" t="s">
        <v>5195</v>
      </c>
      <c r="I2760" s="20" t="s">
        <v>5521</v>
      </c>
      <c r="J2760" s="18" t="s">
        <v>58</v>
      </c>
      <c r="K2760" s="18" t="s">
        <v>24</v>
      </c>
      <c r="L2760" s="18" t="s">
        <v>25</v>
      </c>
      <c r="N2760" s="18" t="s">
        <v>154</v>
      </c>
    </row>
    <row r="2761" spans="1:14" ht="15" customHeight="1" x14ac:dyDescent="0.3">
      <c r="A2761" s="18" t="s">
        <v>5185</v>
      </c>
      <c r="B2761" s="19" t="s">
        <v>15</v>
      </c>
      <c r="C2761" s="18" t="s">
        <v>5192</v>
      </c>
      <c r="D2761" s="18" t="s">
        <v>116</v>
      </c>
      <c r="E2761" s="18" t="s">
        <v>55</v>
      </c>
      <c r="F2761" s="18" t="s">
        <v>5522</v>
      </c>
      <c r="G2761" s="18" t="s">
        <v>41</v>
      </c>
      <c r="H2761" s="18" t="s">
        <v>5195</v>
      </c>
      <c r="I2761" s="20" t="s">
        <v>5523</v>
      </c>
      <c r="J2761" s="18" t="s">
        <v>58</v>
      </c>
      <c r="K2761" s="18" t="s">
        <v>24</v>
      </c>
      <c r="L2761" s="18" t="s">
        <v>25</v>
      </c>
      <c r="N2761" s="18" t="s">
        <v>154</v>
      </c>
    </row>
    <row r="2762" spans="1:14" ht="15" customHeight="1" x14ac:dyDescent="0.3">
      <c r="A2762" s="18" t="s">
        <v>5185</v>
      </c>
      <c r="B2762" s="19" t="s">
        <v>15</v>
      </c>
      <c r="C2762" s="18" t="s">
        <v>5192</v>
      </c>
      <c r="D2762" s="18" t="s">
        <v>116</v>
      </c>
      <c r="E2762" s="18" t="s">
        <v>55</v>
      </c>
      <c r="F2762" s="18" t="s">
        <v>1769</v>
      </c>
      <c r="G2762" s="18" t="s">
        <v>41</v>
      </c>
      <c r="H2762" s="18" t="s">
        <v>5195</v>
      </c>
      <c r="I2762" s="20" t="s">
        <v>5524</v>
      </c>
      <c r="J2762" s="18" t="s">
        <v>58</v>
      </c>
      <c r="K2762" s="18" t="s">
        <v>24</v>
      </c>
      <c r="L2762" s="18" t="s">
        <v>25</v>
      </c>
      <c r="N2762" s="18" t="s">
        <v>154</v>
      </c>
    </row>
    <row r="2763" spans="1:14" ht="15" customHeight="1" x14ac:dyDescent="0.3">
      <c r="A2763" s="18" t="s">
        <v>5185</v>
      </c>
      <c r="B2763" s="19" t="s">
        <v>15</v>
      </c>
      <c r="C2763" s="18" t="s">
        <v>5192</v>
      </c>
      <c r="D2763" s="18" t="s">
        <v>116</v>
      </c>
      <c r="E2763" s="18" t="s">
        <v>55</v>
      </c>
      <c r="F2763" s="18" t="s">
        <v>1318</v>
      </c>
      <c r="G2763" s="18" t="s">
        <v>207</v>
      </c>
      <c r="H2763" s="18" t="s">
        <v>5195</v>
      </c>
      <c r="I2763" s="20" t="s">
        <v>5525</v>
      </c>
      <c r="J2763" s="18" t="s">
        <v>58</v>
      </c>
      <c r="K2763" s="18" t="s">
        <v>24</v>
      </c>
      <c r="L2763" s="18" t="s">
        <v>25</v>
      </c>
      <c r="N2763" s="18" t="s">
        <v>154</v>
      </c>
    </row>
    <row r="2764" spans="1:14" ht="15" customHeight="1" x14ac:dyDescent="0.3">
      <c r="A2764" s="18" t="s">
        <v>5185</v>
      </c>
      <c r="B2764" s="19" t="s">
        <v>15</v>
      </c>
      <c r="C2764" s="18" t="s">
        <v>149</v>
      </c>
      <c r="D2764" s="18" t="s">
        <v>116</v>
      </c>
      <c r="E2764" s="18" t="s">
        <v>55</v>
      </c>
      <c r="F2764" s="18" t="s">
        <v>5526</v>
      </c>
      <c r="G2764" s="18" t="s">
        <v>1095</v>
      </c>
      <c r="H2764" s="18" t="s">
        <v>5202</v>
      </c>
      <c r="I2764" s="20" t="s">
        <v>5527</v>
      </c>
      <c r="J2764" s="18" t="s">
        <v>58</v>
      </c>
      <c r="K2764" s="18" t="s">
        <v>24</v>
      </c>
      <c r="L2764" s="18" t="s">
        <v>25</v>
      </c>
      <c r="M2764" s="18" t="s">
        <v>39</v>
      </c>
      <c r="N2764" s="18" t="s">
        <v>154</v>
      </c>
    </row>
    <row r="2765" spans="1:14" ht="15" customHeight="1" x14ac:dyDescent="0.3">
      <c r="A2765" s="18" t="s">
        <v>5185</v>
      </c>
      <c r="B2765" s="19" t="s">
        <v>15</v>
      </c>
      <c r="C2765" s="18" t="s">
        <v>5187</v>
      </c>
      <c r="D2765" s="18" t="s">
        <v>116</v>
      </c>
      <c r="E2765" s="18" t="s">
        <v>55</v>
      </c>
      <c r="F2765" s="18" t="s">
        <v>5528</v>
      </c>
      <c r="G2765" s="18" t="s">
        <v>1291</v>
      </c>
      <c r="H2765" s="18" t="s">
        <v>5218</v>
      </c>
      <c r="I2765" s="20" t="s">
        <v>5529</v>
      </c>
      <c r="J2765" s="18" t="s">
        <v>58</v>
      </c>
      <c r="K2765" s="18" t="s">
        <v>24</v>
      </c>
      <c r="L2765" s="18" t="s">
        <v>25</v>
      </c>
      <c r="N2765" s="18" t="s">
        <v>973</v>
      </c>
    </row>
    <row r="2766" spans="1:14" ht="15" customHeight="1" x14ac:dyDescent="0.3">
      <c r="A2766" s="18" t="s">
        <v>5185</v>
      </c>
      <c r="B2766" s="19" t="s">
        <v>15</v>
      </c>
      <c r="C2766" s="18" t="s">
        <v>149</v>
      </c>
      <c r="D2766" s="18" t="s">
        <v>116</v>
      </c>
      <c r="E2766" s="18" t="s">
        <v>55</v>
      </c>
      <c r="F2766" s="18" t="s">
        <v>5530</v>
      </c>
      <c r="G2766" s="18" t="s">
        <v>2574</v>
      </c>
      <c r="H2766" s="18" t="s">
        <v>5250</v>
      </c>
      <c r="I2766" s="20" t="s">
        <v>5531</v>
      </c>
      <c r="J2766" s="18" t="s">
        <v>58</v>
      </c>
      <c r="K2766" s="18" t="s">
        <v>24</v>
      </c>
      <c r="L2766" s="18" t="s">
        <v>25</v>
      </c>
      <c r="N2766" s="18" t="s">
        <v>154</v>
      </c>
    </row>
    <row r="2767" spans="1:14" ht="15" customHeight="1" x14ac:dyDescent="0.3">
      <c r="A2767" s="18" t="s">
        <v>5185</v>
      </c>
      <c r="B2767" s="19" t="s">
        <v>15</v>
      </c>
      <c r="C2767" s="18" t="s">
        <v>5192</v>
      </c>
      <c r="D2767" s="18" t="s">
        <v>116</v>
      </c>
      <c r="E2767" s="18" t="s">
        <v>55</v>
      </c>
      <c r="F2767" s="18" t="s">
        <v>5532</v>
      </c>
      <c r="G2767" s="18" t="s">
        <v>41</v>
      </c>
      <c r="H2767" s="18" t="s">
        <v>5195</v>
      </c>
      <c r="I2767" s="20" t="s">
        <v>5533</v>
      </c>
      <c r="J2767" s="18" t="s">
        <v>58</v>
      </c>
      <c r="K2767" s="18" t="s">
        <v>24</v>
      </c>
      <c r="L2767" s="18" t="s">
        <v>25</v>
      </c>
      <c r="N2767" s="18" t="s">
        <v>154</v>
      </c>
    </row>
    <row r="2768" spans="1:14" ht="15" customHeight="1" x14ac:dyDescent="0.3">
      <c r="A2768" s="18" t="s">
        <v>5185</v>
      </c>
      <c r="B2768" s="19" t="s">
        <v>15</v>
      </c>
      <c r="C2768" s="18" t="s">
        <v>149</v>
      </c>
      <c r="D2768" s="18" t="s">
        <v>116</v>
      </c>
      <c r="E2768" s="18" t="s">
        <v>55</v>
      </c>
      <c r="F2768" s="18" t="s">
        <v>5534</v>
      </c>
      <c r="G2768" s="18" t="s">
        <v>197</v>
      </c>
      <c r="H2768" s="18" t="s">
        <v>2152</v>
      </c>
      <c r="I2768" s="20" t="s">
        <v>5535</v>
      </c>
      <c r="J2768" s="18" t="s">
        <v>73</v>
      </c>
      <c r="K2768" s="18" t="s">
        <v>24</v>
      </c>
      <c r="L2768" s="18" t="s">
        <v>25</v>
      </c>
      <c r="N2768" s="18" t="s">
        <v>154</v>
      </c>
    </row>
    <row r="2769" spans="1:14" ht="15" customHeight="1" x14ac:dyDescent="0.3">
      <c r="A2769" s="18" t="s">
        <v>5185</v>
      </c>
      <c r="B2769" s="19" t="s">
        <v>15</v>
      </c>
      <c r="C2769" s="18" t="s">
        <v>149</v>
      </c>
      <c r="D2769" s="18" t="s">
        <v>116</v>
      </c>
      <c r="E2769" s="18" t="s">
        <v>55</v>
      </c>
      <c r="F2769" s="18" t="s">
        <v>5536</v>
      </c>
      <c r="G2769" s="18" t="s">
        <v>151</v>
      </c>
      <c r="H2769" s="18" t="s">
        <v>2152</v>
      </c>
      <c r="I2769" s="20" t="s">
        <v>5537</v>
      </c>
      <c r="J2769" s="18" t="s">
        <v>58</v>
      </c>
      <c r="K2769" s="18" t="s">
        <v>24</v>
      </c>
      <c r="L2769" s="18" t="s">
        <v>25</v>
      </c>
      <c r="N2769" s="18" t="s">
        <v>154</v>
      </c>
    </row>
    <row r="2770" spans="1:14" ht="15" customHeight="1" x14ac:dyDescent="0.3">
      <c r="A2770" s="18" t="s">
        <v>5185</v>
      </c>
      <c r="B2770" s="19" t="s">
        <v>15</v>
      </c>
      <c r="C2770" s="18" t="s">
        <v>5192</v>
      </c>
      <c r="D2770" s="18" t="s">
        <v>116</v>
      </c>
      <c r="E2770" s="18" t="s">
        <v>55</v>
      </c>
      <c r="F2770" s="18" t="s">
        <v>5538</v>
      </c>
      <c r="G2770" s="18" t="s">
        <v>41</v>
      </c>
      <c r="H2770" s="18" t="s">
        <v>5195</v>
      </c>
      <c r="I2770" s="20" t="s">
        <v>5539</v>
      </c>
      <c r="J2770" s="18" t="s">
        <v>58</v>
      </c>
      <c r="K2770" s="18" t="s">
        <v>24</v>
      </c>
      <c r="L2770" s="18" t="s">
        <v>25</v>
      </c>
      <c r="N2770" s="18" t="s">
        <v>154</v>
      </c>
    </row>
    <row r="2771" spans="1:14" ht="15" customHeight="1" x14ac:dyDescent="0.3">
      <c r="A2771" s="18" t="s">
        <v>5185</v>
      </c>
      <c r="B2771" s="19" t="s">
        <v>15</v>
      </c>
      <c r="C2771" s="18" t="s">
        <v>5204</v>
      </c>
      <c r="D2771" s="18" t="s">
        <v>116</v>
      </c>
      <c r="E2771" s="18" t="s">
        <v>55</v>
      </c>
      <c r="F2771" s="18" t="s">
        <v>5540</v>
      </c>
      <c r="G2771" s="18" t="s">
        <v>619</v>
      </c>
      <c r="H2771" s="18" t="s">
        <v>3343</v>
      </c>
      <c r="I2771" s="20" t="s">
        <v>5541</v>
      </c>
      <c r="J2771" s="18" t="s">
        <v>58</v>
      </c>
      <c r="K2771" s="18" t="s">
        <v>24</v>
      </c>
      <c r="L2771" s="18" t="s">
        <v>25</v>
      </c>
      <c r="N2771" s="18" t="s">
        <v>973</v>
      </c>
    </row>
    <row r="2772" spans="1:14" ht="15" customHeight="1" x14ac:dyDescent="0.3">
      <c r="A2772" s="18" t="s">
        <v>5185</v>
      </c>
      <c r="B2772" s="19" t="s">
        <v>15</v>
      </c>
      <c r="C2772" s="18" t="s">
        <v>149</v>
      </c>
      <c r="D2772" s="18" t="s">
        <v>116</v>
      </c>
      <c r="E2772" s="18" t="s">
        <v>55</v>
      </c>
      <c r="F2772" s="18" t="s">
        <v>5542</v>
      </c>
      <c r="G2772" s="18" t="s">
        <v>2396</v>
      </c>
      <c r="H2772" s="18" t="s">
        <v>2152</v>
      </c>
      <c r="I2772" s="20" t="s">
        <v>5543</v>
      </c>
      <c r="J2772" s="18" t="s">
        <v>58</v>
      </c>
      <c r="K2772" s="18" t="s">
        <v>24</v>
      </c>
      <c r="L2772" s="18" t="s">
        <v>25</v>
      </c>
      <c r="N2772" s="18" t="s">
        <v>154</v>
      </c>
    </row>
    <row r="2773" spans="1:14" ht="15" customHeight="1" x14ac:dyDescent="0.3">
      <c r="A2773" s="18" t="s">
        <v>5185</v>
      </c>
      <c r="B2773" s="19" t="s">
        <v>15</v>
      </c>
      <c r="C2773" s="18" t="s">
        <v>149</v>
      </c>
      <c r="D2773" s="18" t="s">
        <v>116</v>
      </c>
      <c r="E2773" s="18" t="s">
        <v>55</v>
      </c>
      <c r="F2773" s="18" t="s">
        <v>5544</v>
      </c>
      <c r="G2773" s="18" t="s">
        <v>2574</v>
      </c>
      <c r="H2773" s="18" t="s">
        <v>5545</v>
      </c>
      <c r="I2773" s="20" t="s">
        <v>5546</v>
      </c>
      <c r="J2773" s="18" t="s">
        <v>58</v>
      </c>
      <c r="K2773" s="18" t="s">
        <v>24</v>
      </c>
      <c r="L2773" s="18" t="s">
        <v>25</v>
      </c>
      <c r="N2773" s="18" t="s">
        <v>154</v>
      </c>
    </row>
    <row r="2774" spans="1:14" ht="15" customHeight="1" x14ac:dyDescent="0.3">
      <c r="A2774" s="18" t="s">
        <v>5185</v>
      </c>
      <c r="B2774" s="19" t="s">
        <v>15</v>
      </c>
      <c r="C2774" s="18" t="s">
        <v>149</v>
      </c>
      <c r="D2774" s="18" t="s">
        <v>116</v>
      </c>
      <c r="E2774" s="18" t="s">
        <v>55</v>
      </c>
      <c r="F2774" s="18" t="s">
        <v>5547</v>
      </c>
      <c r="G2774" s="18" t="s">
        <v>433</v>
      </c>
      <c r="H2774" s="18" t="s">
        <v>5208</v>
      </c>
      <c r="I2774" s="20" t="s">
        <v>5548</v>
      </c>
      <c r="J2774" s="18" t="s">
        <v>58</v>
      </c>
      <c r="K2774" s="18" t="s">
        <v>24</v>
      </c>
      <c r="L2774" s="18" t="s">
        <v>25</v>
      </c>
      <c r="N2774" s="18" t="s">
        <v>154</v>
      </c>
    </row>
    <row r="2775" spans="1:14" ht="15" customHeight="1" x14ac:dyDescent="0.3">
      <c r="A2775" s="18" t="s">
        <v>5185</v>
      </c>
      <c r="B2775" s="19" t="s">
        <v>15</v>
      </c>
      <c r="C2775" s="18" t="s">
        <v>5204</v>
      </c>
      <c r="D2775" s="18" t="s">
        <v>116</v>
      </c>
      <c r="E2775" s="18" t="s">
        <v>55</v>
      </c>
      <c r="F2775" s="18" t="s">
        <v>2027</v>
      </c>
      <c r="G2775" s="18" t="s">
        <v>619</v>
      </c>
      <c r="H2775" s="18" t="s">
        <v>3343</v>
      </c>
      <c r="I2775" s="20" t="s">
        <v>5549</v>
      </c>
      <c r="J2775" s="18" t="s">
        <v>73</v>
      </c>
      <c r="K2775" s="18" t="s">
        <v>24</v>
      </c>
      <c r="L2775" s="18" t="s">
        <v>25</v>
      </c>
      <c r="N2775" s="18" t="s">
        <v>973</v>
      </c>
    </row>
    <row r="2776" spans="1:14" ht="15" customHeight="1" x14ac:dyDescent="0.3">
      <c r="A2776" s="18" t="s">
        <v>5185</v>
      </c>
      <c r="B2776" s="19" t="s">
        <v>15</v>
      </c>
      <c r="C2776" s="18" t="s">
        <v>149</v>
      </c>
      <c r="D2776" s="18" t="s">
        <v>116</v>
      </c>
      <c r="E2776" s="18" t="s">
        <v>55</v>
      </c>
      <c r="F2776" s="18" t="s">
        <v>3611</v>
      </c>
      <c r="G2776" s="18" t="s">
        <v>273</v>
      </c>
      <c r="H2776" s="18" t="s">
        <v>2152</v>
      </c>
      <c r="I2776" s="20" t="s">
        <v>5550</v>
      </c>
      <c r="J2776" s="18" t="s">
        <v>58</v>
      </c>
      <c r="K2776" s="18" t="s">
        <v>24</v>
      </c>
      <c r="L2776" s="18" t="s">
        <v>25</v>
      </c>
      <c r="N2776" s="18" t="s">
        <v>154</v>
      </c>
    </row>
    <row r="2777" spans="1:14" ht="15" customHeight="1" x14ac:dyDescent="0.3">
      <c r="A2777" s="18" t="s">
        <v>5185</v>
      </c>
      <c r="B2777" s="19" t="s">
        <v>15</v>
      </c>
      <c r="C2777" s="18" t="s">
        <v>5192</v>
      </c>
      <c r="D2777" s="18" t="s">
        <v>116</v>
      </c>
      <c r="E2777" s="18" t="s">
        <v>55</v>
      </c>
      <c r="F2777" s="18" t="s">
        <v>5551</v>
      </c>
      <c r="G2777" s="18" t="s">
        <v>41</v>
      </c>
      <c r="H2777" s="18" t="s">
        <v>5195</v>
      </c>
      <c r="I2777" s="20" t="s">
        <v>5552</v>
      </c>
      <c r="J2777" s="18" t="s">
        <v>58</v>
      </c>
      <c r="K2777" s="18" t="s">
        <v>24</v>
      </c>
      <c r="L2777" s="18" t="s">
        <v>25</v>
      </c>
      <c r="N2777" s="18" t="s">
        <v>154</v>
      </c>
    </row>
    <row r="2778" spans="1:14" ht="15" customHeight="1" x14ac:dyDescent="0.3">
      <c r="A2778" s="18" t="s">
        <v>5185</v>
      </c>
      <c r="B2778" s="19" t="s">
        <v>15</v>
      </c>
      <c r="C2778" s="18" t="s">
        <v>5187</v>
      </c>
      <c r="D2778" s="18" t="s">
        <v>116</v>
      </c>
      <c r="E2778" s="18" t="s">
        <v>55</v>
      </c>
      <c r="F2778" s="18" t="s">
        <v>5553</v>
      </c>
      <c r="G2778" s="18" t="s">
        <v>537</v>
      </c>
      <c r="H2778" s="18" t="s">
        <v>5189</v>
      </c>
      <c r="I2778" s="20" t="s">
        <v>5554</v>
      </c>
      <c r="J2778" s="18" t="s">
        <v>58</v>
      </c>
      <c r="K2778" s="18" t="s">
        <v>24</v>
      </c>
      <c r="L2778" s="18" t="s">
        <v>25</v>
      </c>
      <c r="N2778" s="18" t="s">
        <v>973</v>
      </c>
    </row>
    <row r="2779" spans="1:14" ht="15" customHeight="1" x14ac:dyDescent="0.3">
      <c r="A2779" s="18" t="s">
        <v>5185</v>
      </c>
      <c r="B2779" s="19" t="s">
        <v>15</v>
      </c>
      <c r="C2779" s="18" t="s">
        <v>149</v>
      </c>
      <c r="D2779" s="18" t="s">
        <v>116</v>
      </c>
      <c r="E2779" s="18" t="s">
        <v>55</v>
      </c>
      <c r="F2779" s="18" t="s">
        <v>5555</v>
      </c>
      <c r="G2779" s="18" t="s">
        <v>433</v>
      </c>
      <c r="H2779" s="18" t="s">
        <v>5556</v>
      </c>
      <c r="I2779" s="20" t="s">
        <v>5557</v>
      </c>
      <c r="J2779" s="18" t="s">
        <v>58</v>
      </c>
      <c r="K2779" s="18" t="s">
        <v>24</v>
      </c>
      <c r="L2779" s="18" t="s">
        <v>25</v>
      </c>
      <c r="N2779" s="18" t="s">
        <v>154</v>
      </c>
    </row>
    <row r="2780" spans="1:14" ht="15" customHeight="1" x14ac:dyDescent="0.3">
      <c r="A2780" s="18" t="s">
        <v>5185</v>
      </c>
      <c r="B2780" s="19" t="s">
        <v>15</v>
      </c>
      <c r="C2780" s="18" t="s">
        <v>149</v>
      </c>
      <c r="D2780" s="18" t="s">
        <v>116</v>
      </c>
      <c r="E2780" s="18" t="s">
        <v>55</v>
      </c>
      <c r="F2780" s="18" t="s">
        <v>874</v>
      </c>
      <c r="G2780" s="18" t="s">
        <v>20</v>
      </c>
      <c r="H2780" s="18" t="s">
        <v>5208</v>
      </c>
      <c r="I2780" s="20" t="s">
        <v>5558</v>
      </c>
      <c r="J2780" s="18" t="s">
        <v>73</v>
      </c>
      <c r="K2780" s="18" t="s">
        <v>24</v>
      </c>
      <c r="L2780" s="18" t="s">
        <v>25</v>
      </c>
      <c r="N2780" s="18" t="s">
        <v>154</v>
      </c>
    </row>
    <row r="2781" spans="1:14" ht="15" customHeight="1" x14ac:dyDescent="0.3">
      <c r="A2781" s="18" t="s">
        <v>5185</v>
      </c>
      <c r="B2781" s="19" t="s">
        <v>15</v>
      </c>
      <c r="C2781" s="18" t="s">
        <v>149</v>
      </c>
      <c r="D2781" s="18" t="s">
        <v>116</v>
      </c>
      <c r="E2781" s="18" t="s">
        <v>55</v>
      </c>
      <c r="F2781" s="18" t="s">
        <v>778</v>
      </c>
      <c r="G2781" s="18" t="s">
        <v>20</v>
      </c>
      <c r="H2781" s="18" t="s">
        <v>5208</v>
      </c>
      <c r="I2781" s="20" t="s">
        <v>5559</v>
      </c>
      <c r="J2781" s="18" t="s">
        <v>73</v>
      </c>
      <c r="K2781" s="18" t="s">
        <v>24</v>
      </c>
      <c r="L2781" s="18" t="s">
        <v>25</v>
      </c>
      <c r="N2781" s="18" t="s">
        <v>154</v>
      </c>
    </row>
    <row r="2782" spans="1:14" ht="15" customHeight="1" x14ac:dyDescent="0.3">
      <c r="A2782" s="18" t="s">
        <v>5185</v>
      </c>
      <c r="B2782" s="19" t="s">
        <v>15</v>
      </c>
      <c r="C2782" s="18" t="s">
        <v>5192</v>
      </c>
      <c r="D2782" s="18" t="s">
        <v>116</v>
      </c>
      <c r="E2782" s="18" t="s">
        <v>55</v>
      </c>
      <c r="F2782" s="18" t="s">
        <v>5560</v>
      </c>
      <c r="G2782" s="18" t="s">
        <v>4225</v>
      </c>
      <c r="H2782" s="18" t="s">
        <v>5195</v>
      </c>
      <c r="I2782" s="20" t="s">
        <v>5561</v>
      </c>
      <c r="J2782" s="18" t="s">
        <v>58</v>
      </c>
      <c r="K2782" s="18" t="s">
        <v>24</v>
      </c>
      <c r="L2782" s="18" t="s">
        <v>25</v>
      </c>
      <c r="N2782" s="18" t="s">
        <v>154</v>
      </c>
    </row>
    <row r="2783" spans="1:14" ht="15" customHeight="1" x14ac:dyDescent="0.3">
      <c r="A2783" s="18" t="s">
        <v>5185</v>
      </c>
      <c r="B2783" s="19" t="s">
        <v>15</v>
      </c>
      <c r="C2783" s="18" t="s">
        <v>149</v>
      </c>
      <c r="D2783" s="18" t="s">
        <v>116</v>
      </c>
      <c r="E2783" s="18" t="s">
        <v>55</v>
      </c>
      <c r="F2783" s="18" t="s">
        <v>5562</v>
      </c>
      <c r="G2783" s="18" t="s">
        <v>4225</v>
      </c>
      <c r="H2783" s="18" t="s">
        <v>2152</v>
      </c>
      <c r="I2783" s="20" t="s">
        <v>5563</v>
      </c>
      <c r="J2783" s="18" t="s">
        <v>73</v>
      </c>
      <c r="K2783" s="18" t="s">
        <v>24</v>
      </c>
      <c r="L2783" s="18" t="s">
        <v>25</v>
      </c>
      <c r="N2783" s="18" t="s">
        <v>154</v>
      </c>
    </row>
    <row r="2784" spans="1:14" ht="15" customHeight="1" x14ac:dyDescent="0.3">
      <c r="A2784" s="18" t="s">
        <v>5185</v>
      </c>
      <c r="B2784" s="19" t="s">
        <v>15</v>
      </c>
      <c r="C2784" s="18" t="s">
        <v>149</v>
      </c>
      <c r="D2784" s="18" t="s">
        <v>116</v>
      </c>
      <c r="E2784" s="18" t="s">
        <v>55</v>
      </c>
      <c r="F2784" s="18" t="s">
        <v>5564</v>
      </c>
      <c r="G2784" s="18" t="s">
        <v>433</v>
      </c>
      <c r="H2784" s="18" t="s">
        <v>5208</v>
      </c>
      <c r="I2784" s="20" t="s">
        <v>5565</v>
      </c>
      <c r="J2784" s="18" t="s">
        <v>58</v>
      </c>
      <c r="K2784" s="18" t="s">
        <v>24</v>
      </c>
      <c r="L2784" s="18" t="s">
        <v>25</v>
      </c>
      <c r="N2784" s="18" t="s">
        <v>154</v>
      </c>
    </row>
    <row r="2785" spans="1:14" ht="15" customHeight="1" x14ac:dyDescent="0.3">
      <c r="A2785" s="18" t="s">
        <v>5185</v>
      </c>
      <c r="B2785" s="19" t="s">
        <v>15</v>
      </c>
      <c r="C2785" s="18" t="s">
        <v>149</v>
      </c>
      <c r="D2785" s="18" t="s">
        <v>116</v>
      </c>
      <c r="E2785" s="18" t="s">
        <v>55</v>
      </c>
      <c r="F2785" s="18" t="s">
        <v>5566</v>
      </c>
      <c r="G2785" s="18" t="s">
        <v>429</v>
      </c>
      <c r="H2785" s="18" t="s">
        <v>5208</v>
      </c>
      <c r="I2785" s="20" t="s">
        <v>5567</v>
      </c>
      <c r="J2785" s="18" t="s">
        <v>58</v>
      </c>
      <c r="K2785" s="18" t="s">
        <v>24</v>
      </c>
      <c r="L2785" s="18" t="s">
        <v>25</v>
      </c>
      <c r="N2785" s="18" t="s">
        <v>154</v>
      </c>
    </row>
    <row r="2786" spans="1:14" ht="15" customHeight="1" x14ac:dyDescent="0.3">
      <c r="A2786" s="18" t="s">
        <v>5185</v>
      </c>
      <c r="B2786" s="19" t="s">
        <v>15</v>
      </c>
      <c r="C2786" s="18" t="s">
        <v>149</v>
      </c>
      <c r="D2786" s="18" t="s">
        <v>116</v>
      </c>
      <c r="E2786" s="18" t="s">
        <v>55</v>
      </c>
      <c r="F2786" s="18" t="s">
        <v>5568</v>
      </c>
      <c r="G2786" s="18" t="s">
        <v>429</v>
      </c>
      <c r="H2786" s="18" t="s">
        <v>5208</v>
      </c>
      <c r="I2786" s="20" t="s">
        <v>5569</v>
      </c>
      <c r="J2786" s="18" t="s">
        <v>58</v>
      </c>
      <c r="K2786" s="18" t="s">
        <v>24</v>
      </c>
      <c r="L2786" s="18" t="s">
        <v>25</v>
      </c>
      <c r="N2786" s="18" t="s">
        <v>154</v>
      </c>
    </row>
    <row r="2787" spans="1:14" ht="15" customHeight="1" x14ac:dyDescent="0.3">
      <c r="A2787" s="18" t="s">
        <v>5185</v>
      </c>
      <c r="B2787" s="19" t="s">
        <v>15</v>
      </c>
      <c r="C2787" s="18" t="s">
        <v>149</v>
      </c>
      <c r="D2787" s="18" t="s">
        <v>116</v>
      </c>
      <c r="E2787" s="18" t="s">
        <v>74</v>
      </c>
      <c r="F2787" s="18" t="s">
        <v>5570</v>
      </c>
      <c r="G2787" s="18" t="s">
        <v>160</v>
      </c>
      <c r="H2787" s="18" t="s">
        <v>5571</v>
      </c>
      <c r="I2787" s="20" t="s">
        <v>5572</v>
      </c>
      <c r="J2787" s="18" t="s">
        <v>832</v>
      </c>
      <c r="K2787" s="18" t="s">
        <v>24</v>
      </c>
      <c r="L2787" s="18" t="s">
        <v>25</v>
      </c>
      <c r="N2787" s="18" t="s">
        <v>154</v>
      </c>
    </row>
    <row r="2788" spans="1:14" ht="15" customHeight="1" x14ac:dyDescent="0.3">
      <c r="A2788" s="18" t="s">
        <v>5185</v>
      </c>
      <c r="B2788" s="19" t="s">
        <v>15</v>
      </c>
      <c r="C2788" s="18" t="s">
        <v>149</v>
      </c>
      <c r="D2788" s="18" t="s">
        <v>116</v>
      </c>
      <c r="E2788" s="18" t="s">
        <v>74</v>
      </c>
      <c r="F2788" s="18" t="s">
        <v>1594</v>
      </c>
      <c r="G2788" s="18" t="s">
        <v>88</v>
      </c>
      <c r="H2788" s="18" t="s">
        <v>5571</v>
      </c>
      <c r="I2788" s="20" t="s">
        <v>5573</v>
      </c>
      <c r="J2788" s="18" t="s">
        <v>5574</v>
      </c>
      <c r="K2788" s="18" t="s">
        <v>24</v>
      </c>
      <c r="L2788" s="18" t="s">
        <v>25</v>
      </c>
      <c r="N2788" s="18" t="s">
        <v>154</v>
      </c>
    </row>
    <row r="2789" spans="1:14" ht="15" customHeight="1" x14ac:dyDescent="0.3">
      <c r="A2789" s="18" t="s">
        <v>5185</v>
      </c>
      <c r="B2789" s="19" t="s">
        <v>15</v>
      </c>
      <c r="C2789" s="18" t="s">
        <v>149</v>
      </c>
      <c r="D2789" s="18" t="s">
        <v>116</v>
      </c>
      <c r="E2789" s="18" t="s">
        <v>74</v>
      </c>
      <c r="F2789" s="18" t="s">
        <v>5575</v>
      </c>
      <c r="G2789" s="18" t="s">
        <v>88</v>
      </c>
      <c r="H2789" s="18" t="s">
        <v>5571</v>
      </c>
      <c r="I2789" s="20" t="s">
        <v>5576</v>
      </c>
      <c r="J2789" s="18" t="s">
        <v>832</v>
      </c>
      <c r="K2789" s="18" t="s">
        <v>24</v>
      </c>
      <c r="L2789" s="18" t="s">
        <v>25</v>
      </c>
      <c r="N2789" s="18" t="s">
        <v>154</v>
      </c>
    </row>
    <row r="2790" spans="1:14" ht="15" customHeight="1" x14ac:dyDescent="0.3">
      <c r="A2790" s="18" t="s">
        <v>5185</v>
      </c>
      <c r="B2790" s="19" t="s">
        <v>15</v>
      </c>
      <c r="C2790" s="18" t="s">
        <v>149</v>
      </c>
      <c r="D2790" s="18" t="s">
        <v>116</v>
      </c>
      <c r="E2790" s="18" t="s">
        <v>74</v>
      </c>
      <c r="F2790" s="18" t="s">
        <v>5577</v>
      </c>
      <c r="G2790" s="18" t="s">
        <v>5578</v>
      </c>
      <c r="H2790" s="18" t="s">
        <v>5579</v>
      </c>
      <c r="I2790" s="20" t="s">
        <v>5580</v>
      </c>
      <c r="J2790" s="18" t="s">
        <v>307</v>
      </c>
      <c r="K2790" s="18" t="s">
        <v>24</v>
      </c>
      <c r="L2790" s="18" t="s">
        <v>25</v>
      </c>
      <c r="N2790" s="18" t="s">
        <v>154</v>
      </c>
    </row>
    <row r="2791" spans="1:14" ht="15" customHeight="1" x14ac:dyDescent="0.3">
      <c r="A2791" s="18" t="s">
        <v>5185</v>
      </c>
      <c r="B2791" s="19" t="s">
        <v>15</v>
      </c>
      <c r="C2791" s="18" t="s">
        <v>149</v>
      </c>
      <c r="D2791" s="18" t="s">
        <v>116</v>
      </c>
      <c r="E2791" s="18" t="s">
        <v>74</v>
      </c>
      <c r="F2791" s="18" t="s">
        <v>5581</v>
      </c>
      <c r="G2791" s="18" t="s">
        <v>85</v>
      </c>
      <c r="H2791" s="18" t="s">
        <v>5571</v>
      </c>
      <c r="I2791" s="20" t="s">
        <v>5582</v>
      </c>
      <c r="J2791" s="18" t="s">
        <v>5574</v>
      </c>
      <c r="K2791" s="18" t="s">
        <v>24</v>
      </c>
      <c r="L2791" s="18" t="s">
        <v>25</v>
      </c>
      <c r="N2791" s="18" t="s">
        <v>154</v>
      </c>
    </row>
    <row r="2792" spans="1:14" ht="15" customHeight="1" x14ac:dyDescent="0.3">
      <c r="A2792" s="18" t="s">
        <v>5185</v>
      </c>
      <c r="B2792" s="19" t="s">
        <v>15</v>
      </c>
      <c r="C2792" s="18" t="s">
        <v>149</v>
      </c>
      <c r="D2792" s="18" t="s">
        <v>116</v>
      </c>
      <c r="E2792" s="18" t="s">
        <v>74</v>
      </c>
      <c r="F2792" s="18" t="s">
        <v>85</v>
      </c>
      <c r="G2792" s="18" t="s">
        <v>85</v>
      </c>
      <c r="H2792" s="18" t="s">
        <v>5195</v>
      </c>
      <c r="I2792" s="20" t="s">
        <v>5583</v>
      </c>
      <c r="J2792" s="18" t="s">
        <v>832</v>
      </c>
      <c r="K2792" s="18" t="s">
        <v>24</v>
      </c>
      <c r="L2792" s="18" t="s">
        <v>25</v>
      </c>
      <c r="N2792" s="18" t="s">
        <v>154</v>
      </c>
    </row>
    <row r="2793" spans="1:14" ht="15" customHeight="1" x14ac:dyDescent="0.3">
      <c r="A2793" s="18" t="s">
        <v>5185</v>
      </c>
      <c r="B2793" s="19" t="s">
        <v>15</v>
      </c>
      <c r="C2793" s="18" t="s">
        <v>149</v>
      </c>
      <c r="D2793" s="18" t="s">
        <v>116</v>
      </c>
      <c r="E2793" s="18" t="s">
        <v>74</v>
      </c>
      <c r="F2793" s="18" t="s">
        <v>5584</v>
      </c>
      <c r="G2793" s="18" t="s">
        <v>41</v>
      </c>
      <c r="H2793" s="18" t="s">
        <v>5571</v>
      </c>
      <c r="I2793" s="20" t="s">
        <v>5585</v>
      </c>
      <c r="J2793" s="18" t="s">
        <v>832</v>
      </c>
      <c r="K2793" s="18" t="s">
        <v>24</v>
      </c>
      <c r="L2793" s="18" t="s">
        <v>25</v>
      </c>
      <c r="N2793" s="18" t="s">
        <v>154</v>
      </c>
    </row>
    <row r="2794" spans="1:14" ht="15" customHeight="1" x14ac:dyDescent="0.3">
      <c r="A2794" s="18" t="s">
        <v>5185</v>
      </c>
      <c r="B2794" s="19" t="s">
        <v>15</v>
      </c>
      <c r="C2794" s="18" t="s">
        <v>5187</v>
      </c>
      <c r="D2794" s="18" t="s">
        <v>116</v>
      </c>
      <c r="E2794" s="18" t="s">
        <v>74</v>
      </c>
      <c r="F2794" s="18" t="s">
        <v>5586</v>
      </c>
      <c r="G2794" s="18" t="s">
        <v>28</v>
      </c>
      <c r="H2794" s="18" t="s">
        <v>5587</v>
      </c>
      <c r="I2794" s="20" t="s">
        <v>5588</v>
      </c>
      <c r="J2794" s="18" t="s">
        <v>832</v>
      </c>
      <c r="K2794" s="18" t="s">
        <v>24</v>
      </c>
      <c r="L2794" s="18" t="s">
        <v>25</v>
      </c>
      <c r="N2794" s="18" t="s">
        <v>973</v>
      </c>
    </row>
    <row r="2795" spans="1:14" ht="15" customHeight="1" x14ac:dyDescent="0.3">
      <c r="A2795" s="18" t="s">
        <v>5185</v>
      </c>
      <c r="B2795" s="19" t="s">
        <v>15</v>
      </c>
      <c r="C2795" s="18" t="s">
        <v>149</v>
      </c>
      <c r="D2795" s="18" t="s">
        <v>116</v>
      </c>
      <c r="E2795" s="18" t="s">
        <v>74</v>
      </c>
      <c r="F2795" s="18" t="s">
        <v>5589</v>
      </c>
      <c r="G2795" s="18" t="s">
        <v>207</v>
      </c>
      <c r="H2795" s="18" t="s">
        <v>5571</v>
      </c>
      <c r="I2795" s="20" t="s">
        <v>5590</v>
      </c>
      <c r="J2795" s="18" t="s">
        <v>832</v>
      </c>
      <c r="K2795" s="18" t="s">
        <v>24</v>
      </c>
      <c r="L2795" s="18" t="s">
        <v>25</v>
      </c>
      <c r="N2795" s="18" t="s">
        <v>154</v>
      </c>
    </row>
    <row r="2796" spans="1:14" ht="15" customHeight="1" x14ac:dyDescent="0.3">
      <c r="A2796" s="18" t="s">
        <v>5185</v>
      </c>
      <c r="B2796" s="19" t="s">
        <v>15</v>
      </c>
      <c r="C2796" s="18" t="s">
        <v>149</v>
      </c>
      <c r="D2796" s="18" t="s">
        <v>116</v>
      </c>
      <c r="E2796" s="18" t="s">
        <v>74</v>
      </c>
      <c r="F2796" s="18" t="s">
        <v>5591</v>
      </c>
      <c r="G2796" s="18" t="s">
        <v>207</v>
      </c>
      <c r="H2796" s="18" t="s">
        <v>5571</v>
      </c>
      <c r="I2796" s="20" t="s">
        <v>5592</v>
      </c>
      <c r="J2796" s="18" t="s">
        <v>832</v>
      </c>
      <c r="K2796" s="18" t="s">
        <v>24</v>
      </c>
      <c r="L2796" s="18" t="s">
        <v>25</v>
      </c>
      <c r="N2796" s="18" t="s">
        <v>154</v>
      </c>
    </row>
    <row r="2797" spans="1:14" ht="15" customHeight="1" x14ac:dyDescent="0.3">
      <c r="A2797" s="18" t="s">
        <v>5185</v>
      </c>
      <c r="B2797" s="19" t="s">
        <v>15</v>
      </c>
      <c r="C2797" s="18" t="s">
        <v>149</v>
      </c>
      <c r="D2797" s="18" t="s">
        <v>116</v>
      </c>
      <c r="E2797" s="18" t="s">
        <v>74</v>
      </c>
      <c r="F2797" s="18" t="s">
        <v>5593</v>
      </c>
      <c r="G2797" s="18" t="s">
        <v>564</v>
      </c>
      <c r="H2797" s="18" t="s">
        <v>5571</v>
      </c>
      <c r="I2797" s="20" t="s">
        <v>5594</v>
      </c>
      <c r="J2797" s="18" t="s">
        <v>832</v>
      </c>
      <c r="K2797" s="18" t="s">
        <v>24</v>
      </c>
      <c r="L2797" s="18" t="s">
        <v>25</v>
      </c>
      <c r="N2797" s="18" t="s">
        <v>154</v>
      </c>
    </row>
    <row r="2798" spans="1:14" ht="15" customHeight="1" x14ac:dyDescent="0.3">
      <c r="A2798" s="18" t="s">
        <v>5185</v>
      </c>
      <c r="B2798" s="19" t="s">
        <v>15</v>
      </c>
      <c r="C2798" s="18" t="s">
        <v>149</v>
      </c>
      <c r="D2798" s="18" t="s">
        <v>116</v>
      </c>
      <c r="E2798" s="18" t="s">
        <v>74</v>
      </c>
      <c r="F2798" s="18" t="s">
        <v>5595</v>
      </c>
      <c r="G2798" s="18" t="s">
        <v>564</v>
      </c>
      <c r="H2798" s="18" t="s">
        <v>5571</v>
      </c>
      <c r="I2798" s="20" t="s">
        <v>5596</v>
      </c>
      <c r="J2798" s="18" t="s">
        <v>832</v>
      </c>
      <c r="K2798" s="18" t="s">
        <v>24</v>
      </c>
      <c r="L2798" s="18" t="s">
        <v>25</v>
      </c>
      <c r="N2798" s="18" t="s">
        <v>154</v>
      </c>
    </row>
    <row r="2799" spans="1:14" ht="15" customHeight="1" x14ac:dyDescent="0.3">
      <c r="A2799" s="18" t="s">
        <v>5185</v>
      </c>
      <c r="B2799" s="19" t="s">
        <v>15</v>
      </c>
      <c r="C2799" s="18" t="s">
        <v>149</v>
      </c>
      <c r="D2799" s="18" t="s">
        <v>116</v>
      </c>
      <c r="E2799" s="18" t="s">
        <v>74</v>
      </c>
      <c r="F2799" s="18" t="s">
        <v>5597</v>
      </c>
      <c r="G2799" s="18" t="s">
        <v>2921</v>
      </c>
      <c r="H2799" s="18" t="s">
        <v>5571</v>
      </c>
      <c r="I2799" s="20" t="s">
        <v>5598</v>
      </c>
      <c r="J2799" s="18" t="s">
        <v>832</v>
      </c>
      <c r="K2799" s="18" t="s">
        <v>24</v>
      </c>
      <c r="L2799" s="18" t="s">
        <v>25</v>
      </c>
      <c r="N2799" s="18" t="s">
        <v>154</v>
      </c>
    </row>
    <row r="2800" spans="1:14" ht="15" customHeight="1" x14ac:dyDescent="0.3">
      <c r="A2800" s="18" t="s">
        <v>5185</v>
      </c>
      <c r="B2800" s="19" t="s">
        <v>15</v>
      </c>
      <c r="C2800" s="18" t="s">
        <v>149</v>
      </c>
      <c r="D2800" s="18" t="s">
        <v>116</v>
      </c>
      <c r="E2800" s="18" t="s">
        <v>74</v>
      </c>
      <c r="F2800" s="18" t="s">
        <v>5599</v>
      </c>
      <c r="G2800" s="18" t="s">
        <v>207</v>
      </c>
      <c r="H2800" s="18" t="s">
        <v>5571</v>
      </c>
      <c r="I2800" s="20" t="s">
        <v>5600</v>
      </c>
      <c r="J2800" s="18" t="s">
        <v>832</v>
      </c>
      <c r="K2800" s="18" t="s">
        <v>24</v>
      </c>
      <c r="L2800" s="18" t="s">
        <v>25</v>
      </c>
      <c r="N2800" s="18" t="s">
        <v>154</v>
      </c>
    </row>
    <row r="2801" spans="1:14" ht="15" customHeight="1" x14ac:dyDescent="0.3">
      <c r="A2801" s="18" t="s">
        <v>5185</v>
      </c>
      <c r="B2801" s="19" t="s">
        <v>15</v>
      </c>
      <c r="C2801" s="18" t="s">
        <v>149</v>
      </c>
      <c r="D2801" s="18" t="s">
        <v>116</v>
      </c>
      <c r="E2801" s="18" t="s">
        <v>74</v>
      </c>
      <c r="F2801" s="18" t="s">
        <v>5601</v>
      </c>
      <c r="G2801" s="18" t="s">
        <v>41</v>
      </c>
      <c r="H2801" s="18" t="s">
        <v>5571</v>
      </c>
      <c r="I2801" s="20" t="s">
        <v>5602</v>
      </c>
      <c r="J2801" s="18" t="s">
        <v>832</v>
      </c>
      <c r="K2801" s="18" t="s">
        <v>24</v>
      </c>
      <c r="L2801" s="18" t="s">
        <v>25</v>
      </c>
      <c r="N2801" s="18" t="s">
        <v>154</v>
      </c>
    </row>
    <row r="2802" spans="1:14" ht="15" customHeight="1" x14ac:dyDescent="0.3">
      <c r="A2802" s="18" t="s">
        <v>5185</v>
      </c>
      <c r="B2802" s="19" t="s">
        <v>15</v>
      </c>
      <c r="C2802" s="18" t="s">
        <v>149</v>
      </c>
      <c r="D2802" s="18" t="s">
        <v>116</v>
      </c>
      <c r="E2802" s="18" t="s">
        <v>74</v>
      </c>
      <c r="F2802" s="18" t="s">
        <v>1692</v>
      </c>
      <c r="G2802" s="18" t="s">
        <v>536</v>
      </c>
      <c r="H2802" s="18" t="s">
        <v>5603</v>
      </c>
      <c r="I2802" s="20" t="s">
        <v>5604</v>
      </c>
      <c r="J2802" s="18" t="s">
        <v>832</v>
      </c>
      <c r="K2802" s="18" t="s">
        <v>24</v>
      </c>
      <c r="L2802" s="18" t="s">
        <v>25</v>
      </c>
      <c r="N2802" s="18" t="s">
        <v>154</v>
      </c>
    </row>
    <row r="2803" spans="1:14" ht="15" customHeight="1" x14ac:dyDescent="0.3">
      <c r="A2803" s="18" t="s">
        <v>5185</v>
      </c>
      <c r="B2803" s="19" t="s">
        <v>15</v>
      </c>
      <c r="C2803" s="18" t="s">
        <v>149</v>
      </c>
      <c r="D2803" s="18" t="s">
        <v>116</v>
      </c>
      <c r="E2803" s="18" t="s">
        <v>74</v>
      </c>
      <c r="F2803" s="18" t="s">
        <v>5605</v>
      </c>
      <c r="G2803" s="18" t="s">
        <v>41</v>
      </c>
      <c r="H2803" s="18" t="s">
        <v>5571</v>
      </c>
      <c r="I2803" s="20" t="s">
        <v>5606</v>
      </c>
      <c r="J2803" s="18" t="s">
        <v>832</v>
      </c>
      <c r="K2803" s="18" t="s">
        <v>24</v>
      </c>
      <c r="L2803" s="18" t="s">
        <v>25</v>
      </c>
      <c r="N2803" s="18" t="s">
        <v>154</v>
      </c>
    </row>
    <row r="2804" spans="1:14" ht="15" customHeight="1" x14ac:dyDescent="0.3">
      <c r="A2804" s="18" t="s">
        <v>5185</v>
      </c>
      <c r="B2804" s="19" t="s">
        <v>15</v>
      </c>
      <c r="C2804" s="18" t="s">
        <v>149</v>
      </c>
      <c r="D2804" s="18" t="s">
        <v>116</v>
      </c>
      <c r="E2804" s="18" t="s">
        <v>74</v>
      </c>
      <c r="F2804" s="18" t="s">
        <v>5607</v>
      </c>
      <c r="G2804" s="18" t="s">
        <v>219</v>
      </c>
      <c r="H2804" s="18" t="s">
        <v>5571</v>
      </c>
      <c r="I2804" s="20" t="s">
        <v>5608</v>
      </c>
      <c r="J2804" s="18" t="s">
        <v>832</v>
      </c>
      <c r="K2804" s="18" t="s">
        <v>24</v>
      </c>
      <c r="L2804" s="18" t="s">
        <v>25</v>
      </c>
      <c r="N2804" s="18" t="s">
        <v>154</v>
      </c>
    </row>
    <row r="2805" spans="1:14" ht="15" customHeight="1" x14ac:dyDescent="0.3">
      <c r="A2805" s="18" t="s">
        <v>5185</v>
      </c>
      <c r="B2805" s="19" t="s">
        <v>15</v>
      </c>
      <c r="C2805" s="18" t="s">
        <v>149</v>
      </c>
      <c r="D2805" s="18" t="s">
        <v>116</v>
      </c>
      <c r="E2805" s="18" t="s">
        <v>74</v>
      </c>
      <c r="F2805" s="18" t="s">
        <v>5609</v>
      </c>
      <c r="G2805" s="18" t="s">
        <v>85</v>
      </c>
      <c r="H2805" s="18" t="s">
        <v>5195</v>
      </c>
      <c r="I2805" s="20" t="s">
        <v>5610</v>
      </c>
      <c r="J2805" s="18" t="s">
        <v>832</v>
      </c>
      <c r="K2805" s="18" t="s">
        <v>24</v>
      </c>
      <c r="L2805" s="18" t="s">
        <v>25</v>
      </c>
      <c r="N2805" s="18" t="s">
        <v>154</v>
      </c>
    </row>
    <row r="2806" spans="1:14" ht="15" customHeight="1" x14ac:dyDescent="0.3">
      <c r="A2806" s="18" t="s">
        <v>5185</v>
      </c>
      <c r="B2806" s="19" t="s">
        <v>15</v>
      </c>
      <c r="C2806" s="18" t="s">
        <v>149</v>
      </c>
      <c r="D2806" s="18" t="s">
        <v>116</v>
      </c>
      <c r="E2806" s="18" t="s">
        <v>74</v>
      </c>
      <c r="F2806" s="18" t="s">
        <v>5611</v>
      </c>
      <c r="G2806" s="18" t="s">
        <v>1009</v>
      </c>
      <c r="H2806" s="18" t="s">
        <v>5579</v>
      </c>
      <c r="I2806" s="20" t="s">
        <v>5612</v>
      </c>
      <c r="J2806" s="18" t="s">
        <v>307</v>
      </c>
      <c r="K2806" s="18" t="s">
        <v>24</v>
      </c>
      <c r="L2806" s="18" t="s">
        <v>25</v>
      </c>
      <c r="N2806" s="18" t="s">
        <v>154</v>
      </c>
    </row>
    <row r="2807" spans="1:14" ht="15" customHeight="1" x14ac:dyDescent="0.3">
      <c r="A2807" s="18" t="s">
        <v>5185</v>
      </c>
      <c r="B2807" s="19" t="s">
        <v>15</v>
      </c>
      <c r="C2807" s="18" t="s">
        <v>149</v>
      </c>
      <c r="D2807" s="18" t="s">
        <v>116</v>
      </c>
      <c r="E2807" s="18" t="s">
        <v>74</v>
      </c>
      <c r="F2807" s="18" t="s">
        <v>5613</v>
      </c>
      <c r="G2807" s="18" t="s">
        <v>433</v>
      </c>
      <c r="H2807" s="18" t="s">
        <v>5195</v>
      </c>
      <c r="I2807" s="20" t="s">
        <v>5614</v>
      </c>
      <c r="J2807" s="18" t="s">
        <v>832</v>
      </c>
      <c r="K2807" s="18" t="s">
        <v>24</v>
      </c>
      <c r="L2807" s="18" t="s">
        <v>25</v>
      </c>
      <c r="N2807" s="18" t="s">
        <v>154</v>
      </c>
    </row>
    <row r="2808" spans="1:14" ht="15" customHeight="1" x14ac:dyDescent="0.3">
      <c r="A2808" s="18" t="s">
        <v>5185</v>
      </c>
      <c r="B2808" s="19" t="s">
        <v>15</v>
      </c>
      <c r="C2808" s="18" t="s">
        <v>149</v>
      </c>
      <c r="D2808" s="18" t="s">
        <v>116</v>
      </c>
      <c r="E2808" s="18" t="s">
        <v>74</v>
      </c>
      <c r="F2808" s="18" t="s">
        <v>5615</v>
      </c>
      <c r="G2808" s="18" t="s">
        <v>41</v>
      </c>
      <c r="H2808" s="18" t="s">
        <v>5195</v>
      </c>
      <c r="I2808" s="20" t="s">
        <v>5616</v>
      </c>
      <c r="J2808" s="18" t="s">
        <v>832</v>
      </c>
      <c r="K2808" s="18" t="s">
        <v>24</v>
      </c>
      <c r="L2808" s="18" t="s">
        <v>25</v>
      </c>
      <c r="N2808" s="18" t="s">
        <v>154</v>
      </c>
    </row>
    <row r="2809" spans="1:14" ht="15" customHeight="1" x14ac:dyDescent="0.3">
      <c r="A2809" s="18" t="s">
        <v>5185</v>
      </c>
      <c r="B2809" s="19" t="s">
        <v>15</v>
      </c>
      <c r="C2809" s="18" t="s">
        <v>149</v>
      </c>
      <c r="D2809" s="18" t="s">
        <v>116</v>
      </c>
      <c r="E2809" s="18" t="s">
        <v>74</v>
      </c>
      <c r="F2809" s="18" t="s">
        <v>4698</v>
      </c>
      <c r="G2809" s="18" t="s">
        <v>93</v>
      </c>
      <c r="H2809" s="18" t="s">
        <v>5571</v>
      </c>
      <c r="I2809" s="20" t="s">
        <v>5617</v>
      </c>
      <c r="J2809" s="18" t="s">
        <v>832</v>
      </c>
      <c r="K2809" s="18" t="s">
        <v>24</v>
      </c>
      <c r="L2809" s="18" t="s">
        <v>25</v>
      </c>
      <c r="N2809" s="18" t="s">
        <v>154</v>
      </c>
    </row>
    <row r="2810" spans="1:14" ht="15" customHeight="1" x14ac:dyDescent="0.3">
      <c r="A2810" s="18" t="s">
        <v>5185</v>
      </c>
      <c r="B2810" s="19" t="s">
        <v>15</v>
      </c>
      <c r="C2810" s="18" t="s">
        <v>149</v>
      </c>
      <c r="D2810" s="18" t="s">
        <v>116</v>
      </c>
      <c r="E2810" s="18" t="s">
        <v>74</v>
      </c>
      <c r="F2810" s="18" t="s">
        <v>5618</v>
      </c>
      <c r="G2810" s="18" t="s">
        <v>44</v>
      </c>
      <c r="H2810" s="18" t="s">
        <v>5579</v>
      </c>
      <c r="I2810" s="20" t="s">
        <v>5619</v>
      </c>
      <c r="J2810" s="18" t="s">
        <v>307</v>
      </c>
      <c r="K2810" s="18" t="s">
        <v>24</v>
      </c>
      <c r="L2810" s="18" t="s">
        <v>25</v>
      </c>
      <c r="N2810" s="18" t="s">
        <v>154</v>
      </c>
    </row>
    <row r="2811" spans="1:14" ht="15" customHeight="1" x14ac:dyDescent="0.3">
      <c r="A2811" s="18" t="s">
        <v>5185</v>
      </c>
      <c r="B2811" s="19" t="s">
        <v>15</v>
      </c>
      <c r="C2811" s="18" t="s">
        <v>149</v>
      </c>
      <c r="D2811" s="18" t="s">
        <v>116</v>
      </c>
      <c r="E2811" s="18" t="s">
        <v>74</v>
      </c>
      <c r="F2811" s="18" t="s">
        <v>3181</v>
      </c>
      <c r="G2811" s="18" t="s">
        <v>536</v>
      </c>
      <c r="H2811" s="18" t="s">
        <v>5571</v>
      </c>
      <c r="I2811" s="20" t="s">
        <v>5620</v>
      </c>
      <c r="J2811" s="18" t="s">
        <v>832</v>
      </c>
      <c r="K2811" s="18" t="s">
        <v>24</v>
      </c>
      <c r="L2811" s="18" t="s">
        <v>25</v>
      </c>
      <c r="N2811" s="18" t="s">
        <v>154</v>
      </c>
    </row>
    <row r="2812" spans="1:14" ht="15" customHeight="1" x14ac:dyDescent="0.3">
      <c r="A2812" s="18" t="s">
        <v>5185</v>
      </c>
      <c r="B2812" s="19" t="s">
        <v>15</v>
      </c>
      <c r="C2812" s="18" t="s">
        <v>149</v>
      </c>
      <c r="D2812" s="18" t="s">
        <v>116</v>
      </c>
      <c r="E2812" s="18" t="s">
        <v>74</v>
      </c>
      <c r="F2812" s="18" t="s">
        <v>5621</v>
      </c>
      <c r="G2812" s="18" t="s">
        <v>41</v>
      </c>
      <c r="H2812" s="18" t="s">
        <v>5571</v>
      </c>
      <c r="I2812" s="20" t="s">
        <v>5622</v>
      </c>
      <c r="J2812" s="18" t="s">
        <v>832</v>
      </c>
      <c r="K2812" s="18" t="s">
        <v>24</v>
      </c>
      <c r="L2812" s="18" t="s">
        <v>25</v>
      </c>
      <c r="N2812" s="18" t="s">
        <v>154</v>
      </c>
    </row>
    <row r="2813" spans="1:14" ht="15" customHeight="1" x14ac:dyDescent="0.3">
      <c r="A2813" s="18" t="s">
        <v>5185</v>
      </c>
      <c r="B2813" s="19" t="s">
        <v>15</v>
      </c>
      <c r="C2813" s="18" t="s">
        <v>149</v>
      </c>
      <c r="D2813" s="18" t="s">
        <v>116</v>
      </c>
      <c r="E2813" s="18" t="s">
        <v>74</v>
      </c>
      <c r="F2813" s="18" t="s">
        <v>5623</v>
      </c>
      <c r="G2813" s="18" t="s">
        <v>270</v>
      </c>
      <c r="H2813" s="18" t="s">
        <v>5195</v>
      </c>
      <c r="I2813" s="20" t="s">
        <v>5624</v>
      </c>
      <c r="J2813" s="18" t="s">
        <v>832</v>
      </c>
      <c r="K2813" s="18" t="s">
        <v>24</v>
      </c>
      <c r="L2813" s="18" t="s">
        <v>25</v>
      </c>
      <c r="N2813" s="18" t="s">
        <v>154</v>
      </c>
    </row>
    <row r="2814" spans="1:14" ht="15" customHeight="1" x14ac:dyDescent="0.3">
      <c r="A2814" s="18" t="s">
        <v>5185</v>
      </c>
      <c r="B2814" s="19" t="s">
        <v>15</v>
      </c>
      <c r="C2814" s="18" t="s">
        <v>149</v>
      </c>
      <c r="D2814" s="18" t="s">
        <v>116</v>
      </c>
      <c r="E2814" s="18" t="s">
        <v>74</v>
      </c>
      <c r="F2814" s="18" t="s">
        <v>5625</v>
      </c>
      <c r="G2814" s="18" t="s">
        <v>41</v>
      </c>
      <c r="H2814" s="18" t="s">
        <v>5571</v>
      </c>
      <c r="I2814" s="20" t="s">
        <v>5626</v>
      </c>
      <c r="J2814" s="18" t="s">
        <v>832</v>
      </c>
      <c r="K2814" s="18" t="s">
        <v>24</v>
      </c>
      <c r="L2814" s="18" t="s">
        <v>25</v>
      </c>
      <c r="N2814" s="18" t="s">
        <v>154</v>
      </c>
    </row>
    <row r="2815" spans="1:14" ht="15" customHeight="1" x14ac:dyDescent="0.3">
      <c r="A2815" s="18" t="s">
        <v>5185</v>
      </c>
      <c r="B2815" s="19" t="s">
        <v>15</v>
      </c>
      <c r="C2815" s="18" t="s">
        <v>149</v>
      </c>
      <c r="D2815" s="18" t="s">
        <v>116</v>
      </c>
      <c r="E2815" s="18" t="s">
        <v>74</v>
      </c>
      <c r="F2815" s="18" t="s">
        <v>5627</v>
      </c>
      <c r="G2815" s="18" t="s">
        <v>41</v>
      </c>
      <c r="H2815" s="18" t="s">
        <v>5571</v>
      </c>
      <c r="I2815" s="20" t="s">
        <v>5628</v>
      </c>
      <c r="J2815" s="18" t="s">
        <v>5574</v>
      </c>
      <c r="K2815" s="18" t="s">
        <v>24</v>
      </c>
      <c r="L2815" s="18" t="s">
        <v>25</v>
      </c>
      <c r="N2815" s="18" t="s">
        <v>154</v>
      </c>
    </row>
    <row r="2816" spans="1:14" ht="15" customHeight="1" x14ac:dyDescent="0.3">
      <c r="A2816" s="18" t="s">
        <v>5185</v>
      </c>
      <c r="B2816" s="19" t="s">
        <v>15</v>
      </c>
      <c r="C2816" s="18" t="s">
        <v>149</v>
      </c>
      <c r="D2816" s="18" t="s">
        <v>116</v>
      </c>
      <c r="E2816" s="18" t="s">
        <v>74</v>
      </c>
      <c r="F2816" s="18" t="s">
        <v>5629</v>
      </c>
      <c r="G2816" s="18" t="s">
        <v>41</v>
      </c>
      <c r="H2816" s="18" t="s">
        <v>5571</v>
      </c>
      <c r="I2816" s="20" t="s">
        <v>5630</v>
      </c>
      <c r="J2816" s="18" t="s">
        <v>832</v>
      </c>
      <c r="K2816" s="18" t="s">
        <v>24</v>
      </c>
      <c r="L2816" s="18" t="s">
        <v>25</v>
      </c>
      <c r="N2816" s="18" t="s">
        <v>154</v>
      </c>
    </row>
    <row r="2817" spans="1:14" ht="15" customHeight="1" x14ac:dyDescent="0.3">
      <c r="A2817" s="18" t="s">
        <v>5185</v>
      </c>
      <c r="B2817" s="19" t="s">
        <v>15</v>
      </c>
      <c r="C2817" s="18" t="s">
        <v>149</v>
      </c>
      <c r="D2817" s="18" t="s">
        <v>116</v>
      </c>
      <c r="E2817" s="18" t="s">
        <v>74</v>
      </c>
      <c r="F2817" s="18" t="s">
        <v>5631</v>
      </c>
      <c r="G2817" s="18" t="s">
        <v>263</v>
      </c>
      <c r="H2817" s="18" t="s">
        <v>5571</v>
      </c>
      <c r="I2817" s="20" t="s">
        <v>5632</v>
      </c>
      <c r="J2817" s="18" t="s">
        <v>832</v>
      </c>
      <c r="K2817" s="18" t="s">
        <v>24</v>
      </c>
      <c r="L2817" s="18" t="s">
        <v>25</v>
      </c>
      <c r="N2817" s="18" t="s">
        <v>154</v>
      </c>
    </row>
    <row r="2818" spans="1:14" ht="15" customHeight="1" x14ac:dyDescent="0.3">
      <c r="A2818" s="18" t="s">
        <v>5185</v>
      </c>
      <c r="B2818" s="19" t="s">
        <v>15</v>
      </c>
      <c r="C2818" s="18" t="s">
        <v>149</v>
      </c>
      <c r="D2818" s="18" t="s">
        <v>116</v>
      </c>
      <c r="E2818" s="18" t="s">
        <v>74</v>
      </c>
      <c r="F2818" s="18" t="s">
        <v>5633</v>
      </c>
      <c r="G2818" s="18" t="s">
        <v>41</v>
      </c>
      <c r="H2818" s="18" t="s">
        <v>5579</v>
      </c>
      <c r="I2818" s="20" t="s">
        <v>5634</v>
      </c>
      <c r="J2818" s="18" t="s">
        <v>307</v>
      </c>
      <c r="K2818" s="18" t="s">
        <v>24</v>
      </c>
      <c r="L2818" s="18" t="s">
        <v>25</v>
      </c>
      <c r="N2818" s="18" t="s">
        <v>154</v>
      </c>
    </row>
    <row r="2819" spans="1:14" ht="15" customHeight="1" x14ac:dyDescent="0.3">
      <c r="A2819" s="18" t="s">
        <v>5185</v>
      </c>
      <c r="B2819" s="19" t="s">
        <v>15</v>
      </c>
      <c r="C2819" s="18" t="s">
        <v>149</v>
      </c>
      <c r="D2819" s="18" t="s">
        <v>116</v>
      </c>
      <c r="E2819" s="18" t="s">
        <v>74</v>
      </c>
      <c r="F2819" s="18" t="s">
        <v>5635</v>
      </c>
      <c r="G2819" s="18" t="s">
        <v>47</v>
      </c>
      <c r="H2819" s="18" t="s">
        <v>5571</v>
      </c>
      <c r="I2819" s="20" t="s">
        <v>5636</v>
      </c>
      <c r="J2819" s="18" t="s">
        <v>832</v>
      </c>
      <c r="K2819" s="18" t="s">
        <v>24</v>
      </c>
      <c r="L2819" s="18" t="s">
        <v>25</v>
      </c>
      <c r="N2819" s="18" t="s">
        <v>154</v>
      </c>
    </row>
    <row r="2820" spans="1:14" ht="15" customHeight="1" x14ac:dyDescent="0.3">
      <c r="A2820" s="18" t="s">
        <v>5185</v>
      </c>
      <c r="B2820" s="19" t="s">
        <v>15</v>
      </c>
      <c r="C2820" s="18" t="s">
        <v>149</v>
      </c>
      <c r="D2820" s="18" t="s">
        <v>116</v>
      </c>
      <c r="E2820" s="18" t="s">
        <v>74</v>
      </c>
      <c r="F2820" s="18" t="s">
        <v>5637</v>
      </c>
      <c r="G2820" s="18" t="s">
        <v>47</v>
      </c>
      <c r="H2820" s="18" t="s">
        <v>5571</v>
      </c>
      <c r="I2820" s="20" t="s">
        <v>5638</v>
      </c>
      <c r="J2820" s="18" t="s">
        <v>832</v>
      </c>
      <c r="K2820" s="18" t="s">
        <v>24</v>
      </c>
      <c r="L2820" s="18" t="s">
        <v>25</v>
      </c>
      <c r="N2820" s="18" t="s">
        <v>154</v>
      </c>
    </row>
    <row r="2821" spans="1:14" ht="15" customHeight="1" x14ac:dyDescent="0.3">
      <c r="A2821" s="18" t="s">
        <v>5185</v>
      </c>
      <c r="B2821" s="19" t="s">
        <v>15</v>
      </c>
      <c r="C2821" s="18" t="s">
        <v>149</v>
      </c>
      <c r="D2821" s="18" t="s">
        <v>116</v>
      </c>
      <c r="E2821" s="18" t="s">
        <v>74</v>
      </c>
      <c r="F2821" s="18" t="s">
        <v>1508</v>
      </c>
      <c r="G2821" s="18" t="s">
        <v>41</v>
      </c>
      <c r="H2821" s="18" t="s">
        <v>5571</v>
      </c>
      <c r="I2821" s="20" t="s">
        <v>5639</v>
      </c>
      <c r="J2821" s="18" t="s">
        <v>832</v>
      </c>
      <c r="K2821" s="18" t="s">
        <v>24</v>
      </c>
      <c r="L2821" s="18" t="s">
        <v>25</v>
      </c>
      <c r="N2821" s="18" t="s">
        <v>154</v>
      </c>
    </row>
    <row r="2822" spans="1:14" ht="15" customHeight="1" x14ac:dyDescent="0.3">
      <c r="A2822" s="18" t="s">
        <v>5185</v>
      </c>
      <c r="B2822" s="19" t="s">
        <v>15</v>
      </c>
      <c r="C2822" s="18" t="s">
        <v>149</v>
      </c>
      <c r="D2822" s="18" t="s">
        <v>116</v>
      </c>
      <c r="E2822" s="18" t="s">
        <v>74</v>
      </c>
      <c r="F2822" s="18" t="s">
        <v>5640</v>
      </c>
      <c r="G2822" s="18" t="s">
        <v>41</v>
      </c>
      <c r="H2822" s="18" t="s">
        <v>5571</v>
      </c>
      <c r="I2822" s="20" t="s">
        <v>5641</v>
      </c>
      <c r="J2822" s="18" t="s">
        <v>832</v>
      </c>
      <c r="K2822" s="18" t="s">
        <v>24</v>
      </c>
      <c r="L2822" s="18" t="s">
        <v>25</v>
      </c>
      <c r="N2822" s="18" t="s">
        <v>154</v>
      </c>
    </row>
    <row r="2823" spans="1:14" ht="15" customHeight="1" x14ac:dyDescent="0.3">
      <c r="A2823" s="18" t="s">
        <v>5185</v>
      </c>
      <c r="B2823" s="19" t="s">
        <v>15</v>
      </c>
      <c r="C2823" s="18" t="s">
        <v>149</v>
      </c>
      <c r="D2823" s="18" t="s">
        <v>116</v>
      </c>
      <c r="E2823" s="18" t="s">
        <v>74</v>
      </c>
      <c r="F2823" s="18" t="s">
        <v>5642</v>
      </c>
      <c r="G2823" s="18" t="s">
        <v>41</v>
      </c>
      <c r="H2823" s="18" t="s">
        <v>5571</v>
      </c>
      <c r="I2823" s="20" t="s">
        <v>5643</v>
      </c>
      <c r="J2823" s="18" t="s">
        <v>832</v>
      </c>
      <c r="K2823" s="18" t="s">
        <v>24</v>
      </c>
      <c r="L2823" s="18" t="s">
        <v>25</v>
      </c>
      <c r="N2823" s="18" t="s">
        <v>154</v>
      </c>
    </row>
    <row r="2824" spans="1:14" ht="15" customHeight="1" x14ac:dyDescent="0.3">
      <c r="A2824" s="18" t="s">
        <v>5185</v>
      </c>
      <c r="B2824" s="19" t="s">
        <v>15</v>
      </c>
      <c r="C2824" s="18" t="s">
        <v>149</v>
      </c>
      <c r="D2824" s="18" t="s">
        <v>116</v>
      </c>
      <c r="E2824" s="18" t="s">
        <v>74</v>
      </c>
      <c r="F2824" s="18" t="s">
        <v>5644</v>
      </c>
      <c r="G2824" s="18" t="s">
        <v>41</v>
      </c>
      <c r="H2824" s="18" t="s">
        <v>5571</v>
      </c>
      <c r="I2824" s="20" t="s">
        <v>5645</v>
      </c>
      <c r="J2824" s="18" t="s">
        <v>832</v>
      </c>
      <c r="K2824" s="18" t="s">
        <v>24</v>
      </c>
      <c r="L2824" s="18" t="s">
        <v>25</v>
      </c>
      <c r="N2824" s="18" t="s">
        <v>154</v>
      </c>
    </row>
    <row r="2825" spans="1:14" ht="15" customHeight="1" x14ac:dyDescent="0.3">
      <c r="A2825" s="18" t="s">
        <v>5185</v>
      </c>
      <c r="B2825" s="19" t="s">
        <v>15</v>
      </c>
      <c r="C2825" s="18" t="s">
        <v>149</v>
      </c>
      <c r="D2825" s="18" t="s">
        <v>116</v>
      </c>
      <c r="E2825" s="18" t="s">
        <v>74</v>
      </c>
      <c r="F2825" s="18" t="s">
        <v>5646</v>
      </c>
      <c r="G2825" s="18" t="s">
        <v>41</v>
      </c>
      <c r="H2825" s="18" t="s">
        <v>5571</v>
      </c>
      <c r="I2825" s="20" t="s">
        <v>5647</v>
      </c>
      <c r="J2825" s="18" t="s">
        <v>832</v>
      </c>
      <c r="K2825" s="18" t="s">
        <v>24</v>
      </c>
      <c r="L2825" s="18" t="s">
        <v>25</v>
      </c>
      <c r="N2825" s="18" t="s">
        <v>154</v>
      </c>
    </row>
    <row r="2826" spans="1:14" ht="15" customHeight="1" x14ac:dyDescent="0.3">
      <c r="A2826" s="18" t="s">
        <v>5185</v>
      </c>
      <c r="B2826" s="19" t="s">
        <v>15</v>
      </c>
      <c r="C2826" s="18" t="s">
        <v>149</v>
      </c>
      <c r="D2826" s="18" t="s">
        <v>116</v>
      </c>
      <c r="E2826" s="18" t="s">
        <v>74</v>
      </c>
      <c r="F2826" s="18" t="s">
        <v>5648</v>
      </c>
      <c r="G2826" s="18" t="s">
        <v>207</v>
      </c>
      <c r="H2826" s="18" t="s">
        <v>5571</v>
      </c>
      <c r="I2826" s="20" t="s">
        <v>5649</v>
      </c>
      <c r="J2826" s="18" t="s">
        <v>832</v>
      </c>
      <c r="K2826" s="18" t="s">
        <v>24</v>
      </c>
      <c r="L2826" s="18" t="s">
        <v>25</v>
      </c>
      <c r="N2826" s="18" t="s">
        <v>154</v>
      </c>
    </row>
    <row r="2827" spans="1:14" ht="15" customHeight="1" x14ac:dyDescent="0.3">
      <c r="A2827" s="18" t="s">
        <v>5185</v>
      </c>
      <c r="B2827" s="19" t="s">
        <v>15</v>
      </c>
      <c r="C2827" s="18" t="s">
        <v>149</v>
      </c>
      <c r="D2827" s="18" t="s">
        <v>116</v>
      </c>
      <c r="E2827" s="18" t="s">
        <v>74</v>
      </c>
      <c r="F2827" s="18" t="s">
        <v>5650</v>
      </c>
      <c r="G2827" s="18" t="s">
        <v>207</v>
      </c>
      <c r="H2827" s="18" t="s">
        <v>5603</v>
      </c>
      <c r="I2827" s="20" t="s">
        <v>5651</v>
      </c>
      <c r="J2827" s="18" t="s">
        <v>832</v>
      </c>
      <c r="K2827" s="18" t="s">
        <v>24</v>
      </c>
      <c r="L2827" s="18" t="s">
        <v>25</v>
      </c>
      <c r="N2827" s="18" t="s">
        <v>154</v>
      </c>
    </row>
    <row r="2828" spans="1:14" ht="15" customHeight="1" x14ac:dyDescent="0.3">
      <c r="A2828" s="18" t="s">
        <v>5185</v>
      </c>
      <c r="B2828" s="19" t="s">
        <v>15</v>
      </c>
      <c r="C2828" s="18" t="s">
        <v>149</v>
      </c>
      <c r="D2828" s="18" t="s">
        <v>116</v>
      </c>
      <c r="E2828" s="18" t="s">
        <v>74</v>
      </c>
      <c r="F2828" s="18" t="s">
        <v>5652</v>
      </c>
      <c r="G2828" s="18" t="s">
        <v>2921</v>
      </c>
      <c r="H2828" s="18" t="s">
        <v>5195</v>
      </c>
      <c r="I2828" s="20" t="s">
        <v>5653</v>
      </c>
      <c r="J2828" s="18" t="s">
        <v>832</v>
      </c>
      <c r="K2828" s="18" t="s">
        <v>24</v>
      </c>
      <c r="L2828" s="18" t="s">
        <v>25</v>
      </c>
      <c r="N2828" s="18" t="s">
        <v>154</v>
      </c>
    </row>
    <row r="2829" spans="1:14" ht="15" customHeight="1" x14ac:dyDescent="0.3">
      <c r="A2829" s="18" t="s">
        <v>5185</v>
      </c>
      <c r="B2829" s="19" t="s">
        <v>15</v>
      </c>
      <c r="C2829" s="18" t="s">
        <v>149</v>
      </c>
      <c r="D2829" s="18" t="s">
        <v>116</v>
      </c>
      <c r="E2829" s="18" t="s">
        <v>74</v>
      </c>
      <c r="F2829" s="18" t="s">
        <v>5654</v>
      </c>
      <c r="G2829" s="18" t="s">
        <v>51</v>
      </c>
      <c r="H2829" s="18" t="s">
        <v>5579</v>
      </c>
      <c r="I2829" s="20" t="s">
        <v>5655</v>
      </c>
      <c r="J2829" s="18" t="s">
        <v>307</v>
      </c>
      <c r="K2829" s="18" t="s">
        <v>24</v>
      </c>
      <c r="L2829" s="18" t="s">
        <v>25</v>
      </c>
      <c r="N2829" s="18" t="s">
        <v>154</v>
      </c>
    </row>
    <row r="2830" spans="1:14" ht="15" customHeight="1" x14ac:dyDescent="0.3">
      <c r="A2830" s="18" t="s">
        <v>5185</v>
      </c>
      <c r="B2830" s="19" t="s">
        <v>15</v>
      </c>
      <c r="C2830" s="18" t="s">
        <v>539</v>
      </c>
      <c r="D2830" s="18" t="s">
        <v>116</v>
      </c>
      <c r="E2830" s="18" t="s">
        <v>74</v>
      </c>
      <c r="F2830" s="18" t="s">
        <v>5656</v>
      </c>
      <c r="G2830" s="18" t="s">
        <v>913</v>
      </c>
      <c r="H2830" s="18" t="s">
        <v>541</v>
      </c>
      <c r="I2830" s="20" t="s">
        <v>5657</v>
      </c>
      <c r="J2830" s="18" t="s">
        <v>5658</v>
      </c>
      <c r="K2830" s="18" t="s">
        <v>24</v>
      </c>
      <c r="L2830" s="18" t="s">
        <v>25</v>
      </c>
      <c r="N2830" s="18" t="s">
        <v>26</v>
      </c>
    </row>
    <row r="2831" spans="1:14" ht="15" customHeight="1" x14ac:dyDescent="0.3">
      <c r="A2831" s="18" t="s">
        <v>5185</v>
      </c>
      <c r="B2831" s="19" t="s">
        <v>15</v>
      </c>
      <c r="C2831" s="18" t="s">
        <v>149</v>
      </c>
      <c r="D2831" s="18" t="s">
        <v>116</v>
      </c>
      <c r="E2831" s="18" t="s">
        <v>74</v>
      </c>
      <c r="F2831" s="18" t="s">
        <v>5659</v>
      </c>
      <c r="G2831" s="18" t="s">
        <v>536</v>
      </c>
      <c r="H2831" s="18" t="s">
        <v>5603</v>
      </c>
      <c r="I2831" s="20" t="s">
        <v>5660</v>
      </c>
      <c r="J2831" s="18" t="s">
        <v>832</v>
      </c>
      <c r="K2831" s="18" t="s">
        <v>24</v>
      </c>
      <c r="L2831" s="18" t="s">
        <v>25</v>
      </c>
      <c r="N2831" s="18" t="s">
        <v>154</v>
      </c>
    </row>
    <row r="2832" spans="1:14" ht="15" customHeight="1" x14ac:dyDescent="0.3">
      <c r="A2832" s="18" t="s">
        <v>5185</v>
      </c>
      <c r="B2832" s="19" t="s">
        <v>15</v>
      </c>
      <c r="C2832" s="18" t="s">
        <v>149</v>
      </c>
      <c r="D2832" s="18" t="s">
        <v>116</v>
      </c>
      <c r="E2832" s="18" t="s">
        <v>74</v>
      </c>
      <c r="F2832" s="18" t="s">
        <v>5661</v>
      </c>
      <c r="G2832" s="18" t="s">
        <v>298</v>
      </c>
      <c r="H2832" s="18" t="s">
        <v>5195</v>
      </c>
      <c r="I2832" s="20" t="s">
        <v>5662</v>
      </c>
      <c r="J2832" s="18" t="s">
        <v>5574</v>
      </c>
      <c r="K2832" s="18" t="s">
        <v>24</v>
      </c>
      <c r="L2832" s="18" t="s">
        <v>25</v>
      </c>
      <c r="N2832" s="18" t="s">
        <v>154</v>
      </c>
    </row>
    <row r="2833" spans="1:14" ht="15" customHeight="1" x14ac:dyDescent="0.3">
      <c r="A2833" s="18" t="s">
        <v>5185</v>
      </c>
      <c r="B2833" s="19" t="s">
        <v>15</v>
      </c>
      <c r="C2833" s="18" t="s">
        <v>149</v>
      </c>
      <c r="D2833" s="18" t="s">
        <v>116</v>
      </c>
      <c r="E2833" s="18" t="s">
        <v>74</v>
      </c>
      <c r="F2833" s="18" t="s">
        <v>5663</v>
      </c>
      <c r="G2833" s="18" t="s">
        <v>41</v>
      </c>
      <c r="H2833" s="18" t="s">
        <v>5571</v>
      </c>
      <c r="I2833" s="20" t="s">
        <v>5664</v>
      </c>
      <c r="J2833" s="18" t="s">
        <v>832</v>
      </c>
      <c r="K2833" s="18" t="s">
        <v>24</v>
      </c>
      <c r="L2833" s="18" t="s">
        <v>25</v>
      </c>
      <c r="N2833" s="18" t="s">
        <v>154</v>
      </c>
    </row>
    <row r="2834" spans="1:14" ht="15" customHeight="1" x14ac:dyDescent="0.3">
      <c r="A2834" s="18" t="s">
        <v>5185</v>
      </c>
      <c r="B2834" s="19" t="s">
        <v>15</v>
      </c>
      <c r="C2834" s="18" t="s">
        <v>149</v>
      </c>
      <c r="D2834" s="18" t="s">
        <v>116</v>
      </c>
      <c r="E2834" s="18" t="s">
        <v>74</v>
      </c>
      <c r="F2834" s="18" t="s">
        <v>5665</v>
      </c>
      <c r="G2834" s="18" t="s">
        <v>913</v>
      </c>
      <c r="H2834" s="18" t="s">
        <v>5603</v>
      </c>
      <c r="I2834" s="20" t="s">
        <v>5666</v>
      </c>
      <c r="J2834" s="18" t="s">
        <v>832</v>
      </c>
      <c r="K2834" s="18" t="s">
        <v>24</v>
      </c>
      <c r="L2834" s="18" t="s">
        <v>25</v>
      </c>
      <c r="N2834" s="18" t="s">
        <v>154</v>
      </c>
    </row>
    <row r="2835" spans="1:14" ht="15" customHeight="1" x14ac:dyDescent="0.3">
      <c r="A2835" s="18" t="s">
        <v>5185</v>
      </c>
      <c r="B2835" s="19" t="s">
        <v>15</v>
      </c>
      <c r="C2835" s="18" t="s">
        <v>149</v>
      </c>
      <c r="D2835" s="18" t="s">
        <v>116</v>
      </c>
      <c r="E2835" s="18" t="s">
        <v>74</v>
      </c>
      <c r="F2835" s="18" t="s">
        <v>5667</v>
      </c>
      <c r="G2835" s="18" t="s">
        <v>913</v>
      </c>
      <c r="H2835" s="18" t="s">
        <v>5603</v>
      </c>
      <c r="I2835" s="20" t="s">
        <v>5668</v>
      </c>
      <c r="J2835" s="18" t="s">
        <v>832</v>
      </c>
      <c r="K2835" s="18" t="s">
        <v>24</v>
      </c>
      <c r="L2835" s="18" t="s">
        <v>25</v>
      </c>
      <c r="N2835" s="18" t="s">
        <v>154</v>
      </c>
    </row>
    <row r="2836" spans="1:14" ht="15" customHeight="1" x14ac:dyDescent="0.3">
      <c r="A2836" s="18" t="s">
        <v>5185</v>
      </c>
      <c r="B2836" s="19" t="s">
        <v>15</v>
      </c>
      <c r="C2836" s="18" t="s">
        <v>149</v>
      </c>
      <c r="D2836" s="18" t="s">
        <v>116</v>
      </c>
      <c r="E2836" s="18" t="s">
        <v>74</v>
      </c>
      <c r="F2836" s="18" t="s">
        <v>5669</v>
      </c>
      <c r="G2836" s="18" t="s">
        <v>2082</v>
      </c>
      <c r="H2836" s="18" t="s">
        <v>5603</v>
      </c>
      <c r="I2836" s="20" t="s">
        <v>5670</v>
      </c>
      <c r="J2836" s="18" t="s">
        <v>832</v>
      </c>
      <c r="K2836" s="18" t="s">
        <v>293</v>
      </c>
      <c r="L2836" s="18" t="s">
        <v>25</v>
      </c>
      <c r="N2836" s="18" t="s">
        <v>154</v>
      </c>
    </row>
    <row r="2837" spans="1:14" ht="15" customHeight="1" x14ac:dyDescent="0.3">
      <c r="A2837" s="18" t="s">
        <v>5185</v>
      </c>
      <c r="B2837" s="19" t="s">
        <v>15</v>
      </c>
      <c r="C2837" s="18" t="s">
        <v>149</v>
      </c>
      <c r="D2837" s="18" t="s">
        <v>116</v>
      </c>
      <c r="E2837" s="18" t="s">
        <v>74</v>
      </c>
      <c r="F2837" s="18" t="s">
        <v>5671</v>
      </c>
      <c r="G2837" s="18" t="s">
        <v>298</v>
      </c>
      <c r="H2837" s="18" t="s">
        <v>5571</v>
      </c>
      <c r="I2837" s="20" t="s">
        <v>5672</v>
      </c>
      <c r="J2837" s="18" t="s">
        <v>832</v>
      </c>
      <c r="K2837" s="18" t="s">
        <v>24</v>
      </c>
      <c r="L2837" s="18" t="s">
        <v>25</v>
      </c>
      <c r="N2837" s="18" t="s">
        <v>154</v>
      </c>
    </row>
    <row r="2838" spans="1:14" ht="15" customHeight="1" x14ac:dyDescent="0.3">
      <c r="A2838" s="18" t="s">
        <v>5185</v>
      </c>
      <c r="B2838" s="19" t="s">
        <v>15</v>
      </c>
      <c r="C2838" s="18" t="s">
        <v>149</v>
      </c>
      <c r="D2838" s="18" t="s">
        <v>116</v>
      </c>
      <c r="E2838" s="18" t="s">
        <v>74</v>
      </c>
      <c r="F2838" s="18" t="s">
        <v>5673</v>
      </c>
      <c r="G2838" s="18" t="s">
        <v>536</v>
      </c>
      <c r="H2838" s="18" t="s">
        <v>5603</v>
      </c>
      <c r="I2838" s="20" t="s">
        <v>5674</v>
      </c>
      <c r="J2838" s="18" t="s">
        <v>832</v>
      </c>
      <c r="K2838" s="18" t="s">
        <v>24</v>
      </c>
      <c r="L2838" s="18" t="s">
        <v>25</v>
      </c>
      <c r="N2838" s="18" t="s">
        <v>154</v>
      </c>
    </row>
    <row r="2839" spans="1:14" ht="15" customHeight="1" x14ac:dyDescent="0.3">
      <c r="A2839" s="18" t="s">
        <v>5185</v>
      </c>
      <c r="B2839" s="19" t="s">
        <v>15</v>
      </c>
      <c r="C2839" s="18" t="s">
        <v>5187</v>
      </c>
      <c r="D2839" s="18" t="s">
        <v>116</v>
      </c>
      <c r="E2839" s="18" t="s">
        <v>74</v>
      </c>
      <c r="F2839" s="18" t="s">
        <v>5675</v>
      </c>
      <c r="G2839" s="18" t="s">
        <v>28</v>
      </c>
      <c r="H2839" s="18" t="s">
        <v>5587</v>
      </c>
      <c r="I2839" s="20" t="s">
        <v>5676</v>
      </c>
      <c r="J2839" s="18" t="s">
        <v>832</v>
      </c>
      <c r="K2839" s="18" t="s">
        <v>24</v>
      </c>
      <c r="L2839" s="18" t="s">
        <v>25</v>
      </c>
      <c r="N2839" s="18" t="s">
        <v>973</v>
      </c>
    </row>
    <row r="2840" spans="1:14" ht="15" customHeight="1" x14ac:dyDescent="0.3">
      <c r="A2840" s="18" t="s">
        <v>5677</v>
      </c>
      <c r="B2840" s="19" t="s">
        <v>15</v>
      </c>
      <c r="C2840" s="18" t="s">
        <v>210</v>
      </c>
      <c r="D2840" s="18" t="s">
        <v>17</v>
      </c>
      <c r="E2840" s="18" t="s">
        <v>117</v>
      </c>
      <c r="F2840" s="18" t="s">
        <v>1920</v>
      </c>
      <c r="G2840" s="18" t="s">
        <v>207</v>
      </c>
      <c r="H2840" s="18" t="s">
        <v>5678</v>
      </c>
      <c r="I2840" s="20" t="s">
        <v>5679</v>
      </c>
      <c r="J2840" s="18" t="s">
        <v>58</v>
      </c>
      <c r="K2840" s="18" t="s">
        <v>24</v>
      </c>
      <c r="L2840" s="18" t="s">
        <v>25</v>
      </c>
      <c r="N2840" s="18" t="s">
        <v>26</v>
      </c>
    </row>
    <row r="2841" spans="1:14" ht="15" customHeight="1" x14ac:dyDescent="0.3">
      <c r="A2841" s="18" t="s">
        <v>5677</v>
      </c>
      <c r="B2841" s="19" t="s">
        <v>15</v>
      </c>
      <c r="C2841" s="18" t="s">
        <v>210</v>
      </c>
      <c r="D2841" s="18" t="s">
        <v>17</v>
      </c>
      <c r="E2841" s="18" t="s">
        <v>117</v>
      </c>
      <c r="F2841" s="18" t="s">
        <v>2315</v>
      </c>
      <c r="G2841" s="18" t="s">
        <v>41</v>
      </c>
      <c r="H2841" s="18" t="s">
        <v>5678</v>
      </c>
      <c r="I2841" s="20" t="s">
        <v>5680</v>
      </c>
      <c r="J2841" s="18" t="s">
        <v>58</v>
      </c>
      <c r="K2841" s="18" t="s">
        <v>24</v>
      </c>
      <c r="L2841" s="18" t="s">
        <v>25</v>
      </c>
      <c r="N2841" s="18" t="s">
        <v>26</v>
      </c>
    </row>
    <row r="2842" spans="1:14" ht="15" customHeight="1" x14ac:dyDescent="0.3">
      <c r="A2842" s="18" t="s">
        <v>5677</v>
      </c>
      <c r="B2842" s="19" t="s">
        <v>15</v>
      </c>
      <c r="C2842" s="18" t="s">
        <v>210</v>
      </c>
      <c r="D2842" s="18" t="s">
        <v>17</v>
      </c>
      <c r="E2842" s="18" t="s">
        <v>117</v>
      </c>
      <c r="F2842" s="18" t="s">
        <v>1318</v>
      </c>
      <c r="G2842" s="18" t="s">
        <v>207</v>
      </c>
      <c r="H2842" s="18" t="s">
        <v>5678</v>
      </c>
      <c r="I2842" s="20" t="s">
        <v>5681</v>
      </c>
      <c r="J2842" s="18" t="s">
        <v>58</v>
      </c>
      <c r="K2842" s="18" t="s">
        <v>24</v>
      </c>
      <c r="L2842" s="18" t="s">
        <v>25</v>
      </c>
      <c r="N2842" s="18" t="s">
        <v>26</v>
      </c>
    </row>
    <row r="2843" spans="1:14" ht="15" customHeight="1" x14ac:dyDescent="0.3">
      <c r="A2843" s="18" t="s">
        <v>5677</v>
      </c>
      <c r="B2843" s="19" t="s">
        <v>15</v>
      </c>
      <c r="C2843" s="18" t="s">
        <v>210</v>
      </c>
      <c r="D2843" s="18" t="s">
        <v>17</v>
      </c>
      <c r="E2843" s="18" t="s">
        <v>18</v>
      </c>
      <c r="F2843" s="18" t="s">
        <v>1086</v>
      </c>
      <c r="G2843" s="18" t="s">
        <v>207</v>
      </c>
      <c r="H2843" s="18" t="s">
        <v>5678</v>
      </c>
      <c r="I2843" s="20" t="s">
        <v>5682</v>
      </c>
      <c r="J2843" s="18" t="s">
        <v>30</v>
      </c>
      <c r="K2843" s="18" t="s">
        <v>293</v>
      </c>
      <c r="L2843" s="18" t="s">
        <v>25</v>
      </c>
      <c r="N2843" s="18" t="s">
        <v>26</v>
      </c>
    </row>
    <row r="2844" spans="1:14" ht="15" customHeight="1" x14ac:dyDescent="0.3">
      <c r="A2844" s="18" t="s">
        <v>5677</v>
      </c>
      <c r="B2844" s="19" t="s">
        <v>15</v>
      </c>
      <c r="C2844" s="18" t="s">
        <v>149</v>
      </c>
      <c r="D2844" s="18" t="s">
        <v>17</v>
      </c>
      <c r="E2844" s="18" t="s">
        <v>18</v>
      </c>
      <c r="F2844" s="18" t="s">
        <v>5683</v>
      </c>
      <c r="G2844" s="18" t="s">
        <v>207</v>
      </c>
      <c r="H2844" s="18" t="s">
        <v>5684</v>
      </c>
      <c r="I2844" s="20" t="s">
        <v>5685</v>
      </c>
      <c r="J2844" s="18" t="s">
        <v>30</v>
      </c>
      <c r="K2844" s="18" t="s">
        <v>91</v>
      </c>
      <c r="L2844" s="18" t="s">
        <v>25</v>
      </c>
      <c r="N2844" s="18" t="s">
        <v>154</v>
      </c>
    </row>
    <row r="2845" spans="1:14" ht="15" customHeight="1" x14ac:dyDescent="0.3">
      <c r="A2845" s="18" t="s">
        <v>5677</v>
      </c>
      <c r="B2845" s="19" t="s">
        <v>15</v>
      </c>
      <c r="C2845" s="18" t="s">
        <v>149</v>
      </c>
      <c r="D2845" s="18" t="s">
        <v>17</v>
      </c>
      <c r="E2845" s="18" t="s">
        <v>18</v>
      </c>
      <c r="F2845" s="18" t="s">
        <v>3874</v>
      </c>
      <c r="G2845" s="18" t="s">
        <v>41</v>
      </c>
      <c r="H2845" s="18" t="s">
        <v>5686</v>
      </c>
      <c r="I2845" s="20" t="s">
        <v>5687</v>
      </c>
      <c r="J2845" s="18" t="s">
        <v>30</v>
      </c>
      <c r="K2845" s="18" t="s">
        <v>24</v>
      </c>
      <c r="L2845" s="18" t="s">
        <v>25</v>
      </c>
      <c r="N2845" s="18" t="s">
        <v>154</v>
      </c>
    </row>
    <row r="2846" spans="1:14" ht="15" customHeight="1" x14ac:dyDescent="0.3">
      <c r="A2846" s="18" t="s">
        <v>5677</v>
      </c>
      <c r="B2846" s="19" t="s">
        <v>15</v>
      </c>
      <c r="C2846" s="18" t="s">
        <v>149</v>
      </c>
      <c r="D2846" s="18" t="s">
        <v>17</v>
      </c>
      <c r="E2846" s="18" t="s">
        <v>18</v>
      </c>
      <c r="F2846" s="18" t="s">
        <v>1832</v>
      </c>
      <c r="G2846" s="18" t="s">
        <v>207</v>
      </c>
      <c r="H2846" s="18" t="s">
        <v>5686</v>
      </c>
      <c r="I2846" s="20" t="s">
        <v>5688</v>
      </c>
      <c r="J2846" s="18" t="s">
        <v>30</v>
      </c>
      <c r="K2846" s="18" t="s">
        <v>24</v>
      </c>
      <c r="L2846" s="18" t="s">
        <v>25</v>
      </c>
      <c r="N2846" s="18" t="s">
        <v>154</v>
      </c>
    </row>
    <row r="2847" spans="1:14" ht="15" customHeight="1" x14ac:dyDescent="0.3">
      <c r="A2847" s="18" t="s">
        <v>5677</v>
      </c>
      <c r="B2847" s="19" t="s">
        <v>15</v>
      </c>
      <c r="C2847" s="18" t="s">
        <v>149</v>
      </c>
      <c r="D2847" s="18" t="s">
        <v>17</v>
      </c>
      <c r="E2847" s="18" t="s">
        <v>18</v>
      </c>
      <c r="F2847" s="18" t="s">
        <v>5689</v>
      </c>
      <c r="G2847" s="18" t="s">
        <v>41</v>
      </c>
      <c r="H2847" s="18" t="s">
        <v>5686</v>
      </c>
      <c r="I2847" s="20" t="s">
        <v>5690</v>
      </c>
      <c r="J2847" s="18" t="s">
        <v>30</v>
      </c>
      <c r="K2847" s="18" t="s">
        <v>24</v>
      </c>
      <c r="L2847" s="18" t="s">
        <v>25</v>
      </c>
      <c r="N2847" s="18" t="s">
        <v>154</v>
      </c>
    </row>
    <row r="2848" spans="1:14" ht="15" customHeight="1" x14ac:dyDescent="0.3">
      <c r="A2848" s="18" t="s">
        <v>5677</v>
      </c>
      <c r="B2848" s="19" t="s">
        <v>15</v>
      </c>
      <c r="C2848" s="18" t="s">
        <v>210</v>
      </c>
      <c r="D2848" s="18" t="s">
        <v>17</v>
      </c>
      <c r="E2848" s="18" t="s">
        <v>55</v>
      </c>
      <c r="F2848" s="18" t="s">
        <v>1086</v>
      </c>
      <c r="G2848" s="18" t="s">
        <v>207</v>
      </c>
      <c r="H2848" s="18" t="s">
        <v>5678</v>
      </c>
      <c r="I2848" s="20" t="s">
        <v>5691</v>
      </c>
      <c r="J2848" s="18" t="s">
        <v>58</v>
      </c>
      <c r="K2848" s="18" t="s">
        <v>24</v>
      </c>
      <c r="L2848" s="18" t="s">
        <v>25</v>
      </c>
      <c r="N2848" s="18" t="s">
        <v>26</v>
      </c>
    </row>
    <row r="2849" spans="1:14" ht="15" customHeight="1" x14ac:dyDescent="0.3">
      <c r="A2849" s="18" t="s">
        <v>5677</v>
      </c>
      <c r="B2849" s="19" t="s">
        <v>15</v>
      </c>
      <c r="C2849" s="18" t="s">
        <v>210</v>
      </c>
      <c r="D2849" s="18" t="s">
        <v>17</v>
      </c>
      <c r="E2849" s="18" t="s">
        <v>55</v>
      </c>
      <c r="F2849" s="18" t="s">
        <v>5683</v>
      </c>
      <c r="G2849" s="18" t="s">
        <v>207</v>
      </c>
      <c r="H2849" s="18" t="s">
        <v>5678</v>
      </c>
      <c r="I2849" s="20" t="s">
        <v>5692</v>
      </c>
      <c r="J2849" s="18" t="s">
        <v>58</v>
      </c>
      <c r="K2849" s="18" t="s">
        <v>91</v>
      </c>
      <c r="L2849" s="18" t="s">
        <v>25</v>
      </c>
      <c r="N2849" s="18" t="s">
        <v>26</v>
      </c>
    </row>
    <row r="2850" spans="1:14" ht="15" customHeight="1" x14ac:dyDescent="0.3">
      <c r="A2850" s="18" t="s">
        <v>5677</v>
      </c>
      <c r="B2850" s="19" t="s">
        <v>15</v>
      </c>
      <c r="C2850" s="18" t="s">
        <v>210</v>
      </c>
      <c r="D2850" s="18" t="s">
        <v>17</v>
      </c>
      <c r="E2850" s="18" t="s">
        <v>55</v>
      </c>
      <c r="F2850" s="18" t="s">
        <v>3874</v>
      </c>
      <c r="G2850" s="18" t="s">
        <v>41</v>
      </c>
      <c r="H2850" s="18" t="s">
        <v>5678</v>
      </c>
      <c r="I2850" s="20" t="s">
        <v>5693</v>
      </c>
      <c r="J2850" s="18" t="s">
        <v>58</v>
      </c>
      <c r="K2850" s="18" t="s">
        <v>24</v>
      </c>
      <c r="L2850" s="18" t="s">
        <v>25</v>
      </c>
      <c r="N2850" s="18" t="s">
        <v>26</v>
      </c>
    </row>
    <row r="2851" spans="1:14" ht="15" customHeight="1" x14ac:dyDescent="0.3">
      <c r="A2851" s="18" t="s">
        <v>5677</v>
      </c>
      <c r="B2851" s="19" t="s">
        <v>15</v>
      </c>
      <c r="C2851" s="18" t="s">
        <v>149</v>
      </c>
      <c r="D2851" s="18" t="s">
        <v>17</v>
      </c>
      <c r="E2851" s="18" t="s">
        <v>55</v>
      </c>
      <c r="F2851" s="18" t="s">
        <v>5694</v>
      </c>
      <c r="G2851" s="18" t="s">
        <v>41</v>
      </c>
      <c r="H2851" s="18" t="s">
        <v>5684</v>
      </c>
      <c r="I2851" s="20" t="s">
        <v>5695</v>
      </c>
      <c r="J2851" s="18" t="s">
        <v>58</v>
      </c>
      <c r="K2851" s="18" t="s">
        <v>91</v>
      </c>
      <c r="L2851" s="18" t="s">
        <v>25</v>
      </c>
      <c r="N2851" s="18" t="s">
        <v>154</v>
      </c>
    </row>
    <row r="2852" spans="1:14" ht="15" customHeight="1" x14ac:dyDescent="0.3">
      <c r="A2852" s="18" t="s">
        <v>5677</v>
      </c>
      <c r="B2852" s="19" t="s">
        <v>15</v>
      </c>
      <c r="C2852" s="18" t="s">
        <v>149</v>
      </c>
      <c r="D2852" s="18" t="s">
        <v>17</v>
      </c>
      <c r="E2852" s="18" t="s">
        <v>55</v>
      </c>
      <c r="F2852" s="18" t="s">
        <v>5696</v>
      </c>
      <c r="G2852" s="18" t="s">
        <v>28</v>
      </c>
      <c r="H2852" s="18" t="s">
        <v>5686</v>
      </c>
      <c r="I2852" s="20" t="s">
        <v>5697</v>
      </c>
      <c r="J2852" s="18" t="s">
        <v>58</v>
      </c>
      <c r="K2852" s="18" t="s">
        <v>24</v>
      </c>
      <c r="L2852" s="18" t="s">
        <v>25</v>
      </c>
      <c r="N2852" s="18" t="s">
        <v>154</v>
      </c>
    </row>
    <row r="2853" spans="1:14" ht="15" customHeight="1" x14ac:dyDescent="0.3">
      <c r="A2853" s="18" t="s">
        <v>5677</v>
      </c>
      <c r="B2853" s="19" t="s">
        <v>15</v>
      </c>
      <c r="C2853" s="18" t="s">
        <v>210</v>
      </c>
      <c r="D2853" s="18" t="s">
        <v>17</v>
      </c>
      <c r="E2853" s="18" t="s">
        <v>55</v>
      </c>
      <c r="F2853" s="18" t="s">
        <v>5698</v>
      </c>
      <c r="G2853" s="18" t="s">
        <v>207</v>
      </c>
      <c r="H2853" s="18" t="s">
        <v>5678</v>
      </c>
      <c r="I2853" s="20" t="s">
        <v>5699</v>
      </c>
      <c r="J2853" s="18" t="s">
        <v>58</v>
      </c>
      <c r="K2853" s="18" t="s">
        <v>91</v>
      </c>
      <c r="L2853" s="18" t="s">
        <v>25</v>
      </c>
      <c r="N2853" s="18" t="s">
        <v>26</v>
      </c>
    </row>
    <row r="2854" spans="1:14" ht="15" customHeight="1" x14ac:dyDescent="0.3">
      <c r="A2854" s="18" t="s">
        <v>5677</v>
      </c>
      <c r="B2854" s="19" t="s">
        <v>15</v>
      </c>
      <c r="C2854" s="18" t="s">
        <v>210</v>
      </c>
      <c r="D2854" s="18" t="s">
        <v>17</v>
      </c>
      <c r="E2854" s="18" t="s">
        <v>55</v>
      </c>
      <c r="F2854" s="18" t="s">
        <v>1832</v>
      </c>
      <c r="G2854" s="18" t="s">
        <v>207</v>
      </c>
      <c r="H2854" s="18" t="s">
        <v>5678</v>
      </c>
      <c r="I2854" s="20" t="s">
        <v>5700</v>
      </c>
      <c r="J2854" s="18" t="s">
        <v>58</v>
      </c>
      <c r="K2854" s="18" t="s">
        <v>24</v>
      </c>
      <c r="L2854" s="18" t="s">
        <v>25</v>
      </c>
      <c r="N2854" s="18" t="s">
        <v>26</v>
      </c>
    </row>
    <row r="2855" spans="1:14" ht="15" customHeight="1" x14ac:dyDescent="0.3">
      <c r="A2855" s="18" t="s">
        <v>5677</v>
      </c>
      <c r="B2855" s="19" t="s">
        <v>15</v>
      </c>
      <c r="C2855" s="18" t="s">
        <v>149</v>
      </c>
      <c r="D2855" s="18" t="s">
        <v>17</v>
      </c>
      <c r="E2855" s="18" t="s">
        <v>55</v>
      </c>
      <c r="F2855" s="18" t="s">
        <v>5701</v>
      </c>
      <c r="G2855" s="18" t="s">
        <v>207</v>
      </c>
      <c r="H2855" s="18" t="s">
        <v>5684</v>
      </c>
      <c r="I2855" s="20" t="s">
        <v>5702</v>
      </c>
      <c r="J2855" s="18" t="s">
        <v>199</v>
      </c>
      <c r="K2855" s="18" t="s">
        <v>91</v>
      </c>
      <c r="L2855" s="18" t="s">
        <v>25</v>
      </c>
      <c r="N2855" s="18" t="s">
        <v>154</v>
      </c>
    </row>
    <row r="2856" spans="1:14" ht="15" customHeight="1" x14ac:dyDescent="0.3">
      <c r="A2856" s="18" t="s">
        <v>5677</v>
      </c>
      <c r="B2856" s="19" t="s">
        <v>15</v>
      </c>
      <c r="C2856" s="18" t="s">
        <v>210</v>
      </c>
      <c r="D2856" s="18" t="s">
        <v>17</v>
      </c>
      <c r="E2856" s="18" t="s">
        <v>55</v>
      </c>
      <c r="F2856" s="18" t="s">
        <v>5703</v>
      </c>
      <c r="G2856" s="18" t="s">
        <v>207</v>
      </c>
      <c r="H2856" s="18" t="s">
        <v>5678</v>
      </c>
      <c r="I2856" s="20" t="s">
        <v>5704</v>
      </c>
      <c r="J2856" s="18" t="s">
        <v>199</v>
      </c>
      <c r="K2856" s="18" t="s">
        <v>91</v>
      </c>
      <c r="L2856" s="18" t="s">
        <v>25</v>
      </c>
      <c r="N2856" s="18" t="s">
        <v>26</v>
      </c>
    </row>
    <row r="2857" spans="1:14" ht="15" customHeight="1" x14ac:dyDescent="0.3">
      <c r="A2857" s="18" t="s">
        <v>5677</v>
      </c>
      <c r="B2857" s="19" t="s">
        <v>15</v>
      </c>
      <c r="C2857" s="18" t="s">
        <v>149</v>
      </c>
      <c r="D2857" s="18" t="s">
        <v>17</v>
      </c>
      <c r="E2857" s="18" t="s">
        <v>55</v>
      </c>
      <c r="F2857" s="18" t="s">
        <v>5689</v>
      </c>
      <c r="G2857" s="18" t="s">
        <v>41</v>
      </c>
      <c r="H2857" s="18" t="s">
        <v>5686</v>
      </c>
      <c r="I2857" s="20" t="s">
        <v>5705</v>
      </c>
      <c r="J2857" s="18" t="s">
        <v>58</v>
      </c>
      <c r="K2857" s="18" t="s">
        <v>24</v>
      </c>
      <c r="L2857" s="18" t="s">
        <v>25</v>
      </c>
      <c r="N2857" s="18" t="s">
        <v>154</v>
      </c>
    </row>
    <row r="2858" spans="1:14" ht="15" customHeight="1" x14ac:dyDescent="0.3">
      <c r="A2858" s="18" t="s">
        <v>5677</v>
      </c>
      <c r="B2858" s="19" t="s">
        <v>15</v>
      </c>
      <c r="C2858" s="18" t="s">
        <v>4121</v>
      </c>
      <c r="D2858" s="18" t="s">
        <v>17</v>
      </c>
      <c r="E2858" s="18" t="s">
        <v>74</v>
      </c>
      <c r="F2858" s="18" t="s">
        <v>5706</v>
      </c>
      <c r="G2858" s="18" t="s">
        <v>47</v>
      </c>
      <c r="H2858" s="18" t="s">
        <v>5707</v>
      </c>
      <c r="I2858" s="20" t="s">
        <v>5708</v>
      </c>
      <c r="J2858" s="18" t="s">
        <v>5709</v>
      </c>
      <c r="K2858" s="18" t="s">
        <v>293</v>
      </c>
      <c r="L2858" s="18" t="s">
        <v>25</v>
      </c>
      <c r="N2858" s="18" t="s">
        <v>26</v>
      </c>
    </row>
    <row r="2859" spans="1:14" ht="15" customHeight="1" x14ac:dyDescent="0.3">
      <c r="A2859" s="18" t="s">
        <v>5677</v>
      </c>
      <c r="B2859" s="19" t="s">
        <v>15</v>
      </c>
      <c r="C2859" s="18" t="s">
        <v>149</v>
      </c>
      <c r="D2859" s="18" t="s">
        <v>17</v>
      </c>
      <c r="E2859" s="18" t="s">
        <v>74</v>
      </c>
      <c r="F2859" s="18" t="s">
        <v>5710</v>
      </c>
      <c r="G2859" s="18" t="s">
        <v>207</v>
      </c>
      <c r="H2859" s="18" t="s">
        <v>5686</v>
      </c>
      <c r="I2859" s="20" t="s">
        <v>5711</v>
      </c>
      <c r="J2859" s="18" t="s">
        <v>5712</v>
      </c>
      <c r="K2859" s="18" t="s">
        <v>24</v>
      </c>
      <c r="L2859" s="18" t="s">
        <v>25</v>
      </c>
      <c r="N2859" s="18" t="s">
        <v>154</v>
      </c>
    </row>
    <row r="2860" spans="1:14" ht="15" customHeight="1" x14ac:dyDescent="0.3">
      <c r="A2860" s="18" t="s">
        <v>5677</v>
      </c>
      <c r="B2860" s="19" t="s">
        <v>15</v>
      </c>
      <c r="C2860" s="18" t="s">
        <v>4121</v>
      </c>
      <c r="D2860" s="18" t="s">
        <v>17</v>
      </c>
      <c r="E2860" s="18" t="s">
        <v>74</v>
      </c>
      <c r="F2860" s="18" t="s">
        <v>1990</v>
      </c>
      <c r="G2860" s="18" t="s">
        <v>207</v>
      </c>
      <c r="H2860" s="18" t="s">
        <v>5707</v>
      </c>
      <c r="I2860" s="20" t="s">
        <v>5713</v>
      </c>
      <c r="J2860" s="18" t="s">
        <v>5712</v>
      </c>
      <c r="K2860" s="18" t="s">
        <v>293</v>
      </c>
      <c r="L2860" s="18" t="s">
        <v>25</v>
      </c>
      <c r="N2860" s="18" t="s">
        <v>26</v>
      </c>
    </row>
    <row r="2861" spans="1:14" ht="15" customHeight="1" x14ac:dyDescent="0.3">
      <c r="A2861" s="18" t="s">
        <v>5677</v>
      </c>
      <c r="B2861" s="19" t="s">
        <v>15</v>
      </c>
      <c r="C2861" s="18" t="s">
        <v>149</v>
      </c>
      <c r="D2861" s="18" t="s">
        <v>17</v>
      </c>
      <c r="E2861" s="18" t="s">
        <v>74</v>
      </c>
      <c r="F2861" s="18" t="s">
        <v>5714</v>
      </c>
      <c r="G2861" s="18" t="s">
        <v>41</v>
      </c>
      <c r="H2861" s="18" t="s">
        <v>5686</v>
      </c>
      <c r="I2861" s="20" t="s">
        <v>5715</v>
      </c>
      <c r="J2861" s="18" t="s">
        <v>5712</v>
      </c>
      <c r="K2861" s="18" t="s">
        <v>293</v>
      </c>
      <c r="L2861" s="18" t="s">
        <v>25</v>
      </c>
      <c r="N2861" s="18" t="s">
        <v>154</v>
      </c>
    </row>
    <row r="2862" spans="1:14" ht="15" customHeight="1" x14ac:dyDescent="0.3">
      <c r="A2862" s="18" t="s">
        <v>5677</v>
      </c>
      <c r="B2862" s="19" t="s">
        <v>15</v>
      </c>
      <c r="C2862" s="18" t="s">
        <v>4121</v>
      </c>
      <c r="D2862" s="18" t="s">
        <v>17</v>
      </c>
      <c r="E2862" s="18" t="s">
        <v>74</v>
      </c>
      <c r="F2862" s="18" t="s">
        <v>5716</v>
      </c>
      <c r="G2862" s="18" t="s">
        <v>207</v>
      </c>
      <c r="H2862" s="18" t="s">
        <v>5707</v>
      </c>
      <c r="I2862" s="20" t="s">
        <v>5717</v>
      </c>
      <c r="J2862" s="18" t="s">
        <v>894</v>
      </c>
      <c r="K2862" s="18" t="s">
        <v>293</v>
      </c>
      <c r="L2862" s="18" t="s">
        <v>25</v>
      </c>
      <c r="N2862" s="18" t="s">
        <v>26</v>
      </c>
    </row>
    <row r="2863" spans="1:14" ht="15" customHeight="1" x14ac:dyDescent="0.3">
      <c r="A2863" s="18" t="s">
        <v>5677</v>
      </c>
      <c r="B2863" s="19" t="s">
        <v>15</v>
      </c>
      <c r="C2863" s="18" t="s">
        <v>4121</v>
      </c>
      <c r="D2863" s="18" t="s">
        <v>17</v>
      </c>
      <c r="E2863" s="18" t="s">
        <v>74</v>
      </c>
      <c r="F2863" s="18" t="s">
        <v>5718</v>
      </c>
      <c r="G2863" s="18" t="s">
        <v>47</v>
      </c>
      <c r="H2863" s="18" t="s">
        <v>5707</v>
      </c>
      <c r="I2863" s="20" t="s">
        <v>5719</v>
      </c>
      <c r="J2863" s="18" t="s">
        <v>5712</v>
      </c>
      <c r="K2863" s="18" t="s">
        <v>293</v>
      </c>
      <c r="L2863" s="18" t="s">
        <v>25</v>
      </c>
      <c r="N2863" s="18" t="s">
        <v>26</v>
      </c>
    </row>
    <row r="2864" spans="1:14" ht="15" customHeight="1" x14ac:dyDescent="0.3">
      <c r="A2864" s="18" t="s">
        <v>5677</v>
      </c>
      <c r="B2864" s="19" t="s">
        <v>15</v>
      </c>
      <c r="C2864" s="18" t="s">
        <v>4121</v>
      </c>
      <c r="D2864" s="18" t="s">
        <v>17</v>
      </c>
      <c r="E2864" s="18" t="s">
        <v>74</v>
      </c>
      <c r="F2864" s="18" t="s">
        <v>5720</v>
      </c>
      <c r="G2864" s="18" t="s">
        <v>207</v>
      </c>
      <c r="H2864" s="18" t="s">
        <v>5707</v>
      </c>
      <c r="I2864" s="20" t="s">
        <v>5721</v>
      </c>
      <c r="J2864" s="18" t="s">
        <v>5722</v>
      </c>
      <c r="K2864" s="18" t="s">
        <v>293</v>
      </c>
      <c r="L2864" s="18" t="s">
        <v>25</v>
      </c>
      <c r="N2864" s="18" t="s">
        <v>26</v>
      </c>
    </row>
    <row r="2865" spans="1:14" ht="15" customHeight="1" x14ac:dyDescent="0.3">
      <c r="A2865" s="18" t="s">
        <v>5677</v>
      </c>
      <c r="B2865" s="19" t="s">
        <v>15</v>
      </c>
      <c r="C2865" s="18" t="s">
        <v>4121</v>
      </c>
      <c r="D2865" s="18" t="s">
        <v>17</v>
      </c>
      <c r="E2865" s="18" t="s">
        <v>74</v>
      </c>
      <c r="F2865" s="18" t="s">
        <v>5723</v>
      </c>
      <c r="G2865" s="18" t="s">
        <v>536</v>
      </c>
      <c r="H2865" s="18" t="s">
        <v>5707</v>
      </c>
      <c r="I2865" s="20" t="s">
        <v>5724</v>
      </c>
      <c r="J2865" s="18" t="s">
        <v>5712</v>
      </c>
      <c r="K2865" s="18" t="s">
        <v>293</v>
      </c>
      <c r="L2865" s="18" t="s">
        <v>25</v>
      </c>
      <c r="N2865" s="18" t="s">
        <v>26</v>
      </c>
    </row>
    <row r="2866" spans="1:14" ht="15" customHeight="1" x14ac:dyDescent="0.3">
      <c r="A2866" s="18" t="s">
        <v>5677</v>
      </c>
      <c r="B2866" s="19" t="s">
        <v>15</v>
      </c>
      <c r="C2866" s="18" t="s">
        <v>4121</v>
      </c>
      <c r="D2866" s="18" t="s">
        <v>17</v>
      </c>
      <c r="E2866" s="18" t="s">
        <v>74</v>
      </c>
      <c r="F2866" s="18" t="s">
        <v>5725</v>
      </c>
      <c r="G2866" s="18" t="s">
        <v>207</v>
      </c>
      <c r="H2866" s="18" t="s">
        <v>5707</v>
      </c>
      <c r="I2866" s="20" t="s">
        <v>5726</v>
      </c>
      <c r="J2866" s="18" t="s">
        <v>5712</v>
      </c>
      <c r="K2866" s="18" t="s">
        <v>293</v>
      </c>
      <c r="L2866" s="18" t="s">
        <v>25</v>
      </c>
      <c r="N2866" s="18" t="s">
        <v>26</v>
      </c>
    </row>
    <row r="2867" spans="1:14" ht="15" customHeight="1" x14ac:dyDescent="0.3">
      <c r="A2867" s="18" t="s">
        <v>5677</v>
      </c>
      <c r="B2867" s="19" t="s">
        <v>15</v>
      </c>
      <c r="C2867" s="18" t="s">
        <v>149</v>
      </c>
      <c r="D2867" s="18" t="s">
        <v>17</v>
      </c>
      <c r="E2867" s="18" t="s">
        <v>74</v>
      </c>
      <c r="F2867" s="18" t="s">
        <v>5727</v>
      </c>
      <c r="G2867" s="18" t="s">
        <v>207</v>
      </c>
      <c r="H2867" s="18" t="s">
        <v>5686</v>
      </c>
      <c r="I2867" s="20" t="s">
        <v>5728</v>
      </c>
      <c r="J2867" s="18" t="s">
        <v>5712</v>
      </c>
      <c r="K2867" s="18" t="s">
        <v>293</v>
      </c>
      <c r="L2867" s="18" t="s">
        <v>25</v>
      </c>
      <c r="N2867" s="18" t="s">
        <v>154</v>
      </c>
    </row>
    <row r="2868" spans="1:14" ht="15" customHeight="1" x14ac:dyDescent="0.3">
      <c r="A2868" s="18" t="s">
        <v>5677</v>
      </c>
      <c r="B2868" s="19" t="s">
        <v>15</v>
      </c>
      <c r="C2868" s="18" t="s">
        <v>149</v>
      </c>
      <c r="D2868" s="18" t="s">
        <v>17</v>
      </c>
      <c r="E2868" s="18" t="s">
        <v>74</v>
      </c>
      <c r="F2868" s="18" t="s">
        <v>5729</v>
      </c>
      <c r="G2868" s="18" t="s">
        <v>47</v>
      </c>
      <c r="H2868" s="18" t="s">
        <v>5730</v>
      </c>
      <c r="I2868" s="20" t="s">
        <v>5731</v>
      </c>
      <c r="J2868" s="18" t="s">
        <v>5732</v>
      </c>
      <c r="K2868" s="18" t="s">
        <v>293</v>
      </c>
      <c r="L2868" s="18" t="s">
        <v>25</v>
      </c>
      <c r="N2868" s="18" t="s">
        <v>154</v>
      </c>
    </row>
    <row r="2869" spans="1:14" ht="15" customHeight="1" x14ac:dyDescent="0.3">
      <c r="A2869" s="18" t="s">
        <v>5733</v>
      </c>
      <c r="B2869" s="19" t="s">
        <v>15</v>
      </c>
      <c r="C2869" s="18" t="s">
        <v>5734</v>
      </c>
      <c r="D2869" s="18" t="s">
        <v>17</v>
      </c>
      <c r="E2869" s="18" t="s">
        <v>117</v>
      </c>
      <c r="F2869" s="18" t="s">
        <v>5735</v>
      </c>
      <c r="G2869" s="18" t="s">
        <v>1075</v>
      </c>
      <c r="H2869" s="18" t="s">
        <v>5736</v>
      </c>
      <c r="I2869" s="20" t="s">
        <v>5737</v>
      </c>
      <c r="J2869" s="18" t="s">
        <v>58</v>
      </c>
      <c r="K2869" s="18" t="s">
        <v>24</v>
      </c>
      <c r="L2869" s="18" t="s">
        <v>25</v>
      </c>
      <c r="N2869" s="18" t="s">
        <v>807</v>
      </c>
    </row>
    <row r="2870" spans="1:14" ht="15" customHeight="1" x14ac:dyDescent="0.3">
      <c r="A2870" s="18" t="s">
        <v>5733</v>
      </c>
      <c r="B2870" s="19" t="s">
        <v>15</v>
      </c>
      <c r="C2870" s="18" t="s">
        <v>5734</v>
      </c>
      <c r="D2870" s="18" t="s">
        <v>17</v>
      </c>
      <c r="E2870" s="18" t="s">
        <v>117</v>
      </c>
      <c r="F2870" s="18" t="s">
        <v>1629</v>
      </c>
      <c r="G2870" s="18" t="s">
        <v>219</v>
      </c>
      <c r="H2870" s="18" t="s">
        <v>5738</v>
      </c>
      <c r="I2870" s="20" t="s">
        <v>5739</v>
      </c>
      <c r="J2870" s="18" t="s">
        <v>58</v>
      </c>
      <c r="K2870" s="18" t="s">
        <v>24</v>
      </c>
      <c r="L2870" s="18" t="s">
        <v>25</v>
      </c>
      <c r="N2870" s="18" t="s">
        <v>807</v>
      </c>
    </row>
    <row r="2871" spans="1:14" ht="15" customHeight="1" x14ac:dyDescent="0.3">
      <c r="A2871" s="18" t="s">
        <v>5733</v>
      </c>
      <c r="B2871" s="19" t="s">
        <v>15</v>
      </c>
      <c r="C2871" s="18" t="s">
        <v>5734</v>
      </c>
      <c r="D2871" s="18" t="s">
        <v>17</v>
      </c>
      <c r="E2871" s="18" t="s">
        <v>117</v>
      </c>
      <c r="F2871" s="18" t="s">
        <v>1434</v>
      </c>
      <c r="G2871" s="18" t="s">
        <v>85</v>
      </c>
      <c r="H2871" s="18" t="s">
        <v>5738</v>
      </c>
      <c r="I2871" s="20" t="s">
        <v>5740</v>
      </c>
      <c r="J2871" s="18" t="s">
        <v>58</v>
      </c>
      <c r="K2871" s="18" t="s">
        <v>24</v>
      </c>
      <c r="L2871" s="18" t="s">
        <v>25</v>
      </c>
      <c r="N2871" s="18" t="s">
        <v>807</v>
      </c>
    </row>
    <row r="2872" spans="1:14" ht="15" customHeight="1" x14ac:dyDescent="0.3">
      <c r="A2872" s="18" t="s">
        <v>5733</v>
      </c>
      <c r="B2872" s="19" t="s">
        <v>15</v>
      </c>
      <c r="C2872" s="18" t="s">
        <v>5734</v>
      </c>
      <c r="D2872" s="18" t="s">
        <v>17</v>
      </c>
      <c r="E2872" s="18" t="s">
        <v>117</v>
      </c>
      <c r="F2872" s="18" t="s">
        <v>2688</v>
      </c>
      <c r="G2872" s="18" t="s">
        <v>28</v>
      </c>
      <c r="H2872" s="18" t="s">
        <v>5738</v>
      </c>
      <c r="I2872" s="20" t="s">
        <v>5741</v>
      </c>
      <c r="J2872" s="18" t="s">
        <v>58</v>
      </c>
      <c r="K2872" s="18" t="s">
        <v>24</v>
      </c>
      <c r="L2872" s="18" t="s">
        <v>25</v>
      </c>
      <c r="N2872" s="18" t="s">
        <v>807</v>
      </c>
    </row>
    <row r="2873" spans="1:14" ht="15" customHeight="1" x14ac:dyDescent="0.3">
      <c r="A2873" s="18" t="s">
        <v>5733</v>
      </c>
      <c r="B2873" s="19" t="s">
        <v>15</v>
      </c>
      <c r="C2873" s="18" t="s">
        <v>5734</v>
      </c>
      <c r="D2873" s="18" t="s">
        <v>17</v>
      </c>
      <c r="E2873" s="18" t="s">
        <v>117</v>
      </c>
      <c r="F2873" s="18" t="s">
        <v>1575</v>
      </c>
      <c r="G2873" s="18" t="s">
        <v>28</v>
      </c>
      <c r="H2873" s="18" t="s">
        <v>5738</v>
      </c>
      <c r="I2873" s="20" t="s">
        <v>5742</v>
      </c>
      <c r="J2873" s="18" t="s">
        <v>58</v>
      </c>
      <c r="K2873" s="18" t="s">
        <v>24</v>
      </c>
      <c r="L2873" s="18" t="s">
        <v>25</v>
      </c>
      <c r="N2873" s="18" t="s">
        <v>807</v>
      </c>
    </row>
    <row r="2874" spans="1:14" ht="15" customHeight="1" x14ac:dyDescent="0.3">
      <c r="A2874" s="18" t="s">
        <v>5733</v>
      </c>
      <c r="B2874" s="19" t="s">
        <v>15</v>
      </c>
      <c r="C2874" s="18" t="s">
        <v>5734</v>
      </c>
      <c r="D2874" s="18" t="s">
        <v>17</v>
      </c>
      <c r="E2874" s="18" t="s">
        <v>117</v>
      </c>
      <c r="F2874" s="18" t="s">
        <v>1439</v>
      </c>
      <c r="G2874" s="18" t="s">
        <v>41</v>
      </c>
      <c r="H2874" s="18" t="s">
        <v>5738</v>
      </c>
      <c r="I2874" s="20" t="s">
        <v>5743</v>
      </c>
      <c r="J2874" s="18" t="s">
        <v>58</v>
      </c>
      <c r="K2874" s="18" t="s">
        <v>24</v>
      </c>
      <c r="L2874" s="18" t="s">
        <v>25</v>
      </c>
      <c r="N2874" s="18" t="s">
        <v>807</v>
      </c>
    </row>
    <row r="2875" spans="1:14" ht="15" customHeight="1" x14ac:dyDescent="0.3">
      <c r="A2875" s="18" t="s">
        <v>5733</v>
      </c>
      <c r="B2875" s="19" t="s">
        <v>15</v>
      </c>
      <c r="C2875" s="18" t="s">
        <v>5734</v>
      </c>
      <c r="D2875" s="18" t="s">
        <v>17</v>
      </c>
      <c r="E2875" s="18" t="s">
        <v>117</v>
      </c>
      <c r="F2875" s="18" t="s">
        <v>5744</v>
      </c>
      <c r="G2875" s="18" t="s">
        <v>32</v>
      </c>
      <c r="H2875" s="18" t="s">
        <v>5745</v>
      </c>
      <c r="I2875" s="20" t="s">
        <v>5746</v>
      </c>
      <c r="J2875" s="18" t="s">
        <v>58</v>
      </c>
      <c r="K2875" s="18" t="s">
        <v>24</v>
      </c>
      <c r="L2875" s="18" t="s">
        <v>25</v>
      </c>
      <c r="N2875" s="18" t="s">
        <v>807</v>
      </c>
    </row>
    <row r="2876" spans="1:14" ht="15" customHeight="1" x14ac:dyDescent="0.3">
      <c r="A2876" s="18" t="s">
        <v>5733</v>
      </c>
      <c r="B2876" s="19" t="s">
        <v>15</v>
      </c>
      <c r="C2876" s="18" t="s">
        <v>5734</v>
      </c>
      <c r="D2876" s="18" t="s">
        <v>17</v>
      </c>
      <c r="E2876" s="18" t="s">
        <v>117</v>
      </c>
      <c r="F2876" s="18" t="s">
        <v>2697</v>
      </c>
      <c r="G2876" s="18" t="s">
        <v>93</v>
      </c>
      <c r="H2876" s="18" t="s">
        <v>5738</v>
      </c>
      <c r="I2876" s="20" t="s">
        <v>5747</v>
      </c>
      <c r="J2876" s="18" t="s">
        <v>58</v>
      </c>
      <c r="K2876" s="18" t="s">
        <v>24</v>
      </c>
      <c r="L2876" s="18" t="s">
        <v>25</v>
      </c>
      <c r="N2876" s="18" t="s">
        <v>807</v>
      </c>
    </row>
    <row r="2877" spans="1:14" ht="15" customHeight="1" x14ac:dyDescent="0.3">
      <c r="A2877" s="18" t="s">
        <v>5733</v>
      </c>
      <c r="B2877" s="19" t="s">
        <v>15</v>
      </c>
      <c r="C2877" s="18" t="s">
        <v>5734</v>
      </c>
      <c r="D2877" s="18" t="s">
        <v>17</v>
      </c>
      <c r="E2877" s="18" t="s">
        <v>117</v>
      </c>
      <c r="F2877" s="18" t="s">
        <v>2228</v>
      </c>
      <c r="G2877" s="18" t="s">
        <v>536</v>
      </c>
      <c r="H2877" s="18" t="s">
        <v>5738</v>
      </c>
      <c r="I2877" s="20" t="s">
        <v>5748</v>
      </c>
      <c r="J2877" s="18" t="s">
        <v>58</v>
      </c>
      <c r="K2877" s="18" t="s">
        <v>24</v>
      </c>
      <c r="L2877" s="18" t="s">
        <v>25</v>
      </c>
      <c r="N2877" s="18" t="s">
        <v>807</v>
      </c>
    </row>
    <row r="2878" spans="1:14" ht="15" customHeight="1" x14ac:dyDescent="0.3">
      <c r="A2878" s="18" t="s">
        <v>5733</v>
      </c>
      <c r="B2878" s="19" t="s">
        <v>15</v>
      </c>
      <c r="C2878" s="18" t="s">
        <v>5734</v>
      </c>
      <c r="D2878" s="18" t="s">
        <v>17</v>
      </c>
      <c r="E2878" s="18" t="s">
        <v>117</v>
      </c>
      <c r="F2878" s="18" t="s">
        <v>5749</v>
      </c>
      <c r="G2878" s="18" t="s">
        <v>63</v>
      </c>
      <c r="H2878" s="18" t="s">
        <v>5738</v>
      </c>
      <c r="I2878" s="20" t="s">
        <v>5750</v>
      </c>
      <c r="J2878" s="18" t="s">
        <v>58</v>
      </c>
      <c r="K2878" s="18" t="s">
        <v>24</v>
      </c>
      <c r="L2878" s="18" t="s">
        <v>25</v>
      </c>
      <c r="N2878" s="18" t="s">
        <v>807</v>
      </c>
    </row>
    <row r="2879" spans="1:14" ht="15" customHeight="1" x14ac:dyDescent="0.3">
      <c r="A2879" s="18" t="s">
        <v>5733</v>
      </c>
      <c r="B2879" s="19" t="s">
        <v>15</v>
      </c>
      <c r="C2879" s="18" t="s">
        <v>5734</v>
      </c>
      <c r="D2879" s="18" t="s">
        <v>17</v>
      </c>
      <c r="E2879" s="18" t="s">
        <v>117</v>
      </c>
      <c r="F2879" s="18" t="s">
        <v>3099</v>
      </c>
      <c r="G2879" s="18" t="s">
        <v>63</v>
      </c>
      <c r="H2879" s="18" t="s">
        <v>5738</v>
      </c>
      <c r="I2879" s="20" t="s">
        <v>5751</v>
      </c>
      <c r="J2879" s="18" t="s">
        <v>58</v>
      </c>
      <c r="K2879" s="18" t="s">
        <v>24</v>
      </c>
      <c r="L2879" s="18" t="s">
        <v>25</v>
      </c>
      <c r="N2879" s="18" t="s">
        <v>807</v>
      </c>
    </row>
    <row r="2880" spans="1:14" ht="15" customHeight="1" x14ac:dyDescent="0.3">
      <c r="A2880" s="18" t="s">
        <v>5733</v>
      </c>
      <c r="B2880" s="19" t="s">
        <v>15</v>
      </c>
      <c r="C2880" s="18" t="s">
        <v>5734</v>
      </c>
      <c r="D2880" s="18" t="s">
        <v>17</v>
      </c>
      <c r="E2880" s="18" t="s">
        <v>117</v>
      </c>
      <c r="F2880" s="18" t="s">
        <v>5752</v>
      </c>
      <c r="G2880" s="18" t="s">
        <v>35</v>
      </c>
      <c r="H2880" s="18" t="s">
        <v>5738</v>
      </c>
      <c r="I2880" s="20" t="s">
        <v>5753</v>
      </c>
      <c r="J2880" s="18" t="s">
        <v>58</v>
      </c>
      <c r="K2880" s="18" t="s">
        <v>24</v>
      </c>
      <c r="L2880" s="18" t="s">
        <v>25</v>
      </c>
      <c r="N2880" s="18" t="s">
        <v>807</v>
      </c>
    </row>
    <row r="2881" spans="1:14" ht="15" customHeight="1" x14ac:dyDescent="0.3">
      <c r="A2881" s="18" t="s">
        <v>5733</v>
      </c>
      <c r="B2881" s="19" t="s">
        <v>15</v>
      </c>
      <c r="C2881" s="18" t="s">
        <v>5734</v>
      </c>
      <c r="D2881" s="18" t="s">
        <v>17</v>
      </c>
      <c r="E2881" s="18" t="s">
        <v>18</v>
      </c>
      <c r="F2881" s="18" t="s">
        <v>5754</v>
      </c>
      <c r="G2881" s="18" t="s">
        <v>160</v>
      </c>
      <c r="H2881" s="18" t="s">
        <v>5738</v>
      </c>
      <c r="I2881" s="20" t="s">
        <v>5755</v>
      </c>
      <c r="J2881" s="18" t="s">
        <v>30</v>
      </c>
      <c r="K2881" s="18" t="s">
        <v>24</v>
      </c>
      <c r="L2881" s="18" t="s">
        <v>25</v>
      </c>
      <c r="M2881" s="18" t="s">
        <v>39</v>
      </c>
      <c r="N2881" s="18" t="s">
        <v>807</v>
      </c>
    </row>
    <row r="2882" spans="1:14" ht="15" customHeight="1" x14ac:dyDescent="0.3">
      <c r="A2882" s="18" t="s">
        <v>5733</v>
      </c>
      <c r="B2882" s="19" t="s">
        <v>15</v>
      </c>
      <c r="C2882" s="18" t="s">
        <v>5734</v>
      </c>
      <c r="D2882" s="18" t="s">
        <v>17</v>
      </c>
      <c r="E2882" s="18" t="s">
        <v>18</v>
      </c>
      <c r="F2882" s="18" t="s">
        <v>28</v>
      </c>
      <c r="G2882" s="18" t="s">
        <v>28</v>
      </c>
      <c r="H2882" s="18" t="s">
        <v>5738</v>
      </c>
      <c r="I2882" s="20" t="s">
        <v>5756</v>
      </c>
      <c r="J2882" s="18" t="s">
        <v>30</v>
      </c>
      <c r="K2882" s="18" t="s">
        <v>24</v>
      </c>
      <c r="L2882" s="18" t="s">
        <v>25</v>
      </c>
      <c r="M2882" s="18" t="s">
        <v>39</v>
      </c>
      <c r="N2882" s="18" t="s">
        <v>807</v>
      </c>
    </row>
    <row r="2883" spans="1:14" ht="15" customHeight="1" x14ac:dyDescent="0.3">
      <c r="A2883" s="18" t="s">
        <v>5733</v>
      </c>
      <c r="B2883" s="19" t="s">
        <v>15</v>
      </c>
      <c r="C2883" s="18" t="s">
        <v>5734</v>
      </c>
      <c r="D2883" s="18" t="s">
        <v>17</v>
      </c>
      <c r="E2883" s="18" t="s">
        <v>18</v>
      </c>
      <c r="F2883" s="18" t="s">
        <v>5757</v>
      </c>
      <c r="G2883" s="18" t="s">
        <v>63</v>
      </c>
      <c r="H2883" s="18" t="s">
        <v>5738</v>
      </c>
      <c r="I2883" s="20" t="s">
        <v>5758</v>
      </c>
      <c r="J2883" s="18" t="s">
        <v>30</v>
      </c>
      <c r="K2883" s="18" t="s">
        <v>24</v>
      </c>
      <c r="L2883" s="18" t="s">
        <v>25</v>
      </c>
      <c r="M2883" s="18" t="s">
        <v>39</v>
      </c>
      <c r="N2883" s="18" t="s">
        <v>807</v>
      </c>
    </row>
    <row r="2884" spans="1:14" ht="15" customHeight="1" x14ac:dyDescent="0.3">
      <c r="A2884" s="18" t="s">
        <v>5733</v>
      </c>
      <c r="B2884" s="19" t="s">
        <v>15</v>
      </c>
      <c r="C2884" s="18" t="s">
        <v>5734</v>
      </c>
      <c r="D2884" s="18" t="s">
        <v>17</v>
      </c>
      <c r="E2884" s="18" t="s">
        <v>18</v>
      </c>
      <c r="F2884" s="18" t="s">
        <v>5759</v>
      </c>
      <c r="G2884" s="18" t="s">
        <v>28</v>
      </c>
      <c r="H2884" s="18" t="s">
        <v>5738</v>
      </c>
      <c r="I2884" s="20" t="s">
        <v>5760</v>
      </c>
      <c r="J2884" s="18" t="s">
        <v>30</v>
      </c>
      <c r="K2884" s="18" t="s">
        <v>24</v>
      </c>
      <c r="L2884" s="18" t="s">
        <v>25</v>
      </c>
      <c r="N2884" s="18" t="s">
        <v>807</v>
      </c>
    </row>
    <row r="2885" spans="1:14" ht="15" customHeight="1" x14ac:dyDescent="0.3">
      <c r="A2885" s="18" t="s">
        <v>5733</v>
      </c>
      <c r="B2885" s="19" t="s">
        <v>15</v>
      </c>
      <c r="C2885" s="18" t="s">
        <v>5734</v>
      </c>
      <c r="D2885" s="18" t="s">
        <v>17</v>
      </c>
      <c r="E2885" s="18" t="s">
        <v>18</v>
      </c>
      <c r="F2885" s="18" t="s">
        <v>5761</v>
      </c>
      <c r="G2885" s="18" t="s">
        <v>32</v>
      </c>
      <c r="H2885" s="18" t="s">
        <v>5738</v>
      </c>
      <c r="I2885" s="20" t="s">
        <v>5762</v>
      </c>
      <c r="J2885" s="18" t="s">
        <v>30</v>
      </c>
      <c r="K2885" s="18" t="s">
        <v>24</v>
      </c>
      <c r="L2885" s="18" t="s">
        <v>25</v>
      </c>
      <c r="N2885" s="18" t="s">
        <v>807</v>
      </c>
    </row>
    <row r="2886" spans="1:14" ht="15" customHeight="1" x14ac:dyDescent="0.3">
      <c r="A2886" s="18" t="s">
        <v>5733</v>
      </c>
      <c r="B2886" s="19" t="s">
        <v>15</v>
      </c>
      <c r="C2886" s="18" t="s">
        <v>5734</v>
      </c>
      <c r="D2886" s="18" t="s">
        <v>17</v>
      </c>
      <c r="E2886" s="18" t="s">
        <v>18</v>
      </c>
      <c r="F2886" s="18" t="s">
        <v>5763</v>
      </c>
      <c r="G2886" s="18" t="s">
        <v>63</v>
      </c>
      <c r="H2886" s="18" t="s">
        <v>5738</v>
      </c>
      <c r="I2886" s="20" t="s">
        <v>5764</v>
      </c>
      <c r="J2886" s="18" t="s">
        <v>30</v>
      </c>
      <c r="K2886" s="18" t="s">
        <v>24</v>
      </c>
      <c r="L2886" s="18" t="s">
        <v>25</v>
      </c>
      <c r="N2886" s="18" t="s">
        <v>807</v>
      </c>
    </row>
    <row r="2887" spans="1:14" ht="15" customHeight="1" x14ac:dyDescent="0.3">
      <c r="A2887" s="18" t="s">
        <v>5733</v>
      </c>
      <c r="B2887" s="19" t="s">
        <v>15</v>
      </c>
      <c r="C2887" s="18" t="s">
        <v>5734</v>
      </c>
      <c r="D2887" s="18" t="s">
        <v>17</v>
      </c>
      <c r="E2887" s="18" t="s">
        <v>18</v>
      </c>
      <c r="F2887" s="18" t="s">
        <v>5765</v>
      </c>
      <c r="G2887" s="18" t="s">
        <v>63</v>
      </c>
      <c r="H2887" s="18" t="s">
        <v>5738</v>
      </c>
      <c r="I2887" s="20" t="s">
        <v>5766</v>
      </c>
      <c r="J2887" s="18" t="s">
        <v>30</v>
      </c>
      <c r="K2887" s="18" t="s">
        <v>24</v>
      </c>
      <c r="L2887" s="18" t="s">
        <v>25</v>
      </c>
      <c r="N2887" s="18" t="s">
        <v>807</v>
      </c>
    </row>
    <row r="2888" spans="1:14" ht="15" customHeight="1" x14ac:dyDescent="0.3">
      <c r="A2888" s="18" t="s">
        <v>5733</v>
      </c>
      <c r="B2888" s="19" t="s">
        <v>15</v>
      </c>
      <c r="C2888" s="18" t="s">
        <v>5734</v>
      </c>
      <c r="D2888" s="18" t="s">
        <v>17</v>
      </c>
      <c r="E2888" s="18" t="s">
        <v>18</v>
      </c>
      <c r="F2888" s="18" t="s">
        <v>1959</v>
      </c>
      <c r="G2888" s="18" t="s">
        <v>219</v>
      </c>
      <c r="H2888" s="18" t="s">
        <v>5738</v>
      </c>
      <c r="I2888" s="20" t="s">
        <v>5767</v>
      </c>
      <c r="J2888" s="18" t="s">
        <v>30</v>
      </c>
      <c r="K2888" s="18" t="s">
        <v>24</v>
      </c>
      <c r="L2888" s="18" t="s">
        <v>25</v>
      </c>
      <c r="N2888" s="18" t="s">
        <v>807</v>
      </c>
    </row>
    <row r="2889" spans="1:14" ht="15" customHeight="1" x14ac:dyDescent="0.3">
      <c r="A2889" s="18" t="s">
        <v>5733</v>
      </c>
      <c r="B2889" s="19" t="s">
        <v>15</v>
      </c>
      <c r="C2889" s="18" t="s">
        <v>5734</v>
      </c>
      <c r="D2889" s="18" t="s">
        <v>17</v>
      </c>
      <c r="E2889" s="18" t="s">
        <v>18</v>
      </c>
      <c r="F2889" s="18" t="s">
        <v>5768</v>
      </c>
      <c r="G2889" s="18" t="s">
        <v>63</v>
      </c>
      <c r="H2889" s="18" t="s">
        <v>5738</v>
      </c>
      <c r="I2889" s="20" t="s">
        <v>5769</v>
      </c>
      <c r="J2889" s="18" t="s">
        <v>30</v>
      </c>
      <c r="K2889" s="18" t="s">
        <v>24</v>
      </c>
      <c r="L2889" s="18" t="s">
        <v>25</v>
      </c>
      <c r="N2889" s="18" t="s">
        <v>807</v>
      </c>
    </row>
    <row r="2890" spans="1:14" ht="15" customHeight="1" x14ac:dyDescent="0.3">
      <c r="A2890" s="18" t="s">
        <v>5733</v>
      </c>
      <c r="B2890" s="19" t="s">
        <v>15</v>
      </c>
      <c r="C2890" s="18" t="s">
        <v>5734</v>
      </c>
      <c r="D2890" s="18" t="s">
        <v>17</v>
      </c>
      <c r="E2890" s="18" t="s">
        <v>18</v>
      </c>
      <c r="F2890" s="18" t="s">
        <v>1088</v>
      </c>
      <c r="G2890" s="18" t="s">
        <v>41</v>
      </c>
      <c r="H2890" s="18" t="s">
        <v>5770</v>
      </c>
      <c r="I2890" s="20" t="s">
        <v>5771</v>
      </c>
      <c r="J2890" s="18" t="s">
        <v>30</v>
      </c>
      <c r="K2890" s="18" t="s">
        <v>24</v>
      </c>
      <c r="L2890" s="18" t="s">
        <v>25</v>
      </c>
      <c r="N2890" s="18" t="s">
        <v>807</v>
      </c>
    </row>
    <row r="2891" spans="1:14" ht="15" customHeight="1" x14ac:dyDescent="0.3">
      <c r="A2891" s="18" t="s">
        <v>5733</v>
      </c>
      <c r="B2891" s="19" t="s">
        <v>15</v>
      </c>
      <c r="C2891" s="18" t="s">
        <v>5734</v>
      </c>
      <c r="D2891" s="18" t="s">
        <v>17</v>
      </c>
      <c r="E2891" s="18" t="s">
        <v>55</v>
      </c>
      <c r="F2891" s="18" t="s">
        <v>5772</v>
      </c>
      <c r="G2891" s="18" t="s">
        <v>63</v>
      </c>
      <c r="H2891" s="18" t="s">
        <v>5736</v>
      </c>
      <c r="I2891" s="20" t="s">
        <v>5773</v>
      </c>
      <c r="J2891" s="18" t="s">
        <v>58</v>
      </c>
      <c r="K2891" s="18" t="s">
        <v>24</v>
      </c>
      <c r="L2891" s="18" t="s">
        <v>25</v>
      </c>
      <c r="M2891" s="18" t="s">
        <v>39</v>
      </c>
      <c r="N2891" s="18" t="s">
        <v>807</v>
      </c>
    </row>
    <row r="2892" spans="1:14" ht="15" customHeight="1" x14ac:dyDescent="0.3">
      <c r="A2892" s="18" t="s">
        <v>5733</v>
      </c>
      <c r="B2892" s="19" t="s">
        <v>15</v>
      </c>
      <c r="C2892" s="18" t="s">
        <v>5734</v>
      </c>
      <c r="D2892" s="18" t="s">
        <v>17</v>
      </c>
      <c r="E2892" s="18" t="s">
        <v>55</v>
      </c>
      <c r="F2892" s="18" t="s">
        <v>5763</v>
      </c>
      <c r="G2892" s="18" t="s">
        <v>63</v>
      </c>
      <c r="H2892" s="18" t="s">
        <v>5736</v>
      </c>
      <c r="I2892" s="20" t="s">
        <v>5774</v>
      </c>
      <c r="J2892" s="18" t="s">
        <v>58</v>
      </c>
      <c r="K2892" s="18" t="s">
        <v>24</v>
      </c>
      <c r="L2892" s="18" t="s">
        <v>25</v>
      </c>
      <c r="N2892" s="18" t="s">
        <v>807</v>
      </c>
    </row>
    <row r="2893" spans="1:14" ht="15" customHeight="1" x14ac:dyDescent="0.3">
      <c r="A2893" s="18" t="s">
        <v>5775</v>
      </c>
      <c r="B2893" s="19" t="s">
        <v>15</v>
      </c>
      <c r="C2893" s="18" t="s">
        <v>5776</v>
      </c>
      <c r="D2893" s="18" t="s">
        <v>17</v>
      </c>
      <c r="E2893" s="18" t="s">
        <v>18</v>
      </c>
      <c r="F2893" s="18" t="s">
        <v>1061</v>
      </c>
      <c r="G2893" s="18" t="s">
        <v>88</v>
      </c>
      <c r="H2893" s="18" t="s">
        <v>5777</v>
      </c>
      <c r="I2893" s="20" t="s">
        <v>5778</v>
      </c>
      <c r="J2893" s="18" t="s">
        <v>30</v>
      </c>
      <c r="K2893" s="18" t="s">
        <v>24</v>
      </c>
      <c r="L2893" s="18" t="s">
        <v>25</v>
      </c>
      <c r="N2893" s="18" t="s">
        <v>807</v>
      </c>
    </row>
    <row r="2894" spans="1:14" ht="15" customHeight="1" x14ac:dyDescent="0.3">
      <c r="A2894" s="18" t="s">
        <v>5775</v>
      </c>
      <c r="B2894" s="19" t="s">
        <v>15</v>
      </c>
      <c r="C2894" s="18" t="s">
        <v>5776</v>
      </c>
      <c r="D2894" s="18" t="s">
        <v>17</v>
      </c>
      <c r="E2894" s="18" t="s">
        <v>18</v>
      </c>
      <c r="F2894" s="18" t="s">
        <v>1846</v>
      </c>
      <c r="G2894" s="18" t="s">
        <v>1019</v>
      </c>
      <c r="H2894" s="18" t="s">
        <v>5777</v>
      </c>
      <c r="I2894" s="20" t="s">
        <v>5779</v>
      </c>
      <c r="J2894" s="18" t="s">
        <v>30</v>
      </c>
      <c r="K2894" s="18" t="s">
        <v>24</v>
      </c>
      <c r="L2894" s="18" t="s">
        <v>25</v>
      </c>
      <c r="N2894" s="18" t="s">
        <v>807</v>
      </c>
    </row>
    <row r="2895" spans="1:14" ht="15" customHeight="1" x14ac:dyDescent="0.3">
      <c r="A2895" s="18" t="s">
        <v>5775</v>
      </c>
      <c r="B2895" s="19" t="s">
        <v>15</v>
      </c>
      <c r="C2895" s="18" t="s">
        <v>5776</v>
      </c>
      <c r="D2895" s="18" t="s">
        <v>17</v>
      </c>
      <c r="E2895" s="18" t="s">
        <v>18</v>
      </c>
      <c r="F2895" s="18" t="s">
        <v>5780</v>
      </c>
      <c r="G2895" s="18" t="s">
        <v>1095</v>
      </c>
      <c r="H2895" s="18" t="s">
        <v>5777</v>
      </c>
      <c r="I2895" s="20" t="s">
        <v>5781</v>
      </c>
      <c r="J2895" s="18" t="s">
        <v>30</v>
      </c>
      <c r="K2895" s="18" t="s">
        <v>24</v>
      </c>
      <c r="L2895" s="18" t="s">
        <v>25</v>
      </c>
      <c r="N2895" s="18" t="s">
        <v>807</v>
      </c>
    </row>
    <row r="2896" spans="1:14" ht="15" customHeight="1" x14ac:dyDescent="0.3">
      <c r="A2896" s="18" t="s">
        <v>5775</v>
      </c>
      <c r="B2896" s="19" t="s">
        <v>15</v>
      </c>
      <c r="C2896" s="18" t="s">
        <v>5776</v>
      </c>
      <c r="D2896" s="18" t="s">
        <v>17</v>
      </c>
      <c r="E2896" s="18" t="s">
        <v>18</v>
      </c>
      <c r="F2896" s="18" t="s">
        <v>28</v>
      </c>
      <c r="G2896" s="18" t="s">
        <v>28</v>
      </c>
      <c r="H2896" s="18" t="s">
        <v>5777</v>
      </c>
      <c r="I2896" s="20" t="s">
        <v>5782</v>
      </c>
      <c r="J2896" s="18" t="s">
        <v>30</v>
      </c>
      <c r="K2896" s="18" t="s">
        <v>24</v>
      </c>
      <c r="L2896" s="18" t="s">
        <v>25</v>
      </c>
      <c r="N2896" s="18" t="s">
        <v>807</v>
      </c>
    </row>
    <row r="2897" spans="1:14" ht="15" customHeight="1" x14ac:dyDescent="0.3">
      <c r="A2897" s="18" t="s">
        <v>5775</v>
      </c>
      <c r="B2897" s="19" t="s">
        <v>15</v>
      </c>
      <c r="C2897" s="18" t="s">
        <v>5776</v>
      </c>
      <c r="D2897" s="18" t="s">
        <v>17</v>
      </c>
      <c r="E2897" s="18" t="s">
        <v>18</v>
      </c>
      <c r="F2897" s="18" t="s">
        <v>5783</v>
      </c>
      <c r="G2897" s="18" t="s">
        <v>28</v>
      </c>
      <c r="H2897" s="18" t="s">
        <v>5777</v>
      </c>
      <c r="I2897" s="20" t="s">
        <v>5784</v>
      </c>
      <c r="J2897" s="18" t="s">
        <v>30</v>
      </c>
      <c r="K2897" s="18" t="s">
        <v>24</v>
      </c>
      <c r="L2897" s="18" t="s">
        <v>25</v>
      </c>
      <c r="N2897" s="18" t="s">
        <v>807</v>
      </c>
    </row>
    <row r="2898" spans="1:14" ht="15" customHeight="1" x14ac:dyDescent="0.3">
      <c r="A2898" s="18" t="s">
        <v>5775</v>
      </c>
      <c r="B2898" s="19" t="s">
        <v>15</v>
      </c>
      <c r="C2898" s="18" t="s">
        <v>5776</v>
      </c>
      <c r="D2898" s="18" t="s">
        <v>17</v>
      </c>
      <c r="E2898" s="18" t="s">
        <v>18</v>
      </c>
      <c r="F2898" s="18" t="s">
        <v>619</v>
      </c>
      <c r="G2898" s="18" t="s">
        <v>619</v>
      </c>
      <c r="H2898" s="18" t="s">
        <v>5777</v>
      </c>
      <c r="I2898" s="20" t="s">
        <v>5785</v>
      </c>
      <c r="J2898" s="18" t="s">
        <v>23</v>
      </c>
      <c r="K2898" s="18" t="s">
        <v>24</v>
      </c>
      <c r="L2898" s="18" t="s">
        <v>25</v>
      </c>
      <c r="N2898" s="18" t="s">
        <v>807</v>
      </c>
    </row>
    <row r="2899" spans="1:14" ht="15" customHeight="1" x14ac:dyDescent="0.3">
      <c r="A2899" s="18" t="s">
        <v>5775</v>
      </c>
      <c r="B2899" s="19" t="s">
        <v>15</v>
      </c>
      <c r="C2899" s="18" t="s">
        <v>5776</v>
      </c>
      <c r="D2899" s="18" t="s">
        <v>17</v>
      </c>
      <c r="E2899" s="18" t="s">
        <v>18</v>
      </c>
      <c r="F2899" s="18" t="s">
        <v>1072</v>
      </c>
      <c r="G2899" s="18" t="s">
        <v>47</v>
      </c>
      <c r="H2899" s="18" t="s">
        <v>5777</v>
      </c>
      <c r="I2899" s="20" t="s">
        <v>5786</v>
      </c>
      <c r="J2899" s="18" t="s">
        <v>30</v>
      </c>
      <c r="K2899" s="18" t="s">
        <v>24</v>
      </c>
      <c r="L2899" s="18" t="s">
        <v>25</v>
      </c>
      <c r="N2899" s="18" t="s">
        <v>807</v>
      </c>
    </row>
    <row r="2900" spans="1:14" ht="15" customHeight="1" x14ac:dyDescent="0.3">
      <c r="A2900" s="18" t="s">
        <v>5775</v>
      </c>
      <c r="B2900" s="19" t="s">
        <v>15</v>
      </c>
      <c r="C2900" s="18" t="s">
        <v>5776</v>
      </c>
      <c r="D2900" s="18" t="s">
        <v>17</v>
      </c>
      <c r="E2900" s="18" t="s">
        <v>18</v>
      </c>
      <c r="F2900" s="18" t="s">
        <v>1450</v>
      </c>
      <c r="G2900" s="18" t="s">
        <v>41</v>
      </c>
      <c r="H2900" s="18" t="s">
        <v>5777</v>
      </c>
      <c r="I2900" s="20" t="s">
        <v>5787</v>
      </c>
      <c r="J2900" s="18" t="s">
        <v>30</v>
      </c>
      <c r="K2900" s="18" t="s">
        <v>24</v>
      </c>
      <c r="L2900" s="18" t="s">
        <v>25</v>
      </c>
      <c r="N2900" s="18" t="s">
        <v>807</v>
      </c>
    </row>
    <row r="2901" spans="1:14" ht="15" customHeight="1" x14ac:dyDescent="0.3">
      <c r="A2901" s="18" t="s">
        <v>5775</v>
      </c>
      <c r="B2901" s="19" t="s">
        <v>15</v>
      </c>
      <c r="C2901" s="18" t="s">
        <v>5776</v>
      </c>
      <c r="D2901" s="18" t="s">
        <v>17</v>
      </c>
      <c r="E2901" s="18" t="s">
        <v>18</v>
      </c>
      <c r="F2901" s="18" t="s">
        <v>1088</v>
      </c>
      <c r="G2901" s="18" t="s">
        <v>41</v>
      </c>
      <c r="H2901" s="18" t="s">
        <v>5777</v>
      </c>
      <c r="I2901" s="20" t="s">
        <v>5788</v>
      </c>
      <c r="J2901" s="18" t="s">
        <v>30</v>
      </c>
      <c r="K2901" s="18" t="s">
        <v>24</v>
      </c>
      <c r="L2901" s="18" t="s">
        <v>25</v>
      </c>
      <c r="N2901" s="18" t="s">
        <v>807</v>
      </c>
    </row>
    <row r="2902" spans="1:14" ht="15" customHeight="1" x14ac:dyDescent="0.3">
      <c r="A2902" s="18" t="s">
        <v>5775</v>
      </c>
      <c r="B2902" s="19" t="s">
        <v>15</v>
      </c>
      <c r="C2902" s="18" t="s">
        <v>5776</v>
      </c>
      <c r="D2902" s="18" t="s">
        <v>17</v>
      </c>
      <c r="E2902" s="18" t="s">
        <v>18</v>
      </c>
      <c r="F2902" s="18" t="s">
        <v>1453</v>
      </c>
      <c r="G2902" s="18" t="s">
        <v>536</v>
      </c>
      <c r="H2902" s="18" t="s">
        <v>5777</v>
      </c>
      <c r="I2902" s="20" t="s">
        <v>5789</v>
      </c>
      <c r="J2902" s="18" t="s">
        <v>30</v>
      </c>
      <c r="K2902" s="18" t="s">
        <v>24</v>
      </c>
      <c r="L2902" s="18" t="s">
        <v>25</v>
      </c>
      <c r="N2902" s="18" t="s">
        <v>807</v>
      </c>
    </row>
    <row r="2903" spans="1:14" ht="15" customHeight="1" x14ac:dyDescent="0.3">
      <c r="A2903" s="18" t="s">
        <v>5775</v>
      </c>
      <c r="B2903" s="19" t="s">
        <v>15</v>
      </c>
      <c r="C2903" s="18" t="s">
        <v>5776</v>
      </c>
      <c r="D2903" s="18" t="s">
        <v>17</v>
      </c>
      <c r="E2903" s="18" t="s">
        <v>18</v>
      </c>
      <c r="F2903" s="18" t="s">
        <v>340</v>
      </c>
      <c r="G2903" s="18" t="s">
        <v>340</v>
      </c>
      <c r="H2903" s="18" t="s">
        <v>5777</v>
      </c>
      <c r="I2903" s="20" t="s">
        <v>5790</v>
      </c>
      <c r="J2903" s="18" t="s">
        <v>30</v>
      </c>
      <c r="K2903" s="18" t="s">
        <v>24</v>
      </c>
      <c r="L2903" s="18" t="s">
        <v>25</v>
      </c>
      <c r="N2903" s="18" t="s">
        <v>807</v>
      </c>
    </row>
    <row r="2904" spans="1:14" ht="15" customHeight="1" x14ac:dyDescent="0.3">
      <c r="A2904" s="18" t="s">
        <v>5775</v>
      </c>
      <c r="B2904" s="19" t="s">
        <v>15</v>
      </c>
      <c r="C2904" s="18" t="s">
        <v>5776</v>
      </c>
      <c r="D2904" s="18" t="s">
        <v>17</v>
      </c>
      <c r="E2904" s="18" t="s">
        <v>18</v>
      </c>
      <c r="F2904" s="18" t="s">
        <v>5791</v>
      </c>
      <c r="G2904" s="18" t="s">
        <v>160</v>
      </c>
      <c r="H2904" s="18" t="s">
        <v>5777</v>
      </c>
      <c r="I2904" s="20" t="s">
        <v>5792</v>
      </c>
      <c r="J2904" s="18" t="s">
        <v>30</v>
      </c>
      <c r="K2904" s="18" t="s">
        <v>24</v>
      </c>
      <c r="L2904" s="18" t="s">
        <v>25</v>
      </c>
      <c r="N2904" s="18" t="s">
        <v>807</v>
      </c>
    </row>
    <row r="2905" spans="1:14" ht="15" customHeight="1" x14ac:dyDescent="0.3">
      <c r="A2905" s="18" t="s">
        <v>5775</v>
      </c>
      <c r="B2905" s="19" t="s">
        <v>15</v>
      </c>
      <c r="C2905" s="18" t="s">
        <v>5776</v>
      </c>
      <c r="D2905" s="18" t="s">
        <v>17</v>
      </c>
      <c r="E2905" s="18" t="s">
        <v>55</v>
      </c>
      <c r="F2905" s="18" t="s">
        <v>5793</v>
      </c>
      <c r="G2905" s="18" t="s">
        <v>28</v>
      </c>
      <c r="H2905" s="18" t="s">
        <v>5777</v>
      </c>
      <c r="I2905" s="20" t="s">
        <v>5794</v>
      </c>
      <c r="J2905" s="18" t="s">
        <v>58</v>
      </c>
      <c r="K2905" s="18" t="s">
        <v>24</v>
      </c>
      <c r="L2905" s="18" t="s">
        <v>25</v>
      </c>
      <c r="N2905" s="18" t="s">
        <v>807</v>
      </c>
    </row>
    <row r="2906" spans="1:14" ht="15" customHeight="1" x14ac:dyDescent="0.3">
      <c r="A2906" s="18" t="s">
        <v>5775</v>
      </c>
      <c r="B2906" s="19" t="s">
        <v>15</v>
      </c>
      <c r="C2906" s="18" t="s">
        <v>5776</v>
      </c>
      <c r="D2906" s="18" t="s">
        <v>17</v>
      </c>
      <c r="E2906" s="18" t="s">
        <v>55</v>
      </c>
      <c r="F2906" s="18" t="s">
        <v>5795</v>
      </c>
      <c r="G2906" s="18" t="s">
        <v>28</v>
      </c>
      <c r="H2906" s="18" t="s">
        <v>5777</v>
      </c>
      <c r="I2906" s="20" t="s">
        <v>5796</v>
      </c>
      <c r="J2906" s="18" t="s">
        <v>58</v>
      </c>
      <c r="K2906" s="18" t="s">
        <v>24</v>
      </c>
      <c r="L2906" s="18" t="s">
        <v>25</v>
      </c>
      <c r="N2906" s="18" t="s">
        <v>807</v>
      </c>
    </row>
    <row r="2907" spans="1:14" ht="15" customHeight="1" x14ac:dyDescent="0.3">
      <c r="A2907" s="18" t="s">
        <v>5775</v>
      </c>
      <c r="B2907" s="19" t="s">
        <v>15</v>
      </c>
      <c r="C2907" s="18" t="s">
        <v>5776</v>
      </c>
      <c r="D2907" s="18" t="s">
        <v>17</v>
      </c>
      <c r="E2907" s="18" t="s">
        <v>55</v>
      </c>
      <c r="F2907" s="18" t="s">
        <v>5797</v>
      </c>
      <c r="G2907" s="18" t="s">
        <v>619</v>
      </c>
      <c r="H2907" s="18" t="s">
        <v>5777</v>
      </c>
      <c r="I2907" s="20" t="s">
        <v>5798</v>
      </c>
      <c r="J2907" s="18" t="s">
        <v>58</v>
      </c>
      <c r="K2907" s="18" t="s">
        <v>24</v>
      </c>
      <c r="L2907" s="18" t="s">
        <v>25</v>
      </c>
      <c r="N2907" s="18" t="s">
        <v>807</v>
      </c>
    </row>
    <row r="2908" spans="1:14" ht="15" customHeight="1" x14ac:dyDescent="0.3">
      <c r="A2908" s="18" t="s">
        <v>5775</v>
      </c>
      <c r="B2908" s="19" t="s">
        <v>15</v>
      </c>
      <c r="C2908" s="18" t="s">
        <v>5776</v>
      </c>
      <c r="D2908" s="18" t="s">
        <v>17</v>
      </c>
      <c r="E2908" s="18" t="s">
        <v>55</v>
      </c>
      <c r="F2908" s="18" t="s">
        <v>5799</v>
      </c>
      <c r="G2908" s="18" t="s">
        <v>5800</v>
      </c>
      <c r="H2908" s="18" t="s">
        <v>5777</v>
      </c>
      <c r="I2908" s="20" t="s">
        <v>5801</v>
      </c>
      <c r="J2908" s="18" t="s">
        <v>58</v>
      </c>
      <c r="K2908" s="18" t="s">
        <v>24</v>
      </c>
      <c r="L2908" s="18" t="s">
        <v>25</v>
      </c>
      <c r="N2908" s="18" t="s">
        <v>807</v>
      </c>
    </row>
    <row r="2909" spans="1:14" ht="15" customHeight="1" x14ac:dyDescent="0.3">
      <c r="A2909" s="18" t="s">
        <v>5775</v>
      </c>
      <c r="B2909" s="19" t="s">
        <v>15</v>
      </c>
      <c r="C2909" s="18" t="s">
        <v>5776</v>
      </c>
      <c r="D2909" s="18" t="s">
        <v>17</v>
      </c>
      <c r="E2909" s="18" t="s">
        <v>55</v>
      </c>
      <c r="F2909" s="18" t="s">
        <v>5802</v>
      </c>
      <c r="G2909" s="18" t="s">
        <v>41</v>
      </c>
      <c r="H2909" s="18" t="s">
        <v>5777</v>
      </c>
      <c r="I2909" s="20" t="s">
        <v>5803</v>
      </c>
      <c r="J2909" s="18" t="s">
        <v>73</v>
      </c>
      <c r="K2909" s="18" t="s">
        <v>24</v>
      </c>
      <c r="L2909" s="18" t="s">
        <v>25</v>
      </c>
      <c r="N2909" s="18" t="s">
        <v>807</v>
      </c>
    </row>
    <row r="2910" spans="1:14" ht="15" customHeight="1" x14ac:dyDescent="0.3">
      <c r="A2910" s="18" t="s">
        <v>5775</v>
      </c>
      <c r="B2910" s="19" t="s">
        <v>15</v>
      </c>
      <c r="C2910" s="18" t="s">
        <v>5804</v>
      </c>
      <c r="D2910" s="18" t="s">
        <v>17</v>
      </c>
      <c r="E2910" s="18" t="s">
        <v>55</v>
      </c>
      <c r="F2910" s="18" t="s">
        <v>5805</v>
      </c>
      <c r="G2910" s="18" t="s">
        <v>536</v>
      </c>
      <c r="H2910" s="18" t="s">
        <v>5806</v>
      </c>
      <c r="I2910" s="20" t="s">
        <v>5807</v>
      </c>
      <c r="J2910" s="18" t="s">
        <v>73</v>
      </c>
      <c r="K2910" s="18" t="s">
        <v>91</v>
      </c>
      <c r="L2910" s="18" t="s">
        <v>25</v>
      </c>
      <c r="N2910" s="18" t="s">
        <v>807</v>
      </c>
    </row>
    <row r="2911" spans="1:14" ht="15" customHeight="1" x14ac:dyDescent="0.3">
      <c r="A2911" s="18" t="s">
        <v>5775</v>
      </c>
      <c r="B2911" s="19" t="s">
        <v>15</v>
      </c>
      <c r="C2911" s="18" t="s">
        <v>5776</v>
      </c>
      <c r="D2911" s="18" t="s">
        <v>17</v>
      </c>
      <c r="E2911" s="18" t="s">
        <v>55</v>
      </c>
      <c r="F2911" s="18" t="s">
        <v>5808</v>
      </c>
      <c r="G2911" s="18" t="s">
        <v>340</v>
      </c>
      <c r="H2911" s="18" t="s">
        <v>5777</v>
      </c>
      <c r="I2911" s="20" t="s">
        <v>5809</v>
      </c>
      <c r="J2911" s="18" t="s">
        <v>58</v>
      </c>
      <c r="K2911" s="18" t="s">
        <v>24</v>
      </c>
      <c r="L2911" s="18" t="s">
        <v>25</v>
      </c>
      <c r="N2911" s="18" t="s">
        <v>807</v>
      </c>
    </row>
    <row r="2912" spans="1:14" ht="15" customHeight="1" x14ac:dyDescent="0.3">
      <c r="A2912" s="18" t="s">
        <v>5775</v>
      </c>
      <c r="B2912" s="19" t="s">
        <v>15</v>
      </c>
      <c r="C2912" s="18" t="s">
        <v>5776</v>
      </c>
      <c r="D2912" s="18" t="s">
        <v>17</v>
      </c>
      <c r="E2912" s="18" t="s">
        <v>55</v>
      </c>
      <c r="F2912" s="18" t="s">
        <v>5810</v>
      </c>
      <c r="G2912" s="18" t="s">
        <v>212</v>
      </c>
      <c r="H2912" s="18" t="s">
        <v>5777</v>
      </c>
      <c r="I2912" s="20" t="s">
        <v>5811</v>
      </c>
      <c r="J2912" s="18" t="s">
        <v>73</v>
      </c>
      <c r="K2912" s="18" t="s">
        <v>24</v>
      </c>
      <c r="L2912" s="18" t="s">
        <v>25</v>
      </c>
      <c r="N2912" s="18" t="s">
        <v>807</v>
      </c>
    </row>
    <row r="2913" spans="1:14" ht="15" customHeight="1" x14ac:dyDescent="0.3">
      <c r="A2913" s="18" t="s">
        <v>5775</v>
      </c>
      <c r="B2913" s="19" t="s">
        <v>15</v>
      </c>
      <c r="C2913" s="18" t="s">
        <v>5776</v>
      </c>
      <c r="D2913" s="18" t="s">
        <v>17</v>
      </c>
      <c r="E2913" s="18" t="s">
        <v>171</v>
      </c>
      <c r="F2913" s="18" t="s">
        <v>172</v>
      </c>
      <c r="G2913" s="18" t="s">
        <v>173</v>
      </c>
      <c r="H2913" s="18" t="s">
        <v>5777</v>
      </c>
      <c r="I2913" s="20" t="s">
        <v>5812</v>
      </c>
      <c r="J2913" s="18" t="s">
        <v>175</v>
      </c>
      <c r="K2913" s="18" t="s">
        <v>24</v>
      </c>
      <c r="L2913" s="18" t="s">
        <v>25</v>
      </c>
      <c r="N2913" s="18" t="s">
        <v>807</v>
      </c>
    </row>
    <row r="2914" spans="1:14" ht="15" customHeight="1" x14ac:dyDescent="0.3">
      <c r="A2914" s="18" t="s">
        <v>5813</v>
      </c>
      <c r="B2914" s="19" t="s">
        <v>15</v>
      </c>
      <c r="C2914" s="18" t="s">
        <v>918</v>
      </c>
      <c r="D2914" s="18" t="s">
        <v>17</v>
      </c>
      <c r="E2914" s="18" t="s">
        <v>74</v>
      </c>
      <c r="F2914" s="18" t="s">
        <v>5814</v>
      </c>
      <c r="G2914" s="18" t="s">
        <v>160</v>
      </c>
      <c r="H2914" s="18" t="s">
        <v>5815</v>
      </c>
      <c r="I2914" s="20" t="s">
        <v>5816</v>
      </c>
      <c r="J2914" s="18" t="s">
        <v>179</v>
      </c>
      <c r="K2914" s="18" t="s">
        <v>24</v>
      </c>
      <c r="L2914" s="18" t="s">
        <v>25</v>
      </c>
      <c r="N2914" s="18" t="s">
        <v>807</v>
      </c>
    </row>
    <row r="2915" spans="1:14" ht="15" customHeight="1" x14ac:dyDescent="0.3">
      <c r="A2915" s="18" t="s">
        <v>5813</v>
      </c>
      <c r="B2915" s="19" t="s">
        <v>15</v>
      </c>
      <c r="C2915" s="18" t="s">
        <v>918</v>
      </c>
      <c r="D2915" s="18" t="s">
        <v>17</v>
      </c>
      <c r="E2915" s="18" t="s">
        <v>74</v>
      </c>
      <c r="F2915" s="18" t="s">
        <v>5817</v>
      </c>
      <c r="G2915" s="18" t="s">
        <v>41</v>
      </c>
      <c r="H2915" s="18" t="s">
        <v>5818</v>
      </c>
      <c r="I2915" s="20" t="s">
        <v>5819</v>
      </c>
      <c r="J2915" s="18" t="s">
        <v>179</v>
      </c>
      <c r="K2915" s="18" t="s">
        <v>24</v>
      </c>
      <c r="L2915" s="18" t="s">
        <v>25</v>
      </c>
      <c r="N2915" s="18" t="s">
        <v>807</v>
      </c>
    </row>
    <row r="2916" spans="1:14" ht="15" customHeight="1" x14ac:dyDescent="0.3">
      <c r="A2916" s="18" t="s">
        <v>5813</v>
      </c>
      <c r="B2916" s="19" t="s">
        <v>15</v>
      </c>
      <c r="C2916" s="18" t="s">
        <v>918</v>
      </c>
      <c r="D2916" s="18" t="s">
        <v>17</v>
      </c>
      <c r="E2916" s="18" t="s">
        <v>74</v>
      </c>
      <c r="F2916" s="18" t="s">
        <v>5820</v>
      </c>
      <c r="G2916" s="18" t="s">
        <v>340</v>
      </c>
      <c r="H2916" s="18" t="s">
        <v>5818</v>
      </c>
      <c r="I2916" s="20" t="s">
        <v>5821</v>
      </c>
      <c r="J2916" s="18" t="s">
        <v>179</v>
      </c>
      <c r="K2916" s="18" t="s">
        <v>24</v>
      </c>
      <c r="L2916" s="18" t="s">
        <v>25</v>
      </c>
      <c r="N2916" s="18" t="s">
        <v>807</v>
      </c>
    </row>
    <row r="2917" spans="1:14" ht="15" customHeight="1" x14ac:dyDescent="0.3">
      <c r="A2917" s="18" t="s">
        <v>5813</v>
      </c>
      <c r="B2917" s="19" t="s">
        <v>15</v>
      </c>
      <c r="C2917" s="18" t="s">
        <v>918</v>
      </c>
      <c r="D2917" s="18" t="s">
        <v>17</v>
      </c>
      <c r="E2917" s="18" t="s">
        <v>74</v>
      </c>
      <c r="F2917" s="18" t="s">
        <v>5822</v>
      </c>
      <c r="G2917" s="18" t="s">
        <v>1059</v>
      </c>
      <c r="H2917" s="18" t="s">
        <v>5823</v>
      </c>
      <c r="I2917" s="20" t="s">
        <v>5824</v>
      </c>
      <c r="J2917" s="18" t="s">
        <v>179</v>
      </c>
      <c r="K2917" s="18" t="s">
        <v>24</v>
      </c>
      <c r="L2917" s="18" t="s">
        <v>25</v>
      </c>
      <c r="N2917" s="18" t="s">
        <v>807</v>
      </c>
    </row>
    <row r="2918" spans="1:14" ht="15" customHeight="1" x14ac:dyDescent="0.3">
      <c r="A2918" s="18" t="s">
        <v>5813</v>
      </c>
      <c r="B2918" s="19" t="s">
        <v>15</v>
      </c>
      <c r="C2918" s="18" t="s">
        <v>918</v>
      </c>
      <c r="D2918" s="18" t="s">
        <v>17</v>
      </c>
      <c r="E2918" s="18" t="s">
        <v>74</v>
      </c>
      <c r="F2918" s="18" t="s">
        <v>5825</v>
      </c>
      <c r="G2918" s="18" t="s">
        <v>41</v>
      </c>
      <c r="H2918" s="18" t="s">
        <v>5818</v>
      </c>
      <c r="I2918" s="20" t="s">
        <v>5826</v>
      </c>
      <c r="J2918" s="18" t="s">
        <v>179</v>
      </c>
      <c r="K2918" s="18" t="s">
        <v>24</v>
      </c>
      <c r="L2918" s="18" t="s">
        <v>25</v>
      </c>
      <c r="N2918" s="18" t="s">
        <v>807</v>
      </c>
    </row>
    <row r="2919" spans="1:14" ht="15" customHeight="1" x14ac:dyDescent="0.3">
      <c r="A2919" s="18" t="s">
        <v>5813</v>
      </c>
      <c r="B2919" s="19" t="s">
        <v>15</v>
      </c>
      <c r="C2919" s="18" t="s">
        <v>918</v>
      </c>
      <c r="D2919" s="18" t="s">
        <v>17</v>
      </c>
      <c r="E2919" s="18" t="s">
        <v>74</v>
      </c>
      <c r="F2919" s="18" t="s">
        <v>5827</v>
      </c>
      <c r="G2919" s="18" t="s">
        <v>28</v>
      </c>
      <c r="H2919" s="18" t="s">
        <v>5815</v>
      </c>
      <c r="I2919" s="20" t="s">
        <v>5828</v>
      </c>
      <c r="J2919" s="18" t="s">
        <v>179</v>
      </c>
      <c r="K2919" s="18" t="s">
        <v>24</v>
      </c>
      <c r="L2919" s="18" t="s">
        <v>25</v>
      </c>
      <c r="N2919" s="18" t="s">
        <v>807</v>
      </c>
    </row>
    <row r="2920" spans="1:14" ht="15" customHeight="1" x14ac:dyDescent="0.3">
      <c r="A2920" s="18" t="s">
        <v>5813</v>
      </c>
      <c r="B2920" s="19" t="s">
        <v>15</v>
      </c>
      <c r="C2920" s="18" t="s">
        <v>918</v>
      </c>
      <c r="D2920" s="18" t="s">
        <v>17</v>
      </c>
      <c r="E2920" s="18" t="s">
        <v>74</v>
      </c>
      <c r="F2920" s="18" t="s">
        <v>5829</v>
      </c>
      <c r="G2920" s="18" t="s">
        <v>263</v>
      </c>
      <c r="H2920" s="18" t="s">
        <v>5818</v>
      </c>
      <c r="I2920" s="20" t="s">
        <v>5830</v>
      </c>
      <c r="J2920" s="18" t="s">
        <v>179</v>
      </c>
      <c r="K2920" s="18" t="s">
        <v>24</v>
      </c>
      <c r="L2920" s="18" t="s">
        <v>25</v>
      </c>
      <c r="N2920" s="18" t="s">
        <v>807</v>
      </c>
    </row>
    <row r="2921" spans="1:14" ht="15" customHeight="1" x14ac:dyDescent="0.3">
      <c r="A2921" s="18" t="s">
        <v>5813</v>
      </c>
      <c r="B2921" s="19" t="s">
        <v>15</v>
      </c>
      <c r="C2921" s="18" t="s">
        <v>918</v>
      </c>
      <c r="D2921" s="18" t="s">
        <v>17</v>
      </c>
      <c r="E2921" s="18" t="s">
        <v>74</v>
      </c>
      <c r="F2921" s="18" t="s">
        <v>5831</v>
      </c>
      <c r="G2921" s="18" t="s">
        <v>340</v>
      </c>
      <c r="H2921" s="18" t="s">
        <v>5832</v>
      </c>
      <c r="I2921" s="20" t="s">
        <v>5833</v>
      </c>
      <c r="J2921" s="18" t="s">
        <v>5834</v>
      </c>
      <c r="K2921" s="18" t="s">
        <v>24</v>
      </c>
      <c r="L2921" s="18" t="s">
        <v>25</v>
      </c>
      <c r="N2921" s="18" t="s">
        <v>807</v>
      </c>
    </row>
    <row r="2922" spans="1:14" ht="15" customHeight="1" x14ac:dyDescent="0.3">
      <c r="A2922" s="18" t="s">
        <v>5813</v>
      </c>
      <c r="B2922" s="19" t="s">
        <v>15</v>
      </c>
      <c r="C2922" s="18" t="s">
        <v>918</v>
      </c>
      <c r="D2922" s="18" t="s">
        <v>17</v>
      </c>
      <c r="E2922" s="18" t="s">
        <v>74</v>
      </c>
      <c r="F2922" s="18" t="s">
        <v>5835</v>
      </c>
      <c r="G2922" s="18" t="s">
        <v>44</v>
      </c>
      <c r="H2922" s="18" t="s">
        <v>5832</v>
      </c>
      <c r="I2922" s="20" t="s">
        <v>5836</v>
      </c>
      <c r="J2922" s="18" t="s">
        <v>5834</v>
      </c>
      <c r="K2922" s="18" t="s">
        <v>24</v>
      </c>
      <c r="L2922" s="18" t="s">
        <v>25</v>
      </c>
      <c r="N2922" s="18" t="s">
        <v>807</v>
      </c>
    </row>
    <row r="2923" spans="1:14" ht="15" customHeight="1" x14ac:dyDescent="0.3">
      <c r="A2923" s="18" t="s">
        <v>5813</v>
      </c>
      <c r="B2923" s="19" t="s">
        <v>15</v>
      </c>
      <c r="C2923" s="18" t="s">
        <v>918</v>
      </c>
      <c r="D2923" s="18" t="s">
        <v>17</v>
      </c>
      <c r="E2923" s="18" t="s">
        <v>74</v>
      </c>
      <c r="F2923" s="18" t="s">
        <v>5837</v>
      </c>
      <c r="G2923" s="18" t="s">
        <v>340</v>
      </c>
      <c r="H2923" s="18" t="s">
        <v>5832</v>
      </c>
      <c r="I2923" s="20" t="s">
        <v>5838</v>
      </c>
      <c r="J2923" s="18" t="s">
        <v>5834</v>
      </c>
      <c r="K2923" s="18" t="s">
        <v>24</v>
      </c>
      <c r="L2923" s="18" t="s">
        <v>25</v>
      </c>
      <c r="N2923" s="18" t="s">
        <v>807</v>
      </c>
    </row>
    <row r="2924" spans="1:14" ht="15" customHeight="1" x14ac:dyDescent="0.3">
      <c r="A2924" s="18" t="s">
        <v>5813</v>
      </c>
      <c r="B2924" s="19" t="s">
        <v>15</v>
      </c>
      <c r="C2924" s="18" t="s">
        <v>918</v>
      </c>
      <c r="D2924" s="18" t="s">
        <v>17</v>
      </c>
      <c r="E2924" s="18" t="s">
        <v>74</v>
      </c>
      <c r="F2924" s="18" t="s">
        <v>5839</v>
      </c>
      <c r="G2924" s="18" t="s">
        <v>160</v>
      </c>
      <c r="H2924" s="18" t="s">
        <v>5815</v>
      </c>
      <c r="I2924" s="20" t="s">
        <v>5840</v>
      </c>
      <c r="J2924" s="18" t="s">
        <v>179</v>
      </c>
      <c r="K2924" s="18" t="s">
        <v>24</v>
      </c>
      <c r="L2924" s="18" t="s">
        <v>25</v>
      </c>
      <c r="N2924" s="18" t="s">
        <v>807</v>
      </c>
    </row>
    <row r="2925" spans="1:14" ht="15" customHeight="1" x14ac:dyDescent="0.3">
      <c r="A2925" s="18" t="s">
        <v>5841</v>
      </c>
      <c r="B2925" s="19" t="s">
        <v>15</v>
      </c>
      <c r="C2925" s="18" t="s">
        <v>1449</v>
      </c>
      <c r="D2925" s="18" t="s">
        <v>17</v>
      </c>
      <c r="E2925" s="18" t="s">
        <v>117</v>
      </c>
      <c r="F2925" s="18" t="s">
        <v>5842</v>
      </c>
      <c r="G2925" s="18" t="s">
        <v>85</v>
      </c>
      <c r="H2925" s="18" t="s">
        <v>5843</v>
      </c>
      <c r="I2925" s="20" t="s">
        <v>5844</v>
      </c>
      <c r="J2925" s="18" t="s">
        <v>58</v>
      </c>
      <c r="K2925" s="18" t="s">
        <v>24</v>
      </c>
      <c r="L2925" s="18" t="s">
        <v>25</v>
      </c>
      <c r="N2925" s="18" t="s">
        <v>154</v>
      </c>
    </row>
    <row r="2926" spans="1:14" ht="15" customHeight="1" x14ac:dyDescent="0.3">
      <c r="A2926" s="18" t="s">
        <v>5841</v>
      </c>
      <c r="B2926" s="19" t="s">
        <v>15</v>
      </c>
      <c r="C2926" s="18" t="s">
        <v>1449</v>
      </c>
      <c r="D2926" s="18" t="s">
        <v>17</v>
      </c>
      <c r="E2926" s="18" t="s">
        <v>117</v>
      </c>
      <c r="F2926" s="18" t="s">
        <v>85</v>
      </c>
      <c r="G2926" s="18" t="s">
        <v>85</v>
      </c>
      <c r="H2926" s="18" t="s">
        <v>5843</v>
      </c>
      <c r="I2926" s="20" t="s">
        <v>5845</v>
      </c>
      <c r="J2926" s="18" t="s">
        <v>58</v>
      </c>
      <c r="K2926" s="18" t="s">
        <v>24</v>
      </c>
      <c r="L2926" s="18" t="s">
        <v>25</v>
      </c>
      <c r="N2926" s="18" t="s">
        <v>154</v>
      </c>
    </row>
    <row r="2927" spans="1:14" ht="15" customHeight="1" x14ac:dyDescent="0.3">
      <c r="A2927" s="18" t="s">
        <v>5841</v>
      </c>
      <c r="B2927" s="19" t="s">
        <v>15</v>
      </c>
      <c r="C2927" s="18" t="s">
        <v>1449</v>
      </c>
      <c r="D2927" s="18" t="s">
        <v>17</v>
      </c>
      <c r="E2927" s="18" t="s">
        <v>117</v>
      </c>
      <c r="F2927" s="18" t="s">
        <v>5846</v>
      </c>
      <c r="G2927" s="18" t="s">
        <v>1075</v>
      </c>
      <c r="H2927" s="18" t="s">
        <v>5847</v>
      </c>
      <c r="I2927" s="20" t="s">
        <v>5848</v>
      </c>
      <c r="J2927" s="18" t="s">
        <v>58</v>
      </c>
      <c r="K2927" s="18" t="s">
        <v>24</v>
      </c>
      <c r="L2927" s="18" t="s">
        <v>25</v>
      </c>
      <c r="N2927" s="18" t="s">
        <v>154</v>
      </c>
    </row>
    <row r="2928" spans="1:14" ht="15" customHeight="1" x14ac:dyDescent="0.3">
      <c r="A2928" s="18" t="s">
        <v>5841</v>
      </c>
      <c r="B2928" s="19" t="s">
        <v>15</v>
      </c>
      <c r="C2928" s="18" t="s">
        <v>1449</v>
      </c>
      <c r="D2928" s="18" t="s">
        <v>17</v>
      </c>
      <c r="E2928" s="18" t="s">
        <v>117</v>
      </c>
      <c r="F2928" s="18" t="s">
        <v>5849</v>
      </c>
      <c r="G2928" s="18" t="s">
        <v>1075</v>
      </c>
      <c r="H2928" s="18" t="s">
        <v>5847</v>
      </c>
      <c r="I2928" s="20" t="s">
        <v>5850</v>
      </c>
      <c r="J2928" s="18" t="s">
        <v>58</v>
      </c>
      <c r="K2928" s="18" t="s">
        <v>24</v>
      </c>
      <c r="L2928" s="18" t="s">
        <v>25</v>
      </c>
      <c r="N2928" s="18" t="s">
        <v>154</v>
      </c>
    </row>
    <row r="2929" spans="1:14" ht="15" customHeight="1" x14ac:dyDescent="0.3">
      <c r="A2929" s="18" t="s">
        <v>5841</v>
      </c>
      <c r="B2929" s="19" t="s">
        <v>15</v>
      </c>
      <c r="C2929" s="18" t="s">
        <v>1449</v>
      </c>
      <c r="D2929" s="18" t="s">
        <v>17</v>
      </c>
      <c r="E2929" s="18" t="s">
        <v>117</v>
      </c>
      <c r="F2929" s="18" t="s">
        <v>1741</v>
      </c>
      <c r="G2929" s="18" t="s">
        <v>1204</v>
      </c>
      <c r="H2929" s="18" t="s">
        <v>5847</v>
      </c>
      <c r="I2929" s="20" t="s">
        <v>5851</v>
      </c>
      <c r="J2929" s="18" t="s">
        <v>58</v>
      </c>
      <c r="K2929" s="18" t="s">
        <v>24</v>
      </c>
      <c r="L2929" s="18" t="s">
        <v>25</v>
      </c>
      <c r="N2929" s="18" t="s">
        <v>154</v>
      </c>
    </row>
    <row r="2930" spans="1:14" ht="15" customHeight="1" x14ac:dyDescent="0.3">
      <c r="A2930" s="18" t="s">
        <v>5841</v>
      </c>
      <c r="B2930" s="19" t="s">
        <v>15</v>
      </c>
      <c r="C2930" s="18" t="s">
        <v>1449</v>
      </c>
      <c r="D2930" s="18" t="s">
        <v>17</v>
      </c>
      <c r="E2930" s="18" t="s">
        <v>117</v>
      </c>
      <c r="F2930" s="18" t="s">
        <v>1309</v>
      </c>
      <c r="G2930" s="18" t="s">
        <v>629</v>
      </c>
      <c r="H2930" s="18" t="s">
        <v>5843</v>
      </c>
      <c r="I2930" s="20" t="s">
        <v>5852</v>
      </c>
      <c r="J2930" s="18" t="s">
        <v>58</v>
      </c>
      <c r="K2930" s="18" t="s">
        <v>24</v>
      </c>
      <c r="L2930" s="18" t="s">
        <v>25</v>
      </c>
      <c r="N2930" s="18" t="s">
        <v>154</v>
      </c>
    </row>
    <row r="2931" spans="1:14" ht="15" customHeight="1" x14ac:dyDescent="0.3">
      <c r="A2931" s="18" t="s">
        <v>5841</v>
      </c>
      <c r="B2931" s="19" t="s">
        <v>15</v>
      </c>
      <c r="C2931" s="18" t="s">
        <v>1449</v>
      </c>
      <c r="D2931" s="18" t="s">
        <v>17</v>
      </c>
      <c r="E2931" s="18" t="s">
        <v>117</v>
      </c>
      <c r="F2931" s="18" t="s">
        <v>2697</v>
      </c>
      <c r="G2931" s="18" t="s">
        <v>93</v>
      </c>
      <c r="H2931" s="18" t="s">
        <v>5843</v>
      </c>
      <c r="I2931" s="20" t="s">
        <v>5853</v>
      </c>
      <c r="J2931" s="18" t="s">
        <v>58</v>
      </c>
      <c r="K2931" s="18" t="s">
        <v>24</v>
      </c>
      <c r="L2931" s="18" t="s">
        <v>25</v>
      </c>
      <c r="N2931" s="18" t="s">
        <v>154</v>
      </c>
    </row>
    <row r="2932" spans="1:14" ht="15" customHeight="1" x14ac:dyDescent="0.3">
      <c r="A2932" s="18" t="s">
        <v>5841</v>
      </c>
      <c r="B2932" s="19" t="s">
        <v>15</v>
      </c>
      <c r="C2932" s="18" t="s">
        <v>1449</v>
      </c>
      <c r="D2932" s="18" t="s">
        <v>17</v>
      </c>
      <c r="E2932" s="18" t="s">
        <v>117</v>
      </c>
      <c r="F2932" s="18" t="s">
        <v>5854</v>
      </c>
      <c r="G2932" s="18" t="s">
        <v>537</v>
      </c>
      <c r="H2932" s="18" t="s">
        <v>5843</v>
      </c>
      <c r="I2932" s="20" t="s">
        <v>5855</v>
      </c>
      <c r="J2932" s="18" t="s">
        <v>58</v>
      </c>
      <c r="K2932" s="18" t="s">
        <v>24</v>
      </c>
      <c r="L2932" s="18" t="s">
        <v>25</v>
      </c>
      <c r="N2932" s="18" t="s">
        <v>154</v>
      </c>
    </row>
    <row r="2933" spans="1:14" ht="15" customHeight="1" x14ac:dyDescent="0.3">
      <c r="A2933" s="18" t="s">
        <v>5841</v>
      </c>
      <c r="B2933" s="19" t="s">
        <v>15</v>
      </c>
      <c r="C2933" s="18" t="s">
        <v>1449</v>
      </c>
      <c r="D2933" s="18" t="s">
        <v>17</v>
      </c>
      <c r="E2933" s="18" t="s">
        <v>117</v>
      </c>
      <c r="F2933" s="18" t="s">
        <v>5856</v>
      </c>
      <c r="G2933" s="18" t="s">
        <v>41</v>
      </c>
      <c r="H2933" s="18" t="s">
        <v>5843</v>
      </c>
      <c r="I2933" s="20" t="s">
        <v>5857</v>
      </c>
      <c r="J2933" s="18" t="s">
        <v>58</v>
      </c>
      <c r="K2933" s="18" t="s">
        <v>24</v>
      </c>
      <c r="L2933" s="18" t="s">
        <v>25</v>
      </c>
      <c r="N2933" s="18" t="s">
        <v>154</v>
      </c>
    </row>
    <row r="2934" spans="1:14" ht="15" customHeight="1" x14ac:dyDescent="0.3">
      <c r="A2934" s="18" t="s">
        <v>5841</v>
      </c>
      <c r="B2934" s="19" t="s">
        <v>15</v>
      </c>
      <c r="C2934" s="18" t="s">
        <v>1449</v>
      </c>
      <c r="D2934" s="18" t="s">
        <v>17</v>
      </c>
      <c r="E2934" s="18" t="s">
        <v>117</v>
      </c>
      <c r="F2934" s="18" t="s">
        <v>2699</v>
      </c>
      <c r="G2934" s="18" t="s">
        <v>41</v>
      </c>
      <c r="H2934" s="18" t="s">
        <v>5843</v>
      </c>
      <c r="I2934" s="20" t="s">
        <v>5858</v>
      </c>
      <c r="J2934" s="18" t="s">
        <v>58</v>
      </c>
      <c r="K2934" s="18" t="s">
        <v>24</v>
      </c>
      <c r="L2934" s="18" t="s">
        <v>25</v>
      </c>
      <c r="N2934" s="18" t="s">
        <v>154</v>
      </c>
    </row>
    <row r="2935" spans="1:14" ht="15" customHeight="1" x14ac:dyDescent="0.3">
      <c r="A2935" s="18" t="s">
        <v>5841</v>
      </c>
      <c r="B2935" s="19" t="s">
        <v>15</v>
      </c>
      <c r="C2935" s="18" t="s">
        <v>1449</v>
      </c>
      <c r="D2935" s="18" t="s">
        <v>17</v>
      </c>
      <c r="E2935" s="18" t="s">
        <v>117</v>
      </c>
      <c r="F2935" s="18" t="s">
        <v>2228</v>
      </c>
      <c r="G2935" s="18" t="s">
        <v>537</v>
      </c>
      <c r="H2935" s="18" t="s">
        <v>5843</v>
      </c>
      <c r="I2935" s="20" t="s">
        <v>5859</v>
      </c>
      <c r="J2935" s="18" t="s">
        <v>58</v>
      </c>
      <c r="K2935" s="18" t="s">
        <v>24</v>
      </c>
      <c r="L2935" s="18" t="s">
        <v>25</v>
      </c>
      <c r="N2935" s="18" t="s">
        <v>154</v>
      </c>
    </row>
    <row r="2936" spans="1:14" ht="15" customHeight="1" x14ac:dyDescent="0.3">
      <c r="A2936" s="18" t="s">
        <v>5841</v>
      </c>
      <c r="B2936" s="19" t="s">
        <v>15</v>
      </c>
      <c r="C2936" s="18" t="s">
        <v>1449</v>
      </c>
      <c r="D2936" s="18" t="s">
        <v>17</v>
      </c>
      <c r="E2936" s="18" t="s">
        <v>117</v>
      </c>
      <c r="F2936" s="18" t="s">
        <v>5860</v>
      </c>
      <c r="G2936" s="18" t="s">
        <v>41</v>
      </c>
      <c r="H2936" s="18" t="s">
        <v>5843</v>
      </c>
      <c r="I2936" s="20" t="s">
        <v>5861</v>
      </c>
      <c r="J2936" s="18" t="s">
        <v>58</v>
      </c>
      <c r="K2936" s="18" t="s">
        <v>24</v>
      </c>
      <c r="L2936" s="18" t="s">
        <v>25</v>
      </c>
      <c r="N2936" s="18" t="s">
        <v>154</v>
      </c>
    </row>
    <row r="2937" spans="1:14" ht="15" customHeight="1" x14ac:dyDescent="0.3">
      <c r="A2937" s="18" t="s">
        <v>5841</v>
      </c>
      <c r="B2937" s="19" t="s">
        <v>15</v>
      </c>
      <c r="C2937" s="18" t="s">
        <v>1449</v>
      </c>
      <c r="D2937" s="18" t="s">
        <v>17</v>
      </c>
      <c r="E2937" s="18" t="s">
        <v>117</v>
      </c>
      <c r="F2937" s="18" t="s">
        <v>5862</v>
      </c>
      <c r="G2937" s="18" t="s">
        <v>1204</v>
      </c>
      <c r="H2937" s="18" t="s">
        <v>5847</v>
      </c>
      <c r="I2937" s="20" t="s">
        <v>5863</v>
      </c>
      <c r="J2937" s="18" t="s">
        <v>58</v>
      </c>
      <c r="K2937" s="18" t="s">
        <v>24</v>
      </c>
      <c r="L2937" s="18" t="s">
        <v>25</v>
      </c>
      <c r="N2937" s="18" t="s">
        <v>154</v>
      </c>
    </row>
    <row r="2938" spans="1:14" ht="15" customHeight="1" x14ac:dyDescent="0.3">
      <c r="A2938" s="18" t="s">
        <v>5841</v>
      </c>
      <c r="B2938" s="19" t="s">
        <v>15</v>
      </c>
      <c r="C2938" s="18" t="s">
        <v>1449</v>
      </c>
      <c r="D2938" s="18" t="s">
        <v>17</v>
      </c>
      <c r="E2938" s="18" t="s">
        <v>117</v>
      </c>
      <c r="F2938" s="18" t="s">
        <v>1318</v>
      </c>
      <c r="G2938" s="18" t="s">
        <v>207</v>
      </c>
      <c r="H2938" s="18" t="s">
        <v>5843</v>
      </c>
      <c r="I2938" s="20" t="s">
        <v>5864</v>
      </c>
      <c r="J2938" s="18" t="s">
        <v>58</v>
      </c>
      <c r="K2938" s="18" t="s">
        <v>24</v>
      </c>
      <c r="L2938" s="18" t="s">
        <v>25</v>
      </c>
      <c r="N2938" s="18" t="s">
        <v>154</v>
      </c>
    </row>
    <row r="2939" spans="1:14" ht="15" customHeight="1" x14ac:dyDescent="0.3">
      <c r="A2939" s="18" t="s">
        <v>5841</v>
      </c>
      <c r="B2939" s="19" t="s">
        <v>15</v>
      </c>
      <c r="C2939" s="18" t="s">
        <v>1449</v>
      </c>
      <c r="D2939" s="18" t="s">
        <v>17</v>
      </c>
      <c r="E2939" s="18" t="s">
        <v>117</v>
      </c>
      <c r="F2939" s="18" t="s">
        <v>5865</v>
      </c>
      <c r="G2939" s="18" t="s">
        <v>34</v>
      </c>
      <c r="H2939" s="18" t="s">
        <v>5847</v>
      </c>
      <c r="I2939" s="20" t="s">
        <v>5866</v>
      </c>
      <c r="J2939" s="18" t="s">
        <v>58</v>
      </c>
      <c r="K2939" s="18" t="s">
        <v>24</v>
      </c>
      <c r="L2939" s="18" t="s">
        <v>25</v>
      </c>
      <c r="N2939" s="18" t="s">
        <v>154</v>
      </c>
    </row>
    <row r="2940" spans="1:14" ht="15" customHeight="1" x14ac:dyDescent="0.3">
      <c r="A2940" s="18" t="s">
        <v>5841</v>
      </c>
      <c r="B2940" s="19" t="s">
        <v>15</v>
      </c>
      <c r="C2940" s="18" t="s">
        <v>1449</v>
      </c>
      <c r="D2940" s="18" t="s">
        <v>17</v>
      </c>
      <c r="E2940" s="18" t="s">
        <v>117</v>
      </c>
      <c r="F2940" s="18" t="s">
        <v>128</v>
      </c>
      <c r="G2940" s="18" t="s">
        <v>47</v>
      </c>
      <c r="H2940" s="18" t="s">
        <v>5847</v>
      </c>
      <c r="I2940" s="20" t="s">
        <v>5867</v>
      </c>
      <c r="J2940" s="18" t="s">
        <v>58</v>
      </c>
      <c r="K2940" s="18" t="s">
        <v>24</v>
      </c>
      <c r="L2940" s="18" t="s">
        <v>25</v>
      </c>
      <c r="N2940" s="18" t="s">
        <v>154</v>
      </c>
    </row>
    <row r="2941" spans="1:14" ht="15" customHeight="1" x14ac:dyDescent="0.3">
      <c r="A2941" s="18" t="s">
        <v>5841</v>
      </c>
      <c r="B2941" s="19" t="s">
        <v>15</v>
      </c>
      <c r="C2941" s="18" t="s">
        <v>1449</v>
      </c>
      <c r="D2941" s="18" t="s">
        <v>17</v>
      </c>
      <c r="E2941" s="18" t="s">
        <v>117</v>
      </c>
      <c r="F2941" s="18" t="s">
        <v>5868</v>
      </c>
      <c r="G2941" s="18" t="s">
        <v>34</v>
      </c>
      <c r="H2941" s="18" t="s">
        <v>5847</v>
      </c>
      <c r="I2941" s="20" t="s">
        <v>5869</v>
      </c>
      <c r="J2941" s="18" t="s">
        <v>58</v>
      </c>
      <c r="K2941" s="18" t="s">
        <v>24</v>
      </c>
      <c r="L2941" s="18" t="s">
        <v>25</v>
      </c>
      <c r="N2941" s="18" t="s">
        <v>154</v>
      </c>
    </row>
    <row r="2942" spans="1:14" ht="15" customHeight="1" x14ac:dyDescent="0.3">
      <c r="A2942" s="18" t="s">
        <v>5841</v>
      </c>
      <c r="B2942" s="19" t="s">
        <v>15</v>
      </c>
      <c r="C2942" s="18" t="s">
        <v>1449</v>
      </c>
      <c r="D2942" s="18" t="s">
        <v>17</v>
      </c>
      <c r="E2942" s="18" t="s">
        <v>117</v>
      </c>
      <c r="F2942" s="18" t="s">
        <v>1235</v>
      </c>
      <c r="G2942" s="18" t="s">
        <v>47</v>
      </c>
      <c r="H2942" s="18" t="s">
        <v>5847</v>
      </c>
      <c r="I2942" s="20" t="s">
        <v>5870</v>
      </c>
      <c r="J2942" s="18" t="s">
        <v>58</v>
      </c>
      <c r="K2942" s="18" t="s">
        <v>24</v>
      </c>
      <c r="L2942" s="18" t="s">
        <v>25</v>
      </c>
      <c r="N2942" s="18" t="s">
        <v>154</v>
      </c>
    </row>
    <row r="2943" spans="1:14" ht="15" customHeight="1" x14ac:dyDescent="0.3">
      <c r="A2943" s="18" t="s">
        <v>5841</v>
      </c>
      <c r="B2943" s="19" t="s">
        <v>15</v>
      </c>
      <c r="C2943" s="18" t="s">
        <v>1449</v>
      </c>
      <c r="D2943" s="18" t="s">
        <v>17</v>
      </c>
      <c r="E2943" s="18" t="s">
        <v>18</v>
      </c>
      <c r="F2943" s="18" t="s">
        <v>1806</v>
      </c>
      <c r="G2943" s="18" t="s">
        <v>85</v>
      </c>
      <c r="H2943" s="18" t="s">
        <v>5843</v>
      </c>
      <c r="I2943" s="20" t="s">
        <v>5871</v>
      </c>
      <c r="J2943" s="18" t="s">
        <v>30</v>
      </c>
      <c r="K2943" s="18" t="s">
        <v>24</v>
      </c>
      <c r="L2943" s="18" t="s">
        <v>25</v>
      </c>
      <c r="N2943" s="18" t="s">
        <v>154</v>
      </c>
    </row>
    <row r="2944" spans="1:14" ht="15" customHeight="1" x14ac:dyDescent="0.3">
      <c r="A2944" s="18" t="s">
        <v>5841</v>
      </c>
      <c r="B2944" s="19" t="s">
        <v>15</v>
      </c>
      <c r="C2944" s="18" t="s">
        <v>1449</v>
      </c>
      <c r="D2944" s="18" t="s">
        <v>17</v>
      </c>
      <c r="E2944" s="18" t="s">
        <v>18</v>
      </c>
      <c r="F2944" s="18" t="s">
        <v>5872</v>
      </c>
      <c r="G2944" s="18" t="s">
        <v>1075</v>
      </c>
      <c r="H2944" s="18" t="s">
        <v>5847</v>
      </c>
      <c r="I2944" s="20" t="s">
        <v>5873</v>
      </c>
      <c r="J2944" s="18" t="s">
        <v>30</v>
      </c>
      <c r="K2944" s="18" t="s">
        <v>24</v>
      </c>
      <c r="L2944" s="18" t="s">
        <v>25</v>
      </c>
      <c r="N2944" s="18" t="s">
        <v>154</v>
      </c>
    </row>
    <row r="2945" spans="1:14" ht="15" customHeight="1" x14ac:dyDescent="0.3">
      <c r="A2945" s="18" t="s">
        <v>5841</v>
      </c>
      <c r="B2945" s="19" t="s">
        <v>15</v>
      </c>
      <c r="C2945" s="18" t="s">
        <v>1449</v>
      </c>
      <c r="D2945" s="18" t="s">
        <v>17</v>
      </c>
      <c r="E2945" s="18" t="s">
        <v>18</v>
      </c>
      <c r="F2945" s="18" t="s">
        <v>1072</v>
      </c>
      <c r="G2945" s="18" t="s">
        <v>47</v>
      </c>
      <c r="H2945" s="18" t="s">
        <v>5847</v>
      </c>
      <c r="I2945" s="20" t="s">
        <v>5874</v>
      </c>
      <c r="J2945" s="18" t="s">
        <v>30</v>
      </c>
      <c r="K2945" s="18" t="s">
        <v>24</v>
      </c>
      <c r="L2945" s="18" t="s">
        <v>25</v>
      </c>
      <c r="N2945" s="18" t="s">
        <v>154</v>
      </c>
    </row>
    <row r="2946" spans="1:14" ht="15" customHeight="1" x14ac:dyDescent="0.3">
      <c r="A2946" s="18" t="s">
        <v>5841</v>
      </c>
      <c r="B2946" s="19" t="s">
        <v>15</v>
      </c>
      <c r="C2946" s="18" t="s">
        <v>1449</v>
      </c>
      <c r="D2946" s="18" t="s">
        <v>17</v>
      </c>
      <c r="E2946" s="18" t="s">
        <v>18</v>
      </c>
      <c r="F2946" s="18" t="s">
        <v>34</v>
      </c>
      <c r="G2946" s="18" t="s">
        <v>34</v>
      </c>
      <c r="H2946" s="18" t="s">
        <v>5847</v>
      </c>
      <c r="I2946" s="20" t="s">
        <v>5875</v>
      </c>
      <c r="J2946" s="18" t="s">
        <v>30</v>
      </c>
      <c r="K2946" s="18" t="s">
        <v>24</v>
      </c>
      <c r="L2946" s="18" t="s">
        <v>25</v>
      </c>
      <c r="N2946" s="18" t="s">
        <v>154</v>
      </c>
    </row>
    <row r="2947" spans="1:14" ht="15" customHeight="1" x14ac:dyDescent="0.3">
      <c r="A2947" s="18" t="s">
        <v>5841</v>
      </c>
      <c r="B2947" s="19" t="s">
        <v>15</v>
      </c>
      <c r="C2947" s="18" t="s">
        <v>1449</v>
      </c>
      <c r="D2947" s="18" t="s">
        <v>17</v>
      </c>
      <c r="E2947" s="18" t="s">
        <v>18</v>
      </c>
      <c r="F2947" s="18" t="s">
        <v>40</v>
      </c>
      <c r="G2947" s="18" t="s">
        <v>41</v>
      </c>
      <c r="H2947" s="18" t="s">
        <v>5843</v>
      </c>
      <c r="I2947" s="20" t="s">
        <v>5876</v>
      </c>
      <c r="J2947" s="18" t="s">
        <v>30</v>
      </c>
      <c r="K2947" s="18" t="s">
        <v>24</v>
      </c>
      <c r="L2947" s="18" t="s">
        <v>25</v>
      </c>
      <c r="N2947" s="18" t="s">
        <v>154</v>
      </c>
    </row>
    <row r="2948" spans="1:14" ht="15" customHeight="1" x14ac:dyDescent="0.3">
      <c r="A2948" s="18" t="s">
        <v>5841</v>
      </c>
      <c r="B2948" s="19" t="s">
        <v>15</v>
      </c>
      <c r="C2948" s="18" t="s">
        <v>1449</v>
      </c>
      <c r="D2948" s="18" t="s">
        <v>17</v>
      </c>
      <c r="E2948" s="18" t="s">
        <v>18</v>
      </c>
      <c r="F2948" s="18" t="s">
        <v>5877</v>
      </c>
      <c r="G2948" s="18" t="s">
        <v>537</v>
      </c>
      <c r="H2948" s="18" t="s">
        <v>5843</v>
      </c>
      <c r="I2948" s="20" t="s">
        <v>5878</v>
      </c>
      <c r="J2948" s="18" t="s">
        <v>30</v>
      </c>
      <c r="K2948" s="18" t="s">
        <v>24</v>
      </c>
      <c r="L2948" s="18" t="s">
        <v>25</v>
      </c>
      <c r="M2948" s="18" t="s">
        <v>39</v>
      </c>
      <c r="N2948" s="18" t="s">
        <v>154</v>
      </c>
    </row>
    <row r="2949" spans="1:14" ht="15" customHeight="1" x14ac:dyDescent="0.3">
      <c r="A2949" s="18" t="s">
        <v>5841</v>
      </c>
      <c r="B2949" s="19" t="s">
        <v>15</v>
      </c>
      <c r="C2949" s="18" t="s">
        <v>1449</v>
      </c>
      <c r="D2949" s="18" t="s">
        <v>17</v>
      </c>
      <c r="E2949" s="18" t="s">
        <v>55</v>
      </c>
      <c r="F2949" s="18" t="s">
        <v>5879</v>
      </c>
      <c r="G2949" s="18" t="s">
        <v>41</v>
      </c>
      <c r="H2949" s="18" t="s">
        <v>5847</v>
      </c>
      <c r="I2949" s="20" t="s">
        <v>5880</v>
      </c>
      <c r="J2949" s="18" t="s">
        <v>58</v>
      </c>
      <c r="K2949" s="18" t="s">
        <v>24</v>
      </c>
      <c r="L2949" s="18" t="s">
        <v>25</v>
      </c>
      <c r="N2949" s="18" t="s">
        <v>154</v>
      </c>
    </row>
    <row r="2950" spans="1:14" ht="15" customHeight="1" x14ac:dyDescent="0.3">
      <c r="A2950" s="18" t="s">
        <v>5841</v>
      </c>
      <c r="B2950" s="19" t="s">
        <v>15</v>
      </c>
      <c r="C2950" s="18" t="s">
        <v>1449</v>
      </c>
      <c r="D2950" s="18" t="s">
        <v>17</v>
      </c>
      <c r="E2950" s="18" t="s">
        <v>55</v>
      </c>
      <c r="F2950" s="18" t="s">
        <v>5881</v>
      </c>
      <c r="G2950" s="18" t="s">
        <v>47</v>
      </c>
      <c r="H2950" s="18" t="s">
        <v>5847</v>
      </c>
      <c r="I2950" s="20" t="s">
        <v>5882</v>
      </c>
      <c r="J2950" s="18" t="s">
        <v>58</v>
      </c>
      <c r="K2950" s="18" t="s">
        <v>24</v>
      </c>
      <c r="L2950" s="18" t="s">
        <v>25</v>
      </c>
      <c r="N2950" s="18" t="s">
        <v>154</v>
      </c>
    </row>
    <row r="2951" spans="1:14" ht="15" customHeight="1" x14ac:dyDescent="0.3">
      <c r="A2951" s="18" t="s">
        <v>5883</v>
      </c>
      <c r="B2951" s="19" t="s">
        <v>15</v>
      </c>
      <c r="C2951" s="18" t="s">
        <v>149</v>
      </c>
      <c r="D2951" s="18" t="s">
        <v>17</v>
      </c>
      <c r="E2951" s="18" t="s">
        <v>18</v>
      </c>
      <c r="F2951" s="18" t="s">
        <v>40</v>
      </c>
      <c r="G2951" s="18" t="s">
        <v>41</v>
      </c>
      <c r="H2951" s="18" t="s">
        <v>5884</v>
      </c>
      <c r="I2951" s="20" t="s">
        <v>5885</v>
      </c>
      <c r="J2951" s="18" t="s">
        <v>30</v>
      </c>
      <c r="K2951" s="18" t="s">
        <v>24</v>
      </c>
      <c r="L2951" s="18" t="s">
        <v>25</v>
      </c>
      <c r="N2951" s="18" t="s">
        <v>154</v>
      </c>
    </row>
    <row r="2952" spans="1:14" ht="15" customHeight="1" x14ac:dyDescent="0.3">
      <c r="A2952" s="18" t="s">
        <v>5883</v>
      </c>
      <c r="B2952" s="19" t="s">
        <v>15</v>
      </c>
      <c r="C2952" s="18" t="s">
        <v>149</v>
      </c>
      <c r="D2952" s="18" t="s">
        <v>17</v>
      </c>
      <c r="E2952" s="18" t="s">
        <v>18</v>
      </c>
      <c r="F2952" s="18" t="s">
        <v>1309</v>
      </c>
      <c r="G2952" s="18" t="s">
        <v>536</v>
      </c>
      <c r="H2952" s="18" t="s">
        <v>5884</v>
      </c>
      <c r="I2952" s="20" t="s">
        <v>5886</v>
      </c>
      <c r="J2952" s="18" t="s">
        <v>30</v>
      </c>
      <c r="K2952" s="18" t="s">
        <v>24</v>
      </c>
      <c r="L2952" s="18" t="s">
        <v>25</v>
      </c>
      <c r="N2952" s="18" t="s">
        <v>154</v>
      </c>
    </row>
    <row r="2953" spans="1:14" ht="15" customHeight="1" x14ac:dyDescent="0.3">
      <c r="A2953" s="18" t="s">
        <v>5883</v>
      </c>
      <c r="B2953" s="19" t="s">
        <v>15</v>
      </c>
      <c r="C2953" s="18" t="s">
        <v>149</v>
      </c>
      <c r="D2953" s="18" t="s">
        <v>17</v>
      </c>
      <c r="E2953" s="18" t="s">
        <v>18</v>
      </c>
      <c r="F2953" s="18" t="s">
        <v>1450</v>
      </c>
      <c r="G2953" s="18" t="s">
        <v>41</v>
      </c>
      <c r="H2953" s="18" t="s">
        <v>5884</v>
      </c>
      <c r="I2953" s="20" t="s">
        <v>5887</v>
      </c>
      <c r="J2953" s="18" t="s">
        <v>30</v>
      </c>
      <c r="K2953" s="18" t="s">
        <v>24</v>
      </c>
      <c r="L2953" s="18" t="s">
        <v>25</v>
      </c>
      <c r="N2953" s="18" t="s">
        <v>154</v>
      </c>
    </row>
    <row r="2954" spans="1:14" ht="15" customHeight="1" x14ac:dyDescent="0.3">
      <c r="A2954" s="18" t="s">
        <v>5883</v>
      </c>
      <c r="B2954" s="19" t="s">
        <v>15</v>
      </c>
      <c r="C2954" s="18" t="s">
        <v>149</v>
      </c>
      <c r="D2954" s="18" t="s">
        <v>17</v>
      </c>
      <c r="E2954" s="18" t="s">
        <v>18</v>
      </c>
      <c r="F2954" s="18" t="s">
        <v>5888</v>
      </c>
      <c r="G2954" s="18" t="s">
        <v>41</v>
      </c>
      <c r="H2954" s="18" t="s">
        <v>5884</v>
      </c>
      <c r="I2954" s="20" t="s">
        <v>5889</v>
      </c>
      <c r="J2954" s="18" t="s">
        <v>30</v>
      </c>
      <c r="K2954" s="18" t="s">
        <v>24</v>
      </c>
      <c r="L2954" s="18" t="s">
        <v>25</v>
      </c>
      <c r="N2954" s="18" t="s">
        <v>154</v>
      </c>
    </row>
    <row r="2955" spans="1:14" ht="15" customHeight="1" x14ac:dyDescent="0.3">
      <c r="A2955" s="18" t="s">
        <v>5883</v>
      </c>
      <c r="B2955" s="19" t="s">
        <v>15</v>
      </c>
      <c r="C2955" s="18" t="s">
        <v>149</v>
      </c>
      <c r="D2955" s="18" t="s">
        <v>17</v>
      </c>
      <c r="E2955" s="18" t="s">
        <v>18</v>
      </c>
      <c r="F2955" s="18" t="s">
        <v>537</v>
      </c>
      <c r="G2955" s="18" t="s">
        <v>536</v>
      </c>
      <c r="H2955" s="18" t="s">
        <v>5884</v>
      </c>
      <c r="I2955" s="20" t="s">
        <v>5890</v>
      </c>
      <c r="J2955" s="18" t="s">
        <v>30</v>
      </c>
      <c r="K2955" s="18" t="s">
        <v>24</v>
      </c>
      <c r="L2955" s="18" t="s">
        <v>25</v>
      </c>
      <c r="N2955" s="18" t="s">
        <v>154</v>
      </c>
    </row>
    <row r="2956" spans="1:14" ht="15" customHeight="1" x14ac:dyDescent="0.3">
      <c r="A2956" s="18" t="s">
        <v>5883</v>
      </c>
      <c r="B2956" s="19" t="s">
        <v>15</v>
      </c>
      <c r="C2956" s="18" t="s">
        <v>149</v>
      </c>
      <c r="D2956" s="18" t="s">
        <v>17</v>
      </c>
      <c r="E2956" s="18" t="s">
        <v>55</v>
      </c>
      <c r="F2956" s="18" t="s">
        <v>5891</v>
      </c>
      <c r="G2956" s="18" t="s">
        <v>219</v>
      </c>
      <c r="H2956" s="18" t="s">
        <v>5884</v>
      </c>
      <c r="I2956" s="20" t="s">
        <v>5892</v>
      </c>
      <c r="J2956" s="18" t="s">
        <v>73</v>
      </c>
      <c r="K2956" s="18" t="s">
        <v>24</v>
      </c>
      <c r="L2956" s="18" t="s">
        <v>25</v>
      </c>
      <c r="N2956" s="18" t="s">
        <v>154</v>
      </c>
    </row>
    <row r="2957" spans="1:14" ht="15" customHeight="1" x14ac:dyDescent="0.3">
      <c r="A2957" s="18" t="s">
        <v>5883</v>
      </c>
      <c r="B2957" s="19" t="s">
        <v>15</v>
      </c>
      <c r="C2957" s="18" t="s">
        <v>149</v>
      </c>
      <c r="D2957" s="18" t="s">
        <v>17</v>
      </c>
      <c r="E2957" s="18" t="s">
        <v>55</v>
      </c>
      <c r="F2957" s="18" t="s">
        <v>40</v>
      </c>
      <c r="G2957" s="18" t="s">
        <v>41</v>
      </c>
      <c r="H2957" s="18" t="s">
        <v>5884</v>
      </c>
      <c r="I2957" s="20" t="s">
        <v>5893</v>
      </c>
      <c r="J2957" s="18" t="s">
        <v>73</v>
      </c>
      <c r="K2957" s="18" t="s">
        <v>91</v>
      </c>
      <c r="L2957" s="18" t="s">
        <v>25</v>
      </c>
      <c r="N2957" s="18" t="s">
        <v>154</v>
      </c>
    </row>
    <row r="2958" spans="1:14" ht="15" customHeight="1" x14ac:dyDescent="0.3">
      <c r="A2958" s="18" t="s">
        <v>5883</v>
      </c>
      <c r="B2958" s="19" t="s">
        <v>15</v>
      </c>
      <c r="C2958" s="18" t="s">
        <v>149</v>
      </c>
      <c r="D2958" s="18" t="s">
        <v>17</v>
      </c>
      <c r="E2958" s="18" t="s">
        <v>55</v>
      </c>
      <c r="F2958" s="18" t="s">
        <v>1450</v>
      </c>
      <c r="G2958" s="18" t="s">
        <v>41</v>
      </c>
      <c r="H2958" s="18" t="s">
        <v>5884</v>
      </c>
      <c r="I2958" s="20" t="s">
        <v>5894</v>
      </c>
      <c r="J2958" s="18" t="s">
        <v>73</v>
      </c>
      <c r="K2958" s="18" t="s">
        <v>24</v>
      </c>
      <c r="L2958" s="18" t="s">
        <v>25</v>
      </c>
      <c r="N2958" s="18" t="s">
        <v>154</v>
      </c>
    </row>
    <row r="2959" spans="1:14" ht="15" customHeight="1" x14ac:dyDescent="0.3">
      <c r="A2959" s="18" t="s">
        <v>5883</v>
      </c>
      <c r="B2959" s="19" t="s">
        <v>15</v>
      </c>
      <c r="C2959" s="18" t="s">
        <v>210</v>
      </c>
      <c r="D2959" s="18" t="s">
        <v>17</v>
      </c>
      <c r="E2959" s="18" t="s">
        <v>74</v>
      </c>
      <c r="F2959" s="18" t="s">
        <v>5895</v>
      </c>
      <c r="G2959" s="18" t="s">
        <v>41</v>
      </c>
      <c r="H2959" s="18" t="s">
        <v>40</v>
      </c>
      <c r="I2959" s="20" t="s">
        <v>5896</v>
      </c>
      <c r="J2959" s="18" t="s">
        <v>307</v>
      </c>
      <c r="K2959" s="18" t="s">
        <v>91</v>
      </c>
      <c r="L2959" s="18" t="s">
        <v>25</v>
      </c>
      <c r="N2959" s="18" t="s">
        <v>26</v>
      </c>
    </row>
    <row r="2960" spans="1:14" ht="15" customHeight="1" x14ac:dyDescent="0.3">
      <c r="A2960" s="18" t="s">
        <v>5883</v>
      </c>
      <c r="B2960" s="19" t="s">
        <v>15</v>
      </c>
      <c r="C2960" s="18" t="s">
        <v>210</v>
      </c>
      <c r="D2960" s="18" t="s">
        <v>17</v>
      </c>
      <c r="E2960" s="18" t="s">
        <v>74</v>
      </c>
      <c r="F2960" s="18" t="s">
        <v>5897</v>
      </c>
      <c r="G2960" s="18" t="s">
        <v>41</v>
      </c>
      <c r="H2960" s="18" t="s">
        <v>40</v>
      </c>
      <c r="I2960" s="20" t="s">
        <v>5898</v>
      </c>
      <c r="J2960" s="18" t="s">
        <v>307</v>
      </c>
      <c r="K2960" s="18" t="s">
        <v>293</v>
      </c>
      <c r="L2960" s="18" t="s">
        <v>25</v>
      </c>
      <c r="N2960" s="18" t="s">
        <v>26</v>
      </c>
    </row>
    <row r="2961" spans="1:14" ht="15" customHeight="1" x14ac:dyDescent="0.3">
      <c r="A2961" s="18" t="s">
        <v>5883</v>
      </c>
      <c r="B2961" s="19" t="s">
        <v>15</v>
      </c>
      <c r="C2961" s="18" t="s">
        <v>210</v>
      </c>
      <c r="D2961" s="18" t="s">
        <v>17</v>
      </c>
      <c r="E2961" s="18" t="s">
        <v>74</v>
      </c>
      <c r="F2961" s="18" t="s">
        <v>5899</v>
      </c>
      <c r="G2961" s="18" t="s">
        <v>41</v>
      </c>
      <c r="H2961" s="18" t="s">
        <v>40</v>
      </c>
      <c r="I2961" s="20" t="s">
        <v>5900</v>
      </c>
      <c r="J2961" s="18" t="s">
        <v>307</v>
      </c>
      <c r="K2961" s="18" t="s">
        <v>24</v>
      </c>
      <c r="L2961" s="18" t="s">
        <v>25</v>
      </c>
      <c r="N2961" s="18" t="s">
        <v>26</v>
      </c>
    </row>
    <row r="2962" spans="1:14" ht="15" customHeight="1" x14ac:dyDescent="0.3">
      <c r="A2962" s="18" t="s">
        <v>5901</v>
      </c>
      <c r="B2962" s="19" t="s">
        <v>15</v>
      </c>
      <c r="C2962" s="18" t="s">
        <v>5902</v>
      </c>
      <c r="D2962" s="18" t="s">
        <v>17</v>
      </c>
      <c r="E2962" s="18" t="s">
        <v>117</v>
      </c>
      <c r="F2962" s="18" t="s">
        <v>1623</v>
      </c>
      <c r="G2962" s="18" t="s">
        <v>1295</v>
      </c>
      <c r="H2962" s="18" t="s">
        <v>5903</v>
      </c>
      <c r="I2962" s="20" t="s">
        <v>5904</v>
      </c>
      <c r="J2962" s="18" t="s">
        <v>58</v>
      </c>
      <c r="K2962" s="18" t="s">
        <v>24</v>
      </c>
      <c r="L2962" s="18" t="s">
        <v>25</v>
      </c>
      <c r="N2962" s="18" t="s">
        <v>154</v>
      </c>
    </row>
    <row r="2963" spans="1:14" ht="15" customHeight="1" x14ac:dyDescent="0.3">
      <c r="A2963" s="18" t="s">
        <v>5901</v>
      </c>
      <c r="B2963" s="19" t="s">
        <v>15</v>
      </c>
      <c r="C2963" s="18" t="s">
        <v>5902</v>
      </c>
      <c r="D2963" s="18" t="s">
        <v>17</v>
      </c>
      <c r="E2963" s="18" t="s">
        <v>117</v>
      </c>
      <c r="F2963" s="18" t="s">
        <v>5905</v>
      </c>
      <c r="G2963" s="18" t="s">
        <v>47</v>
      </c>
      <c r="H2963" s="18" t="s">
        <v>5903</v>
      </c>
      <c r="I2963" s="20" t="s">
        <v>5906</v>
      </c>
      <c r="J2963" s="18" t="s">
        <v>58</v>
      </c>
      <c r="K2963" s="18" t="s">
        <v>24</v>
      </c>
      <c r="L2963" s="18" t="s">
        <v>25</v>
      </c>
      <c r="N2963" s="18" t="s">
        <v>154</v>
      </c>
    </row>
    <row r="2964" spans="1:14" ht="15" customHeight="1" x14ac:dyDescent="0.3">
      <c r="A2964" s="18" t="s">
        <v>5901</v>
      </c>
      <c r="B2964" s="19" t="s">
        <v>15</v>
      </c>
      <c r="C2964" s="18" t="s">
        <v>5902</v>
      </c>
      <c r="D2964" s="18" t="s">
        <v>17</v>
      </c>
      <c r="E2964" s="18" t="s">
        <v>117</v>
      </c>
      <c r="F2964" s="18" t="s">
        <v>5907</v>
      </c>
      <c r="G2964" s="18" t="s">
        <v>160</v>
      </c>
      <c r="H2964" s="18" t="s">
        <v>5903</v>
      </c>
      <c r="I2964" s="20" t="s">
        <v>5908</v>
      </c>
      <c r="J2964" s="18" t="s">
        <v>58</v>
      </c>
      <c r="K2964" s="18" t="s">
        <v>24</v>
      </c>
      <c r="L2964" s="18" t="s">
        <v>25</v>
      </c>
      <c r="N2964" s="18" t="s">
        <v>154</v>
      </c>
    </row>
    <row r="2965" spans="1:14" ht="15" customHeight="1" x14ac:dyDescent="0.3">
      <c r="A2965" s="18" t="s">
        <v>5901</v>
      </c>
      <c r="B2965" s="19" t="s">
        <v>15</v>
      </c>
      <c r="C2965" s="18" t="s">
        <v>5902</v>
      </c>
      <c r="D2965" s="18" t="s">
        <v>17</v>
      </c>
      <c r="E2965" s="18" t="s">
        <v>117</v>
      </c>
      <c r="F2965" s="18" t="s">
        <v>5217</v>
      </c>
      <c r="G2965" s="18" t="s">
        <v>160</v>
      </c>
      <c r="H2965" s="18" t="s">
        <v>5903</v>
      </c>
      <c r="I2965" s="20" t="s">
        <v>5909</v>
      </c>
      <c r="J2965" s="18" t="s">
        <v>58</v>
      </c>
      <c r="K2965" s="18" t="s">
        <v>24</v>
      </c>
      <c r="L2965" s="18" t="s">
        <v>25</v>
      </c>
      <c r="N2965" s="18" t="s">
        <v>154</v>
      </c>
    </row>
    <row r="2966" spans="1:14" ht="15" customHeight="1" x14ac:dyDescent="0.3">
      <c r="A2966" s="18" t="s">
        <v>5901</v>
      </c>
      <c r="B2966" s="19" t="s">
        <v>15</v>
      </c>
      <c r="C2966" s="18" t="s">
        <v>5902</v>
      </c>
      <c r="D2966" s="18" t="s">
        <v>17</v>
      </c>
      <c r="E2966" s="18" t="s">
        <v>117</v>
      </c>
      <c r="F2966" s="18" t="s">
        <v>2688</v>
      </c>
      <c r="G2966" s="18" t="s">
        <v>28</v>
      </c>
      <c r="H2966" s="18" t="s">
        <v>5903</v>
      </c>
      <c r="I2966" s="20" t="s">
        <v>5910</v>
      </c>
      <c r="J2966" s="18" t="s">
        <v>58</v>
      </c>
      <c r="K2966" s="18" t="s">
        <v>24</v>
      </c>
      <c r="L2966" s="18" t="s">
        <v>25</v>
      </c>
      <c r="N2966" s="18" t="s">
        <v>154</v>
      </c>
    </row>
    <row r="2967" spans="1:14" ht="15" customHeight="1" x14ac:dyDescent="0.3">
      <c r="A2967" s="18" t="s">
        <v>5901</v>
      </c>
      <c r="B2967" s="19" t="s">
        <v>15</v>
      </c>
      <c r="C2967" s="18" t="s">
        <v>5902</v>
      </c>
      <c r="D2967" s="18" t="s">
        <v>17</v>
      </c>
      <c r="E2967" s="18" t="s">
        <v>117</v>
      </c>
      <c r="F2967" s="18" t="s">
        <v>5911</v>
      </c>
      <c r="G2967" s="18" t="s">
        <v>913</v>
      </c>
      <c r="H2967" s="18" t="s">
        <v>5903</v>
      </c>
      <c r="I2967" s="20" t="s">
        <v>5912</v>
      </c>
      <c r="J2967" s="18" t="s">
        <v>58</v>
      </c>
      <c r="K2967" s="18" t="s">
        <v>24</v>
      </c>
      <c r="L2967" s="18" t="s">
        <v>25</v>
      </c>
      <c r="N2967" s="18" t="s">
        <v>154</v>
      </c>
    </row>
    <row r="2968" spans="1:14" ht="15" customHeight="1" x14ac:dyDescent="0.3">
      <c r="A2968" s="18" t="s">
        <v>5901</v>
      </c>
      <c r="B2968" s="19" t="s">
        <v>15</v>
      </c>
      <c r="C2968" s="18" t="s">
        <v>5902</v>
      </c>
      <c r="D2968" s="18" t="s">
        <v>17</v>
      </c>
      <c r="E2968" s="18" t="s">
        <v>117</v>
      </c>
      <c r="F2968" s="18" t="s">
        <v>1637</v>
      </c>
      <c r="G2968" s="18" t="s">
        <v>1019</v>
      </c>
      <c r="H2968" s="18" t="s">
        <v>5903</v>
      </c>
      <c r="I2968" s="20" t="s">
        <v>5913</v>
      </c>
      <c r="J2968" s="18" t="s">
        <v>58</v>
      </c>
      <c r="K2968" s="18" t="s">
        <v>24</v>
      </c>
      <c r="L2968" s="18" t="s">
        <v>25</v>
      </c>
      <c r="N2968" s="18" t="s">
        <v>154</v>
      </c>
    </row>
    <row r="2969" spans="1:14" ht="15" customHeight="1" x14ac:dyDescent="0.3">
      <c r="A2969" s="18" t="s">
        <v>5901</v>
      </c>
      <c r="B2969" s="19" t="s">
        <v>15</v>
      </c>
      <c r="C2969" s="18" t="s">
        <v>5902</v>
      </c>
      <c r="D2969" s="18" t="s">
        <v>17</v>
      </c>
      <c r="E2969" s="18" t="s">
        <v>117</v>
      </c>
      <c r="F2969" s="18" t="s">
        <v>572</v>
      </c>
      <c r="G2969" s="18" t="s">
        <v>263</v>
      </c>
      <c r="H2969" s="18" t="s">
        <v>5914</v>
      </c>
      <c r="I2969" s="20" t="s">
        <v>5915</v>
      </c>
      <c r="J2969" s="18" t="s">
        <v>58</v>
      </c>
      <c r="K2969" s="18" t="s">
        <v>24</v>
      </c>
      <c r="L2969" s="18" t="s">
        <v>25</v>
      </c>
      <c r="N2969" s="18" t="s">
        <v>154</v>
      </c>
    </row>
    <row r="2970" spans="1:14" ht="15" customHeight="1" x14ac:dyDescent="0.3">
      <c r="A2970" s="18" t="s">
        <v>5901</v>
      </c>
      <c r="B2970" s="19" t="s">
        <v>15</v>
      </c>
      <c r="C2970" s="18" t="s">
        <v>5902</v>
      </c>
      <c r="D2970" s="18" t="s">
        <v>17</v>
      </c>
      <c r="E2970" s="18" t="s">
        <v>117</v>
      </c>
      <c r="F2970" s="18" t="s">
        <v>575</v>
      </c>
      <c r="G2970" s="18" t="s">
        <v>263</v>
      </c>
      <c r="H2970" s="18" t="s">
        <v>5903</v>
      </c>
      <c r="I2970" s="20" t="s">
        <v>5916</v>
      </c>
      <c r="J2970" s="18" t="s">
        <v>58</v>
      </c>
      <c r="K2970" s="18" t="s">
        <v>24</v>
      </c>
      <c r="L2970" s="18" t="s">
        <v>25</v>
      </c>
      <c r="N2970" s="18" t="s">
        <v>154</v>
      </c>
    </row>
    <row r="2971" spans="1:14" ht="15" customHeight="1" x14ac:dyDescent="0.3">
      <c r="A2971" s="18" t="s">
        <v>5901</v>
      </c>
      <c r="B2971" s="19" t="s">
        <v>15</v>
      </c>
      <c r="C2971" s="18" t="s">
        <v>5902</v>
      </c>
      <c r="D2971" s="18" t="s">
        <v>17</v>
      </c>
      <c r="E2971" s="18" t="s">
        <v>117</v>
      </c>
      <c r="F2971" s="18" t="s">
        <v>5917</v>
      </c>
      <c r="G2971" s="18" t="s">
        <v>536</v>
      </c>
      <c r="H2971" s="18" t="s">
        <v>5903</v>
      </c>
      <c r="I2971" s="20" t="s">
        <v>5918</v>
      </c>
      <c r="J2971" s="18" t="s">
        <v>58</v>
      </c>
      <c r="K2971" s="18" t="s">
        <v>24</v>
      </c>
      <c r="L2971" s="18" t="s">
        <v>25</v>
      </c>
      <c r="N2971" s="18" t="s">
        <v>154</v>
      </c>
    </row>
    <row r="2972" spans="1:14" ht="15" customHeight="1" x14ac:dyDescent="0.3">
      <c r="A2972" s="18" t="s">
        <v>5901</v>
      </c>
      <c r="B2972" s="19" t="s">
        <v>15</v>
      </c>
      <c r="C2972" s="18" t="s">
        <v>5902</v>
      </c>
      <c r="D2972" s="18" t="s">
        <v>17</v>
      </c>
      <c r="E2972" s="18" t="s">
        <v>18</v>
      </c>
      <c r="F2972" s="18" t="s">
        <v>3923</v>
      </c>
      <c r="G2972" s="18" t="s">
        <v>1019</v>
      </c>
      <c r="H2972" s="18" t="s">
        <v>5903</v>
      </c>
      <c r="I2972" s="20" t="s">
        <v>5919</v>
      </c>
      <c r="J2972" s="18" t="s">
        <v>30</v>
      </c>
      <c r="K2972" s="18" t="s">
        <v>24</v>
      </c>
      <c r="L2972" s="18" t="s">
        <v>25</v>
      </c>
      <c r="N2972" s="18" t="s">
        <v>154</v>
      </c>
    </row>
    <row r="2973" spans="1:14" ht="15" customHeight="1" x14ac:dyDescent="0.3">
      <c r="A2973" s="18" t="s">
        <v>5901</v>
      </c>
      <c r="B2973" s="19" t="s">
        <v>15</v>
      </c>
      <c r="C2973" s="18" t="s">
        <v>5902</v>
      </c>
      <c r="D2973" s="18" t="s">
        <v>17</v>
      </c>
      <c r="E2973" s="18" t="s">
        <v>18</v>
      </c>
      <c r="F2973" s="18" t="s">
        <v>2688</v>
      </c>
      <c r="G2973" s="18" t="s">
        <v>28</v>
      </c>
      <c r="H2973" s="18" t="s">
        <v>5903</v>
      </c>
      <c r="I2973" s="20" t="s">
        <v>5920</v>
      </c>
      <c r="J2973" s="18" t="s">
        <v>30</v>
      </c>
      <c r="K2973" s="18" t="s">
        <v>24</v>
      </c>
      <c r="L2973" s="18" t="s">
        <v>25</v>
      </c>
      <c r="N2973" s="18" t="s">
        <v>154</v>
      </c>
    </row>
    <row r="2974" spans="1:14" ht="15" customHeight="1" x14ac:dyDescent="0.3">
      <c r="A2974" s="18" t="s">
        <v>5901</v>
      </c>
      <c r="B2974" s="19" t="s">
        <v>15</v>
      </c>
      <c r="C2974" s="18" t="s">
        <v>5902</v>
      </c>
      <c r="D2974" s="18" t="s">
        <v>17</v>
      </c>
      <c r="E2974" s="18" t="s">
        <v>18</v>
      </c>
      <c r="F2974" s="18" t="s">
        <v>1019</v>
      </c>
      <c r="G2974" s="18" t="s">
        <v>1019</v>
      </c>
      <c r="H2974" s="18" t="s">
        <v>5903</v>
      </c>
      <c r="I2974" s="20" t="s">
        <v>5921</v>
      </c>
      <c r="J2974" s="18" t="s">
        <v>30</v>
      </c>
      <c r="K2974" s="18" t="s">
        <v>24</v>
      </c>
      <c r="L2974" s="18" t="s">
        <v>25</v>
      </c>
      <c r="N2974" s="18" t="s">
        <v>154</v>
      </c>
    </row>
    <row r="2975" spans="1:14" ht="15" customHeight="1" x14ac:dyDescent="0.3">
      <c r="A2975" s="18" t="s">
        <v>5901</v>
      </c>
      <c r="B2975" s="19" t="s">
        <v>15</v>
      </c>
      <c r="C2975" s="18" t="s">
        <v>5902</v>
      </c>
      <c r="D2975" s="18" t="s">
        <v>17</v>
      </c>
      <c r="E2975" s="18" t="s">
        <v>18</v>
      </c>
      <c r="F2975" s="18" t="s">
        <v>272</v>
      </c>
      <c r="G2975" s="18" t="s">
        <v>273</v>
      </c>
      <c r="H2975" s="18" t="s">
        <v>5903</v>
      </c>
      <c r="I2975" s="20" t="s">
        <v>5922</v>
      </c>
      <c r="J2975" s="18" t="s">
        <v>30</v>
      </c>
      <c r="K2975" s="18" t="s">
        <v>24</v>
      </c>
      <c r="L2975" s="18" t="s">
        <v>25</v>
      </c>
      <c r="N2975" s="18" t="s">
        <v>154</v>
      </c>
    </row>
    <row r="2976" spans="1:14" ht="15" customHeight="1" x14ac:dyDescent="0.3">
      <c r="A2976" s="18" t="s">
        <v>5901</v>
      </c>
      <c r="B2976" s="19" t="s">
        <v>15</v>
      </c>
      <c r="C2976" s="18" t="s">
        <v>5902</v>
      </c>
      <c r="D2976" s="18" t="s">
        <v>17</v>
      </c>
      <c r="E2976" s="18" t="s">
        <v>18</v>
      </c>
      <c r="F2976" s="18" t="s">
        <v>356</v>
      </c>
      <c r="G2976" s="18" t="s">
        <v>273</v>
      </c>
      <c r="H2976" s="18" t="s">
        <v>5903</v>
      </c>
      <c r="I2976" s="20" t="s">
        <v>5923</v>
      </c>
      <c r="J2976" s="18" t="s">
        <v>30</v>
      </c>
      <c r="K2976" s="18" t="s">
        <v>24</v>
      </c>
      <c r="L2976" s="18" t="s">
        <v>25</v>
      </c>
      <c r="N2976" s="18" t="s">
        <v>154</v>
      </c>
    </row>
    <row r="2977" spans="1:14" ht="15" customHeight="1" x14ac:dyDescent="0.3">
      <c r="A2977" s="18" t="s">
        <v>5901</v>
      </c>
      <c r="B2977" s="19" t="s">
        <v>15</v>
      </c>
      <c r="C2977" s="18" t="s">
        <v>5902</v>
      </c>
      <c r="D2977" s="18" t="s">
        <v>17</v>
      </c>
      <c r="E2977" s="18" t="s">
        <v>18</v>
      </c>
      <c r="F2977" s="18" t="s">
        <v>381</v>
      </c>
      <c r="G2977" s="18" t="s">
        <v>381</v>
      </c>
      <c r="H2977" s="18" t="s">
        <v>5914</v>
      </c>
      <c r="I2977" s="20" t="s">
        <v>5924</v>
      </c>
      <c r="J2977" s="18" t="s">
        <v>23</v>
      </c>
      <c r="K2977" s="18" t="s">
        <v>24</v>
      </c>
      <c r="L2977" s="18" t="s">
        <v>25</v>
      </c>
      <c r="N2977" s="18" t="s">
        <v>154</v>
      </c>
    </row>
    <row r="2978" spans="1:14" ht="15" customHeight="1" x14ac:dyDescent="0.3">
      <c r="A2978" s="18" t="s">
        <v>5901</v>
      </c>
      <c r="B2978" s="19" t="s">
        <v>15</v>
      </c>
      <c r="C2978" s="18" t="s">
        <v>5902</v>
      </c>
      <c r="D2978" s="18" t="s">
        <v>17</v>
      </c>
      <c r="E2978" s="18" t="s">
        <v>18</v>
      </c>
      <c r="F2978" s="18" t="s">
        <v>5925</v>
      </c>
      <c r="G2978" s="18" t="s">
        <v>160</v>
      </c>
      <c r="H2978" s="18" t="s">
        <v>5903</v>
      </c>
      <c r="I2978" s="20" t="s">
        <v>5926</v>
      </c>
      <c r="J2978" s="18" t="s">
        <v>30</v>
      </c>
      <c r="K2978" s="18" t="s">
        <v>24</v>
      </c>
      <c r="L2978" s="18" t="s">
        <v>25</v>
      </c>
      <c r="N2978" s="18" t="s">
        <v>154</v>
      </c>
    </row>
    <row r="2979" spans="1:14" ht="15" customHeight="1" x14ac:dyDescent="0.3">
      <c r="A2979" s="18" t="s">
        <v>5901</v>
      </c>
      <c r="B2979" s="19" t="s">
        <v>15</v>
      </c>
      <c r="C2979" s="18" t="s">
        <v>5902</v>
      </c>
      <c r="D2979" s="18" t="s">
        <v>17</v>
      </c>
      <c r="E2979" s="18" t="s">
        <v>55</v>
      </c>
      <c r="F2979" s="18" t="s">
        <v>5927</v>
      </c>
      <c r="G2979" s="18" t="s">
        <v>1019</v>
      </c>
      <c r="H2979" s="18" t="s">
        <v>5903</v>
      </c>
      <c r="I2979" s="20" t="s">
        <v>5928</v>
      </c>
      <c r="J2979" s="18" t="s">
        <v>58</v>
      </c>
      <c r="K2979" s="18" t="s">
        <v>24</v>
      </c>
      <c r="L2979" s="18" t="s">
        <v>25</v>
      </c>
      <c r="N2979" s="18" t="s">
        <v>154</v>
      </c>
    </row>
    <row r="2980" spans="1:14" ht="15" customHeight="1" x14ac:dyDescent="0.3">
      <c r="A2980" s="18" t="s">
        <v>5901</v>
      </c>
      <c r="B2980" s="19" t="s">
        <v>15</v>
      </c>
      <c r="C2980" s="18" t="s">
        <v>5902</v>
      </c>
      <c r="D2980" s="18" t="s">
        <v>17</v>
      </c>
      <c r="E2980" s="18" t="s">
        <v>55</v>
      </c>
      <c r="F2980" s="18" t="s">
        <v>278</v>
      </c>
      <c r="G2980" s="18" t="s">
        <v>276</v>
      </c>
      <c r="H2980" s="18" t="s">
        <v>5903</v>
      </c>
      <c r="I2980" s="20" t="s">
        <v>5929</v>
      </c>
      <c r="J2980" s="18" t="s">
        <v>58</v>
      </c>
      <c r="K2980" s="18" t="s">
        <v>24</v>
      </c>
      <c r="L2980" s="18" t="s">
        <v>25</v>
      </c>
      <c r="N2980" s="18" t="s">
        <v>154</v>
      </c>
    </row>
    <row r="2981" spans="1:14" ht="15" customHeight="1" x14ac:dyDescent="0.3">
      <c r="A2981" s="18" t="s">
        <v>5901</v>
      </c>
      <c r="B2981" s="19" t="s">
        <v>15</v>
      </c>
      <c r="C2981" s="18" t="s">
        <v>5902</v>
      </c>
      <c r="D2981" s="18" t="s">
        <v>17</v>
      </c>
      <c r="E2981" s="18" t="s">
        <v>55</v>
      </c>
      <c r="F2981" s="18" t="s">
        <v>381</v>
      </c>
      <c r="G2981" s="18" t="s">
        <v>381</v>
      </c>
      <c r="H2981" s="18" t="s">
        <v>5914</v>
      </c>
      <c r="I2981" s="20" t="s">
        <v>5930</v>
      </c>
      <c r="J2981" s="18" t="s">
        <v>73</v>
      </c>
      <c r="K2981" s="18" t="s">
        <v>24</v>
      </c>
      <c r="L2981" s="18" t="s">
        <v>25</v>
      </c>
      <c r="N2981" s="18" t="s">
        <v>154</v>
      </c>
    </row>
    <row r="2982" spans="1:14" ht="15" customHeight="1" x14ac:dyDescent="0.3">
      <c r="A2982" s="18" t="s">
        <v>5901</v>
      </c>
      <c r="B2982" s="19" t="s">
        <v>15</v>
      </c>
      <c r="C2982" s="18" t="s">
        <v>5902</v>
      </c>
      <c r="D2982" s="18" t="s">
        <v>17</v>
      </c>
      <c r="E2982" s="18" t="s">
        <v>55</v>
      </c>
      <c r="F2982" s="18" t="s">
        <v>586</v>
      </c>
      <c r="G2982" s="18" t="s">
        <v>381</v>
      </c>
      <c r="H2982" s="18" t="s">
        <v>5914</v>
      </c>
      <c r="I2982" s="20" t="s">
        <v>5931</v>
      </c>
      <c r="J2982" s="18" t="s">
        <v>73</v>
      </c>
      <c r="K2982" s="18" t="s">
        <v>24</v>
      </c>
      <c r="L2982" s="18" t="s">
        <v>25</v>
      </c>
      <c r="N2982" s="18" t="s">
        <v>154</v>
      </c>
    </row>
    <row r="2983" spans="1:14" ht="15" customHeight="1" x14ac:dyDescent="0.3">
      <c r="A2983" s="18" t="s">
        <v>5901</v>
      </c>
      <c r="B2983" s="19" t="s">
        <v>15</v>
      </c>
      <c r="C2983" s="18" t="s">
        <v>5902</v>
      </c>
      <c r="D2983" s="18" t="s">
        <v>17</v>
      </c>
      <c r="E2983" s="18" t="s">
        <v>55</v>
      </c>
      <c r="F2983" s="18" t="s">
        <v>5932</v>
      </c>
      <c r="G2983" s="18" t="s">
        <v>381</v>
      </c>
      <c r="H2983" s="18" t="s">
        <v>5914</v>
      </c>
      <c r="I2983" s="20" t="s">
        <v>5933</v>
      </c>
      <c r="J2983" s="18" t="s">
        <v>73</v>
      </c>
      <c r="K2983" s="18" t="s">
        <v>24</v>
      </c>
      <c r="L2983" s="18" t="s">
        <v>25</v>
      </c>
      <c r="N2983" s="18" t="s">
        <v>154</v>
      </c>
    </row>
    <row r="2984" spans="1:14" ht="15" customHeight="1" x14ac:dyDescent="0.3">
      <c r="A2984" s="18" t="s">
        <v>5901</v>
      </c>
      <c r="B2984" s="19" t="s">
        <v>15</v>
      </c>
      <c r="C2984" s="18" t="s">
        <v>5902</v>
      </c>
      <c r="D2984" s="18" t="s">
        <v>17</v>
      </c>
      <c r="E2984" s="18" t="s">
        <v>55</v>
      </c>
      <c r="F2984" s="18" t="s">
        <v>383</v>
      </c>
      <c r="G2984" s="18" t="s">
        <v>381</v>
      </c>
      <c r="H2984" s="18" t="s">
        <v>5914</v>
      </c>
      <c r="I2984" s="20" t="s">
        <v>5934</v>
      </c>
      <c r="J2984" s="18" t="s">
        <v>73</v>
      </c>
      <c r="K2984" s="18" t="s">
        <v>24</v>
      </c>
      <c r="L2984" s="18" t="s">
        <v>25</v>
      </c>
      <c r="N2984" s="18" t="s">
        <v>154</v>
      </c>
    </row>
    <row r="2985" spans="1:14" ht="15" customHeight="1" x14ac:dyDescent="0.3">
      <c r="A2985" s="18" t="s">
        <v>5901</v>
      </c>
      <c r="B2985" s="19" t="s">
        <v>15</v>
      </c>
      <c r="C2985" s="18" t="s">
        <v>5902</v>
      </c>
      <c r="D2985" s="18" t="s">
        <v>17</v>
      </c>
      <c r="E2985" s="18" t="s">
        <v>55</v>
      </c>
      <c r="F2985" s="18" t="s">
        <v>385</v>
      </c>
      <c r="G2985" s="18" t="s">
        <v>381</v>
      </c>
      <c r="H2985" s="18" t="s">
        <v>5914</v>
      </c>
      <c r="I2985" s="20" t="s">
        <v>5935</v>
      </c>
      <c r="J2985" s="18" t="s">
        <v>73</v>
      </c>
      <c r="K2985" s="18" t="s">
        <v>24</v>
      </c>
      <c r="L2985" s="18" t="s">
        <v>25</v>
      </c>
      <c r="N2985" s="18" t="s">
        <v>154</v>
      </c>
    </row>
    <row r="2986" spans="1:14" ht="15" customHeight="1" x14ac:dyDescent="0.3">
      <c r="A2986" s="18" t="s">
        <v>5901</v>
      </c>
      <c r="B2986" s="19" t="s">
        <v>15</v>
      </c>
      <c r="C2986" s="18" t="s">
        <v>5902</v>
      </c>
      <c r="D2986" s="18" t="s">
        <v>17</v>
      </c>
      <c r="E2986" s="18" t="s">
        <v>55</v>
      </c>
      <c r="F2986" s="18" t="s">
        <v>1366</v>
      </c>
      <c r="G2986" s="18" t="s">
        <v>1858</v>
      </c>
      <c r="H2986" s="18" t="s">
        <v>5903</v>
      </c>
      <c r="I2986" s="20" t="s">
        <v>5936</v>
      </c>
      <c r="J2986" s="18" t="s">
        <v>73</v>
      </c>
      <c r="K2986" s="18" t="s">
        <v>24</v>
      </c>
      <c r="L2986" s="18" t="s">
        <v>1369</v>
      </c>
      <c r="M2986" s="18" t="s">
        <v>39</v>
      </c>
      <c r="N2986" s="18" t="s">
        <v>154</v>
      </c>
    </row>
    <row r="2987" spans="1:14" ht="15" customHeight="1" x14ac:dyDescent="0.3">
      <c r="A2987" s="18" t="s">
        <v>5901</v>
      </c>
      <c r="B2987" s="19" t="s">
        <v>15</v>
      </c>
      <c r="C2987" s="18" t="s">
        <v>5902</v>
      </c>
      <c r="D2987" s="18" t="s">
        <v>17</v>
      </c>
      <c r="E2987" s="18" t="s">
        <v>55</v>
      </c>
      <c r="F2987" s="18" t="s">
        <v>5937</v>
      </c>
      <c r="G2987" s="18" t="s">
        <v>263</v>
      </c>
      <c r="H2987" s="18" t="s">
        <v>5903</v>
      </c>
      <c r="I2987" s="20" t="s">
        <v>5938</v>
      </c>
      <c r="J2987" s="18" t="s">
        <v>58</v>
      </c>
      <c r="K2987" s="18" t="s">
        <v>91</v>
      </c>
      <c r="L2987" s="18" t="s">
        <v>25</v>
      </c>
      <c r="N2987" s="18" t="s">
        <v>154</v>
      </c>
    </row>
    <row r="2988" spans="1:14" ht="15" customHeight="1" x14ac:dyDescent="0.3">
      <c r="A2988" s="18" t="s">
        <v>5901</v>
      </c>
      <c r="B2988" s="19" t="s">
        <v>15</v>
      </c>
      <c r="C2988" s="18" t="s">
        <v>5902</v>
      </c>
      <c r="D2988" s="18" t="s">
        <v>17</v>
      </c>
      <c r="E2988" s="18" t="s">
        <v>74</v>
      </c>
      <c r="F2988" s="18" t="s">
        <v>5939</v>
      </c>
      <c r="G2988" s="18" t="s">
        <v>1019</v>
      </c>
      <c r="H2988" s="18" t="s">
        <v>5940</v>
      </c>
      <c r="I2988" s="20" t="s">
        <v>5941</v>
      </c>
      <c r="J2988" s="18" t="s">
        <v>394</v>
      </c>
      <c r="K2988" s="18" t="s">
        <v>91</v>
      </c>
      <c r="L2988" s="18" t="s">
        <v>25</v>
      </c>
      <c r="N2988" s="18" t="s">
        <v>154</v>
      </c>
    </row>
    <row r="2989" spans="1:14" ht="15" customHeight="1" x14ac:dyDescent="0.3">
      <c r="A2989" s="18" t="s">
        <v>5901</v>
      </c>
      <c r="B2989" s="19" t="s">
        <v>15</v>
      </c>
      <c r="C2989" s="18" t="s">
        <v>5902</v>
      </c>
      <c r="D2989" s="18" t="s">
        <v>17</v>
      </c>
      <c r="E2989" s="18" t="s">
        <v>74</v>
      </c>
      <c r="F2989" s="18" t="s">
        <v>5942</v>
      </c>
      <c r="G2989" s="18" t="s">
        <v>28</v>
      </c>
      <c r="H2989" s="18" t="s">
        <v>5940</v>
      </c>
      <c r="I2989" s="20" t="s">
        <v>5943</v>
      </c>
      <c r="J2989" s="18" t="s">
        <v>5944</v>
      </c>
      <c r="K2989" s="18" t="s">
        <v>24</v>
      </c>
      <c r="L2989" s="18" t="s">
        <v>25</v>
      </c>
      <c r="N2989" s="18" t="s">
        <v>154</v>
      </c>
    </row>
    <row r="2990" spans="1:14" ht="15" customHeight="1" x14ac:dyDescent="0.3">
      <c r="A2990" s="18" t="s">
        <v>5901</v>
      </c>
      <c r="B2990" s="19" t="s">
        <v>15</v>
      </c>
      <c r="C2990" s="18" t="s">
        <v>5902</v>
      </c>
      <c r="D2990" s="18" t="s">
        <v>17</v>
      </c>
      <c r="E2990" s="18" t="s">
        <v>74</v>
      </c>
      <c r="F2990" s="18" t="s">
        <v>5905</v>
      </c>
      <c r="G2990" s="18" t="s">
        <v>47</v>
      </c>
      <c r="H2990" s="18" t="s">
        <v>5940</v>
      </c>
      <c r="I2990" s="20" t="s">
        <v>5945</v>
      </c>
      <c r="J2990" s="18" t="s">
        <v>394</v>
      </c>
      <c r="K2990" s="18" t="s">
        <v>91</v>
      </c>
      <c r="L2990" s="18" t="s">
        <v>25</v>
      </c>
      <c r="N2990" s="18" t="s">
        <v>154</v>
      </c>
    </row>
    <row r="2991" spans="1:14" ht="15" customHeight="1" x14ac:dyDescent="0.3">
      <c r="A2991" s="18" t="s">
        <v>5901</v>
      </c>
      <c r="B2991" s="19" t="s">
        <v>15</v>
      </c>
      <c r="C2991" s="18" t="s">
        <v>5902</v>
      </c>
      <c r="D2991" s="18" t="s">
        <v>17</v>
      </c>
      <c r="E2991" s="18" t="s">
        <v>74</v>
      </c>
      <c r="F2991" s="18" t="s">
        <v>5946</v>
      </c>
      <c r="G2991" s="18" t="s">
        <v>28</v>
      </c>
      <c r="H2991" s="18" t="s">
        <v>5940</v>
      </c>
      <c r="I2991" s="20" t="s">
        <v>5947</v>
      </c>
      <c r="J2991" s="18" t="s">
        <v>1465</v>
      </c>
      <c r="K2991" s="18" t="s">
        <v>91</v>
      </c>
      <c r="L2991" s="18" t="s">
        <v>25</v>
      </c>
      <c r="N2991" s="18" t="s">
        <v>154</v>
      </c>
    </row>
    <row r="2992" spans="1:14" ht="15" customHeight="1" x14ac:dyDescent="0.3">
      <c r="A2992" s="18" t="s">
        <v>5901</v>
      </c>
      <c r="B2992" s="19" t="s">
        <v>15</v>
      </c>
      <c r="C2992" s="18" t="s">
        <v>5902</v>
      </c>
      <c r="D2992" s="18" t="s">
        <v>17</v>
      </c>
      <c r="E2992" s="18" t="s">
        <v>74</v>
      </c>
      <c r="F2992" s="18" t="s">
        <v>5948</v>
      </c>
      <c r="G2992" s="18" t="s">
        <v>273</v>
      </c>
      <c r="H2992" s="18" t="s">
        <v>5940</v>
      </c>
      <c r="I2992" s="20" t="s">
        <v>5949</v>
      </c>
      <c r="J2992" s="18" t="s">
        <v>5950</v>
      </c>
      <c r="K2992" s="18" t="s">
        <v>293</v>
      </c>
      <c r="L2992" s="18" t="s">
        <v>25</v>
      </c>
      <c r="N2992" s="18" t="s">
        <v>154</v>
      </c>
    </row>
    <row r="2993" spans="1:14" ht="15" customHeight="1" x14ac:dyDescent="0.3">
      <c r="A2993" s="18" t="s">
        <v>5901</v>
      </c>
      <c r="B2993" s="19" t="s">
        <v>15</v>
      </c>
      <c r="C2993" s="18" t="s">
        <v>5902</v>
      </c>
      <c r="D2993" s="18" t="s">
        <v>17</v>
      </c>
      <c r="E2993" s="18" t="s">
        <v>74</v>
      </c>
      <c r="F2993" s="18" t="s">
        <v>5951</v>
      </c>
      <c r="G2993" s="18" t="s">
        <v>1019</v>
      </c>
      <c r="H2993" s="18" t="s">
        <v>5940</v>
      </c>
      <c r="I2993" s="20" t="s">
        <v>5952</v>
      </c>
      <c r="J2993" s="18" t="s">
        <v>394</v>
      </c>
      <c r="K2993" s="18" t="s">
        <v>293</v>
      </c>
      <c r="L2993" s="18" t="s">
        <v>25</v>
      </c>
      <c r="N2993" s="18" t="s">
        <v>154</v>
      </c>
    </row>
    <row r="2994" spans="1:14" ht="15" customHeight="1" x14ac:dyDescent="0.3">
      <c r="A2994" s="18" t="s">
        <v>5901</v>
      </c>
      <c r="B2994" s="19" t="s">
        <v>15</v>
      </c>
      <c r="C2994" s="18" t="s">
        <v>5902</v>
      </c>
      <c r="D2994" s="18" t="s">
        <v>17</v>
      </c>
      <c r="E2994" s="18" t="s">
        <v>74</v>
      </c>
      <c r="F2994" s="18" t="s">
        <v>5953</v>
      </c>
      <c r="G2994" s="18" t="s">
        <v>1102</v>
      </c>
      <c r="H2994" s="18" t="s">
        <v>5940</v>
      </c>
      <c r="I2994" s="20" t="s">
        <v>5954</v>
      </c>
      <c r="J2994" s="18" t="s">
        <v>1465</v>
      </c>
      <c r="K2994" s="18" t="s">
        <v>91</v>
      </c>
      <c r="L2994" s="18" t="s">
        <v>25</v>
      </c>
      <c r="N2994" s="18" t="s">
        <v>154</v>
      </c>
    </row>
    <row r="2995" spans="1:14" ht="15" customHeight="1" x14ac:dyDescent="0.3">
      <c r="A2995" s="18" t="s">
        <v>5901</v>
      </c>
      <c r="B2995" s="19" t="s">
        <v>15</v>
      </c>
      <c r="C2995" s="18" t="s">
        <v>5902</v>
      </c>
      <c r="D2995" s="18" t="s">
        <v>17</v>
      </c>
      <c r="E2995" s="18" t="s">
        <v>74</v>
      </c>
      <c r="F2995" s="18" t="s">
        <v>5955</v>
      </c>
      <c r="G2995" s="18" t="s">
        <v>1019</v>
      </c>
      <c r="H2995" s="18" t="s">
        <v>5940</v>
      </c>
      <c r="I2995" s="20" t="s">
        <v>5956</v>
      </c>
      <c r="J2995" s="18" t="s">
        <v>394</v>
      </c>
      <c r="K2995" s="18" t="s">
        <v>91</v>
      </c>
      <c r="L2995" s="18" t="s">
        <v>25</v>
      </c>
      <c r="N2995" s="18" t="s">
        <v>154</v>
      </c>
    </row>
    <row r="2996" spans="1:14" ht="15" customHeight="1" x14ac:dyDescent="0.3">
      <c r="A2996" s="18" t="s">
        <v>5901</v>
      </c>
      <c r="B2996" s="19" t="s">
        <v>15</v>
      </c>
      <c r="C2996" s="18" t="s">
        <v>5902</v>
      </c>
      <c r="D2996" s="18" t="s">
        <v>17</v>
      </c>
      <c r="E2996" s="18" t="s">
        <v>74</v>
      </c>
      <c r="F2996" s="18" t="s">
        <v>5957</v>
      </c>
      <c r="G2996" s="18" t="s">
        <v>160</v>
      </c>
      <c r="H2996" s="18" t="s">
        <v>5940</v>
      </c>
      <c r="I2996" s="20" t="s">
        <v>5958</v>
      </c>
      <c r="J2996" s="18" t="s">
        <v>5959</v>
      </c>
      <c r="K2996" s="18" t="s">
        <v>293</v>
      </c>
      <c r="L2996" s="18" t="s">
        <v>25</v>
      </c>
      <c r="N2996" s="18" t="s">
        <v>154</v>
      </c>
    </row>
    <row r="2997" spans="1:14" ht="15" customHeight="1" x14ac:dyDescent="0.3">
      <c r="A2997" s="18" t="s">
        <v>5901</v>
      </c>
      <c r="B2997" s="19" t="s">
        <v>15</v>
      </c>
      <c r="C2997" s="18" t="s">
        <v>5902</v>
      </c>
      <c r="D2997" s="18" t="s">
        <v>17</v>
      </c>
      <c r="E2997" s="18" t="s">
        <v>74</v>
      </c>
      <c r="F2997" s="18" t="s">
        <v>5960</v>
      </c>
      <c r="G2997" s="18" t="s">
        <v>381</v>
      </c>
      <c r="H2997" s="18" t="s">
        <v>5961</v>
      </c>
      <c r="I2997" s="20" t="s">
        <v>5962</v>
      </c>
      <c r="J2997" s="18" t="s">
        <v>440</v>
      </c>
      <c r="K2997" s="18" t="s">
        <v>24</v>
      </c>
      <c r="L2997" s="18" t="s">
        <v>25</v>
      </c>
      <c r="N2997" s="18" t="s">
        <v>154</v>
      </c>
    </row>
    <row r="2998" spans="1:14" ht="15" customHeight="1" x14ac:dyDescent="0.3">
      <c r="A2998" s="18" t="s">
        <v>5901</v>
      </c>
      <c r="B2998" s="19" t="s">
        <v>15</v>
      </c>
      <c r="C2998" s="18" t="s">
        <v>5902</v>
      </c>
      <c r="D2998" s="18" t="s">
        <v>17</v>
      </c>
      <c r="E2998" s="18" t="s">
        <v>74</v>
      </c>
      <c r="F2998" s="18" t="s">
        <v>5917</v>
      </c>
      <c r="G2998" s="18" t="s">
        <v>536</v>
      </c>
      <c r="H2998" s="18" t="s">
        <v>5940</v>
      </c>
      <c r="I2998" s="20" t="s">
        <v>5963</v>
      </c>
      <c r="J2998" s="18" t="s">
        <v>394</v>
      </c>
      <c r="K2998" s="18" t="s">
        <v>24</v>
      </c>
      <c r="L2998" s="18" t="s">
        <v>25</v>
      </c>
      <c r="N2998" s="18" t="s">
        <v>154</v>
      </c>
    </row>
    <row r="2999" spans="1:14" ht="15" customHeight="1" x14ac:dyDescent="0.3">
      <c r="A2999" s="18" t="s">
        <v>5964</v>
      </c>
      <c r="B2999" s="19" t="s">
        <v>15</v>
      </c>
      <c r="C2999" s="18" t="s">
        <v>149</v>
      </c>
      <c r="D2999" s="18" t="s">
        <v>17</v>
      </c>
      <c r="E2999" s="18" t="s">
        <v>117</v>
      </c>
      <c r="F2999" s="18" t="s">
        <v>4735</v>
      </c>
      <c r="G2999" s="18" t="s">
        <v>207</v>
      </c>
      <c r="H2999" s="18" t="s">
        <v>5965</v>
      </c>
      <c r="I2999" s="20" t="s">
        <v>5966</v>
      </c>
      <c r="J2999" s="18" t="s">
        <v>58</v>
      </c>
      <c r="K2999" s="18" t="s">
        <v>24</v>
      </c>
      <c r="L2999" s="18" t="s">
        <v>25</v>
      </c>
      <c r="N2999" s="18" t="s">
        <v>154</v>
      </c>
    </row>
    <row r="3000" spans="1:14" ht="15" customHeight="1" x14ac:dyDescent="0.3">
      <c r="A3000" s="18" t="s">
        <v>5964</v>
      </c>
      <c r="B3000" s="19" t="s">
        <v>15</v>
      </c>
      <c r="C3000" s="18" t="s">
        <v>149</v>
      </c>
      <c r="D3000" s="18" t="s">
        <v>17</v>
      </c>
      <c r="E3000" s="18" t="s">
        <v>117</v>
      </c>
      <c r="F3000" s="18" t="s">
        <v>85</v>
      </c>
      <c r="G3000" s="18" t="s">
        <v>85</v>
      </c>
      <c r="H3000" s="18" t="s">
        <v>5965</v>
      </c>
      <c r="I3000" s="20" t="s">
        <v>5967</v>
      </c>
      <c r="J3000" s="18" t="s">
        <v>58</v>
      </c>
      <c r="K3000" s="18" t="s">
        <v>24</v>
      </c>
      <c r="L3000" s="18" t="s">
        <v>25</v>
      </c>
      <c r="N3000" s="18" t="s">
        <v>154</v>
      </c>
    </row>
    <row r="3001" spans="1:14" ht="15" customHeight="1" x14ac:dyDescent="0.3">
      <c r="A3001" s="18" t="s">
        <v>5964</v>
      </c>
      <c r="B3001" s="19" t="s">
        <v>15</v>
      </c>
      <c r="C3001" s="18" t="s">
        <v>149</v>
      </c>
      <c r="D3001" s="18" t="s">
        <v>17</v>
      </c>
      <c r="E3001" s="18" t="s">
        <v>117</v>
      </c>
      <c r="F3001" s="18" t="s">
        <v>5131</v>
      </c>
      <c r="G3001" s="18" t="s">
        <v>619</v>
      </c>
      <c r="H3001" s="18" t="s">
        <v>5965</v>
      </c>
      <c r="I3001" s="20" t="s">
        <v>5968</v>
      </c>
      <c r="J3001" s="18" t="s">
        <v>58</v>
      </c>
      <c r="K3001" s="18" t="s">
        <v>24</v>
      </c>
      <c r="L3001" s="18" t="s">
        <v>25</v>
      </c>
      <c r="N3001" s="18" t="s">
        <v>154</v>
      </c>
    </row>
    <row r="3002" spans="1:14" ht="15" customHeight="1" x14ac:dyDescent="0.3">
      <c r="A3002" s="18" t="s">
        <v>5964</v>
      </c>
      <c r="B3002" s="19" t="s">
        <v>15</v>
      </c>
      <c r="C3002" s="18" t="s">
        <v>149</v>
      </c>
      <c r="D3002" s="18" t="s">
        <v>17</v>
      </c>
      <c r="E3002" s="18" t="s">
        <v>117</v>
      </c>
      <c r="F3002" s="18" t="s">
        <v>1641</v>
      </c>
      <c r="G3002" s="18" t="s">
        <v>536</v>
      </c>
      <c r="H3002" s="18" t="s">
        <v>5965</v>
      </c>
      <c r="I3002" s="20" t="s">
        <v>5969</v>
      </c>
      <c r="J3002" s="18" t="s">
        <v>58</v>
      </c>
      <c r="K3002" s="18" t="s">
        <v>24</v>
      </c>
      <c r="L3002" s="18" t="s">
        <v>25</v>
      </c>
      <c r="N3002" s="18" t="s">
        <v>154</v>
      </c>
    </row>
    <row r="3003" spans="1:14" ht="15" customHeight="1" x14ac:dyDescent="0.3">
      <c r="A3003" s="18" t="s">
        <v>5964</v>
      </c>
      <c r="B3003" s="19" t="s">
        <v>15</v>
      </c>
      <c r="C3003" s="18" t="s">
        <v>149</v>
      </c>
      <c r="D3003" s="18" t="s">
        <v>17</v>
      </c>
      <c r="E3003" s="18" t="s">
        <v>117</v>
      </c>
      <c r="F3003" s="18" t="s">
        <v>1445</v>
      </c>
      <c r="G3003" s="18" t="s">
        <v>219</v>
      </c>
      <c r="H3003" s="18" t="s">
        <v>5965</v>
      </c>
      <c r="I3003" s="20" t="s">
        <v>5970</v>
      </c>
      <c r="J3003" s="18" t="s">
        <v>58</v>
      </c>
      <c r="K3003" s="18" t="s">
        <v>24</v>
      </c>
      <c r="L3003" s="18" t="s">
        <v>25</v>
      </c>
      <c r="N3003" s="18" t="s">
        <v>154</v>
      </c>
    </row>
    <row r="3004" spans="1:14" ht="15" customHeight="1" x14ac:dyDescent="0.3">
      <c r="A3004" s="18" t="s">
        <v>5964</v>
      </c>
      <c r="B3004" s="19" t="s">
        <v>15</v>
      </c>
      <c r="C3004" s="18" t="s">
        <v>149</v>
      </c>
      <c r="D3004" s="18" t="s">
        <v>17</v>
      </c>
      <c r="E3004" s="18" t="s">
        <v>117</v>
      </c>
      <c r="F3004" s="18" t="s">
        <v>1757</v>
      </c>
      <c r="G3004" s="18" t="s">
        <v>219</v>
      </c>
      <c r="H3004" s="18" t="s">
        <v>5965</v>
      </c>
      <c r="I3004" s="20" t="s">
        <v>5971</v>
      </c>
      <c r="J3004" s="18" t="s">
        <v>58</v>
      </c>
      <c r="K3004" s="18" t="s">
        <v>24</v>
      </c>
      <c r="L3004" s="18" t="s">
        <v>25</v>
      </c>
      <c r="N3004" s="18" t="s">
        <v>154</v>
      </c>
    </row>
    <row r="3005" spans="1:14" ht="15" customHeight="1" x14ac:dyDescent="0.3">
      <c r="A3005" s="18" t="s">
        <v>5964</v>
      </c>
      <c r="B3005" s="19" t="s">
        <v>15</v>
      </c>
      <c r="C3005" s="18" t="s">
        <v>149</v>
      </c>
      <c r="D3005" s="18" t="s">
        <v>17</v>
      </c>
      <c r="E3005" s="18" t="s">
        <v>117</v>
      </c>
      <c r="F3005" s="18" t="s">
        <v>5972</v>
      </c>
      <c r="G3005" s="18" t="s">
        <v>536</v>
      </c>
      <c r="H3005" s="18" t="s">
        <v>5965</v>
      </c>
      <c r="I3005" s="20" t="s">
        <v>5973</v>
      </c>
      <c r="J3005" s="18" t="s">
        <v>58</v>
      </c>
      <c r="K3005" s="18" t="s">
        <v>24</v>
      </c>
      <c r="L3005" s="18" t="s">
        <v>25</v>
      </c>
      <c r="N3005" s="18" t="s">
        <v>154</v>
      </c>
    </row>
    <row r="3006" spans="1:14" ht="15" customHeight="1" x14ac:dyDescent="0.3">
      <c r="A3006" s="18" t="s">
        <v>5964</v>
      </c>
      <c r="B3006" s="19" t="s">
        <v>15</v>
      </c>
      <c r="C3006" s="18" t="s">
        <v>149</v>
      </c>
      <c r="D3006" s="18" t="s">
        <v>17</v>
      </c>
      <c r="E3006" s="18" t="s">
        <v>117</v>
      </c>
      <c r="F3006" s="18" t="s">
        <v>5974</v>
      </c>
      <c r="G3006" s="18" t="s">
        <v>207</v>
      </c>
      <c r="H3006" s="18" t="s">
        <v>5965</v>
      </c>
      <c r="I3006" s="20" t="s">
        <v>5975</v>
      </c>
      <c r="J3006" s="18" t="s">
        <v>58</v>
      </c>
      <c r="K3006" s="18" t="s">
        <v>24</v>
      </c>
      <c r="L3006" s="18" t="s">
        <v>25</v>
      </c>
      <c r="N3006" s="18" t="s">
        <v>154</v>
      </c>
    </row>
    <row r="3007" spans="1:14" ht="15" customHeight="1" x14ac:dyDescent="0.3">
      <c r="A3007" s="18" t="s">
        <v>5964</v>
      </c>
      <c r="B3007" s="19" t="s">
        <v>15</v>
      </c>
      <c r="C3007" s="18" t="s">
        <v>149</v>
      </c>
      <c r="D3007" s="18" t="s">
        <v>17</v>
      </c>
      <c r="E3007" s="18" t="s">
        <v>117</v>
      </c>
      <c r="F3007" s="18" t="s">
        <v>2020</v>
      </c>
      <c r="G3007" s="18" t="s">
        <v>619</v>
      </c>
      <c r="H3007" s="18" t="s">
        <v>5965</v>
      </c>
      <c r="I3007" s="20" t="s">
        <v>5976</v>
      </c>
      <c r="J3007" s="18" t="s">
        <v>58</v>
      </c>
      <c r="K3007" s="18" t="s">
        <v>24</v>
      </c>
      <c r="L3007" s="18" t="s">
        <v>25</v>
      </c>
      <c r="N3007" s="18" t="s">
        <v>154</v>
      </c>
    </row>
    <row r="3008" spans="1:14" ht="15" customHeight="1" x14ac:dyDescent="0.3">
      <c r="A3008" s="18" t="s">
        <v>5964</v>
      </c>
      <c r="B3008" s="19" t="s">
        <v>15</v>
      </c>
      <c r="C3008" s="18" t="s">
        <v>149</v>
      </c>
      <c r="D3008" s="18" t="s">
        <v>17</v>
      </c>
      <c r="E3008" s="18" t="s">
        <v>18</v>
      </c>
      <c r="F3008" s="18" t="s">
        <v>1629</v>
      </c>
      <c r="G3008" s="18" t="s">
        <v>219</v>
      </c>
      <c r="H3008" s="18" t="s">
        <v>5965</v>
      </c>
      <c r="I3008" s="20" t="s">
        <v>5977</v>
      </c>
      <c r="J3008" s="18" t="s">
        <v>30</v>
      </c>
      <c r="K3008" s="18" t="s">
        <v>24</v>
      </c>
      <c r="L3008" s="18" t="s">
        <v>25</v>
      </c>
      <c r="N3008" s="18" t="s">
        <v>154</v>
      </c>
    </row>
    <row r="3009" spans="1:14" ht="15" customHeight="1" x14ac:dyDescent="0.3">
      <c r="A3009" s="18" t="s">
        <v>5964</v>
      </c>
      <c r="B3009" s="19" t="s">
        <v>15</v>
      </c>
      <c r="C3009" s="18" t="s">
        <v>149</v>
      </c>
      <c r="D3009" s="18" t="s">
        <v>17</v>
      </c>
      <c r="E3009" s="18" t="s">
        <v>18</v>
      </c>
      <c r="F3009" s="18" t="s">
        <v>1450</v>
      </c>
      <c r="G3009" s="18" t="s">
        <v>41</v>
      </c>
      <c r="H3009" s="18" t="s">
        <v>5965</v>
      </c>
      <c r="I3009" s="20" t="s">
        <v>5978</v>
      </c>
      <c r="J3009" s="18" t="s">
        <v>30</v>
      </c>
      <c r="K3009" s="18" t="s">
        <v>24</v>
      </c>
      <c r="L3009" s="18" t="s">
        <v>25</v>
      </c>
      <c r="N3009" s="18" t="s">
        <v>154</v>
      </c>
    </row>
    <row r="3010" spans="1:14" ht="15" customHeight="1" x14ac:dyDescent="0.3">
      <c r="A3010" s="18" t="s">
        <v>5964</v>
      </c>
      <c r="B3010" s="19" t="s">
        <v>15</v>
      </c>
      <c r="C3010" s="18" t="s">
        <v>149</v>
      </c>
      <c r="D3010" s="18" t="s">
        <v>17</v>
      </c>
      <c r="E3010" s="18" t="s">
        <v>18</v>
      </c>
      <c r="F3010" s="18" t="s">
        <v>207</v>
      </c>
      <c r="G3010" s="18" t="s">
        <v>207</v>
      </c>
      <c r="H3010" s="18" t="s">
        <v>5965</v>
      </c>
      <c r="I3010" s="20" t="s">
        <v>5979</v>
      </c>
      <c r="J3010" s="18" t="s">
        <v>30</v>
      </c>
      <c r="K3010" s="18" t="s">
        <v>24</v>
      </c>
      <c r="L3010" s="18" t="s">
        <v>25</v>
      </c>
      <c r="N3010" s="18" t="s">
        <v>154</v>
      </c>
    </row>
    <row r="3011" spans="1:14" ht="15" customHeight="1" x14ac:dyDescent="0.3">
      <c r="A3011" s="18" t="s">
        <v>5964</v>
      </c>
      <c r="B3011" s="19" t="s">
        <v>15</v>
      </c>
      <c r="C3011" s="18" t="s">
        <v>149</v>
      </c>
      <c r="D3011" s="18" t="s">
        <v>17</v>
      </c>
      <c r="E3011" s="18" t="s">
        <v>18</v>
      </c>
      <c r="F3011" s="18" t="s">
        <v>2027</v>
      </c>
      <c r="G3011" s="18" t="s">
        <v>619</v>
      </c>
      <c r="H3011" s="18" t="s">
        <v>5965</v>
      </c>
      <c r="I3011" s="20" t="s">
        <v>5980</v>
      </c>
      <c r="J3011" s="18" t="s">
        <v>30</v>
      </c>
      <c r="K3011" s="18" t="s">
        <v>24</v>
      </c>
      <c r="L3011" s="18" t="s">
        <v>25</v>
      </c>
      <c r="N3011" s="18" t="s">
        <v>154</v>
      </c>
    </row>
    <row r="3012" spans="1:14" ht="15" customHeight="1" x14ac:dyDescent="0.3">
      <c r="A3012" s="18" t="s">
        <v>5964</v>
      </c>
      <c r="B3012" s="19" t="s">
        <v>15</v>
      </c>
      <c r="C3012" s="18" t="s">
        <v>149</v>
      </c>
      <c r="D3012" s="18" t="s">
        <v>17</v>
      </c>
      <c r="E3012" s="18" t="s">
        <v>18</v>
      </c>
      <c r="F3012" s="18" t="s">
        <v>537</v>
      </c>
      <c r="G3012" s="18" t="s">
        <v>536</v>
      </c>
      <c r="H3012" s="18" t="s">
        <v>5965</v>
      </c>
      <c r="I3012" s="20" t="s">
        <v>5981</v>
      </c>
      <c r="J3012" s="18" t="s">
        <v>30</v>
      </c>
      <c r="K3012" s="18" t="s">
        <v>24</v>
      </c>
      <c r="L3012" s="18" t="s">
        <v>25</v>
      </c>
      <c r="N3012" s="18" t="s">
        <v>154</v>
      </c>
    </row>
    <row r="3013" spans="1:14" ht="15" customHeight="1" x14ac:dyDescent="0.3">
      <c r="A3013" s="18" t="s">
        <v>5964</v>
      </c>
      <c r="B3013" s="19" t="s">
        <v>15</v>
      </c>
      <c r="C3013" s="18" t="s">
        <v>149</v>
      </c>
      <c r="D3013" s="18" t="s">
        <v>17</v>
      </c>
      <c r="E3013" s="18" t="s">
        <v>55</v>
      </c>
      <c r="F3013" s="18" t="s">
        <v>558</v>
      </c>
      <c r="G3013" s="18" t="s">
        <v>41</v>
      </c>
      <c r="H3013" s="18" t="s">
        <v>5965</v>
      </c>
      <c r="I3013" s="20" t="s">
        <v>5982</v>
      </c>
      <c r="J3013" s="18" t="s">
        <v>58</v>
      </c>
      <c r="K3013" s="18" t="s">
        <v>24</v>
      </c>
      <c r="L3013" s="18" t="s">
        <v>25</v>
      </c>
      <c r="N3013" s="18" t="s">
        <v>154</v>
      </c>
    </row>
    <row r="3014" spans="1:14" ht="15" customHeight="1" x14ac:dyDescent="0.3">
      <c r="A3014" s="18" t="s">
        <v>5964</v>
      </c>
      <c r="B3014" s="19" t="s">
        <v>15</v>
      </c>
      <c r="C3014" s="18" t="s">
        <v>149</v>
      </c>
      <c r="D3014" s="18" t="s">
        <v>17</v>
      </c>
      <c r="E3014" s="18" t="s">
        <v>55</v>
      </c>
      <c r="F3014" s="18" t="s">
        <v>5983</v>
      </c>
      <c r="G3014" s="18" t="s">
        <v>536</v>
      </c>
      <c r="H3014" s="18" t="s">
        <v>5965</v>
      </c>
      <c r="I3014" s="20" t="s">
        <v>5984</v>
      </c>
      <c r="J3014" s="18" t="s">
        <v>58</v>
      </c>
      <c r="K3014" s="18" t="s">
        <v>24</v>
      </c>
      <c r="L3014" s="18" t="s">
        <v>25</v>
      </c>
      <c r="N3014" s="18" t="s">
        <v>154</v>
      </c>
    </row>
    <row r="3015" spans="1:14" ht="15" customHeight="1" x14ac:dyDescent="0.3">
      <c r="A3015" s="18" t="s">
        <v>5964</v>
      </c>
      <c r="B3015" s="19" t="s">
        <v>15</v>
      </c>
      <c r="C3015" s="18" t="s">
        <v>149</v>
      </c>
      <c r="D3015" s="18" t="s">
        <v>17</v>
      </c>
      <c r="E3015" s="18" t="s">
        <v>74</v>
      </c>
      <c r="F3015" s="18" t="s">
        <v>5985</v>
      </c>
      <c r="G3015" s="18" t="s">
        <v>536</v>
      </c>
      <c r="H3015" s="18" t="s">
        <v>5986</v>
      </c>
      <c r="I3015" s="20" t="s">
        <v>5987</v>
      </c>
      <c r="J3015" s="18" t="s">
        <v>5988</v>
      </c>
      <c r="K3015" s="18" t="s">
        <v>293</v>
      </c>
      <c r="L3015" s="18" t="s">
        <v>25</v>
      </c>
      <c r="N3015" s="18" t="s">
        <v>154</v>
      </c>
    </row>
    <row r="3016" spans="1:14" ht="15" customHeight="1" x14ac:dyDescent="0.3">
      <c r="A3016" s="18" t="s">
        <v>5964</v>
      </c>
      <c r="B3016" s="19" t="s">
        <v>15</v>
      </c>
      <c r="C3016" s="18" t="s">
        <v>149</v>
      </c>
      <c r="D3016" s="18" t="s">
        <v>17</v>
      </c>
      <c r="E3016" s="18" t="s">
        <v>74</v>
      </c>
      <c r="F3016" s="18" t="s">
        <v>5989</v>
      </c>
      <c r="G3016" s="18" t="s">
        <v>41</v>
      </c>
      <c r="H3016" s="18" t="s">
        <v>5990</v>
      </c>
      <c r="I3016" s="20" t="s">
        <v>5991</v>
      </c>
      <c r="J3016" s="18" t="s">
        <v>5992</v>
      </c>
      <c r="K3016" s="18" t="s">
        <v>293</v>
      </c>
      <c r="L3016" s="18" t="s">
        <v>25</v>
      </c>
      <c r="N3016" s="18" t="s">
        <v>154</v>
      </c>
    </row>
    <row r="3017" spans="1:14" ht="15" customHeight="1" x14ac:dyDescent="0.3">
      <c r="A3017" s="18" t="s">
        <v>5964</v>
      </c>
      <c r="B3017" s="19" t="s">
        <v>15</v>
      </c>
      <c r="C3017" s="18" t="s">
        <v>149</v>
      </c>
      <c r="D3017" s="18" t="s">
        <v>17</v>
      </c>
      <c r="E3017" s="18" t="s">
        <v>74</v>
      </c>
      <c r="F3017" s="18" t="s">
        <v>5993</v>
      </c>
      <c r="G3017" s="18" t="s">
        <v>207</v>
      </c>
      <c r="H3017" s="18" t="s">
        <v>5990</v>
      </c>
      <c r="I3017" s="20" t="s">
        <v>5994</v>
      </c>
      <c r="J3017" s="18" t="s">
        <v>5995</v>
      </c>
      <c r="K3017" s="18" t="s">
        <v>293</v>
      </c>
      <c r="L3017" s="18" t="s">
        <v>25</v>
      </c>
      <c r="N3017" s="18" t="s">
        <v>154</v>
      </c>
    </row>
    <row r="3018" spans="1:14" ht="15" customHeight="1" x14ac:dyDescent="0.3">
      <c r="A3018" s="18" t="s">
        <v>5964</v>
      </c>
      <c r="B3018" s="19" t="s">
        <v>15</v>
      </c>
      <c r="C3018" s="18" t="s">
        <v>149</v>
      </c>
      <c r="D3018" s="18" t="s">
        <v>17</v>
      </c>
      <c r="E3018" s="18" t="s">
        <v>74</v>
      </c>
      <c r="F3018" s="18" t="s">
        <v>3437</v>
      </c>
      <c r="G3018" s="18" t="s">
        <v>619</v>
      </c>
      <c r="H3018" s="18" t="s">
        <v>5990</v>
      </c>
      <c r="I3018" s="20" t="s">
        <v>5996</v>
      </c>
      <c r="J3018" s="18" t="s">
        <v>5997</v>
      </c>
      <c r="K3018" s="18" t="s">
        <v>293</v>
      </c>
      <c r="L3018" s="18" t="s">
        <v>25</v>
      </c>
      <c r="N3018" s="18" t="s">
        <v>154</v>
      </c>
    </row>
    <row r="3019" spans="1:14" ht="15" customHeight="1" x14ac:dyDescent="0.3">
      <c r="A3019" s="18" t="s">
        <v>5964</v>
      </c>
      <c r="B3019" s="19" t="s">
        <v>15</v>
      </c>
      <c r="C3019" s="18" t="s">
        <v>149</v>
      </c>
      <c r="D3019" s="18" t="s">
        <v>17</v>
      </c>
      <c r="E3019" s="18" t="s">
        <v>74</v>
      </c>
      <c r="F3019" s="18" t="s">
        <v>5998</v>
      </c>
      <c r="G3019" s="18" t="s">
        <v>219</v>
      </c>
      <c r="H3019" s="18" t="s">
        <v>5990</v>
      </c>
      <c r="I3019" s="20" t="s">
        <v>5999</v>
      </c>
      <c r="J3019" s="18" t="s">
        <v>6000</v>
      </c>
      <c r="K3019" s="18" t="s">
        <v>293</v>
      </c>
      <c r="L3019" s="18" t="s">
        <v>25</v>
      </c>
      <c r="N3019" s="18" t="s">
        <v>154</v>
      </c>
    </row>
    <row r="3020" spans="1:14" ht="15" customHeight="1" x14ac:dyDescent="0.3">
      <c r="A3020" s="18" t="s">
        <v>5964</v>
      </c>
      <c r="B3020" s="19" t="s">
        <v>15</v>
      </c>
      <c r="C3020" s="18" t="s">
        <v>149</v>
      </c>
      <c r="D3020" s="18" t="s">
        <v>17</v>
      </c>
      <c r="E3020" s="18" t="s">
        <v>74</v>
      </c>
      <c r="F3020" s="18" t="s">
        <v>6001</v>
      </c>
      <c r="G3020" s="18" t="s">
        <v>536</v>
      </c>
      <c r="H3020" s="18" t="s">
        <v>5990</v>
      </c>
      <c r="I3020" s="20" t="s">
        <v>6002</v>
      </c>
      <c r="J3020" s="18" t="s">
        <v>6003</v>
      </c>
      <c r="K3020" s="18" t="s">
        <v>293</v>
      </c>
      <c r="L3020" s="18" t="s">
        <v>25</v>
      </c>
      <c r="N3020" s="18" t="s">
        <v>154</v>
      </c>
    </row>
    <row r="3021" spans="1:14" ht="15" customHeight="1" x14ac:dyDescent="0.3">
      <c r="A3021" s="18" t="s">
        <v>5964</v>
      </c>
      <c r="B3021" s="19" t="s">
        <v>15</v>
      </c>
      <c r="C3021" s="18" t="s">
        <v>149</v>
      </c>
      <c r="D3021" s="18" t="s">
        <v>17</v>
      </c>
      <c r="E3021" s="18" t="s">
        <v>74</v>
      </c>
      <c r="F3021" s="18" t="s">
        <v>6004</v>
      </c>
      <c r="G3021" s="18" t="s">
        <v>536</v>
      </c>
      <c r="H3021" s="18" t="s">
        <v>5990</v>
      </c>
      <c r="I3021" s="20" t="s">
        <v>6005</v>
      </c>
      <c r="J3021" s="18" t="s">
        <v>6006</v>
      </c>
      <c r="K3021" s="18" t="s">
        <v>293</v>
      </c>
      <c r="L3021" s="18" t="s">
        <v>25</v>
      </c>
      <c r="N3021" s="18" t="s">
        <v>154</v>
      </c>
    </row>
    <row r="3022" spans="1:14" ht="15" customHeight="1" x14ac:dyDescent="0.3">
      <c r="A3022" s="18" t="s">
        <v>6007</v>
      </c>
      <c r="B3022" s="19" t="s">
        <v>15</v>
      </c>
      <c r="C3022" s="18" t="s">
        <v>6008</v>
      </c>
      <c r="D3022" s="18" t="s">
        <v>17</v>
      </c>
      <c r="E3022" s="18" t="s">
        <v>117</v>
      </c>
      <c r="F3022" s="18" t="s">
        <v>1623</v>
      </c>
      <c r="G3022" s="18" t="s">
        <v>1295</v>
      </c>
      <c r="H3022" s="18" t="s">
        <v>6009</v>
      </c>
      <c r="I3022" s="20" t="s">
        <v>6010</v>
      </c>
      <c r="J3022" s="18" t="s">
        <v>58</v>
      </c>
      <c r="K3022" s="18" t="s">
        <v>24</v>
      </c>
      <c r="L3022" s="18" t="s">
        <v>25</v>
      </c>
      <c r="N3022" s="18" t="s">
        <v>807</v>
      </c>
    </row>
    <row r="3023" spans="1:14" ht="15" customHeight="1" x14ac:dyDescent="0.3">
      <c r="A3023" s="18" t="s">
        <v>6007</v>
      </c>
      <c r="B3023" s="19" t="s">
        <v>15</v>
      </c>
      <c r="C3023" s="18" t="s">
        <v>6008</v>
      </c>
      <c r="D3023" s="18" t="s">
        <v>17</v>
      </c>
      <c r="E3023" s="18" t="s">
        <v>117</v>
      </c>
      <c r="F3023" s="18" t="s">
        <v>1710</v>
      </c>
      <c r="G3023" s="18" t="s">
        <v>536</v>
      </c>
      <c r="H3023" s="18" t="s">
        <v>6009</v>
      </c>
      <c r="I3023" s="20" t="s">
        <v>6011</v>
      </c>
      <c r="J3023" s="18" t="s">
        <v>58</v>
      </c>
      <c r="K3023" s="18" t="s">
        <v>24</v>
      </c>
      <c r="L3023" s="18" t="s">
        <v>25</v>
      </c>
      <c r="N3023" s="18" t="s">
        <v>807</v>
      </c>
    </row>
    <row r="3024" spans="1:14" ht="15" customHeight="1" x14ac:dyDescent="0.3">
      <c r="A3024" s="18" t="s">
        <v>6007</v>
      </c>
      <c r="B3024" s="19" t="s">
        <v>15</v>
      </c>
      <c r="C3024" s="18" t="s">
        <v>6008</v>
      </c>
      <c r="D3024" s="18" t="s">
        <v>17</v>
      </c>
      <c r="E3024" s="18" t="s">
        <v>117</v>
      </c>
      <c r="F3024" s="18" t="s">
        <v>349</v>
      </c>
      <c r="G3024" s="18" t="s">
        <v>160</v>
      </c>
      <c r="H3024" s="18" t="s">
        <v>6009</v>
      </c>
      <c r="I3024" s="20" t="s">
        <v>6012</v>
      </c>
      <c r="J3024" s="18" t="s">
        <v>58</v>
      </c>
      <c r="K3024" s="18" t="s">
        <v>24</v>
      </c>
      <c r="L3024" s="18" t="s">
        <v>25</v>
      </c>
      <c r="N3024" s="18" t="s">
        <v>807</v>
      </c>
    </row>
    <row r="3025" spans="1:14" ht="15" customHeight="1" x14ac:dyDescent="0.3">
      <c r="A3025" s="18" t="s">
        <v>6007</v>
      </c>
      <c r="B3025" s="19" t="s">
        <v>15</v>
      </c>
      <c r="C3025" s="18" t="s">
        <v>6008</v>
      </c>
      <c r="D3025" s="18" t="s">
        <v>17</v>
      </c>
      <c r="E3025" s="18" t="s">
        <v>117</v>
      </c>
      <c r="F3025" s="18" t="s">
        <v>1864</v>
      </c>
      <c r="G3025" s="18" t="s">
        <v>63</v>
      </c>
      <c r="H3025" s="18" t="s">
        <v>6009</v>
      </c>
      <c r="I3025" s="20" t="s">
        <v>6013</v>
      </c>
      <c r="J3025" s="18" t="s">
        <v>58</v>
      </c>
      <c r="K3025" s="18" t="s">
        <v>24</v>
      </c>
      <c r="L3025" s="18" t="s">
        <v>25</v>
      </c>
      <c r="N3025" s="18" t="s">
        <v>807</v>
      </c>
    </row>
    <row r="3026" spans="1:14" ht="15" customHeight="1" x14ac:dyDescent="0.3">
      <c r="A3026" s="18" t="s">
        <v>6007</v>
      </c>
      <c r="B3026" s="19" t="s">
        <v>15</v>
      </c>
      <c r="C3026" s="18" t="s">
        <v>6008</v>
      </c>
      <c r="D3026" s="18" t="s">
        <v>17</v>
      </c>
      <c r="E3026" s="18" t="s">
        <v>117</v>
      </c>
      <c r="F3026" s="18" t="s">
        <v>1749</v>
      </c>
      <c r="G3026" s="18" t="s">
        <v>536</v>
      </c>
      <c r="H3026" s="18" t="s">
        <v>6009</v>
      </c>
      <c r="I3026" s="20" t="s">
        <v>6014</v>
      </c>
      <c r="J3026" s="18" t="s">
        <v>58</v>
      </c>
      <c r="K3026" s="18" t="s">
        <v>24</v>
      </c>
      <c r="L3026" s="18" t="s">
        <v>25</v>
      </c>
      <c r="N3026" s="18" t="s">
        <v>807</v>
      </c>
    </row>
    <row r="3027" spans="1:14" ht="15" customHeight="1" x14ac:dyDescent="0.3">
      <c r="A3027" s="18" t="s">
        <v>6007</v>
      </c>
      <c r="B3027" s="19" t="s">
        <v>15</v>
      </c>
      <c r="C3027" s="18" t="s">
        <v>6008</v>
      </c>
      <c r="D3027" s="18" t="s">
        <v>17</v>
      </c>
      <c r="E3027" s="18" t="s">
        <v>117</v>
      </c>
      <c r="F3027" s="18" t="s">
        <v>1645</v>
      </c>
      <c r="G3027" s="18" t="s">
        <v>1019</v>
      </c>
      <c r="H3027" s="18" t="s">
        <v>6009</v>
      </c>
      <c r="I3027" s="20" t="s">
        <v>6015</v>
      </c>
      <c r="J3027" s="18" t="s">
        <v>58</v>
      </c>
      <c r="K3027" s="18" t="s">
        <v>24</v>
      </c>
      <c r="L3027" s="18" t="s">
        <v>25</v>
      </c>
      <c r="N3027" s="18" t="s">
        <v>807</v>
      </c>
    </row>
    <row r="3028" spans="1:14" ht="15" customHeight="1" x14ac:dyDescent="0.3">
      <c r="A3028" s="18" t="s">
        <v>6007</v>
      </c>
      <c r="B3028" s="19" t="s">
        <v>15</v>
      </c>
      <c r="C3028" s="18" t="s">
        <v>6008</v>
      </c>
      <c r="D3028" s="18" t="s">
        <v>17</v>
      </c>
      <c r="E3028" s="18" t="s">
        <v>117</v>
      </c>
      <c r="F3028" s="18" t="s">
        <v>983</v>
      </c>
      <c r="G3028" s="18" t="s">
        <v>44</v>
      </c>
      <c r="H3028" s="18" t="s">
        <v>6016</v>
      </c>
      <c r="I3028" s="20" t="s">
        <v>6017</v>
      </c>
      <c r="J3028" s="18" t="s">
        <v>58</v>
      </c>
      <c r="K3028" s="18" t="s">
        <v>24</v>
      </c>
      <c r="L3028" s="18" t="s">
        <v>25</v>
      </c>
      <c r="N3028" s="18" t="s">
        <v>807</v>
      </c>
    </row>
    <row r="3029" spans="1:14" ht="15" customHeight="1" x14ac:dyDescent="0.3">
      <c r="A3029" s="18" t="s">
        <v>6007</v>
      </c>
      <c r="B3029" s="19" t="s">
        <v>15</v>
      </c>
      <c r="C3029" s="18" t="s">
        <v>6008</v>
      </c>
      <c r="D3029" s="18" t="s">
        <v>17</v>
      </c>
      <c r="E3029" s="18" t="s">
        <v>117</v>
      </c>
      <c r="F3029" s="18" t="s">
        <v>6018</v>
      </c>
      <c r="G3029" s="18" t="s">
        <v>44</v>
      </c>
      <c r="H3029" s="18" t="s">
        <v>6009</v>
      </c>
      <c r="I3029" s="20" t="s">
        <v>6019</v>
      </c>
      <c r="J3029" s="18" t="s">
        <v>58</v>
      </c>
      <c r="K3029" s="18" t="s">
        <v>24</v>
      </c>
      <c r="L3029" s="18" t="s">
        <v>25</v>
      </c>
      <c r="N3029" s="18" t="s">
        <v>807</v>
      </c>
    </row>
    <row r="3030" spans="1:14" ht="15" customHeight="1" x14ac:dyDescent="0.3">
      <c r="A3030" s="18" t="s">
        <v>6007</v>
      </c>
      <c r="B3030" s="19" t="s">
        <v>15</v>
      </c>
      <c r="C3030" s="18" t="s">
        <v>6008</v>
      </c>
      <c r="D3030" s="18" t="s">
        <v>17</v>
      </c>
      <c r="E3030" s="18" t="s">
        <v>117</v>
      </c>
      <c r="F3030" s="18" t="s">
        <v>2063</v>
      </c>
      <c r="G3030" s="18" t="s">
        <v>340</v>
      </c>
      <c r="H3030" s="18" t="s">
        <v>6009</v>
      </c>
      <c r="I3030" s="20" t="s">
        <v>6020</v>
      </c>
      <c r="J3030" s="18" t="s">
        <v>58</v>
      </c>
      <c r="K3030" s="18" t="s">
        <v>24</v>
      </c>
      <c r="L3030" s="18" t="s">
        <v>25</v>
      </c>
      <c r="N3030" s="18" t="s">
        <v>807</v>
      </c>
    </row>
    <row r="3031" spans="1:14" ht="15" customHeight="1" x14ac:dyDescent="0.3">
      <c r="A3031" s="18" t="s">
        <v>6007</v>
      </c>
      <c r="B3031" s="19" t="s">
        <v>15</v>
      </c>
      <c r="C3031" s="18" t="s">
        <v>6008</v>
      </c>
      <c r="D3031" s="18" t="s">
        <v>17</v>
      </c>
      <c r="E3031" s="18" t="s">
        <v>117</v>
      </c>
      <c r="F3031" s="18" t="s">
        <v>1329</v>
      </c>
      <c r="G3031" s="18" t="s">
        <v>51</v>
      </c>
      <c r="H3031" s="18" t="s">
        <v>6009</v>
      </c>
      <c r="I3031" s="20" t="s">
        <v>6021</v>
      </c>
      <c r="J3031" s="18" t="s">
        <v>58</v>
      </c>
      <c r="K3031" s="18" t="s">
        <v>24</v>
      </c>
      <c r="L3031" s="18" t="s">
        <v>25</v>
      </c>
      <c r="N3031" s="18" t="s">
        <v>807</v>
      </c>
    </row>
    <row r="3032" spans="1:14" ht="15" customHeight="1" x14ac:dyDescent="0.3">
      <c r="A3032" s="18" t="s">
        <v>6007</v>
      </c>
      <c r="B3032" s="19" t="s">
        <v>15</v>
      </c>
      <c r="C3032" s="18" t="s">
        <v>6008</v>
      </c>
      <c r="D3032" s="18" t="s">
        <v>17</v>
      </c>
      <c r="E3032" s="18" t="s">
        <v>18</v>
      </c>
      <c r="F3032" s="18" t="s">
        <v>356</v>
      </c>
      <c r="G3032" s="18" t="s">
        <v>273</v>
      </c>
      <c r="H3032" s="18" t="s">
        <v>6009</v>
      </c>
      <c r="I3032" s="20" t="s">
        <v>6022</v>
      </c>
      <c r="J3032" s="18" t="s">
        <v>30</v>
      </c>
      <c r="K3032" s="18" t="s">
        <v>24</v>
      </c>
      <c r="L3032" s="18" t="s">
        <v>25</v>
      </c>
      <c r="N3032" s="18" t="s">
        <v>807</v>
      </c>
    </row>
    <row r="3033" spans="1:14" ht="15" customHeight="1" x14ac:dyDescent="0.3">
      <c r="A3033" s="18" t="s">
        <v>6007</v>
      </c>
      <c r="B3033" s="19" t="s">
        <v>15</v>
      </c>
      <c r="C3033" s="18" t="s">
        <v>6008</v>
      </c>
      <c r="D3033" s="18" t="s">
        <v>17</v>
      </c>
      <c r="E3033" s="18" t="s">
        <v>18</v>
      </c>
      <c r="F3033" s="18" t="s">
        <v>1084</v>
      </c>
      <c r="G3033" s="18" t="s">
        <v>63</v>
      </c>
      <c r="H3033" s="18" t="s">
        <v>6009</v>
      </c>
      <c r="I3033" s="20" t="s">
        <v>6023</v>
      </c>
      <c r="J3033" s="18" t="s">
        <v>30</v>
      </c>
      <c r="K3033" s="18" t="s">
        <v>24</v>
      </c>
      <c r="L3033" s="18" t="s">
        <v>25</v>
      </c>
      <c r="N3033" s="18" t="s">
        <v>807</v>
      </c>
    </row>
    <row r="3034" spans="1:14" ht="15" customHeight="1" x14ac:dyDescent="0.3">
      <c r="A3034" s="18" t="s">
        <v>6007</v>
      </c>
      <c r="B3034" s="19" t="s">
        <v>15</v>
      </c>
      <c r="C3034" s="18" t="s">
        <v>6008</v>
      </c>
      <c r="D3034" s="18" t="s">
        <v>17</v>
      </c>
      <c r="E3034" s="18" t="s">
        <v>18</v>
      </c>
      <c r="F3034" s="18" t="s">
        <v>1223</v>
      </c>
      <c r="G3034" s="18" t="s">
        <v>44</v>
      </c>
      <c r="H3034" s="18" t="s">
        <v>6024</v>
      </c>
      <c r="I3034" s="20" t="s">
        <v>6025</v>
      </c>
      <c r="J3034" s="18" t="s">
        <v>30</v>
      </c>
      <c r="K3034" s="18" t="s">
        <v>24</v>
      </c>
      <c r="L3034" s="18" t="s">
        <v>25</v>
      </c>
      <c r="N3034" s="18" t="s">
        <v>807</v>
      </c>
    </row>
    <row r="3035" spans="1:14" ht="15" customHeight="1" x14ac:dyDescent="0.3">
      <c r="A3035" s="18" t="s">
        <v>6007</v>
      </c>
      <c r="B3035" s="19" t="s">
        <v>15</v>
      </c>
      <c r="C3035" s="18" t="s">
        <v>6008</v>
      </c>
      <c r="D3035" s="18" t="s">
        <v>17</v>
      </c>
      <c r="E3035" s="18" t="s">
        <v>18</v>
      </c>
      <c r="F3035" s="18" t="s">
        <v>6026</v>
      </c>
      <c r="G3035" s="18" t="s">
        <v>273</v>
      </c>
      <c r="H3035" s="18" t="s">
        <v>6009</v>
      </c>
      <c r="I3035" s="20" t="s">
        <v>6027</v>
      </c>
      <c r="J3035" s="18" t="s">
        <v>30</v>
      </c>
      <c r="K3035" s="18" t="s">
        <v>24</v>
      </c>
      <c r="L3035" s="18" t="s">
        <v>25</v>
      </c>
      <c r="M3035" s="18" t="s">
        <v>39</v>
      </c>
      <c r="N3035" s="18" t="s">
        <v>807</v>
      </c>
    </row>
    <row r="3036" spans="1:14" ht="15" customHeight="1" x14ac:dyDescent="0.3">
      <c r="A3036" s="18" t="s">
        <v>6007</v>
      </c>
      <c r="B3036" s="19" t="s">
        <v>15</v>
      </c>
      <c r="C3036" s="18" t="s">
        <v>6008</v>
      </c>
      <c r="D3036" s="18" t="s">
        <v>17</v>
      </c>
      <c r="E3036" s="18" t="s">
        <v>18</v>
      </c>
      <c r="F3036" s="18" t="s">
        <v>6028</v>
      </c>
      <c r="G3036" s="18" t="s">
        <v>826</v>
      </c>
      <c r="H3036" s="18" t="s">
        <v>6009</v>
      </c>
      <c r="I3036" s="20" t="s">
        <v>6029</v>
      </c>
      <c r="J3036" s="18" t="s">
        <v>30</v>
      </c>
      <c r="K3036" s="18" t="s">
        <v>24</v>
      </c>
      <c r="L3036" s="18" t="s">
        <v>25</v>
      </c>
      <c r="N3036" s="18" t="s">
        <v>807</v>
      </c>
    </row>
    <row r="3037" spans="1:14" ht="15" customHeight="1" x14ac:dyDescent="0.3">
      <c r="A3037" s="18" t="s">
        <v>6007</v>
      </c>
      <c r="B3037" s="19" t="s">
        <v>15</v>
      </c>
      <c r="C3037" s="18" t="s">
        <v>6008</v>
      </c>
      <c r="D3037" s="18" t="s">
        <v>17</v>
      </c>
      <c r="E3037" s="18" t="s">
        <v>55</v>
      </c>
      <c r="F3037" s="18" t="s">
        <v>6030</v>
      </c>
      <c r="G3037" s="18" t="s">
        <v>44</v>
      </c>
      <c r="H3037" s="18" t="s">
        <v>6009</v>
      </c>
      <c r="I3037" s="20" t="s">
        <v>6031</v>
      </c>
      <c r="J3037" s="18" t="s">
        <v>199</v>
      </c>
      <c r="K3037" s="18" t="s">
        <v>24</v>
      </c>
      <c r="L3037" s="18" t="s">
        <v>25</v>
      </c>
      <c r="N3037" s="18" t="s">
        <v>807</v>
      </c>
    </row>
    <row r="3038" spans="1:14" ht="15" customHeight="1" x14ac:dyDescent="0.3">
      <c r="A3038" s="18" t="s">
        <v>6007</v>
      </c>
      <c r="B3038" s="19" t="s">
        <v>15</v>
      </c>
      <c r="C3038" s="18" t="s">
        <v>6008</v>
      </c>
      <c r="D3038" s="18" t="s">
        <v>17</v>
      </c>
      <c r="E3038" s="18" t="s">
        <v>55</v>
      </c>
      <c r="F3038" s="18" t="s">
        <v>6032</v>
      </c>
      <c r="G3038" s="18" t="s">
        <v>826</v>
      </c>
      <c r="H3038" s="18" t="s">
        <v>6009</v>
      </c>
      <c r="I3038" s="20" t="s">
        <v>6033</v>
      </c>
      <c r="J3038" s="18" t="s">
        <v>58</v>
      </c>
      <c r="K3038" s="18" t="s">
        <v>24</v>
      </c>
      <c r="L3038" s="18" t="s">
        <v>25</v>
      </c>
      <c r="N3038" s="18" t="s">
        <v>807</v>
      </c>
    </row>
    <row r="3039" spans="1:14" ht="15" customHeight="1" x14ac:dyDescent="0.3">
      <c r="A3039" s="18" t="s">
        <v>6007</v>
      </c>
      <c r="B3039" s="19" t="s">
        <v>15</v>
      </c>
      <c r="C3039" s="18" t="s">
        <v>6008</v>
      </c>
      <c r="D3039" s="18" t="s">
        <v>17</v>
      </c>
      <c r="E3039" s="18" t="s">
        <v>55</v>
      </c>
      <c r="F3039" s="18" t="s">
        <v>6034</v>
      </c>
      <c r="G3039" s="18" t="s">
        <v>2921</v>
      </c>
      <c r="H3039" s="18" t="s">
        <v>6035</v>
      </c>
      <c r="I3039" s="20" t="s">
        <v>6036</v>
      </c>
      <c r="J3039" s="18" t="s">
        <v>58</v>
      </c>
      <c r="K3039" s="18" t="s">
        <v>24</v>
      </c>
      <c r="L3039" s="18" t="s">
        <v>25</v>
      </c>
      <c r="N3039" s="18" t="s">
        <v>807</v>
      </c>
    </row>
    <row r="3040" spans="1:14" ht="15" customHeight="1" x14ac:dyDescent="0.3">
      <c r="A3040" s="18" t="s">
        <v>6007</v>
      </c>
      <c r="B3040" s="19" t="s">
        <v>15</v>
      </c>
      <c r="C3040" s="18" t="s">
        <v>6008</v>
      </c>
      <c r="D3040" s="18" t="s">
        <v>17</v>
      </c>
      <c r="E3040" s="18" t="s">
        <v>74</v>
      </c>
      <c r="F3040" s="18" t="s">
        <v>6037</v>
      </c>
      <c r="G3040" s="18" t="s">
        <v>207</v>
      </c>
      <c r="H3040" s="18" t="s">
        <v>6038</v>
      </c>
      <c r="I3040" s="20" t="s">
        <v>6039</v>
      </c>
      <c r="J3040" s="18" t="s">
        <v>6040</v>
      </c>
      <c r="K3040" s="18" t="s">
        <v>293</v>
      </c>
      <c r="L3040" s="18" t="s">
        <v>25</v>
      </c>
      <c r="N3040" s="18" t="s">
        <v>807</v>
      </c>
    </row>
    <row r="3041" spans="1:14" ht="15" customHeight="1" x14ac:dyDescent="0.3">
      <c r="A3041" s="18" t="s">
        <v>6007</v>
      </c>
      <c r="B3041" s="19" t="s">
        <v>15</v>
      </c>
      <c r="C3041" s="18" t="s">
        <v>6008</v>
      </c>
      <c r="D3041" s="18" t="s">
        <v>17</v>
      </c>
      <c r="E3041" s="18" t="s">
        <v>74</v>
      </c>
      <c r="F3041" s="18" t="s">
        <v>2626</v>
      </c>
      <c r="G3041" s="18" t="s">
        <v>273</v>
      </c>
      <c r="H3041" s="18" t="s">
        <v>6041</v>
      </c>
      <c r="I3041" s="20" t="s">
        <v>6042</v>
      </c>
      <c r="J3041" s="18" t="s">
        <v>6043</v>
      </c>
      <c r="K3041" s="18" t="s">
        <v>293</v>
      </c>
      <c r="L3041" s="18" t="s">
        <v>25</v>
      </c>
      <c r="N3041" s="18" t="s">
        <v>807</v>
      </c>
    </row>
    <row r="3042" spans="1:14" ht="15" customHeight="1" x14ac:dyDescent="0.3">
      <c r="A3042" s="18" t="s">
        <v>6007</v>
      </c>
      <c r="B3042" s="19" t="s">
        <v>15</v>
      </c>
      <c r="C3042" s="18" t="s">
        <v>6008</v>
      </c>
      <c r="D3042" s="18" t="s">
        <v>17</v>
      </c>
      <c r="E3042" s="18" t="s">
        <v>74</v>
      </c>
      <c r="F3042" s="18" t="s">
        <v>6044</v>
      </c>
      <c r="G3042" s="18" t="s">
        <v>1102</v>
      </c>
      <c r="H3042" s="18" t="s">
        <v>6041</v>
      </c>
      <c r="I3042" s="20" t="s">
        <v>6045</v>
      </c>
      <c r="J3042" s="18" t="s">
        <v>6046</v>
      </c>
      <c r="K3042" s="18" t="s">
        <v>293</v>
      </c>
      <c r="L3042" s="18" t="s">
        <v>25</v>
      </c>
      <c r="N3042" s="18" t="s">
        <v>807</v>
      </c>
    </row>
    <row r="3043" spans="1:14" ht="15" customHeight="1" x14ac:dyDescent="0.3">
      <c r="A3043" s="18" t="s">
        <v>6007</v>
      </c>
      <c r="B3043" s="19" t="s">
        <v>15</v>
      </c>
      <c r="C3043" s="18" t="s">
        <v>6008</v>
      </c>
      <c r="D3043" s="18" t="s">
        <v>17</v>
      </c>
      <c r="E3043" s="18" t="s">
        <v>74</v>
      </c>
      <c r="F3043" s="18" t="s">
        <v>6047</v>
      </c>
      <c r="G3043" s="18" t="s">
        <v>44</v>
      </c>
      <c r="H3043" s="18" t="s">
        <v>6048</v>
      </c>
      <c r="I3043" s="20" t="s">
        <v>6049</v>
      </c>
      <c r="J3043" s="18" t="s">
        <v>6050</v>
      </c>
      <c r="K3043" s="18" t="s">
        <v>24</v>
      </c>
      <c r="L3043" s="18" t="s">
        <v>25</v>
      </c>
      <c r="N3043" s="18" t="s">
        <v>807</v>
      </c>
    </row>
    <row r="3044" spans="1:14" ht="15" customHeight="1" x14ac:dyDescent="0.3">
      <c r="A3044" s="18" t="s">
        <v>6007</v>
      </c>
      <c r="B3044" s="19" t="s">
        <v>15</v>
      </c>
      <c r="C3044" s="18" t="s">
        <v>6008</v>
      </c>
      <c r="D3044" s="18" t="s">
        <v>17</v>
      </c>
      <c r="E3044" s="18" t="s">
        <v>74</v>
      </c>
      <c r="F3044" s="18" t="s">
        <v>2941</v>
      </c>
      <c r="G3044" s="18" t="s">
        <v>1026</v>
      </c>
      <c r="H3044" s="18" t="s">
        <v>6041</v>
      </c>
      <c r="I3044" s="20" t="s">
        <v>6051</v>
      </c>
      <c r="J3044" s="18" t="s">
        <v>6052</v>
      </c>
      <c r="K3044" s="18" t="s">
        <v>293</v>
      </c>
      <c r="L3044" s="18" t="s">
        <v>25</v>
      </c>
      <c r="N3044" s="18" t="s">
        <v>807</v>
      </c>
    </row>
    <row r="3045" spans="1:14" ht="15" customHeight="1" x14ac:dyDescent="0.3">
      <c r="A3045" s="18" t="s">
        <v>6007</v>
      </c>
      <c r="B3045" s="19" t="s">
        <v>15</v>
      </c>
      <c r="C3045" s="18" t="s">
        <v>6008</v>
      </c>
      <c r="D3045" s="18" t="s">
        <v>17</v>
      </c>
      <c r="E3045" s="18" t="s">
        <v>74</v>
      </c>
      <c r="F3045" s="18" t="s">
        <v>6053</v>
      </c>
      <c r="G3045" s="18" t="s">
        <v>44</v>
      </c>
      <c r="H3045" s="18" t="s">
        <v>6048</v>
      </c>
      <c r="I3045" s="20" t="s">
        <v>6054</v>
      </c>
      <c r="J3045" s="18" t="s">
        <v>6055</v>
      </c>
      <c r="K3045" s="18" t="s">
        <v>293</v>
      </c>
      <c r="L3045" s="18" t="s">
        <v>25</v>
      </c>
      <c r="N3045" s="18" t="s">
        <v>807</v>
      </c>
    </row>
    <row r="3046" spans="1:14" ht="15" customHeight="1" x14ac:dyDescent="0.3">
      <c r="A3046" s="18" t="s">
        <v>6007</v>
      </c>
      <c r="B3046" s="19" t="s">
        <v>15</v>
      </c>
      <c r="C3046" s="18" t="s">
        <v>6008</v>
      </c>
      <c r="D3046" s="18" t="s">
        <v>17</v>
      </c>
      <c r="E3046" s="18" t="s">
        <v>74</v>
      </c>
      <c r="F3046" s="18" t="s">
        <v>6056</v>
      </c>
      <c r="G3046" s="18" t="s">
        <v>273</v>
      </c>
      <c r="H3046" s="18" t="s">
        <v>6041</v>
      </c>
      <c r="I3046" s="20" t="s">
        <v>6057</v>
      </c>
      <c r="J3046" s="18" t="s">
        <v>6058</v>
      </c>
      <c r="K3046" s="18" t="s">
        <v>293</v>
      </c>
      <c r="L3046" s="18" t="s">
        <v>25</v>
      </c>
      <c r="N3046" s="18" t="s">
        <v>807</v>
      </c>
    </row>
    <row r="3047" spans="1:14" ht="15" customHeight="1" x14ac:dyDescent="0.3">
      <c r="A3047" s="18" t="s">
        <v>6059</v>
      </c>
      <c r="B3047" s="19" t="s">
        <v>15</v>
      </c>
      <c r="C3047" s="18" t="s">
        <v>6060</v>
      </c>
      <c r="D3047" s="18" t="s">
        <v>17</v>
      </c>
      <c r="E3047" s="18" t="s">
        <v>117</v>
      </c>
      <c r="F3047" s="18" t="s">
        <v>85</v>
      </c>
      <c r="G3047" s="18" t="s">
        <v>85</v>
      </c>
      <c r="H3047" s="18" t="s">
        <v>6061</v>
      </c>
      <c r="I3047" s="20" t="s">
        <v>6062</v>
      </c>
      <c r="J3047" s="18" t="s">
        <v>58</v>
      </c>
      <c r="K3047" s="18" t="s">
        <v>24</v>
      </c>
      <c r="L3047" s="18" t="s">
        <v>25</v>
      </c>
      <c r="N3047" s="18" t="s">
        <v>154</v>
      </c>
    </row>
    <row r="3048" spans="1:14" ht="15" customHeight="1" x14ac:dyDescent="0.3">
      <c r="A3048" s="18" t="s">
        <v>6059</v>
      </c>
      <c r="B3048" s="19" t="s">
        <v>15</v>
      </c>
      <c r="C3048" s="18" t="s">
        <v>6060</v>
      </c>
      <c r="D3048" s="18" t="s">
        <v>17</v>
      </c>
      <c r="E3048" s="18" t="s">
        <v>117</v>
      </c>
      <c r="F3048" s="18" t="s">
        <v>6063</v>
      </c>
      <c r="G3048" s="18" t="s">
        <v>41</v>
      </c>
      <c r="H3048" s="18" t="s">
        <v>6061</v>
      </c>
      <c r="I3048" s="20" t="s">
        <v>6064</v>
      </c>
      <c r="J3048" s="18" t="s">
        <v>58</v>
      </c>
      <c r="K3048" s="18" t="s">
        <v>24</v>
      </c>
      <c r="L3048" s="18" t="s">
        <v>25</v>
      </c>
      <c r="N3048" s="18" t="s">
        <v>154</v>
      </c>
    </row>
    <row r="3049" spans="1:14" ht="15" customHeight="1" x14ac:dyDescent="0.3">
      <c r="A3049" s="18" t="s">
        <v>6059</v>
      </c>
      <c r="B3049" s="19" t="s">
        <v>15</v>
      </c>
      <c r="C3049" s="18" t="s">
        <v>6060</v>
      </c>
      <c r="D3049" s="18" t="s">
        <v>17</v>
      </c>
      <c r="E3049" s="18" t="s">
        <v>117</v>
      </c>
      <c r="F3049" s="18" t="s">
        <v>1920</v>
      </c>
      <c r="G3049" s="18" t="s">
        <v>219</v>
      </c>
      <c r="H3049" s="18" t="s">
        <v>6061</v>
      </c>
      <c r="I3049" s="20" t="s">
        <v>6065</v>
      </c>
      <c r="J3049" s="18" t="s">
        <v>58</v>
      </c>
      <c r="K3049" s="18" t="s">
        <v>24</v>
      </c>
      <c r="L3049" s="18" t="s">
        <v>25</v>
      </c>
      <c r="N3049" s="18" t="s">
        <v>154</v>
      </c>
    </row>
    <row r="3050" spans="1:14" ht="15" customHeight="1" x14ac:dyDescent="0.3">
      <c r="A3050" s="18" t="s">
        <v>6059</v>
      </c>
      <c r="B3050" s="19" t="s">
        <v>15</v>
      </c>
      <c r="C3050" s="18" t="s">
        <v>6060</v>
      </c>
      <c r="D3050" s="18" t="s">
        <v>17</v>
      </c>
      <c r="E3050" s="18" t="s">
        <v>117</v>
      </c>
      <c r="F3050" s="18" t="s">
        <v>2228</v>
      </c>
      <c r="G3050" s="18" t="s">
        <v>536</v>
      </c>
      <c r="H3050" s="18" t="s">
        <v>6061</v>
      </c>
      <c r="I3050" s="20" t="s">
        <v>6066</v>
      </c>
      <c r="J3050" s="18" t="s">
        <v>58</v>
      </c>
      <c r="K3050" s="18" t="s">
        <v>24</v>
      </c>
      <c r="L3050" s="18" t="s">
        <v>25</v>
      </c>
      <c r="N3050" s="18" t="s">
        <v>154</v>
      </c>
    </row>
    <row r="3051" spans="1:14" ht="15" customHeight="1" x14ac:dyDescent="0.3">
      <c r="A3051" s="18" t="s">
        <v>6059</v>
      </c>
      <c r="B3051" s="19" t="s">
        <v>15</v>
      </c>
      <c r="C3051" s="18" t="s">
        <v>6060</v>
      </c>
      <c r="D3051" s="18" t="s">
        <v>17</v>
      </c>
      <c r="E3051" s="18" t="s">
        <v>117</v>
      </c>
      <c r="F3051" s="18" t="s">
        <v>1577</v>
      </c>
      <c r="G3051" s="18" t="s">
        <v>47</v>
      </c>
      <c r="H3051" s="18" t="s">
        <v>6061</v>
      </c>
      <c r="I3051" s="20" t="s">
        <v>6067</v>
      </c>
      <c r="J3051" s="18" t="s">
        <v>58</v>
      </c>
      <c r="K3051" s="18" t="s">
        <v>24</v>
      </c>
      <c r="L3051" s="18" t="s">
        <v>25</v>
      </c>
      <c r="N3051" s="18" t="s">
        <v>154</v>
      </c>
    </row>
    <row r="3052" spans="1:14" ht="15" customHeight="1" x14ac:dyDescent="0.3">
      <c r="A3052" s="18" t="s">
        <v>6059</v>
      </c>
      <c r="B3052" s="19" t="s">
        <v>15</v>
      </c>
      <c r="C3052" s="18" t="s">
        <v>6060</v>
      </c>
      <c r="D3052" s="18" t="s">
        <v>17</v>
      </c>
      <c r="E3052" s="18" t="s">
        <v>117</v>
      </c>
      <c r="F3052" s="18" t="s">
        <v>4455</v>
      </c>
      <c r="G3052" s="18" t="s">
        <v>63</v>
      </c>
      <c r="H3052" s="18" t="s">
        <v>6061</v>
      </c>
      <c r="I3052" s="20" t="s">
        <v>6068</v>
      </c>
      <c r="J3052" s="18" t="s">
        <v>58</v>
      </c>
      <c r="K3052" s="18" t="s">
        <v>24</v>
      </c>
      <c r="L3052" s="18" t="s">
        <v>25</v>
      </c>
      <c r="N3052" s="18" t="s">
        <v>154</v>
      </c>
    </row>
    <row r="3053" spans="1:14" ht="15" customHeight="1" x14ac:dyDescent="0.3">
      <c r="A3053" s="18" t="s">
        <v>6059</v>
      </c>
      <c r="B3053" s="19" t="s">
        <v>15</v>
      </c>
      <c r="C3053" s="18" t="s">
        <v>6060</v>
      </c>
      <c r="D3053" s="18" t="s">
        <v>17</v>
      </c>
      <c r="E3053" s="18" t="s">
        <v>117</v>
      </c>
      <c r="F3053" s="18" t="s">
        <v>2020</v>
      </c>
      <c r="G3053" s="18" t="s">
        <v>619</v>
      </c>
      <c r="H3053" s="18" t="s">
        <v>6061</v>
      </c>
      <c r="I3053" s="20" t="s">
        <v>6069</v>
      </c>
      <c r="J3053" s="18" t="s">
        <v>58</v>
      </c>
      <c r="K3053" s="18" t="s">
        <v>24</v>
      </c>
      <c r="L3053" s="18" t="s">
        <v>25</v>
      </c>
      <c r="N3053" s="18" t="s">
        <v>154</v>
      </c>
    </row>
    <row r="3054" spans="1:14" ht="15" customHeight="1" x14ac:dyDescent="0.3">
      <c r="A3054" s="18" t="s">
        <v>6059</v>
      </c>
      <c r="B3054" s="19" t="s">
        <v>15</v>
      </c>
      <c r="C3054" s="18" t="s">
        <v>6060</v>
      </c>
      <c r="D3054" s="18" t="s">
        <v>17</v>
      </c>
      <c r="E3054" s="18" t="s">
        <v>18</v>
      </c>
      <c r="F3054" s="18" t="s">
        <v>1806</v>
      </c>
      <c r="G3054" s="18" t="s">
        <v>85</v>
      </c>
      <c r="H3054" s="18" t="s">
        <v>6061</v>
      </c>
      <c r="I3054" s="20" t="s">
        <v>6070</v>
      </c>
      <c r="J3054" s="18" t="s">
        <v>30</v>
      </c>
      <c r="K3054" s="18" t="s">
        <v>24</v>
      </c>
      <c r="L3054" s="18" t="s">
        <v>25</v>
      </c>
      <c r="N3054" s="18" t="s">
        <v>154</v>
      </c>
    </row>
    <row r="3055" spans="1:14" ht="15" customHeight="1" x14ac:dyDescent="0.3">
      <c r="A3055" s="18" t="s">
        <v>6059</v>
      </c>
      <c r="B3055" s="19" t="s">
        <v>15</v>
      </c>
      <c r="C3055" s="18" t="s">
        <v>6060</v>
      </c>
      <c r="D3055" s="18" t="s">
        <v>17</v>
      </c>
      <c r="E3055" s="18" t="s">
        <v>18</v>
      </c>
      <c r="F3055" s="18" t="s">
        <v>5757</v>
      </c>
      <c r="G3055" s="18" t="s">
        <v>63</v>
      </c>
      <c r="H3055" s="18" t="s">
        <v>6061</v>
      </c>
      <c r="I3055" s="20" t="s">
        <v>6071</v>
      </c>
      <c r="J3055" s="18" t="s">
        <v>30</v>
      </c>
      <c r="K3055" s="18" t="s">
        <v>24</v>
      </c>
      <c r="L3055" s="18" t="s">
        <v>25</v>
      </c>
      <c r="N3055" s="18" t="s">
        <v>154</v>
      </c>
    </row>
    <row r="3056" spans="1:14" ht="15" customHeight="1" x14ac:dyDescent="0.3">
      <c r="A3056" s="18" t="s">
        <v>6059</v>
      </c>
      <c r="B3056" s="19" t="s">
        <v>15</v>
      </c>
      <c r="C3056" s="18" t="s">
        <v>6060</v>
      </c>
      <c r="D3056" s="18" t="s">
        <v>17</v>
      </c>
      <c r="E3056" s="18" t="s">
        <v>18</v>
      </c>
      <c r="F3056" s="18" t="s">
        <v>1450</v>
      </c>
      <c r="G3056" s="18" t="s">
        <v>41</v>
      </c>
      <c r="H3056" s="18" t="s">
        <v>6061</v>
      </c>
      <c r="I3056" s="20" t="s">
        <v>6072</v>
      </c>
      <c r="J3056" s="18" t="s">
        <v>30</v>
      </c>
      <c r="K3056" s="18" t="s">
        <v>24</v>
      </c>
      <c r="L3056" s="18" t="s">
        <v>25</v>
      </c>
      <c r="N3056" s="18" t="s">
        <v>154</v>
      </c>
    </row>
    <row r="3057" spans="1:14" ht="15" customHeight="1" x14ac:dyDescent="0.3">
      <c r="A3057" s="18" t="s">
        <v>6059</v>
      </c>
      <c r="B3057" s="19" t="s">
        <v>15</v>
      </c>
      <c r="C3057" s="18" t="s">
        <v>6060</v>
      </c>
      <c r="D3057" s="18" t="s">
        <v>17</v>
      </c>
      <c r="E3057" s="18" t="s">
        <v>18</v>
      </c>
      <c r="F3057" s="18" t="s">
        <v>6073</v>
      </c>
      <c r="G3057" s="18" t="s">
        <v>207</v>
      </c>
      <c r="H3057" s="18" t="s">
        <v>6061</v>
      </c>
      <c r="I3057" s="20" t="s">
        <v>6074</v>
      </c>
      <c r="J3057" s="18" t="s">
        <v>30</v>
      </c>
      <c r="K3057" s="18" t="s">
        <v>24</v>
      </c>
      <c r="L3057" s="18" t="s">
        <v>25</v>
      </c>
      <c r="N3057" s="18" t="s">
        <v>154</v>
      </c>
    </row>
    <row r="3058" spans="1:14" ht="15" customHeight="1" x14ac:dyDescent="0.3">
      <c r="A3058" s="18" t="s">
        <v>6059</v>
      </c>
      <c r="B3058" s="19" t="s">
        <v>15</v>
      </c>
      <c r="C3058" s="18" t="s">
        <v>6060</v>
      </c>
      <c r="D3058" s="18" t="s">
        <v>17</v>
      </c>
      <c r="E3058" s="18" t="s">
        <v>18</v>
      </c>
      <c r="F3058" s="18" t="s">
        <v>2027</v>
      </c>
      <c r="G3058" s="18" t="s">
        <v>619</v>
      </c>
      <c r="H3058" s="18" t="s">
        <v>6061</v>
      </c>
      <c r="I3058" s="20" t="s">
        <v>6075</v>
      </c>
      <c r="J3058" s="18" t="s">
        <v>30</v>
      </c>
      <c r="K3058" s="18" t="s">
        <v>24</v>
      </c>
      <c r="L3058" s="18" t="s">
        <v>25</v>
      </c>
      <c r="N3058" s="18" t="s">
        <v>154</v>
      </c>
    </row>
    <row r="3059" spans="1:14" ht="15" customHeight="1" x14ac:dyDescent="0.3">
      <c r="A3059" s="18" t="s">
        <v>6059</v>
      </c>
      <c r="B3059" s="19" t="s">
        <v>15</v>
      </c>
      <c r="C3059" s="18" t="s">
        <v>6060</v>
      </c>
      <c r="D3059" s="18" t="s">
        <v>17</v>
      </c>
      <c r="E3059" s="18" t="s">
        <v>55</v>
      </c>
      <c r="F3059" s="18" t="s">
        <v>1450</v>
      </c>
      <c r="G3059" s="18" t="s">
        <v>41</v>
      </c>
      <c r="H3059" s="18" t="s">
        <v>6061</v>
      </c>
      <c r="I3059" s="20" t="s">
        <v>6076</v>
      </c>
      <c r="J3059" s="18" t="s">
        <v>58</v>
      </c>
      <c r="K3059" s="18" t="s">
        <v>24</v>
      </c>
      <c r="L3059" s="18" t="s">
        <v>25</v>
      </c>
      <c r="N3059" s="18" t="s">
        <v>154</v>
      </c>
    </row>
    <row r="3060" spans="1:14" ht="15" customHeight="1" x14ac:dyDescent="0.3">
      <c r="A3060" s="18" t="s">
        <v>6059</v>
      </c>
      <c r="B3060" s="19" t="s">
        <v>15</v>
      </c>
      <c r="C3060" s="18" t="s">
        <v>6060</v>
      </c>
      <c r="D3060" s="18" t="s">
        <v>17</v>
      </c>
      <c r="E3060" s="18" t="s">
        <v>74</v>
      </c>
      <c r="F3060" s="18" t="s">
        <v>6077</v>
      </c>
      <c r="G3060" s="18" t="s">
        <v>85</v>
      </c>
      <c r="H3060" s="18" t="s">
        <v>6078</v>
      </c>
      <c r="I3060" s="20" t="s">
        <v>6079</v>
      </c>
      <c r="J3060" s="18" t="s">
        <v>6080</v>
      </c>
      <c r="K3060" s="18" t="s">
        <v>24</v>
      </c>
      <c r="L3060" s="18" t="s">
        <v>25</v>
      </c>
      <c r="N3060" s="18" t="s">
        <v>154</v>
      </c>
    </row>
    <row r="3061" spans="1:14" ht="15" customHeight="1" x14ac:dyDescent="0.3">
      <c r="A3061" s="18" t="s">
        <v>6059</v>
      </c>
      <c r="B3061" s="19" t="s">
        <v>15</v>
      </c>
      <c r="C3061" s="18" t="s">
        <v>6060</v>
      </c>
      <c r="D3061" s="18" t="s">
        <v>17</v>
      </c>
      <c r="E3061" s="18" t="s">
        <v>74</v>
      </c>
      <c r="F3061" s="18" t="s">
        <v>1466</v>
      </c>
      <c r="G3061" s="18" t="s">
        <v>47</v>
      </c>
      <c r="H3061" s="18" t="s">
        <v>6078</v>
      </c>
      <c r="I3061" s="20" t="s">
        <v>6081</v>
      </c>
      <c r="J3061" s="18" t="s">
        <v>6082</v>
      </c>
      <c r="K3061" s="18" t="s">
        <v>24</v>
      </c>
      <c r="L3061" s="18" t="s">
        <v>25</v>
      </c>
      <c r="N3061" s="18" t="s">
        <v>154</v>
      </c>
    </row>
    <row r="3062" spans="1:14" ht="15" customHeight="1" x14ac:dyDescent="0.3">
      <c r="A3062" s="18" t="s">
        <v>6059</v>
      </c>
      <c r="B3062" s="19" t="s">
        <v>15</v>
      </c>
      <c r="C3062" s="18" t="s">
        <v>6060</v>
      </c>
      <c r="D3062" s="18" t="s">
        <v>17</v>
      </c>
      <c r="E3062" s="18" t="s">
        <v>74</v>
      </c>
      <c r="F3062" s="18" t="s">
        <v>2765</v>
      </c>
      <c r="G3062" s="18" t="s">
        <v>85</v>
      </c>
      <c r="H3062" s="18" t="s">
        <v>6078</v>
      </c>
      <c r="I3062" s="20" t="s">
        <v>6083</v>
      </c>
      <c r="J3062" s="18" t="s">
        <v>6084</v>
      </c>
      <c r="K3062" s="18" t="s">
        <v>24</v>
      </c>
      <c r="L3062" s="18" t="s">
        <v>25</v>
      </c>
      <c r="N3062" s="18" t="s">
        <v>154</v>
      </c>
    </row>
    <row r="3063" spans="1:14" ht="15" customHeight="1" x14ac:dyDescent="0.3">
      <c r="A3063" s="18" t="s">
        <v>6059</v>
      </c>
      <c r="B3063" s="19" t="s">
        <v>15</v>
      </c>
      <c r="C3063" s="18" t="s">
        <v>6060</v>
      </c>
      <c r="D3063" s="18" t="s">
        <v>17</v>
      </c>
      <c r="E3063" s="18" t="s">
        <v>74</v>
      </c>
      <c r="F3063" s="18" t="s">
        <v>6085</v>
      </c>
      <c r="G3063" s="18" t="s">
        <v>6086</v>
      </c>
      <c r="H3063" s="18" t="s">
        <v>6078</v>
      </c>
      <c r="I3063" s="20" t="s">
        <v>6087</v>
      </c>
      <c r="J3063" s="18" t="s">
        <v>6088</v>
      </c>
      <c r="K3063" s="18" t="s">
        <v>24</v>
      </c>
      <c r="L3063" s="18" t="s">
        <v>25</v>
      </c>
      <c r="N3063" s="18" t="s">
        <v>154</v>
      </c>
    </row>
    <row r="3064" spans="1:14" ht="15" customHeight="1" x14ac:dyDescent="0.3">
      <c r="A3064" s="18" t="s">
        <v>6059</v>
      </c>
      <c r="B3064" s="19" t="s">
        <v>15</v>
      </c>
      <c r="C3064" s="18" t="s">
        <v>6060</v>
      </c>
      <c r="D3064" s="18" t="s">
        <v>17</v>
      </c>
      <c r="E3064" s="18" t="s">
        <v>74</v>
      </c>
      <c r="F3064" s="18" t="s">
        <v>6089</v>
      </c>
      <c r="G3064" s="18" t="s">
        <v>207</v>
      </c>
      <c r="H3064" s="18" t="s">
        <v>6078</v>
      </c>
      <c r="I3064" s="20" t="s">
        <v>6090</v>
      </c>
      <c r="J3064" s="18" t="s">
        <v>935</v>
      </c>
      <c r="K3064" s="18" t="s">
        <v>24</v>
      </c>
      <c r="L3064" s="18" t="s">
        <v>25</v>
      </c>
      <c r="N3064" s="18" t="s">
        <v>154</v>
      </c>
    </row>
    <row r="3065" spans="1:14" ht="15" customHeight="1" x14ac:dyDescent="0.3">
      <c r="A3065" s="18" t="s">
        <v>6059</v>
      </c>
      <c r="B3065" s="19" t="s">
        <v>15</v>
      </c>
      <c r="C3065" s="18" t="s">
        <v>6060</v>
      </c>
      <c r="D3065" s="18" t="s">
        <v>17</v>
      </c>
      <c r="E3065" s="18" t="s">
        <v>74</v>
      </c>
      <c r="F3065" s="18" t="s">
        <v>6091</v>
      </c>
      <c r="G3065" s="18" t="s">
        <v>41</v>
      </c>
      <c r="H3065" s="18" t="s">
        <v>6078</v>
      </c>
      <c r="I3065" s="20" t="s">
        <v>6092</v>
      </c>
      <c r="J3065" s="18" t="s">
        <v>6093</v>
      </c>
      <c r="K3065" s="18" t="s">
        <v>24</v>
      </c>
      <c r="L3065" s="18" t="s">
        <v>25</v>
      </c>
      <c r="N3065" s="18" t="s">
        <v>154</v>
      </c>
    </row>
    <row r="3066" spans="1:14" ht="15" customHeight="1" x14ac:dyDescent="0.3">
      <c r="A3066" s="18" t="s">
        <v>6059</v>
      </c>
      <c r="B3066" s="19" t="s">
        <v>15</v>
      </c>
      <c r="C3066" s="18" t="s">
        <v>6060</v>
      </c>
      <c r="D3066" s="18" t="s">
        <v>17</v>
      </c>
      <c r="E3066" s="18" t="s">
        <v>74</v>
      </c>
      <c r="F3066" s="18" t="s">
        <v>1612</v>
      </c>
      <c r="G3066" s="18" t="s">
        <v>41</v>
      </c>
      <c r="H3066" s="18" t="s">
        <v>6078</v>
      </c>
      <c r="I3066" s="20" t="s">
        <v>6094</v>
      </c>
      <c r="J3066" s="18" t="s">
        <v>6095</v>
      </c>
      <c r="K3066" s="18" t="s">
        <v>24</v>
      </c>
      <c r="L3066" s="18" t="s">
        <v>25</v>
      </c>
      <c r="N3066" s="18" t="s">
        <v>154</v>
      </c>
    </row>
    <row r="3067" spans="1:14" ht="15" customHeight="1" x14ac:dyDescent="0.3">
      <c r="A3067" s="18" t="s">
        <v>6096</v>
      </c>
      <c r="B3067" s="19" t="s">
        <v>15</v>
      </c>
      <c r="C3067" s="18" t="s">
        <v>210</v>
      </c>
      <c r="D3067" s="18" t="s">
        <v>17</v>
      </c>
      <c r="E3067" s="18" t="s">
        <v>18</v>
      </c>
      <c r="F3067" s="18" t="s">
        <v>1069</v>
      </c>
      <c r="G3067" s="18" t="s">
        <v>1069</v>
      </c>
      <c r="H3067" s="18" t="s">
        <v>6097</v>
      </c>
      <c r="I3067" s="20" t="s">
        <v>6098</v>
      </c>
      <c r="J3067" s="18" t="s">
        <v>30</v>
      </c>
      <c r="K3067" s="18" t="s">
        <v>24</v>
      </c>
      <c r="L3067" s="18" t="s">
        <v>25</v>
      </c>
      <c r="N3067" s="18" t="s">
        <v>26</v>
      </c>
    </row>
    <row r="3068" spans="1:14" ht="15" customHeight="1" x14ac:dyDescent="0.3">
      <c r="A3068" s="18" t="s">
        <v>6096</v>
      </c>
      <c r="B3068" s="19" t="s">
        <v>15</v>
      </c>
      <c r="C3068" s="18" t="s">
        <v>210</v>
      </c>
      <c r="D3068" s="18" t="s">
        <v>17</v>
      </c>
      <c r="E3068" s="18" t="s">
        <v>18</v>
      </c>
      <c r="F3068" s="18" t="s">
        <v>40</v>
      </c>
      <c r="G3068" s="18" t="s">
        <v>41</v>
      </c>
      <c r="H3068" s="18" t="s">
        <v>6099</v>
      </c>
      <c r="I3068" s="20" t="s">
        <v>6100</v>
      </c>
      <c r="J3068" s="18" t="s">
        <v>30</v>
      </c>
      <c r="K3068" s="18" t="s">
        <v>24</v>
      </c>
      <c r="L3068" s="18" t="s">
        <v>25</v>
      </c>
      <c r="N3068" s="18" t="s">
        <v>26</v>
      </c>
    </row>
    <row r="3069" spans="1:14" ht="15" customHeight="1" x14ac:dyDescent="0.3">
      <c r="A3069" s="18" t="s">
        <v>6096</v>
      </c>
      <c r="B3069" s="19" t="s">
        <v>15</v>
      </c>
      <c r="C3069" s="18" t="s">
        <v>210</v>
      </c>
      <c r="D3069" s="18" t="s">
        <v>17</v>
      </c>
      <c r="E3069" s="18" t="s">
        <v>18</v>
      </c>
      <c r="F3069" s="18" t="s">
        <v>1088</v>
      </c>
      <c r="G3069" s="18" t="s">
        <v>41</v>
      </c>
      <c r="H3069" s="18" t="s">
        <v>6101</v>
      </c>
      <c r="I3069" s="20" t="s">
        <v>6102</v>
      </c>
      <c r="J3069" s="18" t="s">
        <v>30</v>
      </c>
      <c r="K3069" s="18" t="s">
        <v>24</v>
      </c>
      <c r="L3069" s="18" t="s">
        <v>25</v>
      </c>
      <c r="N3069" s="18" t="s">
        <v>26</v>
      </c>
    </row>
    <row r="3070" spans="1:14" ht="15" customHeight="1" x14ac:dyDescent="0.3">
      <c r="A3070" s="18" t="s">
        <v>6096</v>
      </c>
      <c r="B3070" s="19" t="s">
        <v>15</v>
      </c>
      <c r="C3070" s="18" t="s">
        <v>210</v>
      </c>
      <c r="D3070" s="18" t="s">
        <v>17</v>
      </c>
      <c r="E3070" s="18" t="s">
        <v>18</v>
      </c>
      <c r="F3070" s="18" t="s">
        <v>1453</v>
      </c>
      <c r="G3070" s="18" t="s">
        <v>536</v>
      </c>
      <c r="H3070" s="18" t="s">
        <v>6101</v>
      </c>
      <c r="I3070" s="20" t="s">
        <v>6103</v>
      </c>
      <c r="J3070" s="18" t="s">
        <v>30</v>
      </c>
      <c r="K3070" s="18" t="s">
        <v>24</v>
      </c>
      <c r="L3070" s="18" t="s">
        <v>25</v>
      </c>
      <c r="N3070" s="18" t="s">
        <v>26</v>
      </c>
    </row>
    <row r="3071" spans="1:14" ht="15" customHeight="1" x14ac:dyDescent="0.3">
      <c r="A3071" s="18" t="s">
        <v>6096</v>
      </c>
      <c r="B3071" s="19" t="s">
        <v>15</v>
      </c>
      <c r="C3071" s="18" t="s">
        <v>210</v>
      </c>
      <c r="D3071" s="18" t="s">
        <v>17</v>
      </c>
      <c r="E3071" s="18" t="s">
        <v>18</v>
      </c>
      <c r="F3071" s="18" t="s">
        <v>1832</v>
      </c>
      <c r="G3071" s="18" t="s">
        <v>207</v>
      </c>
      <c r="H3071" s="18" t="s">
        <v>6101</v>
      </c>
      <c r="I3071" s="20" t="s">
        <v>6104</v>
      </c>
      <c r="J3071" s="18" t="s">
        <v>30</v>
      </c>
      <c r="K3071" s="18" t="s">
        <v>24</v>
      </c>
      <c r="L3071" s="18" t="s">
        <v>25</v>
      </c>
      <c r="M3071" s="18" t="s">
        <v>39</v>
      </c>
      <c r="N3071" s="18" t="s">
        <v>26</v>
      </c>
    </row>
    <row r="3072" spans="1:14" ht="15" customHeight="1" x14ac:dyDescent="0.3">
      <c r="A3072" s="18" t="s">
        <v>6096</v>
      </c>
      <c r="B3072" s="19" t="s">
        <v>15</v>
      </c>
      <c r="C3072" s="18" t="s">
        <v>210</v>
      </c>
      <c r="D3072" s="18" t="s">
        <v>17</v>
      </c>
      <c r="E3072" s="18" t="s">
        <v>55</v>
      </c>
      <c r="F3072" s="18" t="s">
        <v>6105</v>
      </c>
      <c r="G3072" s="18" t="s">
        <v>1069</v>
      </c>
      <c r="H3072" s="18" t="s">
        <v>6099</v>
      </c>
      <c r="I3072" s="20" t="s">
        <v>6106</v>
      </c>
      <c r="J3072" s="18" t="s">
        <v>58</v>
      </c>
      <c r="K3072" s="18" t="s">
        <v>24</v>
      </c>
      <c r="L3072" s="18" t="s">
        <v>25</v>
      </c>
      <c r="N3072" s="18" t="s">
        <v>26</v>
      </c>
    </row>
    <row r="3073" spans="1:14" ht="15" customHeight="1" x14ac:dyDescent="0.3">
      <c r="A3073" s="18" t="s">
        <v>6096</v>
      </c>
      <c r="B3073" s="19" t="s">
        <v>15</v>
      </c>
      <c r="C3073" s="18" t="s">
        <v>210</v>
      </c>
      <c r="D3073" s="18" t="s">
        <v>17</v>
      </c>
      <c r="E3073" s="18" t="s">
        <v>55</v>
      </c>
      <c r="F3073" s="18" t="s">
        <v>1450</v>
      </c>
      <c r="G3073" s="18" t="s">
        <v>41</v>
      </c>
      <c r="H3073" s="18" t="s">
        <v>6099</v>
      </c>
      <c r="I3073" s="20" t="s">
        <v>6107</v>
      </c>
      <c r="J3073" s="18" t="s">
        <v>58</v>
      </c>
      <c r="K3073" s="18" t="s">
        <v>24</v>
      </c>
      <c r="L3073" s="18" t="s">
        <v>25</v>
      </c>
      <c r="N3073" s="18" t="s">
        <v>26</v>
      </c>
    </row>
    <row r="3074" spans="1:14" ht="15" customHeight="1" x14ac:dyDescent="0.3">
      <c r="A3074" s="18" t="s">
        <v>6096</v>
      </c>
      <c r="B3074" s="19" t="s">
        <v>15</v>
      </c>
      <c r="C3074" s="18" t="s">
        <v>210</v>
      </c>
      <c r="D3074" s="18" t="s">
        <v>17</v>
      </c>
      <c r="E3074" s="18" t="s">
        <v>55</v>
      </c>
      <c r="F3074" s="18" t="s">
        <v>6108</v>
      </c>
      <c r="G3074" s="18" t="s">
        <v>41</v>
      </c>
      <c r="H3074" s="18" t="s">
        <v>6101</v>
      </c>
      <c r="I3074" s="20" t="s">
        <v>6109</v>
      </c>
      <c r="J3074" s="18" t="s">
        <v>58</v>
      </c>
      <c r="K3074" s="18" t="s">
        <v>24</v>
      </c>
      <c r="L3074" s="18" t="s">
        <v>25</v>
      </c>
      <c r="N3074" s="18" t="s">
        <v>26</v>
      </c>
    </row>
    <row r="3075" spans="1:14" ht="15" customHeight="1" x14ac:dyDescent="0.3">
      <c r="A3075" s="18" t="s">
        <v>6096</v>
      </c>
      <c r="B3075" s="19" t="s">
        <v>15</v>
      </c>
      <c r="C3075" s="18" t="s">
        <v>210</v>
      </c>
      <c r="D3075" s="18" t="s">
        <v>17</v>
      </c>
      <c r="E3075" s="18" t="s">
        <v>55</v>
      </c>
      <c r="F3075" s="18" t="s">
        <v>1832</v>
      </c>
      <c r="G3075" s="18" t="s">
        <v>207</v>
      </c>
      <c r="H3075" s="18" t="s">
        <v>6101</v>
      </c>
      <c r="I3075" s="20" t="s">
        <v>6110</v>
      </c>
      <c r="J3075" s="18" t="s">
        <v>58</v>
      </c>
      <c r="K3075" s="18" t="s">
        <v>24</v>
      </c>
      <c r="L3075" s="18" t="s">
        <v>25</v>
      </c>
      <c r="N3075" s="18" t="s">
        <v>26</v>
      </c>
    </row>
    <row r="3076" spans="1:14" ht="15" customHeight="1" x14ac:dyDescent="0.3">
      <c r="A3076" s="18" t="s">
        <v>6096</v>
      </c>
      <c r="B3076" s="19" t="s">
        <v>15</v>
      </c>
      <c r="C3076" s="18" t="s">
        <v>210</v>
      </c>
      <c r="D3076" s="18" t="s">
        <v>17</v>
      </c>
      <c r="E3076" s="18" t="s">
        <v>74</v>
      </c>
      <c r="F3076" s="18" t="s">
        <v>6111</v>
      </c>
      <c r="G3076" s="18" t="s">
        <v>41</v>
      </c>
      <c r="H3076" s="18" t="s">
        <v>1991</v>
      </c>
      <c r="I3076" s="20" t="s">
        <v>6112</v>
      </c>
      <c r="J3076" s="18" t="s">
        <v>6113</v>
      </c>
      <c r="K3076" s="18" t="s">
        <v>293</v>
      </c>
      <c r="L3076" s="18" t="s">
        <v>25</v>
      </c>
      <c r="N3076" s="18" t="s">
        <v>26</v>
      </c>
    </row>
    <row r="3077" spans="1:14" ht="15" customHeight="1" x14ac:dyDescent="0.3">
      <c r="A3077" s="18" t="s">
        <v>6096</v>
      </c>
      <c r="B3077" s="19" t="s">
        <v>15</v>
      </c>
      <c r="C3077" s="18" t="s">
        <v>210</v>
      </c>
      <c r="D3077" s="18" t="s">
        <v>17</v>
      </c>
      <c r="E3077" s="18" t="s">
        <v>74</v>
      </c>
      <c r="F3077" s="18" t="s">
        <v>6114</v>
      </c>
      <c r="G3077" s="18" t="s">
        <v>85</v>
      </c>
      <c r="H3077" s="18" t="s">
        <v>1991</v>
      </c>
      <c r="I3077" s="20" t="s">
        <v>6115</v>
      </c>
      <c r="J3077" s="18" t="s">
        <v>1391</v>
      </c>
      <c r="K3077" s="18" t="s">
        <v>293</v>
      </c>
      <c r="L3077" s="18" t="s">
        <v>25</v>
      </c>
      <c r="N3077" s="18" t="s">
        <v>26</v>
      </c>
    </row>
    <row r="3078" spans="1:14" ht="15" customHeight="1" x14ac:dyDescent="0.3">
      <c r="A3078" s="18" t="s">
        <v>6096</v>
      </c>
      <c r="B3078" s="19" t="s">
        <v>15</v>
      </c>
      <c r="C3078" s="18" t="s">
        <v>210</v>
      </c>
      <c r="D3078" s="18" t="s">
        <v>17</v>
      </c>
      <c r="E3078" s="18" t="s">
        <v>74</v>
      </c>
      <c r="F3078" s="18" t="s">
        <v>6116</v>
      </c>
      <c r="G3078" s="18" t="s">
        <v>41</v>
      </c>
      <c r="H3078" s="18" t="s">
        <v>1991</v>
      </c>
      <c r="I3078" s="20" t="s">
        <v>6117</v>
      </c>
      <c r="J3078" s="18" t="s">
        <v>394</v>
      </c>
      <c r="K3078" s="18" t="s">
        <v>91</v>
      </c>
      <c r="L3078" s="18" t="s">
        <v>25</v>
      </c>
      <c r="N3078" s="18" t="s">
        <v>26</v>
      </c>
    </row>
    <row r="3079" spans="1:14" ht="15" customHeight="1" x14ac:dyDescent="0.3">
      <c r="A3079" s="18" t="s">
        <v>6096</v>
      </c>
      <c r="B3079" s="19" t="s">
        <v>15</v>
      </c>
      <c r="C3079" s="18" t="s">
        <v>210</v>
      </c>
      <c r="D3079" s="18" t="s">
        <v>17</v>
      </c>
      <c r="E3079" s="18" t="s">
        <v>74</v>
      </c>
      <c r="F3079" s="18" t="s">
        <v>6118</v>
      </c>
      <c r="G3079" s="18" t="s">
        <v>273</v>
      </c>
      <c r="H3079" s="18" t="s">
        <v>1991</v>
      </c>
      <c r="I3079" s="20" t="s">
        <v>6119</v>
      </c>
      <c r="J3079" s="18" t="s">
        <v>6113</v>
      </c>
      <c r="K3079" s="18" t="s">
        <v>91</v>
      </c>
      <c r="L3079" s="18" t="s">
        <v>25</v>
      </c>
      <c r="N3079" s="18" t="s">
        <v>26</v>
      </c>
    </row>
    <row r="3080" spans="1:14" ht="15" customHeight="1" x14ac:dyDescent="0.3">
      <c r="A3080" s="18" t="s">
        <v>6096</v>
      </c>
      <c r="B3080" s="19" t="s">
        <v>15</v>
      </c>
      <c r="C3080" s="18" t="s">
        <v>210</v>
      </c>
      <c r="D3080" s="18" t="s">
        <v>17</v>
      </c>
      <c r="E3080" s="18" t="s">
        <v>74</v>
      </c>
      <c r="F3080" s="18" t="s">
        <v>6120</v>
      </c>
      <c r="G3080" s="18" t="s">
        <v>1059</v>
      </c>
      <c r="H3080" s="18" t="s">
        <v>1991</v>
      </c>
      <c r="I3080" s="20" t="s">
        <v>6121</v>
      </c>
      <c r="J3080" s="18" t="s">
        <v>394</v>
      </c>
      <c r="K3080" s="18" t="s">
        <v>91</v>
      </c>
      <c r="L3080" s="18" t="s">
        <v>25</v>
      </c>
      <c r="N3080" s="18" t="s">
        <v>26</v>
      </c>
    </row>
    <row r="3081" spans="1:14" ht="15" customHeight="1" x14ac:dyDescent="0.3">
      <c r="A3081" s="18" t="s">
        <v>6096</v>
      </c>
      <c r="B3081" s="19" t="s">
        <v>15</v>
      </c>
      <c r="C3081" s="18" t="s">
        <v>210</v>
      </c>
      <c r="D3081" s="18" t="s">
        <v>17</v>
      </c>
      <c r="E3081" s="18" t="s">
        <v>74</v>
      </c>
      <c r="F3081" s="18" t="s">
        <v>6122</v>
      </c>
      <c r="G3081" s="18" t="s">
        <v>564</v>
      </c>
      <c r="H3081" s="18" t="s">
        <v>1991</v>
      </c>
      <c r="I3081" s="20" t="s">
        <v>6123</v>
      </c>
      <c r="J3081" s="18" t="s">
        <v>6124</v>
      </c>
      <c r="K3081" s="18" t="s">
        <v>24</v>
      </c>
      <c r="L3081" s="18" t="s">
        <v>25</v>
      </c>
      <c r="N3081" s="18" t="s">
        <v>26</v>
      </c>
    </row>
    <row r="3082" spans="1:14" ht="15" customHeight="1" x14ac:dyDescent="0.3">
      <c r="A3082" s="18" t="s">
        <v>6096</v>
      </c>
      <c r="B3082" s="19" t="s">
        <v>15</v>
      </c>
      <c r="C3082" s="18" t="s">
        <v>210</v>
      </c>
      <c r="D3082" s="18" t="s">
        <v>17</v>
      </c>
      <c r="E3082" s="18" t="s">
        <v>74</v>
      </c>
      <c r="F3082" s="18" t="s">
        <v>6125</v>
      </c>
      <c r="G3082" s="18" t="s">
        <v>263</v>
      </c>
      <c r="H3082" s="18" t="s">
        <v>1991</v>
      </c>
      <c r="I3082" s="20" t="s">
        <v>6126</v>
      </c>
      <c r="J3082" s="18" t="s">
        <v>6127</v>
      </c>
      <c r="K3082" s="18" t="s">
        <v>91</v>
      </c>
      <c r="L3082" s="18" t="s">
        <v>25</v>
      </c>
      <c r="N3082" s="18" t="s">
        <v>26</v>
      </c>
    </row>
    <row r="3083" spans="1:14" ht="15" customHeight="1" x14ac:dyDescent="0.3">
      <c r="A3083" s="18" t="s">
        <v>6096</v>
      </c>
      <c r="B3083" s="19" t="s">
        <v>15</v>
      </c>
      <c r="C3083" s="18" t="s">
        <v>210</v>
      </c>
      <c r="D3083" s="18" t="s">
        <v>17</v>
      </c>
      <c r="E3083" s="18" t="s">
        <v>74</v>
      </c>
      <c r="F3083" s="18" t="s">
        <v>6128</v>
      </c>
      <c r="G3083" s="18" t="s">
        <v>41</v>
      </c>
      <c r="H3083" s="18" t="s">
        <v>1991</v>
      </c>
      <c r="I3083" s="20" t="s">
        <v>6129</v>
      </c>
      <c r="J3083" s="18" t="s">
        <v>6130</v>
      </c>
      <c r="K3083" s="18" t="s">
        <v>24</v>
      </c>
      <c r="L3083" s="18" t="s">
        <v>25</v>
      </c>
      <c r="N3083" s="18" t="s">
        <v>26</v>
      </c>
    </row>
    <row r="3084" spans="1:14" ht="15" customHeight="1" x14ac:dyDescent="0.3">
      <c r="A3084" s="18" t="s">
        <v>6096</v>
      </c>
      <c r="B3084" s="19" t="s">
        <v>15</v>
      </c>
      <c r="C3084" s="18" t="s">
        <v>210</v>
      </c>
      <c r="D3084" s="18" t="s">
        <v>17</v>
      </c>
      <c r="E3084" s="18" t="s">
        <v>74</v>
      </c>
      <c r="F3084" s="18" t="s">
        <v>6131</v>
      </c>
      <c r="G3084" s="18" t="s">
        <v>41</v>
      </c>
      <c r="H3084" s="18" t="s">
        <v>1991</v>
      </c>
      <c r="I3084" s="20" t="s">
        <v>6132</v>
      </c>
      <c r="J3084" s="18" t="s">
        <v>6133</v>
      </c>
      <c r="K3084" s="18" t="s">
        <v>293</v>
      </c>
      <c r="L3084" s="18" t="s">
        <v>25</v>
      </c>
      <c r="N3084" s="18" t="s">
        <v>26</v>
      </c>
    </row>
    <row r="3085" spans="1:14" ht="15" customHeight="1" x14ac:dyDescent="0.3">
      <c r="A3085" s="18" t="s">
        <v>6096</v>
      </c>
      <c r="B3085" s="19" t="s">
        <v>15</v>
      </c>
      <c r="C3085" s="18" t="s">
        <v>210</v>
      </c>
      <c r="D3085" s="18" t="s">
        <v>17</v>
      </c>
      <c r="E3085" s="18" t="s">
        <v>74</v>
      </c>
      <c r="F3085" s="18" t="s">
        <v>6134</v>
      </c>
      <c r="G3085" s="18" t="s">
        <v>93</v>
      </c>
      <c r="H3085" s="18" t="s">
        <v>1991</v>
      </c>
      <c r="I3085" s="20" t="s">
        <v>6135</v>
      </c>
      <c r="J3085" s="18" t="s">
        <v>6113</v>
      </c>
      <c r="K3085" s="18" t="s">
        <v>24</v>
      </c>
      <c r="L3085" s="18" t="s">
        <v>25</v>
      </c>
      <c r="N3085" s="18" t="s">
        <v>26</v>
      </c>
    </row>
    <row r="3086" spans="1:14" ht="15" customHeight="1" x14ac:dyDescent="0.3">
      <c r="A3086" s="18" t="s">
        <v>6096</v>
      </c>
      <c r="B3086" s="19" t="s">
        <v>15</v>
      </c>
      <c r="C3086" s="18" t="s">
        <v>210</v>
      </c>
      <c r="D3086" s="18" t="s">
        <v>17</v>
      </c>
      <c r="E3086" s="18" t="s">
        <v>74</v>
      </c>
      <c r="F3086" s="18" t="s">
        <v>6136</v>
      </c>
      <c r="G3086" s="18" t="s">
        <v>913</v>
      </c>
      <c r="H3086" s="18" t="s">
        <v>1991</v>
      </c>
      <c r="I3086" s="20" t="s">
        <v>6137</v>
      </c>
      <c r="J3086" s="18" t="s">
        <v>6138</v>
      </c>
      <c r="K3086" s="18" t="s">
        <v>293</v>
      </c>
      <c r="L3086" s="18" t="s">
        <v>25</v>
      </c>
      <c r="N3086" s="18" t="s">
        <v>26</v>
      </c>
    </row>
    <row r="3087" spans="1:14" ht="15" customHeight="1" x14ac:dyDescent="0.3">
      <c r="A3087" s="18" t="s">
        <v>6139</v>
      </c>
      <c r="B3087" s="19" t="s">
        <v>15</v>
      </c>
      <c r="C3087" s="18" t="s">
        <v>6140</v>
      </c>
      <c r="D3087" s="18" t="s">
        <v>17</v>
      </c>
      <c r="E3087" s="18" t="s">
        <v>18</v>
      </c>
      <c r="F3087" s="18" t="s">
        <v>572</v>
      </c>
      <c r="G3087" s="18" t="s">
        <v>263</v>
      </c>
      <c r="H3087" s="18" t="s">
        <v>6141</v>
      </c>
      <c r="I3087" s="20" t="s">
        <v>6142</v>
      </c>
      <c r="J3087" s="18" t="s">
        <v>30</v>
      </c>
      <c r="K3087" s="18" t="s">
        <v>24</v>
      </c>
      <c r="L3087" s="18" t="s">
        <v>25</v>
      </c>
      <c r="N3087" s="18" t="s">
        <v>154</v>
      </c>
    </row>
    <row r="3088" spans="1:14" ht="15" customHeight="1" x14ac:dyDescent="0.3">
      <c r="A3088" s="18" t="s">
        <v>6139</v>
      </c>
      <c r="B3088" s="19" t="s">
        <v>15</v>
      </c>
      <c r="C3088" s="18" t="s">
        <v>6140</v>
      </c>
      <c r="D3088" s="18" t="s">
        <v>17</v>
      </c>
      <c r="E3088" s="18" t="s">
        <v>18</v>
      </c>
      <c r="F3088" s="18" t="s">
        <v>1102</v>
      </c>
      <c r="G3088" s="18" t="s">
        <v>263</v>
      </c>
      <c r="H3088" s="18" t="s">
        <v>6143</v>
      </c>
      <c r="I3088" s="20" t="s">
        <v>6144</v>
      </c>
      <c r="J3088" s="18" t="s">
        <v>6145</v>
      </c>
      <c r="K3088" s="18" t="s">
        <v>24</v>
      </c>
      <c r="L3088" s="18" t="s">
        <v>25</v>
      </c>
      <c r="N3088" s="18" t="s">
        <v>154</v>
      </c>
    </row>
    <row r="3089" spans="1:14" ht="15" customHeight="1" x14ac:dyDescent="0.3">
      <c r="A3089" s="18" t="s">
        <v>6139</v>
      </c>
      <c r="B3089" s="19" t="s">
        <v>15</v>
      </c>
      <c r="C3089" s="18" t="s">
        <v>6140</v>
      </c>
      <c r="D3089" s="18" t="s">
        <v>17</v>
      </c>
      <c r="E3089" s="18" t="s">
        <v>55</v>
      </c>
      <c r="F3089" s="18" t="s">
        <v>2610</v>
      </c>
      <c r="G3089" s="18" t="s">
        <v>263</v>
      </c>
      <c r="H3089" s="18" t="s">
        <v>6141</v>
      </c>
      <c r="I3089" s="20" t="s">
        <v>6146</v>
      </c>
      <c r="J3089" s="18" t="s">
        <v>73</v>
      </c>
      <c r="K3089" s="18" t="s">
        <v>24</v>
      </c>
      <c r="L3089" s="18" t="s">
        <v>25</v>
      </c>
      <c r="N3089" s="18" t="s">
        <v>154</v>
      </c>
    </row>
    <row r="3090" spans="1:14" ht="15" customHeight="1" x14ac:dyDescent="0.3">
      <c r="A3090" s="18" t="s">
        <v>6139</v>
      </c>
      <c r="B3090" s="19" t="s">
        <v>15</v>
      </c>
      <c r="C3090" s="18" t="s">
        <v>6140</v>
      </c>
      <c r="D3090" s="18" t="s">
        <v>17</v>
      </c>
      <c r="E3090" s="18" t="s">
        <v>55</v>
      </c>
      <c r="F3090" s="18" t="s">
        <v>6147</v>
      </c>
      <c r="G3090" s="18" t="s">
        <v>263</v>
      </c>
      <c r="H3090" s="18" t="s">
        <v>6141</v>
      </c>
      <c r="I3090" s="20" t="s">
        <v>6148</v>
      </c>
      <c r="J3090" s="18" t="s">
        <v>58</v>
      </c>
      <c r="K3090" s="18" t="s">
        <v>24</v>
      </c>
      <c r="L3090" s="18" t="s">
        <v>25</v>
      </c>
      <c r="N3090" s="18" t="s">
        <v>154</v>
      </c>
    </row>
    <row r="3091" spans="1:14" ht="15" customHeight="1" x14ac:dyDescent="0.3">
      <c r="A3091" s="18" t="s">
        <v>6139</v>
      </c>
      <c r="B3091" s="19" t="s">
        <v>15</v>
      </c>
      <c r="C3091" s="18" t="s">
        <v>6140</v>
      </c>
      <c r="D3091" s="18" t="s">
        <v>17</v>
      </c>
      <c r="E3091" s="18" t="s">
        <v>55</v>
      </c>
      <c r="F3091" s="18" t="s">
        <v>1102</v>
      </c>
      <c r="G3091" s="18" t="s">
        <v>263</v>
      </c>
      <c r="H3091" s="18" t="s">
        <v>6141</v>
      </c>
      <c r="I3091" s="20" t="s">
        <v>6149</v>
      </c>
      <c r="J3091" s="18" t="s">
        <v>73</v>
      </c>
      <c r="K3091" s="18" t="s">
        <v>24</v>
      </c>
      <c r="L3091" s="18" t="s">
        <v>25</v>
      </c>
      <c r="N3091" s="18" t="s">
        <v>154</v>
      </c>
    </row>
    <row r="3092" spans="1:14" ht="15" customHeight="1" x14ac:dyDescent="0.3">
      <c r="A3092" s="18" t="s">
        <v>6139</v>
      </c>
      <c r="B3092" s="19" t="s">
        <v>15</v>
      </c>
      <c r="C3092" s="18" t="s">
        <v>6150</v>
      </c>
      <c r="D3092" s="18" t="s">
        <v>17</v>
      </c>
      <c r="E3092" s="18" t="s">
        <v>74</v>
      </c>
      <c r="F3092" s="18" t="s">
        <v>6151</v>
      </c>
      <c r="G3092" s="18" t="s">
        <v>340</v>
      </c>
      <c r="H3092" s="18" t="s">
        <v>6152</v>
      </c>
      <c r="I3092" s="20" t="s">
        <v>6153</v>
      </c>
      <c r="J3092" s="18" t="s">
        <v>6154</v>
      </c>
      <c r="K3092" s="18" t="s">
        <v>24</v>
      </c>
      <c r="L3092" s="18" t="s">
        <v>25</v>
      </c>
      <c r="N3092" s="18" t="s">
        <v>154</v>
      </c>
    </row>
    <row r="3093" spans="1:14" ht="15" customHeight="1" x14ac:dyDescent="0.3">
      <c r="A3093" s="18" t="s">
        <v>6139</v>
      </c>
      <c r="B3093" s="19" t="s">
        <v>15</v>
      </c>
      <c r="C3093" s="18" t="s">
        <v>6150</v>
      </c>
      <c r="D3093" s="18" t="s">
        <v>17</v>
      </c>
      <c r="E3093" s="18" t="s">
        <v>74</v>
      </c>
      <c r="F3093" s="18" t="s">
        <v>6155</v>
      </c>
      <c r="G3093" s="18" t="s">
        <v>263</v>
      </c>
      <c r="H3093" s="18" t="s">
        <v>6152</v>
      </c>
      <c r="I3093" s="20" t="s">
        <v>6156</v>
      </c>
      <c r="J3093" s="18" t="s">
        <v>6157</v>
      </c>
      <c r="K3093" s="18" t="s">
        <v>91</v>
      </c>
      <c r="L3093" s="18" t="s">
        <v>25</v>
      </c>
      <c r="N3093" s="18" t="s">
        <v>154</v>
      </c>
    </row>
    <row r="3094" spans="1:14" ht="15" customHeight="1" x14ac:dyDescent="0.3">
      <c r="A3094" s="18" t="s">
        <v>6158</v>
      </c>
      <c r="B3094" s="19" t="s">
        <v>15</v>
      </c>
      <c r="C3094" s="18" t="s">
        <v>6159</v>
      </c>
      <c r="D3094" s="18" t="s">
        <v>17</v>
      </c>
      <c r="E3094" s="18" t="s">
        <v>117</v>
      </c>
      <c r="F3094" s="18" t="s">
        <v>608</v>
      </c>
      <c r="G3094" s="18" t="s">
        <v>270</v>
      </c>
      <c r="H3094" s="18" t="s">
        <v>6160</v>
      </c>
      <c r="I3094" s="20" t="s">
        <v>6161</v>
      </c>
      <c r="J3094" s="18" t="s">
        <v>58</v>
      </c>
      <c r="K3094" s="18" t="s">
        <v>24</v>
      </c>
      <c r="L3094" s="18" t="s">
        <v>25</v>
      </c>
      <c r="N3094" s="18" t="s">
        <v>154</v>
      </c>
    </row>
    <row r="3095" spans="1:14" ht="15" customHeight="1" x14ac:dyDescent="0.3">
      <c r="A3095" s="18" t="s">
        <v>6158</v>
      </c>
      <c r="B3095" s="19" t="s">
        <v>15</v>
      </c>
      <c r="C3095" s="18" t="s">
        <v>6159</v>
      </c>
      <c r="D3095" s="18" t="s">
        <v>17</v>
      </c>
      <c r="E3095" s="18" t="s">
        <v>18</v>
      </c>
      <c r="F3095" s="18" t="s">
        <v>613</v>
      </c>
      <c r="G3095" s="18" t="s">
        <v>606</v>
      </c>
      <c r="H3095" s="18" t="s">
        <v>6162</v>
      </c>
      <c r="I3095" s="20" t="s">
        <v>6163</v>
      </c>
      <c r="J3095" s="18" t="s">
        <v>30</v>
      </c>
      <c r="K3095" s="18" t="s">
        <v>24</v>
      </c>
      <c r="L3095" s="18" t="s">
        <v>25</v>
      </c>
      <c r="N3095" s="18" t="s">
        <v>154</v>
      </c>
    </row>
    <row r="3096" spans="1:14" ht="15" customHeight="1" x14ac:dyDescent="0.3">
      <c r="A3096" s="18" t="s">
        <v>6158</v>
      </c>
      <c r="B3096" s="19" t="s">
        <v>15</v>
      </c>
      <c r="C3096" s="18" t="s">
        <v>6159</v>
      </c>
      <c r="D3096" s="18" t="s">
        <v>17</v>
      </c>
      <c r="E3096" s="18" t="s">
        <v>18</v>
      </c>
      <c r="F3096" s="18" t="s">
        <v>6164</v>
      </c>
      <c r="G3096" s="18" t="s">
        <v>3069</v>
      </c>
      <c r="H3096" s="18" t="s">
        <v>6162</v>
      </c>
      <c r="I3096" s="20" t="s">
        <v>6165</v>
      </c>
      <c r="J3096" s="18" t="s">
        <v>30</v>
      </c>
      <c r="K3096" s="18" t="s">
        <v>24</v>
      </c>
      <c r="L3096" s="18" t="s">
        <v>25</v>
      </c>
      <c r="N3096" s="18" t="s">
        <v>154</v>
      </c>
    </row>
    <row r="3097" spans="1:14" ht="15" customHeight="1" x14ac:dyDescent="0.3">
      <c r="A3097" s="18" t="s">
        <v>6158</v>
      </c>
      <c r="B3097" s="19" t="s">
        <v>15</v>
      </c>
      <c r="C3097" s="18" t="s">
        <v>6159</v>
      </c>
      <c r="D3097" s="18" t="s">
        <v>17</v>
      </c>
      <c r="E3097" s="18" t="s">
        <v>18</v>
      </c>
      <c r="F3097" s="18" t="s">
        <v>19</v>
      </c>
      <c r="G3097" s="18" t="s">
        <v>20</v>
      </c>
      <c r="H3097" s="18" t="s">
        <v>6162</v>
      </c>
      <c r="I3097" s="20" t="s">
        <v>6166</v>
      </c>
      <c r="J3097" s="18" t="s">
        <v>23</v>
      </c>
      <c r="K3097" s="18" t="s">
        <v>24</v>
      </c>
      <c r="L3097" s="18" t="s">
        <v>25</v>
      </c>
      <c r="N3097" s="18" t="s">
        <v>154</v>
      </c>
    </row>
    <row r="3098" spans="1:14" ht="15" customHeight="1" x14ac:dyDescent="0.3">
      <c r="A3098" s="18" t="s">
        <v>6158</v>
      </c>
      <c r="B3098" s="19" t="s">
        <v>15</v>
      </c>
      <c r="C3098" s="18" t="s">
        <v>6159</v>
      </c>
      <c r="D3098" s="18" t="s">
        <v>17</v>
      </c>
      <c r="E3098" s="18" t="s">
        <v>18</v>
      </c>
      <c r="F3098" s="18" t="s">
        <v>624</v>
      </c>
      <c r="G3098" s="18" t="s">
        <v>4747</v>
      </c>
      <c r="H3098" s="18" t="s">
        <v>6160</v>
      </c>
      <c r="I3098" s="20" t="s">
        <v>6167</v>
      </c>
      <c r="J3098" s="18" t="s">
        <v>30</v>
      </c>
      <c r="K3098" s="18" t="s">
        <v>24</v>
      </c>
      <c r="L3098" s="18" t="s">
        <v>25</v>
      </c>
      <c r="N3098" s="18" t="s">
        <v>154</v>
      </c>
    </row>
    <row r="3099" spans="1:14" ht="15" customHeight="1" x14ac:dyDescent="0.3">
      <c r="A3099" s="18" t="s">
        <v>6158</v>
      </c>
      <c r="B3099" s="19" t="s">
        <v>15</v>
      </c>
      <c r="C3099" s="18" t="s">
        <v>6159</v>
      </c>
      <c r="D3099" s="18" t="s">
        <v>17</v>
      </c>
      <c r="E3099" s="18" t="s">
        <v>18</v>
      </c>
      <c r="F3099" s="18" t="s">
        <v>580</v>
      </c>
      <c r="G3099" s="18" t="s">
        <v>20</v>
      </c>
      <c r="H3099" s="18" t="s">
        <v>6160</v>
      </c>
      <c r="I3099" s="20" t="s">
        <v>4028</v>
      </c>
      <c r="J3099" s="18" t="s">
        <v>23</v>
      </c>
      <c r="K3099" s="18" t="s">
        <v>24</v>
      </c>
      <c r="L3099" s="18" t="s">
        <v>25</v>
      </c>
      <c r="N3099" s="18" t="s">
        <v>154</v>
      </c>
    </row>
    <row r="3100" spans="1:14" ht="15" customHeight="1" x14ac:dyDescent="0.3">
      <c r="A3100" s="18" t="s">
        <v>6158</v>
      </c>
      <c r="B3100" s="19" t="s">
        <v>15</v>
      </c>
      <c r="C3100" s="18" t="s">
        <v>6159</v>
      </c>
      <c r="D3100" s="18" t="s">
        <v>17</v>
      </c>
      <c r="E3100" s="18" t="s">
        <v>18</v>
      </c>
      <c r="F3100" s="18" t="s">
        <v>631</v>
      </c>
      <c r="G3100" s="18" t="s">
        <v>429</v>
      </c>
      <c r="H3100" s="18" t="s">
        <v>6160</v>
      </c>
      <c r="I3100" s="20" t="s">
        <v>6168</v>
      </c>
      <c r="J3100" s="18" t="s">
        <v>30</v>
      </c>
      <c r="K3100" s="18" t="s">
        <v>24</v>
      </c>
      <c r="L3100" s="18" t="s">
        <v>25</v>
      </c>
      <c r="N3100" s="18" t="s">
        <v>154</v>
      </c>
    </row>
    <row r="3101" spans="1:14" ht="15" customHeight="1" x14ac:dyDescent="0.3">
      <c r="A3101" s="18" t="s">
        <v>6158</v>
      </c>
      <c r="B3101" s="19" t="s">
        <v>15</v>
      </c>
      <c r="C3101" s="18" t="s">
        <v>6159</v>
      </c>
      <c r="D3101" s="18" t="s">
        <v>17</v>
      </c>
      <c r="E3101" s="18" t="s">
        <v>18</v>
      </c>
      <c r="F3101" s="18" t="s">
        <v>340</v>
      </c>
      <c r="G3101" s="18" t="s">
        <v>340</v>
      </c>
      <c r="H3101" s="18" t="s">
        <v>6162</v>
      </c>
      <c r="I3101" s="20" t="s">
        <v>6169</v>
      </c>
      <c r="J3101" s="18" t="s">
        <v>30</v>
      </c>
      <c r="K3101" s="18" t="s">
        <v>24</v>
      </c>
      <c r="L3101" s="18" t="s">
        <v>25</v>
      </c>
      <c r="N3101" s="18" t="s">
        <v>154</v>
      </c>
    </row>
    <row r="3102" spans="1:14" ht="15" customHeight="1" x14ac:dyDescent="0.3">
      <c r="A3102" s="18" t="s">
        <v>6158</v>
      </c>
      <c r="B3102" s="19" t="s">
        <v>15</v>
      </c>
      <c r="C3102" s="18" t="s">
        <v>6159</v>
      </c>
      <c r="D3102" s="18" t="s">
        <v>17</v>
      </c>
      <c r="E3102" s="18" t="s">
        <v>18</v>
      </c>
      <c r="F3102" s="18" t="s">
        <v>925</v>
      </c>
      <c r="G3102" s="18" t="s">
        <v>433</v>
      </c>
      <c r="H3102" s="18" t="s">
        <v>6162</v>
      </c>
      <c r="I3102" s="20" t="s">
        <v>6170</v>
      </c>
      <c r="J3102" s="18" t="s">
        <v>30</v>
      </c>
      <c r="K3102" s="18" t="s">
        <v>24</v>
      </c>
      <c r="L3102" s="18" t="s">
        <v>25</v>
      </c>
      <c r="N3102" s="18" t="s">
        <v>154</v>
      </c>
    </row>
    <row r="3103" spans="1:14" ht="15" customHeight="1" x14ac:dyDescent="0.3">
      <c r="A3103" s="18" t="s">
        <v>6158</v>
      </c>
      <c r="B3103" s="19" t="s">
        <v>15</v>
      </c>
      <c r="C3103" s="18" t="s">
        <v>6159</v>
      </c>
      <c r="D3103" s="18" t="s">
        <v>17</v>
      </c>
      <c r="E3103" s="18" t="s">
        <v>55</v>
      </c>
      <c r="F3103" s="18" t="s">
        <v>6164</v>
      </c>
      <c r="G3103" s="18" t="s">
        <v>3069</v>
      </c>
      <c r="H3103" s="18" t="s">
        <v>6162</v>
      </c>
      <c r="I3103" s="20" t="s">
        <v>6171</v>
      </c>
      <c r="J3103" s="18" t="s">
        <v>58</v>
      </c>
      <c r="K3103" s="18" t="s">
        <v>24</v>
      </c>
      <c r="L3103" s="18" t="s">
        <v>25</v>
      </c>
      <c r="N3103" s="18" t="s">
        <v>154</v>
      </c>
    </row>
    <row r="3104" spans="1:14" ht="15" customHeight="1" x14ac:dyDescent="0.3">
      <c r="A3104" s="18" t="s">
        <v>6158</v>
      </c>
      <c r="B3104" s="19" t="s">
        <v>15</v>
      </c>
      <c r="C3104" s="18" t="s">
        <v>6159</v>
      </c>
      <c r="D3104" s="18" t="s">
        <v>17</v>
      </c>
      <c r="E3104" s="18" t="s">
        <v>55</v>
      </c>
      <c r="F3104" s="18" t="s">
        <v>580</v>
      </c>
      <c r="G3104" s="18" t="s">
        <v>20</v>
      </c>
      <c r="H3104" s="18" t="s">
        <v>6160</v>
      </c>
      <c r="I3104" s="20" t="s">
        <v>4037</v>
      </c>
      <c r="J3104" s="18" t="s">
        <v>58</v>
      </c>
      <c r="K3104" s="18" t="s">
        <v>24</v>
      </c>
      <c r="L3104" s="18" t="s">
        <v>25</v>
      </c>
      <c r="N3104" s="18" t="s">
        <v>154</v>
      </c>
    </row>
    <row r="3105" spans="1:14" ht="15" customHeight="1" x14ac:dyDescent="0.3">
      <c r="A3105" s="18" t="s">
        <v>6158</v>
      </c>
      <c r="B3105" s="19" t="s">
        <v>15</v>
      </c>
      <c r="C3105" s="18" t="s">
        <v>6159</v>
      </c>
      <c r="D3105" s="18" t="s">
        <v>17</v>
      </c>
      <c r="E3105" s="18" t="s">
        <v>55</v>
      </c>
      <c r="F3105" s="18" t="s">
        <v>6172</v>
      </c>
      <c r="G3105" s="18" t="s">
        <v>340</v>
      </c>
      <c r="H3105" s="18" t="s">
        <v>6162</v>
      </c>
      <c r="I3105" s="20" t="s">
        <v>6173</v>
      </c>
      <c r="J3105" s="18" t="s">
        <v>58</v>
      </c>
      <c r="K3105" s="18" t="s">
        <v>24</v>
      </c>
      <c r="L3105" s="18" t="s">
        <v>25</v>
      </c>
      <c r="N3105" s="18" t="s">
        <v>154</v>
      </c>
    </row>
    <row r="3106" spans="1:14" ht="15" customHeight="1" x14ac:dyDescent="0.3">
      <c r="A3106" s="18" t="s">
        <v>6158</v>
      </c>
      <c r="B3106" s="19" t="s">
        <v>15</v>
      </c>
      <c r="C3106" s="18" t="s">
        <v>6159</v>
      </c>
      <c r="D3106" s="18" t="s">
        <v>17</v>
      </c>
      <c r="E3106" s="18" t="s">
        <v>55</v>
      </c>
      <c r="F3106" s="18" t="s">
        <v>659</v>
      </c>
      <c r="G3106" s="18" t="s">
        <v>667</v>
      </c>
      <c r="H3106" s="18" t="s">
        <v>6162</v>
      </c>
      <c r="I3106" s="20" t="s">
        <v>6174</v>
      </c>
      <c r="J3106" s="18" t="s">
        <v>58</v>
      </c>
      <c r="K3106" s="18" t="s">
        <v>24</v>
      </c>
      <c r="L3106" s="18" t="s">
        <v>25</v>
      </c>
      <c r="N3106" s="18" t="s">
        <v>154</v>
      </c>
    </row>
    <row r="3107" spans="1:14" ht="15" customHeight="1" x14ac:dyDescent="0.3">
      <c r="A3107" s="18" t="s">
        <v>6158</v>
      </c>
      <c r="B3107" s="19" t="s">
        <v>15</v>
      </c>
      <c r="C3107" s="18" t="s">
        <v>6159</v>
      </c>
      <c r="D3107" s="18" t="s">
        <v>17</v>
      </c>
      <c r="E3107" s="18" t="s">
        <v>171</v>
      </c>
      <c r="F3107" s="18" t="s">
        <v>80</v>
      </c>
      <c r="G3107" s="18" t="s">
        <v>80</v>
      </c>
      <c r="H3107" s="18" t="s">
        <v>6162</v>
      </c>
      <c r="I3107" s="20" t="s">
        <v>6175</v>
      </c>
      <c r="J3107" s="18" t="s">
        <v>175</v>
      </c>
      <c r="K3107" s="18" t="s">
        <v>24</v>
      </c>
      <c r="L3107" s="18" t="s">
        <v>25</v>
      </c>
      <c r="N3107" s="18" t="s">
        <v>154</v>
      </c>
    </row>
    <row r="3108" spans="1:14" ht="15" customHeight="1" x14ac:dyDescent="0.3">
      <c r="A3108" s="18" t="s">
        <v>6158</v>
      </c>
      <c r="B3108" s="19" t="s">
        <v>15</v>
      </c>
      <c r="C3108" s="18" t="s">
        <v>6159</v>
      </c>
      <c r="D3108" s="18" t="s">
        <v>17</v>
      </c>
      <c r="E3108" s="18" t="s">
        <v>171</v>
      </c>
      <c r="F3108" s="18" t="s">
        <v>667</v>
      </c>
      <c r="G3108" s="18" t="s">
        <v>667</v>
      </c>
      <c r="H3108" s="18" t="s">
        <v>6162</v>
      </c>
      <c r="I3108" s="20" t="s">
        <v>6176</v>
      </c>
      <c r="J3108" s="18" t="s">
        <v>175</v>
      </c>
      <c r="K3108" s="18" t="s">
        <v>24</v>
      </c>
      <c r="L3108" s="18" t="s">
        <v>25</v>
      </c>
      <c r="N3108" s="18" t="s">
        <v>154</v>
      </c>
    </row>
    <row r="3109" spans="1:14" ht="15" customHeight="1" x14ac:dyDescent="0.3">
      <c r="A3109" s="18" t="s">
        <v>6158</v>
      </c>
      <c r="B3109" s="19" t="s">
        <v>15</v>
      </c>
      <c r="C3109" s="18" t="s">
        <v>6159</v>
      </c>
      <c r="D3109" s="18" t="s">
        <v>17</v>
      </c>
      <c r="E3109" s="18" t="s">
        <v>171</v>
      </c>
      <c r="F3109" s="18" t="s">
        <v>625</v>
      </c>
      <c r="G3109" s="18" t="s">
        <v>4747</v>
      </c>
      <c r="H3109" s="18" t="s">
        <v>6162</v>
      </c>
      <c r="I3109" s="20" t="s">
        <v>6177</v>
      </c>
      <c r="J3109" s="18" t="s">
        <v>670</v>
      </c>
      <c r="K3109" s="18" t="s">
        <v>24</v>
      </c>
      <c r="L3109" s="18" t="s">
        <v>25</v>
      </c>
      <c r="N3109" s="18" t="s">
        <v>154</v>
      </c>
    </row>
    <row r="3110" spans="1:14" ht="15" customHeight="1" x14ac:dyDescent="0.3">
      <c r="A3110" s="18" t="s">
        <v>6158</v>
      </c>
      <c r="B3110" s="19" t="s">
        <v>15</v>
      </c>
      <c r="C3110" s="18" t="s">
        <v>149</v>
      </c>
      <c r="D3110" s="18" t="s">
        <v>17</v>
      </c>
      <c r="E3110" s="18" t="s">
        <v>74</v>
      </c>
      <c r="F3110" s="18" t="s">
        <v>4044</v>
      </c>
      <c r="G3110" s="18" t="s">
        <v>423</v>
      </c>
      <c r="H3110" s="18" t="s">
        <v>6178</v>
      </c>
      <c r="I3110" s="20" t="s">
        <v>4046</v>
      </c>
      <c r="J3110" s="18" t="s">
        <v>4111</v>
      </c>
      <c r="K3110" s="18" t="s">
        <v>24</v>
      </c>
      <c r="L3110" s="18" t="s">
        <v>25</v>
      </c>
      <c r="N3110" s="18" t="s">
        <v>154</v>
      </c>
    </row>
    <row r="3111" spans="1:14" ht="15" customHeight="1" x14ac:dyDescent="0.3">
      <c r="A3111" s="18" t="s">
        <v>6158</v>
      </c>
      <c r="B3111" s="19" t="s">
        <v>15</v>
      </c>
      <c r="C3111" s="18" t="s">
        <v>91</v>
      </c>
      <c r="D3111" s="18" t="s">
        <v>17</v>
      </c>
      <c r="E3111" s="18" t="s">
        <v>74</v>
      </c>
      <c r="F3111" s="18" t="s">
        <v>4048</v>
      </c>
      <c r="G3111" s="18" t="s">
        <v>429</v>
      </c>
      <c r="H3111" s="18" t="s">
        <v>6179</v>
      </c>
      <c r="I3111" s="20" t="s">
        <v>4050</v>
      </c>
      <c r="J3111" s="18" t="s">
        <v>4111</v>
      </c>
      <c r="K3111" s="18" t="s">
        <v>91</v>
      </c>
      <c r="L3111" s="18" t="s">
        <v>25</v>
      </c>
      <c r="N3111" s="18" t="s">
        <v>973</v>
      </c>
    </row>
    <row r="3112" spans="1:14" ht="15" customHeight="1" x14ac:dyDescent="0.3">
      <c r="A3112" s="18" t="s">
        <v>6158</v>
      </c>
      <c r="B3112" s="19" t="s">
        <v>15</v>
      </c>
      <c r="C3112" s="18" t="s">
        <v>4047</v>
      </c>
      <c r="D3112" s="18" t="s">
        <v>17</v>
      </c>
      <c r="E3112" s="18" t="s">
        <v>74</v>
      </c>
      <c r="F3112" s="18" t="s">
        <v>4052</v>
      </c>
      <c r="G3112" s="18" t="s">
        <v>423</v>
      </c>
      <c r="H3112" s="18" t="s">
        <v>6180</v>
      </c>
      <c r="I3112" s="20" t="s">
        <v>4054</v>
      </c>
      <c r="J3112" s="18" t="s">
        <v>4111</v>
      </c>
      <c r="K3112" s="18" t="s">
        <v>293</v>
      </c>
      <c r="L3112" s="18" t="s">
        <v>25</v>
      </c>
      <c r="N3112" s="18" t="s">
        <v>973</v>
      </c>
    </row>
    <row r="3113" spans="1:14" ht="15" customHeight="1" x14ac:dyDescent="0.3">
      <c r="A3113" s="18" t="s">
        <v>6158</v>
      </c>
      <c r="B3113" s="19" t="s">
        <v>15</v>
      </c>
      <c r="C3113" s="18" t="s">
        <v>6159</v>
      </c>
      <c r="D3113" s="18" t="s">
        <v>17</v>
      </c>
      <c r="E3113" s="18" t="s">
        <v>74</v>
      </c>
      <c r="F3113" s="18" t="s">
        <v>6181</v>
      </c>
      <c r="G3113" s="18" t="s">
        <v>667</v>
      </c>
      <c r="H3113" s="18" t="s">
        <v>6182</v>
      </c>
      <c r="I3113" s="20" t="s">
        <v>6183</v>
      </c>
      <c r="J3113" s="18" t="s">
        <v>4111</v>
      </c>
      <c r="K3113" s="18" t="s">
        <v>24</v>
      </c>
      <c r="L3113" s="18" t="s">
        <v>25</v>
      </c>
      <c r="N3113" s="18" t="s">
        <v>154</v>
      </c>
    </row>
    <row r="3114" spans="1:14" ht="15" customHeight="1" x14ac:dyDescent="0.3">
      <c r="A3114" s="18" t="s">
        <v>6158</v>
      </c>
      <c r="B3114" s="19" t="s">
        <v>15</v>
      </c>
      <c r="C3114" s="18" t="s">
        <v>91</v>
      </c>
      <c r="D3114" s="18" t="s">
        <v>17</v>
      </c>
      <c r="E3114" s="18" t="s">
        <v>74</v>
      </c>
      <c r="F3114" s="18" t="s">
        <v>4055</v>
      </c>
      <c r="G3114" s="18" t="s">
        <v>423</v>
      </c>
      <c r="H3114" s="18" t="s">
        <v>6178</v>
      </c>
      <c r="I3114" s="20" t="s">
        <v>4057</v>
      </c>
      <c r="J3114" s="18" t="s">
        <v>6184</v>
      </c>
      <c r="K3114" s="18" t="s">
        <v>91</v>
      </c>
      <c r="L3114" s="18" t="s">
        <v>25</v>
      </c>
      <c r="N3114" s="18" t="s">
        <v>973</v>
      </c>
    </row>
    <row r="3115" spans="1:14" ht="15" customHeight="1" x14ac:dyDescent="0.3">
      <c r="A3115" s="18" t="s">
        <v>6158</v>
      </c>
      <c r="B3115" s="19" t="s">
        <v>15</v>
      </c>
      <c r="C3115" s="18" t="s">
        <v>91</v>
      </c>
      <c r="D3115" s="18" t="s">
        <v>17</v>
      </c>
      <c r="E3115" s="18" t="s">
        <v>74</v>
      </c>
      <c r="F3115" s="18" t="s">
        <v>4058</v>
      </c>
      <c r="G3115" s="18" t="s">
        <v>433</v>
      </c>
      <c r="H3115" s="18" t="s">
        <v>6178</v>
      </c>
      <c r="I3115" s="20" t="s">
        <v>4060</v>
      </c>
      <c r="J3115" s="18" t="s">
        <v>6185</v>
      </c>
      <c r="K3115" s="18" t="s">
        <v>91</v>
      </c>
      <c r="L3115" s="18" t="s">
        <v>25</v>
      </c>
      <c r="N3115" s="18" t="s">
        <v>973</v>
      </c>
    </row>
    <row r="3116" spans="1:14" ht="15" customHeight="1" x14ac:dyDescent="0.3">
      <c r="A3116" s="18" t="s">
        <v>6158</v>
      </c>
      <c r="B3116" s="19" t="s">
        <v>15</v>
      </c>
      <c r="C3116" s="18" t="s">
        <v>4047</v>
      </c>
      <c r="D3116" s="18" t="s">
        <v>17</v>
      </c>
      <c r="E3116" s="18" t="s">
        <v>74</v>
      </c>
      <c r="F3116" s="18" t="s">
        <v>4061</v>
      </c>
      <c r="G3116" s="18" t="s">
        <v>381</v>
      </c>
      <c r="H3116" s="18" t="s">
        <v>6186</v>
      </c>
      <c r="I3116" s="20" t="s">
        <v>4063</v>
      </c>
      <c r="J3116" s="18" t="s">
        <v>4111</v>
      </c>
      <c r="K3116" s="18" t="s">
        <v>293</v>
      </c>
      <c r="L3116" s="18" t="s">
        <v>25</v>
      </c>
      <c r="N3116" s="18" t="s">
        <v>973</v>
      </c>
    </row>
    <row r="3117" spans="1:14" ht="15" customHeight="1" x14ac:dyDescent="0.3">
      <c r="A3117" s="18" t="s">
        <v>6158</v>
      </c>
      <c r="B3117" s="19" t="s">
        <v>15</v>
      </c>
      <c r="C3117" s="18" t="s">
        <v>6159</v>
      </c>
      <c r="D3117" s="18" t="s">
        <v>17</v>
      </c>
      <c r="E3117" s="18" t="s">
        <v>74</v>
      </c>
      <c r="F3117" s="18" t="s">
        <v>6187</v>
      </c>
      <c r="G3117" s="18" t="s">
        <v>76</v>
      </c>
      <c r="H3117" s="18" t="s">
        <v>667</v>
      </c>
      <c r="I3117" s="20" t="s">
        <v>6188</v>
      </c>
      <c r="J3117" s="18" t="s">
        <v>440</v>
      </c>
      <c r="K3117" s="18" t="s">
        <v>24</v>
      </c>
      <c r="L3117" s="18" t="s">
        <v>25</v>
      </c>
      <c r="N3117" s="18" t="s">
        <v>154</v>
      </c>
    </row>
    <row r="3118" spans="1:14" ht="15" customHeight="1" x14ac:dyDescent="0.3">
      <c r="A3118" s="18" t="s">
        <v>6158</v>
      </c>
      <c r="B3118" s="19" t="s">
        <v>15</v>
      </c>
      <c r="C3118" s="18" t="s">
        <v>6159</v>
      </c>
      <c r="D3118" s="18" t="s">
        <v>17</v>
      </c>
      <c r="E3118" s="18" t="s">
        <v>74</v>
      </c>
      <c r="F3118" s="18" t="s">
        <v>6189</v>
      </c>
      <c r="G3118" s="18" t="s">
        <v>76</v>
      </c>
      <c r="H3118" s="18" t="s">
        <v>6190</v>
      </c>
      <c r="I3118" s="20" t="s">
        <v>6191</v>
      </c>
      <c r="J3118" s="18" t="s">
        <v>440</v>
      </c>
      <c r="K3118" s="18" t="s">
        <v>24</v>
      </c>
      <c r="L3118" s="18" t="s">
        <v>25</v>
      </c>
      <c r="N3118" s="18" t="s">
        <v>154</v>
      </c>
    </row>
    <row r="3119" spans="1:14" ht="15" customHeight="1" x14ac:dyDescent="0.3">
      <c r="A3119" s="18" t="s">
        <v>6158</v>
      </c>
      <c r="B3119" s="19" t="s">
        <v>15</v>
      </c>
      <c r="C3119" s="18" t="s">
        <v>4047</v>
      </c>
      <c r="D3119" s="18" t="s">
        <v>17</v>
      </c>
      <c r="E3119" s="18" t="s">
        <v>74</v>
      </c>
      <c r="F3119" s="18" t="s">
        <v>4064</v>
      </c>
      <c r="G3119" s="18" t="s">
        <v>423</v>
      </c>
      <c r="H3119" s="18" t="s">
        <v>6178</v>
      </c>
      <c r="I3119" s="20" t="s">
        <v>4066</v>
      </c>
      <c r="J3119" s="18" t="s">
        <v>4111</v>
      </c>
      <c r="K3119" s="18" t="s">
        <v>293</v>
      </c>
      <c r="L3119" s="18" t="s">
        <v>25</v>
      </c>
      <c r="N3119" s="18" t="s">
        <v>973</v>
      </c>
    </row>
    <row r="3120" spans="1:14" ht="15" customHeight="1" x14ac:dyDescent="0.3">
      <c r="A3120" s="18" t="s">
        <v>6158</v>
      </c>
      <c r="B3120" s="19" t="s">
        <v>15</v>
      </c>
      <c r="C3120" s="18" t="s">
        <v>6159</v>
      </c>
      <c r="D3120" s="18" t="s">
        <v>17</v>
      </c>
      <c r="E3120" s="18" t="s">
        <v>74</v>
      </c>
      <c r="F3120" s="18" t="s">
        <v>6192</v>
      </c>
      <c r="G3120" s="18" t="s">
        <v>76</v>
      </c>
      <c r="H3120" s="18" t="s">
        <v>667</v>
      </c>
      <c r="I3120" s="20" t="s">
        <v>6193</v>
      </c>
      <c r="J3120" s="18" t="s">
        <v>440</v>
      </c>
      <c r="K3120" s="18" t="s">
        <v>24</v>
      </c>
      <c r="L3120" s="18" t="s">
        <v>25</v>
      </c>
      <c r="N3120" s="18" t="s">
        <v>154</v>
      </c>
    </row>
    <row r="3121" spans="1:14" ht="15" customHeight="1" x14ac:dyDescent="0.3">
      <c r="A3121" s="18" t="s">
        <v>6158</v>
      </c>
      <c r="B3121" s="19" t="s">
        <v>15</v>
      </c>
      <c r="C3121" s="18" t="s">
        <v>6194</v>
      </c>
      <c r="D3121" s="18" t="s">
        <v>17</v>
      </c>
      <c r="E3121" s="18" t="s">
        <v>74</v>
      </c>
      <c r="F3121" s="18" t="s">
        <v>4067</v>
      </c>
      <c r="G3121" s="18" t="s">
        <v>381</v>
      </c>
      <c r="H3121" s="18" t="s">
        <v>6195</v>
      </c>
      <c r="I3121" s="20" t="s">
        <v>4069</v>
      </c>
      <c r="J3121" s="18" t="s">
        <v>394</v>
      </c>
      <c r="K3121" s="18" t="s">
        <v>293</v>
      </c>
      <c r="L3121" s="18" t="s">
        <v>25</v>
      </c>
      <c r="N3121" s="18" t="s">
        <v>973</v>
      </c>
    </row>
    <row r="3122" spans="1:14" ht="15" customHeight="1" x14ac:dyDescent="0.3">
      <c r="A3122" s="18" t="s">
        <v>6158</v>
      </c>
      <c r="B3122" s="19" t="s">
        <v>15</v>
      </c>
      <c r="C3122" s="18" t="s">
        <v>91</v>
      </c>
      <c r="D3122" s="18" t="s">
        <v>17</v>
      </c>
      <c r="E3122" s="18" t="s">
        <v>74</v>
      </c>
      <c r="F3122" s="18" t="s">
        <v>4071</v>
      </c>
      <c r="G3122" s="18" t="s">
        <v>381</v>
      </c>
      <c r="H3122" s="18" t="s">
        <v>6186</v>
      </c>
      <c r="I3122" s="20" t="s">
        <v>4073</v>
      </c>
      <c r="J3122" s="18" t="s">
        <v>4111</v>
      </c>
      <c r="K3122" s="18" t="s">
        <v>91</v>
      </c>
      <c r="L3122" s="18" t="s">
        <v>25</v>
      </c>
      <c r="N3122" s="18" t="s">
        <v>973</v>
      </c>
    </row>
    <row r="3123" spans="1:14" ht="15" customHeight="1" x14ac:dyDescent="0.3">
      <c r="A3123" s="18" t="s">
        <v>6158</v>
      </c>
      <c r="B3123" s="19" t="s">
        <v>15</v>
      </c>
      <c r="C3123" s="18" t="s">
        <v>4047</v>
      </c>
      <c r="D3123" s="18" t="s">
        <v>17</v>
      </c>
      <c r="E3123" s="18" t="s">
        <v>74</v>
      </c>
      <c r="F3123" s="18" t="s">
        <v>4074</v>
      </c>
      <c r="G3123" s="18" t="s">
        <v>381</v>
      </c>
      <c r="H3123" s="18" t="s">
        <v>6186</v>
      </c>
      <c r="I3123" s="20" t="s">
        <v>4076</v>
      </c>
      <c r="J3123" s="18" t="s">
        <v>4111</v>
      </c>
      <c r="K3123" s="18" t="s">
        <v>293</v>
      </c>
      <c r="L3123" s="18" t="s">
        <v>25</v>
      </c>
      <c r="N3123" s="18" t="s">
        <v>973</v>
      </c>
    </row>
    <row r="3124" spans="1:14" ht="15" customHeight="1" x14ac:dyDescent="0.3">
      <c r="A3124" s="18" t="s">
        <v>6158</v>
      </c>
      <c r="B3124" s="19" t="s">
        <v>15</v>
      </c>
      <c r="C3124" s="18" t="s">
        <v>4047</v>
      </c>
      <c r="D3124" s="18" t="s">
        <v>17</v>
      </c>
      <c r="E3124" s="18" t="s">
        <v>74</v>
      </c>
      <c r="F3124" s="18" t="s">
        <v>4077</v>
      </c>
      <c r="G3124" s="18" t="s">
        <v>381</v>
      </c>
      <c r="H3124" s="18" t="s">
        <v>6186</v>
      </c>
      <c r="I3124" s="20" t="s">
        <v>4079</v>
      </c>
      <c r="J3124" s="18" t="s">
        <v>4111</v>
      </c>
      <c r="K3124" s="18" t="s">
        <v>293</v>
      </c>
      <c r="L3124" s="18" t="s">
        <v>25</v>
      </c>
      <c r="N3124" s="18" t="s">
        <v>973</v>
      </c>
    </row>
    <row r="3125" spans="1:14" ht="15" customHeight="1" x14ac:dyDescent="0.3">
      <c r="A3125" s="18" t="s">
        <v>6158</v>
      </c>
      <c r="B3125" s="19" t="s">
        <v>15</v>
      </c>
      <c r="C3125" s="18" t="s">
        <v>149</v>
      </c>
      <c r="D3125" s="18" t="s">
        <v>17</v>
      </c>
      <c r="E3125" s="18" t="s">
        <v>74</v>
      </c>
      <c r="F3125" s="18" t="s">
        <v>4080</v>
      </c>
      <c r="G3125" s="18" t="s">
        <v>381</v>
      </c>
      <c r="H3125" s="18" t="s">
        <v>6186</v>
      </c>
      <c r="I3125" s="20" t="s">
        <v>4082</v>
      </c>
      <c r="J3125" s="18" t="s">
        <v>4111</v>
      </c>
      <c r="K3125" s="18" t="s">
        <v>24</v>
      </c>
      <c r="L3125" s="18" t="s">
        <v>25</v>
      </c>
      <c r="N3125" s="18" t="s">
        <v>154</v>
      </c>
    </row>
    <row r="3126" spans="1:14" ht="15" customHeight="1" x14ac:dyDescent="0.3">
      <c r="A3126" s="18" t="s">
        <v>6158</v>
      </c>
      <c r="B3126" s="19" t="s">
        <v>15</v>
      </c>
      <c r="C3126" s="18" t="s">
        <v>4047</v>
      </c>
      <c r="D3126" s="18" t="s">
        <v>17</v>
      </c>
      <c r="E3126" s="18" t="s">
        <v>74</v>
      </c>
      <c r="F3126" s="18" t="s">
        <v>4086</v>
      </c>
      <c r="G3126" s="18" t="s">
        <v>381</v>
      </c>
      <c r="H3126" s="18" t="s">
        <v>6186</v>
      </c>
      <c r="I3126" s="20" t="s">
        <v>4088</v>
      </c>
      <c r="J3126" s="18" t="s">
        <v>4111</v>
      </c>
      <c r="K3126" s="18" t="s">
        <v>293</v>
      </c>
      <c r="L3126" s="18" t="s">
        <v>25</v>
      </c>
      <c r="N3126" s="18" t="s">
        <v>973</v>
      </c>
    </row>
    <row r="3127" spans="1:14" ht="15" customHeight="1" x14ac:dyDescent="0.3">
      <c r="A3127" s="18" t="s">
        <v>6158</v>
      </c>
      <c r="B3127" s="19" t="s">
        <v>15</v>
      </c>
      <c r="C3127" s="18" t="s">
        <v>4047</v>
      </c>
      <c r="D3127" s="18" t="s">
        <v>17</v>
      </c>
      <c r="E3127" s="18" t="s">
        <v>74</v>
      </c>
      <c r="F3127" s="18" t="s">
        <v>6196</v>
      </c>
      <c r="G3127" s="18" t="s">
        <v>381</v>
      </c>
      <c r="H3127" s="18" t="s">
        <v>6186</v>
      </c>
      <c r="I3127" s="20" t="s">
        <v>6197</v>
      </c>
      <c r="J3127" s="18" t="s">
        <v>4111</v>
      </c>
      <c r="K3127" s="18" t="s">
        <v>293</v>
      </c>
      <c r="L3127" s="18" t="s">
        <v>25</v>
      </c>
      <c r="N3127" s="18" t="s">
        <v>973</v>
      </c>
    </row>
    <row r="3128" spans="1:14" ht="15" customHeight="1" x14ac:dyDescent="0.3">
      <c r="A3128" s="18" t="s">
        <v>6158</v>
      </c>
      <c r="B3128" s="19" t="s">
        <v>15</v>
      </c>
      <c r="C3128" s="18" t="s">
        <v>4047</v>
      </c>
      <c r="D3128" s="18" t="s">
        <v>17</v>
      </c>
      <c r="E3128" s="18" t="s">
        <v>74</v>
      </c>
      <c r="F3128" s="18" t="s">
        <v>4089</v>
      </c>
      <c r="G3128" s="18" t="s">
        <v>423</v>
      </c>
      <c r="H3128" s="18" t="s">
        <v>6195</v>
      </c>
      <c r="I3128" s="20" t="s">
        <v>4091</v>
      </c>
      <c r="J3128" s="18" t="s">
        <v>4111</v>
      </c>
      <c r="K3128" s="18" t="s">
        <v>293</v>
      </c>
      <c r="L3128" s="18" t="s">
        <v>25</v>
      </c>
      <c r="N3128" s="18" t="s">
        <v>973</v>
      </c>
    </row>
    <row r="3129" spans="1:14" ht="15" customHeight="1" x14ac:dyDescent="0.3">
      <c r="A3129" s="18" t="s">
        <v>6158</v>
      </c>
      <c r="B3129" s="19" t="s">
        <v>15</v>
      </c>
      <c r="C3129" s="18" t="s">
        <v>6159</v>
      </c>
      <c r="D3129" s="18" t="s">
        <v>17</v>
      </c>
      <c r="E3129" s="18" t="s">
        <v>74</v>
      </c>
      <c r="F3129" s="18" t="s">
        <v>6198</v>
      </c>
      <c r="G3129" s="18" t="s">
        <v>20</v>
      </c>
      <c r="H3129" s="18" t="s">
        <v>580</v>
      </c>
      <c r="I3129" s="20" t="s">
        <v>6199</v>
      </c>
      <c r="J3129" s="18" t="s">
        <v>440</v>
      </c>
      <c r="K3129" s="18" t="s">
        <v>24</v>
      </c>
      <c r="L3129" s="18" t="s">
        <v>25</v>
      </c>
      <c r="N3129" s="18" t="s">
        <v>154</v>
      </c>
    </row>
    <row r="3130" spans="1:14" ht="15" customHeight="1" x14ac:dyDescent="0.3">
      <c r="A3130" s="18" t="s">
        <v>6158</v>
      </c>
      <c r="B3130" s="19" t="s">
        <v>15</v>
      </c>
      <c r="C3130" s="18" t="s">
        <v>6159</v>
      </c>
      <c r="D3130" s="18" t="s">
        <v>17</v>
      </c>
      <c r="E3130" s="18" t="s">
        <v>74</v>
      </c>
      <c r="F3130" s="18" t="s">
        <v>6200</v>
      </c>
      <c r="G3130" s="18" t="s">
        <v>76</v>
      </c>
      <c r="H3130" s="18" t="s">
        <v>667</v>
      </c>
      <c r="I3130" s="20" t="s">
        <v>6201</v>
      </c>
      <c r="J3130" s="18" t="s">
        <v>440</v>
      </c>
      <c r="K3130" s="18" t="s">
        <v>24</v>
      </c>
      <c r="L3130" s="18" t="s">
        <v>25</v>
      </c>
      <c r="N3130" s="18" t="s">
        <v>154</v>
      </c>
    </row>
    <row r="3131" spans="1:14" ht="15" customHeight="1" x14ac:dyDescent="0.3">
      <c r="A3131" s="18" t="s">
        <v>6158</v>
      </c>
      <c r="B3131" s="19" t="s">
        <v>15</v>
      </c>
      <c r="C3131" s="18" t="s">
        <v>6159</v>
      </c>
      <c r="D3131" s="18" t="s">
        <v>17</v>
      </c>
      <c r="E3131" s="18" t="s">
        <v>74</v>
      </c>
      <c r="F3131" s="18" t="s">
        <v>6202</v>
      </c>
      <c r="G3131" s="18" t="s">
        <v>76</v>
      </c>
      <c r="H3131" s="18" t="s">
        <v>6203</v>
      </c>
      <c r="I3131" s="20" t="s">
        <v>6204</v>
      </c>
      <c r="J3131" s="18" t="s">
        <v>6205</v>
      </c>
      <c r="K3131" s="18" t="s">
        <v>24</v>
      </c>
      <c r="L3131" s="18" t="s">
        <v>25</v>
      </c>
      <c r="N3131" s="18" t="s">
        <v>154</v>
      </c>
    </row>
    <row r="3132" spans="1:14" ht="15" customHeight="1" x14ac:dyDescent="0.3">
      <c r="A3132" s="18" t="s">
        <v>6158</v>
      </c>
      <c r="B3132" s="19" t="s">
        <v>15</v>
      </c>
      <c r="C3132" s="18" t="s">
        <v>4051</v>
      </c>
      <c r="D3132" s="18" t="s">
        <v>17</v>
      </c>
      <c r="E3132" s="18" t="s">
        <v>74</v>
      </c>
      <c r="F3132" s="18" t="s">
        <v>6206</v>
      </c>
      <c r="G3132" s="18" t="s">
        <v>76</v>
      </c>
      <c r="H3132" s="18" t="s">
        <v>6207</v>
      </c>
      <c r="I3132" s="20" t="s">
        <v>6208</v>
      </c>
      <c r="J3132" s="18" t="s">
        <v>6209</v>
      </c>
      <c r="K3132" s="18" t="s">
        <v>293</v>
      </c>
      <c r="L3132" s="18" t="s">
        <v>25</v>
      </c>
      <c r="N3132" s="18" t="s">
        <v>973</v>
      </c>
    </row>
    <row r="3133" spans="1:14" ht="15" customHeight="1" x14ac:dyDescent="0.3">
      <c r="A3133" s="18" t="s">
        <v>6158</v>
      </c>
      <c r="B3133" s="19" t="s">
        <v>15</v>
      </c>
      <c r="C3133" s="18" t="s">
        <v>6159</v>
      </c>
      <c r="D3133" s="18" t="s">
        <v>17</v>
      </c>
      <c r="E3133" s="18" t="s">
        <v>74</v>
      </c>
      <c r="F3133" s="18" t="s">
        <v>6210</v>
      </c>
      <c r="G3133" s="18" t="s">
        <v>76</v>
      </c>
      <c r="H3133" s="18" t="s">
        <v>667</v>
      </c>
      <c r="I3133" s="20" t="s">
        <v>6211</v>
      </c>
      <c r="J3133" s="18" t="s">
        <v>440</v>
      </c>
      <c r="K3133" s="18" t="s">
        <v>24</v>
      </c>
      <c r="L3133" s="18" t="s">
        <v>25</v>
      </c>
      <c r="N3133" s="18" t="s">
        <v>154</v>
      </c>
    </row>
    <row r="3134" spans="1:14" ht="15" customHeight="1" x14ac:dyDescent="0.3">
      <c r="A3134" s="18" t="s">
        <v>6158</v>
      </c>
      <c r="B3134" s="19" t="s">
        <v>15</v>
      </c>
      <c r="C3134" s="18" t="s">
        <v>4047</v>
      </c>
      <c r="D3134" s="18" t="s">
        <v>17</v>
      </c>
      <c r="E3134" s="18" t="s">
        <v>74</v>
      </c>
      <c r="F3134" s="18" t="s">
        <v>4092</v>
      </c>
      <c r="G3134" s="18" t="s">
        <v>913</v>
      </c>
      <c r="H3134" s="18" t="s">
        <v>6212</v>
      </c>
      <c r="I3134" s="20" t="s">
        <v>4094</v>
      </c>
      <c r="J3134" s="18" t="s">
        <v>4111</v>
      </c>
      <c r="K3134" s="18" t="s">
        <v>293</v>
      </c>
      <c r="L3134" s="18" t="s">
        <v>25</v>
      </c>
      <c r="N3134" s="18" t="s">
        <v>973</v>
      </c>
    </row>
    <row r="3135" spans="1:14" ht="15" customHeight="1" x14ac:dyDescent="0.3">
      <c r="A3135" s="18" t="s">
        <v>6158</v>
      </c>
      <c r="B3135" s="19" t="s">
        <v>15</v>
      </c>
      <c r="C3135" s="18" t="s">
        <v>4047</v>
      </c>
      <c r="D3135" s="18" t="s">
        <v>17</v>
      </c>
      <c r="E3135" s="18" t="s">
        <v>74</v>
      </c>
      <c r="F3135" s="18" t="s">
        <v>4095</v>
      </c>
      <c r="G3135" s="18" t="s">
        <v>913</v>
      </c>
      <c r="H3135" s="18" t="s">
        <v>6212</v>
      </c>
      <c r="I3135" s="20" t="s">
        <v>4097</v>
      </c>
      <c r="J3135" s="18" t="s">
        <v>4111</v>
      </c>
      <c r="K3135" s="18" t="s">
        <v>293</v>
      </c>
      <c r="L3135" s="18" t="s">
        <v>25</v>
      </c>
      <c r="N3135" s="18" t="s">
        <v>973</v>
      </c>
    </row>
    <row r="3136" spans="1:14" ht="15" customHeight="1" x14ac:dyDescent="0.3">
      <c r="A3136" s="18" t="s">
        <v>6158</v>
      </c>
      <c r="B3136" s="19" t="s">
        <v>15</v>
      </c>
      <c r="C3136" s="18" t="s">
        <v>4047</v>
      </c>
      <c r="D3136" s="18" t="s">
        <v>17</v>
      </c>
      <c r="E3136" s="18" t="s">
        <v>74</v>
      </c>
      <c r="F3136" s="18" t="s">
        <v>4098</v>
      </c>
      <c r="G3136" s="18" t="s">
        <v>913</v>
      </c>
      <c r="H3136" s="18" t="s">
        <v>6212</v>
      </c>
      <c r="I3136" s="20" t="s">
        <v>4100</v>
      </c>
      <c r="J3136" s="18" t="s">
        <v>4111</v>
      </c>
      <c r="K3136" s="18" t="s">
        <v>293</v>
      </c>
      <c r="L3136" s="18" t="s">
        <v>25</v>
      </c>
      <c r="N3136" s="18" t="s">
        <v>973</v>
      </c>
    </row>
    <row r="3137" spans="1:14" ht="15" customHeight="1" x14ac:dyDescent="0.3">
      <c r="A3137" s="18" t="s">
        <v>6158</v>
      </c>
      <c r="B3137" s="19" t="s">
        <v>15</v>
      </c>
      <c r="C3137" s="18" t="s">
        <v>6159</v>
      </c>
      <c r="D3137" s="18" t="s">
        <v>17</v>
      </c>
      <c r="E3137" s="18" t="s">
        <v>74</v>
      </c>
      <c r="F3137" s="18" t="s">
        <v>6213</v>
      </c>
      <c r="G3137" s="18" t="s">
        <v>76</v>
      </c>
      <c r="H3137" s="18" t="s">
        <v>667</v>
      </c>
      <c r="I3137" s="20" t="s">
        <v>6214</v>
      </c>
      <c r="J3137" s="18" t="s">
        <v>440</v>
      </c>
      <c r="K3137" s="18" t="s">
        <v>24</v>
      </c>
      <c r="L3137" s="18" t="s">
        <v>25</v>
      </c>
      <c r="N3137" s="18" t="s">
        <v>154</v>
      </c>
    </row>
    <row r="3138" spans="1:14" ht="15" customHeight="1" x14ac:dyDescent="0.3">
      <c r="A3138" s="18" t="s">
        <v>6158</v>
      </c>
      <c r="B3138" s="19" t="s">
        <v>15</v>
      </c>
      <c r="C3138" s="18" t="s">
        <v>6159</v>
      </c>
      <c r="D3138" s="18" t="s">
        <v>17</v>
      </c>
      <c r="E3138" s="18" t="s">
        <v>74</v>
      </c>
      <c r="F3138" s="18" t="s">
        <v>6215</v>
      </c>
      <c r="G3138" s="18" t="s">
        <v>76</v>
      </c>
      <c r="H3138" s="18" t="s">
        <v>667</v>
      </c>
      <c r="I3138" s="20" t="s">
        <v>6216</v>
      </c>
      <c r="J3138" s="18" t="s">
        <v>440</v>
      </c>
      <c r="K3138" s="18" t="s">
        <v>24</v>
      </c>
      <c r="L3138" s="18" t="s">
        <v>25</v>
      </c>
      <c r="N3138" s="18" t="s">
        <v>154</v>
      </c>
    </row>
    <row r="3139" spans="1:14" ht="15" customHeight="1" x14ac:dyDescent="0.3">
      <c r="A3139" s="18" t="s">
        <v>6158</v>
      </c>
      <c r="B3139" s="19" t="s">
        <v>15</v>
      </c>
      <c r="C3139" s="18" t="s">
        <v>6159</v>
      </c>
      <c r="D3139" s="18" t="s">
        <v>17</v>
      </c>
      <c r="E3139" s="18" t="s">
        <v>74</v>
      </c>
      <c r="F3139" s="18" t="s">
        <v>6217</v>
      </c>
      <c r="G3139" s="18" t="s">
        <v>76</v>
      </c>
      <c r="H3139" s="18" t="s">
        <v>6190</v>
      </c>
      <c r="I3139" s="20" t="s">
        <v>6218</v>
      </c>
      <c r="J3139" s="18" t="s">
        <v>440</v>
      </c>
      <c r="K3139" s="18" t="s">
        <v>24</v>
      </c>
      <c r="L3139" s="18" t="s">
        <v>25</v>
      </c>
      <c r="N3139" s="18" t="s">
        <v>154</v>
      </c>
    </row>
    <row r="3140" spans="1:14" ht="15" customHeight="1" x14ac:dyDescent="0.3">
      <c r="A3140" s="18" t="s">
        <v>6158</v>
      </c>
      <c r="B3140" s="19" t="s">
        <v>15</v>
      </c>
      <c r="C3140" s="18" t="s">
        <v>6159</v>
      </c>
      <c r="D3140" s="18" t="s">
        <v>17</v>
      </c>
      <c r="E3140" s="18" t="s">
        <v>74</v>
      </c>
      <c r="F3140" s="18" t="s">
        <v>6219</v>
      </c>
      <c r="G3140" s="18" t="s">
        <v>76</v>
      </c>
      <c r="H3140" s="18" t="s">
        <v>667</v>
      </c>
      <c r="I3140" s="20" t="s">
        <v>6220</v>
      </c>
      <c r="J3140" s="18" t="s">
        <v>440</v>
      </c>
      <c r="K3140" s="18" t="s">
        <v>24</v>
      </c>
      <c r="L3140" s="18" t="s">
        <v>25</v>
      </c>
      <c r="N3140" s="18" t="s">
        <v>154</v>
      </c>
    </row>
    <row r="3141" spans="1:14" ht="15" customHeight="1" x14ac:dyDescent="0.3">
      <c r="A3141" s="18" t="s">
        <v>6158</v>
      </c>
      <c r="B3141" s="19" t="s">
        <v>15</v>
      </c>
      <c r="C3141" s="18" t="s">
        <v>91</v>
      </c>
      <c r="D3141" s="18" t="s">
        <v>17</v>
      </c>
      <c r="E3141" s="18" t="s">
        <v>74</v>
      </c>
      <c r="F3141" s="18" t="s">
        <v>4101</v>
      </c>
      <c r="G3141" s="18" t="s">
        <v>619</v>
      </c>
      <c r="H3141" s="18" t="s">
        <v>6195</v>
      </c>
      <c r="I3141" s="20" t="s">
        <v>4102</v>
      </c>
      <c r="J3141" s="18" t="s">
        <v>4111</v>
      </c>
      <c r="K3141" s="18" t="s">
        <v>91</v>
      </c>
      <c r="L3141" s="18" t="s">
        <v>25</v>
      </c>
      <c r="N3141" s="18" t="s">
        <v>973</v>
      </c>
    </row>
    <row r="3142" spans="1:14" ht="15" customHeight="1" x14ac:dyDescent="0.3">
      <c r="A3142" s="18" t="s">
        <v>6158</v>
      </c>
      <c r="B3142" s="19" t="s">
        <v>15</v>
      </c>
      <c r="C3142" s="18" t="s">
        <v>91</v>
      </c>
      <c r="D3142" s="18" t="s">
        <v>17</v>
      </c>
      <c r="E3142" s="18" t="s">
        <v>74</v>
      </c>
      <c r="F3142" s="18" t="s">
        <v>4103</v>
      </c>
      <c r="G3142" s="18" t="s">
        <v>433</v>
      </c>
      <c r="H3142" s="18" t="s">
        <v>6178</v>
      </c>
      <c r="I3142" s="20" t="s">
        <v>4105</v>
      </c>
      <c r="J3142" s="18" t="s">
        <v>6184</v>
      </c>
      <c r="K3142" s="18" t="s">
        <v>91</v>
      </c>
      <c r="L3142" s="18" t="s">
        <v>25</v>
      </c>
      <c r="N3142" s="18" t="s">
        <v>973</v>
      </c>
    </row>
    <row r="3143" spans="1:14" ht="15" customHeight="1" x14ac:dyDescent="0.3">
      <c r="A3143" s="18" t="s">
        <v>6158</v>
      </c>
      <c r="B3143" s="19" t="s">
        <v>15</v>
      </c>
      <c r="C3143" s="18" t="s">
        <v>91</v>
      </c>
      <c r="D3143" s="18" t="s">
        <v>17</v>
      </c>
      <c r="E3143" s="18" t="s">
        <v>74</v>
      </c>
      <c r="F3143" s="18" t="s">
        <v>4106</v>
      </c>
      <c r="G3143" s="18" t="s">
        <v>423</v>
      </c>
      <c r="H3143" s="18" t="s">
        <v>6178</v>
      </c>
      <c r="I3143" s="20" t="s">
        <v>4108</v>
      </c>
      <c r="J3143" s="18" t="s">
        <v>4111</v>
      </c>
      <c r="K3143" s="18" t="s">
        <v>91</v>
      </c>
      <c r="L3143" s="18" t="s">
        <v>25</v>
      </c>
      <c r="N3143" s="18" t="s">
        <v>973</v>
      </c>
    </row>
    <row r="3144" spans="1:14" ht="15" customHeight="1" x14ac:dyDescent="0.3">
      <c r="A3144" s="18" t="s">
        <v>6158</v>
      </c>
      <c r="B3144" s="19" t="s">
        <v>15</v>
      </c>
      <c r="C3144" s="18" t="s">
        <v>6159</v>
      </c>
      <c r="D3144" s="18" t="s">
        <v>17</v>
      </c>
      <c r="E3144" s="18" t="s">
        <v>74</v>
      </c>
      <c r="F3144" s="18" t="s">
        <v>6221</v>
      </c>
      <c r="G3144" s="18" t="s">
        <v>76</v>
      </c>
      <c r="H3144" s="18" t="s">
        <v>667</v>
      </c>
      <c r="I3144" s="20" t="s">
        <v>6222</v>
      </c>
      <c r="J3144" s="18" t="s">
        <v>440</v>
      </c>
      <c r="K3144" s="18" t="s">
        <v>24</v>
      </c>
      <c r="L3144" s="18" t="s">
        <v>25</v>
      </c>
      <c r="N3144" s="18" t="s">
        <v>154</v>
      </c>
    </row>
    <row r="3145" spans="1:14" ht="15" customHeight="1" x14ac:dyDescent="0.3">
      <c r="A3145" s="18" t="s">
        <v>6158</v>
      </c>
      <c r="B3145" s="19" t="s">
        <v>15</v>
      </c>
      <c r="C3145" s="18" t="s">
        <v>4047</v>
      </c>
      <c r="D3145" s="18" t="s">
        <v>17</v>
      </c>
      <c r="E3145" s="18" t="s">
        <v>74</v>
      </c>
      <c r="F3145" s="18" t="s">
        <v>6223</v>
      </c>
      <c r="G3145" s="18" t="s">
        <v>429</v>
      </c>
      <c r="H3145" s="18" t="s">
        <v>6224</v>
      </c>
      <c r="I3145" s="20" t="s">
        <v>6225</v>
      </c>
      <c r="J3145" s="18" t="s">
        <v>6226</v>
      </c>
      <c r="K3145" s="18" t="s">
        <v>91</v>
      </c>
      <c r="L3145" s="18" t="s">
        <v>25</v>
      </c>
      <c r="N3145" s="18" t="s">
        <v>973</v>
      </c>
    </row>
    <row r="3146" spans="1:14" ht="15" customHeight="1" x14ac:dyDescent="0.3">
      <c r="A3146" s="18" t="s">
        <v>6158</v>
      </c>
      <c r="B3146" s="19" t="s">
        <v>15</v>
      </c>
      <c r="C3146" s="18" t="s">
        <v>6159</v>
      </c>
      <c r="D3146" s="18" t="s">
        <v>17</v>
      </c>
      <c r="E3146" s="18" t="s">
        <v>74</v>
      </c>
      <c r="F3146" s="18" t="s">
        <v>4112</v>
      </c>
      <c r="G3146" s="18" t="s">
        <v>340</v>
      </c>
      <c r="H3146" s="18" t="s">
        <v>6227</v>
      </c>
      <c r="I3146" s="20" t="s">
        <v>4114</v>
      </c>
      <c r="J3146" s="18" t="s">
        <v>6228</v>
      </c>
      <c r="K3146" s="18" t="s">
        <v>293</v>
      </c>
      <c r="L3146" s="18" t="s">
        <v>25</v>
      </c>
      <c r="N3146" s="18" t="s">
        <v>154</v>
      </c>
    </row>
    <row r="3147" spans="1:14" ht="15" customHeight="1" x14ac:dyDescent="0.3">
      <c r="A3147" s="18" t="s">
        <v>6158</v>
      </c>
      <c r="B3147" s="19" t="s">
        <v>15</v>
      </c>
      <c r="C3147" s="18" t="s">
        <v>4047</v>
      </c>
      <c r="D3147" s="18" t="s">
        <v>17</v>
      </c>
      <c r="E3147" s="18" t="s">
        <v>74</v>
      </c>
      <c r="F3147" s="18" t="s">
        <v>4115</v>
      </c>
      <c r="G3147" s="18" t="s">
        <v>429</v>
      </c>
      <c r="H3147" s="18" t="s">
        <v>6180</v>
      </c>
      <c r="I3147" s="20" t="s">
        <v>4117</v>
      </c>
      <c r="J3147" s="18" t="s">
        <v>4111</v>
      </c>
      <c r="K3147" s="18" t="s">
        <v>293</v>
      </c>
      <c r="L3147" s="18" t="s">
        <v>25</v>
      </c>
      <c r="N3147" s="18" t="s">
        <v>973</v>
      </c>
    </row>
    <row r="3148" spans="1:14" ht="15" customHeight="1" x14ac:dyDescent="0.3">
      <c r="A3148" s="18" t="s">
        <v>6158</v>
      </c>
      <c r="B3148" s="19" t="s">
        <v>15</v>
      </c>
      <c r="C3148" s="18" t="s">
        <v>6229</v>
      </c>
      <c r="D3148" s="18" t="s">
        <v>17</v>
      </c>
      <c r="E3148" s="18" t="s">
        <v>226</v>
      </c>
      <c r="F3148" s="18" t="s">
        <v>6230</v>
      </c>
      <c r="G3148" s="18" t="s">
        <v>41</v>
      </c>
      <c r="H3148" s="18" t="s">
        <v>6195</v>
      </c>
      <c r="I3148" s="20" t="s">
        <v>6231</v>
      </c>
      <c r="J3148" s="18" t="s">
        <v>449</v>
      </c>
      <c r="K3148" s="18" t="s">
        <v>24</v>
      </c>
      <c r="L3148" s="18" t="s">
        <v>25</v>
      </c>
      <c r="N3148" s="18" t="s">
        <v>6229</v>
      </c>
    </row>
    <row r="3149" spans="1:14" ht="15" customHeight="1" x14ac:dyDescent="0.3">
      <c r="A3149" s="18" t="s">
        <v>6158</v>
      </c>
      <c r="B3149" s="19" t="s">
        <v>15</v>
      </c>
      <c r="C3149" s="18" t="s">
        <v>235</v>
      </c>
      <c r="D3149" s="18" t="s">
        <v>17</v>
      </c>
      <c r="E3149" s="18" t="s">
        <v>226</v>
      </c>
      <c r="F3149" s="18" t="s">
        <v>6232</v>
      </c>
      <c r="G3149" s="18" t="s">
        <v>41</v>
      </c>
      <c r="H3149" s="18" t="s">
        <v>6195</v>
      </c>
      <c r="I3149" s="20" t="s">
        <v>6233</v>
      </c>
      <c r="J3149" s="18" t="s">
        <v>6234</v>
      </c>
      <c r="K3149" s="18" t="s">
        <v>24</v>
      </c>
      <c r="L3149" s="18" t="s">
        <v>25</v>
      </c>
      <c r="N3149" s="18" t="s">
        <v>154</v>
      </c>
    </row>
    <row r="3150" spans="1:14" ht="15" customHeight="1" x14ac:dyDescent="0.3">
      <c r="A3150" s="18" t="s">
        <v>6158</v>
      </c>
      <c r="B3150" s="19" t="s">
        <v>15</v>
      </c>
      <c r="C3150" s="18" t="s">
        <v>6159</v>
      </c>
      <c r="D3150" s="18" t="s">
        <v>17</v>
      </c>
      <c r="E3150" s="18" t="s">
        <v>226</v>
      </c>
      <c r="F3150" s="18" t="s">
        <v>6235</v>
      </c>
      <c r="G3150" s="18" t="s">
        <v>76</v>
      </c>
      <c r="H3150" s="18" t="s">
        <v>6236</v>
      </c>
      <c r="I3150" s="20" t="s">
        <v>6237</v>
      </c>
      <c r="J3150" s="18" t="s">
        <v>440</v>
      </c>
      <c r="K3150" s="18" t="s">
        <v>24</v>
      </c>
      <c r="L3150" s="18" t="s">
        <v>25</v>
      </c>
      <c r="N3150" s="18" t="s">
        <v>154</v>
      </c>
    </row>
    <row r="3151" spans="1:14" ht="15" customHeight="1" x14ac:dyDescent="0.3">
      <c r="A3151" s="18" t="s">
        <v>6158</v>
      </c>
      <c r="B3151" s="19" t="s">
        <v>15</v>
      </c>
      <c r="C3151" s="18" t="s">
        <v>4121</v>
      </c>
      <c r="D3151" s="18" t="s">
        <v>17</v>
      </c>
      <c r="E3151" s="18" t="s">
        <v>226</v>
      </c>
      <c r="F3151" s="18" t="s">
        <v>6238</v>
      </c>
      <c r="G3151" s="18" t="s">
        <v>41</v>
      </c>
      <c r="H3151" s="18" t="s">
        <v>6195</v>
      </c>
      <c r="I3151" s="20" t="s">
        <v>6239</v>
      </c>
      <c r="J3151" s="18" t="s">
        <v>6240</v>
      </c>
      <c r="K3151" s="18" t="s">
        <v>293</v>
      </c>
      <c r="L3151" s="18" t="s">
        <v>25</v>
      </c>
      <c r="N3151" s="18" t="s">
        <v>26</v>
      </c>
    </row>
    <row r="3152" spans="1:14" ht="15" customHeight="1" x14ac:dyDescent="0.3">
      <c r="A3152" s="18" t="s">
        <v>6241</v>
      </c>
      <c r="B3152" s="19" t="s">
        <v>15</v>
      </c>
      <c r="C3152" s="18" t="s">
        <v>210</v>
      </c>
      <c r="D3152" s="18" t="s">
        <v>116</v>
      </c>
      <c r="E3152" s="18" t="s">
        <v>18</v>
      </c>
      <c r="F3152" s="18" t="s">
        <v>2921</v>
      </c>
      <c r="G3152" s="18" t="s">
        <v>2396</v>
      </c>
      <c r="H3152" s="18" t="s">
        <v>6241</v>
      </c>
      <c r="I3152" s="20" t="s">
        <v>6242</v>
      </c>
      <c r="J3152" s="18" t="s">
        <v>30</v>
      </c>
      <c r="K3152" s="18" t="s">
        <v>91</v>
      </c>
      <c r="L3152" s="18" t="s">
        <v>25</v>
      </c>
      <c r="N3152" s="18" t="s">
        <v>26</v>
      </c>
    </row>
    <row r="3153" spans="1:14" ht="15" customHeight="1" x14ac:dyDescent="0.3">
      <c r="A3153" s="18" t="s">
        <v>6241</v>
      </c>
      <c r="B3153" s="19" t="s">
        <v>15</v>
      </c>
      <c r="C3153" s="18" t="s">
        <v>210</v>
      </c>
      <c r="D3153" s="18" t="s">
        <v>116</v>
      </c>
      <c r="E3153" s="18" t="s">
        <v>18</v>
      </c>
      <c r="F3153" s="18" t="s">
        <v>1009</v>
      </c>
      <c r="G3153" s="18" t="s">
        <v>1009</v>
      </c>
      <c r="H3153" s="18" t="s">
        <v>6241</v>
      </c>
      <c r="I3153" s="20" t="s">
        <v>6243</v>
      </c>
      <c r="J3153" s="18" t="s">
        <v>30</v>
      </c>
      <c r="K3153" s="18" t="s">
        <v>91</v>
      </c>
      <c r="L3153" s="18" t="s">
        <v>25</v>
      </c>
      <c r="N3153" s="18" t="s">
        <v>26</v>
      </c>
    </row>
    <row r="3154" spans="1:14" ht="15" customHeight="1" x14ac:dyDescent="0.3">
      <c r="A3154" s="18" t="s">
        <v>6241</v>
      </c>
      <c r="B3154" s="19" t="s">
        <v>15</v>
      </c>
      <c r="C3154" s="18" t="s">
        <v>210</v>
      </c>
      <c r="D3154" s="18" t="s">
        <v>116</v>
      </c>
      <c r="E3154" s="18" t="s">
        <v>18</v>
      </c>
      <c r="F3154" s="18" t="s">
        <v>305</v>
      </c>
      <c r="G3154" s="18" t="s">
        <v>273</v>
      </c>
      <c r="H3154" s="18" t="s">
        <v>6241</v>
      </c>
      <c r="I3154" s="20" t="s">
        <v>6244</v>
      </c>
      <c r="J3154" s="18" t="s">
        <v>30</v>
      </c>
      <c r="K3154" s="18" t="s">
        <v>91</v>
      </c>
      <c r="L3154" s="18" t="s">
        <v>25</v>
      </c>
      <c r="N3154" s="18" t="s">
        <v>26</v>
      </c>
    </row>
    <row r="3155" spans="1:14" ht="15" customHeight="1" x14ac:dyDescent="0.3">
      <c r="A3155" s="18" t="s">
        <v>6241</v>
      </c>
      <c r="B3155" s="19" t="s">
        <v>15</v>
      </c>
      <c r="C3155" s="18" t="s">
        <v>210</v>
      </c>
      <c r="D3155" s="18" t="s">
        <v>116</v>
      </c>
      <c r="E3155" s="18" t="s">
        <v>18</v>
      </c>
      <c r="F3155" s="18" t="s">
        <v>1072</v>
      </c>
      <c r="G3155" s="18" t="s">
        <v>47</v>
      </c>
      <c r="H3155" s="18" t="s">
        <v>6241</v>
      </c>
      <c r="I3155" s="20" t="s">
        <v>6245</v>
      </c>
      <c r="J3155" s="18" t="s">
        <v>30</v>
      </c>
      <c r="K3155" s="18" t="s">
        <v>91</v>
      </c>
      <c r="L3155" s="18" t="s">
        <v>25</v>
      </c>
      <c r="N3155" s="18" t="s">
        <v>26</v>
      </c>
    </row>
    <row r="3156" spans="1:14" ht="15" customHeight="1" x14ac:dyDescent="0.3">
      <c r="A3156" s="18" t="s">
        <v>6241</v>
      </c>
      <c r="B3156" s="19" t="s">
        <v>15</v>
      </c>
      <c r="C3156" s="18" t="s">
        <v>210</v>
      </c>
      <c r="D3156" s="18" t="s">
        <v>116</v>
      </c>
      <c r="E3156" s="18" t="s">
        <v>18</v>
      </c>
      <c r="F3156" s="18" t="s">
        <v>3396</v>
      </c>
      <c r="G3156" s="18" t="s">
        <v>1059</v>
      </c>
      <c r="H3156" s="18" t="s">
        <v>6241</v>
      </c>
      <c r="I3156" s="20" t="s">
        <v>6246</v>
      </c>
      <c r="J3156" s="18" t="s">
        <v>30</v>
      </c>
      <c r="K3156" s="18" t="s">
        <v>91</v>
      </c>
      <c r="L3156" s="18" t="s">
        <v>25</v>
      </c>
      <c r="N3156" s="18" t="s">
        <v>26</v>
      </c>
    </row>
    <row r="3157" spans="1:14" ht="15" customHeight="1" x14ac:dyDescent="0.3">
      <c r="A3157" s="18" t="s">
        <v>6241</v>
      </c>
      <c r="B3157" s="19" t="s">
        <v>15</v>
      </c>
      <c r="C3157" s="18" t="s">
        <v>210</v>
      </c>
      <c r="D3157" s="18" t="s">
        <v>116</v>
      </c>
      <c r="E3157" s="18" t="s">
        <v>18</v>
      </c>
      <c r="F3157" s="18" t="s">
        <v>40</v>
      </c>
      <c r="G3157" s="18" t="s">
        <v>41</v>
      </c>
      <c r="H3157" s="18" t="s">
        <v>6241</v>
      </c>
      <c r="I3157" s="20" t="s">
        <v>6247</v>
      </c>
      <c r="J3157" s="18" t="s">
        <v>30</v>
      </c>
      <c r="K3157" s="18" t="s">
        <v>91</v>
      </c>
      <c r="L3157" s="18" t="s">
        <v>25</v>
      </c>
      <c r="N3157" s="18" t="s">
        <v>26</v>
      </c>
    </row>
    <row r="3158" spans="1:14" ht="15" customHeight="1" x14ac:dyDescent="0.3">
      <c r="A3158" s="18" t="s">
        <v>6241</v>
      </c>
      <c r="B3158" s="19" t="s">
        <v>15</v>
      </c>
      <c r="C3158" s="18" t="s">
        <v>210</v>
      </c>
      <c r="D3158" s="18" t="s">
        <v>116</v>
      </c>
      <c r="E3158" s="18" t="s">
        <v>18</v>
      </c>
      <c r="F3158" s="18" t="s">
        <v>6248</v>
      </c>
      <c r="G3158" s="18" t="s">
        <v>219</v>
      </c>
      <c r="H3158" s="18" t="s">
        <v>6241</v>
      </c>
      <c r="I3158" s="20" t="s">
        <v>6249</v>
      </c>
      <c r="J3158" s="18" t="s">
        <v>30</v>
      </c>
      <c r="K3158" s="18" t="s">
        <v>91</v>
      </c>
      <c r="L3158" s="18" t="s">
        <v>25</v>
      </c>
      <c r="N3158" s="18" t="s">
        <v>26</v>
      </c>
    </row>
    <row r="3159" spans="1:14" ht="15" customHeight="1" x14ac:dyDescent="0.3">
      <c r="A3159" s="18" t="s">
        <v>6241</v>
      </c>
      <c r="B3159" s="19" t="s">
        <v>15</v>
      </c>
      <c r="C3159" s="18" t="s">
        <v>210</v>
      </c>
      <c r="D3159" s="18" t="s">
        <v>116</v>
      </c>
      <c r="E3159" s="18" t="s">
        <v>18</v>
      </c>
      <c r="F3159" s="18" t="s">
        <v>6250</v>
      </c>
      <c r="G3159" s="18" t="s">
        <v>197</v>
      </c>
      <c r="H3159" s="18" t="s">
        <v>6241</v>
      </c>
      <c r="I3159" s="20" t="s">
        <v>6251</v>
      </c>
      <c r="J3159" s="18" t="s">
        <v>30</v>
      </c>
      <c r="K3159" s="18" t="s">
        <v>91</v>
      </c>
      <c r="L3159" s="18" t="s">
        <v>25</v>
      </c>
      <c r="N3159" s="18" t="s">
        <v>26</v>
      </c>
    </row>
    <row r="3160" spans="1:14" ht="15" customHeight="1" x14ac:dyDescent="0.3">
      <c r="A3160" s="18" t="s">
        <v>6241</v>
      </c>
      <c r="B3160" s="19" t="s">
        <v>15</v>
      </c>
      <c r="C3160" s="18" t="s">
        <v>210</v>
      </c>
      <c r="D3160" s="18" t="s">
        <v>116</v>
      </c>
      <c r="E3160" s="18" t="s">
        <v>18</v>
      </c>
      <c r="F3160" s="18" t="s">
        <v>6252</v>
      </c>
      <c r="G3160" s="18" t="s">
        <v>6253</v>
      </c>
      <c r="H3160" s="18" t="s">
        <v>6241</v>
      </c>
      <c r="I3160" s="20" t="s">
        <v>6254</v>
      </c>
      <c r="J3160" s="18" t="s">
        <v>30</v>
      </c>
      <c r="K3160" s="18" t="s">
        <v>91</v>
      </c>
      <c r="L3160" s="18" t="s">
        <v>25</v>
      </c>
      <c r="N3160" s="18" t="s">
        <v>26</v>
      </c>
    </row>
    <row r="3161" spans="1:14" ht="15" customHeight="1" x14ac:dyDescent="0.3">
      <c r="A3161" s="18" t="s">
        <v>6241</v>
      </c>
      <c r="B3161" s="19" t="s">
        <v>15</v>
      </c>
      <c r="C3161" s="18" t="s">
        <v>210</v>
      </c>
      <c r="D3161" s="18" t="s">
        <v>116</v>
      </c>
      <c r="E3161" s="18" t="s">
        <v>18</v>
      </c>
      <c r="F3161" s="18" t="s">
        <v>6255</v>
      </c>
      <c r="G3161" s="18" t="s">
        <v>298</v>
      </c>
      <c r="H3161" s="18" t="s">
        <v>6241</v>
      </c>
      <c r="I3161" s="20" t="s">
        <v>6256</v>
      </c>
      <c r="J3161" s="18" t="s">
        <v>30</v>
      </c>
      <c r="K3161" s="18" t="s">
        <v>91</v>
      </c>
      <c r="L3161" s="18" t="s">
        <v>25</v>
      </c>
      <c r="N3161" s="18" t="s">
        <v>26</v>
      </c>
    </row>
    <row r="3162" spans="1:14" ht="15" customHeight="1" x14ac:dyDescent="0.3">
      <c r="A3162" s="18" t="s">
        <v>6241</v>
      </c>
      <c r="B3162" s="19" t="s">
        <v>15</v>
      </c>
      <c r="C3162" s="18" t="s">
        <v>210</v>
      </c>
      <c r="D3162" s="18" t="s">
        <v>116</v>
      </c>
      <c r="E3162" s="18" t="s">
        <v>18</v>
      </c>
      <c r="F3162" s="18" t="s">
        <v>6257</v>
      </c>
      <c r="G3162" s="18" t="s">
        <v>1095</v>
      </c>
      <c r="H3162" s="18" t="s">
        <v>6241</v>
      </c>
      <c r="I3162" s="20" t="s">
        <v>6258</v>
      </c>
      <c r="J3162" s="18" t="s">
        <v>30</v>
      </c>
      <c r="K3162" s="18" t="s">
        <v>91</v>
      </c>
      <c r="L3162" s="18" t="s">
        <v>25</v>
      </c>
      <c r="M3162" s="18" t="s">
        <v>39</v>
      </c>
      <c r="N3162" s="18" t="s">
        <v>26</v>
      </c>
    </row>
    <row r="3163" spans="1:14" ht="15" customHeight="1" x14ac:dyDescent="0.3">
      <c r="A3163" s="18" t="s">
        <v>6241</v>
      </c>
      <c r="B3163" s="19" t="s">
        <v>15</v>
      </c>
      <c r="C3163" s="18" t="s">
        <v>210</v>
      </c>
      <c r="D3163" s="18" t="s">
        <v>116</v>
      </c>
      <c r="E3163" s="18" t="s">
        <v>18</v>
      </c>
      <c r="F3163" s="18" t="s">
        <v>6259</v>
      </c>
      <c r="G3163" s="18" t="s">
        <v>1095</v>
      </c>
      <c r="H3163" s="18" t="s">
        <v>6241</v>
      </c>
      <c r="I3163" s="20" t="s">
        <v>6260</v>
      </c>
      <c r="J3163" s="18" t="s">
        <v>30</v>
      </c>
      <c r="K3163" s="18" t="s">
        <v>91</v>
      </c>
      <c r="L3163" s="18" t="s">
        <v>25</v>
      </c>
      <c r="N3163" s="18" t="s">
        <v>26</v>
      </c>
    </row>
    <row r="3164" spans="1:14" ht="15" customHeight="1" x14ac:dyDescent="0.3">
      <c r="A3164" s="18" t="s">
        <v>6241</v>
      </c>
      <c r="B3164" s="19" t="s">
        <v>15</v>
      </c>
      <c r="C3164" s="18" t="s">
        <v>210</v>
      </c>
      <c r="D3164" s="18" t="s">
        <v>116</v>
      </c>
      <c r="E3164" s="18" t="s">
        <v>55</v>
      </c>
      <c r="F3164" s="18" t="s">
        <v>6261</v>
      </c>
      <c r="G3164" s="18" t="s">
        <v>273</v>
      </c>
      <c r="H3164" s="18" t="s">
        <v>6241</v>
      </c>
      <c r="I3164" s="20" t="s">
        <v>6262</v>
      </c>
      <c r="J3164" s="18" t="s">
        <v>58</v>
      </c>
      <c r="K3164" s="18" t="s">
        <v>91</v>
      </c>
      <c r="L3164" s="18" t="s">
        <v>25</v>
      </c>
      <c r="N3164" s="18" t="s">
        <v>26</v>
      </c>
    </row>
    <row r="3165" spans="1:14" ht="15" customHeight="1" x14ac:dyDescent="0.3">
      <c r="A3165" s="18" t="s">
        <v>6241</v>
      </c>
      <c r="B3165" s="19" t="s">
        <v>15</v>
      </c>
      <c r="C3165" s="18" t="s">
        <v>210</v>
      </c>
      <c r="D3165" s="18" t="s">
        <v>116</v>
      </c>
      <c r="E3165" s="18" t="s">
        <v>55</v>
      </c>
      <c r="F3165" s="18" t="s">
        <v>6263</v>
      </c>
      <c r="G3165" s="18" t="s">
        <v>88</v>
      </c>
      <c r="H3165" s="18" t="s">
        <v>6241</v>
      </c>
      <c r="I3165" s="20" t="s">
        <v>6264</v>
      </c>
      <c r="J3165" s="18" t="s">
        <v>58</v>
      </c>
      <c r="K3165" s="18" t="s">
        <v>91</v>
      </c>
      <c r="L3165" s="18" t="s">
        <v>25</v>
      </c>
      <c r="N3165" s="18" t="s">
        <v>26</v>
      </c>
    </row>
    <row r="3166" spans="1:14" ht="15" customHeight="1" x14ac:dyDescent="0.3">
      <c r="A3166" s="18" t="s">
        <v>6241</v>
      </c>
      <c r="B3166" s="19" t="s">
        <v>15</v>
      </c>
      <c r="C3166" s="18" t="s">
        <v>210</v>
      </c>
      <c r="D3166" s="18" t="s">
        <v>116</v>
      </c>
      <c r="E3166" s="18" t="s">
        <v>55</v>
      </c>
      <c r="F3166" s="18" t="s">
        <v>6265</v>
      </c>
      <c r="G3166" s="18" t="s">
        <v>1211</v>
      </c>
      <c r="H3166" s="18" t="s">
        <v>6241</v>
      </c>
      <c r="I3166" s="20" t="s">
        <v>6266</v>
      </c>
      <c r="J3166" s="18" t="s">
        <v>58</v>
      </c>
      <c r="K3166" s="18" t="s">
        <v>91</v>
      </c>
      <c r="L3166" s="18" t="s">
        <v>25</v>
      </c>
      <c r="N3166" s="18" t="s">
        <v>26</v>
      </c>
    </row>
    <row r="3167" spans="1:14" ht="15" customHeight="1" x14ac:dyDescent="0.3">
      <c r="A3167" s="18" t="s">
        <v>6241</v>
      </c>
      <c r="B3167" s="19" t="s">
        <v>15</v>
      </c>
      <c r="C3167" s="18" t="s">
        <v>210</v>
      </c>
      <c r="D3167" s="18" t="s">
        <v>116</v>
      </c>
      <c r="E3167" s="18" t="s">
        <v>55</v>
      </c>
      <c r="F3167" s="18" t="s">
        <v>6267</v>
      </c>
      <c r="G3167" s="18" t="s">
        <v>913</v>
      </c>
      <c r="H3167" s="18" t="s">
        <v>6241</v>
      </c>
      <c r="I3167" s="20" t="s">
        <v>6268</v>
      </c>
      <c r="J3167" s="18" t="s">
        <v>58</v>
      </c>
      <c r="K3167" s="18" t="s">
        <v>91</v>
      </c>
      <c r="L3167" s="18" t="s">
        <v>25</v>
      </c>
      <c r="N3167" s="18" t="s">
        <v>26</v>
      </c>
    </row>
    <row r="3168" spans="1:14" ht="15" customHeight="1" x14ac:dyDescent="0.3">
      <c r="A3168" s="18" t="s">
        <v>6241</v>
      </c>
      <c r="B3168" s="19" t="s">
        <v>15</v>
      </c>
      <c r="C3168" s="18" t="s">
        <v>210</v>
      </c>
      <c r="D3168" s="18" t="s">
        <v>116</v>
      </c>
      <c r="E3168" s="18" t="s">
        <v>55</v>
      </c>
      <c r="F3168" s="18" t="s">
        <v>6269</v>
      </c>
      <c r="G3168" s="18" t="s">
        <v>6252</v>
      </c>
      <c r="H3168" s="18" t="s">
        <v>6241</v>
      </c>
      <c r="I3168" s="20" t="s">
        <v>6270</v>
      </c>
      <c r="J3168" s="18" t="s">
        <v>58</v>
      </c>
      <c r="K3168" s="18" t="s">
        <v>91</v>
      </c>
      <c r="L3168" s="18" t="s">
        <v>25</v>
      </c>
      <c r="N3168" s="18" t="s">
        <v>26</v>
      </c>
    </row>
    <row r="3169" spans="1:14" ht="15" customHeight="1" x14ac:dyDescent="0.3">
      <c r="A3169" s="18" t="s">
        <v>6241</v>
      </c>
      <c r="B3169" s="19" t="s">
        <v>15</v>
      </c>
      <c r="C3169" s="18" t="s">
        <v>210</v>
      </c>
      <c r="D3169" s="18" t="s">
        <v>116</v>
      </c>
      <c r="E3169" s="18" t="s">
        <v>55</v>
      </c>
      <c r="F3169" s="18" t="s">
        <v>6271</v>
      </c>
      <c r="G3169" s="18" t="s">
        <v>6272</v>
      </c>
      <c r="H3169" s="18" t="s">
        <v>6241</v>
      </c>
      <c r="I3169" s="20" t="s">
        <v>6273</v>
      </c>
      <c r="J3169" s="18" t="s">
        <v>73</v>
      </c>
      <c r="K3169" s="18" t="s">
        <v>91</v>
      </c>
      <c r="L3169" s="18" t="s">
        <v>1369</v>
      </c>
      <c r="N3169" s="18" t="s">
        <v>26</v>
      </c>
    </row>
    <row r="3170" spans="1:14" ht="15" customHeight="1" x14ac:dyDescent="0.3">
      <c r="A3170" s="18" t="s">
        <v>6241</v>
      </c>
      <c r="B3170" s="19" t="s">
        <v>15</v>
      </c>
      <c r="C3170" s="18" t="s">
        <v>210</v>
      </c>
      <c r="D3170" s="18" t="s">
        <v>116</v>
      </c>
      <c r="E3170" s="18" t="s">
        <v>55</v>
      </c>
      <c r="F3170" s="18" t="s">
        <v>6274</v>
      </c>
      <c r="G3170" s="18" t="s">
        <v>41</v>
      </c>
      <c r="H3170" s="18" t="s">
        <v>6241</v>
      </c>
      <c r="I3170" s="20" t="s">
        <v>6275</v>
      </c>
      <c r="J3170" s="18" t="s">
        <v>58</v>
      </c>
      <c r="K3170" s="18" t="s">
        <v>91</v>
      </c>
      <c r="L3170" s="18" t="s">
        <v>25</v>
      </c>
      <c r="N3170" s="18" t="s">
        <v>26</v>
      </c>
    </row>
    <row r="3171" spans="1:14" ht="15" customHeight="1" x14ac:dyDescent="0.3">
      <c r="A3171" s="18" t="s">
        <v>6241</v>
      </c>
      <c r="B3171" s="19" t="s">
        <v>15</v>
      </c>
      <c r="C3171" s="18" t="s">
        <v>210</v>
      </c>
      <c r="D3171" s="18" t="s">
        <v>116</v>
      </c>
      <c r="E3171" s="18" t="s">
        <v>55</v>
      </c>
      <c r="F3171" s="18" t="s">
        <v>6276</v>
      </c>
      <c r="G3171" s="18" t="s">
        <v>47</v>
      </c>
      <c r="H3171" s="18" t="s">
        <v>6241</v>
      </c>
      <c r="I3171" s="20" t="s">
        <v>6277</v>
      </c>
      <c r="J3171" s="18" t="s">
        <v>58</v>
      </c>
      <c r="K3171" s="18" t="s">
        <v>91</v>
      </c>
      <c r="L3171" s="18" t="s">
        <v>25</v>
      </c>
      <c r="N3171" s="18" t="s">
        <v>26</v>
      </c>
    </row>
    <row r="3172" spans="1:14" ht="15" customHeight="1" x14ac:dyDescent="0.3">
      <c r="A3172" s="18" t="s">
        <v>6241</v>
      </c>
      <c r="B3172" s="19" t="s">
        <v>15</v>
      </c>
      <c r="C3172" s="18" t="s">
        <v>210</v>
      </c>
      <c r="D3172" s="18" t="s">
        <v>116</v>
      </c>
      <c r="E3172" s="18" t="s">
        <v>55</v>
      </c>
      <c r="F3172" s="18" t="s">
        <v>6278</v>
      </c>
      <c r="G3172" s="18" t="s">
        <v>88</v>
      </c>
      <c r="H3172" s="18" t="s">
        <v>6241</v>
      </c>
      <c r="I3172" s="20" t="s">
        <v>6279</v>
      </c>
      <c r="J3172" s="18" t="s">
        <v>58</v>
      </c>
      <c r="K3172" s="18" t="s">
        <v>91</v>
      </c>
      <c r="L3172" s="18" t="s">
        <v>25</v>
      </c>
      <c r="N3172" s="18" t="s">
        <v>26</v>
      </c>
    </row>
    <row r="3173" spans="1:14" ht="15" customHeight="1" x14ac:dyDescent="0.3">
      <c r="A3173" s="18" t="s">
        <v>6241</v>
      </c>
      <c r="B3173" s="19" t="s">
        <v>15</v>
      </c>
      <c r="C3173" s="18" t="s">
        <v>210</v>
      </c>
      <c r="D3173" s="18" t="s">
        <v>116</v>
      </c>
      <c r="E3173" s="18" t="s">
        <v>55</v>
      </c>
      <c r="F3173" s="18" t="s">
        <v>6280</v>
      </c>
      <c r="G3173" s="18" t="s">
        <v>298</v>
      </c>
      <c r="H3173" s="18" t="s">
        <v>6241</v>
      </c>
      <c r="I3173" s="20" t="s">
        <v>6281</v>
      </c>
      <c r="J3173" s="18" t="s">
        <v>58</v>
      </c>
      <c r="K3173" s="18" t="s">
        <v>91</v>
      </c>
      <c r="L3173" s="18" t="s">
        <v>25</v>
      </c>
      <c r="N3173" s="18" t="s">
        <v>26</v>
      </c>
    </row>
    <row r="3174" spans="1:14" ht="15" customHeight="1" x14ac:dyDescent="0.3">
      <c r="A3174" s="18" t="s">
        <v>6241</v>
      </c>
      <c r="B3174" s="19" t="s">
        <v>15</v>
      </c>
      <c r="C3174" s="18" t="s">
        <v>210</v>
      </c>
      <c r="D3174" s="18" t="s">
        <v>116</v>
      </c>
      <c r="E3174" s="18" t="s">
        <v>55</v>
      </c>
      <c r="F3174" s="18" t="s">
        <v>6282</v>
      </c>
      <c r="G3174" s="18" t="s">
        <v>312</v>
      </c>
      <c r="H3174" s="18" t="s">
        <v>6241</v>
      </c>
      <c r="I3174" s="20" t="s">
        <v>6283</v>
      </c>
      <c r="J3174" s="18" t="s">
        <v>58</v>
      </c>
      <c r="K3174" s="18" t="s">
        <v>91</v>
      </c>
      <c r="L3174" s="18" t="s">
        <v>25</v>
      </c>
      <c r="N3174" s="18" t="s">
        <v>26</v>
      </c>
    </row>
    <row r="3175" spans="1:14" ht="15" customHeight="1" x14ac:dyDescent="0.3">
      <c r="A3175" s="18" t="s">
        <v>6241</v>
      </c>
      <c r="B3175" s="19" t="s">
        <v>15</v>
      </c>
      <c r="C3175" s="18" t="s">
        <v>210</v>
      </c>
      <c r="D3175" s="18" t="s">
        <v>116</v>
      </c>
      <c r="E3175" s="18" t="s">
        <v>55</v>
      </c>
      <c r="F3175" s="18" t="s">
        <v>6284</v>
      </c>
      <c r="G3175" s="18" t="s">
        <v>312</v>
      </c>
      <c r="H3175" s="18" t="s">
        <v>6241</v>
      </c>
      <c r="I3175" s="20" t="s">
        <v>6285</v>
      </c>
      <c r="J3175" s="18" t="s">
        <v>58</v>
      </c>
      <c r="K3175" s="18" t="s">
        <v>91</v>
      </c>
      <c r="L3175" s="18" t="s">
        <v>25</v>
      </c>
      <c r="N3175" s="18" t="s">
        <v>26</v>
      </c>
    </row>
    <row r="3176" spans="1:14" ht="15" customHeight="1" x14ac:dyDescent="0.3">
      <c r="A3176" s="18" t="s">
        <v>6241</v>
      </c>
      <c r="B3176" s="19" t="s">
        <v>15</v>
      </c>
      <c r="C3176" s="18" t="s">
        <v>210</v>
      </c>
      <c r="D3176" s="18" t="s">
        <v>116</v>
      </c>
      <c r="E3176" s="18" t="s">
        <v>55</v>
      </c>
      <c r="F3176" s="18" t="s">
        <v>6286</v>
      </c>
      <c r="G3176" s="18" t="s">
        <v>197</v>
      </c>
      <c r="H3176" s="18" t="s">
        <v>6241</v>
      </c>
      <c r="I3176" s="20" t="s">
        <v>6287</v>
      </c>
      <c r="J3176" s="18" t="s">
        <v>58</v>
      </c>
      <c r="K3176" s="18" t="s">
        <v>91</v>
      </c>
      <c r="L3176" s="18" t="s">
        <v>25</v>
      </c>
      <c r="N3176" s="18" t="s">
        <v>26</v>
      </c>
    </row>
    <row r="3177" spans="1:14" ht="15" customHeight="1" x14ac:dyDescent="0.3">
      <c r="A3177" s="18" t="s">
        <v>6241</v>
      </c>
      <c r="B3177" s="19" t="s">
        <v>15</v>
      </c>
      <c r="C3177" s="18" t="s">
        <v>210</v>
      </c>
      <c r="D3177" s="18" t="s">
        <v>116</v>
      </c>
      <c r="E3177" s="18" t="s">
        <v>55</v>
      </c>
      <c r="F3177" s="18" t="s">
        <v>6288</v>
      </c>
      <c r="G3177" s="18" t="s">
        <v>1059</v>
      </c>
      <c r="H3177" s="18" t="s">
        <v>6241</v>
      </c>
      <c r="I3177" s="20" t="s">
        <v>6289</v>
      </c>
      <c r="J3177" s="18" t="s">
        <v>58</v>
      </c>
      <c r="K3177" s="18" t="s">
        <v>91</v>
      </c>
      <c r="L3177" s="18" t="s">
        <v>25</v>
      </c>
      <c r="N3177" s="18" t="s">
        <v>26</v>
      </c>
    </row>
    <row r="3178" spans="1:14" ht="15" customHeight="1" x14ac:dyDescent="0.3">
      <c r="A3178" s="18" t="s">
        <v>6241</v>
      </c>
      <c r="B3178" s="19" t="s">
        <v>15</v>
      </c>
      <c r="C3178" s="18" t="s">
        <v>210</v>
      </c>
      <c r="D3178" s="18" t="s">
        <v>116</v>
      </c>
      <c r="E3178" s="18" t="s">
        <v>55</v>
      </c>
      <c r="F3178" s="18" t="s">
        <v>6290</v>
      </c>
      <c r="G3178" s="18" t="s">
        <v>2921</v>
      </c>
      <c r="H3178" s="18" t="s">
        <v>6241</v>
      </c>
      <c r="I3178" s="20" t="s">
        <v>6291</v>
      </c>
      <c r="J3178" s="18" t="s">
        <v>58</v>
      </c>
      <c r="K3178" s="18" t="s">
        <v>91</v>
      </c>
      <c r="L3178" s="18" t="s">
        <v>25</v>
      </c>
      <c r="N3178" s="18" t="s">
        <v>26</v>
      </c>
    </row>
    <row r="3179" spans="1:14" ht="15" customHeight="1" x14ac:dyDescent="0.3">
      <c r="A3179" s="18" t="s">
        <v>6241</v>
      </c>
      <c r="B3179" s="19" t="s">
        <v>15</v>
      </c>
      <c r="C3179" s="18" t="s">
        <v>210</v>
      </c>
      <c r="D3179" s="18" t="s">
        <v>116</v>
      </c>
      <c r="E3179" s="18" t="s">
        <v>55</v>
      </c>
      <c r="F3179" s="18" t="s">
        <v>40</v>
      </c>
      <c r="G3179" s="18" t="s">
        <v>41</v>
      </c>
      <c r="H3179" s="18" t="s">
        <v>6241</v>
      </c>
      <c r="I3179" s="20" t="s">
        <v>6292</v>
      </c>
      <c r="J3179" s="18" t="s">
        <v>58</v>
      </c>
      <c r="K3179" s="18" t="s">
        <v>91</v>
      </c>
      <c r="L3179" s="18" t="s">
        <v>25</v>
      </c>
      <c r="N3179" s="18" t="s">
        <v>26</v>
      </c>
    </row>
    <row r="3180" spans="1:14" ht="15" customHeight="1" x14ac:dyDescent="0.3">
      <c r="A3180" s="18" t="s">
        <v>6241</v>
      </c>
      <c r="B3180" s="19" t="s">
        <v>15</v>
      </c>
      <c r="C3180" s="18" t="s">
        <v>210</v>
      </c>
      <c r="D3180" s="18" t="s">
        <v>116</v>
      </c>
      <c r="E3180" s="18" t="s">
        <v>55</v>
      </c>
      <c r="F3180" s="18" t="s">
        <v>6293</v>
      </c>
      <c r="G3180" s="18" t="s">
        <v>273</v>
      </c>
      <c r="H3180" s="18" t="s">
        <v>6241</v>
      </c>
      <c r="I3180" s="20" t="s">
        <v>6294</v>
      </c>
      <c r="J3180" s="18" t="s">
        <v>58</v>
      </c>
      <c r="K3180" s="18" t="s">
        <v>91</v>
      </c>
      <c r="L3180" s="18" t="s">
        <v>25</v>
      </c>
      <c r="N3180" s="18" t="s">
        <v>26</v>
      </c>
    </row>
    <row r="3181" spans="1:14" ht="15" customHeight="1" x14ac:dyDescent="0.3">
      <c r="A3181" s="18" t="s">
        <v>6241</v>
      </c>
      <c r="B3181" s="19" t="s">
        <v>15</v>
      </c>
      <c r="C3181" s="18" t="s">
        <v>210</v>
      </c>
      <c r="D3181" s="18" t="s">
        <v>116</v>
      </c>
      <c r="E3181" s="18" t="s">
        <v>55</v>
      </c>
      <c r="F3181" s="18" t="s">
        <v>6295</v>
      </c>
      <c r="G3181" s="18" t="s">
        <v>47</v>
      </c>
      <c r="H3181" s="18" t="s">
        <v>6241</v>
      </c>
      <c r="I3181" s="20" t="s">
        <v>6296</v>
      </c>
      <c r="J3181" s="18" t="s">
        <v>58</v>
      </c>
      <c r="K3181" s="18" t="s">
        <v>91</v>
      </c>
      <c r="L3181" s="18" t="s">
        <v>25</v>
      </c>
      <c r="N3181" s="18" t="s">
        <v>26</v>
      </c>
    </row>
    <row r="3182" spans="1:14" ht="15" customHeight="1" x14ac:dyDescent="0.3">
      <c r="A3182" s="18" t="s">
        <v>6241</v>
      </c>
      <c r="B3182" s="19" t="s">
        <v>15</v>
      </c>
      <c r="C3182" s="18" t="s">
        <v>210</v>
      </c>
      <c r="D3182" s="18" t="s">
        <v>116</v>
      </c>
      <c r="E3182" s="18" t="s">
        <v>55</v>
      </c>
      <c r="F3182" s="18" t="s">
        <v>6297</v>
      </c>
      <c r="G3182" s="18" t="s">
        <v>273</v>
      </c>
      <c r="H3182" s="18" t="s">
        <v>6241</v>
      </c>
      <c r="I3182" s="20" t="s">
        <v>6298</v>
      </c>
      <c r="J3182" s="18" t="s">
        <v>58</v>
      </c>
      <c r="K3182" s="18" t="s">
        <v>91</v>
      </c>
      <c r="L3182" s="18" t="s">
        <v>25</v>
      </c>
      <c r="N3182" s="18" t="s">
        <v>26</v>
      </c>
    </row>
    <row r="3183" spans="1:14" ht="15" customHeight="1" x14ac:dyDescent="0.3">
      <c r="A3183" s="18" t="s">
        <v>6241</v>
      </c>
      <c r="B3183" s="19" t="s">
        <v>15</v>
      </c>
      <c r="C3183" s="18" t="s">
        <v>210</v>
      </c>
      <c r="D3183" s="18" t="s">
        <v>116</v>
      </c>
      <c r="E3183" s="18" t="s">
        <v>55</v>
      </c>
      <c r="F3183" s="18" t="s">
        <v>6299</v>
      </c>
      <c r="G3183" s="18" t="s">
        <v>298</v>
      </c>
      <c r="H3183" s="18" t="s">
        <v>6241</v>
      </c>
      <c r="I3183" s="20" t="s">
        <v>6300</v>
      </c>
      <c r="J3183" s="18" t="s">
        <v>58</v>
      </c>
      <c r="K3183" s="18" t="s">
        <v>91</v>
      </c>
      <c r="L3183" s="18" t="s">
        <v>25</v>
      </c>
      <c r="N3183" s="18" t="s">
        <v>26</v>
      </c>
    </row>
    <row r="3184" spans="1:14" ht="15" customHeight="1" x14ac:dyDescent="0.3">
      <c r="A3184" s="18" t="s">
        <v>6241</v>
      </c>
      <c r="B3184" s="19" t="s">
        <v>15</v>
      </c>
      <c r="C3184" s="18" t="s">
        <v>210</v>
      </c>
      <c r="D3184" s="18" t="s">
        <v>116</v>
      </c>
      <c r="E3184" s="18" t="s">
        <v>55</v>
      </c>
      <c r="F3184" s="18" t="s">
        <v>6301</v>
      </c>
      <c r="G3184" s="18" t="s">
        <v>298</v>
      </c>
      <c r="H3184" s="18" t="s">
        <v>6241</v>
      </c>
      <c r="I3184" s="20" t="s">
        <v>6302</v>
      </c>
      <c r="J3184" s="18" t="s">
        <v>58</v>
      </c>
      <c r="K3184" s="18" t="s">
        <v>91</v>
      </c>
      <c r="L3184" s="18" t="s">
        <v>25</v>
      </c>
      <c r="N3184" s="18" t="s">
        <v>26</v>
      </c>
    </row>
    <row r="3185" spans="1:14" ht="15" customHeight="1" x14ac:dyDescent="0.3">
      <c r="A3185" s="18" t="s">
        <v>6241</v>
      </c>
      <c r="B3185" s="19" t="s">
        <v>15</v>
      </c>
      <c r="C3185" s="18" t="s">
        <v>210</v>
      </c>
      <c r="D3185" s="18" t="s">
        <v>116</v>
      </c>
      <c r="E3185" s="18" t="s">
        <v>55</v>
      </c>
      <c r="F3185" s="18" t="s">
        <v>286</v>
      </c>
      <c r="G3185" s="18" t="s">
        <v>273</v>
      </c>
      <c r="H3185" s="18" t="s">
        <v>6241</v>
      </c>
      <c r="I3185" s="20" t="s">
        <v>6303</v>
      </c>
      <c r="J3185" s="18" t="s">
        <v>58</v>
      </c>
      <c r="K3185" s="18" t="s">
        <v>91</v>
      </c>
      <c r="L3185" s="18" t="s">
        <v>25</v>
      </c>
      <c r="N3185" s="18" t="s">
        <v>26</v>
      </c>
    </row>
    <row r="3186" spans="1:14" ht="15" customHeight="1" x14ac:dyDescent="0.3">
      <c r="A3186" s="18" t="s">
        <v>6241</v>
      </c>
      <c r="B3186" s="19" t="s">
        <v>15</v>
      </c>
      <c r="C3186" s="18" t="s">
        <v>210</v>
      </c>
      <c r="D3186" s="18" t="s">
        <v>116</v>
      </c>
      <c r="E3186" s="18" t="s">
        <v>55</v>
      </c>
      <c r="F3186" s="18" t="s">
        <v>6304</v>
      </c>
      <c r="G3186" s="18" t="s">
        <v>47</v>
      </c>
      <c r="H3186" s="18" t="s">
        <v>6241</v>
      </c>
      <c r="I3186" s="20" t="s">
        <v>6305</v>
      </c>
      <c r="J3186" s="18" t="s">
        <v>58</v>
      </c>
      <c r="K3186" s="18" t="s">
        <v>91</v>
      </c>
      <c r="L3186" s="18" t="s">
        <v>25</v>
      </c>
      <c r="M3186" s="18" t="s">
        <v>39</v>
      </c>
      <c r="N3186" s="18" t="s">
        <v>26</v>
      </c>
    </row>
    <row r="3187" spans="1:14" ht="15" customHeight="1" x14ac:dyDescent="0.3">
      <c r="A3187" s="18" t="s">
        <v>6241</v>
      </c>
      <c r="B3187" s="19" t="s">
        <v>15</v>
      </c>
      <c r="C3187" s="18" t="s">
        <v>210</v>
      </c>
      <c r="D3187" s="18" t="s">
        <v>116</v>
      </c>
      <c r="E3187" s="18" t="s">
        <v>55</v>
      </c>
      <c r="F3187" s="18" t="s">
        <v>6306</v>
      </c>
      <c r="G3187" s="18" t="s">
        <v>41</v>
      </c>
      <c r="H3187" s="18" t="s">
        <v>6241</v>
      </c>
      <c r="I3187" s="20" t="s">
        <v>6307</v>
      </c>
      <c r="J3187" s="18" t="s">
        <v>199</v>
      </c>
      <c r="K3187" s="18" t="s">
        <v>91</v>
      </c>
      <c r="L3187" s="18" t="s">
        <v>25</v>
      </c>
      <c r="N3187" s="18" t="s">
        <v>26</v>
      </c>
    </row>
    <row r="3188" spans="1:14" ht="15" customHeight="1" x14ac:dyDescent="0.3">
      <c r="A3188" s="18" t="s">
        <v>6241</v>
      </c>
      <c r="B3188" s="19" t="s">
        <v>15</v>
      </c>
      <c r="C3188" s="18" t="s">
        <v>6308</v>
      </c>
      <c r="D3188" s="18" t="s">
        <v>116</v>
      </c>
      <c r="E3188" s="18" t="s">
        <v>74</v>
      </c>
      <c r="F3188" s="18" t="s">
        <v>6309</v>
      </c>
      <c r="G3188" s="18" t="s">
        <v>1059</v>
      </c>
      <c r="H3188" s="18" t="s">
        <v>6310</v>
      </c>
      <c r="I3188" s="20" t="s">
        <v>6311</v>
      </c>
      <c r="J3188" s="18" t="s">
        <v>394</v>
      </c>
      <c r="K3188" s="18" t="s">
        <v>91</v>
      </c>
      <c r="L3188" s="18" t="s">
        <v>25</v>
      </c>
      <c r="N3188" s="18" t="s">
        <v>26</v>
      </c>
    </row>
    <row r="3189" spans="1:14" ht="15" customHeight="1" x14ac:dyDescent="0.3">
      <c r="A3189" s="18" t="s">
        <v>6241</v>
      </c>
      <c r="B3189" s="19" t="s">
        <v>15</v>
      </c>
      <c r="C3189" s="18" t="s">
        <v>91</v>
      </c>
      <c r="D3189" s="18" t="s">
        <v>116</v>
      </c>
      <c r="E3189" s="18" t="s">
        <v>74</v>
      </c>
      <c r="F3189" s="18" t="s">
        <v>6312</v>
      </c>
      <c r="G3189" s="18" t="s">
        <v>2396</v>
      </c>
      <c r="H3189" s="18" t="s">
        <v>6313</v>
      </c>
      <c r="I3189" s="20" t="s">
        <v>6314</v>
      </c>
      <c r="J3189" s="18" t="s">
        <v>6315</v>
      </c>
      <c r="K3189" s="18" t="s">
        <v>91</v>
      </c>
      <c r="L3189" s="18" t="s">
        <v>25</v>
      </c>
      <c r="N3189" s="18" t="s">
        <v>973</v>
      </c>
    </row>
    <row r="3190" spans="1:14" ht="15" customHeight="1" x14ac:dyDescent="0.3">
      <c r="A3190" s="18" t="s">
        <v>6241</v>
      </c>
      <c r="B3190" s="19" t="s">
        <v>15</v>
      </c>
      <c r="C3190" s="18" t="s">
        <v>91</v>
      </c>
      <c r="D3190" s="18" t="s">
        <v>116</v>
      </c>
      <c r="E3190" s="18" t="s">
        <v>74</v>
      </c>
      <c r="F3190" s="18" t="s">
        <v>6316</v>
      </c>
      <c r="G3190" s="18" t="s">
        <v>1059</v>
      </c>
      <c r="H3190" s="18" t="s">
        <v>6313</v>
      </c>
      <c r="I3190" s="20" t="s">
        <v>6317</v>
      </c>
      <c r="J3190" s="18" t="s">
        <v>2643</v>
      </c>
      <c r="K3190" s="18" t="s">
        <v>91</v>
      </c>
      <c r="L3190" s="18" t="s">
        <v>25</v>
      </c>
      <c r="N3190" s="18" t="s">
        <v>973</v>
      </c>
    </row>
    <row r="3191" spans="1:14" ht="15" customHeight="1" x14ac:dyDescent="0.3">
      <c r="A3191" s="18" t="s">
        <v>6241</v>
      </c>
      <c r="B3191" s="19" t="s">
        <v>15</v>
      </c>
      <c r="C3191" s="18" t="s">
        <v>91</v>
      </c>
      <c r="D3191" s="18" t="s">
        <v>116</v>
      </c>
      <c r="E3191" s="18" t="s">
        <v>74</v>
      </c>
      <c r="F3191" s="18" t="s">
        <v>6318</v>
      </c>
      <c r="G3191" s="18" t="s">
        <v>2921</v>
      </c>
      <c r="H3191" s="18" t="s">
        <v>6313</v>
      </c>
      <c r="I3191" s="20" t="s">
        <v>6319</v>
      </c>
      <c r="J3191" s="18" t="s">
        <v>199</v>
      </c>
      <c r="K3191" s="18" t="s">
        <v>91</v>
      </c>
      <c r="L3191" s="18" t="s">
        <v>25</v>
      </c>
      <c r="N3191" s="18" t="s">
        <v>973</v>
      </c>
    </row>
    <row r="3192" spans="1:14" ht="15" customHeight="1" x14ac:dyDescent="0.3">
      <c r="A3192" s="18" t="s">
        <v>6320</v>
      </c>
      <c r="B3192" s="19" t="s">
        <v>15</v>
      </c>
      <c r="C3192" s="18" t="s">
        <v>210</v>
      </c>
      <c r="D3192" s="18" t="s">
        <v>17</v>
      </c>
      <c r="E3192" s="18" t="s">
        <v>18</v>
      </c>
      <c r="F3192" s="18" t="s">
        <v>6321</v>
      </c>
      <c r="G3192" s="18" t="s">
        <v>41</v>
      </c>
      <c r="H3192" s="18" t="s">
        <v>6322</v>
      </c>
      <c r="I3192" s="20" t="s">
        <v>6323</v>
      </c>
      <c r="J3192" s="18" t="s">
        <v>30</v>
      </c>
      <c r="K3192" s="18" t="s">
        <v>24</v>
      </c>
      <c r="L3192" s="18" t="s">
        <v>25</v>
      </c>
      <c r="N3192" s="18" t="s">
        <v>26</v>
      </c>
    </row>
    <row r="3193" spans="1:14" ht="15" customHeight="1" x14ac:dyDescent="0.3">
      <c r="A3193" s="18" t="s">
        <v>6320</v>
      </c>
      <c r="B3193" s="19" t="s">
        <v>15</v>
      </c>
      <c r="C3193" s="18" t="s">
        <v>210</v>
      </c>
      <c r="D3193" s="18" t="s">
        <v>17</v>
      </c>
      <c r="E3193" s="18" t="s">
        <v>18</v>
      </c>
      <c r="F3193" s="18" t="s">
        <v>6324</v>
      </c>
      <c r="G3193" s="18" t="s">
        <v>1340</v>
      </c>
      <c r="H3193" s="18" t="s">
        <v>6322</v>
      </c>
      <c r="I3193" s="20" t="s">
        <v>6325</v>
      </c>
      <c r="J3193" s="18" t="s">
        <v>30</v>
      </c>
      <c r="K3193" s="18" t="s">
        <v>24</v>
      </c>
      <c r="L3193" s="18" t="s">
        <v>25</v>
      </c>
      <c r="N3193" s="18" t="s">
        <v>26</v>
      </c>
    </row>
    <row r="3194" spans="1:14" ht="15" customHeight="1" x14ac:dyDescent="0.3">
      <c r="A3194" s="18" t="s">
        <v>6320</v>
      </c>
      <c r="B3194" s="19" t="s">
        <v>15</v>
      </c>
      <c r="C3194" s="18" t="s">
        <v>210</v>
      </c>
      <c r="D3194" s="18" t="s">
        <v>17</v>
      </c>
      <c r="E3194" s="18" t="s">
        <v>18</v>
      </c>
      <c r="F3194" s="18" t="s">
        <v>619</v>
      </c>
      <c r="G3194" s="18" t="s">
        <v>619</v>
      </c>
      <c r="H3194" s="18" t="s">
        <v>6322</v>
      </c>
      <c r="I3194" s="20" t="s">
        <v>6326</v>
      </c>
      <c r="J3194" s="18" t="s">
        <v>23</v>
      </c>
      <c r="K3194" s="18" t="s">
        <v>24</v>
      </c>
      <c r="L3194" s="18" t="s">
        <v>25</v>
      </c>
      <c r="N3194" s="18" t="s">
        <v>26</v>
      </c>
    </row>
    <row r="3195" spans="1:14" ht="15" customHeight="1" x14ac:dyDescent="0.3">
      <c r="A3195" s="18" t="s">
        <v>6320</v>
      </c>
      <c r="B3195" s="19" t="s">
        <v>15</v>
      </c>
      <c r="C3195" s="18" t="s">
        <v>210</v>
      </c>
      <c r="D3195" s="18" t="s">
        <v>17</v>
      </c>
      <c r="E3195" s="18" t="s">
        <v>18</v>
      </c>
      <c r="F3195" s="18" t="s">
        <v>1069</v>
      </c>
      <c r="G3195" s="18" t="s">
        <v>1069</v>
      </c>
      <c r="H3195" s="18" t="s">
        <v>6322</v>
      </c>
      <c r="I3195" s="20" t="s">
        <v>6327</v>
      </c>
      <c r="J3195" s="18" t="s">
        <v>30</v>
      </c>
      <c r="K3195" s="18" t="s">
        <v>24</v>
      </c>
      <c r="L3195" s="18" t="s">
        <v>25</v>
      </c>
      <c r="N3195" s="18" t="s">
        <v>26</v>
      </c>
    </row>
    <row r="3196" spans="1:14" ht="15" customHeight="1" x14ac:dyDescent="0.3">
      <c r="A3196" s="18" t="s">
        <v>6320</v>
      </c>
      <c r="B3196" s="19" t="s">
        <v>15</v>
      </c>
      <c r="C3196" s="18" t="s">
        <v>210</v>
      </c>
      <c r="D3196" s="18" t="s">
        <v>17</v>
      </c>
      <c r="E3196" s="18" t="s">
        <v>18</v>
      </c>
      <c r="F3196" s="18" t="s">
        <v>6328</v>
      </c>
      <c r="G3196" s="18" t="s">
        <v>1075</v>
      </c>
      <c r="H3196" s="18" t="s">
        <v>6322</v>
      </c>
      <c r="I3196" s="20" t="s">
        <v>6329</v>
      </c>
      <c r="J3196" s="18" t="s">
        <v>30</v>
      </c>
      <c r="K3196" s="18" t="s">
        <v>24</v>
      </c>
      <c r="L3196" s="18" t="s">
        <v>25</v>
      </c>
      <c r="N3196" s="18" t="s">
        <v>26</v>
      </c>
    </row>
    <row r="3197" spans="1:14" ht="15" customHeight="1" x14ac:dyDescent="0.3">
      <c r="A3197" s="18" t="s">
        <v>6320</v>
      </c>
      <c r="B3197" s="19" t="s">
        <v>15</v>
      </c>
      <c r="C3197" s="18" t="s">
        <v>210</v>
      </c>
      <c r="D3197" s="18" t="s">
        <v>17</v>
      </c>
      <c r="E3197" s="18" t="s">
        <v>18</v>
      </c>
      <c r="F3197" s="18" t="s">
        <v>1072</v>
      </c>
      <c r="G3197" s="18" t="s">
        <v>47</v>
      </c>
      <c r="H3197" s="18" t="s">
        <v>6322</v>
      </c>
      <c r="I3197" s="20" t="s">
        <v>6330</v>
      </c>
      <c r="J3197" s="18" t="s">
        <v>30</v>
      </c>
      <c r="K3197" s="18" t="s">
        <v>24</v>
      </c>
      <c r="L3197" s="18" t="s">
        <v>25</v>
      </c>
      <c r="N3197" s="18" t="s">
        <v>26</v>
      </c>
    </row>
    <row r="3198" spans="1:14" ht="15" customHeight="1" x14ac:dyDescent="0.3">
      <c r="A3198" s="18" t="s">
        <v>6320</v>
      </c>
      <c r="B3198" s="19" t="s">
        <v>15</v>
      </c>
      <c r="C3198" s="18" t="s">
        <v>210</v>
      </c>
      <c r="D3198" s="18" t="s">
        <v>17</v>
      </c>
      <c r="E3198" s="18" t="s">
        <v>18</v>
      </c>
      <c r="F3198" s="18" t="s">
        <v>6331</v>
      </c>
      <c r="G3198" s="18" t="s">
        <v>1059</v>
      </c>
      <c r="H3198" s="18" t="s">
        <v>6322</v>
      </c>
      <c r="I3198" s="20" t="s">
        <v>6332</v>
      </c>
      <c r="J3198" s="18" t="s">
        <v>30</v>
      </c>
      <c r="K3198" s="18" t="s">
        <v>24</v>
      </c>
      <c r="L3198" s="18" t="s">
        <v>25</v>
      </c>
      <c r="N3198" s="18" t="s">
        <v>26</v>
      </c>
    </row>
    <row r="3199" spans="1:14" ht="15" customHeight="1" x14ac:dyDescent="0.3">
      <c r="A3199" s="18" t="s">
        <v>6320</v>
      </c>
      <c r="B3199" s="19" t="s">
        <v>15</v>
      </c>
      <c r="C3199" s="18" t="s">
        <v>210</v>
      </c>
      <c r="D3199" s="18" t="s">
        <v>17</v>
      </c>
      <c r="E3199" s="18" t="s">
        <v>18</v>
      </c>
      <c r="F3199" s="18" t="s">
        <v>40</v>
      </c>
      <c r="G3199" s="18" t="s">
        <v>41</v>
      </c>
      <c r="H3199" s="18" t="s">
        <v>6322</v>
      </c>
      <c r="I3199" s="20" t="s">
        <v>6333</v>
      </c>
      <c r="J3199" s="18" t="s">
        <v>30</v>
      </c>
      <c r="K3199" s="18" t="s">
        <v>24</v>
      </c>
      <c r="L3199" s="18" t="s">
        <v>25</v>
      </c>
      <c r="N3199" s="18" t="s">
        <v>26</v>
      </c>
    </row>
    <row r="3200" spans="1:14" ht="15" customHeight="1" x14ac:dyDescent="0.3">
      <c r="A3200" s="18" t="s">
        <v>6320</v>
      </c>
      <c r="B3200" s="19" t="s">
        <v>15</v>
      </c>
      <c r="C3200" s="18" t="s">
        <v>210</v>
      </c>
      <c r="D3200" s="18" t="s">
        <v>17</v>
      </c>
      <c r="E3200" s="18" t="s">
        <v>18</v>
      </c>
      <c r="F3200" s="18" t="s">
        <v>3997</v>
      </c>
      <c r="G3200" s="18" t="s">
        <v>41</v>
      </c>
      <c r="H3200" s="18" t="s">
        <v>6322</v>
      </c>
      <c r="I3200" s="20" t="s">
        <v>6334</v>
      </c>
      <c r="J3200" s="18" t="s">
        <v>30</v>
      </c>
      <c r="K3200" s="18" t="s">
        <v>24</v>
      </c>
      <c r="L3200" s="18" t="s">
        <v>25</v>
      </c>
      <c r="N3200" s="18" t="s">
        <v>26</v>
      </c>
    </row>
    <row r="3201" spans="1:14" ht="15" customHeight="1" x14ac:dyDescent="0.3">
      <c r="A3201" s="18" t="s">
        <v>6320</v>
      </c>
      <c r="B3201" s="19" t="s">
        <v>15</v>
      </c>
      <c r="C3201" s="18" t="s">
        <v>210</v>
      </c>
      <c r="D3201" s="18" t="s">
        <v>17</v>
      </c>
      <c r="E3201" s="18" t="s">
        <v>18</v>
      </c>
      <c r="F3201" s="18" t="s">
        <v>6250</v>
      </c>
      <c r="G3201" s="18" t="s">
        <v>197</v>
      </c>
      <c r="H3201" s="18" t="s">
        <v>6322</v>
      </c>
      <c r="I3201" s="20" t="s">
        <v>6335</v>
      </c>
      <c r="J3201" s="18" t="s">
        <v>30</v>
      </c>
      <c r="K3201" s="18" t="s">
        <v>24</v>
      </c>
      <c r="L3201" s="18" t="s">
        <v>25</v>
      </c>
      <c r="N3201" s="18" t="s">
        <v>26</v>
      </c>
    </row>
    <row r="3202" spans="1:14" ht="15" customHeight="1" x14ac:dyDescent="0.3">
      <c r="A3202" s="18" t="s">
        <v>6320</v>
      </c>
      <c r="B3202" s="19" t="s">
        <v>15</v>
      </c>
      <c r="C3202" s="18" t="s">
        <v>210</v>
      </c>
      <c r="D3202" s="18" t="s">
        <v>17</v>
      </c>
      <c r="E3202" s="18" t="s">
        <v>18</v>
      </c>
      <c r="F3202" s="18" t="s">
        <v>1577</v>
      </c>
      <c r="G3202" s="18" t="s">
        <v>41</v>
      </c>
      <c r="H3202" s="18" t="s">
        <v>6322</v>
      </c>
      <c r="I3202" s="20" t="s">
        <v>6336</v>
      </c>
      <c r="J3202" s="18" t="s">
        <v>30</v>
      </c>
      <c r="K3202" s="18" t="s">
        <v>24</v>
      </c>
      <c r="L3202" s="18" t="s">
        <v>25</v>
      </c>
      <c r="N3202" s="18" t="s">
        <v>26</v>
      </c>
    </row>
    <row r="3203" spans="1:14" ht="15" customHeight="1" x14ac:dyDescent="0.3">
      <c r="A3203" s="18" t="s">
        <v>6320</v>
      </c>
      <c r="B3203" s="19" t="s">
        <v>15</v>
      </c>
      <c r="C3203" s="18" t="s">
        <v>210</v>
      </c>
      <c r="D3203" s="18" t="s">
        <v>17</v>
      </c>
      <c r="E3203" s="18" t="s">
        <v>18</v>
      </c>
      <c r="F3203" s="18" t="s">
        <v>1492</v>
      </c>
      <c r="G3203" s="18" t="s">
        <v>47</v>
      </c>
      <c r="H3203" s="18" t="s">
        <v>6322</v>
      </c>
      <c r="I3203" s="20" t="s">
        <v>6337</v>
      </c>
      <c r="J3203" s="18" t="s">
        <v>30</v>
      </c>
      <c r="K3203" s="18" t="s">
        <v>24</v>
      </c>
      <c r="L3203" s="18" t="s">
        <v>25</v>
      </c>
      <c r="N3203" s="18" t="s">
        <v>26</v>
      </c>
    </row>
    <row r="3204" spans="1:14" ht="15" customHeight="1" x14ac:dyDescent="0.3">
      <c r="A3204" s="18" t="s">
        <v>6320</v>
      </c>
      <c r="B3204" s="19" t="s">
        <v>15</v>
      </c>
      <c r="C3204" s="18" t="s">
        <v>210</v>
      </c>
      <c r="D3204" s="18" t="s">
        <v>17</v>
      </c>
      <c r="E3204" s="18" t="s">
        <v>18</v>
      </c>
      <c r="F3204" s="18" t="s">
        <v>340</v>
      </c>
      <c r="G3204" s="18" t="s">
        <v>340</v>
      </c>
      <c r="H3204" s="18" t="s">
        <v>6322</v>
      </c>
      <c r="I3204" s="20" t="s">
        <v>6338</v>
      </c>
      <c r="J3204" s="18" t="s">
        <v>30</v>
      </c>
      <c r="K3204" s="18" t="s">
        <v>24</v>
      </c>
      <c r="L3204" s="18" t="s">
        <v>25</v>
      </c>
      <c r="N3204" s="18" t="s">
        <v>26</v>
      </c>
    </row>
    <row r="3205" spans="1:14" ht="15" customHeight="1" x14ac:dyDescent="0.3">
      <c r="A3205" s="18" t="s">
        <v>6320</v>
      </c>
      <c r="B3205" s="19" t="s">
        <v>15</v>
      </c>
      <c r="C3205" s="18" t="s">
        <v>210</v>
      </c>
      <c r="D3205" s="18" t="s">
        <v>17</v>
      </c>
      <c r="E3205" s="18" t="s">
        <v>18</v>
      </c>
      <c r="F3205" s="18" t="s">
        <v>6339</v>
      </c>
      <c r="G3205" s="18" t="s">
        <v>1059</v>
      </c>
      <c r="H3205" s="18" t="s">
        <v>6322</v>
      </c>
      <c r="I3205" s="20" t="s">
        <v>6340</v>
      </c>
      <c r="J3205" s="18" t="s">
        <v>30</v>
      </c>
      <c r="K3205" s="18" t="s">
        <v>24</v>
      </c>
      <c r="L3205" s="18" t="s">
        <v>25</v>
      </c>
      <c r="N3205" s="18" t="s">
        <v>26</v>
      </c>
    </row>
    <row r="3206" spans="1:14" ht="15" customHeight="1" x14ac:dyDescent="0.3">
      <c r="A3206" s="18" t="s">
        <v>6320</v>
      </c>
      <c r="B3206" s="19" t="s">
        <v>15</v>
      </c>
      <c r="C3206" s="18" t="s">
        <v>210</v>
      </c>
      <c r="D3206" s="18" t="s">
        <v>17</v>
      </c>
      <c r="E3206" s="18" t="s">
        <v>55</v>
      </c>
      <c r="F3206" s="18" t="s">
        <v>4847</v>
      </c>
      <c r="G3206" s="18" t="s">
        <v>207</v>
      </c>
      <c r="H3206" s="18" t="s">
        <v>6322</v>
      </c>
      <c r="I3206" s="20" t="s">
        <v>6341</v>
      </c>
      <c r="J3206" s="18" t="s">
        <v>58</v>
      </c>
      <c r="K3206" s="18" t="s">
        <v>24</v>
      </c>
      <c r="L3206" s="18" t="s">
        <v>25</v>
      </c>
      <c r="N3206" s="18" t="s">
        <v>26</v>
      </c>
    </row>
    <row r="3207" spans="1:14" ht="15" customHeight="1" x14ac:dyDescent="0.3">
      <c r="A3207" s="18" t="s">
        <v>6320</v>
      </c>
      <c r="B3207" s="19" t="s">
        <v>15</v>
      </c>
      <c r="C3207" s="18" t="s">
        <v>210</v>
      </c>
      <c r="D3207" s="18" t="s">
        <v>17</v>
      </c>
      <c r="E3207" s="18" t="s">
        <v>55</v>
      </c>
      <c r="F3207" s="18" t="s">
        <v>619</v>
      </c>
      <c r="G3207" s="18" t="s">
        <v>619</v>
      </c>
      <c r="H3207" s="18" t="s">
        <v>6342</v>
      </c>
      <c r="I3207" s="20" t="s">
        <v>6343</v>
      </c>
      <c r="J3207" s="18" t="s">
        <v>58</v>
      </c>
      <c r="K3207" s="18" t="s">
        <v>24</v>
      </c>
      <c r="L3207" s="18" t="s">
        <v>25</v>
      </c>
      <c r="N3207" s="18" t="s">
        <v>26</v>
      </c>
    </row>
    <row r="3208" spans="1:14" ht="15" customHeight="1" x14ac:dyDescent="0.3">
      <c r="A3208" s="18" t="s">
        <v>6320</v>
      </c>
      <c r="B3208" s="19" t="s">
        <v>15</v>
      </c>
      <c r="C3208" s="18" t="s">
        <v>210</v>
      </c>
      <c r="D3208" s="18" t="s">
        <v>17</v>
      </c>
      <c r="E3208" s="18" t="s">
        <v>55</v>
      </c>
      <c r="F3208" s="18" t="s">
        <v>6344</v>
      </c>
      <c r="G3208" s="18" t="s">
        <v>619</v>
      </c>
      <c r="H3208" s="18" t="s">
        <v>6342</v>
      </c>
      <c r="I3208" s="20" t="s">
        <v>6345</v>
      </c>
      <c r="J3208" s="18" t="s">
        <v>58</v>
      </c>
      <c r="K3208" s="18" t="s">
        <v>24</v>
      </c>
      <c r="L3208" s="18" t="s">
        <v>25</v>
      </c>
      <c r="N3208" s="18" t="s">
        <v>26</v>
      </c>
    </row>
    <row r="3209" spans="1:14" ht="15" customHeight="1" x14ac:dyDescent="0.3">
      <c r="A3209" s="18" t="s">
        <v>6320</v>
      </c>
      <c r="B3209" s="19" t="s">
        <v>15</v>
      </c>
      <c r="C3209" s="18" t="s">
        <v>210</v>
      </c>
      <c r="D3209" s="18" t="s">
        <v>17</v>
      </c>
      <c r="E3209" s="18" t="s">
        <v>55</v>
      </c>
      <c r="F3209" s="18" t="s">
        <v>6346</v>
      </c>
      <c r="G3209" s="18" t="s">
        <v>1075</v>
      </c>
      <c r="H3209" s="18" t="s">
        <v>6347</v>
      </c>
      <c r="I3209" s="20" t="s">
        <v>6348</v>
      </c>
      <c r="J3209" s="18" t="s">
        <v>58</v>
      </c>
      <c r="K3209" s="18" t="s">
        <v>24</v>
      </c>
      <c r="L3209" s="18" t="s">
        <v>25</v>
      </c>
      <c r="N3209" s="18" t="s">
        <v>26</v>
      </c>
    </row>
    <row r="3210" spans="1:14" ht="15" customHeight="1" x14ac:dyDescent="0.3">
      <c r="A3210" s="18" t="s">
        <v>6320</v>
      </c>
      <c r="B3210" s="19" t="s">
        <v>15</v>
      </c>
      <c r="C3210" s="18" t="s">
        <v>210</v>
      </c>
      <c r="D3210" s="18" t="s">
        <v>17</v>
      </c>
      <c r="E3210" s="18" t="s">
        <v>55</v>
      </c>
      <c r="F3210" s="18" t="s">
        <v>1450</v>
      </c>
      <c r="G3210" s="18" t="s">
        <v>41</v>
      </c>
      <c r="H3210" s="18" t="s">
        <v>6349</v>
      </c>
      <c r="I3210" s="20" t="s">
        <v>6350</v>
      </c>
      <c r="J3210" s="18" t="s">
        <v>58</v>
      </c>
      <c r="K3210" s="18" t="s">
        <v>24</v>
      </c>
      <c r="L3210" s="18" t="s">
        <v>25</v>
      </c>
      <c r="N3210" s="18" t="s">
        <v>26</v>
      </c>
    </row>
    <row r="3211" spans="1:14" ht="15" customHeight="1" x14ac:dyDescent="0.3">
      <c r="A3211" s="18" t="s">
        <v>6320</v>
      </c>
      <c r="B3211" s="19" t="s">
        <v>15</v>
      </c>
      <c r="C3211" s="18" t="s">
        <v>210</v>
      </c>
      <c r="D3211" s="18" t="s">
        <v>17</v>
      </c>
      <c r="E3211" s="18" t="s">
        <v>55</v>
      </c>
      <c r="F3211" s="18" t="s">
        <v>6351</v>
      </c>
      <c r="G3211" s="18" t="s">
        <v>197</v>
      </c>
      <c r="H3211" s="18" t="s">
        <v>6352</v>
      </c>
      <c r="I3211" s="20" t="s">
        <v>6353</v>
      </c>
      <c r="J3211" s="18" t="s">
        <v>58</v>
      </c>
      <c r="K3211" s="18" t="s">
        <v>24</v>
      </c>
      <c r="L3211" s="18" t="s">
        <v>25</v>
      </c>
      <c r="N3211" s="18" t="s">
        <v>26</v>
      </c>
    </row>
    <row r="3212" spans="1:14" ht="15" customHeight="1" x14ac:dyDescent="0.3">
      <c r="A3212" s="18" t="s">
        <v>6320</v>
      </c>
      <c r="B3212" s="19" t="s">
        <v>15</v>
      </c>
      <c r="C3212" s="18" t="s">
        <v>210</v>
      </c>
      <c r="D3212" s="18" t="s">
        <v>17</v>
      </c>
      <c r="E3212" s="18" t="s">
        <v>55</v>
      </c>
      <c r="F3212" s="18" t="s">
        <v>6354</v>
      </c>
      <c r="G3212" s="18" t="s">
        <v>340</v>
      </c>
      <c r="H3212" s="18" t="s">
        <v>6355</v>
      </c>
      <c r="I3212" s="20" t="s">
        <v>6356</v>
      </c>
      <c r="J3212" s="18" t="s">
        <v>58</v>
      </c>
      <c r="K3212" s="18" t="s">
        <v>24</v>
      </c>
      <c r="L3212" s="18" t="s">
        <v>25</v>
      </c>
      <c r="N3212" s="18" t="s">
        <v>26</v>
      </c>
    </row>
    <row r="3213" spans="1:14" ht="15" customHeight="1" x14ac:dyDescent="0.3">
      <c r="A3213" s="18" t="s">
        <v>6320</v>
      </c>
      <c r="B3213" s="19" t="s">
        <v>15</v>
      </c>
      <c r="C3213" s="18" t="s">
        <v>210</v>
      </c>
      <c r="D3213" s="18" t="s">
        <v>17</v>
      </c>
      <c r="E3213" s="18" t="s">
        <v>55</v>
      </c>
      <c r="F3213" s="18" t="s">
        <v>6357</v>
      </c>
      <c r="G3213" s="18" t="s">
        <v>340</v>
      </c>
      <c r="H3213" s="18" t="s">
        <v>6355</v>
      </c>
      <c r="I3213" s="20" t="s">
        <v>6358</v>
      </c>
      <c r="J3213" s="18" t="s">
        <v>58</v>
      </c>
      <c r="K3213" s="18" t="s">
        <v>24</v>
      </c>
      <c r="L3213" s="18" t="s">
        <v>25</v>
      </c>
      <c r="N3213" s="18" t="s">
        <v>26</v>
      </c>
    </row>
    <row r="3214" spans="1:14" ht="15" customHeight="1" x14ac:dyDescent="0.3">
      <c r="A3214" s="18" t="s">
        <v>6320</v>
      </c>
      <c r="B3214" s="19" t="s">
        <v>15</v>
      </c>
      <c r="C3214" s="18" t="s">
        <v>210</v>
      </c>
      <c r="D3214" s="18" t="s">
        <v>17</v>
      </c>
      <c r="E3214" s="18" t="s">
        <v>55</v>
      </c>
      <c r="F3214" s="18" t="s">
        <v>6339</v>
      </c>
      <c r="G3214" s="18" t="s">
        <v>1059</v>
      </c>
      <c r="H3214" s="18" t="s">
        <v>6359</v>
      </c>
      <c r="I3214" s="20" t="s">
        <v>6360</v>
      </c>
      <c r="J3214" s="18" t="s">
        <v>58</v>
      </c>
      <c r="K3214" s="18" t="s">
        <v>24</v>
      </c>
      <c r="L3214" s="18" t="s">
        <v>25</v>
      </c>
      <c r="N3214" s="18" t="s">
        <v>26</v>
      </c>
    </row>
    <row r="3215" spans="1:14" ht="15" customHeight="1" x14ac:dyDescent="0.3">
      <c r="A3215" s="18" t="s">
        <v>6320</v>
      </c>
      <c r="B3215" s="19" t="s">
        <v>15</v>
      </c>
      <c r="C3215" s="18" t="s">
        <v>210</v>
      </c>
      <c r="D3215" s="18" t="s">
        <v>17</v>
      </c>
      <c r="E3215" s="18" t="s">
        <v>171</v>
      </c>
      <c r="F3215" s="18" t="s">
        <v>172</v>
      </c>
      <c r="G3215" s="18" t="s">
        <v>173</v>
      </c>
      <c r="H3215" s="18" t="s">
        <v>6322</v>
      </c>
      <c r="I3215" s="20" t="s">
        <v>6361</v>
      </c>
      <c r="J3215" s="18" t="s">
        <v>175</v>
      </c>
      <c r="K3215" s="18" t="s">
        <v>24</v>
      </c>
      <c r="L3215" s="18" t="s">
        <v>25</v>
      </c>
      <c r="N3215" s="18" t="s">
        <v>26</v>
      </c>
    </row>
    <row r="3216" spans="1:14" ht="15" customHeight="1" x14ac:dyDescent="0.3">
      <c r="A3216" s="18" t="s">
        <v>6320</v>
      </c>
      <c r="B3216" s="19" t="s">
        <v>15</v>
      </c>
      <c r="C3216" s="18" t="s">
        <v>210</v>
      </c>
      <c r="D3216" s="18" t="s">
        <v>17</v>
      </c>
      <c r="E3216" s="18" t="s">
        <v>74</v>
      </c>
      <c r="F3216" s="18" t="s">
        <v>1597</v>
      </c>
      <c r="G3216" s="18" t="s">
        <v>47</v>
      </c>
      <c r="H3216" s="18" t="s">
        <v>6362</v>
      </c>
      <c r="I3216" s="20" t="s">
        <v>6363</v>
      </c>
      <c r="J3216" s="18" t="s">
        <v>1599</v>
      </c>
      <c r="K3216" s="18" t="s">
        <v>91</v>
      </c>
      <c r="L3216" s="18" t="s">
        <v>25</v>
      </c>
      <c r="N3216" s="18" t="s">
        <v>26</v>
      </c>
    </row>
    <row r="3217" spans="1:14" ht="15" customHeight="1" x14ac:dyDescent="0.3">
      <c r="A3217" s="18" t="s">
        <v>6320</v>
      </c>
      <c r="B3217" s="19" t="s">
        <v>15</v>
      </c>
      <c r="C3217" s="18" t="s">
        <v>210</v>
      </c>
      <c r="D3217" s="18" t="s">
        <v>17</v>
      </c>
      <c r="E3217" s="18" t="s">
        <v>74</v>
      </c>
      <c r="F3217" s="18" t="s">
        <v>6364</v>
      </c>
      <c r="G3217" s="18" t="s">
        <v>207</v>
      </c>
      <c r="H3217" s="18" t="s">
        <v>6365</v>
      </c>
      <c r="I3217" s="20" t="s">
        <v>6366</v>
      </c>
      <c r="J3217" s="18" t="s">
        <v>394</v>
      </c>
      <c r="K3217" s="18" t="s">
        <v>293</v>
      </c>
      <c r="L3217" s="18" t="s">
        <v>25</v>
      </c>
      <c r="N3217" s="18" t="s">
        <v>26</v>
      </c>
    </row>
    <row r="3218" spans="1:14" ht="15" customHeight="1" x14ac:dyDescent="0.3">
      <c r="A3218" s="18" t="s">
        <v>6320</v>
      </c>
      <c r="B3218" s="19" t="s">
        <v>15</v>
      </c>
      <c r="C3218" s="18" t="s">
        <v>210</v>
      </c>
      <c r="D3218" s="18" t="s">
        <v>17</v>
      </c>
      <c r="E3218" s="18" t="s">
        <v>74</v>
      </c>
      <c r="F3218" s="18" t="s">
        <v>6367</v>
      </c>
      <c r="G3218" s="18" t="s">
        <v>47</v>
      </c>
      <c r="H3218" s="18" t="s">
        <v>6368</v>
      </c>
      <c r="I3218" s="20" t="s">
        <v>6369</v>
      </c>
      <c r="J3218" s="18" t="s">
        <v>6370</v>
      </c>
      <c r="K3218" s="18" t="s">
        <v>24</v>
      </c>
      <c r="L3218" s="18" t="s">
        <v>25</v>
      </c>
      <c r="N3218" s="18" t="s">
        <v>26</v>
      </c>
    </row>
    <row r="3219" spans="1:14" ht="15" customHeight="1" x14ac:dyDescent="0.3">
      <c r="A3219" s="18" t="s">
        <v>6320</v>
      </c>
      <c r="B3219" s="19" t="s">
        <v>15</v>
      </c>
      <c r="C3219" s="18" t="s">
        <v>210</v>
      </c>
      <c r="D3219" s="18" t="s">
        <v>17</v>
      </c>
      <c r="E3219" s="18" t="s">
        <v>226</v>
      </c>
      <c r="F3219" s="18" t="s">
        <v>6371</v>
      </c>
      <c r="G3219" s="18" t="s">
        <v>47</v>
      </c>
      <c r="H3219" s="18" t="s">
        <v>6362</v>
      </c>
      <c r="I3219" s="20" t="s">
        <v>6372</v>
      </c>
      <c r="J3219" s="18" t="s">
        <v>199</v>
      </c>
      <c r="K3219" s="18" t="s">
        <v>293</v>
      </c>
      <c r="L3219" s="18" t="s">
        <v>25</v>
      </c>
      <c r="N3219" s="18" t="s">
        <v>26</v>
      </c>
    </row>
    <row r="3220" spans="1:14" ht="15" customHeight="1" x14ac:dyDescent="0.3">
      <c r="A3220" s="18" t="s">
        <v>6320</v>
      </c>
      <c r="B3220" s="19" t="s">
        <v>15</v>
      </c>
      <c r="C3220" s="18" t="s">
        <v>210</v>
      </c>
      <c r="D3220" s="18" t="s">
        <v>17</v>
      </c>
      <c r="E3220" s="18" t="s">
        <v>226</v>
      </c>
      <c r="F3220" s="18" t="s">
        <v>6373</v>
      </c>
      <c r="G3220" s="18" t="s">
        <v>41</v>
      </c>
      <c r="H3220" s="18" t="s">
        <v>6368</v>
      </c>
      <c r="I3220" s="20" t="s">
        <v>6374</v>
      </c>
      <c r="J3220" s="18" t="s">
        <v>394</v>
      </c>
      <c r="K3220" s="18" t="s">
        <v>293</v>
      </c>
      <c r="L3220" s="18" t="s">
        <v>25</v>
      </c>
      <c r="N3220" s="18" t="s">
        <v>26</v>
      </c>
    </row>
    <row r="3221" spans="1:14" ht="15" customHeight="1" x14ac:dyDescent="0.3">
      <c r="A3221" s="18" t="s">
        <v>6320</v>
      </c>
      <c r="B3221" s="19" t="s">
        <v>15</v>
      </c>
      <c r="C3221" s="18" t="s">
        <v>210</v>
      </c>
      <c r="D3221" s="18" t="s">
        <v>17</v>
      </c>
      <c r="E3221" s="18" t="s">
        <v>226</v>
      </c>
      <c r="F3221" s="18" t="s">
        <v>6375</v>
      </c>
      <c r="G3221" s="18" t="s">
        <v>41</v>
      </c>
      <c r="H3221" s="18" t="s">
        <v>6368</v>
      </c>
      <c r="I3221" s="20" t="s">
        <v>6376</v>
      </c>
      <c r="J3221" s="18" t="s">
        <v>6377</v>
      </c>
      <c r="K3221" s="18" t="s">
        <v>293</v>
      </c>
      <c r="L3221" s="18" t="s">
        <v>25</v>
      </c>
      <c r="N3221" s="18" t="s">
        <v>26</v>
      </c>
    </row>
    <row r="3222" spans="1:14" ht="15" customHeight="1" x14ac:dyDescent="0.3">
      <c r="A3222" s="18" t="s">
        <v>6378</v>
      </c>
      <c r="B3222" s="19" t="s">
        <v>15</v>
      </c>
      <c r="C3222" s="18" t="s">
        <v>210</v>
      </c>
      <c r="D3222" s="18" t="s">
        <v>17</v>
      </c>
      <c r="E3222" s="18" t="s">
        <v>18</v>
      </c>
      <c r="F3222" s="18" t="s">
        <v>6379</v>
      </c>
      <c r="G3222" s="18" t="s">
        <v>41</v>
      </c>
      <c r="H3222" s="18" t="s">
        <v>6380</v>
      </c>
      <c r="I3222" s="20" t="s">
        <v>6381</v>
      </c>
      <c r="J3222" s="18" t="s">
        <v>30</v>
      </c>
      <c r="K3222" s="18" t="s">
        <v>24</v>
      </c>
      <c r="L3222" s="18" t="s">
        <v>25</v>
      </c>
      <c r="N3222" s="18" t="s">
        <v>26</v>
      </c>
    </row>
    <row r="3223" spans="1:14" ht="15" customHeight="1" x14ac:dyDescent="0.3">
      <c r="A3223" s="18" t="s">
        <v>6378</v>
      </c>
      <c r="B3223" s="19" t="s">
        <v>15</v>
      </c>
      <c r="C3223" s="18" t="s">
        <v>210</v>
      </c>
      <c r="D3223" s="18" t="s">
        <v>17</v>
      </c>
      <c r="E3223" s="18" t="s">
        <v>18</v>
      </c>
      <c r="F3223" s="18" t="s">
        <v>6382</v>
      </c>
      <c r="G3223" s="18" t="s">
        <v>41</v>
      </c>
      <c r="H3223" s="18" t="s">
        <v>6383</v>
      </c>
      <c r="I3223" s="20" t="s">
        <v>6384</v>
      </c>
      <c r="J3223" s="18" t="s">
        <v>30</v>
      </c>
      <c r="K3223" s="18" t="s">
        <v>24</v>
      </c>
      <c r="L3223" s="18" t="s">
        <v>25</v>
      </c>
      <c r="N3223" s="18" t="s">
        <v>26</v>
      </c>
    </row>
    <row r="3224" spans="1:14" ht="15" customHeight="1" x14ac:dyDescent="0.3">
      <c r="A3224" s="18" t="s">
        <v>6378</v>
      </c>
      <c r="B3224" s="19" t="s">
        <v>15</v>
      </c>
      <c r="C3224" s="18" t="s">
        <v>149</v>
      </c>
      <c r="D3224" s="18" t="s">
        <v>17</v>
      </c>
      <c r="E3224" s="18" t="s">
        <v>18</v>
      </c>
      <c r="F3224" s="18" t="s">
        <v>6385</v>
      </c>
      <c r="G3224" s="18" t="s">
        <v>151</v>
      </c>
      <c r="H3224" s="18" t="s">
        <v>6386</v>
      </c>
      <c r="I3224" s="20" t="s">
        <v>6387</v>
      </c>
      <c r="J3224" s="18" t="s">
        <v>30</v>
      </c>
      <c r="K3224" s="18" t="s">
        <v>24</v>
      </c>
      <c r="L3224" s="18" t="s">
        <v>25</v>
      </c>
      <c r="N3224" s="18" t="s">
        <v>154</v>
      </c>
    </row>
    <row r="3225" spans="1:14" ht="15" customHeight="1" x14ac:dyDescent="0.3">
      <c r="A3225" s="18" t="s">
        <v>6378</v>
      </c>
      <c r="B3225" s="19" t="s">
        <v>15</v>
      </c>
      <c r="C3225" s="18" t="s">
        <v>149</v>
      </c>
      <c r="D3225" s="18" t="s">
        <v>17</v>
      </c>
      <c r="E3225" s="18" t="s">
        <v>18</v>
      </c>
      <c r="F3225" s="18" t="s">
        <v>1237</v>
      </c>
      <c r="G3225" s="18" t="s">
        <v>606</v>
      </c>
      <c r="H3225" s="18" t="s">
        <v>6388</v>
      </c>
      <c r="I3225" s="20" t="s">
        <v>6389</v>
      </c>
      <c r="J3225" s="18" t="s">
        <v>30</v>
      </c>
      <c r="K3225" s="18" t="s">
        <v>24</v>
      </c>
      <c r="L3225" s="18" t="s">
        <v>25</v>
      </c>
      <c r="N3225" s="18" t="s">
        <v>154</v>
      </c>
    </row>
    <row r="3226" spans="1:14" ht="15" customHeight="1" x14ac:dyDescent="0.3">
      <c r="A3226" s="18" t="s">
        <v>6378</v>
      </c>
      <c r="B3226" s="19" t="s">
        <v>15</v>
      </c>
      <c r="C3226" s="18" t="s">
        <v>149</v>
      </c>
      <c r="D3226" s="18" t="s">
        <v>17</v>
      </c>
      <c r="E3226" s="18" t="s">
        <v>18</v>
      </c>
      <c r="F3226" s="18" t="s">
        <v>3465</v>
      </c>
      <c r="G3226" s="18" t="s">
        <v>1291</v>
      </c>
      <c r="H3226" s="18" t="s">
        <v>6386</v>
      </c>
      <c r="I3226" s="20" t="s">
        <v>6390</v>
      </c>
      <c r="J3226" s="18" t="s">
        <v>30</v>
      </c>
      <c r="K3226" s="18" t="s">
        <v>24</v>
      </c>
      <c r="L3226" s="18" t="s">
        <v>25</v>
      </c>
      <c r="N3226" s="18" t="s">
        <v>154</v>
      </c>
    </row>
    <row r="3227" spans="1:14" ht="15" customHeight="1" x14ac:dyDescent="0.3">
      <c r="A3227" s="18" t="s">
        <v>6378</v>
      </c>
      <c r="B3227" s="19" t="s">
        <v>15</v>
      </c>
      <c r="C3227" s="18" t="s">
        <v>210</v>
      </c>
      <c r="D3227" s="18" t="s">
        <v>17</v>
      </c>
      <c r="E3227" s="18" t="s">
        <v>18</v>
      </c>
      <c r="F3227" s="18" t="s">
        <v>6391</v>
      </c>
      <c r="G3227" s="18" t="s">
        <v>1059</v>
      </c>
      <c r="H3227" s="18" t="s">
        <v>6392</v>
      </c>
      <c r="I3227" s="20" t="s">
        <v>6393</v>
      </c>
      <c r="J3227" s="18" t="s">
        <v>30</v>
      </c>
      <c r="K3227" s="18" t="s">
        <v>24</v>
      </c>
      <c r="L3227" s="18" t="s">
        <v>25</v>
      </c>
      <c r="N3227" s="18" t="s">
        <v>26</v>
      </c>
    </row>
    <row r="3228" spans="1:14" ht="15" customHeight="1" x14ac:dyDescent="0.3">
      <c r="A3228" s="18" t="s">
        <v>6378</v>
      </c>
      <c r="B3228" s="19" t="s">
        <v>15</v>
      </c>
      <c r="C3228" s="18" t="s">
        <v>442</v>
      </c>
      <c r="D3228" s="18" t="s">
        <v>17</v>
      </c>
      <c r="E3228" s="18" t="s">
        <v>18</v>
      </c>
      <c r="F3228" s="18" t="s">
        <v>6394</v>
      </c>
      <c r="G3228" s="18" t="s">
        <v>47</v>
      </c>
      <c r="H3228" s="18" t="s">
        <v>6395</v>
      </c>
      <c r="I3228" s="20" t="s">
        <v>6396</v>
      </c>
      <c r="J3228" s="18" t="s">
        <v>30</v>
      </c>
      <c r="K3228" s="18" t="s">
        <v>24</v>
      </c>
      <c r="L3228" s="18" t="s">
        <v>25</v>
      </c>
      <c r="N3228" s="18" t="s">
        <v>154</v>
      </c>
    </row>
    <row r="3229" spans="1:14" ht="15" customHeight="1" x14ac:dyDescent="0.3">
      <c r="A3229" s="18" t="s">
        <v>6378</v>
      </c>
      <c r="B3229" s="19" t="s">
        <v>15</v>
      </c>
      <c r="C3229" s="18" t="s">
        <v>442</v>
      </c>
      <c r="D3229" s="18" t="s">
        <v>17</v>
      </c>
      <c r="E3229" s="18" t="s">
        <v>18</v>
      </c>
      <c r="F3229" s="18" t="s">
        <v>6397</v>
      </c>
      <c r="G3229" s="18" t="s">
        <v>47</v>
      </c>
      <c r="H3229" s="18" t="s">
        <v>6398</v>
      </c>
      <c r="I3229" s="20" t="s">
        <v>6399</v>
      </c>
      <c r="J3229" s="18" t="s">
        <v>30</v>
      </c>
      <c r="K3229" s="18" t="s">
        <v>24</v>
      </c>
      <c r="L3229" s="18" t="s">
        <v>25</v>
      </c>
      <c r="N3229" s="18" t="s">
        <v>154</v>
      </c>
    </row>
    <row r="3230" spans="1:14" ht="15" customHeight="1" x14ac:dyDescent="0.3">
      <c r="A3230" s="18" t="s">
        <v>6378</v>
      </c>
      <c r="B3230" s="19" t="s">
        <v>15</v>
      </c>
      <c r="C3230" s="18" t="s">
        <v>3975</v>
      </c>
      <c r="D3230" s="18" t="s">
        <v>17</v>
      </c>
      <c r="E3230" s="18" t="s">
        <v>18</v>
      </c>
      <c r="F3230" s="18" t="s">
        <v>613</v>
      </c>
      <c r="G3230" s="18" t="s">
        <v>606</v>
      </c>
      <c r="H3230" s="18" t="s">
        <v>6400</v>
      </c>
      <c r="I3230" s="20" t="s">
        <v>6401</v>
      </c>
      <c r="J3230" s="18" t="s">
        <v>30</v>
      </c>
      <c r="K3230" s="18" t="s">
        <v>24</v>
      </c>
      <c r="L3230" s="18" t="s">
        <v>25</v>
      </c>
      <c r="N3230" s="18" t="s">
        <v>807</v>
      </c>
    </row>
    <row r="3231" spans="1:14" ht="15" customHeight="1" x14ac:dyDescent="0.3">
      <c r="A3231" s="18" t="s">
        <v>6378</v>
      </c>
      <c r="B3231" s="19" t="s">
        <v>15</v>
      </c>
      <c r="C3231" s="18" t="s">
        <v>442</v>
      </c>
      <c r="D3231" s="18" t="s">
        <v>17</v>
      </c>
      <c r="E3231" s="18" t="s">
        <v>18</v>
      </c>
      <c r="F3231" s="18" t="s">
        <v>6402</v>
      </c>
      <c r="G3231" s="18" t="s">
        <v>6403</v>
      </c>
      <c r="H3231" s="18" t="s">
        <v>6404</v>
      </c>
      <c r="I3231" s="20" t="s">
        <v>6405</v>
      </c>
      <c r="J3231" s="18" t="s">
        <v>30</v>
      </c>
      <c r="K3231" s="18" t="s">
        <v>24</v>
      </c>
      <c r="L3231" s="18" t="s">
        <v>25</v>
      </c>
      <c r="M3231" s="18" t="s">
        <v>39</v>
      </c>
      <c r="N3231" s="18" t="s">
        <v>154</v>
      </c>
    </row>
    <row r="3232" spans="1:14" ht="15" customHeight="1" x14ac:dyDescent="0.3">
      <c r="A3232" s="18" t="s">
        <v>6378</v>
      </c>
      <c r="B3232" s="19" t="s">
        <v>15</v>
      </c>
      <c r="C3232" s="18" t="s">
        <v>210</v>
      </c>
      <c r="D3232" s="18" t="s">
        <v>17</v>
      </c>
      <c r="E3232" s="18" t="s">
        <v>18</v>
      </c>
      <c r="F3232" s="18" t="s">
        <v>6406</v>
      </c>
      <c r="G3232" s="18" t="s">
        <v>6403</v>
      </c>
      <c r="H3232" s="18" t="s">
        <v>6407</v>
      </c>
      <c r="I3232" s="20" t="s">
        <v>6408</v>
      </c>
      <c r="J3232" s="18" t="s">
        <v>30</v>
      </c>
      <c r="K3232" s="18" t="s">
        <v>91</v>
      </c>
      <c r="L3232" s="18" t="s">
        <v>25</v>
      </c>
      <c r="N3232" s="18" t="s">
        <v>26</v>
      </c>
    </row>
    <row r="3233" spans="1:14" ht="15" customHeight="1" x14ac:dyDescent="0.3">
      <c r="A3233" s="18" t="s">
        <v>6378</v>
      </c>
      <c r="B3233" s="19" t="s">
        <v>15</v>
      </c>
      <c r="C3233" s="18" t="s">
        <v>442</v>
      </c>
      <c r="D3233" s="18" t="s">
        <v>17</v>
      </c>
      <c r="E3233" s="18" t="s">
        <v>18</v>
      </c>
      <c r="F3233" s="18" t="s">
        <v>6324</v>
      </c>
      <c r="G3233" s="18" t="s">
        <v>1340</v>
      </c>
      <c r="H3233" s="18" t="s">
        <v>6398</v>
      </c>
      <c r="I3233" s="20" t="s">
        <v>6409</v>
      </c>
      <c r="J3233" s="18" t="s">
        <v>30</v>
      </c>
      <c r="K3233" s="18" t="s">
        <v>24</v>
      </c>
      <c r="L3233" s="18" t="s">
        <v>25</v>
      </c>
      <c r="N3233" s="18" t="s">
        <v>154</v>
      </c>
    </row>
    <row r="3234" spans="1:14" ht="15" customHeight="1" x14ac:dyDescent="0.3">
      <c r="A3234" s="18" t="s">
        <v>6378</v>
      </c>
      <c r="B3234" s="19" t="s">
        <v>15</v>
      </c>
      <c r="C3234" s="18" t="s">
        <v>149</v>
      </c>
      <c r="D3234" s="18" t="s">
        <v>17</v>
      </c>
      <c r="E3234" s="18" t="s">
        <v>18</v>
      </c>
      <c r="F3234" s="18" t="s">
        <v>19</v>
      </c>
      <c r="G3234" s="18" t="s">
        <v>19</v>
      </c>
      <c r="H3234" s="18" t="s">
        <v>6388</v>
      </c>
      <c r="I3234" s="20" t="s">
        <v>6410</v>
      </c>
      <c r="J3234" s="18" t="s">
        <v>23</v>
      </c>
      <c r="K3234" s="18" t="s">
        <v>24</v>
      </c>
      <c r="L3234" s="18" t="s">
        <v>25</v>
      </c>
      <c r="N3234" s="18" t="s">
        <v>154</v>
      </c>
    </row>
    <row r="3235" spans="1:14" ht="15" customHeight="1" x14ac:dyDescent="0.3">
      <c r="A3235" s="18" t="s">
        <v>6378</v>
      </c>
      <c r="B3235" s="19" t="s">
        <v>15</v>
      </c>
      <c r="C3235" s="18" t="s">
        <v>149</v>
      </c>
      <c r="D3235" s="18" t="s">
        <v>17</v>
      </c>
      <c r="E3235" s="18" t="s">
        <v>18</v>
      </c>
      <c r="F3235" s="18" t="s">
        <v>6411</v>
      </c>
      <c r="G3235" s="18" t="s">
        <v>2396</v>
      </c>
      <c r="H3235" s="18" t="s">
        <v>6388</v>
      </c>
      <c r="I3235" s="20" t="s">
        <v>6412</v>
      </c>
      <c r="J3235" s="18" t="s">
        <v>30</v>
      </c>
      <c r="K3235" s="18" t="s">
        <v>24</v>
      </c>
      <c r="L3235" s="18" t="s">
        <v>25</v>
      </c>
      <c r="N3235" s="18" t="s">
        <v>154</v>
      </c>
    </row>
    <row r="3236" spans="1:14" ht="15" customHeight="1" x14ac:dyDescent="0.3">
      <c r="A3236" s="18" t="s">
        <v>6378</v>
      </c>
      <c r="B3236" s="19" t="s">
        <v>15</v>
      </c>
      <c r="C3236" s="18" t="s">
        <v>210</v>
      </c>
      <c r="D3236" s="18" t="s">
        <v>17</v>
      </c>
      <c r="E3236" s="18" t="s">
        <v>18</v>
      </c>
      <c r="F3236" s="18" t="s">
        <v>6413</v>
      </c>
      <c r="G3236" s="18" t="s">
        <v>1340</v>
      </c>
      <c r="H3236" s="18" t="s">
        <v>6414</v>
      </c>
      <c r="I3236" s="20" t="s">
        <v>6415</v>
      </c>
      <c r="J3236" s="18" t="s">
        <v>30</v>
      </c>
      <c r="K3236" s="18" t="s">
        <v>24</v>
      </c>
      <c r="L3236" s="18" t="s">
        <v>25</v>
      </c>
      <c r="N3236" s="18" t="s">
        <v>26</v>
      </c>
    </row>
    <row r="3237" spans="1:14" ht="15" customHeight="1" x14ac:dyDescent="0.3">
      <c r="A3237" s="18" t="s">
        <v>6378</v>
      </c>
      <c r="B3237" s="19" t="s">
        <v>15</v>
      </c>
      <c r="C3237" s="18" t="s">
        <v>149</v>
      </c>
      <c r="D3237" s="18" t="s">
        <v>17</v>
      </c>
      <c r="E3237" s="18" t="s">
        <v>18</v>
      </c>
      <c r="F3237" s="18" t="s">
        <v>619</v>
      </c>
      <c r="G3237" s="18" t="s">
        <v>619</v>
      </c>
      <c r="H3237" s="18" t="s">
        <v>6416</v>
      </c>
      <c r="I3237" s="20" t="s">
        <v>6417</v>
      </c>
      <c r="J3237" s="18" t="s">
        <v>23</v>
      </c>
      <c r="K3237" s="18" t="s">
        <v>24</v>
      </c>
      <c r="L3237" s="18" t="s">
        <v>25</v>
      </c>
      <c r="M3237" s="18" t="s">
        <v>39</v>
      </c>
      <c r="N3237" s="18" t="s">
        <v>154</v>
      </c>
    </row>
    <row r="3238" spans="1:14" ht="15" customHeight="1" x14ac:dyDescent="0.3">
      <c r="A3238" s="18" t="s">
        <v>6378</v>
      </c>
      <c r="B3238" s="19" t="s">
        <v>15</v>
      </c>
      <c r="C3238" s="18" t="s">
        <v>210</v>
      </c>
      <c r="D3238" s="18" t="s">
        <v>17</v>
      </c>
      <c r="E3238" s="18" t="s">
        <v>18</v>
      </c>
      <c r="F3238" s="18" t="s">
        <v>1069</v>
      </c>
      <c r="G3238" s="18" t="s">
        <v>1069</v>
      </c>
      <c r="H3238" s="18" t="s">
        <v>6418</v>
      </c>
      <c r="I3238" s="20" t="s">
        <v>6419</v>
      </c>
      <c r="J3238" s="18" t="s">
        <v>30</v>
      </c>
      <c r="K3238" s="18" t="s">
        <v>24</v>
      </c>
      <c r="L3238" s="18" t="s">
        <v>25</v>
      </c>
      <c r="N3238" s="18" t="s">
        <v>26</v>
      </c>
    </row>
    <row r="3239" spans="1:14" ht="15" customHeight="1" x14ac:dyDescent="0.3">
      <c r="A3239" s="18" t="s">
        <v>6378</v>
      </c>
      <c r="B3239" s="19" t="s">
        <v>15</v>
      </c>
      <c r="C3239" s="18" t="s">
        <v>210</v>
      </c>
      <c r="D3239" s="18" t="s">
        <v>17</v>
      </c>
      <c r="E3239" s="18" t="s">
        <v>18</v>
      </c>
      <c r="F3239" s="18" t="s">
        <v>6420</v>
      </c>
      <c r="G3239" s="18" t="s">
        <v>1069</v>
      </c>
      <c r="H3239" s="18" t="s">
        <v>6421</v>
      </c>
      <c r="I3239" s="20" t="s">
        <v>6422</v>
      </c>
      <c r="J3239" s="18" t="s">
        <v>30</v>
      </c>
      <c r="K3239" s="18" t="s">
        <v>24</v>
      </c>
      <c r="L3239" s="18" t="s">
        <v>25</v>
      </c>
      <c r="N3239" s="18" t="s">
        <v>26</v>
      </c>
    </row>
    <row r="3240" spans="1:14" ht="15" customHeight="1" x14ac:dyDescent="0.3">
      <c r="A3240" s="18" t="s">
        <v>6378</v>
      </c>
      <c r="B3240" s="19" t="s">
        <v>15</v>
      </c>
      <c r="C3240" s="18" t="s">
        <v>149</v>
      </c>
      <c r="D3240" s="18" t="s">
        <v>17</v>
      </c>
      <c r="E3240" s="18" t="s">
        <v>18</v>
      </c>
      <c r="F3240" s="18" t="s">
        <v>305</v>
      </c>
      <c r="G3240" s="18" t="s">
        <v>273</v>
      </c>
      <c r="H3240" s="18" t="s">
        <v>6423</v>
      </c>
      <c r="I3240" s="20" t="s">
        <v>6424</v>
      </c>
      <c r="J3240" s="18" t="s">
        <v>30</v>
      </c>
      <c r="K3240" s="18" t="s">
        <v>24</v>
      </c>
      <c r="L3240" s="18" t="s">
        <v>25</v>
      </c>
      <c r="N3240" s="18" t="s">
        <v>154</v>
      </c>
    </row>
    <row r="3241" spans="1:14" ht="15" customHeight="1" x14ac:dyDescent="0.3">
      <c r="A3241" s="18" t="s">
        <v>6378</v>
      </c>
      <c r="B3241" s="19" t="s">
        <v>15</v>
      </c>
      <c r="C3241" s="18" t="s">
        <v>442</v>
      </c>
      <c r="D3241" s="18" t="s">
        <v>17</v>
      </c>
      <c r="E3241" s="18" t="s">
        <v>18</v>
      </c>
      <c r="F3241" s="18" t="s">
        <v>6425</v>
      </c>
      <c r="G3241" s="18" t="s">
        <v>312</v>
      </c>
      <c r="H3241" s="18" t="s">
        <v>6398</v>
      </c>
      <c r="I3241" s="20" t="s">
        <v>6426</v>
      </c>
      <c r="J3241" s="18" t="s">
        <v>30</v>
      </c>
      <c r="K3241" s="18" t="s">
        <v>24</v>
      </c>
      <c r="L3241" s="18" t="s">
        <v>25</v>
      </c>
      <c r="N3241" s="18" t="s">
        <v>154</v>
      </c>
    </row>
    <row r="3242" spans="1:14" ht="15" customHeight="1" x14ac:dyDescent="0.3">
      <c r="A3242" s="18" t="s">
        <v>6378</v>
      </c>
      <c r="B3242" s="19" t="s">
        <v>15</v>
      </c>
      <c r="C3242" s="18" t="s">
        <v>442</v>
      </c>
      <c r="D3242" s="18" t="s">
        <v>17</v>
      </c>
      <c r="E3242" s="18" t="s">
        <v>18</v>
      </c>
      <c r="F3242" s="18" t="s">
        <v>6427</v>
      </c>
      <c r="G3242" s="18" t="s">
        <v>6428</v>
      </c>
      <c r="H3242" s="18" t="s">
        <v>6398</v>
      </c>
      <c r="I3242" s="20" t="s">
        <v>6429</v>
      </c>
      <c r="J3242" s="18" t="s">
        <v>30</v>
      </c>
      <c r="K3242" s="18" t="s">
        <v>24</v>
      </c>
      <c r="L3242" s="18" t="s">
        <v>25</v>
      </c>
      <c r="M3242" s="18" t="s">
        <v>39</v>
      </c>
      <c r="N3242" s="18" t="s">
        <v>154</v>
      </c>
    </row>
    <row r="3243" spans="1:14" ht="15" customHeight="1" x14ac:dyDescent="0.3">
      <c r="A3243" s="18" t="s">
        <v>6378</v>
      </c>
      <c r="B3243" s="19" t="s">
        <v>15</v>
      </c>
      <c r="C3243" s="18" t="s">
        <v>210</v>
      </c>
      <c r="D3243" s="18" t="s">
        <v>17</v>
      </c>
      <c r="E3243" s="18" t="s">
        <v>18</v>
      </c>
      <c r="F3243" s="18" t="s">
        <v>6430</v>
      </c>
      <c r="G3243" s="18" t="s">
        <v>1059</v>
      </c>
      <c r="H3243" s="18" t="s">
        <v>6392</v>
      </c>
      <c r="I3243" s="20" t="s">
        <v>6431</v>
      </c>
      <c r="J3243" s="18" t="s">
        <v>30</v>
      </c>
      <c r="K3243" s="18" t="s">
        <v>24</v>
      </c>
      <c r="L3243" s="18" t="s">
        <v>25</v>
      </c>
      <c r="N3243" s="18" t="s">
        <v>26</v>
      </c>
    </row>
    <row r="3244" spans="1:14" ht="15" customHeight="1" x14ac:dyDescent="0.3">
      <c r="A3244" s="18" t="s">
        <v>6378</v>
      </c>
      <c r="B3244" s="19" t="s">
        <v>15</v>
      </c>
      <c r="C3244" s="18" t="s">
        <v>442</v>
      </c>
      <c r="D3244" s="18" t="s">
        <v>17</v>
      </c>
      <c r="E3244" s="18" t="s">
        <v>18</v>
      </c>
      <c r="F3244" s="18" t="s">
        <v>6432</v>
      </c>
      <c r="G3244" s="18" t="s">
        <v>6433</v>
      </c>
      <c r="H3244" s="18" t="s">
        <v>6398</v>
      </c>
      <c r="I3244" s="20" t="s">
        <v>6434</v>
      </c>
      <c r="J3244" s="18" t="s">
        <v>30</v>
      </c>
      <c r="K3244" s="18" t="s">
        <v>24</v>
      </c>
      <c r="L3244" s="18" t="s">
        <v>25</v>
      </c>
      <c r="N3244" s="18" t="s">
        <v>154</v>
      </c>
    </row>
    <row r="3245" spans="1:14" ht="15" customHeight="1" x14ac:dyDescent="0.3">
      <c r="A3245" s="18" t="s">
        <v>6378</v>
      </c>
      <c r="B3245" s="19" t="s">
        <v>15</v>
      </c>
      <c r="C3245" s="18" t="s">
        <v>210</v>
      </c>
      <c r="D3245" s="18" t="s">
        <v>17</v>
      </c>
      <c r="E3245" s="18" t="s">
        <v>18</v>
      </c>
      <c r="F3245" s="18" t="s">
        <v>6435</v>
      </c>
      <c r="G3245" s="18" t="s">
        <v>6433</v>
      </c>
      <c r="H3245" s="18" t="s">
        <v>6436</v>
      </c>
      <c r="I3245" s="20" t="s">
        <v>6437</v>
      </c>
      <c r="J3245" s="18" t="s">
        <v>30</v>
      </c>
      <c r="K3245" s="18" t="s">
        <v>91</v>
      </c>
      <c r="L3245" s="18" t="s">
        <v>25</v>
      </c>
      <c r="N3245" s="18" t="s">
        <v>26</v>
      </c>
    </row>
    <row r="3246" spans="1:14" ht="15" customHeight="1" x14ac:dyDescent="0.3">
      <c r="A3246" s="18" t="s">
        <v>6378</v>
      </c>
      <c r="B3246" s="19" t="s">
        <v>15</v>
      </c>
      <c r="C3246" s="18" t="s">
        <v>210</v>
      </c>
      <c r="D3246" s="18" t="s">
        <v>17</v>
      </c>
      <c r="E3246" s="18" t="s">
        <v>18</v>
      </c>
      <c r="F3246" s="18" t="s">
        <v>6438</v>
      </c>
      <c r="G3246" s="18" t="s">
        <v>6433</v>
      </c>
      <c r="H3246" s="18" t="s">
        <v>6414</v>
      </c>
      <c r="I3246" s="20" t="s">
        <v>6439</v>
      </c>
      <c r="J3246" s="18" t="s">
        <v>30</v>
      </c>
      <c r="K3246" s="18" t="s">
        <v>24</v>
      </c>
      <c r="L3246" s="18" t="s">
        <v>25</v>
      </c>
      <c r="N3246" s="18" t="s">
        <v>26</v>
      </c>
    </row>
    <row r="3247" spans="1:14" ht="15" customHeight="1" x14ac:dyDescent="0.3">
      <c r="A3247" s="18" t="s">
        <v>6378</v>
      </c>
      <c r="B3247" s="19" t="s">
        <v>15</v>
      </c>
      <c r="C3247" s="18" t="s">
        <v>3975</v>
      </c>
      <c r="D3247" s="18" t="s">
        <v>17</v>
      </c>
      <c r="E3247" s="18" t="s">
        <v>18</v>
      </c>
      <c r="F3247" s="18" t="s">
        <v>40</v>
      </c>
      <c r="G3247" s="18" t="s">
        <v>41</v>
      </c>
      <c r="H3247" s="18" t="s">
        <v>6440</v>
      </c>
      <c r="I3247" s="20" t="s">
        <v>6441</v>
      </c>
      <c r="J3247" s="18" t="s">
        <v>30</v>
      </c>
      <c r="K3247" s="18" t="s">
        <v>24</v>
      </c>
      <c r="L3247" s="18" t="s">
        <v>25</v>
      </c>
      <c r="N3247" s="18" t="s">
        <v>807</v>
      </c>
    </row>
    <row r="3248" spans="1:14" ht="15" customHeight="1" x14ac:dyDescent="0.3">
      <c r="A3248" s="18" t="s">
        <v>6378</v>
      </c>
      <c r="B3248" s="19" t="s">
        <v>15</v>
      </c>
      <c r="C3248" s="18" t="s">
        <v>442</v>
      </c>
      <c r="D3248" s="18" t="s">
        <v>17</v>
      </c>
      <c r="E3248" s="18" t="s">
        <v>18</v>
      </c>
      <c r="F3248" s="18" t="s">
        <v>2386</v>
      </c>
      <c r="G3248" s="18" t="s">
        <v>41</v>
      </c>
      <c r="H3248" s="18" t="s">
        <v>6398</v>
      </c>
      <c r="I3248" s="20" t="s">
        <v>6442</v>
      </c>
      <c r="J3248" s="18" t="s">
        <v>30</v>
      </c>
      <c r="K3248" s="18" t="s">
        <v>24</v>
      </c>
      <c r="L3248" s="18" t="s">
        <v>25</v>
      </c>
      <c r="N3248" s="18" t="s">
        <v>154</v>
      </c>
    </row>
    <row r="3249" spans="1:14" ht="15" customHeight="1" x14ac:dyDescent="0.3">
      <c r="A3249" s="18" t="s">
        <v>6378</v>
      </c>
      <c r="B3249" s="19" t="s">
        <v>15</v>
      </c>
      <c r="C3249" s="18" t="s">
        <v>210</v>
      </c>
      <c r="D3249" s="18" t="s">
        <v>17</v>
      </c>
      <c r="E3249" s="18" t="s">
        <v>18</v>
      </c>
      <c r="F3249" s="18" t="s">
        <v>6443</v>
      </c>
      <c r="G3249" s="18" t="s">
        <v>41</v>
      </c>
      <c r="H3249" s="18" t="s">
        <v>6444</v>
      </c>
      <c r="I3249" s="20" t="s">
        <v>6445</v>
      </c>
      <c r="J3249" s="18" t="s">
        <v>30</v>
      </c>
      <c r="K3249" s="18" t="s">
        <v>91</v>
      </c>
      <c r="L3249" s="18" t="s">
        <v>25</v>
      </c>
      <c r="N3249" s="18" t="s">
        <v>26</v>
      </c>
    </row>
    <row r="3250" spans="1:14" ht="15" customHeight="1" x14ac:dyDescent="0.3">
      <c r="A3250" s="18" t="s">
        <v>6378</v>
      </c>
      <c r="B3250" s="19" t="s">
        <v>15</v>
      </c>
      <c r="C3250" s="18" t="s">
        <v>149</v>
      </c>
      <c r="D3250" s="18" t="s">
        <v>17</v>
      </c>
      <c r="E3250" s="18" t="s">
        <v>18</v>
      </c>
      <c r="F3250" s="18" t="s">
        <v>6446</v>
      </c>
      <c r="G3250" s="18" t="s">
        <v>41</v>
      </c>
      <c r="H3250" s="18" t="s">
        <v>6447</v>
      </c>
      <c r="I3250" s="20" t="s">
        <v>6448</v>
      </c>
      <c r="J3250" s="18" t="s">
        <v>30</v>
      </c>
      <c r="K3250" s="18" t="s">
        <v>24</v>
      </c>
      <c r="L3250" s="18" t="s">
        <v>25</v>
      </c>
      <c r="N3250" s="18" t="s">
        <v>154</v>
      </c>
    </row>
    <row r="3251" spans="1:14" ht="15" customHeight="1" x14ac:dyDescent="0.3">
      <c r="A3251" s="18" t="s">
        <v>6378</v>
      </c>
      <c r="B3251" s="19" t="s">
        <v>15</v>
      </c>
      <c r="C3251" s="18" t="s">
        <v>210</v>
      </c>
      <c r="D3251" s="18" t="s">
        <v>17</v>
      </c>
      <c r="E3251" s="18" t="s">
        <v>18</v>
      </c>
      <c r="F3251" s="18" t="s">
        <v>6449</v>
      </c>
      <c r="G3251" s="18" t="s">
        <v>298</v>
      </c>
      <c r="H3251" s="18" t="s">
        <v>6414</v>
      </c>
      <c r="I3251" s="20" t="s">
        <v>6450</v>
      </c>
      <c r="J3251" s="18" t="s">
        <v>30</v>
      </c>
      <c r="K3251" s="18" t="s">
        <v>24</v>
      </c>
      <c r="L3251" s="18" t="s">
        <v>25</v>
      </c>
      <c r="N3251" s="18" t="s">
        <v>26</v>
      </c>
    </row>
    <row r="3252" spans="1:14" ht="15" customHeight="1" x14ac:dyDescent="0.3">
      <c r="A3252" s="18" t="s">
        <v>6378</v>
      </c>
      <c r="B3252" s="19" t="s">
        <v>15</v>
      </c>
      <c r="C3252" s="18" t="s">
        <v>149</v>
      </c>
      <c r="D3252" s="18" t="s">
        <v>17</v>
      </c>
      <c r="E3252" s="18" t="s">
        <v>18</v>
      </c>
      <c r="F3252" s="18" t="s">
        <v>6451</v>
      </c>
      <c r="G3252" s="18" t="s">
        <v>606</v>
      </c>
      <c r="H3252" s="18" t="s">
        <v>6388</v>
      </c>
      <c r="I3252" s="20" t="s">
        <v>6452</v>
      </c>
      <c r="J3252" s="18" t="s">
        <v>30</v>
      </c>
      <c r="K3252" s="18" t="s">
        <v>24</v>
      </c>
      <c r="L3252" s="18" t="s">
        <v>25</v>
      </c>
      <c r="N3252" s="18" t="s">
        <v>154</v>
      </c>
    </row>
    <row r="3253" spans="1:14" ht="15" customHeight="1" x14ac:dyDescent="0.3">
      <c r="A3253" s="18" t="s">
        <v>6378</v>
      </c>
      <c r="B3253" s="19" t="s">
        <v>15</v>
      </c>
      <c r="C3253" s="18" t="s">
        <v>210</v>
      </c>
      <c r="D3253" s="18" t="s">
        <v>17</v>
      </c>
      <c r="E3253" s="18" t="s">
        <v>18</v>
      </c>
      <c r="F3253" s="18" t="s">
        <v>6453</v>
      </c>
      <c r="G3253" s="18" t="s">
        <v>606</v>
      </c>
      <c r="H3253" s="18" t="s">
        <v>6454</v>
      </c>
      <c r="I3253" s="20" t="s">
        <v>6455</v>
      </c>
      <c r="J3253" s="18" t="s">
        <v>30</v>
      </c>
      <c r="K3253" s="18" t="s">
        <v>24</v>
      </c>
      <c r="L3253" s="18" t="s">
        <v>25</v>
      </c>
      <c r="N3253" s="18" t="s">
        <v>26</v>
      </c>
    </row>
    <row r="3254" spans="1:14" ht="15" customHeight="1" x14ac:dyDescent="0.3">
      <c r="A3254" s="18" t="s">
        <v>6378</v>
      </c>
      <c r="B3254" s="19" t="s">
        <v>15</v>
      </c>
      <c r="C3254" s="18" t="s">
        <v>210</v>
      </c>
      <c r="D3254" s="18" t="s">
        <v>17</v>
      </c>
      <c r="E3254" s="18" t="s">
        <v>18</v>
      </c>
      <c r="F3254" s="18" t="s">
        <v>340</v>
      </c>
      <c r="G3254" s="18" t="s">
        <v>340</v>
      </c>
      <c r="H3254" s="18" t="s">
        <v>6414</v>
      </c>
      <c r="I3254" s="20" t="s">
        <v>6456</v>
      </c>
      <c r="J3254" s="18" t="s">
        <v>30</v>
      </c>
      <c r="K3254" s="18" t="s">
        <v>24</v>
      </c>
      <c r="L3254" s="18" t="s">
        <v>25</v>
      </c>
      <c r="N3254" s="18" t="s">
        <v>26</v>
      </c>
    </row>
    <row r="3255" spans="1:14" ht="15" customHeight="1" x14ac:dyDescent="0.3">
      <c r="A3255" s="18" t="s">
        <v>6378</v>
      </c>
      <c r="B3255" s="19" t="s">
        <v>15</v>
      </c>
      <c r="C3255" s="18" t="s">
        <v>210</v>
      </c>
      <c r="D3255" s="18" t="s">
        <v>17</v>
      </c>
      <c r="E3255" s="18" t="s">
        <v>18</v>
      </c>
      <c r="F3255" s="18" t="s">
        <v>6457</v>
      </c>
      <c r="G3255" s="18" t="s">
        <v>6458</v>
      </c>
      <c r="H3255" s="18" t="s">
        <v>6414</v>
      </c>
      <c r="I3255" s="20" t="s">
        <v>6459</v>
      </c>
      <c r="J3255" s="18" t="s">
        <v>30</v>
      </c>
      <c r="K3255" s="18" t="s">
        <v>24</v>
      </c>
      <c r="L3255" s="18" t="s">
        <v>25</v>
      </c>
      <c r="N3255" s="18" t="s">
        <v>26</v>
      </c>
    </row>
    <row r="3256" spans="1:14" ht="15" customHeight="1" x14ac:dyDescent="0.3">
      <c r="A3256" s="18" t="s">
        <v>6378</v>
      </c>
      <c r="B3256" s="19" t="s">
        <v>15</v>
      </c>
      <c r="C3256" s="18" t="s">
        <v>210</v>
      </c>
      <c r="D3256" s="18" t="s">
        <v>17</v>
      </c>
      <c r="E3256" s="18" t="s">
        <v>18</v>
      </c>
      <c r="F3256" s="18" t="s">
        <v>6460</v>
      </c>
      <c r="G3256" s="18" t="s">
        <v>6458</v>
      </c>
      <c r="H3256" s="18" t="s">
        <v>6414</v>
      </c>
      <c r="I3256" s="20" t="s">
        <v>6461</v>
      </c>
      <c r="J3256" s="18" t="s">
        <v>6145</v>
      </c>
      <c r="K3256" s="18" t="s">
        <v>24</v>
      </c>
      <c r="L3256" s="18" t="s">
        <v>25</v>
      </c>
      <c r="N3256" s="18" t="s">
        <v>26</v>
      </c>
    </row>
    <row r="3257" spans="1:14" ht="15" customHeight="1" x14ac:dyDescent="0.3">
      <c r="A3257" s="18" t="s">
        <v>6378</v>
      </c>
      <c r="B3257" s="19" t="s">
        <v>15</v>
      </c>
      <c r="C3257" s="18" t="s">
        <v>149</v>
      </c>
      <c r="D3257" s="18" t="s">
        <v>17</v>
      </c>
      <c r="E3257" s="18" t="s">
        <v>18</v>
      </c>
      <c r="F3257" s="18" t="s">
        <v>2069</v>
      </c>
      <c r="G3257" s="18" t="s">
        <v>1291</v>
      </c>
      <c r="H3257" s="18" t="s">
        <v>6386</v>
      </c>
      <c r="I3257" s="20" t="s">
        <v>6462</v>
      </c>
      <c r="J3257" s="18" t="s">
        <v>30</v>
      </c>
      <c r="K3257" s="18" t="s">
        <v>24</v>
      </c>
      <c r="L3257" s="18" t="s">
        <v>25</v>
      </c>
      <c r="N3257" s="18" t="s">
        <v>154</v>
      </c>
    </row>
    <row r="3258" spans="1:14" ht="15" customHeight="1" x14ac:dyDescent="0.3">
      <c r="A3258" s="18" t="s">
        <v>6378</v>
      </c>
      <c r="B3258" s="19" t="s">
        <v>15</v>
      </c>
      <c r="C3258" s="18" t="s">
        <v>210</v>
      </c>
      <c r="D3258" s="18" t="s">
        <v>17</v>
      </c>
      <c r="E3258" s="18" t="s">
        <v>18</v>
      </c>
      <c r="F3258" s="18" t="s">
        <v>6463</v>
      </c>
      <c r="G3258" s="18" t="s">
        <v>6403</v>
      </c>
      <c r="H3258" s="18" t="s">
        <v>6464</v>
      </c>
      <c r="I3258" s="20" t="s">
        <v>6465</v>
      </c>
      <c r="J3258" s="18" t="s">
        <v>30</v>
      </c>
      <c r="K3258" s="18" t="s">
        <v>24</v>
      </c>
      <c r="L3258" s="18" t="s">
        <v>25</v>
      </c>
      <c r="N3258" s="18" t="s">
        <v>26</v>
      </c>
    </row>
    <row r="3259" spans="1:14" ht="15" customHeight="1" x14ac:dyDescent="0.3">
      <c r="A3259" s="18" t="s">
        <v>6378</v>
      </c>
      <c r="B3259" s="19" t="s">
        <v>15</v>
      </c>
      <c r="C3259" s="18" t="s">
        <v>442</v>
      </c>
      <c r="D3259" s="18" t="s">
        <v>17</v>
      </c>
      <c r="E3259" s="18" t="s">
        <v>18</v>
      </c>
      <c r="F3259" s="18" t="s">
        <v>537</v>
      </c>
      <c r="G3259" s="18" t="s">
        <v>537</v>
      </c>
      <c r="H3259" s="18" t="s">
        <v>6398</v>
      </c>
      <c r="I3259" s="20" t="s">
        <v>6466</v>
      </c>
      <c r="J3259" s="18" t="s">
        <v>30</v>
      </c>
      <c r="K3259" s="18" t="s">
        <v>24</v>
      </c>
      <c r="L3259" s="18" t="s">
        <v>25</v>
      </c>
      <c r="N3259" s="18" t="s">
        <v>154</v>
      </c>
    </row>
    <row r="3260" spans="1:14" ht="15" customHeight="1" x14ac:dyDescent="0.3">
      <c r="A3260" s="18" t="s">
        <v>6378</v>
      </c>
      <c r="B3260" s="19" t="s">
        <v>15</v>
      </c>
      <c r="C3260" s="18" t="s">
        <v>210</v>
      </c>
      <c r="D3260" s="18" t="s">
        <v>17</v>
      </c>
      <c r="E3260" s="18" t="s">
        <v>55</v>
      </c>
      <c r="F3260" s="18" t="s">
        <v>6467</v>
      </c>
      <c r="G3260" s="18" t="s">
        <v>1059</v>
      </c>
      <c r="H3260" s="18" t="s">
        <v>6392</v>
      </c>
      <c r="I3260" s="20" t="s">
        <v>6468</v>
      </c>
      <c r="J3260" s="18" t="s">
        <v>73</v>
      </c>
      <c r="K3260" s="18" t="s">
        <v>24</v>
      </c>
      <c r="L3260" s="18" t="s">
        <v>25</v>
      </c>
      <c r="N3260" s="18" t="s">
        <v>26</v>
      </c>
    </row>
    <row r="3261" spans="1:14" ht="15" customHeight="1" x14ac:dyDescent="0.3">
      <c r="A3261" s="18" t="s">
        <v>6378</v>
      </c>
      <c r="B3261" s="19" t="s">
        <v>15</v>
      </c>
      <c r="C3261" s="18" t="s">
        <v>210</v>
      </c>
      <c r="D3261" s="18" t="s">
        <v>17</v>
      </c>
      <c r="E3261" s="18" t="s">
        <v>55</v>
      </c>
      <c r="F3261" s="18" t="s">
        <v>6469</v>
      </c>
      <c r="G3261" s="18" t="s">
        <v>5194</v>
      </c>
      <c r="H3261" s="18" t="s">
        <v>6470</v>
      </c>
      <c r="I3261" s="20" t="s">
        <v>6471</v>
      </c>
      <c r="J3261" s="18" t="s">
        <v>73</v>
      </c>
      <c r="K3261" s="18" t="s">
        <v>24</v>
      </c>
      <c r="L3261" s="18" t="s">
        <v>25</v>
      </c>
      <c r="N3261" s="18" t="s">
        <v>26</v>
      </c>
    </row>
    <row r="3262" spans="1:14" ht="15" customHeight="1" x14ac:dyDescent="0.3">
      <c r="A3262" s="18" t="s">
        <v>6378</v>
      </c>
      <c r="B3262" s="19" t="s">
        <v>15</v>
      </c>
      <c r="C3262" s="18" t="s">
        <v>149</v>
      </c>
      <c r="D3262" s="18" t="s">
        <v>17</v>
      </c>
      <c r="E3262" s="18" t="s">
        <v>55</v>
      </c>
      <c r="F3262" s="18" t="s">
        <v>6077</v>
      </c>
      <c r="G3262" s="18" t="s">
        <v>85</v>
      </c>
      <c r="H3262" s="18" t="s">
        <v>6472</v>
      </c>
      <c r="I3262" s="20" t="s">
        <v>6473</v>
      </c>
      <c r="J3262" s="18" t="s">
        <v>6474</v>
      </c>
      <c r="K3262" s="18" t="s">
        <v>24</v>
      </c>
      <c r="L3262" s="18" t="s">
        <v>25</v>
      </c>
      <c r="N3262" s="18" t="s">
        <v>154</v>
      </c>
    </row>
    <row r="3263" spans="1:14" ht="15" customHeight="1" x14ac:dyDescent="0.3">
      <c r="A3263" s="18" t="s">
        <v>6378</v>
      </c>
      <c r="B3263" s="19" t="s">
        <v>15</v>
      </c>
      <c r="C3263" s="18" t="s">
        <v>3975</v>
      </c>
      <c r="D3263" s="18" t="s">
        <v>17</v>
      </c>
      <c r="E3263" s="18" t="s">
        <v>55</v>
      </c>
      <c r="F3263" s="18" t="s">
        <v>6475</v>
      </c>
      <c r="G3263" s="18" t="s">
        <v>606</v>
      </c>
      <c r="H3263" s="18" t="s">
        <v>6400</v>
      </c>
      <c r="I3263" s="20" t="s">
        <v>6476</v>
      </c>
      <c r="J3263" s="18" t="s">
        <v>58</v>
      </c>
      <c r="K3263" s="18" t="s">
        <v>24</v>
      </c>
      <c r="L3263" s="18" t="s">
        <v>25</v>
      </c>
      <c r="N3263" s="18" t="s">
        <v>807</v>
      </c>
    </row>
    <row r="3264" spans="1:14" ht="15" customHeight="1" x14ac:dyDescent="0.3">
      <c r="A3264" s="18" t="s">
        <v>6378</v>
      </c>
      <c r="B3264" s="19" t="s">
        <v>15</v>
      </c>
      <c r="C3264" s="18" t="s">
        <v>149</v>
      </c>
      <c r="D3264" s="18" t="s">
        <v>17</v>
      </c>
      <c r="E3264" s="18" t="s">
        <v>55</v>
      </c>
      <c r="F3264" s="18" t="s">
        <v>2186</v>
      </c>
      <c r="G3264" s="18" t="s">
        <v>606</v>
      </c>
      <c r="H3264" s="18" t="s">
        <v>6477</v>
      </c>
      <c r="I3264" s="20" t="s">
        <v>6478</v>
      </c>
      <c r="J3264" s="18" t="s">
        <v>73</v>
      </c>
      <c r="K3264" s="18" t="s">
        <v>24</v>
      </c>
      <c r="L3264" s="18" t="s">
        <v>25</v>
      </c>
      <c r="N3264" s="18" t="s">
        <v>154</v>
      </c>
    </row>
    <row r="3265" spans="1:14" ht="15" customHeight="1" x14ac:dyDescent="0.3">
      <c r="A3265" s="18" t="s">
        <v>6378</v>
      </c>
      <c r="B3265" s="19" t="s">
        <v>15</v>
      </c>
      <c r="C3265" s="18" t="s">
        <v>149</v>
      </c>
      <c r="D3265" s="18" t="s">
        <v>17</v>
      </c>
      <c r="E3265" s="18" t="s">
        <v>55</v>
      </c>
      <c r="F3265" s="18" t="s">
        <v>6479</v>
      </c>
      <c r="G3265" s="18" t="s">
        <v>606</v>
      </c>
      <c r="H3265" s="18" t="s">
        <v>6477</v>
      </c>
      <c r="I3265" s="20" t="s">
        <v>6480</v>
      </c>
      <c r="J3265" s="18" t="s">
        <v>58</v>
      </c>
      <c r="K3265" s="18" t="s">
        <v>24</v>
      </c>
      <c r="L3265" s="18" t="s">
        <v>25</v>
      </c>
      <c r="N3265" s="18" t="s">
        <v>154</v>
      </c>
    </row>
    <row r="3266" spans="1:14" ht="15" customHeight="1" x14ac:dyDescent="0.3">
      <c r="A3266" s="18" t="s">
        <v>6378</v>
      </c>
      <c r="B3266" s="19" t="s">
        <v>15</v>
      </c>
      <c r="C3266" s="18" t="s">
        <v>210</v>
      </c>
      <c r="D3266" s="18" t="s">
        <v>17</v>
      </c>
      <c r="E3266" s="18" t="s">
        <v>55</v>
      </c>
      <c r="F3266" s="18" t="s">
        <v>493</v>
      </c>
      <c r="G3266" s="18" t="s">
        <v>6433</v>
      </c>
      <c r="H3266" s="18" t="s">
        <v>6481</v>
      </c>
      <c r="I3266" s="20" t="s">
        <v>6482</v>
      </c>
      <c r="J3266" s="18" t="s">
        <v>73</v>
      </c>
      <c r="K3266" s="18" t="s">
        <v>24</v>
      </c>
      <c r="L3266" s="18" t="s">
        <v>25</v>
      </c>
      <c r="N3266" s="18" t="s">
        <v>26</v>
      </c>
    </row>
    <row r="3267" spans="1:14" ht="15" customHeight="1" x14ac:dyDescent="0.3">
      <c r="A3267" s="18" t="s">
        <v>6378</v>
      </c>
      <c r="B3267" s="19" t="s">
        <v>15</v>
      </c>
      <c r="C3267" s="18" t="s">
        <v>149</v>
      </c>
      <c r="D3267" s="18" t="s">
        <v>17</v>
      </c>
      <c r="E3267" s="18" t="s">
        <v>55</v>
      </c>
      <c r="F3267" s="18" t="s">
        <v>3465</v>
      </c>
      <c r="G3267" s="18" t="s">
        <v>1291</v>
      </c>
      <c r="H3267" s="18" t="s">
        <v>6386</v>
      </c>
      <c r="I3267" s="20" t="s">
        <v>6483</v>
      </c>
      <c r="J3267" s="18" t="s">
        <v>58</v>
      </c>
      <c r="K3267" s="18" t="s">
        <v>24</v>
      </c>
      <c r="L3267" s="18" t="s">
        <v>25</v>
      </c>
      <c r="N3267" s="18" t="s">
        <v>154</v>
      </c>
    </row>
    <row r="3268" spans="1:14" ht="15" customHeight="1" x14ac:dyDescent="0.3">
      <c r="A3268" s="18" t="s">
        <v>6378</v>
      </c>
      <c r="B3268" s="19" t="s">
        <v>15</v>
      </c>
      <c r="C3268" s="18" t="s">
        <v>210</v>
      </c>
      <c r="D3268" s="18" t="s">
        <v>17</v>
      </c>
      <c r="E3268" s="18" t="s">
        <v>55</v>
      </c>
      <c r="F3268" s="18" t="s">
        <v>6484</v>
      </c>
      <c r="G3268" s="18" t="s">
        <v>1059</v>
      </c>
      <c r="H3268" s="18" t="s">
        <v>6485</v>
      </c>
      <c r="I3268" s="20" t="s">
        <v>6486</v>
      </c>
      <c r="J3268" s="18" t="s">
        <v>58</v>
      </c>
      <c r="K3268" s="18" t="s">
        <v>24</v>
      </c>
      <c r="L3268" s="18" t="s">
        <v>25</v>
      </c>
      <c r="N3268" s="18" t="s">
        <v>26</v>
      </c>
    </row>
    <row r="3269" spans="1:14" ht="15" customHeight="1" x14ac:dyDescent="0.3">
      <c r="A3269" s="18" t="s">
        <v>6378</v>
      </c>
      <c r="B3269" s="19" t="s">
        <v>15</v>
      </c>
      <c r="C3269" s="18" t="s">
        <v>149</v>
      </c>
      <c r="D3269" s="18" t="s">
        <v>17</v>
      </c>
      <c r="E3269" s="18" t="s">
        <v>55</v>
      </c>
      <c r="F3269" s="18" t="s">
        <v>6402</v>
      </c>
      <c r="G3269" s="18" t="s">
        <v>6403</v>
      </c>
      <c r="H3269" s="18" t="s">
        <v>6487</v>
      </c>
      <c r="I3269" s="20" t="s">
        <v>6488</v>
      </c>
      <c r="J3269" s="18" t="s">
        <v>58</v>
      </c>
      <c r="K3269" s="18" t="s">
        <v>293</v>
      </c>
      <c r="L3269" s="18" t="s">
        <v>25</v>
      </c>
      <c r="M3269" s="18" t="s">
        <v>39</v>
      </c>
      <c r="N3269" s="18" t="s">
        <v>154</v>
      </c>
    </row>
    <row r="3270" spans="1:14" ht="15" customHeight="1" x14ac:dyDescent="0.3">
      <c r="A3270" s="18" t="s">
        <v>6378</v>
      </c>
      <c r="B3270" s="19" t="s">
        <v>15</v>
      </c>
      <c r="C3270" s="18" t="s">
        <v>210</v>
      </c>
      <c r="D3270" s="18" t="s">
        <v>17</v>
      </c>
      <c r="E3270" s="18" t="s">
        <v>55</v>
      </c>
      <c r="F3270" s="18" t="s">
        <v>6406</v>
      </c>
      <c r="G3270" s="18" t="s">
        <v>6403</v>
      </c>
      <c r="H3270" s="18" t="s">
        <v>6489</v>
      </c>
      <c r="I3270" s="20" t="s">
        <v>6490</v>
      </c>
      <c r="J3270" s="18" t="s">
        <v>58</v>
      </c>
      <c r="K3270" s="18" t="s">
        <v>91</v>
      </c>
      <c r="L3270" s="18" t="s">
        <v>25</v>
      </c>
      <c r="N3270" s="18" t="s">
        <v>26</v>
      </c>
    </row>
    <row r="3271" spans="1:14" ht="15" customHeight="1" x14ac:dyDescent="0.3">
      <c r="A3271" s="18" t="s">
        <v>6378</v>
      </c>
      <c r="B3271" s="19" t="s">
        <v>15</v>
      </c>
      <c r="C3271" s="18" t="s">
        <v>210</v>
      </c>
      <c r="D3271" s="18" t="s">
        <v>17</v>
      </c>
      <c r="E3271" s="18" t="s">
        <v>55</v>
      </c>
      <c r="F3271" s="18" t="s">
        <v>6324</v>
      </c>
      <c r="G3271" s="18" t="s">
        <v>1340</v>
      </c>
      <c r="H3271" s="18" t="s">
        <v>6414</v>
      </c>
      <c r="I3271" s="20" t="s">
        <v>6491</v>
      </c>
      <c r="J3271" s="18" t="s">
        <v>58</v>
      </c>
      <c r="K3271" s="18" t="s">
        <v>24</v>
      </c>
      <c r="L3271" s="18" t="s">
        <v>25</v>
      </c>
      <c r="N3271" s="18" t="s">
        <v>26</v>
      </c>
    </row>
    <row r="3272" spans="1:14" ht="15" customHeight="1" x14ac:dyDescent="0.3">
      <c r="A3272" s="18" t="s">
        <v>6378</v>
      </c>
      <c r="B3272" s="19" t="s">
        <v>15</v>
      </c>
      <c r="C3272" s="18" t="s">
        <v>210</v>
      </c>
      <c r="D3272" s="18" t="s">
        <v>17</v>
      </c>
      <c r="E3272" s="18" t="s">
        <v>55</v>
      </c>
      <c r="F3272" s="18" t="s">
        <v>273</v>
      </c>
      <c r="G3272" s="18" t="s">
        <v>273</v>
      </c>
      <c r="H3272" s="18" t="s">
        <v>6492</v>
      </c>
      <c r="I3272" s="20" t="s">
        <v>6493</v>
      </c>
      <c r="J3272" s="18" t="s">
        <v>58</v>
      </c>
      <c r="K3272" s="18" t="s">
        <v>24</v>
      </c>
      <c r="L3272" s="18" t="s">
        <v>25</v>
      </c>
      <c r="M3272" s="18" t="s">
        <v>39</v>
      </c>
      <c r="N3272" s="18" t="s">
        <v>26</v>
      </c>
    </row>
    <row r="3273" spans="1:14" ht="15" customHeight="1" x14ac:dyDescent="0.3">
      <c r="A3273" s="18" t="s">
        <v>6378</v>
      </c>
      <c r="B3273" s="19" t="s">
        <v>15</v>
      </c>
      <c r="C3273" s="18" t="s">
        <v>442</v>
      </c>
      <c r="D3273" s="18" t="s">
        <v>17</v>
      </c>
      <c r="E3273" s="18" t="s">
        <v>55</v>
      </c>
      <c r="F3273" s="18" t="s">
        <v>6494</v>
      </c>
      <c r="G3273" s="18" t="s">
        <v>273</v>
      </c>
      <c r="H3273" s="18" t="s">
        <v>6495</v>
      </c>
      <c r="I3273" s="20" t="s">
        <v>6496</v>
      </c>
      <c r="J3273" s="18" t="s">
        <v>58</v>
      </c>
      <c r="K3273" s="18" t="s">
        <v>24</v>
      </c>
      <c r="L3273" s="18" t="s">
        <v>25</v>
      </c>
      <c r="N3273" s="18" t="s">
        <v>154</v>
      </c>
    </row>
    <row r="3274" spans="1:14" ht="15" customHeight="1" x14ac:dyDescent="0.3">
      <c r="A3274" s="18" t="s">
        <v>6378</v>
      </c>
      <c r="B3274" s="19" t="s">
        <v>15</v>
      </c>
      <c r="C3274" s="18" t="s">
        <v>442</v>
      </c>
      <c r="D3274" s="18" t="s">
        <v>17</v>
      </c>
      <c r="E3274" s="18" t="s">
        <v>55</v>
      </c>
      <c r="F3274" s="18" t="s">
        <v>6497</v>
      </c>
      <c r="G3274" s="18" t="s">
        <v>2841</v>
      </c>
      <c r="H3274" s="18" t="s">
        <v>6495</v>
      </c>
      <c r="I3274" s="20" t="s">
        <v>6498</v>
      </c>
      <c r="J3274" s="18" t="s">
        <v>58</v>
      </c>
      <c r="K3274" s="18" t="s">
        <v>24</v>
      </c>
      <c r="L3274" s="18" t="s">
        <v>25</v>
      </c>
      <c r="N3274" s="18" t="s">
        <v>154</v>
      </c>
    </row>
    <row r="3275" spans="1:14" ht="15" customHeight="1" x14ac:dyDescent="0.3">
      <c r="A3275" s="18" t="s">
        <v>6378</v>
      </c>
      <c r="B3275" s="19" t="s">
        <v>15</v>
      </c>
      <c r="C3275" s="18" t="s">
        <v>442</v>
      </c>
      <c r="D3275" s="18" t="s">
        <v>17</v>
      </c>
      <c r="E3275" s="18" t="s">
        <v>55</v>
      </c>
      <c r="F3275" s="18" t="s">
        <v>349</v>
      </c>
      <c r="G3275" s="18" t="s">
        <v>207</v>
      </c>
      <c r="H3275" s="18" t="s">
        <v>6495</v>
      </c>
      <c r="I3275" s="20" t="s">
        <v>6499</v>
      </c>
      <c r="J3275" s="18" t="s">
        <v>58</v>
      </c>
      <c r="K3275" s="18" t="s">
        <v>24</v>
      </c>
      <c r="L3275" s="18" t="s">
        <v>25</v>
      </c>
      <c r="N3275" s="18" t="s">
        <v>154</v>
      </c>
    </row>
    <row r="3276" spans="1:14" ht="15" customHeight="1" x14ac:dyDescent="0.3">
      <c r="A3276" s="18" t="s">
        <v>6378</v>
      </c>
      <c r="B3276" s="19" t="s">
        <v>15</v>
      </c>
      <c r="C3276" s="18" t="s">
        <v>149</v>
      </c>
      <c r="D3276" s="18" t="s">
        <v>17</v>
      </c>
      <c r="E3276" s="18" t="s">
        <v>55</v>
      </c>
      <c r="F3276" s="18" t="s">
        <v>6500</v>
      </c>
      <c r="G3276" s="18" t="s">
        <v>151</v>
      </c>
      <c r="H3276" s="18" t="s">
        <v>6386</v>
      </c>
      <c r="I3276" s="20" t="s">
        <v>6501</v>
      </c>
      <c r="J3276" s="18" t="s">
        <v>58</v>
      </c>
      <c r="K3276" s="18" t="s">
        <v>24</v>
      </c>
      <c r="L3276" s="18" t="s">
        <v>25</v>
      </c>
      <c r="N3276" s="18" t="s">
        <v>154</v>
      </c>
    </row>
    <row r="3277" spans="1:14" ht="15" customHeight="1" x14ac:dyDescent="0.3">
      <c r="A3277" s="18" t="s">
        <v>6378</v>
      </c>
      <c r="B3277" s="19" t="s">
        <v>15</v>
      </c>
      <c r="C3277" s="18" t="s">
        <v>210</v>
      </c>
      <c r="D3277" s="18" t="s">
        <v>17</v>
      </c>
      <c r="E3277" s="18" t="s">
        <v>55</v>
      </c>
      <c r="F3277" s="18" t="s">
        <v>391</v>
      </c>
      <c r="G3277" s="18" t="s">
        <v>433</v>
      </c>
      <c r="H3277" s="18" t="s">
        <v>6502</v>
      </c>
      <c r="I3277" s="20" t="s">
        <v>6503</v>
      </c>
      <c r="J3277" s="18" t="s">
        <v>58</v>
      </c>
      <c r="K3277" s="18" t="s">
        <v>24</v>
      </c>
      <c r="L3277" s="18" t="s">
        <v>25</v>
      </c>
      <c r="N3277" s="18" t="s">
        <v>26</v>
      </c>
    </row>
    <row r="3278" spans="1:14" ht="15" customHeight="1" x14ac:dyDescent="0.3">
      <c r="A3278" s="18" t="s">
        <v>6378</v>
      </c>
      <c r="B3278" s="19" t="s">
        <v>15</v>
      </c>
      <c r="C3278" s="18" t="s">
        <v>149</v>
      </c>
      <c r="D3278" s="18" t="s">
        <v>17</v>
      </c>
      <c r="E3278" s="18" t="s">
        <v>55</v>
      </c>
      <c r="F3278" s="18" t="s">
        <v>619</v>
      </c>
      <c r="G3278" s="18" t="s">
        <v>619</v>
      </c>
      <c r="H3278" s="18" t="s">
        <v>6504</v>
      </c>
      <c r="I3278" s="20" t="s">
        <v>6505</v>
      </c>
      <c r="J3278" s="18" t="s">
        <v>73</v>
      </c>
      <c r="K3278" s="18" t="s">
        <v>24</v>
      </c>
      <c r="L3278" s="18" t="s">
        <v>25</v>
      </c>
      <c r="N3278" s="18" t="s">
        <v>154</v>
      </c>
    </row>
    <row r="3279" spans="1:14" ht="15" customHeight="1" x14ac:dyDescent="0.3">
      <c r="A3279" s="18" t="s">
        <v>6378</v>
      </c>
      <c r="B3279" s="19" t="s">
        <v>15</v>
      </c>
      <c r="C3279" s="18" t="s">
        <v>210</v>
      </c>
      <c r="D3279" s="18" t="s">
        <v>17</v>
      </c>
      <c r="E3279" s="18" t="s">
        <v>55</v>
      </c>
      <c r="F3279" s="18" t="s">
        <v>6506</v>
      </c>
      <c r="G3279" s="18" t="s">
        <v>619</v>
      </c>
      <c r="H3279" s="18" t="s">
        <v>6507</v>
      </c>
      <c r="I3279" s="20" t="s">
        <v>6508</v>
      </c>
      <c r="J3279" s="18" t="s">
        <v>58</v>
      </c>
      <c r="K3279" s="18" t="s">
        <v>24</v>
      </c>
      <c r="L3279" s="18" t="s">
        <v>25</v>
      </c>
      <c r="M3279" s="18" t="s">
        <v>39</v>
      </c>
      <c r="N3279" s="18" t="s">
        <v>26</v>
      </c>
    </row>
    <row r="3280" spans="1:14" ht="15" customHeight="1" x14ac:dyDescent="0.3">
      <c r="A3280" s="18" t="s">
        <v>6378</v>
      </c>
      <c r="B3280" s="19" t="s">
        <v>15</v>
      </c>
      <c r="C3280" s="18" t="s">
        <v>210</v>
      </c>
      <c r="D3280" s="18" t="s">
        <v>17</v>
      </c>
      <c r="E3280" s="18" t="s">
        <v>55</v>
      </c>
      <c r="F3280" s="18" t="s">
        <v>3812</v>
      </c>
      <c r="G3280" s="18" t="s">
        <v>619</v>
      </c>
      <c r="H3280" s="18" t="s">
        <v>6507</v>
      </c>
      <c r="I3280" s="20" t="s">
        <v>6509</v>
      </c>
      <c r="J3280" s="18" t="s">
        <v>73</v>
      </c>
      <c r="K3280" s="18" t="s">
        <v>24</v>
      </c>
      <c r="L3280" s="18" t="s">
        <v>25</v>
      </c>
      <c r="N3280" s="18" t="s">
        <v>26</v>
      </c>
    </row>
    <row r="3281" spans="1:14" ht="15" customHeight="1" x14ac:dyDescent="0.3">
      <c r="A3281" s="18" t="s">
        <v>6378</v>
      </c>
      <c r="B3281" s="19" t="s">
        <v>15</v>
      </c>
      <c r="C3281" s="18" t="s">
        <v>149</v>
      </c>
      <c r="D3281" s="18" t="s">
        <v>17</v>
      </c>
      <c r="E3281" s="18" t="s">
        <v>55</v>
      </c>
      <c r="F3281" s="18" t="s">
        <v>6510</v>
      </c>
      <c r="G3281" s="18" t="s">
        <v>619</v>
      </c>
      <c r="H3281" s="18" t="s">
        <v>6511</v>
      </c>
      <c r="I3281" s="20" t="s">
        <v>6512</v>
      </c>
      <c r="J3281" s="18" t="s">
        <v>73</v>
      </c>
      <c r="K3281" s="18" t="s">
        <v>24</v>
      </c>
      <c r="L3281" s="18" t="s">
        <v>25</v>
      </c>
      <c r="N3281" s="18" t="s">
        <v>154</v>
      </c>
    </row>
    <row r="3282" spans="1:14" ht="15" customHeight="1" x14ac:dyDescent="0.3">
      <c r="A3282" s="18" t="s">
        <v>6378</v>
      </c>
      <c r="B3282" s="19" t="s">
        <v>15</v>
      </c>
      <c r="C3282" s="18" t="s">
        <v>210</v>
      </c>
      <c r="D3282" s="18" t="s">
        <v>17</v>
      </c>
      <c r="E3282" s="18" t="s">
        <v>55</v>
      </c>
      <c r="F3282" s="18" t="s">
        <v>1069</v>
      </c>
      <c r="G3282" s="18" t="s">
        <v>1069</v>
      </c>
      <c r="H3282" s="18" t="s">
        <v>6418</v>
      </c>
      <c r="I3282" s="20" t="s">
        <v>6513</v>
      </c>
      <c r="J3282" s="18" t="s">
        <v>73</v>
      </c>
      <c r="K3282" s="18" t="s">
        <v>24</v>
      </c>
      <c r="L3282" s="18" t="s">
        <v>25</v>
      </c>
      <c r="N3282" s="18" t="s">
        <v>26</v>
      </c>
    </row>
    <row r="3283" spans="1:14" ht="15" customHeight="1" x14ac:dyDescent="0.3">
      <c r="A3283" s="18" t="s">
        <v>6378</v>
      </c>
      <c r="B3283" s="19" t="s">
        <v>15</v>
      </c>
      <c r="C3283" s="18" t="s">
        <v>149</v>
      </c>
      <c r="D3283" s="18" t="s">
        <v>17</v>
      </c>
      <c r="E3283" s="18" t="s">
        <v>55</v>
      </c>
      <c r="F3283" s="18" t="s">
        <v>6514</v>
      </c>
      <c r="G3283" s="18" t="s">
        <v>1069</v>
      </c>
      <c r="H3283" s="18" t="s">
        <v>6515</v>
      </c>
      <c r="I3283" s="20" t="s">
        <v>6516</v>
      </c>
      <c r="J3283" s="18" t="s">
        <v>6474</v>
      </c>
      <c r="K3283" s="18" t="s">
        <v>24</v>
      </c>
      <c r="L3283" s="18" t="s">
        <v>25</v>
      </c>
      <c r="N3283" s="18" t="s">
        <v>154</v>
      </c>
    </row>
    <row r="3284" spans="1:14" ht="15" customHeight="1" x14ac:dyDescent="0.3">
      <c r="A3284" s="18" t="s">
        <v>6378</v>
      </c>
      <c r="B3284" s="19" t="s">
        <v>15</v>
      </c>
      <c r="C3284" s="18" t="s">
        <v>149</v>
      </c>
      <c r="D3284" s="18" t="s">
        <v>17</v>
      </c>
      <c r="E3284" s="18" t="s">
        <v>55</v>
      </c>
      <c r="F3284" s="18" t="s">
        <v>6517</v>
      </c>
      <c r="G3284" s="18" t="s">
        <v>1069</v>
      </c>
      <c r="H3284" s="18" t="s">
        <v>6518</v>
      </c>
      <c r="I3284" s="20" t="s">
        <v>6519</v>
      </c>
      <c r="J3284" s="18" t="s">
        <v>6474</v>
      </c>
      <c r="K3284" s="18" t="s">
        <v>24</v>
      </c>
      <c r="L3284" s="18" t="s">
        <v>25</v>
      </c>
      <c r="M3284" s="18" t="s">
        <v>39</v>
      </c>
      <c r="N3284" s="18" t="s">
        <v>154</v>
      </c>
    </row>
    <row r="3285" spans="1:14" ht="15" customHeight="1" x14ac:dyDescent="0.3">
      <c r="A3285" s="18" t="s">
        <v>6378</v>
      </c>
      <c r="B3285" s="19" t="s">
        <v>15</v>
      </c>
      <c r="C3285" s="18" t="s">
        <v>210</v>
      </c>
      <c r="D3285" s="18" t="s">
        <v>17</v>
      </c>
      <c r="E3285" s="18" t="s">
        <v>55</v>
      </c>
      <c r="F3285" s="18" t="s">
        <v>6520</v>
      </c>
      <c r="G3285" s="18" t="s">
        <v>1069</v>
      </c>
      <c r="H3285" s="18" t="s">
        <v>6521</v>
      </c>
      <c r="I3285" s="20" t="s">
        <v>6522</v>
      </c>
      <c r="J3285" s="18" t="s">
        <v>58</v>
      </c>
      <c r="K3285" s="18" t="s">
        <v>24</v>
      </c>
      <c r="L3285" s="18" t="s">
        <v>25</v>
      </c>
      <c r="N3285" s="18" t="s">
        <v>26</v>
      </c>
    </row>
    <row r="3286" spans="1:14" ht="15" customHeight="1" x14ac:dyDescent="0.3">
      <c r="A3286" s="18" t="s">
        <v>6378</v>
      </c>
      <c r="B3286" s="19" t="s">
        <v>15</v>
      </c>
      <c r="C3286" s="18" t="s">
        <v>1124</v>
      </c>
      <c r="D3286" s="18" t="s">
        <v>17</v>
      </c>
      <c r="E3286" s="18" t="s">
        <v>55</v>
      </c>
      <c r="F3286" s="18" t="s">
        <v>6523</v>
      </c>
      <c r="G3286" s="18" t="s">
        <v>423</v>
      </c>
      <c r="H3286" s="18" t="s">
        <v>6524</v>
      </c>
      <c r="I3286" s="20" t="s">
        <v>6525</v>
      </c>
      <c r="J3286" s="18" t="s">
        <v>58</v>
      </c>
      <c r="K3286" s="18" t="s">
        <v>24</v>
      </c>
      <c r="L3286" s="18" t="s">
        <v>25</v>
      </c>
      <c r="N3286" s="18" t="s">
        <v>26</v>
      </c>
    </row>
    <row r="3287" spans="1:14" ht="15" customHeight="1" x14ac:dyDescent="0.3">
      <c r="A3287" s="18" t="s">
        <v>6378</v>
      </c>
      <c r="B3287" s="19" t="s">
        <v>15</v>
      </c>
      <c r="C3287" s="18" t="s">
        <v>149</v>
      </c>
      <c r="D3287" s="18" t="s">
        <v>17</v>
      </c>
      <c r="E3287" s="18" t="s">
        <v>55</v>
      </c>
      <c r="F3287" s="18" t="s">
        <v>744</v>
      </c>
      <c r="G3287" s="18" t="s">
        <v>381</v>
      </c>
      <c r="H3287" s="18" t="s">
        <v>6526</v>
      </c>
      <c r="I3287" s="20" t="s">
        <v>6527</v>
      </c>
      <c r="J3287" s="18" t="s">
        <v>58</v>
      </c>
      <c r="K3287" s="18" t="s">
        <v>24</v>
      </c>
      <c r="L3287" s="18" t="s">
        <v>25</v>
      </c>
      <c r="M3287" s="18" t="s">
        <v>39</v>
      </c>
      <c r="N3287" s="18" t="s">
        <v>154</v>
      </c>
    </row>
    <row r="3288" spans="1:14" ht="15" customHeight="1" x14ac:dyDescent="0.3">
      <c r="A3288" s="18" t="s">
        <v>6378</v>
      </c>
      <c r="B3288" s="19" t="s">
        <v>15</v>
      </c>
      <c r="C3288" s="18" t="s">
        <v>149</v>
      </c>
      <c r="D3288" s="18" t="s">
        <v>17</v>
      </c>
      <c r="E3288" s="18" t="s">
        <v>55</v>
      </c>
      <c r="F3288" s="18" t="s">
        <v>2124</v>
      </c>
      <c r="G3288" s="18" t="s">
        <v>913</v>
      </c>
      <c r="H3288" s="18" t="s">
        <v>6477</v>
      </c>
      <c r="I3288" s="20" t="s">
        <v>6528</v>
      </c>
      <c r="J3288" s="18" t="s">
        <v>58</v>
      </c>
      <c r="K3288" s="18" t="s">
        <v>24</v>
      </c>
      <c r="L3288" s="18" t="s">
        <v>25</v>
      </c>
      <c r="N3288" s="18" t="s">
        <v>154</v>
      </c>
    </row>
    <row r="3289" spans="1:14" ht="15" customHeight="1" x14ac:dyDescent="0.3">
      <c r="A3289" s="18" t="s">
        <v>6378</v>
      </c>
      <c r="B3289" s="19" t="s">
        <v>15</v>
      </c>
      <c r="C3289" s="18" t="s">
        <v>149</v>
      </c>
      <c r="D3289" s="18" t="s">
        <v>17</v>
      </c>
      <c r="E3289" s="18" t="s">
        <v>55</v>
      </c>
      <c r="F3289" s="18" t="s">
        <v>1239</v>
      </c>
      <c r="G3289" s="18" t="s">
        <v>1075</v>
      </c>
      <c r="H3289" s="18" t="s">
        <v>6477</v>
      </c>
      <c r="I3289" s="20" t="s">
        <v>6529</v>
      </c>
      <c r="J3289" s="18" t="s">
        <v>58</v>
      </c>
      <c r="K3289" s="18" t="s">
        <v>24</v>
      </c>
      <c r="L3289" s="18" t="s">
        <v>25</v>
      </c>
      <c r="N3289" s="18" t="s">
        <v>154</v>
      </c>
    </row>
    <row r="3290" spans="1:14" ht="15" customHeight="1" x14ac:dyDescent="0.3">
      <c r="A3290" s="18" t="s">
        <v>6378</v>
      </c>
      <c r="B3290" s="19" t="s">
        <v>15</v>
      </c>
      <c r="C3290" s="18" t="s">
        <v>149</v>
      </c>
      <c r="D3290" s="18" t="s">
        <v>17</v>
      </c>
      <c r="E3290" s="18" t="s">
        <v>55</v>
      </c>
      <c r="F3290" s="18" t="s">
        <v>6530</v>
      </c>
      <c r="G3290" s="18" t="s">
        <v>2380</v>
      </c>
      <c r="H3290" s="18" t="s">
        <v>6386</v>
      </c>
      <c r="I3290" s="20" t="s">
        <v>6531</v>
      </c>
      <c r="J3290" s="18" t="s">
        <v>58</v>
      </c>
      <c r="K3290" s="18" t="s">
        <v>24</v>
      </c>
      <c r="L3290" s="18" t="s">
        <v>25</v>
      </c>
      <c r="M3290" s="18" t="s">
        <v>39</v>
      </c>
      <c r="N3290" s="18" t="s">
        <v>154</v>
      </c>
    </row>
    <row r="3291" spans="1:14" ht="15" customHeight="1" x14ac:dyDescent="0.3">
      <c r="A3291" s="18" t="s">
        <v>6378</v>
      </c>
      <c r="B3291" s="19" t="s">
        <v>15</v>
      </c>
      <c r="C3291" s="18" t="s">
        <v>442</v>
      </c>
      <c r="D3291" s="18" t="s">
        <v>17</v>
      </c>
      <c r="E3291" s="18" t="s">
        <v>55</v>
      </c>
      <c r="F3291" s="18" t="s">
        <v>6532</v>
      </c>
      <c r="G3291" s="18" t="s">
        <v>6533</v>
      </c>
      <c r="H3291" s="18" t="s">
        <v>6495</v>
      </c>
      <c r="I3291" s="20" t="s">
        <v>6534</v>
      </c>
      <c r="J3291" s="18" t="s">
        <v>58</v>
      </c>
      <c r="K3291" s="18" t="s">
        <v>24</v>
      </c>
      <c r="L3291" s="18" t="s">
        <v>25</v>
      </c>
      <c r="M3291" s="18" t="s">
        <v>39</v>
      </c>
      <c r="N3291" s="18" t="s">
        <v>154</v>
      </c>
    </row>
    <row r="3292" spans="1:14" ht="15" customHeight="1" x14ac:dyDescent="0.3">
      <c r="A3292" s="18" t="s">
        <v>6378</v>
      </c>
      <c r="B3292" s="19" t="s">
        <v>15</v>
      </c>
      <c r="C3292" s="18" t="s">
        <v>210</v>
      </c>
      <c r="D3292" s="18" t="s">
        <v>17</v>
      </c>
      <c r="E3292" s="18" t="s">
        <v>55</v>
      </c>
      <c r="F3292" s="18" t="s">
        <v>5492</v>
      </c>
      <c r="G3292" s="18" t="s">
        <v>6535</v>
      </c>
      <c r="H3292" s="18" t="s">
        <v>6492</v>
      </c>
      <c r="I3292" s="20" t="s">
        <v>6536</v>
      </c>
      <c r="J3292" s="18" t="s">
        <v>58</v>
      </c>
      <c r="K3292" s="18" t="s">
        <v>24</v>
      </c>
      <c r="L3292" s="18" t="s">
        <v>25</v>
      </c>
      <c r="N3292" s="18" t="s">
        <v>26</v>
      </c>
    </row>
    <row r="3293" spans="1:14" ht="15" customHeight="1" x14ac:dyDescent="0.3">
      <c r="A3293" s="18" t="s">
        <v>6378</v>
      </c>
      <c r="B3293" s="19" t="s">
        <v>15</v>
      </c>
      <c r="C3293" s="18" t="s">
        <v>210</v>
      </c>
      <c r="D3293" s="18" t="s">
        <v>17</v>
      </c>
      <c r="E3293" s="18" t="s">
        <v>55</v>
      </c>
      <c r="F3293" s="18" t="s">
        <v>6537</v>
      </c>
      <c r="G3293" s="18" t="s">
        <v>5364</v>
      </c>
      <c r="H3293" s="18" t="s">
        <v>6538</v>
      </c>
      <c r="I3293" s="20" t="s">
        <v>6539</v>
      </c>
      <c r="J3293" s="18" t="s">
        <v>58</v>
      </c>
      <c r="K3293" s="18" t="s">
        <v>24</v>
      </c>
      <c r="L3293" s="18" t="s">
        <v>25</v>
      </c>
      <c r="N3293" s="18" t="s">
        <v>26</v>
      </c>
    </row>
    <row r="3294" spans="1:14" ht="15" customHeight="1" x14ac:dyDescent="0.3">
      <c r="A3294" s="18" t="s">
        <v>6378</v>
      </c>
      <c r="B3294" s="19" t="s">
        <v>15</v>
      </c>
      <c r="C3294" s="18" t="s">
        <v>210</v>
      </c>
      <c r="D3294" s="18" t="s">
        <v>17</v>
      </c>
      <c r="E3294" s="18" t="s">
        <v>55</v>
      </c>
      <c r="F3294" s="18" t="s">
        <v>6540</v>
      </c>
      <c r="G3294" s="18" t="s">
        <v>2396</v>
      </c>
      <c r="H3294" s="18" t="s">
        <v>6541</v>
      </c>
      <c r="I3294" s="20" t="s">
        <v>6542</v>
      </c>
      <c r="J3294" s="18" t="s">
        <v>58</v>
      </c>
      <c r="K3294" s="18" t="s">
        <v>24</v>
      </c>
      <c r="L3294" s="18" t="s">
        <v>25</v>
      </c>
      <c r="N3294" s="18" t="s">
        <v>26</v>
      </c>
    </row>
    <row r="3295" spans="1:14" ht="15" customHeight="1" x14ac:dyDescent="0.3">
      <c r="A3295" s="18" t="s">
        <v>6378</v>
      </c>
      <c r="B3295" s="19" t="s">
        <v>15</v>
      </c>
      <c r="C3295" s="18" t="s">
        <v>210</v>
      </c>
      <c r="D3295" s="18" t="s">
        <v>17</v>
      </c>
      <c r="E3295" s="18" t="s">
        <v>55</v>
      </c>
      <c r="F3295" s="18" t="s">
        <v>6543</v>
      </c>
      <c r="G3295" s="18" t="s">
        <v>6403</v>
      </c>
      <c r="H3295" s="18" t="s">
        <v>6544</v>
      </c>
      <c r="I3295" s="20" t="s">
        <v>6545</v>
      </c>
      <c r="J3295" s="18" t="s">
        <v>58</v>
      </c>
      <c r="K3295" s="18" t="s">
        <v>24</v>
      </c>
      <c r="L3295" s="18" t="s">
        <v>25</v>
      </c>
      <c r="M3295" s="18" t="s">
        <v>39</v>
      </c>
      <c r="N3295" s="18" t="s">
        <v>26</v>
      </c>
    </row>
    <row r="3296" spans="1:14" ht="15" customHeight="1" x14ac:dyDescent="0.3">
      <c r="A3296" s="18" t="s">
        <v>6378</v>
      </c>
      <c r="B3296" s="19" t="s">
        <v>15</v>
      </c>
      <c r="C3296" s="18" t="s">
        <v>210</v>
      </c>
      <c r="D3296" s="18" t="s">
        <v>17</v>
      </c>
      <c r="E3296" s="18" t="s">
        <v>55</v>
      </c>
      <c r="F3296" s="18" t="s">
        <v>6546</v>
      </c>
      <c r="G3296" s="18" t="s">
        <v>6252</v>
      </c>
      <c r="H3296" s="18" t="s">
        <v>6492</v>
      </c>
      <c r="I3296" s="20" t="s">
        <v>6547</v>
      </c>
      <c r="J3296" s="18" t="s">
        <v>58</v>
      </c>
      <c r="K3296" s="18" t="s">
        <v>24</v>
      </c>
      <c r="L3296" s="18" t="s">
        <v>25</v>
      </c>
      <c r="N3296" s="18" t="s">
        <v>26</v>
      </c>
    </row>
    <row r="3297" spans="1:14" ht="15" customHeight="1" x14ac:dyDescent="0.3">
      <c r="A3297" s="18" t="s">
        <v>6378</v>
      </c>
      <c r="B3297" s="19" t="s">
        <v>15</v>
      </c>
      <c r="C3297" s="18" t="s">
        <v>210</v>
      </c>
      <c r="D3297" s="18" t="s">
        <v>17</v>
      </c>
      <c r="E3297" s="18" t="s">
        <v>55</v>
      </c>
      <c r="F3297" s="18" t="s">
        <v>6432</v>
      </c>
      <c r="G3297" s="18" t="s">
        <v>6433</v>
      </c>
      <c r="H3297" s="18" t="s">
        <v>6492</v>
      </c>
      <c r="I3297" s="20" t="s">
        <v>6548</v>
      </c>
      <c r="J3297" s="18" t="s">
        <v>58</v>
      </c>
      <c r="K3297" s="18" t="s">
        <v>24</v>
      </c>
      <c r="L3297" s="18" t="s">
        <v>25</v>
      </c>
      <c r="M3297" s="18" t="s">
        <v>39</v>
      </c>
      <c r="N3297" s="18" t="s">
        <v>26</v>
      </c>
    </row>
    <row r="3298" spans="1:14" ht="15" customHeight="1" x14ac:dyDescent="0.3">
      <c r="A3298" s="18" t="s">
        <v>6378</v>
      </c>
      <c r="B3298" s="19" t="s">
        <v>15</v>
      </c>
      <c r="C3298" s="18" t="s">
        <v>149</v>
      </c>
      <c r="D3298" s="18" t="s">
        <v>17</v>
      </c>
      <c r="E3298" s="18" t="s">
        <v>55</v>
      </c>
      <c r="F3298" s="18" t="s">
        <v>5050</v>
      </c>
      <c r="G3298" s="18" t="s">
        <v>564</v>
      </c>
      <c r="H3298" s="18" t="s">
        <v>6515</v>
      </c>
      <c r="I3298" s="20" t="s">
        <v>6549</v>
      </c>
      <c r="J3298" s="18" t="s">
        <v>6474</v>
      </c>
      <c r="K3298" s="18" t="s">
        <v>24</v>
      </c>
      <c r="L3298" s="18" t="s">
        <v>25</v>
      </c>
      <c r="N3298" s="18" t="s">
        <v>154</v>
      </c>
    </row>
    <row r="3299" spans="1:14" ht="15" customHeight="1" x14ac:dyDescent="0.3">
      <c r="A3299" s="18" t="s">
        <v>6378</v>
      </c>
      <c r="B3299" s="19" t="s">
        <v>15</v>
      </c>
      <c r="C3299" s="18" t="s">
        <v>210</v>
      </c>
      <c r="D3299" s="18" t="s">
        <v>17</v>
      </c>
      <c r="E3299" s="18" t="s">
        <v>55</v>
      </c>
      <c r="F3299" s="18" t="s">
        <v>6550</v>
      </c>
      <c r="G3299" s="18" t="s">
        <v>564</v>
      </c>
      <c r="H3299" s="18" t="s">
        <v>6551</v>
      </c>
      <c r="I3299" s="20" t="s">
        <v>6552</v>
      </c>
      <c r="J3299" s="18" t="s">
        <v>73</v>
      </c>
      <c r="K3299" s="18" t="s">
        <v>24</v>
      </c>
      <c r="L3299" s="18" t="s">
        <v>25</v>
      </c>
      <c r="N3299" s="18" t="s">
        <v>26</v>
      </c>
    </row>
    <row r="3300" spans="1:14" ht="15" customHeight="1" x14ac:dyDescent="0.3">
      <c r="A3300" s="18" t="s">
        <v>6378</v>
      </c>
      <c r="B3300" s="19" t="s">
        <v>15</v>
      </c>
      <c r="C3300" s="18" t="s">
        <v>210</v>
      </c>
      <c r="D3300" s="18" t="s">
        <v>17</v>
      </c>
      <c r="E3300" s="18" t="s">
        <v>55</v>
      </c>
      <c r="F3300" s="18" t="s">
        <v>6553</v>
      </c>
      <c r="G3300" s="18" t="s">
        <v>564</v>
      </c>
      <c r="H3300" s="18" t="s">
        <v>6554</v>
      </c>
      <c r="I3300" s="20" t="s">
        <v>6555</v>
      </c>
      <c r="J3300" s="18" t="s">
        <v>199</v>
      </c>
      <c r="K3300" s="18" t="s">
        <v>24</v>
      </c>
      <c r="L3300" s="18" t="s">
        <v>25</v>
      </c>
      <c r="N3300" s="18" t="s">
        <v>26</v>
      </c>
    </row>
    <row r="3301" spans="1:14" ht="15" customHeight="1" x14ac:dyDescent="0.3">
      <c r="A3301" s="18" t="s">
        <v>6378</v>
      </c>
      <c r="B3301" s="19" t="s">
        <v>15</v>
      </c>
      <c r="C3301" s="18" t="s">
        <v>149</v>
      </c>
      <c r="D3301" s="18" t="s">
        <v>17</v>
      </c>
      <c r="E3301" s="18" t="s">
        <v>55</v>
      </c>
      <c r="F3301" s="18" t="s">
        <v>4387</v>
      </c>
      <c r="G3301" s="18" t="s">
        <v>1291</v>
      </c>
      <c r="H3301" s="18" t="s">
        <v>6386</v>
      </c>
      <c r="I3301" s="20" t="s">
        <v>6556</v>
      </c>
      <c r="J3301" s="18" t="s">
        <v>58</v>
      </c>
      <c r="K3301" s="18" t="s">
        <v>24</v>
      </c>
      <c r="L3301" s="18" t="s">
        <v>25</v>
      </c>
      <c r="N3301" s="18" t="s">
        <v>154</v>
      </c>
    </row>
    <row r="3302" spans="1:14" ht="15" customHeight="1" x14ac:dyDescent="0.3">
      <c r="A3302" s="18" t="s">
        <v>6378</v>
      </c>
      <c r="B3302" s="19" t="s">
        <v>15</v>
      </c>
      <c r="C3302" s="18" t="s">
        <v>442</v>
      </c>
      <c r="D3302" s="18" t="s">
        <v>17</v>
      </c>
      <c r="E3302" s="18" t="s">
        <v>55</v>
      </c>
      <c r="F3302" s="18" t="s">
        <v>2610</v>
      </c>
      <c r="G3302" s="18" t="s">
        <v>263</v>
      </c>
      <c r="H3302" s="18" t="s">
        <v>6495</v>
      </c>
      <c r="I3302" s="20" t="s">
        <v>6557</v>
      </c>
      <c r="J3302" s="18" t="s">
        <v>58</v>
      </c>
      <c r="K3302" s="18" t="s">
        <v>24</v>
      </c>
      <c r="L3302" s="18" t="s">
        <v>25</v>
      </c>
      <c r="N3302" s="18" t="s">
        <v>154</v>
      </c>
    </row>
    <row r="3303" spans="1:14" ht="15" customHeight="1" x14ac:dyDescent="0.3">
      <c r="A3303" s="18" t="s">
        <v>6378</v>
      </c>
      <c r="B3303" s="19" t="s">
        <v>15</v>
      </c>
      <c r="C3303" s="18" t="s">
        <v>210</v>
      </c>
      <c r="D3303" s="18" t="s">
        <v>17</v>
      </c>
      <c r="E3303" s="18" t="s">
        <v>55</v>
      </c>
      <c r="F3303" s="18" t="s">
        <v>6558</v>
      </c>
      <c r="G3303" s="18" t="s">
        <v>381</v>
      </c>
      <c r="H3303" s="18" t="s">
        <v>6559</v>
      </c>
      <c r="I3303" s="20" t="s">
        <v>6560</v>
      </c>
      <c r="J3303" s="18" t="s">
        <v>73</v>
      </c>
      <c r="K3303" s="18" t="s">
        <v>24</v>
      </c>
      <c r="L3303" s="18" t="s">
        <v>25</v>
      </c>
      <c r="M3303" s="18" t="s">
        <v>39</v>
      </c>
      <c r="N3303" s="18" t="s">
        <v>26</v>
      </c>
    </row>
    <row r="3304" spans="1:14" ht="15" customHeight="1" x14ac:dyDescent="0.3">
      <c r="A3304" s="18" t="s">
        <v>6378</v>
      </c>
      <c r="B3304" s="19" t="s">
        <v>15</v>
      </c>
      <c r="C3304" s="18" t="s">
        <v>149</v>
      </c>
      <c r="D3304" s="18" t="s">
        <v>17</v>
      </c>
      <c r="E3304" s="18" t="s">
        <v>55</v>
      </c>
      <c r="F3304" s="18" t="s">
        <v>40</v>
      </c>
      <c r="G3304" s="18" t="s">
        <v>41</v>
      </c>
      <c r="H3304" s="18" t="s">
        <v>6561</v>
      </c>
      <c r="I3304" s="20" t="s">
        <v>6562</v>
      </c>
      <c r="J3304" s="18" t="s">
        <v>6474</v>
      </c>
      <c r="K3304" s="18" t="s">
        <v>24</v>
      </c>
      <c r="L3304" s="18" t="s">
        <v>25</v>
      </c>
      <c r="N3304" s="18" t="s">
        <v>154</v>
      </c>
    </row>
    <row r="3305" spans="1:14" ht="15" customHeight="1" x14ac:dyDescent="0.3">
      <c r="A3305" s="18" t="s">
        <v>6378</v>
      </c>
      <c r="B3305" s="19" t="s">
        <v>15</v>
      </c>
      <c r="C3305" s="18" t="s">
        <v>149</v>
      </c>
      <c r="D3305" s="18" t="s">
        <v>17</v>
      </c>
      <c r="E3305" s="18" t="s">
        <v>55</v>
      </c>
      <c r="F3305" s="18" t="s">
        <v>2386</v>
      </c>
      <c r="G3305" s="18" t="s">
        <v>41</v>
      </c>
      <c r="H3305" s="18" t="s">
        <v>6563</v>
      </c>
      <c r="I3305" s="20" t="s">
        <v>6564</v>
      </c>
      <c r="J3305" s="18" t="s">
        <v>73</v>
      </c>
      <c r="K3305" s="18" t="s">
        <v>24</v>
      </c>
      <c r="L3305" s="18" t="s">
        <v>25</v>
      </c>
      <c r="N3305" s="18" t="s">
        <v>154</v>
      </c>
    </row>
    <row r="3306" spans="1:14" ht="15" customHeight="1" x14ac:dyDescent="0.3">
      <c r="A3306" s="18" t="s">
        <v>6378</v>
      </c>
      <c r="B3306" s="19" t="s">
        <v>15</v>
      </c>
      <c r="C3306" s="18" t="s">
        <v>149</v>
      </c>
      <c r="D3306" s="18" t="s">
        <v>17</v>
      </c>
      <c r="E3306" s="18" t="s">
        <v>55</v>
      </c>
      <c r="F3306" s="18" t="s">
        <v>6565</v>
      </c>
      <c r="G3306" s="18" t="s">
        <v>913</v>
      </c>
      <c r="H3306" s="18" t="s">
        <v>6477</v>
      </c>
      <c r="I3306" s="20" t="s">
        <v>6566</v>
      </c>
      <c r="J3306" s="18" t="s">
        <v>58</v>
      </c>
      <c r="K3306" s="18" t="s">
        <v>24</v>
      </c>
      <c r="L3306" s="18" t="s">
        <v>25</v>
      </c>
      <c r="M3306" s="18" t="s">
        <v>39</v>
      </c>
      <c r="N3306" s="18" t="s">
        <v>154</v>
      </c>
    </row>
    <row r="3307" spans="1:14" ht="15" customHeight="1" x14ac:dyDescent="0.3">
      <c r="A3307" s="18" t="s">
        <v>6378</v>
      </c>
      <c r="B3307" s="19" t="s">
        <v>15</v>
      </c>
      <c r="C3307" s="18" t="s">
        <v>4121</v>
      </c>
      <c r="D3307" s="18" t="s">
        <v>17</v>
      </c>
      <c r="E3307" s="18" t="s">
        <v>55</v>
      </c>
      <c r="F3307" s="18" t="s">
        <v>6567</v>
      </c>
      <c r="G3307" s="18" t="s">
        <v>1211</v>
      </c>
      <c r="H3307" s="18" t="s">
        <v>6568</v>
      </c>
      <c r="I3307" s="20" t="s">
        <v>6569</v>
      </c>
      <c r="J3307" s="18" t="s">
        <v>58</v>
      </c>
      <c r="K3307" s="18" t="s">
        <v>24</v>
      </c>
      <c r="L3307" s="18" t="s">
        <v>25</v>
      </c>
      <c r="N3307" s="18" t="s">
        <v>26</v>
      </c>
    </row>
    <row r="3308" spans="1:14" ht="15" customHeight="1" x14ac:dyDescent="0.3">
      <c r="A3308" s="18" t="s">
        <v>6378</v>
      </c>
      <c r="B3308" s="19" t="s">
        <v>15</v>
      </c>
      <c r="C3308" s="18" t="s">
        <v>210</v>
      </c>
      <c r="D3308" s="18" t="s">
        <v>17</v>
      </c>
      <c r="E3308" s="18" t="s">
        <v>55</v>
      </c>
      <c r="F3308" s="18" t="s">
        <v>6570</v>
      </c>
      <c r="G3308" s="18" t="s">
        <v>41</v>
      </c>
      <c r="H3308" s="18" t="s">
        <v>6571</v>
      </c>
      <c r="I3308" s="20" t="s">
        <v>6572</v>
      </c>
      <c r="J3308" s="18" t="s">
        <v>73</v>
      </c>
      <c r="K3308" s="18" t="s">
        <v>24</v>
      </c>
      <c r="L3308" s="18" t="s">
        <v>25</v>
      </c>
      <c r="N3308" s="18" t="s">
        <v>26</v>
      </c>
    </row>
    <row r="3309" spans="1:14" ht="15" customHeight="1" x14ac:dyDescent="0.3">
      <c r="A3309" s="18" t="s">
        <v>6378</v>
      </c>
      <c r="B3309" s="19" t="s">
        <v>15</v>
      </c>
      <c r="C3309" s="18" t="s">
        <v>210</v>
      </c>
      <c r="D3309" s="18" t="s">
        <v>17</v>
      </c>
      <c r="E3309" s="18" t="s">
        <v>55</v>
      </c>
      <c r="F3309" s="18" t="s">
        <v>6573</v>
      </c>
      <c r="G3309" s="18" t="s">
        <v>41</v>
      </c>
      <c r="H3309" s="18" t="s">
        <v>6574</v>
      </c>
      <c r="I3309" s="20" t="s">
        <v>6575</v>
      </c>
      <c r="J3309" s="18" t="s">
        <v>73</v>
      </c>
      <c r="K3309" s="18" t="s">
        <v>24</v>
      </c>
      <c r="L3309" s="18" t="s">
        <v>25</v>
      </c>
      <c r="N3309" s="18" t="s">
        <v>26</v>
      </c>
    </row>
    <row r="3310" spans="1:14" ht="15" customHeight="1" x14ac:dyDescent="0.3">
      <c r="A3310" s="18" t="s">
        <v>6378</v>
      </c>
      <c r="B3310" s="19" t="s">
        <v>15</v>
      </c>
      <c r="C3310" s="18" t="s">
        <v>210</v>
      </c>
      <c r="D3310" s="18" t="s">
        <v>17</v>
      </c>
      <c r="E3310" s="18" t="s">
        <v>55</v>
      </c>
      <c r="F3310" s="18" t="s">
        <v>6576</v>
      </c>
      <c r="G3310" s="18" t="s">
        <v>41</v>
      </c>
      <c r="H3310" s="18" t="s">
        <v>6577</v>
      </c>
      <c r="I3310" s="20" t="s">
        <v>6578</v>
      </c>
      <c r="J3310" s="18" t="s">
        <v>199</v>
      </c>
      <c r="K3310" s="18" t="s">
        <v>24</v>
      </c>
      <c r="L3310" s="18" t="s">
        <v>25</v>
      </c>
      <c r="N3310" s="18" t="s">
        <v>26</v>
      </c>
    </row>
    <row r="3311" spans="1:14" ht="15" customHeight="1" x14ac:dyDescent="0.3">
      <c r="A3311" s="18" t="s">
        <v>6378</v>
      </c>
      <c r="B3311" s="19" t="s">
        <v>15</v>
      </c>
      <c r="C3311" s="18" t="s">
        <v>149</v>
      </c>
      <c r="D3311" s="18" t="s">
        <v>17</v>
      </c>
      <c r="E3311" s="18" t="s">
        <v>55</v>
      </c>
      <c r="F3311" s="18" t="s">
        <v>6579</v>
      </c>
      <c r="G3311" s="18" t="s">
        <v>41</v>
      </c>
      <c r="H3311" s="18" t="s">
        <v>6386</v>
      </c>
      <c r="I3311" s="20" t="s">
        <v>6580</v>
      </c>
      <c r="J3311" s="18" t="s">
        <v>58</v>
      </c>
      <c r="K3311" s="18" t="s">
        <v>24</v>
      </c>
      <c r="L3311" s="18" t="s">
        <v>25</v>
      </c>
      <c r="N3311" s="18" t="s">
        <v>154</v>
      </c>
    </row>
    <row r="3312" spans="1:14" ht="15" customHeight="1" x14ac:dyDescent="0.3">
      <c r="A3312" s="18" t="s">
        <v>6378</v>
      </c>
      <c r="B3312" s="19" t="s">
        <v>15</v>
      </c>
      <c r="C3312" s="18" t="s">
        <v>149</v>
      </c>
      <c r="D3312" s="18" t="s">
        <v>17</v>
      </c>
      <c r="E3312" s="18" t="s">
        <v>55</v>
      </c>
      <c r="F3312" s="18" t="s">
        <v>1088</v>
      </c>
      <c r="G3312" s="18" t="s">
        <v>41</v>
      </c>
      <c r="H3312" s="18" t="s">
        <v>6518</v>
      </c>
      <c r="I3312" s="20" t="s">
        <v>6581</v>
      </c>
      <c r="J3312" s="18" t="s">
        <v>58</v>
      </c>
      <c r="K3312" s="18" t="s">
        <v>24</v>
      </c>
      <c r="L3312" s="18" t="s">
        <v>25</v>
      </c>
      <c r="M3312" s="18" t="s">
        <v>39</v>
      </c>
      <c r="N3312" s="18" t="s">
        <v>154</v>
      </c>
    </row>
    <row r="3313" spans="1:14" ht="15" customHeight="1" x14ac:dyDescent="0.3">
      <c r="A3313" s="18" t="s">
        <v>6378</v>
      </c>
      <c r="B3313" s="19" t="s">
        <v>15</v>
      </c>
      <c r="C3313" s="18" t="s">
        <v>210</v>
      </c>
      <c r="D3313" s="18" t="s">
        <v>17</v>
      </c>
      <c r="E3313" s="18" t="s">
        <v>55</v>
      </c>
      <c r="F3313" s="18" t="s">
        <v>6582</v>
      </c>
      <c r="G3313" s="18" t="s">
        <v>41</v>
      </c>
      <c r="H3313" s="18" t="s">
        <v>6583</v>
      </c>
      <c r="I3313" s="20" t="s">
        <v>6584</v>
      </c>
      <c r="J3313" s="18" t="s">
        <v>73</v>
      </c>
      <c r="K3313" s="18" t="s">
        <v>24</v>
      </c>
      <c r="L3313" s="18" t="s">
        <v>25</v>
      </c>
      <c r="N3313" s="18" t="s">
        <v>26</v>
      </c>
    </row>
    <row r="3314" spans="1:14" ht="15" customHeight="1" x14ac:dyDescent="0.3">
      <c r="A3314" s="18" t="s">
        <v>6378</v>
      </c>
      <c r="B3314" s="19" t="s">
        <v>15</v>
      </c>
      <c r="C3314" s="18" t="s">
        <v>210</v>
      </c>
      <c r="D3314" s="18" t="s">
        <v>17</v>
      </c>
      <c r="E3314" s="18" t="s">
        <v>55</v>
      </c>
      <c r="F3314" s="18" t="s">
        <v>6585</v>
      </c>
      <c r="G3314" s="18" t="s">
        <v>41</v>
      </c>
      <c r="H3314" s="18" t="s">
        <v>6586</v>
      </c>
      <c r="I3314" s="20" t="s">
        <v>6587</v>
      </c>
      <c r="J3314" s="18" t="s">
        <v>73</v>
      </c>
      <c r="K3314" s="18" t="s">
        <v>24</v>
      </c>
      <c r="L3314" s="18" t="s">
        <v>25</v>
      </c>
      <c r="N3314" s="18" t="s">
        <v>26</v>
      </c>
    </row>
    <row r="3315" spans="1:14" ht="15" customHeight="1" x14ac:dyDescent="0.3">
      <c r="A3315" s="18" t="s">
        <v>6378</v>
      </c>
      <c r="B3315" s="19" t="s">
        <v>15</v>
      </c>
      <c r="C3315" s="18" t="s">
        <v>210</v>
      </c>
      <c r="D3315" s="18" t="s">
        <v>17</v>
      </c>
      <c r="E3315" s="18" t="s">
        <v>55</v>
      </c>
      <c r="F3315" s="18" t="s">
        <v>6588</v>
      </c>
      <c r="G3315" s="18" t="s">
        <v>41</v>
      </c>
      <c r="H3315" s="18" t="s">
        <v>6589</v>
      </c>
      <c r="I3315" s="20" t="s">
        <v>6590</v>
      </c>
      <c r="J3315" s="18" t="s">
        <v>199</v>
      </c>
      <c r="K3315" s="18" t="s">
        <v>24</v>
      </c>
      <c r="L3315" s="18" t="s">
        <v>25</v>
      </c>
      <c r="N3315" s="18" t="s">
        <v>26</v>
      </c>
    </row>
    <row r="3316" spans="1:14" ht="15" customHeight="1" x14ac:dyDescent="0.3">
      <c r="A3316" s="18" t="s">
        <v>6378</v>
      </c>
      <c r="B3316" s="19" t="s">
        <v>15</v>
      </c>
      <c r="C3316" s="18" t="s">
        <v>210</v>
      </c>
      <c r="D3316" s="18" t="s">
        <v>17</v>
      </c>
      <c r="E3316" s="18" t="s">
        <v>55</v>
      </c>
      <c r="F3316" s="18" t="s">
        <v>6591</v>
      </c>
      <c r="G3316" s="18" t="s">
        <v>41</v>
      </c>
      <c r="H3316" s="18" t="s">
        <v>6592</v>
      </c>
      <c r="I3316" s="20" t="s">
        <v>6593</v>
      </c>
      <c r="J3316" s="18" t="s">
        <v>58</v>
      </c>
      <c r="K3316" s="18" t="s">
        <v>24</v>
      </c>
      <c r="L3316" s="18" t="s">
        <v>25</v>
      </c>
      <c r="M3316" s="18" t="s">
        <v>39</v>
      </c>
      <c r="N3316" s="18" t="s">
        <v>26</v>
      </c>
    </row>
    <row r="3317" spans="1:14" ht="15" customHeight="1" x14ac:dyDescent="0.3">
      <c r="A3317" s="18" t="s">
        <v>6378</v>
      </c>
      <c r="B3317" s="19" t="s">
        <v>15</v>
      </c>
      <c r="C3317" s="18" t="s">
        <v>210</v>
      </c>
      <c r="D3317" s="18" t="s">
        <v>17</v>
      </c>
      <c r="E3317" s="18" t="s">
        <v>55</v>
      </c>
      <c r="F3317" s="18" t="s">
        <v>6594</v>
      </c>
      <c r="G3317" s="18" t="s">
        <v>1059</v>
      </c>
      <c r="H3317" s="18" t="s">
        <v>6595</v>
      </c>
      <c r="I3317" s="20" t="s">
        <v>6596</v>
      </c>
      <c r="J3317" s="18" t="s">
        <v>73</v>
      </c>
      <c r="K3317" s="18" t="s">
        <v>24</v>
      </c>
      <c r="L3317" s="18" t="s">
        <v>25</v>
      </c>
      <c r="N3317" s="18" t="s">
        <v>26</v>
      </c>
    </row>
    <row r="3318" spans="1:14" ht="15" customHeight="1" x14ac:dyDescent="0.3">
      <c r="A3318" s="18" t="s">
        <v>6378</v>
      </c>
      <c r="B3318" s="19" t="s">
        <v>15</v>
      </c>
      <c r="C3318" s="18" t="s">
        <v>1124</v>
      </c>
      <c r="D3318" s="18" t="s">
        <v>17</v>
      </c>
      <c r="E3318" s="18" t="s">
        <v>55</v>
      </c>
      <c r="F3318" s="18" t="s">
        <v>6597</v>
      </c>
      <c r="G3318" s="18" t="s">
        <v>606</v>
      </c>
      <c r="H3318" s="18" t="s">
        <v>6598</v>
      </c>
      <c r="I3318" s="20" t="s">
        <v>6599</v>
      </c>
      <c r="J3318" s="18" t="s">
        <v>58</v>
      </c>
      <c r="K3318" s="18" t="s">
        <v>24</v>
      </c>
      <c r="L3318" s="18" t="s">
        <v>25</v>
      </c>
      <c r="N3318" s="18" t="s">
        <v>26</v>
      </c>
    </row>
    <row r="3319" spans="1:14" ht="15" customHeight="1" x14ac:dyDescent="0.3">
      <c r="A3319" s="18" t="s">
        <v>6378</v>
      </c>
      <c r="B3319" s="19" t="s">
        <v>15</v>
      </c>
      <c r="C3319" s="18" t="s">
        <v>210</v>
      </c>
      <c r="D3319" s="18" t="s">
        <v>17</v>
      </c>
      <c r="E3319" s="18" t="s">
        <v>55</v>
      </c>
      <c r="F3319" s="18" t="s">
        <v>6600</v>
      </c>
      <c r="G3319" s="18" t="s">
        <v>41</v>
      </c>
      <c r="H3319" s="18" t="s">
        <v>6601</v>
      </c>
      <c r="I3319" s="20" t="s">
        <v>6602</v>
      </c>
      <c r="J3319" s="18" t="s">
        <v>199</v>
      </c>
      <c r="K3319" s="18" t="s">
        <v>24</v>
      </c>
      <c r="L3319" s="18" t="s">
        <v>25</v>
      </c>
      <c r="N3319" s="18" t="s">
        <v>26</v>
      </c>
    </row>
    <row r="3320" spans="1:14" ht="15" customHeight="1" x14ac:dyDescent="0.3">
      <c r="A3320" s="18" t="s">
        <v>6378</v>
      </c>
      <c r="B3320" s="19" t="s">
        <v>15</v>
      </c>
      <c r="C3320" s="18" t="s">
        <v>210</v>
      </c>
      <c r="D3320" s="18" t="s">
        <v>17</v>
      </c>
      <c r="E3320" s="18" t="s">
        <v>55</v>
      </c>
      <c r="F3320" s="18" t="s">
        <v>6603</v>
      </c>
      <c r="G3320" s="18" t="s">
        <v>41</v>
      </c>
      <c r="H3320" s="18" t="s">
        <v>6604</v>
      </c>
      <c r="I3320" s="20" t="s">
        <v>6605</v>
      </c>
      <c r="J3320" s="18" t="s">
        <v>199</v>
      </c>
      <c r="K3320" s="18" t="s">
        <v>24</v>
      </c>
      <c r="L3320" s="18" t="s">
        <v>25</v>
      </c>
      <c r="N3320" s="18" t="s">
        <v>26</v>
      </c>
    </row>
    <row r="3321" spans="1:14" ht="15" customHeight="1" x14ac:dyDescent="0.3">
      <c r="A3321" s="18" t="s">
        <v>6378</v>
      </c>
      <c r="B3321" s="19" t="s">
        <v>15</v>
      </c>
      <c r="C3321" s="18" t="s">
        <v>210</v>
      </c>
      <c r="D3321" s="18" t="s">
        <v>17</v>
      </c>
      <c r="E3321" s="18" t="s">
        <v>55</v>
      </c>
      <c r="F3321" s="18" t="s">
        <v>6606</v>
      </c>
      <c r="G3321" s="18" t="s">
        <v>273</v>
      </c>
      <c r="H3321" s="18" t="s">
        <v>6607</v>
      </c>
      <c r="I3321" s="20" t="s">
        <v>6608</v>
      </c>
      <c r="J3321" s="18" t="s">
        <v>73</v>
      </c>
      <c r="K3321" s="18" t="s">
        <v>24</v>
      </c>
      <c r="L3321" s="18" t="s">
        <v>25</v>
      </c>
      <c r="N3321" s="18" t="s">
        <v>26</v>
      </c>
    </row>
    <row r="3322" spans="1:14" ht="15" customHeight="1" x14ac:dyDescent="0.3">
      <c r="A3322" s="18" t="s">
        <v>6378</v>
      </c>
      <c r="B3322" s="19" t="s">
        <v>15</v>
      </c>
      <c r="C3322" s="18" t="s">
        <v>149</v>
      </c>
      <c r="D3322" s="18" t="s">
        <v>17</v>
      </c>
      <c r="E3322" s="18" t="s">
        <v>55</v>
      </c>
      <c r="F3322" s="18" t="s">
        <v>1832</v>
      </c>
      <c r="G3322" s="18" t="s">
        <v>207</v>
      </c>
      <c r="H3322" s="18" t="s">
        <v>6515</v>
      </c>
      <c r="I3322" s="20" t="s">
        <v>6609</v>
      </c>
      <c r="J3322" s="18" t="s">
        <v>6474</v>
      </c>
      <c r="K3322" s="18" t="s">
        <v>24</v>
      </c>
      <c r="L3322" s="18" t="s">
        <v>25</v>
      </c>
      <c r="N3322" s="18" t="s">
        <v>154</v>
      </c>
    </row>
    <row r="3323" spans="1:14" ht="15" customHeight="1" x14ac:dyDescent="0.3">
      <c r="A3323" s="18" t="s">
        <v>6378</v>
      </c>
      <c r="B3323" s="19" t="s">
        <v>15</v>
      </c>
      <c r="C3323" s="18" t="s">
        <v>210</v>
      </c>
      <c r="D3323" s="18" t="s">
        <v>17</v>
      </c>
      <c r="E3323" s="18" t="s">
        <v>55</v>
      </c>
      <c r="F3323" s="18" t="s">
        <v>6610</v>
      </c>
      <c r="G3323" s="18" t="s">
        <v>207</v>
      </c>
      <c r="H3323" s="18" t="s">
        <v>6611</v>
      </c>
      <c r="I3323" s="20" t="s">
        <v>6612</v>
      </c>
      <c r="J3323" s="18" t="s">
        <v>199</v>
      </c>
      <c r="K3323" s="18" t="s">
        <v>24</v>
      </c>
      <c r="L3323" s="18" t="s">
        <v>25</v>
      </c>
      <c r="N3323" s="18" t="s">
        <v>26</v>
      </c>
    </row>
    <row r="3324" spans="1:14" ht="15" customHeight="1" x14ac:dyDescent="0.3">
      <c r="A3324" s="18" t="s">
        <v>6378</v>
      </c>
      <c r="B3324" s="19" t="s">
        <v>15</v>
      </c>
      <c r="C3324" s="18" t="s">
        <v>149</v>
      </c>
      <c r="D3324" s="18" t="s">
        <v>17</v>
      </c>
      <c r="E3324" s="18" t="s">
        <v>55</v>
      </c>
      <c r="F3324" s="18" t="s">
        <v>6613</v>
      </c>
      <c r="G3324" s="18" t="s">
        <v>606</v>
      </c>
      <c r="H3324" s="18" t="s">
        <v>6477</v>
      </c>
      <c r="I3324" s="20" t="s">
        <v>6614</v>
      </c>
      <c r="J3324" s="18" t="s">
        <v>58</v>
      </c>
      <c r="K3324" s="18" t="s">
        <v>24</v>
      </c>
      <c r="L3324" s="18" t="s">
        <v>25</v>
      </c>
      <c r="N3324" s="18" t="s">
        <v>154</v>
      </c>
    </row>
    <row r="3325" spans="1:14" ht="15" customHeight="1" x14ac:dyDescent="0.3">
      <c r="A3325" s="18" t="s">
        <v>6378</v>
      </c>
      <c r="B3325" s="19" t="s">
        <v>15</v>
      </c>
      <c r="C3325" s="18" t="s">
        <v>210</v>
      </c>
      <c r="D3325" s="18" t="s">
        <v>17</v>
      </c>
      <c r="E3325" s="18" t="s">
        <v>55</v>
      </c>
      <c r="F3325" s="18" t="s">
        <v>1531</v>
      </c>
      <c r="G3325" s="18" t="s">
        <v>606</v>
      </c>
      <c r="H3325" s="18" t="s">
        <v>6615</v>
      </c>
      <c r="I3325" s="20" t="s">
        <v>6616</v>
      </c>
      <c r="J3325" s="18" t="s">
        <v>58</v>
      </c>
      <c r="K3325" s="18" t="s">
        <v>24</v>
      </c>
      <c r="L3325" s="18" t="s">
        <v>25</v>
      </c>
      <c r="N3325" s="18" t="s">
        <v>26</v>
      </c>
    </row>
    <row r="3326" spans="1:14" ht="15" customHeight="1" x14ac:dyDescent="0.3">
      <c r="A3326" s="18" t="s">
        <v>6378</v>
      </c>
      <c r="B3326" s="19" t="s">
        <v>15</v>
      </c>
      <c r="C3326" s="18" t="s">
        <v>210</v>
      </c>
      <c r="D3326" s="18" t="s">
        <v>17</v>
      </c>
      <c r="E3326" s="18" t="s">
        <v>55</v>
      </c>
      <c r="F3326" s="18" t="s">
        <v>1535</v>
      </c>
      <c r="G3326" s="18" t="s">
        <v>340</v>
      </c>
      <c r="H3326" s="18" t="s">
        <v>6617</v>
      </c>
      <c r="I3326" s="20" t="s">
        <v>6618</v>
      </c>
      <c r="J3326" s="18" t="s">
        <v>58</v>
      </c>
      <c r="K3326" s="18" t="s">
        <v>24</v>
      </c>
      <c r="L3326" s="18" t="s">
        <v>25</v>
      </c>
      <c r="N3326" s="18" t="s">
        <v>26</v>
      </c>
    </row>
    <row r="3327" spans="1:14" ht="15" customHeight="1" x14ac:dyDescent="0.3">
      <c r="A3327" s="18" t="s">
        <v>6378</v>
      </c>
      <c r="B3327" s="19" t="s">
        <v>15</v>
      </c>
      <c r="C3327" s="18" t="s">
        <v>210</v>
      </c>
      <c r="D3327" s="18" t="s">
        <v>17</v>
      </c>
      <c r="E3327" s="18" t="s">
        <v>55</v>
      </c>
      <c r="F3327" s="18" t="s">
        <v>6619</v>
      </c>
      <c r="G3327" s="18" t="s">
        <v>1059</v>
      </c>
      <c r="H3327" s="18" t="s">
        <v>6620</v>
      </c>
      <c r="I3327" s="20" t="s">
        <v>6621</v>
      </c>
      <c r="J3327" s="18" t="s">
        <v>73</v>
      </c>
      <c r="K3327" s="18" t="s">
        <v>24</v>
      </c>
      <c r="L3327" s="18" t="s">
        <v>25</v>
      </c>
      <c r="N3327" s="18" t="s">
        <v>26</v>
      </c>
    </row>
    <row r="3328" spans="1:14" ht="15" customHeight="1" x14ac:dyDescent="0.3">
      <c r="A3328" s="18" t="s">
        <v>6378</v>
      </c>
      <c r="B3328" s="19" t="s">
        <v>15</v>
      </c>
      <c r="C3328" s="18" t="s">
        <v>442</v>
      </c>
      <c r="D3328" s="18" t="s">
        <v>17</v>
      </c>
      <c r="E3328" s="18" t="s">
        <v>55</v>
      </c>
      <c r="F3328" s="18" t="s">
        <v>6622</v>
      </c>
      <c r="G3328" s="18" t="s">
        <v>298</v>
      </c>
      <c r="H3328" s="18" t="s">
        <v>6623</v>
      </c>
      <c r="I3328" s="20" t="s">
        <v>6624</v>
      </c>
      <c r="J3328" s="18" t="s">
        <v>58</v>
      </c>
      <c r="K3328" s="18" t="s">
        <v>24</v>
      </c>
      <c r="L3328" s="18" t="s">
        <v>25</v>
      </c>
      <c r="N3328" s="18" t="s">
        <v>154</v>
      </c>
    </row>
    <row r="3329" spans="1:14" ht="15" customHeight="1" x14ac:dyDescent="0.3">
      <c r="A3329" s="18" t="s">
        <v>6378</v>
      </c>
      <c r="B3329" s="19" t="s">
        <v>15</v>
      </c>
      <c r="C3329" s="18" t="s">
        <v>149</v>
      </c>
      <c r="D3329" s="18" t="s">
        <v>17</v>
      </c>
      <c r="E3329" s="18" t="s">
        <v>55</v>
      </c>
      <c r="F3329" s="18" t="s">
        <v>340</v>
      </c>
      <c r="G3329" s="18" t="s">
        <v>340</v>
      </c>
      <c r="H3329" s="18" t="s">
        <v>6423</v>
      </c>
      <c r="I3329" s="20" t="s">
        <v>6625</v>
      </c>
      <c r="J3329" s="18" t="s">
        <v>58</v>
      </c>
      <c r="K3329" s="18" t="s">
        <v>24</v>
      </c>
      <c r="L3329" s="18" t="s">
        <v>25</v>
      </c>
      <c r="N3329" s="18" t="s">
        <v>154</v>
      </c>
    </row>
    <row r="3330" spans="1:14" ht="15" customHeight="1" x14ac:dyDescent="0.3">
      <c r="A3330" s="18" t="s">
        <v>6378</v>
      </c>
      <c r="B3330" s="19" t="s">
        <v>15</v>
      </c>
      <c r="C3330" s="18" t="s">
        <v>442</v>
      </c>
      <c r="D3330" s="18" t="s">
        <v>17</v>
      </c>
      <c r="E3330" s="18" t="s">
        <v>55</v>
      </c>
      <c r="F3330" s="18" t="s">
        <v>655</v>
      </c>
      <c r="G3330" s="18" t="s">
        <v>340</v>
      </c>
      <c r="H3330" s="18" t="s">
        <v>6495</v>
      </c>
      <c r="I3330" s="20" t="s">
        <v>6626</v>
      </c>
      <c r="J3330" s="18" t="s">
        <v>58</v>
      </c>
      <c r="K3330" s="18" t="s">
        <v>24</v>
      </c>
      <c r="L3330" s="18" t="s">
        <v>25</v>
      </c>
      <c r="N3330" s="18" t="s">
        <v>154</v>
      </c>
    </row>
    <row r="3331" spans="1:14" ht="15" customHeight="1" x14ac:dyDescent="0.3">
      <c r="A3331" s="18" t="s">
        <v>6378</v>
      </c>
      <c r="B3331" s="19" t="s">
        <v>15</v>
      </c>
      <c r="C3331" s="18" t="s">
        <v>442</v>
      </c>
      <c r="D3331" s="18" t="s">
        <v>17</v>
      </c>
      <c r="E3331" s="18" t="s">
        <v>55</v>
      </c>
      <c r="F3331" s="18" t="s">
        <v>1547</v>
      </c>
      <c r="G3331" s="18" t="s">
        <v>340</v>
      </c>
      <c r="H3331" s="18" t="s">
        <v>6495</v>
      </c>
      <c r="I3331" s="20" t="s">
        <v>6627</v>
      </c>
      <c r="J3331" s="18" t="s">
        <v>58</v>
      </c>
      <c r="K3331" s="18" t="s">
        <v>24</v>
      </c>
      <c r="L3331" s="18" t="s">
        <v>25</v>
      </c>
      <c r="N3331" s="18" t="s">
        <v>154</v>
      </c>
    </row>
    <row r="3332" spans="1:14" ht="15" customHeight="1" x14ac:dyDescent="0.3">
      <c r="A3332" s="18" t="s">
        <v>6378</v>
      </c>
      <c r="B3332" s="19" t="s">
        <v>15</v>
      </c>
      <c r="C3332" s="18" t="s">
        <v>210</v>
      </c>
      <c r="D3332" s="18" t="s">
        <v>17</v>
      </c>
      <c r="E3332" s="18" t="s">
        <v>55</v>
      </c>
      <c r="F3332" s="18" t="s">
        <v>6628</v>
      </c>
      <c r="G3332" s="18" t="s">
        <v>340</v>
      </c>
      <c r="H3332" s="18" t="s">
        <v>6492</v>
      </c>
      <c r="I3332" s="20" t="s">
        <v>6629</v>
      </c>
      <c r="J3332" s="18" t="s">
        <v>58</v>
      </c>
      <c r="K3332" s="18" t="s">
        <v>24</v>
      </c>
      <c r="L3332" s="18" t="s">
        <v>25</v>
      </c>
      <c r="N3332" s="18" t="s">
        <v>26</v>
      </c>
    </row>
    <row r="3333" spans="1:14" ht="15" customHeight="1" x14ac:dyDescent="0.3">
      <c r="A3333" s="18" t="s">
        <v>6378</v>
      </c>
      <c r="B3333" s="19" t="s">
        <v>15</v>
      </c>
      <c r="C3333" s="18" t="s">
        <v>210</v>
      </c>
      <c r="D3333" s="18" t="s">
        <v>17</v>
      </c>
      <c r="E3333" s="18" t="s">
        <v>55</v>
      </c>
      <c r="F3333" s="18" t="s">
        <v>6630</v>
      </c>
      <c r="G3333" s="18" t="s">
        <v>340</v>
      </c>
      <c r="H3333" s="18" t="s">
        <v>6607</v>
      </c>
      <c r="I3333" s="20" t="s">
        <v>6631</v>
      </c>
      <c r="J3333" s="18" t="s">
        <v>58</v>
      </c>
      <c r="K3333" s="18" t="s">
        <v>24</v>
      </c>
      <c r="L3333" s="18" t="s">
        <v>25</v>
      </c>
      <c r="N3333" s="18" t="s">
        <v>26</v>
      </c>
    </row>
    <row r="3334" spans="1:14" ht="15" customHeight="1" x14ac:dyDescent="0.3">
      <c r="A3334" s="18" t="s">
        <v>6378</v>
      </c>
      <c r="B3334" s="19" t="s">
        <v>15</v>
      </c>
      <c r="C3334" s="18" t="s">
        <v>442</v>
      </c>
      <c r="D3334" s="18" t="s">
        <v>17</v>
      </c>
      <c r="E3334" s="18" t="s">
        <v>55</v>
      </c>
      <c r="F3334" s="18" t="s">
        <v>6632</v>
      </c>
      <c r="G3334" s="18" t="s">
        <v>340</v>
      </c>
      <c r="H3334" s="18" t="s">
        <v>6495</v>
      </c>
      <c r="I3334" s="20" t="s">
        <v>6633</v>
      </c>
      <c r="J3334" s="18" t="s">
        <v>58</v>
      </c>
      <c r="K3334" s="18" t="s">
        <v>24</v>
      </c>
      <c r="L3334" s="18" t="s">
        <v>25</v>
      </c>
      <c r="N3334" s="18" t="s">
        <v>154</v>
      </c>
    </row>
    <row r="3335" spans="1:14" ht="15" customHeight="1" x14ac:dyDescent="0.3">
      <c r="A3335" s="18" t="s">
        <v>6378</v>
      </c>
      <c r="B3335" s="19" t="s">
        <v>15</v>
      </c>
      <c r="C3335" s="18" t="s">
        <v>149</v>
      </c>
      <c r="D3335" s="18" t="s">
        <v>17</v>
      </c>
      <c r="E3335" s="18" t="s">
        <v>55</v>
      </c>
      <c r="F3335" s="18" t="s">
        <v>6634</v>
      </c>
      <c r="G3335" s="18" t="s">
        <v>340</v>
      </c>
      <c r="H3335" s="18" t="s">
        <v>6635</v>
      </c>
      <c r="I3335" s="20" t="s">
        <v>6636</v>
      </c>
      <c r="J3335" s="18" t="s">
        <v>58</v>
      </c>
      <c r="K3335" s="18" t="s">
        <v>24</v>
      </c>
      <c r="L3335" s="18" t="s">
        <v>25</v>
      </c>
      <c r="N3335" s="18" t="s">
        <v>154</v>
      </c>
    </row>
    <row r="3336" spans="1:14" ht="15" customHeight="1" x14ac:dyDescent="0.3">
      <c r="A3336" s="18" t="s">
        <v>6378</v>
      </c>
      <c r="B3336" s="19" t="s">
        <v>15</v>
      </c>
      <c r="C3336" s="18" t="s">
        <v>210</v>
      </c>
      <c r="D3336" s="18" t="s">
        <v>17</v>
      </c>
      <c r="E3336" s="18" t="s">
        <v>55</v>
      </c>
      <c r="F3336" s="18" t="s">
        <v>6637</v>
      </c>
      <c r="G3336" s="18" t="s">
        <v>340</v>
      </c>
      <c r="H3336" s="18" t="s">
        <v>6638</v>
      </c>
      <c r="I3336" s="20" t="s">
        <v>6639</v>
      </c>
      <c r="J3336" s="18" t="s">
        <v>58</v>
      </c>
      <c r="K3336" s="18" t="s">
        <v>24</v>
      </c>
      <c r="L3336" s="18" t="s">
        <v>25</v>
      </c>
      <c r="N3336" s="18" t="s">
        <v>26</v>
      </c>
    </row>
    <row r="3337" spans="1:14" ht="15" customHeight="1" x14ac:dyDescent="0.3">
      <c r="A3337" s="18" t="s">
        <v>6378</v>
      </c>
      <c r="B3337" s="19" t="s">
        <v>15</v>
      </c>
      <c r="C3337" s="18" t="s">
        <v>210</v>
      </c>
      <c r="D3337" s="18" t="s">
        <v>17</v>
      </c>
      <c r="E3337" s="18" t="s">
        <v>55</v>
      </c>
      <c r="F3337" s="18" t="s">
        <v>6640</v>
      </c>
      <c r="G3337" s="18" t="s">
        <v>340</v>
      </c>
      <c r="H3337" s="18" t="s">
        <v>6492</v>
      </c>
      <c r="I3337" s="20" t="s">
        <v>6641</v>
      </c>
      <c r="J3337" s="18" t="s">
        <v>58</v>
      </c>
      <c r="K3337" s="18" t="s">
        <v>24</v>
      </c>
      <c r="L3337" s="18" t="s">
        <v>25</v>
      </c>
      <c r="N3337" s="18" t="s">
        <v>26</v>
      </c>
    </row>
    <row r="3338" spans="1:14" ht="15" customHeight="1" x14ac:dyDescent="0.3">
      <c r="A3338" s="18" t="s">
        <v>6378</v>
      </c>
      <c r="B3338" s="19" t="s">
        <v>15</v>
      </c>
      <c r="C3338" s="18" t="s">
        <v>210</v>
      </c>
      <c r="D3338" s="18" t="s">
        <v>17</v>
      </c>
      <c r="E3338" s="18" t="s">
        <v>55</v>
      </c>
      <c r="F3338" s="18" t="s">
        <v>6642</v>
      </c>
      <c r="G3338" s="18" t="s">
        <v>381</v>
      </c>
      <c r="H3338" s="18" t="s">
        <v>6643</v>
      </c>
      <c r="I3338" s="20" t="s">
        <v>6644</v>
      </c>
      <c r="J3338" s="18" t="s">
        <v>58</v>
      </c>
      <c r="K3338" s="18" t="s">
        <v>24</v>
      </c>
      <c r="L3338" s="18" t="s">
        <v>25</v>
      </c>
      <c r="N3338" s="18" t="s">
        <v>26</v>
      </c>
    </row>
    <row r="3339" spans="1:14" ht="15" customHeight="1" x14ac:dyDescent="0.3">
      <c r="A3339" s="18" t="s">
        <v>6378</v>
      </c>
      <c r="B3339" s="19" t="s">
        <v>15</v>
      </c>
      <c r="C3339" s="18" t="s">
        <v>210</v>
      </c>
      <c r="D3339" s="18" t="s">
        <v>17</v>
      </c>
      <c r="E3339" s="18" t="s">
        <v>55</v>
      </c>
      <c r="F3339" s="18" t="s">
        <v>6645</v>
      </c>
      <c r="G3339" s="18" t="s">
        <v>1059</v>
      </c>
      <c r="H3339" s="18" t="s">
        <v>6646</v>
      </c>
      <c r="I3339" s="20" t="s">
        <v>6647</v>
      </c>
      <c r="J3339" s="18" t="s">
        <v>73</v>
      </c>
      <c r="K3339" s="18" t="s">
        <v>24</v>
      </c>
      <c r="L3339" s="18" t="s">
        <v>25</v>
      </c>
      <c r="N3339" s="18" t="s">
        <v>26</v>
      </c>
    </row>
    <row r="3340" spans="1:14" ht="15" customHeight="1" x14ac:dyDescent="0.3">
      <c r="A3340" s="18" t="s">
        <v>6378</v>
      </c>
      <c r="B3340" s="19" t="s">
        <v>15</v>
      </c>
      <c r="C3340" s="18" t="s">
        <v>210</v>
      </c>
      <c r="D3340" s="18" t="s">
        <v>17</v>
      </c>
      <c r="E3340" s="18" t="s">
        <v>55</v>
      </c>
      <c r="F3340" s="18" t="s">
        <v>1102</v>
      </c>
      <c r="G3340" s="18" t="s">
        <v>263</v>
      </c>
      <c r="H3340" s="18" t="s">
        <v>6492</v>
      </c>
      <c r="I3340" s="20" t="s">
        <v>6648</v>
      </c>
      <c r="J3340" s="18" t="s">
        <v>58</v>
      </c>
      <c r="K3340" s="18" t="s">
        <v>24</v>
      </c>
      <c r="L3340" s="18" t="s">
        <v>25</v>
      </c>
      <c r="N3340" s="18" t="s">
        <v>26</v>
      </c>
    </row>
    <row r="3341" spans="1:14" ht="15" customHeight="1" x14ac:dyDescent="0.3">
      <c r="A3341" s="18" t="s">
        <v>6378</v>
      </c>
      <c r="B3341" s="19" t="s">
        <v>15</v>
      </c>
      <c r="C3341" s="18" t="s">
        <v>149</v>
      </c>
      <c r="D3341" s="18" t="s">
        <v>17</v>
      </c>
      <c r="E3341" s="18" t="s">
        <v>55</v>
      </c>
      <c r="F3341" s="18" t="s">
        <v>6649</v>
      </c>
      <c r="G3341" s="18" t="s">
        <v>913</v>
      </c>
      <c r="H3341" s="18" t="s">
        <v>6650</v>
      </c>
      <c r="I3341" s="20" t="s">
        <v>6651</v>
      </c>
      <c r="J3341" s="18" t="s">
        <v>58</v>
      </c>
      <c r="K3341" s="18" t="s">
        <v>24</v>
      </c>
      <c r="L3341" s="18" t="s">
        <v>25</v>
      </c>
      <c r="N3341" s="18" t="s">
        <v>154</v>
      </c>
    </row>
    <row r="3342" spans="1:14" ht="15" customHeight="1" x14ac:dyDescent="0.3">
      <c r="A3342" s="18" t="s">
        <v>6378</v>
      </c>
      <c r="B3342" s="19" t="s">
        <v>15</v>
      </c>
      <c r="C3342" s="18" t="s">
        <v>149</v>
      </c>
      <c r="D3342" s="18" t="s">
        <v>17</v>
      </c>
      <c r="E3342" s="18" t="s">
        <v>55</v>
      </c>
      <c r="F3342" s="18" t="s">
        <v>2069</v>
      </c>
      <c r="G3342" s="18" t="s">
        <v>1291</v>
      </c>
      <c r="H3342" s="18" t="s">
        <v>6386</v>
      </c>
      <c r="I3342" s="20" t="s">
        <v>6652</v>
      </c>
      <c r="J3342" s="18" t="s">
        <v>58</v>
      </c>
      <c r="K3342" s="18" t="s">
        <v>24</v>
      </c>
      <c r="L3342" s="18" t="s">
        <v>25</v>
      </c>
      <c r="N3342" s="18" t="s">
        <v>154</v>
      </c>
    </row>
    <row r="3343" spans="1:14" ht="15" customHeight="1" x14ac:dyDescent="0.3">
      <c r="A3343" s="18" t="s">
        <v>6378</v>
      </c>
      <c r="B3343" s="19" t="s">
        <v>15</v>
      </c>
      <c r="C3343" s="18" t="s">
        <v>210</v>
      </c>
      <c r="D3343" s="18" t="s">
        <v>17</v>
      </c>
      <c r="E3343" s="18" t="s">
        <v>55</v>
      </c>
      <c r="F3343" s="18" t="s">
        <v>6463</v>
      </c>
      <c r="G3343" s="18" t="s">
        <v>6403</v>
      </c>
      <c r="H3343" s="18" t="s">
        <v>6653</v>
      </c>
      <c r="I3343" s="20" t="s">
        <v>6654</v>
      </c>
      <c r="J3343" s="18" t="s">
        <v>58</v>
      </c>
      <c r="K3343" s="18" t="s">
        <v>24</v>
      </c>
      <c r="L3343" s="18" t="s">
        <v>25</v>
      </c>
      <c r="N3343" s="18" t="s">
        <v>26</v>
      </c>
    </row>
    <row r="3344" spans="1:14" ht="15" customHeight="1" x14ac:dyDescent="0.3">
      <c r="A3344" s="18" t="s">
        <v>6378</v>
      </c>
      <c r="B3344" s="19" t="s">
        <v>15</v>
      </c>
      <c r="C3344" s="18" t="s">
        <v>210</v>
      </c>
      <c r="D3344" s="18" t="s">
        <v>17</v>
      </c>
      <c r="E3344" s="18" t="s">
        <v>55</v>
      </c>
      <c r="F3344" s="18" t="s">
        <v>2434</v>
      </c>
      <c r="G3344" s="18" t="s">
        <v>298</v>
      </c>
      <c r="H3344" s="18" t="s">
        <v>6492</v>
      </c>
      <c r="I3344" s="20" t="s">
        <v>6655</v>
      </c>
      <c r="J3344" s="18" t="s">
        <v>58</v>
      </c>
      <c r="K3344" s="18" t="s">
        <v>24</v>
      </c>
      <c r="L3344" s="18" t="s">
        <v>25</v>
      </c>
      <c r="N3344" s="18" t="s">
        <v>26</v>
      </c>
    </row>
    <row r="3345" spans="1:14" ht="15" customHeight="1" x14ac:dyDescent="0.3">
      <c r="A3345" s="18" t="s">
        <v>6378</v>
      </c>
      <c r="B3345" s="19" t="s">
        <v>15</v>
      </c>
      <c r="C3345" s="18" t="s">
        <v>442</v>
      </c>
      <c r="D3345" s="18" t="s">
        <v>17</v>
      </c>
      <c r="E3345" s="18" t="s">
        <v>55</v>
      </c>
      <c r="F3345" s="18" t="s">
        <v>537</v>
      </c>
      <c r="G3345" s="18" t="s">
        <v>537</v>
      </c>
      <c r="H3345" s="18" t="s">
        <v>6495</v>
      </c>
      <c r="I3345" s="20" t="s">
        <v>6656</v>
      </c>
      <c r="J3345" s="18" t="s">
        <v>73</v>
      </c>
      <c r="K3345" s="18" t="s">
        <v>24</v>
      </c>
      <c r="L3345" s="18" t="s">
        <v>25</v>
      </c>
      <c r="N3345" s="18" t="s">
        <v>154</v>
      </c>
    </row>
    <row r="3346" spans="1:14" ht="15" customHeight="1" x14ac:dyDescent="0.3">
      <c r="A3346" s="18" t="s">
        <v>6378</v>
      </c>
      <c r="B3346" s="19" t="s">
        <v>15</v>
      </c>
      <c r="C3346" s="18" t="s">
        <v>1124</v>
      </c>
      <c r="D3346" s="18" t="s">
        <v>17</v>
      </c>
      <c r="E3346" s="18" t="s">
        <v>171</v>
      </c>
      <c r="F3346" s="18" t="s">
        <v>423</v>
      </c>
      <c r="G3346" s="18" t="s">
        <v>423</v>
      </c>
      <c r="H3346" s="18" t="s">
        <v>6524</v>
      </c>
      <c r="I3346" s="20" t="s">
        <v>6657</v>
      </c>
      <c r="J3346" s="18" t="s">
        <v>670</v>
      </c>
      <c r="K3346" s="18" t="s">
        <v>24</v>
      </c>
      <c r="L3346" s="18" t="s">
        <v>25</v>
      </c>
      <c r="N3346" s="18" t="s">
        <v>26</v>
      </c>
    </row>
    <row r="3347" spans="1:14" ht="15" customHeight="1" x14ac:dyDescent="0.3">
      <c r="A3347" s="18" t="s">
        <v>6378</v>
      </c>
      <c r="B3347" s="19" t="s">
        <v>15</v>
      </c>
      <c r="C3347" s="18" t="s">
        <v>3975</v>
      </c>
      <c r="D3347" s="18" t="s">
        <v>17</v>
      </c>
      <c r="E3347" s="18" t="s">
        <v>171</v>
      </c>
      <c r="F3347" s="18" t="s">
        <v>667</v>
      </c>
      <c r="G3347" s="18" t="s">
        <v>76</v>
      </c>
      <c r="H3347" s="18" t="s">
        <v>6400</v>
      </c>
      <c r="I3347" s="20" t="s">
        <v>6658</v>
      </c>
      <c r="J3347" s="18" t="s">
        <v>175</v>
      </c>
      <c r="K3347" s="18" t="s">
        <v>24</v>
      </c>
      <c r="L3347" s="18" t="s">
        <v>25</v>
      </c>
      <c r="N3347" s="18" t="s">
        <v>807</v>
      </c>
    </row>
    <row r="3348" spans="1:14" ht="15" customHeight="1" x14ac:dyDescent="0.3">
      <c r="A3348" s="18" t="s">
        <v>6378</v>
      </c>
      <c r="B3348" s="19" t="s">
        <v>15</v>
      </c>
      <c r="C3348" s="18" t="s">
        <v>442</v>
      </c>
      <c r="D3348" s="18" t="s">
        <v>17</v>
      </c>
      <c r="E3348" s="18" t="s">
        <v>171</v>
      </c>
      <c r="F3348" s="18" t="s">
        <v>6463</v>
      </c>
      <c r="G3348" s="18" t="s">
        <v>6403</v>
      </c>
      <c r="H3348" s="18" t="s">
        <v>6659</v>
      </c>
      <c r="I3348" s="20" t="s">
        <v>6660</v>
      </c>
      <c r="J3348" s="18" t="s">
        <v>175</v>
      </c>
      <c r="K3348" s="18" t="s">
        <v>24</v>
      </c>
      <c r="L3348" s="18" t="s">
        <v>25</v>
      </c>
      <c r="M3348" s="18" t="s">
        <v>39</v>
      </c>
      <c r="N3348" s="18" t="s">
        <v>154</v>
      </c>
    </row>
    <row r="3349" spans="1:14" ht="15" customHeight="1" x14ac:dyDescent="0.3">
      <c r="A3349" s="18" t="s">
        <v>6378</v>
      </c>
      <c r="B3349" s="19" t="s">
        <v>15</v>
      </c>
      <c r="C3349" s="18" t="s">
        <v>210</v>
      </c>
      <c r="D3349" s="18" t="s">
        <v>17</v>
      </c>
      <c r="E3349" s="18" t="s">
        <v>74</v>
      </c>
      <c r="F3349" s="18" t="s">
        <v>450</v>
      </c>
      <c r="G3349" s="18" t="s">
        <v>381</v>
      </c>
      <c r="H3349" s="18" t="s">
        <v>458</v>
      </c>
      <c r="I3349" s="20" t="s">
        <v>6661</v>
      </c>
      <c r="J3349" s="18" t="s">
        <v>6662</v>
      </c>
      <c r="K3349" s="18" t="s">
        <v>24</v>
      </c>
      <c r="L3349" s="18" t="s">
        <v>25</v>
      </c>
      <c r="N3349" s="18" t="s">
        <v>26</v>
      </c>
    </row>
    <row r="3350" spans="1:14" ht="15" customHeight="1" x14ac:dyDescent="0.3">
      <c r="A3350" s="18" t="s">
        <v>6378</v>
      </c>
      <c r="B3350" s="19" t="s">
        <v>15</v>
      </c>
      <c r="C3350" s="18" t="s">
        <v>149</v>
      </c>
      <c r="D3350" s="18" t="s">
        <v>17</v>
      </c>
      <c r="E3350" s="18" t="s">
        <v>74</v>
      </c>
      <c r="F3350" s="18" t="s">
        <v>6663</v>
      </c>
      <c r="G3350" s="18" t="s">
        <v>41</v>
      </c>
      <c r="H3350" s="18" t="s">
        <v>6664</v>
      </c>
      <c r="I3350" s="20" t="s">
        <v>6665</v>
      </c>
      <c r="J3350" s="18" t="s">
        <v>6666</v>
      </c>
      <c r="K3350" s="18" t="s">
        <v>24</v>
      </c>
      <c r="L3350" s="18" t="s">
        <v>25</v>
      </c>
      <c r="N3350" s="18" t="s">
        <v>154</v>
      </c>
    </row>
    <row r="3351" spans="1:14" ht="15" customHeight="1" x14ac:dyDescent="0.3">
      <c r="A3351" s="18" t="s">
        <v>6378</v>
      </c>
      <c r="B3351" s="19" t="s">
        <v>15</v>
      </c>
      <c r="C3351" s="18" t="s">
        <v>210</v>
      </c>
      <c r="D3351" s="18" t="s">
        <v>17</v>
      </c>
      <c r="E3351" s="18" t="s">
        <v>74</v>
      </c>
      <c r="F3351" s="18" t="s">
        <v>454</v>
      </c>
      <c r="G3351" s="18" t="s">
        <v>381</v>
      </c>
      <c r="H3351" s="18" t="s">
        <v>458</v>
      </c>
      <c r="I3351" s="20" t="s">
        <v>6667</v>
      </c>
      <c r="J3351" s="18" t="s">
        <v>6668</v>
      </c>
      <c r="K3351" s="18" t="s">
        <v>24</v>
      </c>
      <c r="L3351" s="18" t="s">
        <v>25</v>
      </c>
      <c r="N3351" s="18" t="s">
        <v>26</v>
      </c>
    </row>
    <row r="3352" spans="1:14" ht="15" customHeight="1" x14ac:dyDescent="0.3">
      <c r="A3352" s="18" t="s">
        <v>6378</v>
      </c>
      <c r="B3352" s="19" t="s">
        <v>15</v>
      </c>
      <c r="C3352" s="18" t="s">
        <v>210</v>
      </c>
      <c r="D3352" s="18" t="s">
        <v>17</v>
      </c>
      <c r="E3352" s="18" t="s">
        <v>74</v>
      </c>
      <c r="F3352" s="18" t="s">
        <v>457</v>
      </c>
      <c r="G3352" s="18" t="s">
        <v>381</v>
      </c>
      <c r="H3352" s="18" t="s">
        <v>458</v>
      </c>
      <c r="I3352" s="20" t="s">
        <v>6669</v>
      </c>
      <c r="J3352" s="18" t="s">
        <v>6668</v>
      </c>
      <c r="K3352" s="18" t="s">
        <v>24</v>
      </c>
      <c r="L3352" s="18" t="s">
        <v>25</v>
      </c>
      <c r="N3352" s="18" t="s">
        <v>26</v>
      </c>
    </row>
    <row r="3353" spans="1:14" ht="15" customHeight="1" x14ac:dyDescent="0.3">
      <c r="A3353" s="18" t="s">
        <v>6378</v>
      </c>
      <c r="B3353" s="19" t="s">
        <v>15</v>
      </c>
      <c r="C3353" s="18" t="s">
        <v>210</v>
      </c>
      <c r="D3353" s="18" t="s">
        <v>17</v>
      </c>
      <c r="E3353" s="18" t="s">
        <v>74</v>
      </c>
      <c r="F3353" s="18" t="s">
        <v>461</v>
      </c>
      <c r="G3353" s="18" t="s">
        <v>381</v>
      </c>
      <c r="H3353" s="18" t="s">
        <v>458</v>
      </c>
      <c r="I3353" s="20" t="s">
        <v>6670</v>
      </c>
      <c r="J3353" s="18" t="s">
        <v>6668</v>
      </c>
      <c r="K3353" s="18" t="s">
        <v>24</v>
      </c>
      <c r="L3353" s="18" t="s">
        <v>25</v>
      </c>
      <c r="N3353" s="18" t="s">
        <v>26</v>
      </c>
    </row>
    <row r="3354" spans="1:14" ht="15" customHeight="1" x14ac:dyDescent="0.3">
      <c r="A3354" s="18" t="s">
        <v>6378</v>
      </c>
      <c r="B3354" s="19" t="s">
        <v>15</v>
      </c>
      <c r="C3354" s="18" t="s">
        <v>149</v>
      </c>
      <c r="D3354" s="18" t="s">
        <v>17</v>
      </c>
      <c r="E3354" s="18" t="s">
        <v>74</v>
      </c>
      <c r="F3354" s="18" t="s">
        <v>6671</v>
      </c>
      <c r="G3354" s="18" t="s">
        <v>41</v>
      </c>
      <c r="H3354" s="18" t="s">
        <v>6664</v>
      </c>
      <c r="I3354" s="20" t="s">
        <v>6672</v>
      </c>
      <c r="J3354" s="18" t="s">
        <v>449</v>
      </c>
      <c r="K3354" s="18" t="s">
        <v>24</v>
      </c>
      <c r="L3354" s="18" t="s">
        <v>25</v>
      </c>
      <c r="N3354" s="18" t="s">
        <v>154</v>
      </c>
    </row>
    <row r="3355" spans="1:14" ht="15" customHeight="1" x14ac:dyDescent="0.3">
      <c r="A3355" s="18" t="s">
        <v>6378</v>
      </c>
      <c r="B3355" s="19" t="s">
        <v>15</v>
      </c>
      <c r="C3355" s="18" t="s">
        <v>210</v>
      </c>
      <c r="D3355" s="18" t="s">
        <v>17</v>
      </c>
      <c r="E3355" s="18" t="s">
        <v>74</v>
      </c>
      <c r="F3355" s="18" t="s">
        <v>6673</v>
      </c>
      <c r="G3355" s="18" t="s">
        <v>564</v>
      </c>
      <c r="H3355" s="18" t="s">
        <v>6674</v>
      </c>
      <c r="I3355" s="20" t="s">
        <v>6675</v>
      </c>
      <c r="J3355" s="18" t="s">
        <v>6676</v>
      </c>
      <c r="K3355" s="18" t="s">
        <v>24</v>
      </c>
      <c r="L3355" s="18" t="s">
        <v>25</v>
      </c>
      <c r="N3355" s="18" t="s">
        <v>26</v>
      </c>
    </row>
    <row r="3356" spans="1:14" ht="15" customHeight="1" x14ac:dyDescent="0.3">
      <c r="A3356" s="18" t="s">
        <v>6378</v>
      </c>
      <c r="B3356" s="19" t="s">
        <v>15</v>
      </c>
      <c r="C3356" s="18" t="s">
        <v>149</v>
      </c>
      <c r="D3356" s="18" t="s">
        <v>17</v>
      </c>
      <c r="E3356" s="18" t="s">
        <v>74</v>
      </c>
      <c r="F3356" s="18" t="s">
        <v>6677</v>
      </c>
      <c r="G3356" s="18" t="s">
        <v>85</v>
      </c>
      <c r="H3356" s="18" t="s">
        <v>6664</v>
      </c>
      <c r="I3356" s="20" t="s">
        <v>6678</v>
      </c>
      <c r="J3356" s="18" t="s">
        <v>449</v>
      </c>
      <c r="K3356" s="18" t="s">
        <v>24</v>
      </c>
      <c r="L3356" s="18" t="s">
        <v>25</v>
      </c>
      <c r="N3356" s="18" t="s">
        <v>154</v>
      </c>
    </row>
    <row r="3357" spans="1:14" ht="15" customHeight="1" x14ac:dyDescent="0.3">
      <c r="A3357" s="18" t="s">
        <v>6378</v>
      </c>
      <c r="B3357" s="19" t="s">
        <v>15</v>
      </c>
      <c r="C3357" s="18" t="s">
        <v>149</v>
      </c>
      <c r="D3357" s="18" t="s">
        <v>17</v>
      </c>
      <c r="E3357" s="18" t="s">
        <v>74</v>
      </c>
      <c r="F3357" s="18" t="s">
        <v>6679</v>
      </c>
      <c r="G3357" s="18" t="s">
        <v>85</v>
      </c>
      <c r="H3357" s="18" t="s">
        <v>6664</v>
      </c>
      <c r="I3357" s="20" t="s">
        <v>6680</v>
      </c>
      <c r="J3357" s="18" t="s">
        <v>449</v>
      </c>
      <c r="K3357" s="18" t="s">
        <v>24</v>
      </c>
      <c r="L3357" s="18" t="s">
        <v>25</v>
      </c>
      <c r="N3357" s="18" t="s">
        <v>154</v>
      </c>
    </row>
    <row r="3358" spans="1:14" ht="15" customHeight="1" x14ac:dyDescent="0.3">
      <c r="A3358" s="18" t="s">
        <v>6378</v>
      </c>
      <c r="B3358" s="19" t="s">
        <v>15</v>
      </c>
      <c r="C3358" s="18" t="s">
        <v>149</v>
      </c>
      <c r="D3358" s="18" t="s">
        <v>17</v>
      </c>
      <c r="E3358" s="18" t="s">
        <v>74</v>
      </c>
      <c r="F3358" s="18" t="s">
        <v>6681</v>
      </c>
      <c r="G3358" s="18" t="s">
        <v>41</v>
      </c>
      <c r="H3358" s="18" t="s">
        <v>6682</v>
      </c>
      <c r="I3358" s="20" t="s">
        <v>6683</v>
      </c>
      <c r="J3358" s="18" t="s">
        <v>449</v>
      </c>
      <c r="K3358" s="18" t="s">
        <v>24</v>
      </c>
      <c r="L3358" s="18" t="s">
        <v>25</v>
      </c>
      <c r="N3358" s="18" t="s">
        <v>154</v>
      </c>
    </row>
    <row r="3359" spans="1:14" ht="15" customHeight="1" x14ac:dyDescent="0.3">
      <c r="A3359" s="18" t="s">
        <v>6378</v>
      </c>
      <c r="B3359" s="19" t="s">
        <v>15</v>
      </c>
      <c r="C3359" s="18" t="s">
        <v>210</v>
      </c>
      <c r="D3359" s="18" t="s">
        <v>17</v>
      </c>
      <c r="E3359" s="18" t="s">
        <v>74</v>
      </c>
      <c r="F3359" s="18" t="s">
        <v>6684</v>
      </c>
      <c r="G3359" s="18" t="s">
        <v>41</v>
      </c>
      <c r="H3359" s="18" t="s">
        <v>6674</v>
      </c>
      <c r="I3359" s="20" t="s">
        <v>6685</v>
      </c>
      <c r="J3359" s="18" t="s">
        <v>6686</v>
      </c>
      <c r="K3359" s="18" t="s">
        <v>293</v>
      </c>
      <c r="L3359" s="18" t="s">
        <v>25</v>
      </c>
      <c r="N3359" s="18" t="s">
        <v>26</v>
      </c>
    </row>
    <row r="3360" spans="1:14" ht="15" customHeight="1" x14ac:dyDescent="0.3">
      <c r="A3360" s="18" t="s">
        <v>6378</v>
      </c>
      <c r="B3360" s="19" t="s">
        <v>15</v>
      </c>
      <c r="C3360" s="18" t="s">
        <v>149</v>
      </c>
      <c r="D3360" s="18" t="s">
        <v>17</v>
      </c>
      <c r="E3360" s="18" t="s">
        <v>74</v>
      </c>
      <c r="F3360" s="18" t="s">
        <v>6687</v>
      </c>
      <c r="G3360" s="18" t="s">
        <v>41</v>
      </c>
      <c r="H3360" s="18" t="s">
        <v>6664</v>
      </c>
      <c r="I3360" s="20" t="s">
        <v>6688</v>
      </c>
      <c r="J3360" s="18" t="s">
        <v>449</v>
      </c>
      <c r="K3360" s="18" t="s">
        <v>24</v>
      </c>
      <c r="L3360" s="18" t="s">
        <v>25</v>
      </c>
      <c r="N3360" s="18" t="s">
        <v>154</v>
      </c>
    </row>
    <row r="3361" spans="1:14" ht="15" customHeight="1" x14ac:dyDescent="0.3">
      <c r="A3361" s="18" t="s">
        <v>6378</v>
      </c>
      <c r="B3361" s="19" t="s">
        <v>15</v>
      </c>
      <c r="C3361" s="18" t="s">
        <v>210</v>
      </c>
      <c r="D3361" s="18" t="s">
        <v>17</v>
      </c>
      <c r="E3361" s="18" t="s">
        <v>74</v>
      </c>
      <c r="F3361" s="18" t="s">
        <v>6689</v>
      </c>
      <c r="G3361" s="18" t="s">
        <v>41</v>
      </c>
      <c r="H3361" s="18" t="s">
        <v>6690</v>
      </c>
      <c r="I3361" s="20" t="s">
        <v>6691</v>
      </c>
      <c r="J3361" s="18" t="s">
        <v>449</v>
      </c>
      <c r="K3361" s="18" t="s">
        <v>24</v>
      </c>
      <c r="L3361" s="18" t="s">
        <v>25</v>
      </c>
      <c r="N3361" s="18" t="s">
        <v>26</v>
      </c>
    </row>
    <row r="3362" spans="1:14" ht="15" customHeight="1" x14ac:dyDescent="0.3">
      <c r="A3362" s="18" t="s">
        <v>6378</v>
      </c>
      <c r="B3362" s="19" t="s">
        <v>15</v>
      </c>
      <c r="C3362" s="18" t="s">
        <v>210</v>
      </c>
      <c r="D3362" s="18" t="s">
        <v>17</v>
      </c>
      <c r="E3362" s="18" t="s">
        <v>74</v>
      </c>
      <c r="F3362" s="18" t="s">
        <v>6692</v>
      </c>
      <c r="G3362" s="18" t="s">
        <v>41</v>
      </c>
      <c r="H3362" s="18" t="s">
        <v>388</v>
      </c>
      <c r="I3362" s="20" t="s">
        <v>6693</v>
      </c>
      <c r="J3362" s="18" t="s">
        <v>6694</v>
      </c>
      <c r="K3362" s="18" t="s">
        <v>24</v>
      </c>
      <c r="L3362" s="18" t="s">
        <v>25</v>
      </c>
      <c r="N3362" s="18" t="s">
        <v>26</v>
      </c>
    </row>
    <row r="3363" spans="1:14" ht="15" customHeight="1" x14ac:dyDescent="0.3">
      <c r="A3363" s="18" t="s">
        <v>6378</v>
      </c>
      <c r="B3363" s="19" t="s">
        <v>15</v>
      </c>
      <c r="C3363" s="18" t="s">
        <v>210</v>
      </c>
      <c r="D3363" s="18" t="s">
        <v>17</v>
      </c>
      <c r="E3363" s="18" t="s">
        <v>74</v>
      </c>
      <c r="F3363" s="18" t="s">
        <v>6695</v>
      </c>
      <c r="G3363" s="18" t="s">
        <v>381</v>
      </c>
      <c r="H3363" s="18" t="s">
        <v>388</v>
      </c>
      <c r="I3363" s="20" t="s">
        <v>6696</v>
      </c>
      <c r="J3363" s="18" t="s">
        <v>6697</v>
      </c>
      <c r="K3363" s="18" t="s">
        <v>24</v>
      </c>
      <c r="L3363" s="18" t="s">
        <v>25</v>
      </c>
      <c r="N3363" s="18" t="s">
        <v>26</v>
      </c>
    </row>
    <row r="3364" spans="1:14" ht="15" customHeight="1" x14ac:dyDescent="0.3">
      <c r="A3364" s="18" t="s">
        <v>6378</v>
      </c>
      <c r="B3364" s="19" t="s">
        <v>15</v>
      </c>
      <c r="C3364" s="18" t="s">
        <v>149</v>
      </c>
      <c r="D3364" s="18" t="s">
        <v>17</v>
      </c>
      <c r="E3364" s="18" t="s">
        <v>74</v>
      </c>
      <c r="F3364" s="18" t="s">
        <v>6698</v>
      </c>
      <c r="G3364" s="18" t="s">
        <v>41</v>
      </c>
      <c r="H3364" s="18" t="s">
        <v>6664</v>
      </c>
      <c r="I3364" s="20" t="s">
        <v>6699</v>
      </c>
      <c r="J3364" s="18" t="s">
        <v>449</v>
      </c>
      <c r="K3364" s="18" t="s">
        <v>24</v>
      </c>
      <c r="L3364" s="18" t="s">
        <v>25</v>
      </c>
      <c r="N3364" s="18" t="s">
        <v>154</v>
      </c>
    </row>
    <row r="3365" spans="1:14" ht="15" customHeight="1" x14ac:dyDescent="0.3">
      <c r="A3365" s="18" t="s">
        <v>6378</v>
      </c>
      <c r="B3365" s="19" t="s">
        <v>15</v>
      </c>
      <c r="C3365" s="18" t="s">
        <v>149</v>
      </c>
      <c r="D3365" s="18" t="s">
        <v>17</v>
      </c>
      <c r="E3365" s="18" t="s">
        <v>74</v>
      </c>
      <c r="F3365" s="18" t="s">
        <v>6700</v>
      </c>
      <c r="G3365" s="18" t="s">
        <v>41</v>
      </c>
      <c r="H3365" s="18" t="s">
        <v>6664</v>
      </c>
      <c r="I3365" s="20" t="s">
        <v>6701</v>
      </c>
      <c r="J3365" s="18" t="s">
        <v>449</v>
      </c>
      <c r="K3365" s="18" t="s">
        <v>24</v>
      </c>
      <c r="L3365" s="18" t="s">
        <v>25</v>
      </c>
      <c r="N3365" s="18" t="s">
        <v>154</v>
      </c>
    </row>
    <row r="3366" spans="1:14" ht="15" customHeight="1" x14ac:dyDescent="0.3">
      <c r="A3366" s="18" t="s">
        <v>6378</v>
      </c>
      <c r="B3366" s="19" t="s">
        <v>15</v>
      </c>
      <c r="C3366" s="18" t="s">
        <v>210</v>
      </c>
      <c r="D3366" s="18" t="s">
        <v>17</v>
      </c>
      <c r="E3366" s="18" t="s">
        <v>74</v>
      </c>
      <c r="F3366" s="18" t="s">
        <v>6702</v>
      </c>
      <c r="G3366" s="18" t="s">
        <v>80</v>
      </c>
      <c r="H3366" s="18" t="s">
        <v>388</v>
      </c>
      <c r="I3366" s="20" t="s">
        <v>6703</v>
      </c>
      <c r="J3366" s="18" t="s">
        <v>390</v>
      </c>
      <c r="K3366" s="18" t="s">
        <v>24</v>
      </c>
      <c r="L3366" s="18" t="s">
        <v>25</v>
      </c>
      <c r="N3366" s="18" t="s">
        <v>26</v>
      </c>
    </row>
    <row r="3367" spans="1:14" ht="15" customHeight="1" x14ac:dyDescent="0.3">
      <c r="A3367" s="18" t="s">
        <v>6378</v>
      </c>
      <c r="B3367" s="19" t="s">
        <v>15</v>
      </c>
      <c r="C3367" s="18" t="s">
        <v>210</v>
      </c>
      <c r="D3367" s="18" t="s">
        <v>17</v>
      </c>
      <c r="E3367" s="18" t="s">
        <v>74</v>
      </c>
      <c r="F3367" s="18" t="s">
        <v>6704</v>
      </c>
      <c r="G3367" s="18" t="s">
        <v>423</v>
      </c>
      <c r="H3367" s="18" t="s">
        <v>388</v>
      </c>
      <c r="I3367" s="20" t="s">
        <v>6705</v>
      </c>
      <c r="J3367" s="18" t="s">
        <v>6706</v>
      </c>
      <c r="K3367" s="18" t="s">
        <v>24</v>
      </c>
      <c r="L3367" s="18" t="s">
        <v>25</v>
      </c>
      <c r="N3367" s="18" t="s">
        <v>26</v>
      </c>
    </row>
    <row r="3368" spans="1:14" ht="15" customHeight="1" x14ac:dyDescent="0.3">
      <c r="A3368" s="18" t="s">
        <v>6378</v>
      </c>
      <c r="B3368" s="19" t="s">
        <v>15</v>
      </c>
      <c r="C3368" s="18" t="s">
        <v>149</v>
      </c>
      <c r="D3368" s="18" t="s">
        <v>17</v>
      </c>
      <c r="E3368" s="18" t="s">
        <v>74</v>
      </c>
      <c r="F3368" s="18" t="s">
        <v>6707</v>
      </c>
      <c r="G3368" s="18" t="s">
        <v>423</v>
      </c>
      <c r="H3368" s="18" t="s">
        <v>6664</v>
      </c>
      <c r="I3368" s="20" t="s">
        <v>6708</v>
      </c>
      <c r="J3368" s="18" t="s">
        <v>449</v>
      </c>
      <c r="K3368" s="18" t="s">
        <v>24</v>
      </c>
      <c r="L3368" s="18" t="s">
        <v>25</v>
      </c>
      <c r="N3368" s="18" t="s">
        <v>154</v>
      </c>
    </row>
    <row r="3369" spans="1:14" ht="15" customHeight="1" x14ac:dyDescent="0.3">
      <c r="A3369" s="18" t="s">
        <v>6378</v>
      </c>
      <c r="B3369" s="19" t="s">
        <v>15</v>
      </c>
      <c r="C3369" s="18" t="s">
        <v>210</v>
      </c>
      <c r="D3369" s="18" t="s">
        <v>17</v>
      </c>
      <c r="E3369" s="18" t="s">
        <v>74</v>
      </c>
      <c r="F3369" s="18" t="s">
        <v>6709</v>
      </c>
      <c r="G3369" s="18" t="s">
        <v>340</v>
      </c>
      <c r="H3369" s="18" t="s">
        <v>388</v>
      </c>
      <c r="I3369" s="20" t="s">
        <v>6710</v>
      </c>
      <c r="J3369" s="18" t="s">
        <v>390</v>
      </c>
      <c r="K3369" s="18" t="s">
        <v>24</v>
      </c>
      <c r="L3369" s="18" t="s">
        <v>25</v>
      </c>
      <c r="N3369" s="18" t="s">
        <v>26</v>
      </c>
    </row>
    <row r="3370" spans="1:14" ht="15" customHeight="1" x14ac:dyDescent="0.3">
      <c r="A3370" s="18" t="s">
        <v>6378</v>
      </c>
      <c r="B3370" s="19" t="s">
        <v>15</v>
      </c>
      <c r="C3370" s="18" t="s">
        <v>210</v>
      </c>
      <c r="D3370" s="18" t="s">
        <v>17</v>
      </c>
      <c r="E3370" s="18" t="s">
        <v>74</v>
      </c>
      <c r="F3370" s="18" t="s">
        <v>6711</v>
      </c>
      <c r="G3370" s="18" t="s">
        <v>340</v>
      </c>
      <c r="H3370" s="18" t="s">
        <v>388</v>
      </c>
      <c r="I3370" s="20" t="s">
        <v>6712</v>
      </c>
      <c r="J3370" s="18" t="s">
        <v>390</v>
      </c>
      <c r="K3370" s="18" t="s">
        <v>24</v>
      </c>
      <c r="L3370" s="18" t="s">
        <v>25</v>
      </c>
      <c r="N3370" s="18" t="s">
        <v>26</v>
      </c>
    </row>
    <row r="3371" spans="1:14" ht="15" customHeight="1" x14ac:dyDescent="0.3">
      <c r="A3371" s="18" t="s">
        <v>6378</v>
      </c>
      <c r="B3371" s="19" t="s">
        <v>15</v>
      </c>
      <c r="C3371" s="18" t="s">
        <v>210</v>
      </c>
      <c r="D3371" s="18" t="s">
        <v>17</v>
      </c>
      <c r="E3371" s="18" t="s">
        <v>74</v>
      </c>
      <c r="F3371" s="18" t="s">
        <v>6713</v>
      </c>
      <c r="G3371" s="18" t="s">
        <v>80</v>
      </c>
      <c r="H3371" s="18" t="s">
        <v>388</v>
      </c>
      <c r="I3371" s="20" t="s">
        <v>6714</v>
      </c>
      <c r="J3371" s="18" t="s">
        <v>6694</v>
      </c>
      <c r="K3371" s="18" t="s">
        <v>24</v>
      </c>
      <c r="L3371" s="18" t="s">
        <v>25</v>
      </c>
      <c r="N3371" s="18" t="s">
        <v>26</v>
      </c>
    </row>
    <row r="3372" spans="1:14" ht="15" customHeight="1" x14ac:dyDescent="0.3">
      <c r="A3372" s="18" t="s">
        <v>6378</v>
      </c>
      <c r="B3372" s="19" t="s">
        <v>15</v>
      </c>
      <c r="C3372" s="18" t="s">
        <v>149</v>
      </c>
      <c r="D3372" s="18" t="s">
        <v>17</v>
      </c>
      <c r="E3372" s="18" t="s">
        <v>74</v>
      </c>
      <c r="F3372" s="18" t="s">
        <v>6715</v>
      </c>
      <c r="G3372" s="18" t="s">
        <v>6716</v>
      </c>
      <c r="H3372" s="18" t="s">
        <v>6664</v>
      </c>
      <c r="I3372" s="20" t="s">
        <v>6717</v>
      </c>
      <c r="J3372" s="18" t="s">
        <v>6718</v>
      </c>
      <c r="K3372" s="18" t="s">
        <v>24</v>
      </c>
      <c r="L3372" s="18" t="s">
        <v>25</v>
      </c>
      <c r="N3372" s="18" t="s">
        <v>154</v>
      </c>
    </row>
    <row r="3373" spans="1:14" ht="15" customHeight="1" x14ac:dyDescent="0.3">
      <c r="A3373" s="18" t="s">
        <v>6378</v>
      </c>
      <c r="B3373" s="19" t="s">
        <v>15</v>
      </c>
      <c r="C3373" s="18" t="s">
        <v>210</v>
      </c>
      <c r="D3373" s="18" t="s">
        <v>17</v>
      </c>
      <c r="E3373" s="18" t="s">
        <v>74</v>
      </c>
      <c r="F3373" s="18" t="s">
        <v>6719</v>
      </c>
      <c r="G3373" s="18" t="s">
        <v>88</v>
      </c>
      <c r="H3373" s="18" t="s">
        <v>388</v>
      </c>
      <c r="I3373" s="20" t="s">
        <v>6720</v>
      </c>
      <c r="J3373" s="18" t="s">
        <v>6721</v>
      </c>
      <c r="K3373" s="18" t="s">
        <v>24</v>
      </c>
      <c r="L3373" s="18" t="s">
        <v>25</v>
      </c>
      <c r="N3373" s="18" t="s">
        <v>26</v>
      </c>
    </row>
    <row r="3374" spans="1:14" ht="15" customHeight="1" x14ac:dyDescent="0.3">
      <c r="A3374" s="18" t="s">
        <v>6378</v>
      </c>
      <c r="B3374" s="19" t="s">
        <v>15</v>
      </c>
      <c r="C3374" s="18" t="s">
        <v>210</v>
      </c>
      <c r="D3374" s="18" t="s">
        <v>17</v>
      </c>
      <c r="E3374" s="18" t="s">
        <v>74</v>
      </c>
      <c r="F3374" s="18" t="s">
        <v>469</v>
      </c>
      <c r="G3374" s="18" t="s">
        <v>381</v>
      </c>
      <c r="H3374" s="18" t="s">
        <v>458</v>
      </c>
      <c r="I3374" s="20" t="s">
        <v>6722</v>
      </c>
      <c r="J3374" s="18" t="s">
        <v>6723</v>
      </c>
      <c r="K3374" s="18" t="s">
        <v>24</v>
      </c>
      <c r="L3374" s="18" t="s">
        <v>25</v>
      </c>
      <c r="N3374" s="18" t="s">
        <v>26</v>
      </c>
    </row>
    <row r="3375" spans="1:14" ht="15" customHeight="1" x14ac:dyDescent="0.3">
      <c r="A3375" s="18" t="s">
        <v>6378</v>
      </c>
      <c r="B3375" s="19" t="s">
        <v>15</v>
      </c>
      <c r="C3375" s="18" t="s">
        <v>210</v>
      </c>
      <c r="D3375" s="18" t="s">
        <v>17</v>
      </c>
      <c r="E3375" s="18" t="s">
        <v>74</v>
      </c>
      <c r="F3375" s="18" t="s">
        <v>472</v>
      </c>
      <c r="G3375" s="18" t="s">
        <v>381</v>
      </c>
      <c r="H3375" s="18" t="s">
        <v>458</v>
      </c>
      <c r="I3375" s="20" t="s">
        <v>6724</v>
      </c>
      <c r="J3375" s="18" t="s">
        <v>6725</v>
      </c>
      <c r="K3375" s="18" t="s">
        <v>24</v>
      </c>
      <c r="L3375" s="18" t="s">
        <v>25</v>
      </c>
      <c r="N3375" s="18" t="s">
        <v>26</v>
      </c>
    </row>
    <row r="3376" spans="1:14" ht="15" customHeight="1" x14ac:dyDescent="0.3">
      <c r="A3376" s="18" t="s">
        <v>6378</v>
      </c>
      <c r="B3376" s="19" t="s">
        <v>15</v>
      </c>
      <c r="C3376" s="18" t="s">
        <v>210</v>
      </c>
      <c r="D3376" s="18" t="s">
        <v>17</v>
      </c>
      <c r="E3376" s="18" t="s">
        <v>74</v>
      </c>
      <c r="F3376" s="18" t="s">
        <v>6726</v>
      </c>
      <c r="G3376" s="18" t="s">
        <v>41</v>
      </c>
      <c r="H3376" s="18" t="s">
        <v>6727</v>
      </c>
      <c r="I3376" s="20" t="s">
        <v>6728</v>
      </c>
      <c r="J3376" s="18" t="s">
        <v>6729</v>
      </c>
      <c r="K3376" s="18" t="s">
        <v>24</v>
      </c>
      <c r="L3376" s="18" t="s">
        <v>25</v>
      </c>
      <c r="N3376" s="18" t="s">
        <v>26</v>
      </c>
    </row>
    <row r="3377" spans="1:14" ht="15" customHeight="1" x14ac:dyDescent="0.3">
      <c r="A3377" s="18" t="s">
        <v>6378</v>
      </c>
      <c r="B3377" s="19" t="s">
        <v>15</v>
      </c>
      <c r="C3377" s="18" t="s">
        <v>210</v>
      </c>
      <c r="D3377" s="18" t="s">
        <v>17</v>
      </c>
      <c r="E3377" s="18" t="s">
        <v>74</v>
      </c>
      <c r="F3377" s="18" t="s">
        <v>6730</v>
      </c>
      <c r="G3377" s="18" t="s">
        <v>41</v>
      </c>
      <c r="H3377" s="18" t="s">
        <v>6731</v>
      </c>
      <c r="I3377" s="20" t="s">
        <v>6732</v>
      </c>
      <c r="J3377" s="18" t="s">
        <v>6733</v>
      </c>
      <c r="K3377" s="18" t="s">
        <v>24</v>
      </c>
      <c r="L3377" s="18" t="s">
        <v>25</v>
      </c>
      <c r="N3377" s="18" t="s">
        <v>26</v>
      </c>
    </row>
    <row r="3378" spans="1:14" ht="15" customHeight="1" x14ac:dyDescent="0.3">
      <c r="A3378" s="18" t="s">
        <v>6378</v>
      </c>
      <c r="B3378" s="19" t="s">
        <v>15</v>
      </c>
      <c r="C3378" s="18" t="s">
        <v>149</v>
      </c>
      <c r="D3378" s="18" t="s">
        <v>17</v>
      </c>
      <c r="E3378" s="18" t="s">
        <v>74</v>
      </c>
      <c r="F3378" s="18" t="s">
        <v>6734</v>
      </c>
      <c r="G3378" s="18" t="s">
        <v>1009</v>
      </c>
      <c r="H3378" s="18" t="s">
        <v>6735</v>
      </c>
      <c r="I3378" s="20" t="s">
        <v>6736</v>
      </c>
      <c r="J3378" s="18" t="s">
        <v>6737</v>
      </c>
      <c r="K3378" s="18" t="s">
        <v>24</v>
      </c>
      <c r="L3378" s="18" t="s">
        <v>25</v>
      </c>
      <c r="N3378" s="18" t="s">
        <v>154</v>
      </c>
    </row>
    <row r="3379" spans="1:14" ht="15" customHeight="1" x14ac:dyDescent="0.3">
      <c r="A3379" s="18" t="s">
        <v>6378</v>
      </c>
      <c r="B3379" s="19" t="s">
        <v>15</v>
      </c>
      <c r="C3379" s="18" t="s">
        <v>210</v>
      </c>
      <c r="D3379" s="18" t="s">
        <v>17</v>
      </c>
      <c r="E3379" s="18" t="s">
        <v>74</v>
      </c>
      <c r="F3379" s="18" t="s">
        <v>6738</v>
      </c>
      <c r="G3379" s="18" t="s">
        <v>429</v>
      </c>
      <c r="H3379" s="18" t="s">
        <v>388</v>
      </c>
      <c r="I3379" s="20" t="s">
        <v>6739</v>
      </c>
      <c r="J3379" s="18" t="s">
        <v>6694</v>
      </c>
      <c r="K3379" s="18" t="s">
        <v>24</v>
      </c>
      <c r="L3379" s="18" t="s">
        <v>25</v>
      </c>
      <c r="N3379" s="18" t="s">
        <v>26</v>
      </c>
    </row>
    <row r="3380" spans="1:14" ht="15" customHeight="1" x14ac:dyDescent="0.3">
      <c r="A3380" s="18" t="s">
        <v>6378</v>
      </c>
      <c r="B3380" s="19" t="s">
        <v>15</v>
      </c>
      <c r="C3380" s="18" t="s">
        <v>149</v>
      </c>
      <c r="D3380" s="18" t="s">
        <v>17</v>
      </c>
      <c r="E3380" s="18" t="s">
        <v>74</v>
      </c>
      <c r="F3380" s="18" t="s">
        <v>6740</v>
      </c>
      <c r="G3380" s="18" t="s">
        <v>41</v>
      </c>
      <c r="H3380" s="18" t="s">
        <v>6664</v>
      </c>
      <c r="I3380" s="20" t="s">
        <v>6741</v>
      </c>
      <c r="J3380" s="18" t="s">
        <v>6742</v>
      </c>
      <c r="K3380" s="18" t="s">
        <v>24</v>
      </c>
      <c r="L3380" s="18" t="s">
        <v>25</v>
      </c>
      <c r="N3380" s="18" t="s">
        <v>154</v>
      </c>
    </row>
    <row r="3381" spans="1:14" ht="15" customHeight="1" x14ac:dyDescent="0.3">
      <c r="A3381" s="18" t="s">
        <v>6743</v>
      </c>
      <c r="B3381" s="19" t="s">
        <v>15</v>
      </c>
      <c r="C3381" s="18" t="s">
        <v>210</v>
      </c>
      <c r="D3381" s="18" t="s">
        <v>17</v>
      </c>
      <c r="E3381" s="18" t="s">
        <v>18</v>
      </c>
      <c r="F3381" s="18" t="s">
        <v>6744</v>
      </c>
      <c r="G3381" s="18" t="s">
        <v>1291</v>
      </c>
      <c r="H3381" s="18" t="s">
        <v>6745</v>
      </c>
      <c r="I3381" s="20" t="s">
        <v>6746</v>
      </c>
      <c r="J3381" s="18" t="s">
        <v>30</v>
      </c>
      <c r="K3381" s="18" t="s">
        <v>91</v>
      </c>
      <c r="L3381" s="18" t="s">
        <v>25</v>
      </c>
      <c r="N3381" s="18" t="s">
        <v>26</v>
      </c>
    </row>
    <row r="3382" spans="1:14" ht="15" customHeight="1" x14ac:dyDescent="0.3">
      <c r="A3382" s="18" t="s">
        <v>6743</v>
      </c>
      <c r="B3382" s="19" t="s">
        <v>15</v>
      </c>
      <c r="C3382" s="18" t="s">
        <v>210</v>
      </c>
      <c r="D3382" s="18" t="s">
        <v>17</v>
      </c>
      <c r="E3382" s="18" t="s">
        <v>18</v>
      </c>
      <c r="F3382" s="18" t="s">
        <v>6747</v>
      </c>
      <c r="G3382" s="18" t="s">
        <v>1291</v>
      </c>
      <c r="H3382" s="18" t="s">
        <v>6748</v>
      </c>
      <c r="I3382" s="20" t="s">
        <v>6749</v>
      </c>
      <c r="J3382" s="18" t="s">
        <v>30</v>
      </c>
      <c r="K3382" s="18" t="s">
        <v>24</v>
      </c>
      <c r="L3382" s="18" t="s">
        <v>25</v>
      </c>
      <c r="N3382" s="18" t="s">
        <v>26</v>
      </c>
    </row>
    <row r="3383" spans="1:14" ht="15" customHeight="1" x14ac:dyDescent="0.3">
      <c r="A3383" s="18" t="s">
        <v>6743</v>
      </c>
      <c r="B3383" s="19" t="s">
        <v>15</v>
      </c>
      <c r="C3383" s="18" t="s">
        <v>210</v>
      </c>
      <c r="D3383" s="18" t="s">
        <v>17</v>
      </c>
      <c r="E3383" s="18" t="s">
        <v>18</v>
      </c>
      <c r="F3383" s="18" t="s">
        <v>6750</v>
      </c>
      <c r="G3383" s="18" t="s">
        <v>1291</v>
      </c>
      <c r="H3383" s="18" t="s">
        <v>6748</v>
      </c>
      <c r="I3383" s="20" t="s">
        <v>6751</v>
      </c>
      <c r="J3383" s="18" t="s">
        <v>30</v>
      </c>
      <c r="K3383" s="18" t="s">
        <v>24</v>
      </c>
      <c r="L3383" s="18" t="s">
        <v>25</v>
      </c>
      <c r="N3383" s="18" t="s">
        <v>26</v>
      </c>
    </row>
    <row r="3384" spans="1:14" ht="15" customHeight="1" x14ac:dyDescent="0.3">
      <c r="A3384" s="18" t="s">
        <v>6743</v>
      </c>
      <c r="B3384" s="19" t="s">
        <v>15</v>
      </c>
      <c r="C3384" s="18" t="s">
        <v>210</v>
      </c>
      <c r="D3384" s="18" t="s">
        <v>17</v>
      </c>
      <c r="E3384" s="18" t="s">
        <v>18</v>
      </c>
      <c r="F3384" s="18" t="s">
        <v>1058</v>
      </c>
      <c r="G3384" s="18" t="s">
        <v>1059</v>
      </c>
      <c r="H3384" s="18" t="s">
        <v>6752</v>
      </c>
      <c r="I3384" s="20" t="s">
        <v>6753</v>
      </c>
      <c r="J3384" s="18" t="s">
        <v>30</v>
      </c>
      <c r="K3384" s="18" t="s">
        <v>24</v>
      </c>
      <c r="L3384" s="18" t="s">
        <v>25</v>
      </c>
      <c r="N3384" s="18" t="s">
        <v>26</v>
      </c>
    </row>
    <row r="3385" spans="1:14" ht="15" customHeight="1" x14ac:dyDescent="0.3">
      <c r="A3385" s="18" t="s">
        <v>6743</v>
      </c>
      <c r="B3385" s="19" t="s">
        <v>15</v>
      </c>
      <c r="C3385" s="18" t="s">
        <v>210</v>
      </c>
      <c r="D3385" s="18" t="s">
        <v>17</v>
      </c>
      <c r="E3385" s="18" t="s">
        <v>18</v>
      </c>
      <c r="F3385" s="18" t="s">
        <v>6754</v>
      </c>
      <c r="G3385" s="18" t="s">
        <v>47</v>
      </c>
      <c r="H3385" s="18" t="s">
        <v>6752</v>
      </c>
      <c r="I3385" s="20" t="s">
        <v>6755</v>
      </c>
      <c r="J3385" s="18" t="s">
        <v>30</v>
      </c>
      <c r="K3385" s="18" t="s">
        <v>24</v>
      </c>
      <c r="L3385" s="18" t="s">
        <v>25</v>
      </c>
      <c r="N3385" s="18" t="s">
        <v>26</v>
      </c>
    </row>
    <row r="3386" spans="1:14" ht="15" customHeight="1" x14ac:dyDescent="0.3">
      <c r="A3386" s="18" t="s">
        <v>6743</v>
      </c>
      <c r="B3386" s="19" t="s">
        <v>15</v>
      </c>
      <c r="C3386" s="18" t="s">
        <v>210</v>
      </c>
      <c r="D3386" s="18" t="s">
        <v>17</v>
      </c>
      <c r="E3386" s="18" t="s">
        <v>18</v>
      </c>
      <c r="F3386" s="18" t="s">
        <v>6756</v>
      </c>
      <c r="G3386" s="18" t="s">
        <v>2396</v>
      </c>
      <c r="H3386" s="18" t="s">
        <v>6757</v>
      </c>
      <c r="I3386" s="20" t="s">
        <v>6758</v>
      </c>
      <c r="J3386" s="18" t="s">
        <v>30</v>
      </c>
      <c r="K3386" s="18" t="s">
        <v>91</v>
      </c>
      <c r="L3386" s="18" t="s">
        <v>25</v>
      </c>
      <c r="N3386" s="18" t="s">
        <v>26</v>
      </c>
    </row>
    <row r="3387" spans="1:14" ht="15" customHeight="1" x14ac:dyDescent="0.3">
      <c r="A3387" s="18" t="s">
        <v>6743</v>
      </c>
      <c r="B3387" s="19" t="s">
        <v>15</v>
      </c>
      <c r="C3387" s="18" t="s">
        <v>210</v>
      </c>
      <c r="D3387" s="18" t="s">
        <v>17</v>
      </c>
      <c r="E3387" s="18" t="s">
        <v>18</v>
      </c>
      <c r="F3387" s="18" t="s">
        <v>6324</v>
      </c>
      <c r="G3387" s="18" t="s">
        <v>1340</v>
      </c>
      <c r="H3387" s="18" t="s">
        <v>6752</v>
      </c>
      <c r="I3387" s="20" t="s">
        <v>6759</v>
      </c>
      <c r="J3387" s="18" t="s">
        <v>30</v>
      </c>
      <c r="K3387" s="18" t="s">
        <v>24</v>
      </c>
      <c r="L3387" s="18" t="s">
        <v>25</v>
      </c>
      <c r="N3387" s="18" t="s">
        <v>26</v>
      </c>
    </row>
    <row r="3388" spans="1:14" ht="15" customHeight="1" x14ac:dyDescent="0.3">
      <c r="A3388" s="18" t="s">
        <v>6743</v>
      </c>
      <c r="B3388" s="19" t="s">
        <v>15</v>
      </c>
      <c r="C3388" s="18" t="s">
        <v>210</v>
      </c>
      <c r="D3388" s="18" t="s">
        <v>17</v>
      </c>
      <c r="E3388" s="18" t="s">
        <v>18</v>
      </c>
      <c r="F3388" s="18" t="s">
        <v>6760</v>
      </c>
      <c r="G3388" s="18" t="s">
        <v>1340</v>
      </c>
      <c r="H3388" s="18" t="s">
        <v>6757</v>
      </c>
      <c r="I3388" s="20" t="s">
        <v>6761</v>
      </c>
      <c r="J3388" s="18" t="s">
        <v>30</v>
      </c>
      <c r="K3388" s="18" t="s">
        <v>91</v>
      </c>
      <c r="L3388" s="18" t="s">
        <v>25</v>
      </c>
      <c r="N3388" s="18" t="s">
        <v>26</v>
      </c>
    </row>
    <row r="3389" spans="1:14" ht="15" customHeight="1" x14ac:dyDescent="0.3">
      <c r="A3389" s="18" t="s">
        <v>6743</v>
      </c>
      <c r="B3389" s="19" t="s">
        <v>15</v>
      </c>
      <c r="C3389" s="18" t="s">
        <v>210</v>
      </c>
      <c r="D3389" s="18" t="s">
        <v>17</v>
      </c>
      <c r="E3389" s="18" t="s">
        <v>18</v>
      </c>
      <c r="F3389" s="18" t="s">
        <v>19</v>
      </c>
      <c r="G3389" s="18" t="s">
        <v>19</v>
      </c>
      <c r="H3389" s="18" t="s">
        <v>6752</v>
      </c>
      <c r="I3389" s="20" t="s">
        <v>6762</v>
      </c>
      <c r="J3389" s="18" t="s">
        <v>23</v>
      </c>
      <c r="K3389" s="18" t="s">
        <v>24</v>
      </c>
      <c r="L3389" s="18" t="s">
        <v>25</v>
      </c>
      <c r="N3389" s="18" t="s">
        <v>26</v>
      </c>
    </row>
    <row r="3390" spans="1:14" ht="15" customHeight="1" x14ac:dyDescent="0.3">
      <c r="A3390" s="18" t="s">
        <v>6743</v>
      </c>
      <c r="B3390" s="19" t="s">
        <v>15</v>
      </c>
      <c r="C3390" s="18" t="s">
        <v>210</v>
      </c>
      <c r="D3390" s="18" t="s">
        <v>17</v>
      </c>
      <c r="E3390" s="18" t="s">
        <v>18</v>
      </c>
      <c r="F3390" s="18" t="s">
        <v>6763</v>
      </c>
      <c r="G3390" s="18" t="s">
        <v>1019</v>
      </c>
      <c r="H3390" s="18" t="s">
        <v>6764</v>
      </c>
      <c r="I3390" s="20" t="s">
        <v>6765</v>
      </c>
      <c r="J3390" s="18" t="s">
        <v>30</v>
      </c>
      <c r="K3390" s="18" t="s">
        <v>24</v>
      </c>
      <c r="L3390" s="18" t="s">
        <v>25</v>
      </c>
      <c r="M3390" s="18" t="s">
        <v>39</v>
      </c>
      <c r="N3390" s="18" t="s">
        <v>26</v>
      </c>
    </row>
    <row r="3391" spans="1:14" ht="15" customHeight="1" x14ac:dyDescent="0.3">
      <c r="A3391" s="18" t="s">
        <v>6743</v>
      </c>
      <c r="B3391" s="19" t="s">
        <v>15</v>
      </c>
      <c r="C3391" s="18" t="s">
        <v>210</v>
      </c>
      <c r="D3391" s="18" t="s">
        <v>17</v>
      </c>
      <c r="E3391" s="18" t="s">
        <v>18</v>
      </c>
      <c r="F3391" s="18" t="s">
        <v>6766</v>
      </c>
      <c r="G3391" s="18" t="s">
        <v>85</v>
      </c>
      <c r="H3391" s="18" t="s">
        <v>6757</v>
      </c>
      <c r="I3391" s="20" t="s">
        <v>6767</v>
      </c>
      <c r="J3391" s="18" t="s">
        <v>30</v>
      </c>
      <c r="K3391" s="18" t="s">
        <v>91</v>
      </c>
      <c r="L3391" s="18" t="s">
        <v>25</v>
      </c>
      <c r="N3391" s="18" t="s">
        <v>26</v>
      </c>
    </row>
    <row r="3392" spans="1:14" ht="15" customHeight="1" x14ac:dyDescent="0.3">
      <c r="A3392" s="18" t="s">
        <v>6743</v>
      </c>
      <c r="B3392" s="19" t="s">
        <v>15</v>
      </c>
      <c r="C3392" s="18" t="s">
        <v>210</v>
      </c>
      <c r="D3392" s="18" t="s">
        <v>17</v>
      </c>
      <c r="E3392" s="18" t="s">
        <v>18</v>
      </c>
      <c r="F3392" s="18" t="s">
        <v>6768</v>
      </c>
      <c r="G3392" s="18" t="s">
        <v>1055</v>
      </c>
      <c r="H3392" s="18" t="s">
        <v>6769</v>
      </c>
      <c r="I3392" s="20" t="s">
        <v>6770</v>
      </c>
      <c r="J3392" s="18" t="s">
        <v>30</v>
      </c>
      <c r="K3392" s="18" t="s">
        <v>24</v>
      </c>
      <c r="L3392" s="18" t="s">
        <v>25</v>
      </c>
      <c r="N3392" s="18" t="s">
        <v>26</v>
      </c>
    </row>
    <row r="3393" spans="1:14" ht="15" customHeight="1" x14ac:dyDescent="0.3">
      <c r="A3393" s="18" t="s">
        <v>6743</v>
      </c>
      <c r="B3393" s="19" t="s">
        <v>15</v>
      </c>
      <c r="C3393" s="18" t="s">
        <v>210</v>
      </c>
      <c r="D3393" s="18" t="s">
        <v>17</v>
      </c>
      <c r="E3393" s="18" t="s">
        <v>18</v>
      </c>
      <c r="F3393" s="18" t="s">
        <v>6771</v>
      </c>
      <c r="G3393" s="18" t="s">
        <v>1055</v>
      </c>
      <c r="H3393" s="18" t="s">
        <v>6757</v>
      </c>
      <c r="I3393" s="20" t="s">
        <v>6772</v>
      </c>
      <c r="J3393" s="18" t="s">
        <v>30</v>
      </c>
      <c r="K3393" s="18" t="s">
        <v>91</v>
      </c>
      <c r="L3393" s="18" t="s">
        <v>25</v>
      </c>
      <c r="N3393" s="18" t="s">
        <v>26</v>
      </c>
    </row>
    <row r="3394" spans="1:14" ht="15" customHeight="1" x14ac:dyDescent="0.3">
      <c r="A3394" s="18" t="s">
        <v>6743</v>
      </c>
      <c r="B3394" s="19" t="s">
        <v>15</v>
      </c>
      <c r="C3394" s="18" t="s">
        <v>210</v>
      </c>
      <c r="D3394" s="18" t="s">
        <v>17</v>
      </c>
      <c r="E3394" s="18" t="s">
        <v>18</v>
      </c>
      <c r="F3394" s="18" t="s">
        <v>6773</v>
      </c>
      <c r="G3394" s="18" t="s">
        <v>1291</v>
      </c>
      <c r="H3394" s="18" t="s">
        <v>6748</v>
      </c>
      <c r="I3394" s="20" t="s">
        <v>6774</v>
      </c>
      <c r="J3394" s="18" t="s">
        <v>30</v>
      </c>
      <c r="K3394" s="18" t="s">
        <v>24</v>
      </c>
      <c r="L3394" s="18" t="s">
        <v>25</v>
      </c>
      <c r="N3394" s="18" t="s">
        <v>26</v>
      </c>
    </row>
    <row r="3395" spans="1:14" ht="15" customHeight="1" x14ac:dyDescent="0.3">
      <c r="A3395" s="18" t="s">
        <v>6743</v>
      </c>
      <c r="B3395" s="19" t="s">
        <v>15</v>
      </c>
      <c r="C3395" s="18" t="s">
        <v>210</v>
      </c>
      <c r="D3395" s="18" t="s">
        <v>17</v>
      </c>
      <c r="E3395" s="18" t="s">
        <v>18</v>
      </c>
      <c r="F3395" s="18" t="s">
        <v>28</v>
      </c>
      <c r="G3395" s="18" t="s">
        <v>28</v>
      </c>
      <c r="H3395" s="18" t="s">
        <v>6748</v>
      </c>
      <c r="I3395" s="20" t="s">
        <v>6775</v>
      </c>
      <c r="J3395" s="18" t="s">
        <v>30</v>
      </c>
      <c r="K3395" s="18" t="s">
        <v>24</v>
      </c>
      <c r="L3395" s="18" t="s">
        <v>25</v>
      </c>
      <c r="N3395" s="18" t="s">
        <v>26</v>
      </c>
    </row>
    <row r="3396" spans="1:14" ht="15" customHeight="1" x14ac:dyDescent="0.3">
      <c r="A3396" s="18" t="s">
        <v>6743</v>
      </c>
      <c r="B3396" s="19" t="s">
        <v>15</v>
      </c>
      <c r="C3396" s="18" t="s">
        <v>210</v>
      </c>
      <c r="D3396" s="18" t="s">
        <v>17</v>
      </c>
      <c r="E3396" s="18" t="s">
        <v>18</v>
      </c>
      <c r="F3396" s="18" t="s">
        <v>6776</v>
      </c>
      <c r="G3396" s="18" t="s">
        <v>1291</v>
      </c>
      <c r="H3396" s="18" t="s">
        <v>6748</v>
      </c>
      <c r="I3396" s="20" t="s">
        <v>6777</v>
      </c>
      <c r="J3396" s="18" t="s">
        <v>30</v>
      </c>
      <c r="K3396" s="18" t="s">
        <v>24</v>
      </c>
      <c r="L3396" s="18" t="s">
        <v>25</v>
      </c>
      <c r="N3396" s="18" t="s">
        <v>26</v>
      </c>
    </row>
    <row r="3397" spans="1:14" ht="15" customHeight="1" x14ac:dyDescent="0.3">
      <c r="A3397" s="18" t="s">
        <v>6743</v>
      </c>
      <c r="B3397" s="19" t="s">
        <v>15</v>
      </c>
      <c r="C3397" s="18" t="s">
        <v>210</v>
      </c>
      <c r="D3397" s="18" t="s">
        <v>17</v>
      </c>
      <c r="E3397" s="18" t="s">
        <v>18</v>
      </c>
      <c r="F3397" s="18" t="s">
        <v>6778</v>
      </c>
      <c r="G3397" s="18" t="s">
        <v>28</v>
      </c>
      <c r="H3397" s="18" t="s">
        <v>6748</v>
      </c>
      <c r="I3397" s="20" t="s">
        <v>6779</v>
      </c>
      <c r="J3397" s="18" t="s">
        <v>30</v>
      </c>
      <c r="K3397" s="18" t="s">
        <v>24</v>
      </c>
      <c r="L3397" s="18" t="s">
        <v>25</v>
      </c>
      <c r="N3397" s="18" t="s">
        <v>26</v>
      </c>
    </row>
    <row r="3398" spans="1:14" ht="15" customHeight="1" x14ac:dyDescent="0.3">
      <c r="A3398" s="18" t="s">
        <v>6743</v>
      </c>
      <c r="B3398" s="19" t="s">
        <v>15</v>
      </c>
      <c r="C3398" s="18" t="s">
        <v>210</v>
      </c>
      <c r="D3398" s="18" t="s">
        <v>17</v>
      </c>
      <c r="E3398" s="18" t="s">
        <v>18</v>
      </c>
      <c r="F3398" s="18" t="s">
        <v>2587</v>
      </c>
      <c r="G3398" s="18" t="s">
        <v>28</v>
      </c>
      <c r="H3398" s="18" t="s">
        <v>6748</v>
      </c>
      <c r="I3398" s="20" t="s">
        <v>6780</v>
      </c>
      <c r="J3398" s="18" t="s">
        <v>30</v>
      </c>
      <c r="K3398" s="18" t="s">
        <v>24</v>
      </c>
      <c r="L3398" s="18" t="s">
        <v>25</v>
      </c>
      <c r="N3398" s="18" t="s">
        <v>26</v>
      </c>
    </row>
    <row r="3399" spans="1:14" ht="15" customHeight="1" x14ac:dyDescent="0.3">
      <c r="A3399" s="18" t="s">
        <v>6743</v>
      </c>
      <c r="B3399" s="19" t="s">
        <v>15</v>
      </c>
      <c r="C3399" s="18" t="s">
        <v>210</v>
      </c>
      <c r="D3399" s="18" t="s">
        <v>17</v>
      </c>
      <c r="E3399" s="18" t="s">
        <v>18</v>
      </c>
      <c r="F3399" s="18" t="s">
        <v>6781</v>
      </c>
      <c r="G3399" s="18" t="s">
        <v>28</v>
      </c>
      <c r="H3399" s="18" t="s">
        <v>6745</v>
      </c>
      <c r="I3399" s="20" t="s">
        <v>6782</v>
      </c>
      <c r="J3399" s="18" t="s">
        <v>30</v>
      </c>
      <c r="K3399" s="18" t="s">
        <v>91</v>
      </c>
      <c r="L3399" s="18" t="s">
        <v>25</v>
      </c>
      <c r="N3399" s="18" t="s">
        <v>26</v>
      </c>
    </row>
    <row r="3400" spans="1:14" ht="15" customHeight="1" x14ac:dyDescent="0.3">
      <c r="A3400" s="18" t="s">
        <v>6743</v>
      </c>
      <c r="B3400" s="19" t="s">
        <v>15</v>
      </c>
      <c r="C3400" s="18" t="s">
        <v>210</v>
      </c>
      <c r="D3400" s="18" t="s">
        <v>17</v>
      </c>
      <c r="E3400" s="18" t="s">
        <v>18</v>
      </c>
      <c r="F3400" s="18" t="s">
        <v>6783</v>
      </c>
      <c r="G3400" s="18" t="s">
        <v>28</v>
      </c>
      <c r="H3400" s="18" t="s">
        <v>6748</v>
      </c>
      <c r="I3400" s="20" t="s">
        <v>6784</v>
      </c>
      <c r="J3400" s="18" t="s">
        <v>30</v>
      </c>
      <c r="K3400" s="18" t="s">
        <v>24</v>
      </c>
      <c r="L3400" s="18" t="s">
        <v>25</v>
      </c>
      <c r="N3400" s="18" t="s">
        <v>26</v>
      </c>
    </row>
    <row r="3401" spans="1:14" ht="15" customHeight="1" x14ac:dyDescent="0.3">
      <c r="A3401" s="18" t="s">
        <v>6743</v>
      </c>
      <c r="B3401" s="19" t="s">
        <v>15</v>
      </c>
      <c r="C3401" s="18" t="s">
        <v>210</v>
      </c>
      <c r="D3401" s="18" t="s">
        <v>17</v>
      </c>
      <c r="E3401" s="18" t="s">
        <v>18</v>
      </c>
      <c r="F3401" s="18" t="s">
        <v>2688</v>
      </c>
      <c r="G3401" s="18" t="s">
        <v>28</v>
      </c>
      <c r="H3401" s="18" t="s">
        <v>6748</v>
      </c>
      <c r="I3401" s="20" t="s">
        <v>6785</v>
      </c>
      <c r="J3401" s="18" t="s">
        <v>30</v>
      </c>
      <c r="K3401" s="18" t="s">
        <v>24</v>
      </c>
      <c r="L3401" s="18" t="s">
        <v>25</v>
      </c>
      <c r="N3401" s="18" t="s">
        <v>26</v>
      </c>
    </row>
    <row r="3402" spans="1:14" ht="15" customHeight="1" x14ac:dyDescent="0.3">
      <c r="A3402" s="18" t="s">
        <v>6743</v>
      </c>
      <c r="B3402" s="19" t="s">
        <v>15</v>
      </c>
      <c r="C3402" s="18" t="s">
        <v>210</v>
      </c>
      <c r="D3402" s="18" t="s">
        <v>17</v>
      </c>
      <c r="E3402" s="18" t="s">
        <v>18</v>
      </c>
      <c r="F3402" s="18" t="s">
        <v>619</v>
      </c>
      <c r="G3402" s="18" t="s">
        <v>619</v>
      </c>
      <c r="H3402" s="18" t="s">
        <v>6752</v>
      </c>
      <c r="I3402" s="20" t="s">
        <v>6786</v>
      </c>
      <c r="J3402" s="18" t="s">
        <v>23</v>
      </c>
      <c r="K3402" s="18" t="s">
        <v>24</v>
      </c>
      <c r="L3402" s="18" t="s">
        <v>25</v>
      </c>
      <c r="N3402" s="18" t="s">
        <v>26</v>
      </c>
    </row>
    <row r="3403" spans="1:14" ht="15" customHeight="1" x14ac:dyDescent="0.3">
      <c r="A3403" s="18" t="s">
        <v>6743</v>
      </c>
      <c r="B3403" s="19" t="s">
        <v>15</v>
      </c>
      <c r="C3403" s="18" t="s">
        <v>210</v>
      </c>
      <c r="D3403" s="18" t="s">
        <v>17</v>
      </c>
      <c r="E3403" s="18" t="s">
        <v>18</v>
      </c>
      <c r="F3403" s="18" t="s">
        <v>1069</v>
      </c>
      <c r="G3403" s="18" t="s">
        <v>1069</v>
      </c>
      <c r="H3403" s="18" t="s">
        <v>6752</v>
      </c>
      <c r="I3403" s="20" t="s">
        <v>6787</v>
      </c>
      <c r="J3403" s="18" t="s">
        <v>30</v>
      </c>
      <c r="K3403" s="18" t="s">
        <v>24</v>
      </c>
      <c r="L3403" s="18" t="s">
        <v>25</v>
      </c>
      <c r="N3403" s="18" t="s">
        <v>26</v>
      </c>
    </row>
    <row r="3404" spans="1:14" ht="15" customHeight="1" x14ac:dyDescent="0.3">
      <c r="A3404" s="18" t="s">
        <v>6743</v>
      </c>
      <c r="B3404" s="19" t="s">
        <v>15</v>
      </c>
      <c r="C3404" s="18" t="s">
        <v>210</v>
      </c>
      <c r="D3404" s="18" t="s">
        <v>17</v>
      </c>
      <c r="E3404" s="18" t="s">
        <v>18</v>
      </c>
      <c r="F3404" s="18" t="s">
        <v>1072</v>
      </c>
      <c r="G3404" s="18" t="s">
        <v>47</v>
      </c>
      <c r="H3404" s="18" t="s">
        <v>6752</v>
      </c>
      <c r="I3404" s="20" t="s">
        <v>6788</v>
      </c>
      <c r="J3404" s="18" t="s">
        <v>30</v>
      </c>
      <c r="K3404" s="18" t="s">
        <v>24</v>
      </c>
      <c r="L3404" s="18" t="s">
        <v>25</v>
      </c>
      <c r="N3404" s="18" t="s">
        <v>26</v>
      </c>
    </row>
    <row r="3405" spans="1:14" ht="15" customHeight="1" x14ac:dyDescent="0.3">
      <c r="A3405" s="18" t="s">
        <v>6743</v>
      </c>
      <c r="B3405" s="19" t="s">
        <v>15</v>
      </c>
      <c r="C3405" s="18" t="s">
        <v>210</v>
      </c>
      <c r="D3405" s="18" t="s">
        <v>17</v>
      </c>
      <c r="E3405" s="18" t="s">
        <v>18</v>
      </c>
      <c r="F3405" s="18" t="s">
        <v>6789</v>
      </c>
      <c r="G3405" s="18" t="s">
        <v>47</v>
      </c>
      <c r="H3405" s="18" t="s">
        <v>6757</v>
      </c>
      <c r="I3405" s="20" t="s">
        <v>6790</v>
      </c>
      <c r="J3405" s="18" t="s">
        <v>30</v>
      </c>
      <c r="K3405" s="18" t="s">
        <v>91</v>
      </c>
      <c r="L3405" s="18" t="s">
        <v>25</v>
      </c>
      <c r="N3405" s="18" t="s">
        <v>26</v>
      </c>
    </row>
    <row r="3406" spans="1:14" ht="15" customHeight="1" x14ac:dyDescent="0.3">
      <c r="A3406" s="18" t="s">
        <v>6743</v>
      </c>
      <c r="B3406" s="19" t="s">
        <v>15</v>
      </c>
      <c r="C3406" s="18" t="s">
        <v>210</v>
      </c>
      <c r="D3406" s="18" t="s">
        <v>17</v>
      </c>
      <c r="E3406" s="18" t="s">
        <v>18</v>
      </c>
      <c r="F3406" s="18" t="s">
        <v>6791</v>
      </c>
      <c r="G3406" s="18" t="s">
        <v>1291</v>
      </c>
      <c r="H3406" s="18" t="s">
        <v>6748</v>
      </c>
      <c r="I3406" s="20" t="s">
        <v>6792</v>
      </c>
      <c r="J3406" s="18" t="s">
        <v>30</v>
      </c>
      <c r="K3406" s="18" t="s">
        <v>24</v>
      </c>
      <c r="L3406" s="18" t="s">
        <v>25</v>
      </c>
      <c r="N3406" s="18" t="s">
        <v>26</v>
      </c>
    </row>
    <row r="3407" spans="1:14" ht="15" customHeight="1" x14ac:dyDescent="0.3">
      <c r="A3407" s="18" t="s">
        <v>6743</v>
      </c>
      <c r="B3407" s="19" t="s">
        <v>15</v>
      </c>
      <c r="C3407" s="18" t="s">
        <v>210</v>
      </c>
      <c r="D3407" s="18" t="s">
        <v>17</v>
      </c>
      <c r="E3407" s="18" t="s">
        <v>18</v>
      </c>
      <c r="F3407" s="18" t="s">
        <v>40</v>
      </c>
      <c r="G3407" s="18" t="s">
        <v>41</v>
      </c>
      <c r="H3407" s="18" t="s">
        <v>6752</v>
      </c>
      <c r="I3407" s="20" t="s">
        <v>6793</v>
      </c>
      <c r="J3407" s="18" t="s">
        <v>30</v>
      </c>
      <c r="K3407" s="18" t="s">
        <v>24</v>
      </c>
      <c r="L3407" s="18" t="s">
        <v>25</v>
      </c>
      <c r="N3407" s="18" t="s">
        <v>26</v>
      </c>
    </row>
    <row r="3408" spans="1:14" ht="15" customHeight="1" x14ac:dyDescent="0.3">
      <c r="A3408" s="18" t="s">
        <v>6743</v>
      </c>
      <c r="B3408" s="19" t="s">
        <v>15</v>
      </c>
      <c r="C3408" s="18" t="s">
        <v>210</v>
      </c>
      <c r="D3408" s="18" t="s">
        <v>17</v>
      </c>
      <c r="E3408" s="18" t="s">
        <v>18</v>
      </c>
      <c r="F3408" s="18" t="s">
        <v>6794</v>
      </c>
      <c r="G3408" s="18" t="s">
        <v>41</v>
      </c>
      <c r="H3408" s="18" t="s">
        <v>6757</v>
      </c>
      <c r="I3408" s="20" t="s">
        <v>6795</v>
      </c>
      <c r="J3408" s="18" t="s">
        <v>30</v>
      </c>
      <c r="K3408" s="18" t="s">
        <v>91</v>
      </c>
      <c r="L3408" s="18" t="s">
        <v>25</v>
      </c>
      <c r="N3408" s="18" t="s">
        <v>26</v>
      </c>
    </row>
    <row r="3409" spans="1:14" ht="15" customHeight="1" x14ac:dyDescent="0.3">
      <c r="A3409" s="18" t="s">
        <v>6743</v>
      </c>
      <c r="B3409" s="19" t="s">
        <v>15</v>
      </c>
      <c r="C3409" s="18" t="s">
        <v>210</v>
      </c>
      <c r="D3409" s="18" t="s">
        <v>17</v>
      </c>
      <c r="E3409" s="18" t="s">
        <v>18</v>
      </c>
      <c r="F3409" s="18" t="s">
        <v>1309</v>
      </c>
      <c r="G3409" s="18" t="s">
        <v>629</v>
      </c>
      <c r="H3409" s="18" t="s">
        <v>6796</v>
      </c>
      <c r="I3409" s="20" t="s">
        <v>6797</v>
      </c>
      <c r="J3409" s="18" t="s">
        <v>30</v>
      </c>
      <c r="K3409" s="18" t="s">
        <v>24</v>
      </c>
      <c r="L3409" s="18" t="s">
        <v>25</v>
      </c>
      <c r="N3409" s="18" t="s">
        <v>26</v>
      </c>
    </row>
    <row r="3410" spans="1:14" ht="15" customHeight="1" x14ac:dyDescent="0.3">
      <c r="A3410" s="18" t="s">
        <v>6743</v>
      </c>
      <c r="B3410" s="19" t="s">
        <v>15</v>
      </c>
      <c r="C3410" s="18" t="s">
        <v>210</v>
      </c>
      <c r="D3410" s="18" t="s">
        <v>17</v>
      </c>
      <c r="E3410" s="18" t="s">
        <v>18</v>
      </c>
      <c r="F3410" s="18" t="s">
        <v>1450</v>
      </c>
      <c r="G3410" s="18" t="s">
        <v>41</v>
      </c>
      <c r="H3410" s="18" t="s">
        <v>6752</v>
      </c>
      <c r="I3410" s="20" t="s">
        <v>6798</v>
      </c>
      <c r="J3410" s="18" t="s">
        <v>30</v>
      </c>
      <c r="K3410" s="18" t="s">
        <v>24</v>
      </c>
      <c r="L3410" s="18" t="s">
        <v>25</v>
      </c>
      <c r="M3410" s="18" t="s">
        <v>39</v>
      </c>
      <c r="N3410" s="18" t="s">
        <v>26</v>
      </c>
    </row>
    <row r="3411" spans="1:14" ht="15" customHeight="1" x14ac:dyDescent="0.3">
      <c r="A3411" s="18" t="s">
        <v>6743</v>
      </c>
      <c r="B3411" s="19" t="s">
        <v>15</v>
      </c>
      <c r="C3411" s="18" t="s">
        <v>210</v>
      </c>
      <c r="D3411" s="18" t="s">
        <v>17</v>
      </c>
      <c r="E3411" s="18" t="s">
        <v>18</v>
      </c>
      <c r="F3411" s="18" t="s">
        <v>6799</v>
      </c>
      <c r="G3411" s="18" t="s">
        <v>41</v>
      </c>
      <c r="H3411" s="18" t="s">
        <v>6757</v>
      </c>
      <c r="I3411" s="20" t="s">
        <v>6800</v>
      </c>
      <c r="J3411" s="18" t="s">
        <v>30</v>
      </c>
      <c r="K3411" s="18" t="s">
        <v>91</v>
      </c>
      <c r="L3411" s="18" t="s">
        <v>25</v>
      </c>
      <c r="N3411" s="18" t="s">
        <v>26</v>
      </c>
    </row>
    <row r="3412" spans="1:14" ht="15" customHeight="1" x14ac:dyDescent="0.3">
      <c r="A3412" s="18" t="s">
        <v>6743</v>
      </c>
      <c r="B3412" s="19" t="s">
        <v>15</v>
      </c>
      <c r="C3412" s="18" t="s">
        <v>210</v>
      </c>
      <c r="D3412" s="18" t="s">
        <v>17</v>
      </c>
      <c r="E3412" s="18" t="s">
        <v>18</v>
      </c>
      <c r="F3412" s="18" t="s">
        <v>1088</v>
      </c>
      <c r="G3412" s="18" t="s">
        <v>41</v>
      </c>
      <c r="H3412" s="18" t="s">
        <v>6752</v>
      </c>
      <c r="I3412" s="20" t="s">
        <v>6801</v>
      </c>
      <c r="J3412" s="18" t="s">
        <v>30</v>
      </c>
      <c r="K3412" s="18" t="s">
        <v>24</v>
      </c>
      <c r="L3412" s="18" t="s">
        <v>25</v>
      </c>
      <c r="N3412" s="18" t="s">
        <v>26</v>
      </c>
    </row>
    <row r="3413" spans="1:14" ht="15" customHeight="1" x14ac:dyDescent="0.3">
      <c r="A3413" s="18" t="s">
        <v>6743</v>
      </c>
      <c r="B3413" s="19" t="s">
        <v>15</v>
      </c>
      <c r="C3413" s="18" t="s">
        <v>210</v>
      </c>
      <c r="D3413" s="18" t="s">
        <v>17</v>
      </c>
      <c r="E3413" s="18" t="s">
        <v>18</v>
      </c>
      <c r="F3413" s="18" t="s">
        <v>6802</v>
      </c>
      <c r="G3413" s="18" t="s">
        <v>41</v>
      </c>
      <c r="H3413" s="18" t="s">
        <v>6757</v>
      </c>
      <c r="I3413" s="20" t="s">
        <v>6803</v>
      </c>
      <c r="J3413" s="18" t="s">
        <v>30</v>
      </c>
      <c r="K3413" s="18" t="s">
        <v>91</v>
      </c>
      <c r="L3413" s="18" t="s">
        <v>25</v>
      </c>
      <c r="N3413" s="18" t="s">
        <v>26</v>
      </c>
    </row>
    <row r="3414" spans="1:14" ht="15" customHeight="1" x14ac:dyDescent="0.3">
      <c r="A3414" s="18" t="s">
        <v>6743</v>
      </c>
      <c r="B3414" s="19" t="s">
        <v>15</v>
      </c>
      <c r="C3414" s="18" t="s">
        <v>210</v>
      </c>
      <c r="D3414" s="18" t="s">
        <v>17</v>
      </c>
      <c r="E3414" s="18" t="s">
        <v>18</v>
      </c>
      <c r="F3414" s="18" t="s">
        <v>3997</v>
      </c>
      <c r="G3414" s="18" t="s">
        <v>41</v>
      </c>
      <c r="H3414" s="18" t="s">
        <v>6764</v>
      </c>
      <c r="I3414" s="20" t="s">
        <v>6804</v>
      </c>
      <c r="J3414" s="18" t="s">
        <v>30</v>
      </c>
      <c r="K3414" s="18" t="s">
        <v>24</v>
      </c>
      <c r="L3414" s="18" t="s">
        <v>25</v>
      </c>
      <c r="N3414" s="18" t="s">
        <v>26</v>
      </c>
    </row>
    <row r="3415" spans="1:14" ht="15" customHeight="1" x14ac:dyDescent="0.3">
      <c r="A3415" s="18" t="s">
        <v>6743</v>
      </c>
      <c r="B3415" s="19" t="s">
        <v>15</v>
      </c>
      <c r="C3415" s="18" t="s">
        <v>210</v>
      </c>
      <c r="D3415" s="18" t="s">
        <v>17</v>
      </c>
      <c r="E3415" s="18" t="s">
        <v>18</v>
      </c>
      <c r="F3415" s="18" t="s">
        <v>1830</v>
      </c>
      <c r="G3415" s="18" t="s">
        <v>537</v>
      </c>
      <c r="H3415" s="18" t="s">
        <v>6805</v>
      </c>
      <c r="I3415" s="20" t="s">
        <v>6806</v>
      </c>
      <c r="J3415" s="18" t="s">
        <v>30</v>
      </c>
      <c r="K3415" s="18" t="s">
        <v>24</v>
      </c>
      <c r="L3415" s="18" t="s">
        <v>25</v>
      </c>
      <c r="M3415" s="18" t="s">
        <v>39</v>
      </c>
      <c r="N3415" s="18" t="s">
        <v>26</v>
      </c>
    </row>
    <row r="3416" spans="1:14" ht="15" customHeight="1" x14ac:dyDescent="0.3">
      <c r="A3416" s="18" t="s">
        <v>6743</v>
      </c>
      <c r="B3416" s="19" t="s">
        <v>15</v>
      </c>
      <c r="C3416" s="18" t="s">
        <v>210</v>
      </c>
      <c r="D3416" s="18" t="s">
        <v>17</v>
      </c>
      <c r="E3416" s="18" t="s">
        <v>18</v>
      </c>
      <c r="F3416" s="18" t="s">
        <v>1577</v>
      </c>
      <c r="G3416" s="18" t="s">
        <v>41</v>
      </c>
      <c r="H3416" s="18" t="s">
        <v>6752</v>
      </c>
      <c r="I3416" s="20" t="s">
        <v>6807</v>
      </c>
      <c r="J3416" s="18" t="s">
        <v>30</v>
      </c>
      <c r="K3416" s="18" t="s">
        <v>24</v>
      </c>
      <c r="L3416" s="18" t="s">
        <v>25</v>
      </c>
      <c r="N3416" s="18" t="s">
        <v>26</v>
      </c>
    </row>
    <row r="3417" spans="1:14" ht="15" customHeight="1" x14ac:dyDescent="0.3">
      <c r="A3417" s="18" t="s">
        <v>6743</v>
      </c>
      <c r="B3417" s="19" t="s">
        <v>15</v>
      </c>
      <c r="C3417" s="18" t="s">
        <v>210</v>
      </c>
      <c r="D3417" s="18" t="s">
        <v>17</v>
      </c>
      <c r="E3417" s="18" t="s">
        <v>18</v>
      </c>
      <c r="F3417" s="18" t="s">
        <v>1832</v>
      </c>
      <c r="G3417" s="18" t="s">
        <v>207</v>
      </c>
      <c r="H3417" s="18" t="s">
        <v>6752</v>
      </c>
      <c r="I3417" s="20" t="s">
        <v>6808</v>
      </c>
      <c r="J3417" s="18" t="s">
        <v>30</v>
      </c>
      <c r="K3417" s="18" t="s">
        <v>24</v>
      </c>
      <c r="L3417" s="18" t="s">
        <v>25</v>
      </c>
      <c r="M3417" s="18" t="s">
        <v>39</v>
      </c>
      <c r="N3417" s="18" t="s">
        <v>26</v>
      </c>
    </row>
    <row r="3418" spans="1:14" ht="15" customHeight="1" x14ac:dyDescent="0.3">
      <c r="A3418" s="18" t="s">
        <v>6743</v>
      </c>
      <c r="B3418" s="19" t="s">
        <v>15</v>
      </c>
      <c r="C3418" s="18" t="s">
        <v>210</v>
      </c>
      <c r="D3418" s="18" t="s">
        <v>17</v>
      </c>
      <c r="E3418" s="18" t="s">
        <v>18</v>
      </c>
      <c r="F3418" s="18" t="s">
        <v>6809</v>
      </c>
      <c r="G3418" s="18" t="s">
        <v>207</v>
      </c>
      <c r="H3418" s="18" t="s">
        <v>6757</v>
      </c>
      <c r="I3418" s="20" t="s">
        <v>6810</v>
      </c>
      <c r="J3418" s="18" t="s">
        <v>30</v>
      </c>
      <c r="K3418" s="18" t="s">
        <v>91</v>
      </c>
      <c r="L3418" s="18" t="s">
        <v>25</v>
      </c>
      <c r="N3418" s="18" t="s">
        <v>26</v>
      </c>
    </row>
    <row r="3419" spans="1:14" ht="15" customHeight="1" x14ac:dyDescent="0.3">
      <c r="A3419" s="18" t="s">
        <v>6743</v>
      </c>
      <c r="B3419" s="19" t="s">
        <v>15</v>
      </c>
      <c r="C3419" s="18" t="s">
        <v>210</v>
      </c>
      <c r="D3419" s="18" t="s">
        <v>17</v>
      </c>
      <c r="E3419" s="18" t="s">
        <v>18</v>
      </c>
      <c r="F3419" s="18" t="s">
        <v>6811</v>
      </c>
      <c r="G3419" s="18" t="s">
        <v>207</v>
      </c>
      <c r="H3419" s="18" t="s">
        <v>6757</v>
      </c>
      <c r="I3419" s="20" t="s">
        <v>6812</v>
      </c>
      <c r="J3419" s="18" t="s">
        <v>30</v>
      </c>
      <c r="K3419" s="18" t="s">
        <v>91</v>
      </c>
      <c r="L3419" s="18" t="s">
        <v>25</v>
      </c>
      <c r="N3419" s="18" t="s">
        <v>26</v>
      </c>
    </row>
    <row r="3420" spans="1:14" ht="15" customHeight="1" x14ac:dyDescent="0.3">
      <c r="A3420" s="18" t="s">
        <v>6743</v>
      </c>
      <c r="B3420" s="19" t="s">
        <v>15</v>
      </c>
      <c r="C3420" s="18" t="s">
        <v>210</v>
      </c>
      <c r="D3420" s="18" t="s">
        <v>17</v>
      </c>
      <c r="E3420" s="18" t="s">
        <v>18</v>
      </c>
      <c r="F3420" s="18" t="s">
        <v>207</v>
      </c>
      <c r="G3420" s="18" t="s">
        <v>207</v>
      </c>
      <c r="H3420" s="18" t="s">
        <v>6752</v>
      </c>
      <c r="I3420" s="20" t="s">
        <v>6813</v>
      </c>
      <c r="J3420" s="18" t="s">
        <v>30</v>
      </c>
      <c r="K3420" s="18" t="s">
        <v>24</v>
      </c>
      <c r="L3420" s="18" t="s">
        <v>25</v>
      </c>
      <c r="N3420" s="18" t="s">
        <v>26</v>
      </c>
    </row>
    <row r="3421" spans="1:14" ht="15" customHeight="1" x14ac:dyDescent="0.3">
      <c r="A3421" s="18" t="s">
        <v>6743</v>
      </c>
      <c r="B3421" s="19" t="s">
        <v>15</v>
      </c>
      <c r="C3421" s="18" t="s">
        <v>210</v>
      </c>
      <c r="D3421" s="18" t="s">
        <v>17</v>
      </c>
      <c r="E3421" s="18" t="s">
        <v>18</v>
      </c>
      <c r="F3421" s="18" t="s">
        <v>6073</v>
      </c>
      <c r="G3421" s="18" t="s">
        <v>207</v>
      </c>
      <c r="H3421" s="18" t="s">
        <v>6752</v>
      </c>
      <c r="I3421" s="20" t="s">
        <v>6814</v>
      </c>
      <c r="J3421" s="18" t="s">
        <v>30</v>
      </c>
      <c r="K3421" s="18" t="s">
        <v>24</v>
      </c>
      <c r="L3421" s="18" t="s">
        <v>25</v>
      </c>
      <c r="M3421" s="18" t="s">
        <v>39</v>
      </c>
      <c r="N3421" s="18" t="s">
        <v>26</v>
      </c>
    </row>
    <row r="3422" spans="1:14" ht="15" customHeight="1" x14ac:dyDescent="0.3">
      <c r="A3422" s="18" t="s">
        <v>6743</v>
      </c>
      <c r="B3422" s="19" t="s">
        <v>15</v>
      </c>
      <c r="C3422" s="18" t="s">
        <v>210</v>
      </c>
      <c r="D3422" s="18" t="s">
        <v>17</v>
      </c>
      <c r="E3422" s="18" t="s">
        <v>18</v>
      </c>
      <c r="F3422" s="18" t="s">
        <v>340</v>
      </c>
      <c r="G3422" s="18" t="s">
        <v>340</v>
      </c>
      <c r="H3422" s="18" t="s">
        <v>6752</v>
      </c>
      <c r="I3422" s="20" t="s">
        <v>6815</v>
      </c>
      <c r="J3422" s="18" t="s">
        <v>30</v>
      </c>
      <c r="K3422" s="18" t="s">
        <v>24</v>
      </c>
      <c r="L3422" s="18" t="s">
        <v>25</v>
      </c>
      <c r="N3422" s="18" t="s">
        <v>26</v>
      </c>
    </row>
    <row r="3423" spans="1:14" ht="15" customHeight="1" x14ac:dyDescent="0.3">
      <c r="A3423" s="18" t="s">
        <v>6743</v>
      </c>
      <c r="B3423" s="19" t="s">
        <v>15</v>
      </c>
      <c r="C3423" s="18" t="s">
        <v>210</v>
      </c>
      <c r="D3423" s="18" t="s">
        <v>17</v>
      </c>
      <c r="E3423" s="18" t="s">
        <v>18</v>
      </c>
      <c r="F3423" s="18" t="s">
        <v>6816</v>
      </c>
      <c r="G3423" s="18" t="s">
        <v>340</v>
      </c>
      <c r="H3423" s="18" t="s">
        <v>6757</v>
      </c>
      <c r="I3423" s="20" t="s">
        <v>6817</v>
      </c>
      <c r="J3423" s="18" t="s">
        <v>30</v>
      </c>
      <c r="K3423" s="18" t="s">
        <v>91</v>
      </c>
      <c r="L3423" s="18" t="s">
        <v>25</v>
      </c>
      <c r="N3423" s="18" t="s">
        <v>26</v>
      </c>
    </row>
    <row r="3424" spans="1:14" ht="15" customHeight="1" x14ac:dyDescent="0.3">
      <c r="A3424" s="18" t="s">
        <v>6743</v>
      </c>
      <c r="B3424" s="19" t="s">
        <v>15</v>
      </c>
      <c r="C3424" s="18" t="s">
        <v>210</v>
      </c>
      <c r="D3424" s="18" t="s">
        <v>17</v>
      </c>
      <c r="E3424" s="18" t="s">
        <v>18</v>
      </c>
      <c r="F3424" s="18" t="s">
        <v>6339</v>
      </c>
      <c r="G3424" s="18" t="s">
        <v>1059</v>
      </c>
      <c r="H3424" s="18" t="s">
        <v>6752</v>
      </c>
      <c r="I3424" s="20" t="s">
        <v>6818</v>
      </c>
      <c r="J3424" s="18" t="s">
        <v>30</v>
      </c>
      <c r="K3424" s="18" t="s">
        <v>24</v>
      </c>
      <c r="L3424" s="18" t="s">
        <v>25</v>
      </c>
      <c r="N3424" s="18" t="s">
        <v>26</v>
      </c>
    </row>
    <row r="3425" spans="1:14" ht="15" customHeight="1" x14ac:dyDescent="0.3">
      <c r="A3425" s="18" t="s">
        <v>6743</v>
      </c>
      <c r="B3425" s="19" t="s">
        <v>15</v>
      </c>
      <c r="C3425" s="18" t="s">
        <v>210</v>
      </c>
      <c r="D3425" s="18" t="s">
        <v>17</v>
      </c>
      <c r="E3425" s="18" t="s">
        <v>18</v>
      </c>
      <c r="F3425" s="18" t="s">
        <v>6819</v>
      </c>
      <c r="G3425" s="18" t="s">
        <v>47</v>
      </c>
      <c r="H3425" s="18" t="s">
        <v>6752</v>
      </c>
      <c r="I3425" s="20" t="s">
        <v>6820</v>
      </c>
      <c r="J3425" s="18" t="s">
        <v>30</v>
      </c>
      <c r="K3425" s="18" t="s">
        <v>24</v>
      </c>
      <c r="L3425" s="18" t="s">
        <v>25</v>
      </c>
      <c r="M3425" s="18" t="s">
        <v>39</v>
      </c>
      <c r="N3425" s="18" t="s">
        <v>26</v>
      </c>
    </row>
    <row r="3426" spans="1:14" ht="15" customHeight="1" x14ac:dyDescent="0.3">
      <c r="A3426" s="18" t="s">
        <v>6743</v>
      </c>
      <c r="B3426" s="19" t="s">
        <v>15</v>
      </c>
      <c r="C3426" s="18" t="s">
        <v>210</v>
      </c>
      <c r="D3426" s="18" t="s">
        <v>17</v>
      </c>
      <c r="E3426" s="18" t="s">
        <v>18</v>
      </c>
      <c r="F3426" s="18" t="s">
        <v>5791</v>
      </c>
      <c r="G3426" s="18" t="s">
        <v>1291</v>
      </c>
      <c r="H3426" s="18" t="s">
        <v>6748</v>
      </c>
      <c r="I3426" s="20" t="s">
        <v>6821</v>
      </c>
      <c r="J3426" s="18" t="s">
        <v>30</v>
      </c>
      <c r="K3426" s="18" t="s">
        <v>24</v>
      </c>
      <c r="L3426" s="18" t="s">
        <v>25</v>
      </c>
      <c r="N3426" s="18" t="s">
        <v>26</v>
      </c>
    </row>
    <row r="3427" spans="1:14" ht="15" customHeight="1" x14ac:dyDescent="0.3">
      <c r="A3427" s="18" t="s">
        <v>6743</v>
      </c>
      <c r="B3427" s="19" t="s">
        <v>15</v>
      </c>
      <c r="C3427" s="18" t="s">
        <v>210</v>
      </c>
      <c r="D3427" s="18" t="s">
        <v>17</v>
      </c>
      <c r="E3427" s="18" t="s">
        <v>18</v>
      </c>
      <c r="F3427" s="18" t="s">
        <v>537</v>
      </c>
      <c r="G3427" s="18" t="s">
        <v>537</v>
      </c>
      <c r="H3427" s="18" t="s">
        <v>6796</v>
      </c>
      <c r="I3427" s="20" t="s">
        <v>6822</v>
      </c>
      <c r="J3427" s="18" t="s">
        <v>30</v>
      </c>
      <c r="K3427" s="18" t="s">
        <v>24</v>
      </c>
      <c r="L3427" s="18" t="s">
        <v>25</v>
      </c>
      <c r="N3427" s="18" t="s">
        <v>26</v>
      </c>
    </row>
    <row r="3428" spans="1:14" ht="15" customHeight="1" x14ac:dyDescent="0.3">
      <c r="A3428" s="18" t="s">
        <v>6743</v>
      </c>
      <c r="B3428" s="19" t="s">
        <v>15</v>
      </c>
      <c r="C3428" s="18" t="s">
        <v>210</v>
      </c>
      <c r="D3428" s="18" t="s">
        <v>17</v>
      </c>
      <c r="E3428" s="18" t="s">
        <v>55</v>
      </c>
      <c r="F3428" s="18" t="s">
        <v>6823</v>
      </c>
      <c r="G3428" s="18" t="s">
        <v>1291</v>
      </c>
      <c r="H3428" s="18" t="s">
        <v>6748</v>
      </c>
      <c r="I3428" s="20" t="s">
        <v>6824</v>
      </c>
      <c r="J3428" s="18" t="s">
        <v>58</v>
      </c>
      <c r="K3428" s="18" t="s">
        <v>24</v>
      </c>
      <c r="L3428" s="18" t="s">
        <v>25</v>
      </c>
      <c r="N3428" s="18" t="s">
        <v>26</v>
      </c>
    </row>
    <row r="3429" spans="1:14" ht="15" customHeight="1" x14ac:dyDescent="0.3">
      <c r="A3429" s="18" t="s">
        <v>6743</v>
      </c>
      <c r="B3429" s="19" t="s">
        <v>15</v>
      </c>
      <c r="C3429" s="18" t="s">
        <v>210</v>
      </c>
      <c r="D3429" s="18" t="s">
        <v>17</v>
      </c>
      <c r="E3429" s="18" t="s">
        <v>55</v>
      </c>
      <c r="F3429" s="18" t="s">
        <v>6825</v>
      </c>
      <c r="G3429" s="18" t="s">
        <v>1291</v>
      </c>
      <c r="H3429" s="18" t="s">
        <v>6748</v>
      </c>
      <c r="I3429" s="20" t="s">
        <v>6826</v>
      </c>
      <c r="J3429" s="18" t="s">
        <v>58</v>
      </c>
      <c r="K3429" s="18" t="s">
        <v>24</v>
      </c>
      <c r="L3429" s="18" t="s">
        <v>25</v>
      </c>
      <c r="N3429" s="18" t="s">
        <v>26</v>
      </c>
    </row>
    <row r="3430" spans="1:14" ht="15" customHeight="1" x14ac:dyDescent="0.3">
      <c r="A3430" s="18" t="s">
        <v>6743</v>
      </c>
      <c r="B3430" s="19" t="s">
        <v>15</v>
      </c>
      <c r="C3430" s="18" t="s">
        <v>210</v>
      </c>
      <c r="D3430" s="18" t="s">
        <v>17</v>
      </c>
      <c r="E3430" s="18" t="s">
        <v>55</v>
      </c>
      <c r="F3430" s="18" t="s">
        <v>6827</v>
      </c>
      <c r="G3430" s="18" t="s">
        <v>207</v>
      </c>
      <c r="H3430" s="18" t="s">
        <v>6748</v>
      </c>
      <c r="I3430" s="20" t="s">
        <v>6828</v>
      </c>
      <c r="J3430" s="18" t="s">
        <v>58</v>
      </c>
      <c r="K3430" s="18" t="s">
        <v>24</v>
      </c>
      <c r="L3430" s="18" t="s">
        <v>25</v>
      </c>
      <c r="N3430" s="18" t="s">
        <v>26</v>
      </c>
    </row>
    <row r="3431" spans="1:14" ht="15" customHeight="1" x14ac:dyDescent="0.3">
      <c r="A3431" s="18" t="s">
        <v>6743</v>
      </c>
      <c r="B3431" s="19" t="s">
        <v>15</v>
      </c>
      <c r="C3431" s="18" t="s">
        <v>210</v>
      </c>
      <c r="D3431" s="18" t="s">
        <v>17</v>
      </c>
      <c r="E3431" s="18" t="s">
        <v>55</v>
      </c>
      <c r="F3431" s="18" t="s">
        <v>6829</v>
      </c>
      <c r="G3431" s="18" t="s">
        <v>207</v>
      </c>
      <c r="H3431" s="18" t="s">
        <v>6748</v>
      </c>
      <c r="I3431" s="20" t="s">
        <v>6830</v>
      </c>
      <c r="J3431" s="18" t="s">
        <v>58</v>
      </c>
      <c r="K3431" s="18" t="s">
        <v>24</v>
      </c>
      <c r="L3431" s="18" t="s">
        <v>25</v>
      </c>
      <c r="N3431" s="18" t="s">
        <v>26</v>
      </c>
    </row>
    <row r="3432" spans="1:14" ht="15" customHeight="1" x14ac:dyDescent="0.3">
      <c r="A3432" s="18" t="s">
        <v>6743</v>
      </c>
      <c r="B3432" s="19" t="s">
        <v>15</v>
      </c>
      <c r="C3432" s="18" t="s">
        <v>210</v>
      </c>
      <c r="D3432" s="18" t="s">
        <v>17</v>
      </c>
      <c r="E3432" s="18" t="s">
        <v>55</v>
      </c>
      <c r="F3432" s="18" t="s">
        <v>6831</v>
      </c>
      <c r="G3432" s="18" t="s">
        <v>47</v>
      </c>
      <c r="H3432" s="18" t="s">
        <v>6757</v>
      </c>
      <c r="I3432" s="20" t="s">
        <v>6832</v>
      </c>
      <c r="J3432" s="18" t="s">
        <v>58</v>
      </c>
      <c r="K3432" s="18" t="s">
        <v>91</v>
      </c>
      <c r="L3432" s="18" t="s">
        <v>25</v>
      </c>
      <c r="N3432" s="18" t="s">
        <v>26</v>
      </c>
    </row>
    <row r="3433" spans="1:14" ht="15" customHeight="1" x14ac:dyDescent="0.3">
      <c r="A3433" s="18" t="s">
        <v>6743</v>
      </c>
      <c r="B3433" s="19" t="s">
        <v>15</v>
      </c>
      <c r="C3433" s="18" t="s">
        <v>210</v>
      </c>
      <c r="D3433" s="18" t="s">
        <v>17</v>
      </c>
      <c r="E3433" s="18" t="s">
        <v>55</v>
      </c>
      <c r="F3433" s="18" t="s">
        <v>6833</v>
      </c>
      <c r="G3433" s="18" t="s">
        <v>47</v>
      </c>
      <c r="H3433" s="18" t="s">
        <v>6757</v>
      </c>
      <c r="I3433" s="20" t="s">
        <v>6834</v>
      </c>
      <c r="J3433" s="18" t="s">
        <v>58</v>
      </c>
      <c r="K3433" s="18" t="s">
        <v>91</v>
      </c>
      <c r="L3433" s="18" t="s">
        <v>25</v>
      </c>
      <c r="N3433" s="18" t="s">
        <v>26</v>
      </c>
    </row>
    <row r="3434" spans="1:14" ht="15" customHeight="1" x14ac:dyDescent="0.3">
      <c r="A3434" s="18" t="s">
        <v>6743</v>
      </c>
      <c r="B3434" s="19" t="s">
        <v>15</v>
      </c>
      <c r="C3434" s="18" t="s">
        <v>210</v>
      </c>
      <c r="D3434" s="18" t="s">
        <v>17</v>
      </c>
      <c r="E3434" s="18" t="s">
        <v>55</v>
      </c>
      <c r="F3434" s="18" t="s">
        <v>6754</v>
      </c>
      <c r="G3434" s="18" t="s">
        <v>47</v>
      </c>
      <c r="H3434" s="18" t="s">
        <v>6752</v>
      </c>
      <c r="I3434" s="20" t="s">
        <v>6835</v>
      </c>
      <c r="J3434" s="18" t="s">
        <v>58</v>
      </c>
      <c r="K3434" s="18" t="s">
        <v>24</v>
      </c>
      <c r="L3434" s="18" t="s">
        <v>25</v>
      </c>
      <c r="N3434" s="18" t="s">
        <v>26</v>
      </c>
    </row>
    <row r="3435" spans="1:14" ht="15" customHeight="1" x14ac:dyDescent="0.3">
      <c r="A3435" s="18" t="s">
        <v>6743</v>
      </c>
      <c r="B3435" s="19" t="s">
        <v>15</v>
      </c>
      <c r="C3435" s="18" t="s">
        <v>210</v>
      </c>
      <c r="D3435" s="18" t="s">
        <v>17</v>
      </c>
      <c r="E3435" s="18" t="s">
        <v>55</v>
      </c>
      <c r="F3435" s="18" t="s">
        <v>6836</v>
      </c>
      <c r="G3435" s="18" t="s">
        <v>47</v>
      </c>
      <c r="H3435" s="18" t="s">
        <v>6837</v>
      </c>
      <c r="I3435" s="20" t="s">
        <v>6838</v>
      </c>
      <c r="J3435" s="18" t="s">
        <v>58</v>
      </c>
      <c r="K3435" s="18" t="s">
        <v>24</v>
      </c>
      <c r="L3435" s="18" t="s">
        <v>25</v>
      </c>
      <c r="N3435" s="18" t="s">
        <v>26</v>
      </c>
    </row>
    <row r="3436" spans="1:14" ht="15" customHeight="1" x14ac:dyDescent="0.3">
      <c r="A3436" s="18" t="s">
        <v>6743</v>
      </c>
      <c r="B3436" s="19" t="s">
        <v>15</v>
      </c>
      <c r="C3436" s="18" t="s">
        <v>210</v>
      </c>
      <c r="D3436" s="18" t="s">
        <v>17</v>
      </c>
      <c r="E3436" s="18" t="s">
        <v>55</v>
      </c>
      <c r="F3436" s="18" t="s">
        <v>6839</v>
      </c>
      <c r="G3436" s="18" t="s">
        <v>1291</v>
      </c>
      <c r="H3436" s="18" t="s">
        <v>6748</v>
      </c>
      <c r="I3436" s="20" t="s">
        <v>6840</v>
      </c>
      <c r="J3436" s="18" t="s">
        <v>58</v>
      </c>
      <c r="K3436" s="18" t="s">
        <v>24</v>
      </c>
      <c r="L3436" s="18" t="s">
        <v>25</v>
      </c>
      <c r="N3436" s="18" t="s">
        <v>26</v>
      </c>
    </row>
    <row r="3437" spans="1:14" ht="15" customHeight="1" x14ac:dyDescent="0.3">
      <c r="A3437" s="18" t="s">
        <v>6743</v>
      </c>
      <c r="B3437" s="19" t="s">
        <v>15</v>
      </c>
      <c r="C3437" s="18" t="s">
        <v>210</v>
      </c>
      <c r="D3437" s="18" t="s">
        <v>17</v>
      </c>
      <c r="E3437" s="18" t="s">
        <v>55</v>
      </c>
      <c r="F3437" s="18" t="s">
        <v>6841</v>
      </c>
      <c r="G3437" s="18" t="s">
        <v>207</v>
      </c>
      <c r="H3437" s="18" t="s">
        <v>6757</v>
      </c>
      <c r="I3437" s="20" t="s">
        <v>6842</v>
      </c>
      <c r="J3437" s="18" t="s">
        <v>58</v>
      </c>
      <c r="K3437" s="18" t="s">
        <v>91</v>
      </c>
      <c r="L3437" s="18" t="s">
        <v>25</v>
      </c>
      <c r="N3437" s="18" t="s">
        <v>26</v>
      </c>
    </row>
    <row r="3438" spans="1:14" ht="15" customHeight="1" x14ac:dyDescent="0.3">
      <c r="A3438" s="18" t="s">
        <v>6743</v>
      </c>
      <c r="B3438" s="19" t="s">
        <v>15</v>
      </c>
      <c r="C3438" s="18" t="s">
        <v>210</v>
      </c>
      <c r="D3438" s="18" t="s">
        <v>17</v>
      </c>
      <c r="E3438" s="18" t="s">
        <v>55</v>
      </c>
      <c r="F3438" s="18" t="s">
        <v>6843</v>
      </c>
      <c r="G3438" s="18" t="s">
        <v>207</v>
      </c>
      <c r="H3438" s="18" t="s">
        <v>6752</v>
      </c>
      <c r="I3438" s="20" t="s">
        <v>6844</v>
      </c>
      <c r="J3438" s="18" t="s">
        <v>58</v>
      </c>
      <c r="K3438" s="18" t="s">
        <v>24</v>
      </c>
      <c r="L3438" s="18" t="s">
        <v>25</v>
      </c>
      <c r="N3438" s="18" t="s">
        <v>26</v>
      </c>
    </row>
    <row r="3439" spans="1:14" ht="15" customHeight="1" x14ac:dyDescent="0.3">
      <c r="A3439" s="18" t="s">
        <v>6743</v>
      </c>
      <c r="B3439" s="19" t="s">
        <v>15</v>
      </c>
      <c r="C3439" s="18" t="s">
        <v>210</v>
      </c>
      <c r="D3439" s="18" t="s">
        <v>17</v>
      </c>
      <c r="E3439" s="18" t="s">
        <v>55</v>
      </c>
      <c r="F3439" s="18" t="s">
        <v>6845</v>
      </c>
      <c r="G3439" s="18" t="s">
        <v>1291</v>
      </c>
      <c r="H3439" s="18" t="s">
        <v>6757</v>
      </c>
      <c r="I3439" s="20" t="s">
        <v>6846</v>
      </c>
      <c r="J3439" s="18" t="s">
        <v>199</v>
      </c>
      <c r="K3439" s="18" t="s">
        <v>91</v>
      </c>
      <c r="L3439" s="18" t="s">
        <v>25</v>
      </c>
      <c r="N3439" s="18" t="s">
        <v>26</v>
      </c>
    </row>
    <row r="3440" spans="1:14" ht="15" customHeight="1" x14ac:dyDescent="0.3">
      <c r="A3440" s="18" t="s">
        <v>6743</v>
      </c>
      <c r="B3440" s="19" t="s">
        <v>15</v>
      </c>
      <c r="C3440" s="18" t="s">
        <v>210</v>
      </c>
      <c r="D3440" s="18" t="s">
        <v>17</v>
      </c>
      <c r="E3440" s="18" t="s">
        <v>55</v>
      </c>
      <c r="F3440" s="18" t="s">
        <v>6847</v>
      </c>
      <c r="G3440" s="18" t="s">
        <v>433</v>
      </c>
      <c r="H3440" s="18" t="s">
        <v>6757</v>
      </c>
      <c r="I3440" s="20" t="s">
        <v>6848</v>
      </c>
      <c r="J3440" s="18" t="s">
        <v>58</v>
      </c>
      <c r="K3440" s="18" t="s">
        <v>91</v>
      </c>
      <c r="L3440" s="18" t="s">
        <v>25</v>
      </c>
      <c r="N3440" s="18" t="s">
        <v>26</v>
      </c>
    </row>
    <row r="3441" spans="1:14" ht="15" customHeight="1" x14ac:dyDescent="0.3">
      <c r="A3441" s="18" t="s">
        <v>6743</v>
      </c>
      <c r="B3441" s="19" t="s">
        <v>15</v>
      </c>
      <c r="C3441" s="18" t="s">
        <v>210</v>
      </c>
      <c r="D3441" s="18" t="s">
        <v>17</v>
      </c>
      <c r="E3441" s="18" t="s">
        <v>55</v>
      </c>
      <c r="F3441" s="18" t="s">
        <v>6849</v>
      </c>
      <c r="G3441" s="18" t="s">
        <v>28</v>
      </c>
      <c r="H3441" s="18" t="s">
        <v>6748</v>
      </c>
      <c r="I3441" s="20" t="s">
        <v>6850</v>
      </c>
      <c r="J3441" s="18" t="s">
        <v>58</v>
      </c>
      <c r="K3441" s="18" t="s">
        <v>24</v>
      </c>
      <c r="L3441" s="18" t="s">
        <v>25</v>
      </c>
      <c r="N3441" s="18" t="s">
        <v>26</v>
      </c>
    </row>
    <row r="3442" spans="1:14" ht="15" customHeight="1" x14ac:dyDescent="0.3">
      <c r="A3442" s="18" t="s">
        <v>6743</v>
      </c>
      <c r="B3442" s="19" t="s">
        <v>15</v>
      </c>
      <c r="C3442" s="18" t="s">
        <v>210</v>
      </c>
      <c r="D3442" s="18" t="s">
        <v>17</v>
      </c>
      <c r="E3442" s="18" t="s">
        <v>55</v>
      </c>
      <c r="F3442" s="18" t="s">
        <v>6783</v>
      </c>
      <c r="G3442" s="18" t="s">
        <v>28</v>
      </c>
      <c r="H3442" s="18" t="s">
        <v>6748</v>
      </c>
      <c r="I3442" s="20" t="s">
        <v>6851</v>
      </c>
      <c r="J3442" s="18" t="s">
        <v>58</v>
      </c>
      <c r="K3442" s="18" t="s">
        <v>24</v>
      </c>
      <c r="L3442" s="18" t="s">
        <v>25</v>
      </c>
      <c r="M3442" s="18" t="s">
        <v>39</v>
      </c>
      <c r="N3442" s="18" t="s">
        <v>26</v>
      </c>
    </row>
    <row r="3443" spans="1:14" ht="15" customHeight="1" x14ac:dyDescent="0.3">
      <c r="A3443" s="18" t="s">
        <v>6743</v>
      </c>
      <c r="B3443" s="19" t="s">
        <v>15</v>
      </c>
      <c r="C3443" s="18" t="s">
        <v>210</v>
      </c>
      <c r="D3443" s="18" t="s">
        <v>17</v>
      </c>
      <c r="E3443" s="18" t="s">
        <v>55</v>
      </c>
      <c r="F3443" s="18" t="s">
        <v>6852</v>
      </c>
      <c r="G3443" s="18" t="s">
        <v>1291</v>
      </c>
      <c r="H3443" s="18" t="s">
        <v>6745</v>
      </c>
      <c r="I3443" s="20" t="s">
        <v>6853</v>
      </c>
      <c r="J3443" s="18" t="s">
        <v>58</v>
      </c>
      <c r="K3443" s="18" t="s">
        <v>91</v>
      </c>
      <c r="L3443" s="18" t="s">
        <v>25</v>
      </c>
      <c r="N3443" s="18" t="s">
        <v>26</v>
      </c>
    </row>
    <row r="3444" spans="1:14" ht="15" customHeight="1" x14ac:dyDescent="0.3">
      <c r="A3444" s="18" t="s">
        <v>6743</v>
      </c>
      <c r="B3444" s="19" t="s">
        <v>15</v>
      </c>
      <c r="C3444" s="18" t="s">
        <v>210</v>
      </c>
      <c r="D3444" s="18" t="s">
        <v>17</v>
      </c>
      <c r="E3444" s="18" t="s">
        <v>55</v>
      </c>
      <c r="F3444" s="18" t="s">
        <v>6854</v>
      </c>
      <c r="G3444" s="18" t="s">
        <v>28</v>
      </c>
      <c r="H3444" s="18" t="s">
        <v>6748</v>
      </c>
      <c r="I3444" s="20" t="s">
        <v>6855</v>
      </c>
      <c r="J3444" s="18" t="s">
        <v>58</v>
      </c>
      <c r="K3444" s="18" t="s">
        <v>24</v>
      </c>
      <c r="L3444" s="18" t="s">
        <v>25</v>
      </c>
      <c r="N3444" s="18" t="s">
        <v>26</v>
      </c>
    </row>
    <row r="3445" spans="1:14" ht="15" customHeight="1" x14ac:dyDescent="0.3">
      <c r="A3445" s="18" t="s">
        <v>6743</v>
      </c>
      <c r="B3445" s="19" t="s">
        <v>15</v>
      </c>
      <c r="C3445" s="18" t="s">
        <v>210</v>
      </c>
      <c r="D3445" s="18" t="s">
        <v>17</v>
      </c>
      <c r="E3445" s="18" t="s">
        <v>55</v>
      </c>
      <c r="F3445" s="18" t="s">
        <v>6856</v>
      </c>
      <c r="G3445" s="18" t="s">
        <v>28</v>
      </c>
      <c r="H3445" s="18" t="s">
        <v>6748</v>
      </c>
      <c r="I3445" s="20" t="s">
        <v>6857</v>
      </c>
      <c r="J3445" s="18" t="s">
        <v>58</v>
      </c>
      <c r="K3445" s="18" t="s">
        <v>24</v>
      </c>
      <c r="L3445" s="18" t="s">
        <v>25</v>
      </c>
      <c r="N3445" s="18" t="s">
        <v>26</v>
      </c>
    </row>
    <row r="3446" spans="1:14" ht="15" customHeight="1" x14ac:dyDescent="0.3">
      <c r="A3446" s="18" t="s">
        <v>6743</v>
      </c>
      <c r="B3446" s="19" t="s">
        <v>15</v>
      </c>
      <c r="C3446" s="18" t="s">
        <v>210</v>
      </c>
      <c r="D3446" s="18" t="s">
        <v>17</v>
      </c>
      <c r="E3446" s="18" t="s">
        <v>55</v>
      </c>
      <c r="F3446" s="18" t="s">
        <v>6858</v>
      </c>
      <c r="G3446" s="18" t="s">
        <v>1291</v>
      </c>
      <c r="H3446" s="18" t="s">
        <v>6748</v>
      </c>
      <c r="I3446" s="20" t="s">
        <v>6859</v>
      </c>
      <c r="J3446" s="18" t="s">
        <v>58</v>
      </c>
      <c r="K3446" s="18" t="s">
        <v>24</v>
      </c>
      <c r="L3446" s="18" t="s">
        <v>25</v>
      </c>
      <c r="N3446" s="18" t="s">
        <v>26</v>
      </c>
    </row>
    <row r="3447" spans="1:14" ht="15" customHeight="1" x14ac:dyDescent="0.3">
      <c r="A3447" s="18" t="s">
        <v>6743</v>
      </c>
      <c r="B3447" s="19" t="s">
        <v>15</v>
      </c>
      <c r="C3447" s="18" t="s">
        <v>210</v>
      </c>
      <c r="D3447" s="18" t="s">
        <v>17</v>
      </c>
      <c r="E3447" s="18" t="s">
        <v>55</v>
      </c>
      <c r="F3447" s="18" t="s">
        <v>6860</v>
      </c>
      <c r="G3447" s="18" t="s">
        <v>28</v>
      </c>
      <c r="H3447" s="18" t="s">
        <v>6748</v>
      </c>
      <c r="I3447" s="20" t="s">
        <v>6861</v>
      </c>
      <c r="J3447" s="18" t="s">
        <v>58</v>
      </c>
      <c r="K3447" s="18" t="s">
        <v>24</v>
      </c>
      <c r="L3447" s="18" t="s">
        <v>25</v>
      </c>
      <c r="N3447" s="18" t="s">
        <v>26</v>
      </c>
    </row>
    <row r="3448" spans="1:14" ht="15" customHeight="1" x14ac:dyDescent="0.3">
      <c r="A3448" s="18" t="s">
        <v>6743</v>
      </c>
      <c r="B3448" s="19" t="s">
        <v>15</v>
      </c>
      <c r="C3448" s="18" t="s">
        <v>210</v>
      </c>
      <c r="D3448" s="18" t="s">
        <v>17</v>
      </c>
      <c r="E3448" s="18" t="s">
        <v>55</v>
      </c>
      <c r="F3448" s="18" t="s">
        <v>6862</v>
      </c>
      <c r="G3448" s="18" t="s">
        <v>619</v>
      </c>
      <c r="H3448" s="18" t="s">
        <v>6752</v>
      </c>
      <c r="I3448" s="20" t="s">
        <v>6863</v>
      </c>
      <c r="J3448" s="18" t="s">
        <v>58</v>
      </c>
      <c r="K3448" s="18" t="s">
        <v>24</v>
      </c>
      <c r="L3448" s="18" t="s">
        <v>25</v>
      </c>
      <c r="N3448" s="18" t="s">
        <v>26</v>
      </c>
    </row>
    <row r="3449" spans="1:14" ht="15" customHeight="1" x14ac:dyDescent="0.3">
      <c r="A3449" s="18" t="s">
        <v>6743</v>
      </c>
      <c r="B3449" s="19" t="s">
        <v>15</v>
      </c>
      <c r="C3449" s="18" t="s">
        <v>210</v>
      </c>
      <c r="D3449" s="18" t="s">
        <v>17</v>
      </c>
      <c r="E3449" s="18" t="s">
        <v>55</v>
      </c>
      <c r="F3449" s="18" t="s">
        <v>6864</v>
      </c>
      <c r="G3449" s="18" t="s">
        <v>619</v>
      </c>
      <c r="H3449" s="18" t="s">
        <v>6752</v>
      </c>
      <c r="I3449" s="20" t="s">
        <v>6865</v>
      </c>
      <c r="J3449" s="18" t="s">
        <v>58</v>
      </c>
      <c r="K3449" s="18" t="s">
        <v>24</v>
      </c>
      <c r="L3449" s="18" t="s">
        <v>25</v>
      </c>
      <c r="N3449" s="18" t="s">
        <v>26</v>
      </c>
    </row>
    <row r="3450" spans="1:14" ht="15" customHeight="1" x14ac:dyDescent="0.3">
      <c r="A3450" s="18" t="s">
        <v>6743</v>
      </c>
      <c r="B3450" s="19" t="s">
        <v>15</v>
      </c>
      <c r="C3450" s="18" t="s">
        <v>210</v>
      </c>
      <c r="D3450" s="18" t="s">
        <v>17</v>
      </c>
      <c r="E3450" s="18" t="s">
        <v>55</v>
      </c>
      <c r="F3450" s="18" t="s">
        <v>6866</v>
      </c>
      <c r="G3450" s="18" t="s">
        <v>619</v>
      </c>
      <c r="H3450" s="18" t="s">
        <v>6757</v>
      </c>
      <c r="I3450" s="20" t="s">
        <v>6867</v>
      </c>
      <c r="J3450" s="18" t="s">
        <v>58</v>
      </c>
      <c r="K3450" s="18" t="s">
        <v>91</v>
      </c>
      <c r="L3450" s="18" t="s">
        <v>25</v>
      </c>
      <c r="N3450" s="18" t="s">
        <v>26</v>
      </c>
    </row>
    <row r="3451" spans="1:14" ht="15" customHeight="1" x14ac:dyDescent="0.3">
      <c r="A3451" s="18" t="s">
        <v>6743</v>
      </c>
      <c r="B3451" s="19" t="s">
        <v>15</v>
      </c>
      <c r="C3451" s="18" t="s">
        <v>210</v>
      </c>
      <c r="D3451" s="18" t="s">
        <v>17</v>
      </c>
      <c r="E3451" s="18" t="s">
        <v>55</v>
      </c>
      <c r="F3451" s="18" t="s">
        <v>6868</v>
      </c>
      <c r="G3451" s="18" t="s">
        <v>619</v>
      </c>
      <c r="H3451" s="18" t="s">
        <v>6757</v>
      </c>
      <c r="I3451" s="20" t="s">
        <v>6869</v>
      </c>
      <c r="J3451" s="18" t="s">
        <v>58</v>
      </c>
      <c r="K3451" s="18" t="s">
        <v>91</v>
      </c>
      <c r="L3451" s="18" t="s">
        <v>25</v>
      </c>
      <c r="N3451" s="18" t="s">
        <v>26</v>
      </c>
    </row>
    <row r="3452" spans="1:14" ht="15" customHeight="1" x14ac:dyDescent="0.3">
      <c r="A3452" s="18" t="s">
        <v>6743</v>
      </c>
      <c r="B3452" s="19" t="s">
        <v>15</v>
      </c>
      <c r="C3452" s="18" t="s">
        <v>210</v>
      </c>
      <c r="D3452" s="18" t="s">
        <v>17</v>
      </c>
      <c r="E3452" s="18" t="s">
        <v>55</v>
      </c>
      <c r="F3452" s="18" t="s">
        <v>6870</v>
      </c>
      <c r="G3452" s="18" t="s">
        <v>28</v>
      </c>
      <c r="H3452" s="18" t="s">
        <v>6745</v>
      </c>
      <c r="I3452" s="20" t="s">
        <v>6871</v>
      </c>
      <c r="J3452" s="18" t="s">
        <v>58</v>
      </c>
      <c r="K3452" s="18" t="s">
        <v>91</v>
      </c>
      <c r="L3452" s="18" t="s">
        <v>25</v>
      </c>
      <c r="N3452" s="18" t="s">
        <v>26</v>
      </c>
    </row>
    <row r="3453" spans="1:14" ht="15" customHeight="1" x14ac:dyDescent="0.3">
      <c r="A3453" s="18" t="s">
        <v>6743</v>
      </c>
      <c r="B3453" s="19" t="s">
        <v>15</v>
      </c>
      <c r="C3453" s="18" t="s">
        <v>210</v>
      </c>
      <c r="D3453" s="18" t="s">
        <v>17</v>
      </c>
      <c r="E3453" s="18" t="s">
        <v>55</v>
      </c>
      <c r="F3453" s="18" t="s">
        <v>6872</v>
      </c>
      <c r="G3453" s="18" t="s">
        <v>41</v>
      </c>
      <c r="H3453" s="18" t="s">
        <v>6752</v>
      </c>
      <c r="I3453" s="20" t="s">
        <v>6873</v>
      </c>
      <c r="J3453" s="18" t="s">
        <v>58</v>
      </c>
      <c r="K3453" s="18" t="s">
        <v>24</v>
      </c>
      <c r="L3453" s="18" t="s">
        <v>25</v>
      </c>
      <c r="N3453" s="18" t="s">
        <v>26</v>
      </c>
    </row>
    <row r="3454" spans="1:14" ht="15" customHeight="1" x14ac:dyDescent="0.3">
      <c r="A3454" s="18" t="s">
        <v>6743</v>
      </c>
      <c r="B3454" s="19" t="s">
        <v>15</v>
      </c>
      <c r="C3454" s="18" t="s">
        <v>210</v>
      </c>
      <c r="D3454" s="18" t="s">
        <v>17</v>
      </c>
      <c r="E3454" s="18" t="s">
        <v>55</v>
      </c>
      <c r="F3454" s="18" t="s">
        <v>6874</v>
      </c>
      <c r="G3454" s="18" t="s">
        <v>1019</v>
      </c>
      <c r="H3454" s="18" t="s">
        <v>6875</v>
      </c>
      <c r="I3454" s="20" t="s">
        <v>6876</v>
      </c>
      <c r="J3454" s="18" t="s">
        <v>58</v>
      </c>
      <c r="K3454" s="18" t="s">
        <v>24</v>
      </c>
      <c r="L3454" s="18" t="s">
        <v>25</v>
      </c>
      <c r="M3454" s="18" t="s">
        <v>39</v>
      </c>
      <c r="N3454" s="18" t="s">
        <v>26</v>
      </c>
    </row>
    <row r="3455" spans="1:14" ht="15" customHeight="1" x14ac:dyDescent="0.3">
      <c r="A3455" s="18" t="s">
        <v>6743</v>
      </c>
      <c r="B3455" s="19" t="s">
        <v>15</v>
      </c>
      <c r="C3455" s="18" t="s">
        <v>210</v>
      </c>
      <c r="D3455" s="18" t="s">
        <v>17</v>
      </c>
      <c r="E3455" s="18" t="s">
        <v>55</v>
      </c>
      <c r="F3455" s="18" t="s">
        <v>6877</v>
      </c>
      <c r="G3455" s="18" t="s">
        <v>433</v>
      </c>
      <c r="H3455" s="18" t="s">
        <v>6757</v>
      </c>
      <c r="I3455" s="20" t="s">
        <v>6878</v>
      </c>
      <c r="J3455" s="18" t="s">
        <v>58</v>
      </c>
      <c r="K3455" s="18" t="s">
        <v>91</v>
      </c>
      <c r="L3455" s="18" t="s">
        <v>25</v>
      </c>
      <c r="N3455" s="18" t="s">
        <v>26</v>
      </c>
    </row>
    <row r="3456" spans="1:14" ht="15" customHeight="1" x14ac:dyDescent="0.3">
      <c r="A3456" s="18" t="s">
        <v>6743</v>
      </c>
      <c r="B3456" s="19" t="s">
        <v>15</v>
      </c>
      <c r="C3456" s="18" t="s">
        <v>210</v>
      </c>
      <c r="D3456" s="18" t="s">
        <v>17</v>
      </c>
      <c r="E3456" s="18" t="s">
        <v>55</v>
      </c>
      <c r="F3456" s="18" t="s">
        <v>40</v>
      </c>
      <c r="G3456" s="18" t="s">
        <v>41</v>
      </c>
      <c r="H3456" s="18" t="s">
        <v>6752</v>
      </c>
      <c r="I3456" s="20" t="s">
        <v>6879</v>
      </c>
      <c r="J3456" s="18" t="s">
        <v>58</v>
      </c>
      <c r="K3456" s="18" t="s">
        <v>24</v>
      </c>
      <c r="L3456" s="18" t="s">
        <v>25</v>
      </c>
      <c r="N3456" s="18" t="s">
        <v>26</v>
      </c>
    </row>
    <row r="3457" spans="1:14" ht="15" customHeight="1" x14ac:dyDescent="0.3">
      <c r="A3457" s="18" t="s">
        <v>6743</v>
      </c>
      <c r="B3457" s="19" t="s">
        <v>15</v>
      </c>
      <c r="C3457" s="18" t="s">
        <v>210</v>
      </c>
      <c r="D3457" s="18" t="s">
        <v>17</v>
      </c>
      <c r="E3457" s="18" t="s">
        <v>55</v>
      </c>
      <c r="F3457" s="18" t="s">
        <v>6880</v>
      </c>
      <c r="G3457" s="18" t="s">
        <v>537</v>
      </c>
      <c r="H3457" s="18" t="s">
        <v>6881</v>
      </c>
      <c r="I3457" s="20" t="s">
        <v>6882</v>
      </c>
      <c r="J3457" s="18" t="s">
        <v>58</v>
      </c>
      <c r="K3457" s="18" t="s">
        <v>24</v>
      </c>
      <c r="L3457" s="18" t="s">
        <v>25</v>
      </c>
      <c r="M3457" s="18" t="s">
        <v>39</v>
      </c>
      <c r="N3457" s="18" t="s">
        <v>26</v>
      </c>
    </row>
    <row r="3458" spans="1:14" ht="15" customHeight="1" x14ac:dyDescent="0.3">
      <c r="A3458" s="18" t="s">
        <v>6743</v>
      </c>
      <c r="B3458" s="19" t="s">
        <v>15</v>
      </c>
      <c r="C3458" s="18" t="s">
        <v>210</v>
      </c>
      <c r="D3458" s="18" t="s">
        <v>17</v>
      </c>
      <c r="E3458" s="18" t="s">
        <v>55</v>
      </c>
      <c r="F3458" s="18" t="s">
        <v>6883</v>
      </c>
      <c r="G3458" s="18" t="s">
        <v>6884</v>
      </c>
      <c r="H3458" s="18" t="s">
        <v>6752</v>
      </c>
      <c r="I3458" s="20" t="s">
        <v>6885</v>
      </c>
      <c r="J3458" s="18" t="s">
        <v>58</v>
      </c>
      <c r="K3458" s="18" t="s">
        <v>24</v>
      </c>
      <c r="L3458" s="18" t="s">
        <v>25</v>
      </c>
      <c r="M3458" s="18" t="s">
        <v>39</v>
      </c>
      <c r="N3458" s="18" t="s">
        <v>26</v>
      </c>
    </row>
    <row r="3459" spans="1:14" ht="15" customHeight="1" x14ac:dyDescent="0.3">
      <c r="A3459" s="18" t="s">
        <v>6743</v>
      </c>
      <c r="B3459" s="19" t="s">
        <v>15</v>
      </c>
      <c r="C3459" s="18" t="s">
        <v>210</v>
      </c>
      <c r="D3459" s="18" t="s">
        <v>17</v>
      </c>
      <c r="E3459" s="18" t="s">
        <v>55</v>
      </c>
      <c r="F3459" s="18" t="s">
        <v>6799</v>
      </c>
      <c r="G3459" s="18" t="s">
        <v>41</v>
      </c>
      <c r="H3459" s="18" t="s">
        <v>6757</v>
      </c>
      <c r="I3459" s="20" t="s">
        <v>6886</v>
      </c>
      <c r="J3459" s="18" t="s">
        <v>58</v>
      </c>
      <c r="K3459" s="18" t="s">
        <v>91</v>
      </c>
      <c r="L3459" s="18" t="s">
        <v>25</v>
      </c>
      <c r="N3459" s="18" t="s">
        <v>26</v>
      </c>
    </row>
    <row r="3460" spans="1:14" ht="15" customHeight="1" x14ac:dyDescent="0.3">
      <c r="A3460" s="18" t="s">
        <v>6743</v>
      </c>
      <c r="B3460" s="19" t="s">
        <v>15</v>
      </c>
      <c r="C3460" s="18" t="s">
        <v>210</v>
      </c>
      <c r="D3460" s="18" t="s">
        <v>17</v>
      </c>
      <c r="E3460" s="18" t="s">
        <v>55</v>
      </c>
      <c r="F3460" s="18" t="s">
        <v>1088</v>
      </c>
      <c r="G3460" s="18" t="s">
        <v>41</v>
      </c>
      <c r="H3460" s="18" t="s">
        <v>6752</v>
      </c>
      <c r="I3460" s="20" t="s">
        <v>6887</v>
      </c>
      <c r="J3460" s="18" t="s">
        <v>58</v>
      </c>
      <c r="K3460" s="18" t="s">
        <v>24</v>
      </c>
      <c r="L3460" s="18" t="s">
        <v>25</v>
      </c>
      <c r="N3460" s="18" t="s">
        <v>26</v>
      </c>
    </row>
    <row r="3461" spans="1:14" ht="15" customHeight="1" x14ac:dyDescent="0.3">
      <c r="A3461" s="18" t="s">
        <v>6743</v>
      </c>
      <c r="B3461" s="19" t="s">
        <v>15</v>
      </c>
      <c r="C3461" s="18" t="s">
        <v>210</v>
      </c>
      <c r="D3461" s="18" t="s">
        <v>17</v>
      </c>
      <c r="E3461" s="18" t="s">
        <v>55</v>
      </c>
      <c r="F3461" s="18" t="s">
        <v>6802</v>
      </c>
      <c r="G3461" s="18" t="s">
        <v>41</v>
      </c>
      <c r="H3461" s="18" t="s">
        <v>6757</v>
      </c>
      <c r="I3461" s="20" t="s">
        <v>6888</v>
      </c>
      <c r="J3461" s="18" t="s">
        <v>58</v>
      </c>
      <c r="K3461" s="18" t="s">
        <v>91</v>
      </c>
      <c r="L3461" s="18" t="s">
        <v>25</v>
      </c>
      <c r="N3461" s="18" t="s">
        <v>26</v>
      </c>
    </row>
    <row r="3462" spans="1:14" ht="15" customHeight="1" x14ac:dyDescent="0.3">
      <c r="A3462" s="18" t="s">
        <v>6743</v>
      </c>
      <c r="B3462" s="19" t="s">
        <v>15</v>
      </c>
      <c r="C3462" s="18" t="s">
        <v>210</v>
      </c>
      <c r="D3462" s="18" t="s">
        <v>17</v>
      </c>
      <c r="E3462" s="18" t="s">
        <v>55</v>
      </c>
      <c r="F3462" s="18" t="s">
        <v>6889</v>
      </c>
      <c r="G3462" s="18" t="s">
        <v>41</v>
      </c>
      <c r="H3462" s="18" t="s">
        <v>6757</v>
      </c>
      <c r="I3462" s="20" t="s">
        <v>6890</v>
      </c>
      <c r="J3462" s="18" t="s">
        <v>58</v>
      </c>
      <c r="K3462" s="18" t="s">
        <v>91</v>
      </c>
      <c r="L3462" s="18" t="s">
        <v>25</v>
      </c>
      <c r="N3462" s="18" t="s">
        <v>26</v>
      </c>
    </row>
    <row r="3463" spans="1:14" ht="15" customHeight="1" x14ac:dyDescent="0.3">
      <c r="A3463" s="18" t="s">
        <v>6743</v>
      </c>
      <c r="B3463" s="19" t="s">
        <v>15</v>
      </c>
      <c r="C3463" s="18" t="s">
        <v>210</v>
      </c>
      <c r="D3463" s="18" t="s">
        <v>17</v>
      </c>
      <c r="E3463" s="18" t="s">
        <v>55</v>
      </c>
      <c r="F3463" s="18" t="s">
        <v>5696</v>
      </c>
      <c r="G3463" s="18" t="s">
        <v>28</v>
      </c>
      <c r="H3463" s="18" t="s">
        <v>6748</v>
      </c>
      <c r="I3463" s="20" t="s">
        <v>6891</v>
      </c>
      <c r="J3463" s="18" t="s">
        <v>58</v>
      </c>
      <c r="K3463" s="18" t="s">
        <v>24</v>
      </c>
      <c r="L3463" s="18" t="s">
        <v>25</v>
      </c>
      <c r="N3463" s="18" t="s">
        <v>26</v>
      </c>
    </row>
    <row r="3464" spans="1:14" ht="15" customHeight="1" x14ac:dyDescent="0.3">
      <c r="A3464" s="18" t="s">
        <v>6743</v>
      </c>
      <c r="B3464" s="19" t="s">
        <v>15</v>
      </c>
      <c r="C3464" s="18" t="s">
        <v>210</v>
      </c>
      <c r="D3464" s="18" t="s">
        <v>17</v>
      </c>
      <c r="E3464" s="18" t="s">
        <v>55</v>
      </c>
      <c r="F3464" s="18" t="s">
        <v>3997</v>
      </c>
      <c r="G3464" s="18" t="s">
        <v>41</v>
      </c>
      <c r="H3464" s="18" t="s">
        <v>6875</v>
      </c>
      <c r="I3464" s="20" t="s">
        <v>6892</v>
      </c>
      <c r="J3464" s="18" t="s">
        <v>58</v>
      </c>
      <c r="K3464" s="18" t="s">
        <v>24</v>
      </c>
      <c r="L3464" s="18" t="s">
        <v>25</v>
      </c>
      <c r="N3464" s="18" t="s">
        <v>26</v>
      </c>
    </row>
    <row r="3465" spans="1:14" ht="15" customHeight="1" x14ac:dyDescent="0.3">
      <c r="A3465" s="18" t="s">
        <v>6743</v>
      </c>
      <c r="B3465" s="19" t="s">
        <v>15</v>
      </c>
      <c r="C3465" s="18" t="s">
        <v>210</v>
      </c>
      <c r="D3465" s="18" t="s">
        <v>17</v>
      </c>
      <c r="E3465" s="18" t="s">
        <v>55</v>
      </c>
      <c r="F3465" s="18" t="s">
        <v>1453</v>
      </c>
      <c r="G3465" s="18" t="s">
        <v>537</v>
      </c>
      <c r="H3465" s="18" t="s">
        <v>6881</v>
      </c>
      <c r="I3465" s="20" t="s">
        <v>6893</v>
      </c>
      <c r="J3465" s="18" t="s">
        <v>58</v>
      </c>
      <c r="K3465" s="18" t="s">
        <v>24</v>
      </c>
      <c r="L3465" s="18" t="s">
        <v>25</v>
      </c>
      <c r="N3465" s="18" t="s">
        <v>26</v>
      </c>
    </row>
    <row r="3466" spans="1:14" ht="15" customHeight="1" x14ac:dyDescent="0.3">
      <c r="A3466" s="18" t="s">
        <v>6743</v>
      </c>
      <c r="B3466" s="19" t="s">
        <v>15</v>
      </c>
      <c r="C3466" s="18" t="s">
        <v>210</v>
      </c>
      <c r="D3466" s="18" t="s">
        <v>17</v>
      </c>
      <c r="E3466" s="18" t="s">
        <v>55</v>
      </c>
      <c r="F3466" s="18" t="s">
        <v>6894</v>
      </c>
      <c r="G3466" s="18" t="s">
        <v>41</v>
      </c>
      <c r="H3466" s="18" t="s">
        <v>6752</v>
      </c>
      <c r="I3466" s="20" t="s">
        <v>6895</v>
      </c>
      <c r="J3466" s="18" t="s">
        <v>58</v>
      </c>
      <c r="K3466" s="18" t="s">
        <v>24</v>
      </c>
      <c r="L3466" s="18" t="s">
        <v>25</v>
      </c>
      <c r="M3466" s="18" t="s">
        <v>39</v>
      </c>
      <c r="N3466" s="18" t="s">
        <v>26</v>
      </c>
    </row>
    <row r="3467" spans="1:14" ht="15" customHeight="1" x14ac:dyDescent="0.3">
      <c r="A3467" s="18" t="s">
        <v>6743</v>
      </c>
      <c r="B3467" s="19" t="s">
        <v>15</v>
      </c>
      <c r="C3467" s="18" t="s">
        <v>210</v>
      </c>
      <c r="D3467" s="18" t="s">
        <v>17</v>
      </c>
      <c r="E3467" s="18" t="s">
        <v>55</v>
      </c>
      <c r="F3467" s="18" t="s">
        <v>6896</v>
      </c>
      <c r="G3467" s="18" t="s">
        <v>41</v>
      </c>
      <c r="H3467" s="18" t="s">
        <v>6752</v>
      </c>
      <c r="I3467" s="20" t="s">
        <v>6897</v>
      </c>
      <c r="J3467" s="18" t="s">
        <v>58</v>
      </c>
      <c r="K3467" s="18" t="s">
        <v>24</v>
      </c>
      <c r="L3467" s="18" t="s">
        <v>25</v>
      </c>
      <c r="N3467" s="18" t="s">
        <v>26</v>
      </c>
    </row>
    <row r="3468" spans="1:14" ht="15" customHeight="1" x14ac:dyDescent="0.3">
      <c r="A3468" s="18" t="s">
        <v>6743</v>
      </c>
      <c r="B3468" s="19" t="s">
        <v>15</v>
      </c>
      <c r="C3468" s="18" t="s">
        <v>210</v>
      </c>
      <c r="D3468" s="18" t="s">
        <v>17</v>
      </c>
      <c r="E3468" s="18" t="s">
        <v>55</v>
      </c>
      <c r="F3468" s="18" t="s">
        <v>6898</v>
      </c>
      <c r="G3468" s="18" t="s">
        <v>207</v>
      </c>
      <c r="H3468" s="18" t="s">
        <v>6757</v>
      </c>
      <c r="I3468" s="20" t="s">
        <v>6899</v>
      </c>
      <c r="J3468" s="18" t="s">
        <v>58</v>
      </c>
      <c r="K3468" s="18" t="s">
        <v>91</v>
      </c>
      <c r="L3468" s="18" t="s">
        <v>25</v>
      </c>
      <c r="N3468" s="18" t="s">
        <v>26</v>
      </c>
    </row>
    <row r="3469" spans="1:14" ht="15" customHeight="1" x14ac:dyDescent="0.3">
      <c r="A3469" s="18" t="s">
        <v>6743</v>
      </c>
      <c r="B3469" s="19" t="s">
        <v>15</v>
      </c>
      <c r="C3469" s="18" t="s">
        <v>210</v>
      </c>
      <c r="D3469" s="18" t="s">
        <v>17</v>
      </c>
      <c r="E3469" s="18" t="s">
        <v>55</v>
      </c>
      <c r="F3469" s="18" t="s">
        <v>6900</v>
      </c>
      <c r="G3469" s="18" t="s">
        <v>41</v>
      </c>
      <c r="H3469" s="18" t="s">
        <v>6752</v>
      </c>
      <c r="I3469" s="20" t="s">
        <v>6901</v>
      </c>
      <c r="J3469" s="18" t="s">
        <v>58</v>
      </c>
      <c r="K3469" s="18" t="s">
        <v>24</v>
      </c>
      <c r="L3469" s="18" t="s">
        <v>25</v>
      </c>
      <c r="N3469" s="18" t="s">
        <v>26</v>
      </c>
    </row>
    <row r="3470" spans="1:14" ht="15" customHeight="1" x14ac:dyDescent="0.3">
      <c r="A3470" s="18" t="s">
        <v>6743</v>
      </c>
      <c r="B3470" s="19" t="s">
        <v>15</v>
      </c>
      <c r="C3470" s="18" t="s">
        <v>210</v>
      </c>
      <c r="D3470" s="18" t="s">
        <v>17</v>
      </c>
      <c r="E3470" s="18" t="s">
        <v>55</v>
      </c>
      <c r="F3470" s="18" t="s">
        <v>6902</v>
      </c>
      <c r="G3470" s="18" t="s">
        <v>340</v>
      </c>
      <c r="H3470" s="18" t="s">
        <v>6757</v>
      </c>
      <c r="I3470" s="20" t="s">
        <v>6903</v>
      </c>
      <c r="J3470" s="18" t="s">
        <v>58</v>
      </c>
      <c r="K3470" s="18" t="s">
        <v>91</v>
      </c>
      <c r="L3470" s="18" t="s">
        <v>25</v>
      </c>
      <c r="N3470" s="18" t="s">
        <v>26</v>
      </c>
    </row>
    <row r="3471" spans="1:14" ht="15" customHeight="1" x14ac:dyDescent="0.3">
      <c r="A3471" s="18" t="s">
        <v>6743</v>
      </c>
      <c r="B3471" s="19" t="s">
        <v>15</v>
      </c>
      <c r="C3471" s="18" t="s">
        <v>210</v>
      </c>
      <c r="D3471" s="18" t="s">
        <v>17</v>
      </c>
      <c r="E3471" s="18" t="s">
        <v>55</v>
      </c>
      <c r="F3471" s="18" t="s">
        <v>655</v>
      </c>
      <c r="G3471" s="18" t="s">
        <v>340</v>
      </c>
      <c r="H3471" s="18" t="s">
        <v>6752</v>
      </c>
      <c r="I3471" s="20" t="s">
        <v>6904</v>
      </c>
      <c r="J3471" s="18" t="s">
        <v>58</v>
      </c>
      <c r="K3471" s="18" t="s">
        <v>24</v>
      </c>
      <c r="L3471" s="18" t="s">
        <v>25</v>
      </c>
      <c r="N3471" s="18" t="s">
        <v>26</v>
      </c>
    </row>
    <row r="3472" spans="1:14" ht="15" customHeight="1" x14ac:dyDescent="0.3">
      <c r="A3472" s="18" t="s">
        <v>6743</v>
      </c>
      <c r="B3472" s="19" t="s">
        <v>15</v>
      </c>
      <c r="C3472" s="18" t="s">
        <v>210</v>
      </c>
      <c r="D3472" s="18" t="s">
        <v>17</v>
      </c>
      <c r="E3472" s="18" t="s">
        <v>55</v>
      </c>
      <c r="F3472" s="18" t="s">
        <v>6905</v>
      </c>
      <c r="G3472" s="18" t="s">
        <v>340</v>
      </c>
      <c r="H3472" s="18" t="s">
        <v>6757</v>
      </c>
      <c r="I3472" s="20" t="s">
        <v>6906</v>
      </c>
      <c r="J3472" s="18" t="s">
        <v>58</v>
      </c>
      <c r="K3472" s="18" t="s">
        <v>91</v>
      </c>
      <c r="L3472" s="18" t="s">
        <v>25</v>
      </c>
      <c r="N3472" s="18" t="s">
        <v>26</v>
      </c>
    </row>
    <row r="3473" spans="1:14" ht="15" customHeight="1" x14ac:dyDescent="0.3">
      <c r="A3473" s="18" t="s">
        <v>6743</v>
      </c>
      <c r="B3473" s="19" t="s">
        <v>15</v>
      </c>
      <c r="C3473" s="18" t="s">
        <v>210</v>
      </c>
      <c r="D3473" s="18" t="s">
        <v>17</v>
      </c>
      <c r="E3473" s="18" t="s">
        <v>55</v>
      </c>
      <c r="F3473" s="18" t="s">
        <v>1545</v>
      </c>
      <c r="G3473" s="18" t="s">
        <v>340</v>
      </c>
      <c r="H3473" s="18" t="s">
        <v>6752</v>
      </c>
      <c r="I3473" s="20" t="s">
        <v>6907</v>
      </c>
      <c r="J3473" s="18" t="s">
        <v>58</v>
      </c>
      <c r="K3473" s="18" t="s">
        <v>24</v>
      </c>
      <c r="L3473" s="18" t="s">
        <v>25</v>
      </c>
      <c r="N3473" s="18" t="s">
        <v>26</v>
      </c>
    </row>
    <row r="3474" spans="1:14" ht="15" customHeight="1" x14ac:dyDescent="0.3">
      <c r="A3474" s="18" t="s">
        <v>6743</v>
      </c>
      <c r="B3474" s="19" t="s">
        <v>15</v>
      </c>
      <c r="C3474" s="18" t="s">
        <v>210</v>
      </c>
      <c r="D3474" s="18" t="s">
        <v>17</v>
      </c>
      <c r="E3474" s="18" t="s">
        <v>55</v>
      </c>
      <c r="F3474" s="18" t="s">
        <v>6908</v>
      </c>
      <c r="G3474" s="18" t="s">
        <v>340</v>
      </c>
      <c r="H3474" s="18" t="s">
        <v>6757</v>
      </c>
      <c r="I3474" s="20" t="s">
        <v>6909</v>
      </c>
      <c r="J3474" s="18" t="s">
        <v>58</v>
      </c>
      <c r="K3474" s="18" t="s">
        <v>91</v>
      </c>
      <c r="L3474" s="18" t="s">
        <v>25</v>
      </c>
      <c r="N3474" s="18" t="s">
        <v>26</v>
      </c>
    </row>
    <row r="3475" spans="1:14" ht="15" customHeight="1" x14ac:dyDescent="0.3">
      <c r="A3475" s="18" t="s">
        <v>6743</v>
      </c>
      <c r="B3475" s="19" t="s">
        <v>15</v>
      </c>
      <c r="C3475" s="18" t="s">
        <v>210</v>
      </c>
      <c r="D3475" s="18" t="s">
        <v>17</v>
      </c>
      <c r="E3475" s="18" t="s">
        <v>55</v>
      </c>
      <c r="F3475" s="18" t="s">
        <v>5391</v>
      </c>
      <c r="G3475" s="18" t="s">
        <v>47</v>
      </c>
      <c r="H3475" s="18" t="s">
        <v>6752</v>
      </c>
      <c r="I3475" s="20" t="s">
        <v>6910</v>
      </c>
      <c r="J3475" s="18" t="s">
        <v>58</v>
      </c>
      <c r="K3475" s="18" t="s">
        <v>24</v>
      </c>
      <c r="L3475" s="18" t="s">
        <v>25</v>
      </c>
      <c r="M3475" s="18" t="s">
        <v>39</v>
      </c>
      <c r="N3475" s="18" t="s">
        <v>26</v>
      </c>
    </row>
    <row r="3476" spans="1:14" ht="15" customHeight="1" x14ac:dyDescent="0.3">
      <c r="A3476" s="18" t="s">
        <v>6743</v>
      </c>
      <c r="B3476" s="19" t="s">
        <v>15</v>
      </c>
      <c r="C3476" s="18" t="s">
        <v>210</v>
      </c>
      <c r="D3476" s="18" t="s">
        <v>17</v>
      </c>
      <c r="E3476" s="18" t="s">
        <v>55</v>
      </c>
      <c r="F3476" s="18" t="s">
        <v>6911</v>
      </c>
      <c r="G3476" s="18" t="s">
        <v>1019</v>
      </c>
      <c r="H3476" s="18" t="s">
        <v>6875</v>
      </c>
      <c r="I3476" s="20" t="s">
        <v>6912</v>
      </c>
      <c r="J3476" s="18" t="s">
        <v>58</v>
      </c>
      <c r="K3476" s="18" t="s">
        <v>24</v>
      </c>
      <c r="L3476" s="18" t="s">
        <v>25</v>
      </c>
      <c r="N3476" s="18" t="s">
        <v>26</v>
      </c>
    </row>
    <row r="3477" spans="1:14" ht="15" customHeight="1" x14ac:dyDescent="0.3">
      <c r="A3477" s="18" t="s">
        <v>6743</v>
      </c>
      <c r="B3477" s="19" t="s">
        <v>15</v>
      </c>
      <c r="C3477" s="18" t="s">
        <v>210</v>
      </c>
      <c r="D3477" s="18" t="s">
        <v>17</v>
      </c>
      <c r="E3477" s="18" t="s">
        <v>74</v>
      </c>
      <c r="F3477" s="18" t="s">
        <v>6913</v>
      </c>
      <c r="G3477" s="18" t="s">
        <v>160</v>
      </c>
      <c r="H3477" s="18" t="s">
        <v>6914</v>
      </c>
      <c r="I3477" s="20" t="s">
        <v>6915</v>
      </c>
      <c r="J3477" s="18" t="s">
        <v>6916</v>
      </c>
      <c r="K3477" s="18" t="s">
        <v>293</v>
      </c>
      <c r="L3477" s="18" t="s">
        <v>25</v>
      </c>
      <c r="N3477" s="18" t="s">
        <v>26</v>
      </c>
    </row>
    <row r="3478" spans="1:14" ht="15" customHeight="1" x14ac:dyDescent="0.3">
      <c r="A3478" s="18" t="s">
        <v>6743</v>
      </c>
      <c r="B3478" s="19" t="s">
        <v>15</v>
      </c>
      <c r="C3478" s="18" t="s">
        <v>210</v>
      </c>
      <c r="D3478" s="18" t="s">
        <v>17</v>
      </c>
      <c r="E3478" s="18" t="s">
        <v>74</v>
      </c>
      <c r="F3478" s="18" t="s">
        <v>6917</v>
      </c>
      <c r="G3478" s="18" t="s">
        <v>85</v>
      </c>
      <c r="H3478" s="18" t="s">
        <v>6918</v>
      </c>
      <c r="I3478" s="20" t="s">
        <v>6919</v>
      </c>
      <c r="J3478" s="18" t="s">
        <v>6920</v>
      </c>
      <c r="K3478" s="18" t="s">
        <v>293</v>
      </c>
      <c r="L3478" s="18" t="s">
        <v>25</v>
      </c>
      <c r="N3478" s="18" t="s">
        <v>26</v>
      </c>
    </row>
    <row r="3479" spans="1:14" ht="15" customHeight="1" x14ac:dyDescent="0.3">
      <c r="A3479" s="18" t="s">
        <v>6743</v>
      </c>
      <c r="B3479" s="19" t="s">
        <v>15</v>
      </c>
      <c r="C3479" s="18" t="s">
        <v>210</v>
      </c>
      <c r="D3479" s="18" t="s">
        <v>17</v>
      </c>
      <c r="E3479" s="18" t="s">
        <v>74</v>
      </c>
      <c r="F3479" s="18" t="s">
        <v>6921</v>
      </c>
      <c r="G3479" s="18" t="s">
        <v>207</v>
      </c>
      <c r="H3479" s="18" t="s">
        <v>6914</v>
      </c>
      <c r="I3479" s="20" t="s">
        <v>6922</v>
      </c>
      <c r="J3479" s="18" t="s">
        <v>6923</v>
      </c>
      <c r="K3479" s="18" t="s">
        <v>293</v>
      </c>
      <c r="L3479" s="18" t="s">
        <v>25</v>
      </c>
      <c r="N3479" s="18" t="s">
        <v>26</v>
      </c>
    </row>
    <row r="3480" spans="1:14" ht="15" customHeight="1" x14ac:dyDescent="0.3">
      <c r="A3480" s="18" t="s">
        <v>6743</v>
      </c>
      <c r="B3480" s="19" t="s">
        <v>15</v>
      </c>
      <c r="C3480" s="18" t="s">
        <v>210</v>
      </c>
      <c r="D3480" s="18" t="s">
        <v>17</v>
      </c>
      <c r="E3480" s="18" t="s">
        <v>74</v>
      </c>
      <c r="F3480" s="18" t="s">
        <v>6924</v>
      </c>
      <c r="G3480" s="18" t="s">
        <v>47</v>
      </c>
      <c r="H3480" s="18" t="s">
        <v>6918</v>
      </c>
      <c r="I3480" s="20" t="s">
        <v>6925</v>
      </c>
      <c r="J3480" s="18" t="s">
        <v>6920</v>
      </c>
      <c r="K3480" s="18" t="s">
        <v>293</v>
      </c>
      <c r="L3480" s="18" t="s">
        <v>25</v>
      </c>
      <c r="N3480" s="18" t="s">
        <v>26</v>
      </c>
    </row>
    <row r="3481" spans="1:14" ht="15" customHeight="1" x14ac:dyDescent="0.3">
      <c r="A3481" s="18" t="s">
        <v>6743</v>
      </c>
      <c r="B3481" s="19" t="s">
        <v>15</v>
      </c>
      <c r="C3481" s="18" t="s">
        <v>210</v>
      </c>
      <c r="D3481" s="18" t="s">
        <v>17</v>
      </c>
      <c r="E3481" s="18" t="s">
        <v>74</v>
      </c>
      <c r="F3481" s="18" t="s">
        <v>6926</v>
      </c>
      <c r="G3481" s="18" t="s">
        <v>1059</v>
      </c>
      <c r="H3481" s="18" t="s">
        <v>6927</v>
      </c>
      <c r="I3481" s="20" t="s">
        <v>6928</v>
      </c>
      <c r="J3481" s="18" t="s">
        <v>6920</v>
      </c>
      <c r="K3481" s="18" t="s">
        <v>293</v>
      </c>
      <c r="L3481" s="18" t="s">
        <v>25</v>
      </c>
      <c r="N3481" s="18" t="s">
        <v>26</v>
      </c>
    </row>
    <row r="3482" spans="1:14" ht="15" customHeight="1" x14ac:dyDescent="0.3">
      <c r="A3482" s="18" t="s">
        <v>6743</v>
      </c>
      <c r="B3482" s="19" t="s">
        <v>15</v>
      </c>
      <c r="C3482" s="18" t="s">
        <v>210</v>
      </c>
      <c r="D3482" s="18" t="s">
        <v>17</v>
      </c>
      <c r="E3482" s="18" t="s">
        <v>74</v>
      </c>
      <c r="F3482" s="18" t="s">
        <v>6929</v>
      </c>
      <c r="G3482" s="18" t="s">
        <v>85</v>
      </c>
      <c r="H3482" s="18" t="s">
        <v>6918</v>
      </c>
      <c r="I3482" s="20" t="s">
        <v>6930</v>
      </c>
      <c r="J3482" s="18" t="s">
        <v>6931</v>
      </c>
      <c r="K3482" s="18" t="s">
        <v>293</v>
      </c>
      <c r="L3482" s="18" t="s">
        <v>25</v>
      </c>
      <c r="N3482" s="18" t="s">
        <v>26</v>
      </c>
    </row>
    <row r="3483" spans="1:14" ht="15" customHeight="1" x14ac:dyDescent="0.3">
      <c r="A3483" s="18" t="s">
        <v>6743</v>
      </c>
      <c r="B3483" s="19" t="s">
        <v>15</v>
      </c>
      <c r="C3483" s="18" t="s">
        <v>210</v>
      </c>
      <c r="D3483" s="18" t="s">
        <v>17</v>
      </c>
      <c r="E3483" s="18" t="s">
        <v>74</v>
      </c>
      <c r="F3483" s="18" t="s">
        <v>6932</v>
      </c>
      <c r="G3483" s="18" t="s">
        <v>28</v>
      </c>
      <c r="H3483" s="18" t="s">
        <v>6914</v>
      </c>
      <c r="I3483" s="20" t="s">
        <v>6933</v>
      </c>
      <c r="J3483" s="18" t="s">
        <v>6934</v>
      </c>
      <c r="K3483" s="18" t="s">
        <v>293</v>
      </c>
      <c r="L3483" s="18" t="s">
        <v>25</v>
      </c>
      <c r="N3483" s="18" t="s">
        <v>26</v>
      </c>
    </row>
    <row r="3484" spans="1:14" ht="15" customHeight="1" x14ac:dyDescent="0.3">
      <c r="A3484" s="18" t="s">
        <v>6743</v>
      </c>
      <c r="B3484" s="19" t="s">
        <v>15</v>
      </c>
      <c r="C3484" s="18" t="s">
        <v>210</v>
      </c>
      <c r="D3484" s="18" t="s">
        <v>17</v>
      </c>
      <c r="E3484" s="18" t="s">
        <v>74</v>
      </c>
      <c r="F3484" s="18" t="s">
        <v>6935</v>
      </c>
      <c r="G3484" s="18" t="s">
        <v>28</v>
      </c>
      <c r="H3484" s="18" t="s">
        <v>6914</v>
      </c>
      <c r="I3484" s="20" t="s">
        <v>6936</v>
      </c>
      <c r="J3484" s="18" t="s">
        <v>6937</v>
      </c>
      <c r="K3484" s="18" t="s">
        <v>24</v>
      </c>
      <c r="L3484" s="18" t="s">
        <v>25</v>
      </c>
      <c r="N3484" s="18" t="s">
        <v>26</v>
      </c>
    </row>
    <row r="3485" spans="1:14" ht="15" customHeight="1" x14ac:dyDescent="0.3">
      <c r="A3485" s="18" t="s">
        <v>6743</v>
      </c>
      <c r="B3485" s="19" t="s">
        <v>15</v>
      </c>
      <c r="C3485" s="18" t="s">
        <v>210</v>
      </c>
      <c r="D3485" s="18" t="s">
        <v>17</v>
      </c>
      <c r="E3485" s="18" t="s">
        <v>74</v>
      </c>
      <c r="F3485" s="18" t="s">
        <v>6938</v>
      </c>
      <c r="G3485" s="18" t="s">
        <v>207</v>
      </c>
      <c r="H3485" s="18" t="s">
        <v>6914</v>
      </c>
      <c r="I3485" s="20" t="s">
        <v>6939</v>
      </c>
      <c r="J3485" s="18" t="s">
        <v>6940</v>
      </c>
      <c r="K3485" s="18" t="s">
        <v>24</v>
      </c>
      <c r="L3485" s="18" t="s">
        <v>25</v>
      </c>
      <c r="N3485" s="18" t="s">
        <v>26</v>
      </c>
    </row>
    <row r="3486" spans="1:14" ht="15" customHeight="1" x14ac:dyDescent="0.3">
      <c r="A3486" s="18" t="s">
        <v>6743</v>
      </c>
      <c r="B3486" s="19" t="s">
        <v>15</v>
      </c>
      <c r="C3486" s="18" t="s">
        <v>210</v>
      </c>
      <c r="D3486" s="18" t="s">
        <v>17</v>
      </c>
      <c r="E3486" s="18" t="s">
        <v>74</v>
      </c>
      <c r="F3486" s="18" t="s">
        <v>6941</v>
      </c>
      <c r="G3486" s="18" t="s">
        <v>564</v>
      </c>
      <c r="H3486" s="18" t="s">
        <v>6918</v>
      </c>
      <c r="I3486" s="20" t="s">
        <v>6942</v>
      </c>
      <c r="J3486" s="18" t="s">
        <v>6920</v>
      </c>
      <c r="K3486" s="18" t="s">
        <v>293</v>
      </c>
      <c r="L3486" s="18" t="s">
        <v>25</v>
      </c>
      <c r="N3486" s="18" t="s">
        <v>26</v>
      </c>
    </row>
    <row r="3487" spans="1:14" ht="15" customHeight="1" x14ac:dyDescent="0.3">
      <c r="A3487" s="18" t="s">
        <v>6743</v>
      </c>
      <c r="B3487" s="19" t="s">
        <v>15</v>
      </c>
      <c r="C3487" s="18" t="s">
        <v>210</v>
      </c>
      <c r="D3487" s="18" t="s">
        <v>17</v>
      </c>
      <c r="E3487" s="18" t="s">
        <v>74</v>
      </c>
      <c r="F3487" s="18" t="s">
        <v>6943</v>
      </c>
      <c r="G3487" s="18" t="s">
        <v>160</v>
      </c>
      <c r="H3487" s="18" t="s">
        <v>6914</v>
      </c>
      <c r="I3487" s="20" t="s">
        <v>6944</v>
      </c>
      <c r="J3487" s="18" t="s">
        <v>6945</v>
      </c>
      <c r="K3487" s="18" t="s">
        <v>293</v>
      </c>
      <c r="L3487" s="18" t="s">
        <v>25</v>
      </c>
      <c r="N3487" s="18" t="s">
        <v>26</v>
      </c>
    </row>
    <row r="3488" spans="1:14" ht="15" customHeight="1" x14ac:dyDescent="0.3">
      <c r="A3488" s="18" t="s">
        <v>6743</v>
      </c>
      <c r="B3488" s="19" t="s">
        <v>15</v>
      </c>
      <c r="C3488" s="18" t="s">
        <v>210</v>
      </c>
      <c r="D3488" s="18" t="s">
        <v>17</v>
      </c>
      <c r="E3488" s="18" t="s">
        <v>74</v>
      </c>
      <c r="F3488" s="18" t="s">
        <v>6946</v>
      </c>
      <c r="G3488" s="18" t="s">
        <v>160</v>
      </c>
      <c r="H3488" s="18" t="s">
        <v>6914</v>
      </c>
      <c r="I3488" s="20" t="s">
        <v>6947</v>
      </c>
      <c r="J3488" s="18" t="s">
        <v>894</v>
      </c>
      <c r="K3488" s="18" t="s">
        <v>24</v>
      </c>
      <c r="L3488" s="18" t="s">
        <v>25</v>
      </c>
      <c r="N3488" s="18" t="s">
        <v>26</v>
      </c>
    </row>
    <row r="3489" spans="1:14" ht="15" customHeight="1" x14ac:dyDescent="0.3">
      <c r="A3489" s="18" t="s">
        <v>6743</v>
      </c>
      <c r="B3489" s="19" t="s">
        <v>15</v>
      </c>
      <c r="C3489" s="18" t="s">
        <v>210</v>
      </c>
      <c r="D3489" s="18" t="s">
        <v>17</v>
      </c>
      <c r="E3489" s="18" t="s">
        <v>74</v>
      </c>
      <c r="F3489" s="18" t="s">
        <v>6948</v>
      </c>
      <c r="G3489" s="18" t="s">
        <v>1634</v>
      </c>
      <c r="H3489" s="18" t="s">
        <v>6949</v>
      </c>
      <c r="I3489" s="20" t="s">
        <v>6950</v>
      </c>
      <c r="J3489" s="18" t="s">
        <v>6920</v>
      </c>
      <c r="K3489" s="18" t="s">
        <v>24</v>
      </c>
      <c r="L3489" s="18" t="s">
        <v>25</v>
      </c>
      <c r="N3489" s="18" t="s">
        <v>26</v>
      </c>
    </row>
    <row r="3490" spans="1:14" ht="15" customHeight="1" x14ac:dyDescent="0.3">
      <c r="A3490" s="18" t="s">
        <v>6743</v>
      </c>
      <c r="B3490" s="19" t="s">
        <v>15</v>
      </c>
      <c r="C3490" s="18" t="s">
        <v>210</v>
      </c>
      <c r="D3490" s="18" t="s">
        <v>17</v>
      </c>
      <c r="E3490" s="18" t="s">
        <v>74</v>
      </c>
      <c r="F3490" s="18" t="s">
        <v>6116</v>
      </c>
      <c r="G3490" s="18" t="s">
        <v>41</v>
      </c>
      <c r="H3490" s="18" t="s">
        <v>6918</v>
      </c>
      <c r="I3490" s="20" t="s">
        <v>6951</v>
      </c>
      <c r="J3490" s="18" t="s">
        <v>1128</v>
      </c>
      <c r="K3490" s="18" t="s">
        <v>293</v>
      </c>
      <c r="L3490" s="18" t="s">
        <v>25</v>
      </c>
      <c r="N3490" s="18" t="s">
        <v>26</v>
      </c>
    </row>
    <row r="3491" spans="1:14" ht="15" customHeight="1" x14ac:dyDescent="0.3">
      <c r="A3491" s="18" t="s">
        <v>6743</v>
      </c>
      <c r="B3491" s="19" t="s">
        <v>15</v>
      </c>
      <c r="C3491" s="18" t="s">
        <v>210</v>
      </c>
      <c r="D3491" s="18" t="s">
        <v>17</v>
      </c>
      <c r="E3491" s="18" t="s">
        <v>74</v>
      </c>
      <c r="F3491" s="18" t="s">
        <v>6952</v>
      </c>
      <c r="G3491" s="18" t="s">
        <v>536</v>
      </c>
      <c r="H3491" s="18" t="s">
        <v>6918</v>
      </c>
      <c r="I3491" s="20" t="s">
        <v>6953</v>
      </c>
      <c r="J3491" s="18" t="s">
        <v>6954</v>
      </c>
      <c r="K3491" s="18" t="s">
        <v>293</v>
      </c>
      <c r="L3491" s="18" t="s">
        <v>25</v>
      </c>
      <c r="N3491" s="18" t="s">
        <v>26</v>
      </c>
    </row>
    <row r="3492" spans="1:14" ht="15" customHeight="1" x14ac:dyDescent="0.3">
      <c r="A3492" s="18" t="s">
        <v>6743</v>
      </c>
      <c r="B3492" s="19" t="s">
        <v>15</v>
      </c>
      <c r="C3492" s="18" t="s">
        <v>210</v>
      </c>
      <c r="D3492" s="18" t="s">
        <v>17</v>
      </c>
      <c r="E3492" s="18" t="s">
        <v>74</v>
      </c>
      <c r="F3492" s="18" t="s">
        <v>1997</v>
      </c>
      <c r="G3492" s="18" t="s">
        <v>41</v>
      </c>
      <c r="H3492" s="18" t="s">
        <v>6918</v>
      </c>
      <c r="I3492" s="20" t="s">
        <v>6955</v>
      </c>
      <c r="J3492" s="18" t="s">
        <v>6920</v>
      </c>
      <c r="K3492" s="18" t="s">
        <v>293</v>
      </c>
      <c r="L3492" s="18" t="s">
        <v>25</v>
      </c>
      <c r="N3492" s="18" t="s">
        <v>26</v>
      </c>
    </row>
    <row r="3493" spans="1:14" ht="15" customHeight="1" x14ac:dyDescent="0.3">
      <c r="A3493" s="18" t="s">
        <v>6743</v>
      </c>
      <c r="B3493" s="19" t="s">
        <v>15</v>
      </c>
      <c r="C3493" s="18" t="s">
        <v>210</v>
      </c>
      <c r="D3493" s="18" t="s">
        <v>17</v>
      </c>
      <c r="E3493" s="18" t="s">
        <v>74</v>
      </c>
      <c r="F3493" s="18" t="s">
        <v>6128</v>
      </c>
      <c r="G3493" s="18" t="s">
        <v>41</v>
      </c>
      <c r="H3493" s="18" t="s">
        <v>6918</v>
      </c>
      <c r="I3493" s="20" t="s">
        <v>6956</v>
      </c>
      <c r="J3493" s="18" t="s">
        <v>6920</v>
      </c>
      <c r="K3493" s="18" t="s">
        <v>293</v>
      </c>
      <c r="L3493" s="18" t="s">
        <v>25</v>
      </c>
      <c r="N3493" s="18" t="s">
        <v>26</v>
      </c>
    </row>
    <row r="3494" spans="1:14" ht="15" customHeight="1" x14ac:dyDescent="0.3">
      <c r="A3494" s="18" t="s">
        <v>6743</v>
      </c>
      <c r="B3494" s="19" t="s">
        <v>15</v>
      </c>
      <c r="C3494" s="18" t="s">
        <v>210</v>
      </c>
      <c r="D3494" s="18" t="s">
        <v>17</v>
      </c>
      <c r="E3494" s="18" t="s">
        <v>74</v>
      </c>
      <c r="F3494" s="18" t="s">
        <v>6957</v>
      </c>
      <c r="G3494" s="18" t="s">
        <v>41</v>
      </c>
      <c r="H3494" s="18" t="s">
        <v>6918</v>
      </c>
      <c r="I3494" s="20" t="s">
        <v>6958</v>
      </c>
      <c r="J3494" s="18" t="s">
        <v>6920</v>
      </c>
      <c r="K3494" s="18" t="s">
        <v>24</v>
      </c>
      <c r="L3494" s="18" t="s">
        <v>25</v>
      </c>
      <c r="N3494" s="18" t="s">
        <v>26</v>
      </c>
    </row>
    <row r="3495" spans="1:14" ht="15" customHeight="1" x14ac:dyDescent="0.3">
      <c r="A3495" s="18" t="s">
        <v>6743</v>
      </c>
      <c r="B3495" s="19" t="s">
        <v>15</v>
      </c>
      <c r="C3495" s="18" t="s">
        <v>210</v>
      </c>
      <c r="D3495" s="18" t="s">
        <v>17</v>
      </c>
      <c r="E3495" s="18" t="s">
        <v>74</v>
      </c>
      <c r="F3495" s="18" t="s">
        <v>6959</v>
      </c>
      <c r="G3495" s="18" t="s">
        <v>207</v>
      </c>
      <c r="H3495" s="18" t="s">
        <v>6918</v>
      </c>
      <c r="I3495" s="20" t="s">
        <v>6960</v>
      </c>
      <c r="J3495" s="18" t="s">
        <v>6920</v>
      </c>
      <c r="K3495" s="18" t="s">
        <v>293</v>
      </c>
      <c r="L3495" s="18" t="s">
        <v>25</v>
      </c>
      <c r="N3495" s="18" t="s">
        <v>26</v>
      </c>
    </row>
    <row r="3496" spans="1:14" ht="15" customHeight="1" x14ac:dyDescent="0.3">
      <c r="A3496" s="18" t="s">
        <v>6743</v>
      </c>
      <c r="B3496" s="19" t="s">
        <v>15</v>
      </c>
      <c r="C3496" s="18" t="s">
        <v>210</v>
      </c>
      <c r="D3496" s="18" t="s">
        <v>17</v>
      </c>
      <c r="E3496" s="18" t="s">
        <v>74</v>
      </c>
      <c r="F3496" s="18" t="s">
        <v>6961</v>
      </c>
      <c r="G3496" s="18" t="s">
        <v>47</v>
      </c>
      <c r="H3496" s="18" t="s">
        <v>6914</v>
      </c>
      <c r="I3496" s="20" t="s">
        <v>6962</v>
      </c>
      <c r="J3496" s="18" t="s">
        <v>6963</v>
      </c>
      <c r="K3496" s="18" t="s">
        <v>293</v>
      </c>
      <c r="L3496" s="18" t="s">
        <v>25</v>
      </c>
      <c r="N3496" s="18" t="s">
        <v>26</v>
      </c>
    </row>
    <row r="3497" spans="1:14" ht="15" customHeight="1" x14ac:dyDescent="0.3">
      <c r="A3497" s="18" t="s">
        <v>6743</v>
      </c>
      <c r="B3497" s="19" t="s">
        <v>15</v>
      </c>
      <c r="C3497" s="18" t="s">
        <v>210</v>
      </c>
      <c r="D3497" s="18" t="s">
        <v>17</v>
      </c>
      <c r="E3497" s="18" t="s">
        <v>74</v>
      </c>
      <c r="F3497" s="18" t="s">
        <v>6964</v>
      </c>
      <c r="G3497" s="18" t="s">
        <v>28</v>
      </c>
      <c r="H3497" s="18" t="s">
        <v>6914</v>
      </c>
      <c r="I3497" s="20" t="s">
        <v>6965</v>
      </c>
      <c r="J3497" s="18" t="s">
        <v>6966</v>
      </c>
      <c r="K3497" s="18" t="s">
        <v>293</v>
      </c>
      <c r="L3497" s="18" t="s">
        <v>25</v>
      </c>
      <c r="N3497" s="18" t="s">
        <v>26</v>
      </c>
    </row>
    <row r="3498" spans="1:14" ht="15" customHeight="1" x14ac:dyDescent="0.3">
      <c r="A3498" s="18" t="s">
        <v>6743</v>
      </c>
      <c r="B3498" s="19" t="s">
        <v>15</v>
      </c>
      <c r="C3498" s="18" t="s">
        <v>210</v>
      </c>
      <c r="D3498" s="18" t="s">
        <v>17</v>
      </c>
      <c r="E3498" s="18" t="s">
        <v>74</v>
      </c>
      <c r="F3498" s="18" t="s">
        <v>6967</v>
      </c>
      <c r="G3498" s="18" t="s">
        <v>619</v>
      </c>
      <c r="H3498" s="18" t="s">
        <v>6918</v>
      </c>
      <c r="I3498" s="20" t="s">
        <v>6968</v>
      </c>
      <c r="J3498" s="18" t="s">
        <v>6920</v>
      </c>
      <c r="K3498" s="18" t="s">
        <v>293</v>
      </c>
      <c r="L3498" s="18" t="s">
        <v>25</v>
      </c>
      <c r="N3498" s="18" t="s">
        <v>26</v>
      </c>
    </row>
    <row r="3499" spans="1:14" ht="15" customHeight="1" x14ac:dyDescent="0.3">
      <c r="A3499" s="18" t="s">
        <v>6743</v>
      </c>
      <c r="B3499" s="19" t="s">
        <v>15</v>
      </c>
      <c r="C3499" s="18" t="s">
        <v>210</v>
      </c>
      <c r="D3499" s="18" t="s">
        <v>17</v>
      </c>
      <c r="E3499" s="18" t="s">
        <v>74</v>
      </c>
      <c r="F3499" s="18" t="s">
        <v>6969</v>
      </c>
      <c r="G3499" s="18" t="s">
        <v>41</v>
      </c>
      <c r="H3499" s="18" t="s">
        <v>6918</v>
      </c>
      <c r="I3499" s="20" t="s">
        <v>6970</v>
      </c>
      <c r="J3499" s="18" t="s">
        <v>6920</v>
      </c>
      <c r="K3499" s="18" t="s">
        <v>293</v>
      </c>
      <c r="L3499" s="18" t="s">
        <v>25</v>
      </c>
      <c r="N3499" s="18" t="s">
        <v>26</v>
      </c>
    </row>
    <row r="3500" spans="1:14" ht="15" customHeight="1" x14ac:dyDescent="0.3">
      <c r="A3500" s="18" t="s">
        <v>6743</v>
      </c>
      <c r="B3500" s="19" t="s">
        <v>15</v>
      </c>
      <c r="C3500" s="18" t="s">
        <v>210</v>
      </c>
      <c r="D3500" s="18" t="s">
        <v>17</v>
      </c>
      <c r="E3500" s="18" t="s">
        <v>74</v>
      </c>
      <c r="F3500" s="18" t="s">
        <v>6971</v>
      </c>
      <c r="G3500" s="18" t="s">
        <v>207</v>
      </c>
      <c r="H3500" s="18" t="s">
        <v>6914</v>
      </c>
      <c r="I3500" s="20" t="s">
        <v>6972</v>
      </c>
      <c r="J3500" s="18" t="s">
        <v>6945</v>
      </c>
      <c r="K3500" s="18" t="s">
        <v>24</v>
      </c>
      <c r="L3500" s="18" t="s">
        <v>25</v>
      </c>
      <c r="N3500" s="18" t="s">
        <v>26</v>
      </c>
    </row>
    <row r="3501" spans="1:14" ht="15" customHeight="1" x14ac:dyDescent="0.3">
      <c r="A3501" s="18" t="s">
        <v>6743</v>
      </c>
      <c r="B3501" s="19" t="s">
        <v>15</v>
      </c>
      <c r="C3501" s="18" t="s">
        <v>210</v>
      </c>
      <c r="D3501" s="18" t="s">
        <v>17</v>
      </c>
      <c r="E3501" s="18" t="s">
        <v>74</v>
      </c>
      <c r="F3501" s="18" t="s">
        <v>6973</v>
      </c>
      <c r="G3501" s="18" t="s">
        <v>913</v>
      </c>
      <c r="H3501" s="18" t="s">
        <v>6918</v>
      </c>
      <c r="I3501" s="20" t="s">
        <v>6974</v>
      </c>
      <c r="J3501" s="18" t="s">
        <v>6920</v>
      </c>
      <c r="K3501" s="18" t="s">
        <v>293</v>
      </c>
      <c r="L3501" s="18" t="s">
        <v>25</v>
      </c>
      <c r="N3501" s="18" t="s">
        <v>26</v>
      </c>
    </row>
    <row r="3502" spans="1:14" ht="15" customHeight="1" x14ac:dyDescent="0.3">
      <c r="A3502" s="18" t="s">
        <v>6743</v>
      </c>
      <c r="B3502" s="19" t="s">
        <v>15</v>
      </c>
      <c r="C3502" s="18" t="s">
        <v>210</v>
      </c>
      <c r="D3502" s="18" t="s">
        <v>17</v>
      </c>
      <c r="E3502" s="18" t="s">
        <v>74</v>
      </c>
      <c r="F3502" s="18" t="s">
        <v>6975</v>
      </c>
      <c r="G3502" s="18" t="s">
        <v>340</v>
      </c>
      <c r="H3502" s="18" t="s">
        <v>6918</v>
      </c>
      <c r="I3502" s="20" t="s">
        <v>6976</v>
      </c>
      <c r="J3502" s="18" t="s">
        <v>6977</v>
      </c>
      <c r="K3502" s="18" t="s">
        <v>293</v>
      </c>
      <c r="L3502" s="18" t="s">
        <v>25</v>
      </c>
      <c r="N3502" s="18" t="s">
        <v>26</v>
      </c>
    </row>
    <row r="3503" spans="1:14" ht="15" customHeight="1" x14ac:dyDescent="0.3">
      <c r="A3503" s="18" t="s">
        <v>6743</v>
      </c>
      <c r="B3503" s="19" t="s">
        <v>15</v>
      </c>
      <c r="C3503" s="18" t="s">
        <v>210</v>
      </c>
      <c r="D3503" s="18" t="s">
        <v>17</v>
      </c>
      <c r="E3503" s="18" t="s">
        <v>74</v>
      </c>
      <c r="F3503" s="18" t="s">
        <v>6978</v>
      </c>
      <c r="G3503" s="18" t="s">
        <v>1059</v>
      </c>
      <c r="H3503" s="18" t="s">
        <v>6918</v>
      </c>
      <c r="I3503" s="20" t="s">
        <v>6979</v>
      </c>
      <c r="J3503" s="18" t="s">
        <v>6920</v>
      </c>
      <c r="K3503" s="18" t="s">
        <v>293</v>
      </c>
      <c r="L3503" s="18" t="s">
        <v>25</v>
      </c>
      <c r="N3503" s="18" t="s">
        <v>26</v>
      </c>
    </row>
    <row r="3504" spans="1:14" ht="15" customHeight="1" x14ac:dyDescent="0.3">
      <c r="A3504" s="18" t="s">
        <v>6743</v>
      </c>
      <c r="B3504" s="19" t="s">
        <v>15</v>
      </c>
      <c r="C3504" s="18" t="s">
        <v>210</v>
      </c>
      <c r="D3504" s="18" t="s">
        <v>17</v>
      </c>
      <c r="E3504" s="18" t="s">
        <v>74</v>
      </c>
      <c r="F3504" s="18" t="s">
        <v>6980</v>
      </c>
      <c r="G3504" s="18" t="s">
        <v>207</v>
      </c>
      <c r="H3504" s="18" t="s">
        <v>6914</v>
      </c>
      <c r="I3504" s="20" t="s">
        <v>6981</v>
      </c>
      <c r="J3504" s="18" t="s">
        <v>894</v>
      </c>
      <c r="K3504" s="18" t="s">
        <v>293</v>
      </c>
      <c r="L3504" s="18" t="s">
        <v>25</v>
      </c>
      <c r="N3504" s="18" t="s">
        <v>26</v>
      </c>
    </row>
    <row r="3505" spans="1:14" ht="15" customHeight="1" x14ac:dyDescent="0.3">
      <c r="A3505" s="18" t="s">
        <v>6743</v>
      </c>
      <c r="B3505" s="19" t="s">
        <v>15</v>
      </c>
      <c r="C3505" s="18" t="s">
        <v>210</v>
      </c>
      <c r="D3505" s="18" t="s">
        <v>17</v>
      </c>
      <c r="E3505" s="18" t="s">
        <v>74</v>
      </c>
      <c r="F3505" s="18" t="s">
        <v>6982</v>
      </c>
      <c r="G3505" s="18" t="s">
        <v>47</v>
      </c>
      <c r="H3505" s="18" t="s">
        <v>6914</v>
      </c>
      <c r="I3505" s="20" t="s">
        <v>6983</v>
      </c>
      <c r="J3505" s="18" t="s">
        <v>1483</v>
      </c>
      <c r="K3505" s="18" t="s">
        <v>24</v>
      </c>
      <c r="L3505" s="18" t="s">
        <v>25</v>
      </c>
      <c r="N3505" s="18" t="s">
        <v>26</v>
      </c>
    </row>
    <row r="3506" spans="1:14" ht="15" customHeight="1" x14ac:dyDescent="0.3">
      <c r="A3506" s="18" t="s">
        <v>6743</v>
      </c>
      <c r="B3506" s="19" t="s">
        <v>15</v>
      </c>
      <c r="C3506" s="18" t="s">
        <v>210</v>
      </c>
      <c r="D3506" s="18" t="s">
        <v>17</v>
      </c>
      <c r="E3506" s="18" t="s">
        <v>74</v>
      </c>
      <c r="F3506" s="18" t="s">
        <v>6984</v>
      </c>
      <c r="G3506" s="18" t="s">
        <v>28</v>
      </c>
      <c r="H3506" s="18" t="s">
        <v>6914</v>
      </c>
      <c r="I3506" s="20" t="s">
        <v>6985</v>
      </c>
      <c r="J3506" s="18" t="s">
        <v>894</v>
      </c>
      <c r="K3506" s="18" t="s">
        <v>293</v>
      </c>
      <c r="L3506" s="18" t="s">
        <v>25</v>
      </c>
      <c r="N3506" s="18" t="s">
        <v>26</v>
      </c>
    </row>
    <row r="3507" spans="1:14" ht="15" customHeight="1" x14ac:dyDescent="0.3">
      <c r="A3507" s="18" t="s">
        <v>6986</v>
      </c>
      <c r="B3507" s="19" t="s">
        <v>15</v>
      </c>
      <c r="C3507" s="18" t="s">
        <v>149</v>
      </c>
      <c r="D3507" s="18" t="s">
        <v>17</v>
      </c>
      <c r="E3507" s="18" t="s">
        <v>117</v>
      </c>
      <c r="F3507" s="18" t="s">
        <v>608</v>
      </c>
      <c r="G3507" s="18" t="s">
        <v>270</v>
      </c>
      <c r="H3507" s="18" t="s">
        <v>6987</v>
      </c>
      <c r="I3507" s="20" t="s">
        <v>6988</v>
      </c>
      <c r="J3507" s="18" t="s">
        <v>58</v>
      </c>
      <c r="K3507" s="18" t="s">
        <v>24</v>
      </c>
      <c r="L3507" s="18" t="s">
        <v>25</v>
      </c>
      <c r="N3507" s="18" t="s">
        <v>154</v>
      </c>
    </row>
    <row r="3508" spans="1:14" ht="15" customHeight="1" x14ac:dyDescent="0.3">
      <c r="A3508" s="18" t="s">
        <v>6986</v>
      </c>
      <c r="B3508" s="19" t="s">
        <v>15</v>
      </c>
      <c r="C3508" s="18" t="s">
        <v>149</v>
      </c>
      <c r="D3508" s="18" t="s">
        <v>17</v>
      </c>
      <c r="E3508" s="18" t="s">
        <v>117</v>
      </c>
      <c r="F3508" s="18" t="s">
        <v>716</v>
      </c>
      <c r="G3508" s="18" t="s">
        <v>263</v>
      </c>
      <c r="H3508" s="18" t="s">
        <v>6987</v>
      </c>
      <c r="I3508" s="20" t="s">
        <v>6989</v>
      </c>
      <c r="J3508" s="18" t="s">
        <v>58</v>
      </c>
      <c r="K3508" s="18" t="s">
        <v>24</v>
      </c>
      <c r="L3508" s="18" t="s">
        <v>25</v>
      </c>
      <c r="N3508" s="18" t="s">
        <v>154</v>
      </c>
    </row>
    <row r="3509" spans="1:14" ht="15" customHeight="1" x14ac:dyDescent="0.3">
      <c r="A3509" s="18" t="s">
        <v>6986</v>
      </c>
      <c r="B3509" s="19" t="s">
        <v>15</v>
      </c>
      <c r="C3509" s="18" t="s">
        <v>149</v>
      </c>
      <c r="D3509" s="18" t="s">
        <v>17</v>
      </c>
      <c r="E3509" s="18" t="s">
        <v>18</v>
      </c>
      <c r="F3509" s="18" t="s">
        <v>6391</v>
      </c>
      <c r="G3509" s="18" t="s">
        <v>1059</v>
      </c>
      <c r="H3509" s="18" t="s">
        <v>6990</v>
      </c>
      <c r="I3509" s="20" t="s">
        <v>6991</v>
      </c>
      <c r="J3509" s="18" t="s">
        <v>30</v>
      </c>
      <c r="K3509" s="18" t="s">
        <v>24</v>
      </c>
      <c r="L3509" s="18" t="s">
        <v>25</v>
      </c>
      <c r="N3509" s="18" t="s">
        <v>154</v>
      </c>
    </row>
    <row r="3510" spans="1:14" ht="15" customHeight="1" x14ac:dyDescent="0.3">
      <c r="A3510" s="18" t="s">
        <v>6986</v>
      </c>
      <c r="B3510" s="19" t="s">
        <v>15</v>
      </c>
      <c r="C3510" s="18" t="s">
        <v>149</v>
      </c>
      <c r="D3510" s="18" t="s">
        <v>17</v>
      </c>
      <c r="E3510" s="18" t="s">
        <v>18</v>
      </c>
      <c r="F3510" s="18" t="s">
        <v>4231</v>
      </c>
      <c r="G3510" s="18" t="s">
        <v>41</v>
      </c>
      <c r="H3510" s="18" t="s">
        <v>6990</v>
      </c>
      <c r="I3510" s="20" t="s">
        <v>6992</v>
      </c>
      <c r="J3510" s="18" t="s">
        <v>30</v>
      </c>
      <c r="K3510" s="18" t="s">
        <v>24</v>
      </c>
      <c r="L3510" s="18" t="s">
        <v>25</v>
      </c>
      <c r="N3510" s="18" t="s">
        <v>154</v>
      </c>
    </row>
    <row r="3511" spans="1:14" ht="15" customHeight="1" x14ac:dyDescent="0.3">
      <c r="A3511" s="18" t="s">
        <v>6986</v>
      </c>
      <c r="B3511" s="19" t="s">
        <v>15</v>
      </c>
      <c r="C3511" s="18" t="s">
        <v>149</v>
      </c>
      <c r="D3511" s="18" t="s">
        <v>17</v>
      </c>
      <c r="E3511" s="18" t="s">
        <v>18</v>
      </c>
      <c r="F3511" s="18" t="s">
        <v>6324</v>
      </c>
      <c r="G3511" s="18" t="s">
        <v>1340</v>
      </c>
      <c r="H3511" s="18" t="s">
        <v>6990</v>
      </c>
      <c r="I3511" s="20" t="s">
        <v>6993</v>
      </c>
      <c r="J3511" s="18" t="s">
        <v>30</v>
      </c>
      <c r="K3511" s="18" t="s">
        <v>24</v>
      </c>
      <c r="L3511" s="18" t="s">
        <v>25</v>
      </c>
      <c r="N3511" s="18" t="s">
        <v>154</v>
      </c>
    </row>
    <row r="3512" spans="1:14" ht="15" customHeight="1" x14ac:dyDescent="0.3">
      <c r="A3512" s="18" t="s">
        <v>6986</v>
      </c>
      <c r="B3512" s="19" t="s">
        <v>15</v>
      </c>
      <c r="C3512" s="18" t="s">
        <v>149</v>
      </c>
      <c r="D3512" s="18" t="s">
        <v>17</v>
      </c>
      <c r="E3512" s="18" t="s">
        <v>18</v>
      </c>
      <c r="F3512" s="18" t="s">
        <v>19</v>
      </c>
      <c r="G3512" s="18" t="s">
        <v>19</v>
      </c>
      <c r="H3512" s="18" t="s">
        <v>6994</v>
      </c>
      <c r="I3512" s="20" t="s">
        <v>6995</v>
      </c>
      <c r="J3512" s="18" t="s">
        <v>23</v>
      </c>
      <c r="K3512" s="18" t="s">
        <v>24</v>
      </c>
      <c r="L3512" s="18" t="s">
        <v>25</v>
      </c>
      <c r="N3512" s="18" t="s">
        <v>154</v>
      </c>
    </row>
    <row r="3513" spans="1:14" ht="15" customHeight="1" x14ac:dyDescent="0.3">
      <c r="A3513" s="18" t="s">
        <v>6986</v>
      </c>
      <c r="B3513" s="19" t="s">
        <v>15</v>
      </c>
      <c r="C3513" s="18" t="s">
        <v>149</v>
      </c>
      <c r="D3513" s="18" t="s">
        <v>17</v>
      </c>
      <c r="E3513" s="18" t="s">
        <v>18</v>
      </c>
      <c r="F3513" s="18" t="s">
        <v>6768</v>
      </c>
      <c r="G3513" s="18" t="s">
        <v>1055</v>
      </c>
      <c r="H3513" s="18" t="s">
        <v>6990</v>
      </c>
      <c r="I3513" s="20" t="s">
        <v>6996</v>
      </c>
      <c r="J3513" s="18" t="s">
        <v>30</v>
      </c>
      <c r="K3513" s="18" t="s">
        <v>24</v>
      </c>
      <c r="L3513" s="18" t="s">
        <v>25</v>
      </c>
      <c r="N3513" s="18" t="s">
        <v>154</v>
      </c>
    </row>
    <row r="3514" spans="1:14" ht="15" customHeight="1" x14ac:dyDescent="0.3">
      <c r="A3514" s="18" t="s">
        <v>6986</v>
      </c>
      <c r="B3514" s="19" t="s">
        <v>15</v>
      </c>
      <c r="C3514" s="18" t="s">
        <v>149</v>
      </c>
      <c r="D3514" s="18" t="s">
        <v>17</v>
      </c>
      <c r="E3514" s="18" t="s">
        <v>18</v>
      </c>
      <c r="F3514" s="18" t="s">
        <v>6771</v>
      </c>
      <c r="G3514" s="18" t="s">
        <v>1055</v>
      </c>
      <c r="H3514" s="18" t="s">
        <v>6990</v>
      </c>
      <c r="I3514" s="20" t="s">
        <v>6997</v>
      </c>
      <c r="J3514" s="18" t="s">
        <v>30</v>
      </c>
      <c r="K3514" s="18" t="s">
        <v>293</v>
      </c>
      <c r="L3514" s="18" t="s">
        <v>25</v>
      </c>
      <c r="N3514" s="18" t="s">
        <v>154</v>
      </c>
    </row>
    <row r="3515" spans="1:14" ht="15" customHeight="1" x14ac:dyDescent="0.3">
      <c r="A3515" s="18" t="s">
        <v>6986</v>
      </c>
      <c r="B3515" s="19" t="s">
        <v>15</v>
      </c>
      <c r="C3515" s="18" t="s">
        <v>149</v>
      </c>
      <c r="D3515" s="18" t="s">
        <v>17</v>
      </c>
      <c r="E3515" s="18" t="s">
        <v>18</v>
      </c>
      <c r="F3515" s="18" t="s">
        <v>221</v>
      </c>
      <c r="G3515" s="18" t="s">
        <v>212</v>
      </c>
      <c r="H3515" s="18" t="s">
        <v>6998</v>
      </c>
      <c r="I3515" s="20" t="s">
        <v>6999</v>
      </c>
      <c r="J3515" s="18" t="s">
        <v>30</v>
      </c>
      <c r="K3515" s="18" t="s">
        <v>24</v>
      </c>
      <c r="L3515" s="18" t="s">
        <v>25</v>
      </c>
      <c r="M3515" s="18" t="s">
        <v>39</v>
      </c>
      <c r="N3515" s="18" t="s">
        <v>154</v>
      </c>
    </row>
    <row r="3516" spans="1:14" ht="15" customHeight="1" x14ac:dyDescent="0.3">
      <c r="A3516" s="18" t="s">
        <v>6986</v>
      </c>
      <c r="B3516" s="19" t="s">
        <v>15</v>
      </c>
      <c r="C3516" s="18" t="s">
        <v>149</v>
      </c>
      <c r="D3516" s="18" t="s">
        <v>17</v>
      </c>
      <c r="E3516" s="18" t="s">
        <v>18</v>
      </c>
      <c r="F3516" s="18" t="s">
        <v>1072</v>
      </c>
      <c r="G3516" s="18" t="s">
        <v>47</v>
      </c>
      <c r="H3516" s="18" t="s">
        <v>6998</v>
      </c>
      <c r="I3516" s="20" t="s">
        <v>7000</v>
      </c>
      <c r="J3516" s="18" t="s">
        <v>30</v>
      </c>
      <c r="K3516" s="18" t="s">
        <v>24</v>
      </c>
      <c r="L3516" s="18" t="s">
        <v>25</v>
      </c>
      <c r="N3516" s="18" t="s">
        <v>154</v>
      </c>
    </row>
    <row r="3517" spans="1:14" ht="15" customHeight="1" x14ac:dyDescent="0.3">
      <c r="A3517" s="18" t="s">
        <v>6986</v>
      </c>
      <c r="B3517" s="19" t="s">
        <v>15</v>
      </c>
      <c r="C3517" s="18" t="s">
        <v>149</v>
      </c>
      <c r="D3517" s="18" t="s">
        <v>17</v>
      </c>
      <c r="E3517" s="18" t="s">
        <v>18</v>
      </c>
      <c r="F3517" s="18" t="s">
        <v>580</v>
      </c>
      <c r="G3517" s="18" t="s">
        <v>20</v>
      </c>
      <c r="H3517" s="18" t="s">
        <v>6987</v>
      </c>
      <c r="I3517" s="20" t="s">
        <v>7001</v>
      </c>
      <c r="J3517" s="18" t="s">
        <v>23</v>
      </c>
      <c r="K3517" s="18" t="s">
        <v>24</v>
      </c>
      <c r="L3517" s="18" t="s">
        <v>25</v>
      </c>
      <c r="N3517" s="18" t="s">
        <v>154</v>
      </c>
    </row>
    <row r="3518" spans="1:14" ht="15" customHeight="1" x14ac:dyDescent="0.3">
      <c r="A3518" s="18" t="s">
        <v>6986</v>
      </c>
      <c r="B3518" s="19" t="s">
        <v>15</v>
      </c>
      <c r="C3518" s="18" t="s">
        <v>149</v>
      </c>
      <c r="D3518" s="18" t="s">
        <v>17</v>
      </c>
      <c r="E3518" s="18" t="s">
        <v>18</v>
      </c>
      <c r="F3518" s="18" t="s">
        <v>2697</v>
      </c>
      <c r="G3518" s="18" t="s">
        <v>6884</v>
      </c>
      <c r="H3518" s="18" t="s">
        <v>6998</v>
      </c>
      <c r="I3518" s="20" t="s">
        <v>7002</v>
      </c>
      <c r="J3518" s="18" t="s">
        <v>30</v>
      </c>
      <c r="K3518" s="18" t="s">
        <v>24</v>
      </c>
      <c r="L3518" s="18" t="s">
        <v>25</v>
      </c>
      <c r="M3518" s="18" t="s">
        <v>39</v>
      </c>
      <c r="N3518" s="18" t="s">
        <v>154</v>
      </c>
    </row>
    <row r="3519" spans="1:14" ht="15" customHeight="1" x14ac:dyDescent="0.3">
      <c r="A3519" s="18" t="s">
        <v>6986</v>
      </c>
      <c r="B3519" s="19" t="s">
        <v>15</v>
      </c>
      <c r="C3519" s="18" t="s">
        <v>149</v>
      </c>
      <c r="D3519" s="18" t="s">
        <v>17</v>
      </c>
      <c r="E3519" s="18" t="s">
        <v>18</v>
      </c>
      <c r="F3519" s="18" t="s">
        <v>340</v>
      </c>
      <c r="G3519" s="18" t="s">
        <v>340</v>
      </c>
      <c r="H3519" s="18" t="s">
        <v>6990</v>
      </c>
      <c r="I3519" s="20" t="s">
        <v>7003</v>
      </c>
      <c r="J3519" s="18" t="s">
        <v>30</v>
      </c>
      <c r="K3519" s="18" t="s">
        <v>24</v>
      </c>
      <c r="L3519" s="18" t="s">
        <v>25</v>
      </c>
      <c r="N3519" s="18" t="s">
        <v>154</v>
      </c>
    </row>
    <row r="3520" spans="1:14" ht="15" customHeight="1" x14ac:dyDescent="0.3">
      <c r="A3520" s="18" t="s">
        <v>6986</v>
      </c>
      <c r="B3520" s="19" t="s">
        <v>15</v>
      </c>
      <c r="C3520" s="18" t="s">
        <v>149</v>
      </c>
      <c r="D3520" s="18" t="s">
        <v>17</v>
      </c>
      <c r="E3520" s="18" t="s">
        <v>55</v>
      </c>
      <c r="F3520" s="18" t="s">
        <v>7004</v>
      </c>
      <c r="G3520" s="18" t="s">
        <v>2396</v>
      </c>
      <c r="H3520" s="18" t="s">
        <v>7005</v>
      </c>
      <c r="I3520" s="20" t="s">
        <v>7006</v>
      </c>
      <c r="J3520" s="18" t="s">
        <v>73</v>
      </c>
      <c r="K3520" s="18" t="s">
        <v>24</v>
      </c>
      <c r="L3520" s="18" t="s">
        <v>25</v>
      </c>
      <c r="N3520" s="18" t="s">
        <v>154</v>
      </c>
    </row>
    <row r="3521" spans="1:14" ht="15" customHeight="1" x14ac:dyDescent="0.3">
      <c r="A3521" s="18" t="s">
        <v>6986</v>
      </c>
      <c r="B3521" s="19" t="s">
        <v>15</v>
      </c>
      <c r="C3521" s="18" t="s">
        <v>149</v>
      </c>
      <c r="D3521" s="18" t="s">
        <v>17</v>
      </c>
      <c r="E3521" s="18" t="s">
        <v>55</v>
      </c>
      <c r="F3521" s="18" t="s">
        <v>7007</v>
      </c>
      <c r="G3521" s="18" t="s">
        <v>2396</v>
      </c>
      <c r="H3521" s="18" t="s">
        <v>7005</v>
      </c>
      <c r="I3521" s="20" t="s">
        <v>7008</v>
      </c>
      <c r="J3521" s="18" t="s">
        <v>73</v>
      </c>
      <c r="K3521" s="18" t="s">
        <v>293</v>
      </c>
      <c r="L3521" s="18" t="s">
        <v>25</v>
      </c>
      <c r="N3521" s="18" t="s">
        <v>154</v>
      </c>
    </row>
    <row r="3522" spans="1:14" ht="15" customHeight="1" x14ac:dyDescent="0.3">
      <c r="A3522" s="18" t="s">
        <v>6986</v>
      </c>
      <c r="B3522" s="19" t="s">
        <v>15</v>
      </c>
      <c r="C3522" s="18" t="s">
        <v>149</v>
      </c>
      <c r="D3522" s="18" t="s">
        <v>17</v>
      </c>
      <c r="E3522" s="18" t="s">
        <v>55</v>
      </c>
      <c r="F3522" s="18" t="s">
        <v>7009</v>
      </c>
      <c r="G3522" s="18" t="s">
        <v>606</v>
      </c>
      <c r="H3522" s="18" t="s">
        <v>7010</v>
      </c>
      <c r="I3522" s="20" t="s">
        <v>7011</v>
      </c>
      <c r="J3522" s="18" t="s">
        <v>58</v>
      </c>
      <c r="K3522" s="18" t="s">
        <v>24</v>
      </c>
      <c r="L3522" s="18" t="s">
        <v>25</v>
      </c>
      <c r="N3522" s="18" t="s">
        <v>154</v>
      </c>
    </row>
    <row r="3523" spans="1:14" ht="15" customHeight="1" x14ac:dyDescent="0.3">
      <c r="A3523" s="18" t="s">
        <v>6986</v>
      </c>
      <c r="B3523" s="19" t="s">
        <v>15</v>
      </c>
      <c r="C3523" s="18" t="s">
        <v>149</v>
      </c>
      <c r="D3523" s="18" t="s">
        <v>17</v>
      </c>
      <c r="E3523" s="18" t="s">
        <v>55</v>
      </c>
      <c r="F3523" s="18" t="s">
        <v>4231</v>
      </c>
      <c r="G3523" s="18" t="s">
        <v>41</v>
      </c>
      <c r="H3523" s="18" t="s">
        <v>7005</v>
      </c>
      <c r="I3523" s="20" t="s">
        <v>7012</v>
      </c>
      <c r="J3523" s="18" t="s">
        <v>58</v>
      </c>
      <c r="K3523" s="18" t="s">
        <v>24</v>
      </c>
      <c r="L3523" s="18" t="s">
        <v>25</v>
      </c>
      <c r="M3523" s="18" t="s">
        <v>39</v>
      </c>
      <c r="N3523" s="18" t="s">
        <v>154</v>
      </c>
    </row>
    <row r="3524" spans="1:14" ht="15" customHeight="1" x14ac:dyDescent="0.3">
      <c r="A3524" s="18" t="s">
        <v>6986</v>
      </c>
      <c r="B3524" s="19" t="s">
        <v>15</v>
      </c>
      <c r="C3524" s="18" t="s">
        <v>149</v>
      </c>
      <c r="D3524" s="18" t="s">
        <v>17</v>
      </c>
      <c r="E3524" s="18" t="s">
        <v>55</v>
      </c>
      <c r="F3524" s="18" t="s">
        <v>6324</v>
      </c>
      <c r="G3524" s="18" t="s">
        <v>1340</v>
      </c>
      <c r="H3524" s="18" t="s">
        <v>7005</v>
      </c>
      <c r="I3524" s="20" t="s">
        <v>7013</v>
      </c>
      <c r="J3524" s="18" t="s">
        <v>58</v>
      </c>
      <c r="K3524" s="18" t="s">
        <v>24</v>
      </c>
      <c r="L3524" s="18" t="s">
        <v>25</v>
      </c>
      <c r="N3524" s="18" t="s">
        <v>154</v>
      </c>
    </row>
    <row r="3525" spans="1:14" ht="15" customHeight="1" x14ac:dyDescent="0.3">
      <c r="A3525" s="18" t="s">
        <v>6986</v>
      </c>
      <c r="B3525" s="19" t="s">
        <v>15</v>
      </c>
      <c r="C3525" s="18" t="s">
        <v>149</v>
      </c>
      <c r="D3525" s="18" t="s">
        <v>17</v>
      </c>
      <c r="E3525" s="18" t="s">
        <v>55</v>
      </c>
      <c r="F3525" s="18" t="s">
        <v>7014</v>
      </c>
      <c r="G3525" s="18" t="s">
        <v>273</v>
      </c>
      <c r="H3525" s="18" t="s">
        <v>7005</v>
      </c>
      <c r="I3525" s="20" t="s">
        <v>7015</v>
      </c>
      <c r="J3525" s="18" t="s">
        <v>58</v>
      </c>
      <c r="K3525" s="18" t="s">
        <v>24</v>
      </c>
      <c r="L3525" s="18" t="s">
        <v>25</v>
      </c>
      <c r="N3525" s="18" t="s">
        <v>154</v>
      </c>
    </row>
    <row r="3526" spans="1:14" ht="15" customHeight="1" x14ac:dyDescent="0.3">
      <c r="A3526" s="18" t="s">
        <v>6986</v>
      </c>
      <c r="B3526" s="19" t="s">
        <v>15</v>
      </c>
      <c r="C3526" s="18" t="s">
        <v>149</v>
      </c>
      <c r="D3526" s="18" t="s">
        <v>17</v>
      </c>
      <c r="E3526" s="18" t="s">
        <v>55</v>
      </c>
      <c r="F3526" s="18" t="s">
        <v>6768</v>
      </c>
      <c r="G3526" s="18" t="s">
        <v>1055</v>
      </c>
      <c r="H3526" s="18" t="s">
        <v>6990</v>
      </c>
      <c r="I3526" s="20" t="s">
        <v>7016</v>
      </c>
      <c r="J3526" s="18" t="s">
        <v>58</v>
      </c>
      <c r="K3526" s="18" t="s">
        <v>24</v>
      </c>
      <c r="L3526" s="18" t="s">
        <v>25</v>
      </c>
      <c r="N3526" s="18" t="s">
        <v>154</v>
      </c>
    </row>
    <row r="3527" spans="1:14" ht="15" customHeight="1" x14ac:dyDescent="0.3">
      <c r="A3527" s="18" t="s">
        <v>6986</v>
      </c>
      <c r="B3527" s="19" t="s">
        <v>15</v>
      </c>
      <c r="C3527" s="18" t="s">
        <v>149</v>
      </c>
      <c r="D3527" s="18" t="s">
        <v>17</v>
      </c>
      <c r="E3527" s="18" t="s">
        <v>55</v>
      </c>
      <c r="F3527" s="18" t="s">
        <v>6771</v>
      </c>
      <c r="G3527" s="18" t="s">
        <v>1055</v>
      </c>
      <c r="H3527" s="18" t="s">
        <v>7005</v>
      </c>
      <c r="I3527" s="20" t="s">
        <v>7017</v>
      </c>
      <c r="J3527" s="18" t="s">
        <v>58</v>
      </c>
      <c r="K3527" s="18" t="s">
        <v>91</v>
      </c>
      <c r="L3527" s="18" t="s">
        <v>25</v>
      </c>
      <c r="N3527" s="18" t="s">
        <v>154</v>
      </c>
    </row>
    <row r="3528" spans="1:14" ht="15" customHeight="1" x14ac:dyDescent="0.3">
      <c r="A3528" s="18" t="s">
        <v>6986</v>
      </c>
      <c r="B3528" s="19" t="s">
        <v>15</v>
      </c>
      <c r="C3528" s="18" t="s">
        <v>149</v>
      </c>
      <c r="D3528" s="18" t="s">
        <v>17</v>
      </c>
      <c r="E3528" s="18" t="s">
        <v>55</v>
      </c>
      <c r="F3528" s="18" t="s">
        <v>221</v>
      </c>
      <c r="G3528" s="18" t="s">
        <v>212</v>
      </c>
      <c r="H3528" s="18" t="s">
        <v>7018</v>
      </c>
      <c r="I3528" s="20" t="s">
        <v>7019</v>
      </c>
      <c r="J3528" s="18" t="s">
        <v>58</v>
      </c>
      <c r="K3528" s="18" t="s">
        <v>24</v>
      </c>
      <c r="L3528" s="18" t="s">
        <v>25</v>
      </c>
      <c r="M3528" s="18" t="s">
        <v>39</v>
      </c>
      <c r="N3528" s="18" t="s">
        <v>154</v>
      </c>
    </row>
    <row r="3529" spans="1:14" ht="15" customHeight="1" x14ac:dyDescent="0.3">
      <c r="A3529" s="18" t="s">
        <v>6986</v>
      </c>
      <c r="B3529" s="19" t="s">
        <v>15</v>
      </c>
      <c r="C3529" s="18" t="s">
        <v>149</v>
      </c>
      <c r="D3529" s="18" t="s">
        <v>17</v>
      </c>
      <c r="E3529" s="18" t="s">
        <v>55</v>
      </c>
      <c r="F3529" s="18" t="s">
        <v>1072</v>
      </c>
      <c r="G3529" s="18" t="s">
        <v>47</v>
      </c>
      <c r="H3529" s="18" t="s">
        <v>6998</v>
      </c>
      <c r="I3529" s="20" t="s">
        <v>7020</v>
      </c>
      <c r="J3529" s="18" t="s">
        <v>58</v>
      </c>
      <c r="K3529" s="18" t="s">
        <v>24</v>
      </c>
      <c r="L3529" s="18" t="s">
        <v>25</v>
      </c>
      <c r="N3529" s="18" t="s">
        <v>154</v>
      </c>
    </row>
    <row r="3530" spans="1:14" ht="15" customHeight="1" x14ac:dyDescent="0.3">
      <c r="A3530" s="18" t="s">
        <v>6986</v>
      </c>
      <c r="B3530" s="19" t="s">
        <v>15</v>
      </c>
      <c r="C3530" s="18" t="s">
        <v>149</v>
      </c>
      <c r="D3530" s="18" t="s">
        <v>17</v>
      </c>
      <c r="E3530" s="18" t="s">
        <v>55</v>
      </c>
      <c r="F3530" s="18" t="s">
        <v>655</v>
      </c>
      <c r="G3530" s="18" t="s">
        <v>340</v>
      </c>
      <c r="H3530" s="18" t="s">
        <v>7005</v>
      </c>
      <c r="I3530" s="20" t="s">
        <v>7021</v>
      </c>
      <c r="J3530" s="18" t="s">
        <v>58</v>
      </c>
      <c r="K3530" s="18" t="s">
        <v>24</v>
      </c>
      <c r="L3530" s="18" t="s">
        <v>25</v>
      </c>
      <c r="N3530" s="18" t="s">
        <v>154</v>
      </c>
    </row>
    <row r="3531" spans="1:14" ht="15" customHeight="1" x14ac:dyDescent="0.3">
      <c r="A3531" s="18" t="s">
        <v>6986</v>
      </c>
      <c r="B3531" s="19" t="s">
        <v>15</v>
      </c>
      <c r="C3531" s="18" t="s">
        <v>149</v>
      </c>
      <c r="D3531" s="18" t="s">
        <v>17</v>
      </c>
      <c r="E3531" s="18" t="s">
        <v>55</v>
      </c>
      <c r="F3531" s="18" t="s">
        <v>7022</v>
      </c>
      <c r="G3531" s="18" t="s">
        <v>340</v>
      </c>
      <c r="H3531" s="18" t="s">
        <v>7005</v>
      </c>
      <c r="I3531" s="20" t="s">
        <v>7023</v>
      </c>
      <c r="J3531" s="18" t="s">
        <v>58</v>
      </c>
      <c r="K3531" s="18" t="s">
        <v>24</v>
      </c>
      <c r="L3531" s="18" t="s">
        <v>25</v>
      </c>
      <c r="N3531" s="18" t="s">
        <v>154</v>
      </c>
    </row>
    <row r="3532" spans="1:14" ht="15" customHeight="1" x14ac:dyDescent="0.3">
      <c r="A3532" s="18" t="s">
        <v>6986</v>
      </c>
      <c r="B3532" s="19" t="s">
        <v>15</v>
      </c>
      <c r="C3532" s="18" t="s">
        <v>149</v>
      </c>
      <c r="D3532" s="18" t="s">
        <v>17</v>
      </c>
      <c r="E3532" s="18" t="s">
        <v>171</v>
      </c>
      <c r="F3532" s="18" t="s">
        <v>172</v>
      </c>
      <c r="G3532" s="18" t="s">
        <v>173</v>
      </c>
      <c r="H3532" s="18" t="s">
        <v>7024</v>
      </c>
      <c r="I3532" s="20" t="s">
        <v>7025</v>
      </c>
      <c r="J3532" s="18" t="s">
        <v>175</v>
      </c>
      <c r="K3532" s="18" t="s">
        <v>24</v>
      </c>
      <c r="L3532" s="18" t="s">
        <v>25</v>
      </c>
      <c r="N3532" s="18" t="s">
        <v>154</v>
      </c>
    </row>
    <row r="3533" spans="1:14" ht="15" customHeight="1" x14ac:dyDescent="0.3">
      <c r="A3533" s="18" t="s">
        <v>6986</v>
      </c>
      <c r="B3533" s="19" t="s">
        <v>15</v>
      </c>
      <c r="C3533" s="18" t="s">
        <v>149</v>
      </c>
      <c r="D3533" s="18" t="s">
        <v>17</v>
      </c>
      <c r="E3533" s="18" t="s">
        <v>171</v>
      </c>
      <c r="F3533" s="18" t="s">
        <v>80</v>
      </c>
      <c r="G3533" s="18" t="s">
        <v>80</v>
      </c>
      <c r="H3533" s="18" t="s">
        <v>7026</v>
      </c>
      <c r="I3533" s="20" t="s">
        <v>7027</v>
      </c>
      <c r="J3533" s="18" t="s">
        <v>175</v>
      </c>
      <c r="K3533" s="18" t="s">
        <v>24</v>
      </c>
      <c r="L3533" s="18" t="s">
        <v>25</v>
      </c>
      <c r="N3533" s="18" t="s">
        <v>154</v>
      </c>
    </row>
    <row r="3534" spans="1:14" ht="15" customHeight="1" x14ac:dyDescent="0.3">
      <c r="A3534" s="18" t="s">
        <v>6986</v>
      </c>
      <c r="B3534" s="19" t="s">
        <v>15</v>
      </c>
      <c r="C3534" s="18" t="s">
        <v>7028</v>
      </c>
      <c r="D3534" s="18" t="s">
        <v>17</v>
      </c>
      <c r="E3534" s="18" t="s">
        <v>171</v>
      </c>
      <c r="F3534" s="18" t="s">
        <v>423</v>
      </c>
      <c r="G3534" s="18" t="s">
        <v>423</v>
      </c>
      <c r="H3534" s="18" t="s">
        <v>7029</v>
      </c>
      <c r="I3534" s="20" t="s">
        <v>7030</v>
      </c>
      <c r="J3534" s="18" t="s">
        <v>670</v>
      </c>
      <c r="K3534" s="18" t="s">
        <v>24</v>
      </c>
      <c r="L3534" s="18" t="s">
        <v>25</v>
      </c>
      <c r="N3534" s="18" t="s">
        <v>973</v>
      </c>
    </row>
    <row r="3535" spans="1:14" ht="15" customHeight="1" x14ac:dyDescent="0.3">
      <c r="A3535" s="18" t="s">
        <v>6986</v>
      </c>
      <c r="B3535" s="19" t="s">
        <v>15</v>
      </c>
      <c r="C3535" s="18" t="s">
        <v>149</v>
      </c>
      <c r="D3535" s="18" t="s">
        <v>17</v>
      </c>
      <c r="E3535" s="18" t="s">
        <v>171</v>
      </c>
      <c r="F3535" s="18" t="s">
        <v>667</v>
      </c>
      <c r="G3535" s="18" t="s">
        <v>76</v>
      </c>
      <c r="H3535" s="18" t="s">
        <v>7026</v>
      </c>
      <c r="I3535" s="20" t="s">
        <v>7031</v>
      </c>
      <c r="J3535" s="18" t="s">
        <v>175</v>
      </c>
      <c r="K3535" s="18" t="s">
        <v>24</v>
      </c>
      <c r="L3535" s="18" t="s">
        <v>25</v>
      </c>
      <c r="N3535" s="18" t="s">
        <v>154</v>
      </c>
    </row>
    <row r="3536" spans="1:14" ht="15" customHeight="1" x14ac:dyDescent="0.3">
      <c r="A3536" s="18" t="s">
        <v>6986</v>
      </c>
      <c r="B3536" s="19" t="s">
        <v>15</v>
      </c>
      <c r="C3536" s="18" t="s">
        <v>149</v>
      </c>
      <c r="D3536" s="18" t="s">
        <v>17</v>
      </c>
      <c r="E3536" s="18" t="s">
        <v>74</v>
      </c>
      <c r="F3536" s="18" t="s">
        <v>7032</v>
      </c>
      <c r="G3536" s="18" t="s">
        <v>273</v>
      </c>
      <c r="H3536" s="18" t="s">
        <v>7033</v>
      </c>
      <c r="I3536" s="20" t="s">
        <v>7034</v>
      </c>
      <c r="J3536" s="18" t="s">
        <v>7035</v>
      </c>
      <c r="K3536" s="18" t="s">
        <v>24</v>
      </c>
      <c r="L3536" s="18" t="s">
        <v>25</v>
      </c>
      <c r="N3536" s="18" t="s">
        <v>154</v>
      </c>
    </row>
    <row r="3537" spans="1:14" ht="15" customHeight="1" x14ac:dyDescent="0.3">
      <c r="A3537" s="18" t="s">
        <v>6986</v>
      </c>
      <c r="B3537" s="19" t="s">
        <v>15</v>
      </c>
      <c r="C3537" s="18" t="s">
        <v>149</v>
      </c>
      <c r="D3537" s="18" t="s">
        <v>17</v>
      </c>
      <c r="E3537" s="18" t="s">
        <v>74</v>
      </c>
      <c r="F3537" s="18" t="s">
        <v>387</v>
      </c>
      <c r="G3537" s="18" t="s">
        <v>381</v>
      </c>
      <c r="H3537" s="18" t="s">
        <v>7036</v>
      </c>
      <c r="I3537" s="20" t="s">
        <v>7037</v>
      </c>
      <c r="J3537" s="18" t="s">
        <v>449</v>
      </c>
      <c r="K3537" s="18" t="s">
        <v>24</v>
      </c>
      <c r="L3537" s="18" t="s">
        <v>25</v>
      </c>
      <c r="N3537" s="18" t="s">
        <v>154</v>
      </c>
    </row>
    <row r="3538" spans="1:14" ht="15" customHeight="1" x14ac:dyDescent="0.3">
      <c r="A3538" s="18" t="s">
        <v>6986</v>
      </c>
      <c r="B3538" s="19" t="s">
        <v>15</v>
      </c>
      <c r="C3538" s="18" t="s">
        <v>149</v>
      </c>
      <c r="D3538" s="18" t="s">
        <v>17</v>
      </c>
      <c r="E3538" s="18" t="s">
        <v>74</v>
      </c>
      <c r="F3538" s="18" t="s">
        <v>7038</v>
      </c>
      <c r="G3538" s="18" t="s">
        <v>80</v>
      </c>
      <c r="H3538" s="18" t="s">
        <v>7039</v>
      </c>
      <c r="I3538" s="20" t="s">
        <v>7040</v>
      </c>
      <c r="J3538" s="18" t="s">
        <v>7041</v>
      </c>
      <c r="K3538" s="18" t="s">
        <v>24</v>
      </c>
      <c r="L3538" s="18" t="s">
        <v>25</v>
      </c>
      <c r="N3538" s="18" t="s">
        <v>154</v>
      </c>
    </row>
    <row r="3539" spans="1:14" ht="15" customHeight="1" x14ac:dyDescent="0.3">
      <c r="A3539" s="18" t="s">
        <v>6986</v>
      </c>
      <c r="B3539" s="19" t="s">
        <v>15</v>
      </c>
      <c r="C3539" s="18" t="s">
        <v>7042</v>
      </c>
      <c r="D3539" s="18" t="s">
        <v>17</v>
      </c>
      <c r="E3539" s="18" t="s">
        <v>74</v>
      </c>
      <c r="F3539" s="18" t="s">
        <v>7043</v>
      </c>
      <c r="G3539" s="18" t="s">
        <v>88</v>
      </c>
      <c r="H3539" s="18" t="s">
        <v>7044</v>
      </c>
      <c r="I3539" s="20" t="s">
        <v>7045</v>
      </c>
      <c r="J3539" s="18" t="s">
        <v>98</v>
      </c>
      <c r="K3539" s="18" t="s">
        <v>91</v>
      </c>
      <c r="L3539" s="18" t="s">
        <v>25</v>
      </c>
      <c r="N3539" s="18" t="s">
        <v>154</v>
      </c>
    </row>
    <row r="3540" spans="1:14" ht="15" customHeight="1" x14ac:dyDescent="0.3">
      <c r="A3540" s="18" t="s">
        <v>6986</v>
      </c>
      <c r="B3540" s="19" t="s">
        <v>15</v>
      </c>
      <c r="C3540" s="18" t="s">
        <v>149</v>
      </c>
      <c r="D3540" s="18" t="s">
        <v>17</v>
      </c>
      <c r="E3540" s="18" t="s">
        <v>74</v>
      </c>
      <c r="F3540" s="18" t="s">
        <v>7046</v>
      </c>
      <c r="G3540" s="18" t="s">
        <v>381</v>
      </c>
      <c r="H3540" s="18" t="s">
        <v>7036</v>
      </c>
      <c r="I3540" s="20" t="s">
        <v>7047</v>
      </c>
      <c r="J3540" s="18" t="s">
        <v>7048</v>
      </c>
      <c r="K3540" s="18" t="s">
        <v>24</v>
      </c>
      <c r="L3540" s="18" t="s">
        <v>25</v>
      </c>
      <c r="N3540" s="18" t="s">
        <v>154</v>
      </c>
    </row>
    <row r="3541" spans="1:14" ht="15" customHeight="1" x14ac:dyDescent="0.3">
      <c r="A3541" s="18" t="s">
        <v>6986</v>
      </c>
      <c r="B3541" s="19" t="s">
        <v>15</v>
      </c>
      <c r="C3541" s="18" t="s">
        <v>149</v>
      </c>
      <c r="D3541" s="18" t="s">
        <v>17</v>
      </c>
      <c r="E3541" s="18" t="s">
        <v>74</v>
      </c>
      <c r="F3541" s="18" t="s">
        <v>4688</v>
      </c>
      <c r="G3541" s="18" t="s">
        <v>381</v>
      </c>
      <c r="H3541" s="18" t="s">
        <v>7036</v>
      </c>
      <c r="I3541" s="20" t="s">
        <v>7049</v>
      </c>
      <c r="J3541" s="18" t="s">
        <v>449</v>
      </c>
      <c r="K3541" s="18" t="s">
        <v>24</v>
      </c>
      <c r="L3541" s="18" t="s">
        <v>25</v>
      </c>
      <c r="N3541" s="18" t="s">
        <v>154</v>
      </c>
    </row>
    <row r="3542" spans="1:14" ht="15" customHeight="1" x14ac:dyDescent="0.3">
      <c r="A3542" s="18" t="s">
        <v>6986</v>
      </c>
      <c r="B3542" s="19" t="s">
        <v>15</v>
      </c>
      <c r="C3542" s="18" t="s">
        <v>149</v>
      </c>
      <c r="D3542" s="18" t="s">
        <v>17</v>
      </c>
      <c r="E3542" s="18" t="s">
        <v>74</v>
      </c>
      <c r="F3542" s="18" t="s">
        <v>7050</v>
      </c>
      <c r="G3542" s="18" t="s">
        <v>619</v>
      </c>
      <c r="H3542" s="18" t="s">
        <v>7036</v>
      </c>
      <c r="I3542" s="20" t="s">
        <v>7051</v>
      </c>
      <c r="J3542" s="18" t="s">
        <v>449</v>
      </c>
      <c r="K3542" s="18" t="s">
        <v>24</v>
      </c>
      <c r="L3542" s="18" t="s">
        <v>25</v>
      </c>
      <c r="N3542" s="18" t="s">
        <v>154</v>
      </c>
    </row>
    <row r="3543" spans="1:14" ht="15" customHeight="1" x14ac:dyDescent="0.3">
      <c r="A3543" s="18" t="s">
        <v>6986</v>
      </c>
      <c r="B3543" s="19" t="s">
        <v>15</v>
      </c>
      <c r="C3543" s="18" t="s">
        <v>149</v>
      </c>
      <c r="D3543" s="18" t="s">
        <v>17</v>
      </c>
      <c r="E3543" s="18" t="s">
        <v>74</v>
      </c>
      <c r="F3543" s="18" t="s">
        <v>7052</v>
      </c>
      <c r="G3543" s="18" t="s">
        <v>212</v>
      </c>
      <c r="H3543" s="18" t="s">
        <v>7053</v>
      </c>
      <c r="I3543" s="20" t="s">
        <v>7054</v>
      </c>
      <c r="J3543" s="18" t="s">
        <v>7055</v>
      </c>
      <c r="K3543" s="18" t="s">
        <v>24</v>
      </c>
      <c r="L3543" s="18" t="s">
        <v>25</v>
      </c>
      <c r="N3543" s="18" t="s">
        <v>154</v>
      </c>
    </row>
    <row r="3544" spans="1:14" ht="15" customHeight="1" x14ac:dyDescent="0.3">
      <c r="A3544" s="18" t="s">
        <v>6986</v>
      </c>
      <c r="B3544" s="19" t="s">
        <v>15</v>
      </c>
      <c r="C3544" s="18" t="s">
        <v>149</v>
      </c>
      <c r="D3544" s="18" t="s">
        <v>17</v>
      </c>
      <c r="E3544" s="18" t="s">
        <v>74</v>
      </c>
      <c r="F3544" s="18" t="s">
        <v>1395</v>
      </c>
      <c r="G3544" s="18" t="s">
        <v>273</v>
      </c>
      <c r="H3544" s="18" t="s">
        <v>7056</v>
      </c>
      <c r="I3544" s="20" t="s">
        <v>7057</v>
      </c>
      <c r="J3544" s="18" t="s">
        <v>6315</v>
      </c>
      <c r="K3544" s="18" t="s">
        <v>24</v>
      </c>
      <c r="L3544" s="18" t="s">
        <v>25</v>
      </c>
      <c r="N3544" s="18" t="s">
        <v>154</v>
      </c>
    </row>
    <row r="3545" spans="1:14" ht="15" customHeight="1" x14ac:dyDescent="0.3">
      <c r="A3545" s="18" t="s">
        <v>6986</v>
      </c>
      <c r="B3545" s="19" t="s">
        <v>15</v>
      </c>
      <c r="C3545" s="18" t="s">
        <v>149</v>
      </c>
      <c r="D3545" s="18" t="s">
        <v>17</v>
      </c>
      <c r="E3545" s="18" t="s">
        <v>74</v>
      </c>
      <c r="F3545" s="18" t="s">
        <v>7058</v>
      </c>
      <c r="G3545" s="18" t="s">
        <v>273</v>
      </c>
      <c r="H3545" s="18" t="s">
        <v>7056</v>
      </c>
      <c r="I3545" s="20" t="s">
        <v>7059</v>
      </c>
      <c r="J3545" s="18" t="s">
        <v>2643</v>
      </c>
      <c r="K3545" s="18" t="s">
        <v>24</v>
      </c>
      <c r="L3545" s="18" t="s">
        <v>25</v>
      </c>
      <c r="N3545" s="18" t="s">
        <v>154</v>
      </c>
    </row>
    <row r="3546" spans="1:14" ht="15" customHeight="1" x14ac:dyDescent="0.3">
      <c r="A3546" s="18" t="s">
        <v>6986</v>
      </c>
      <c r="B3546" s="19" t="s">
        <v>15</v>
      </c>
      <c r="C3546" s="18" t="s">
        <v>149</v>
      </c>
      <c r="D3546" s="18" t="s">
        <v>17</v>
      </c>
      <c r="E3546" s="18" t="s">
        <v>74</v>
      </c>
      <c r="F3546" s="18" t="s">
        <v>404</v>
      </c>
      <c r="G3546" s="18" t="s">
        <v>381</v>
      </c>
      <c r="H3546" s="18" t="s">
        <v>7060</v>
      </c>
      <c r="I3546" s="20" t="s">
        <v>7061</v>
      </c>
      <c r="J3546" s="18" t="s">
        <v>394</v>
      </c>
      <c r="K3546" s="18" t="s">
        <v>293</v>
      </c>
      <c r="L3546" s="18" t="s">
        <v>25</v>
      </c>
      <c r="N3546" s="18" t="s">
        <v>154</v>
      </c>
    </row>
    <row r="3547" spans="1:14" ht="15" customHeight="1" x14ac:dyDescent="0.3">
      <c r="A3547" s="18" t="s">
        <v>6986</v>
      </c>
      <c r="B3547" s="19" t="s">
        <v>15</v>
      </c>
      <c r="C3547" s="18" t="s">
        <v>149</v>
      </c>
      <c r="D3547" s="18" t="s">
        <v>17</v>
      </c>
      <c r="E3547" s="18" t="s">
        <v>74</v>
      </c>
      <c r="F3547" s="18" t="s">
        <v>7062</v>
      </c>
      <c r="G3547" s="18" t="s">
        <v>381</v>
      </c>
      <c r="H3547" s="18" t="s">
        <v>7060</v>
      </c>
      <c r="I3547" s="20" t="s">
        <v>7063</v>
      </c>
      <c r="J3547" s="18" t="s">
        <v>394</v>
      </c>
      <c r="K3547" s="18" t="s">
        <v>293</v>
      </c>
      <c r="L3547" s="18" t="s">
        <v>25</v>
      </c>
      <c r="N3547" s="18" t="s">
        <v>154</v>
      </c>
    </row>
    <row r="3548" spans="1:14" ht="15" customHeight="1" x14ac:dyDescent="0.3">
      <c r="A3548" s="18" t="s">
        <v>6986</v>
      </c>
      <c r="B3548" s="19" t="s">
        <v>15</v>
      </c>
      <c r="C3548" s="18" t="s">
        <v>149</v>
      </c>
      <c r="D3548" s="18" t="s">
        <v>17</v>
      </c>
      <c r="E3548" s="18" t="s">
        <v>74</v>
      </c>
      <c r="F3548" s="18" t="s">
        <v>7064</v>
      </c>
      <c r="G3548" s="18" t="s">
        <v>47</v>
      </c>
      <c r="H3548" s="18" t="s">
        <v>7065</v>
      </c>
      <c r="I3548" s="20" t="s">
        <v>7066</v>
      </c>
      <c r="J3548" s="18" t="s">
        <v>7067</v>
      </c>
      <c r="K3548" s="18" t="s">
        <v>91</v>
      </c>
      <c r="L3548" s="18" t="s">
        <v>25</v>
      </c>
      <c r="N3548" s="18" t="s">
        <v>154</v>
      </c>
    </row>
    <row r="3549" spans="1:14" ht="15" customHeight="1" x14ac:dyDescent="0.3">
      <c r="A3549" s="18" t="s">
        <v>6986</v>
      </c>
      <c r="B3549" s="19" t="s">
        <v>15</v>
      </c>
      <c r="C3549" s="18" t="s">
        <v>149</v>
      </c>
      <c r="D3549" s="18" t="s">
        <v>17</v>
      </c>
      <c r="E3549" s="18" t="s">
        <v>74</v>
      </c>
      <c r="F3549" s="18" t="s">
        <v>7068</v>
      </c>
      <c r="G3549" s="18" t="s">
        <v>47</v>
      </c>
      <c r="H3549" s="18" t="s">
        <v>7065</v>
      </c>
      <c r="I3549" s="20" t="s">
        <v>7069</v>
      </c>
      <c r="J3549" s="18" t="s">
        <v>7067</v>
      </c>
      <c r="K3549" s="18" t="s">
        <v>91</v>
      </c>
      <c r="L3549" s="18" t="s">
        <v>25</v>
      </c>
      <c r="N3549" s="18" t="s">
        <v>154</v>
      </c>
    </row>
    <row r="3550" spans="1:14" ht="15" customHeight="1" x14ac:dyDescent="0.3">
      <c r="A3550" s="18" t="s">
        <v>6986</v>
      </c>
      <c r="B3550" s="19" t="s">
        <v>15</v>
      </c>
      <c r="C3550" s="18" t="s">
        <v>149</v>
      </c>
      <c r="D3550" s="18" t="s">
        <v>17</v>
      </c>
      <c r="E3550" s="18" t="s">
        <v>74</v>
      </c>
      <c r="F3550" s="18" t="s">
        <v>7070</v>
      </c>
      <c r="G3550" s="18" t="s">
        <v>41</v>
      </c>
      <c r="H3550" s="18" t="s">
        <v>7036</v>
      </c>
      <c r="I3550" s="20" t="s">
        <v>7071</v>
      </c>
      <c r="J3550" s="18" t="s">
        <v>449</v>
      </c>
      <c r="K3550" s="18" t="s">
        <v>24</v>
      </c>
      <c r="L3550" s="18" t="s">
        <v>25</v>
      </c>
      <c r="N3550" s="18" t="s">
        <v>154</v>
      </c>
    </row>
    <row r="3551" spans="1:14" ht="15" customHeight="1" x14ac:dyDescent="0.3">
      <c r="A3551" s="18" t="s">
        <v>6986</v>
      </c>
      <c r="B3551" s="19" t="s">
        <v>15</v>
      </c>
      <c r="C3551" s="18" t="s">
        <v>149</v>
      </c>
      <c r="D3551" s="18" t="s">
        <v>17</v>
      </c>
      <c r="E3551" s="18" t="s">
        <v>74</v>
      </c>
      <c r="F3551" s="18" t="s">
        <v>6692</v>
      </c>
      <c r="G3551" s="18" t="s">
        <v>41</v>
      </c>
      <c r="H3551" s="18" t="s">
        <v>7036</v>
      </c>
      <c r="I3551" s="20" t="s">
        <v>7072</v>
      </c>
      <c r="J3551" s="18" t="s">
        <v>449</v>
      </c>
      <c r="K3551" s="18" t="s">
        <v>24</v>
      </c>
      <c r="L3551" s="18" t="s">
        <v>25</v>
      </c>
      <c r="N3551" s="18" t="s">
        <v>154</v>
      </c>
    </row>
    <row r="3552" spans="1:14" ht="15" customHeight="1" x14ac:dyDescent="0.3">
      <c r="A3552" s="18" t="s">
        <v>6986</v>
      </c>
      <c r="B3552" s="19" t="s">
        <v>15</v>
      </c>
      <c r="C3552" s="18" t="s">
        <v>149</v>
      </c>
      <c r="D3552" s="18" t="s">
        <v>17</v>
      </c>
      <c r="E3552" s="18" t="s">
        <v>74</v>
      </c>
      <c r="F3552" s="18" t="s">
        <v>6695</v>
      </c>
      <c r="G3552" s="18" t="s">
        <v>433</v>
      </c>
      <c r="H3552" s="18" t="s">
        <v>7036</v>
      </c>
      <c r="I3552" s="20" t="s">
        <v>7073</v>
      </c>
      <c r="J3552" s="18" t="s">
        <v>7074</v>
      </c>
      <c r="K3552" s="18" t="s">
        <v>24</v>
      </c>
      <c r="L3552" s="18" t="s">
        <v>25</v>
      </c>
      <c r="N3552" s="18" t="s">
        <v>154</v>
      </c>
    </row>
    <row r="3553" spans="1:14" ht="15" customHeight="1" x14ac:dyDescent="0.3">
      <c r="A3553" s="18" t="s">
        <v>6986</v>
      </c>
      <c r="B3553" s="19" t="s">
        <v>15</v>
      </c>
      <c r="C3553" s="18" t="s">
        <v>149</v>
      </c>
      <c r="D3553" s="18" t="s">
        <v>17</v>
      </c>
      <c r="E3553" s="18" t="s">
        <v>74</v>
      </c>
      <c r="F3553" s="18" t="s">
        <v>6702</v>
      </c>
      <c r="G3553" s="18" t="s">
        <v>423</v>
      </c>
      <c r="H3553" s="18" t="s">
        <v>7036</v>
      </c>
      <c r="I3553" s="20" t="s">
        <v>7075</v>
      </c>
      <c r="J3553" s="18" t="s">
        <v>449</v>
      </c>
      <c r="K3553" s="18" t="s">
        <v>24</v>
      </c>
      <c r="L3553" s="18" t="s">
        <v>25</v>
      </c>
      <c r="N3553" s="18" t="s">
        <v>154</v>
      </c>
    </row>
    <row r="3554" spans="1:14" ht="15" customHeight="1" x14ac:dyDescent="0.3">
      <c r="A3554" s="18" t="s">
        <v>6986</v>
      </c>
      <c r="B3554" s="19" t="s">
        <v>15</v>
      </c>
      <c r="C3554" s="18" t="s">
        <v>149</v>
      </c>
      <c r="D3554" s="18" t="s">
        <v>17</v>
      </c>
      <c r="E3554" s="18" t="s">
        <v>74</v>
      </c>
      <c r="F3554" s="18" t="s">
        <v>7076</v>
      </c>
      <c r="G3554" s="18" t="s">
        <v>423</v>
      </c>
      <c r="H3554" s="18" t="s">
        <v>7039</v>
      </c>
      <c r="I3554" s="20" t="s">
        <v>7077</v>
      </c>
      <c r="J3554" s="18" t="s">
        <v>2643</v>
      </c>
      <c r="K3554" s="18" t="s">
        <v>24</v>
      </c>
      <c r="L3554" s="18" t="s">
        <v>25</v>
      </c>
      <c r="N3554" s="18" t="s">
        <v>154</v>
      </c>
    </row>
    <row r="3555" spans="1:14" ht="15" customHeight="1" x14ac:dyDescent="0.3">
      <c r="A3555" s="18" t="s">
        <v>6986</v>
      </c>
      <c r="B3555" s="19" t="s">
        <v>15</v>
      </c>
      <c r="C3555" s="18" t="s">
        <v>149</v>
      </c>
      <c r="D3555" s="18" t="s">
        <v>17</v>
      </c>
      <c r="E3555" s="18" t="s">
        <v>74</v>
      </c>
      <c r="F3555" s="18" t="s">
        <v>6704</v>
      </c>
      <c r="G3555" s="18" t="s">
        <v>433</v>
      </c>
      <c r="H3555" s="18" t="s">
        <v>7036</v>
      </c>
      <c r="I3555" s="20" t="s">
        <v>7078</v>
      </c>
      <c r="J3555" s="18" t="s">
        <v>7074</v>
      </c>
      <c r="K3555" s="18" t="s">
        <v>24</v>
      </c>
      <c r="L3555" s="18" t="s">
        <v>25</v>
      </c>
      <c r="N3555" s="18" t="s">
        <v>154</v>
      </c>
    </row>
    <row r="3556" spans="1:14" ht="15" customHeight="1" x14ac:dyDescent="0.3">
      <c r="A3556" s="18" t="s">
        <v>6986</v>
      </c>
      <c r="B3556" s="19" t="s">
        <v>15</v>
      </c>
      <c r="C3556" s="18" t="s">
        <v>149</v>
      </c>
      <c r="D3556" s="18" t="s">
        <v>17</v>
      </c>
      <c r="E3556" s="18" t="s">
        <v>74</v>
      </c>
      <c r="F3556" s="18" t="s">
        <v>6709</v>
      </c>
      <c r="G3556" s="18" t="s">
        <v>340</v>
      </c>
      <c r="H3556" s="18" t="s">
        <v>7036</v>
      </c>
      <c r="I3556" s="20" t="s">
        <v>7079</v>
      </c>
      <c r="J3556" s="18" t="s">
        <v>449</v>
      </c>
      <c r="K3556" s="18" t="s">
        <v>24</v>
      </c>
      <c r="L3556" s="18" t="s">
        <v>25</v>
      </c>
      <c r="N3556" s="18" t="s">
        <v>154</v>
      </c>
    </row>
    <row r="3557" spans="1:14" ht="15" customHeight="1" x14ac:dyDescent="0.3">
      <c r="A3557" s="18" t="s">
        <v>6986</v>
      </c>
      <c r="B3557" s="19" t="s">
        <v>15</v>
      </c>
      <c r="C3557" s="18" t="s">
        <v>149</v>
      </c>
      <c r="D3557" s="18" t="s">
        <v>17</v>
      </c>
      <c r="E3557" s="18" t="s">
        <v>74</v>
      </c>
      <c r="F3557" s="18" t="s">
        <v>422</v>
      </c>
      <c r="G3557" s="18" t="s">
        <v>381</v>
      </c>
      <c r="H3557" s="18" t="s">
        <v>7036</v>
      </c>
      <c r="I3557" s="20" t="s">
        <v>7080</v>
      </c>
      <c r="J3557" s="18" t="s">
        <v>449</v>
      </c>
      <c r="K3557" s="18" t="s">
        <v>24</v>
      </c>
      <c r="L3557" s="18" t="s">
        <v>25</v>
      </c>
      <c r="N3557" s="18" t="s">
        <v>154</v>
      </c>
    </row>
    <row r="3558" spans="1:14" ht="15" customHeight="1" x14ac:dyDescent="0.3">
      <c r="A3558" s="18" t="s">
        <v>6986</v>
      </c>
      <c r="B3558" s="19" t="s">
        <v>15</v>
      </c>
      <c r="C3558" s="18" t="s">
        <v>149</v>
      </c>
      <c r="D3558" s="18" t="s">
        <v>17</v>
      </c>
      <c r="E3558" s="18" t="s">
        <v>74</v>
      </c>
      <c r="F3558" s="18" t="s">
        <v>6711</v>
      </c>
      <c r="G3558" s="18" t="s">
        <v>340</v>
      </c>
      <c r="H3558" s="18" t="s">
        <v>7036</v>
      </c>
      <c r="I3558" s="20" t="s">
        <v>7081</v>
      </c>
      <c r="J3558" s="18" t="s">
        <v>449</v>
      </c>
      <c r="K3558" s="18" t="s">
        <v>24</v>
      </c>
      <c r="L3558" s="18" t="s">
        <v>25</v>
      </c>
      <c r="N3558" s="18" t="s">
        <v>154</v>
      </c>
    </row>
    <row r="3559" spans="1:14" ht="15" customHeight="1" x14ac:dyDescent="0.3">
      <c r="A3559" s="18" t="s">
        <v>6986</v>
      </c>
      <c r="B3559" s="19" t="s">
        <v>15</v>
      </c>
      <c r="C3559" s="18" t="s">
        <v>149</v>
      </c>
      <c r="D3559" s="18" t="s">
        <v>17</v>
      </c>
      <c r="E3559" s="18" t="s">
        <v>74</v>
      </c>
      <c r="F3559" s="18" t="s">
        <v>6713</v>
      </c>
      <c r="G3559" s="18" t="s">
        <v>41</v>
      </c>
      <c r="H3559" s="18" t="s">
        <v>7036</v>
      </c>
      <c r="I3559" s="20" t="s">
        <v>7082</v>
      </c>
      <c r="J3559" s="18" t="s">
        <v>449</v>
      </c>
      <c r="K3559" s="18" t="s">
        <v>24</v>
      </c>
      <c r="L3559" s="18" t="s">
        <v>25</v>
      </c>
      <c r="N3559" s="18" t="s">
        <v>154</v>
      </c>
    </row>
    <row r="3560" spans="1:14" ht="15" customHeight="1" x14ac:dyDescent="0.3">
      <c r="A3560" s="18" t="s">
        <v>6986</v>
      </c>
      <c r="B3560" s="19" t="s">
        <v>15</v>
      </c>
      <c r="C3560" s="18" t="s">
        <v>149</v>
      </c>
      <c r="D3560" s="18" t="s">
        <v>17</v>
      </c>
      <c r="E3560" s="18" t="s">
        <v>74</v>
      </c>
      <c r="F3560" s="18" t="s">
        <v>7083</v>
      </c>
      <c r="G3560" s="18" t="s">
        <v>212</v>
      </c>
      <c r="H3560" s="18" t="s">
        <v>7084</v>
      </c>
      <c r="I3560" s="20" t="s">
        <v>7085</v>
      </c>
      <c r="J3560" s="18" t="s">
        <v>2643</v>
      </c>
      <c r="K3560" s="18" t="s">
        <v>24</v>
      </c>
      <c r="L3560" s="18" t="s">
        <v>25</v>
      </c>
      <c r="N3560" s="18" t="s">
        <v>154</v>
      </c>
    </row>
    <row r="3561" spans="1:14" ht="15" customHeight="1" x14ac:dyDescent="0.3">
      <c r="A3561" s="18" t="s">
        <v>6986</v>
      </c>
      <c r="B3561" s="19" t="s">
        <v>15</v>
      </c>
      <c r="C3561" s="18" t="s">
        <v>149</v>
      </c>
      <c r="D3561" s="18" t="s">
        <v>17</v>
      </c>
      <c r="E3561" s="18" t="s">
        <v>74</v>
      </c>
      <c r="F3561" s="18" t="s">
        <v>6719</v>
      </c>
      <c r="G3561" s="18" t="s">
        <v>88</v>
      </c>
      <c r="H3561" s="18" t="s">
        <v>7036</v>
      </c>
      <c r="I3561" s="20" t="s">
        <v>7086</v>
      </c>
      <c r="J3561" s="18" t="s">
        <v>449</v>
      </c>
      <c r="K3561" s="18" t="s">
        <v>24</v>
      </c>
      <c r="L3561" s="18" t="s">
        <v>25</v>
      </c>
      <c r="N3561" s="18" t="s">
        <v>154</v>
      </c>
    </row>
    <row r="3562" spans="1:14" ht="15" customHeight="1" x14ac:dyDescent="0.3">
      <c r="A3562" s="18" t="s">
        <v>6986</v>
      </c>
      <c r="B3562" s="19" t="s">
        <v>15</v>
      </c>
      <c r="C3562" s="18" t="s">
        <v>149</v>
      </c>
      <c r="D3562" s="18" t="s">
        <v>17</v>
      </c>
      <c r="E3562" s="18" t="s">
        <v>74</v>
      </c>
      <c r="F3562" s="18" t="s">
        <v>7087</v>
      </c>
      <c r="G3562" s="18" t="s">
        <v>381</v>
      </c>
      <c r="H3562" s="18" t="s">
        <v>7060</v>
      </c>
      <c r="I3562" s="20" t="s">
        <v>7088</v>
      </c>
      <c r="J3562" s="18" t="s">
        <v>394</v>
      </c>
      <c r="K3562" s="18" t="s">
        <v>293</v>
      </c>
      <c r="L3562" s="18" t="s">
        <v>25</v>
      </c>
      <c r="N3562" s="18" t="s">
        <v>154</v>
      </c>
    </row>
    <row r="3563" spans="1:14" ht="15" customHeight="1" x14ac:dyDescent="0.3">
      <c r="A3563" s="18" t="s">
        <v>6986</v>
      </c>
      <c r="B3563" s="19" t="s">
        <v>15</v>
      </c>
      <c r="C3563" s="18" t="s">
        <v>149</v>
      </c>
      <c r="D3563" s="18" t="s">
        <v>17</v>
      </c>
      <c r="E3563" s="18" t="s">
        <v>74</v>
      </c>
      <c r="F3563" s="18" t="s">
        <v>6738</v>
      </c>
      <c r="G3563" s="18" t="s">
        <v>429</v>
      </c>
      <c r="H3563" s="18" t="s">
        <v>7036</v>
      </c>
      <c r="I3563" s="20" t="s">
        <v>7089</v>
      </c>
      <c r="J3563" s="18" t="s">
        <v>449</v>
      </c>
      <c r="K3563" s="18" t="s">
        <v>24</v>
      </c>
      <c r="L3563" s="18" t="s">
        <v>25</v>
      </c>
      <c r="N3563" s="18" t="s">
        <v>154</v>
      </c>
    </row>
    <row r="3564" spans="1:14" ht="15" customHeight="1" x14ac:dyDescent="0.3">
      <c r="A3564" s="18" t="s">
        <v>6986</v>
      </c>
      <c r="B3564" s="19" t="s">
        <v>15</v>
      </c>
      <c r="C3564" s="18" t="s">
        <v>149</v>
      </c>
      <c r="D3564" s="18" t="s">
        <v>17</v>
      </c>
      <c r="E3564" s="18" t="s">
        <v>226</v>
      </c>
      <c r="F3564" s="18" t="s">
        <v>7090</v>
      </c>
      <c r="G3564" s="18" t="s">
        <v>7091</v>
      </c>
      <c r="H3564" s="18" t="s">
        <v>7065</v>
      </c>
      <c r="I3564" s="20" t="s">
        <v>7092</v>
      </c>
      <c r="J3564" s="18" t="s">
        <v>7067</v>
      </c>
      <c r="K3564" s="18" t="s">
        <v>91</v>
      </c>
      <c r="L3564" s="18" t="s">
        <v>25</v>
      </c>
      <c r="N3564" s="18" t="s">
        <v>154</v>
      </c>
    </row>
    <row r="3565" spans="1:14" ht="15" customHeight="1" x14ac:dyDescent="0.3">
      <c r="A3565" s="18" t="s">
        <v>6986</v>
      </c>
      <c r="B3565" s="19" t="s">
        <v>15</v>
      </c>
      <c r="C3565" s="18" t="s">
        <v>149</v>
      </c>
      <c r="D3565" s="18" t="s">
        <v>17</v>
      </c>
      <c r="E3565" s="18" t="s">
        <v>226</v>
      </c>
      <c r="F3565" s="18" t="s">
        <v>7093</v>
      </c>
      <c r="G3565" s="18" t="s">
        <v>41</v>
      </c>
      <c r="H3565" s="18" t="s">
        <v>7065</v>
      </c>
      <c r="I3565" s="20" t="s">
        <v>7094</v>
      </c>
      <c r="J3565" s="18" t="s">
        <v>7067</v>
      </c>
      <c r="K3565" s="18" t="s">
        <v>91</v>
      </c>
      <c r="L3565" s="18" t="s">
        <v>25</v>
      </c>
      <c r="N3565" s="18" t="s">
        <v>154</v>
      </c>
    </row>
    <row r="3566" spans="1:14" ht="15" customHeight="1" x14ac:dyDescent="0.3">
      <c r="A3566" s="18" t="s">
        <v>6986</v>
      </c>
      <c r="B3566" s="19" t="s">
        <v>15</v>
      </c>
      <c r="C3566" s="18" t="s">
        <v>149</v>
      </c>
      <c r="D3566" s="18" t="s">
        <v>17</v>
      </c>
      <c r="E3566" s="18" t="s">
        <v>226</v>
      </c>
      <c r="F3566" s="18" t="s">
        <v>7095</v>
      </c>
      <c r="G3566" s="18" t="s">
        <v>41</v>
      </c>
      <c r="H3566" s="18" t="s">
        <v>7065</v>
      </c>
      <c r="I3566" s="20" t="s">
        <v>7096</v>
      </c>
      <c r="J3566" s="18" t="s">
        <v>7067</v>
      </c>
      <c r="K3566" s="18" t="s">
        <v>91</v>
      </c>
      <c r="L3566" s="18" t="s">
        <v>25</v>
      </c>
      <c r="N3566" s="18" t="s">
        <v>154</v>
      </c>
    </row>
    <row r="3567" spans="1:14" ht="15" customHeight="1" x14ac:dyDescent="0.3">
      <c r="A3567" s="18" t="s">
        <v>6986</v>
      </c>
      <c r="B3567" s="19" t="s">
        <v>15</v>
      </c>
      <c r="C3567" s="18" t="s">
        <v>149</v>
      </c>
      <c r="D3567" s="18" t="s">
        <v>17</v>
      </c>
      <c r="E3567" s="18" t="s">
        <v>226</v>
      </c>
      <c r="F3567" s="18" t="s">
        <v>7097</v>
      </c>
      <c r="G3567" s="18" t="s">
        <v>41</v>
      </c>
      <c r="H3567" s="18" t="s">
        <v>7065</v>
      </c>
      <c r="I3567" s="20" t="s">
        <v>7098</v>
      </c>
      <c r="J3567" s="18" t="s">
        <v>7067</v>
      </c>
      <c r="K3567" s="18" t="s">
        <v>91</v>
      </c>
      <c r="L3567" s="18" t="s">
        <v>25</v>
      </c>
      <c r="N3567" s="18" t="s">
        <v>154</v>
      </c>
    </row>
    <row r="3568" spans="1:14" ht="15" customHeight="1" x14ac:dyDescent="0.3">
      <c r="A3568" s="18" t="s">
        <v>6986</v>
      </c>
      <c r="B3568" s="19" t="s">
        <v>15</v>
      </c>
      <c r="C3568" s="18" t="s">
        <v>149</v>
      </c>
      <c r="D3568" s="18" t="s">
        <v>17</v>
      </c>
      <c r="E3568" s="18" t="s">
        <v>226</v>
      </c>
      <c r="F3568" s="18" t="s">
        <v>7099</v>
      </c>
      <c r="G3568" s="18" t="s">
        <v>51</v>
      </c>
      <c r="H3568" s="18" t="s">
        <v>7065</v>
      </c>
      <c r="I3568" s="20" t="s">
        <v>7100</v>
      </c>
      <c r="J3568" s="18" t="s">
        <v>7067</v>
      </c>
      <c r="K3568" s="18" t="s">
        <v>91</v>
      </c>
      <c r="L3568" s="18" t="s">
        <v>25</v>
      </c>
      <c r="N3568" s="18" t="s">
        <v>154</v>
      </c>
    </row>
    <row r="3569" spans="1:14" ht="15" customHeight="1" x14ac:dyDescent="0.3">
      <c r="A3569" s="18" t="s">
        <v>6986</v>
      </c>
      <c r="B3569" s="19" t="s">
        <v>15</v>
      </c>
      <c r="C3569" s="18" t="s">
        <v>149</v>
      </c>
      <c r="D3569" s="18" t="s">
        <v>17</v>
      </c>
      <c r="E3569" s="18" t="s">
        <v>226</v>
      </c>
      <c r="F3569" s="18" t="s">
        <v>7101</v>
      </c>
      <c r="G3569" s="18" t="s">
        <v>207</v>
      </c>
      <c r="H3569" s="18" t="s">
        <v>7065</v>
      </c>
      <c r="I3569" s="20" t="s">
        <v>7102</v>
      </c>
      <c r="J3569" s="18" t="s">
        <v>7067</v>
      </c>
      <c r="K3569" s="18" t="s">
        <v>91</v>
      </c>
      <c r="L3569" s="18" t="s">
        <v>25</v>
      </c>
      <c r="N3569" s="18" t="s">
        <v>154</v>
      </c>
    </row>
    <row r="3570" spans="1:14" ht="15" customHeight="1" x14ac:dyDescent="0.3">
      <c r="A3570" s="18" t="s">
        <v>7103</v>
      </c>
      <c r="B3570" s="19" t="s">
        <v>15</v>
      </c>
      <c r="C3570" s="18" t="s">
        <v>210</v>
      </c>
      <c r="D3570" s="18" t="s">
        <v>17</v>
      </c>
      <c r="E3570" s="18" t="s">
        <v>18</v>
      </c>
      <c r="F3570" s="18" t="s">
        <v>7104</v>
      </c>
      <c r="G3570" s="18" t="s">
        <v>1291</v>
      </c>
      <c r="H3570" s="18" t="s">
        <v>7105</v>
      </c>
      <c r="I3570" s="20" t="s">
        <v>7106</v>
      </c>
      <c r="J3570" s="18" t="s">
        <v>30</v>
      </c>
      <c r="K3570" s="18" t="s">
        <v>24</v>
      </c>
      <c r="L3570" s="18" t="s">
        <v>25</v>
      </c>
      <c r="N3570" s="18" t="s">
        <v>26</v>
      </c>
    </row>
    <row r="3571" spans="1:14" ht="15" customHeight="1" x14ac:dyDescent="0.3">
      <c r="A3571" s="18" t="s">
        <v>7103</v>
      </c>
      <c r="B3571" s="19" t="s">
        <v>15</v>
      </c>
      <c r="C3571" s="18" t="s">
        <v>1982</v>
      </c>
      <c r="D3571" s="18" t="s">
        <v>17</v>
      </c>
      <c r="E3571" s="18" t="s">
        <v>18</v>
      </c>
      <c r="F3571" s="18" t="s">
        <v>1806</v>
      </c>
      <c r="G3571" s="18" t="s">
        <v>85</v>
      </c>
      <c r="H3571" s="18" t="s">
        <v>7107</v>
      </c>
      <c r="I3571" s="20" t="s">
        <v>7108</v>
      </c>
      <c r="J3571" s="18" t="s">
        <v>30</v>
      </c>
      <c r="K3571" s="18" t="s">
        <v>24</v>
      </c>
      <c r="L3571" s="18" t="s">
        <v>25</v>
      </c>
      <c r="N3571" s="18" t="s">
        <v>154</v>
      </c>
    </row>
    <row r="3572" spans="1:14" ht="15" customHeight="1" x14ac:dyDescent="0.3">
      <c r="A3572" s="18" t="s">
        <v>7103</v>
      </c>
      <c r="B3572" s="19" t="s">
        <v>15</v>
      </c>
      <c r="C3572" s="18" t="s">
        <v>149</v>
      </c>
      <c r="D3572" s="18" t="s">
        <v>17</v>
      </c>
      <c r="E3572" s="18" t="s">
        <v>18</v>
      </c>
      <c r="F3572" s="18" t="s">
        <v>6768</v>
      </c>
      <c r="G3572" s="18" t="s">
        <v>1055</v>
      </c>
      <c r="H3572" s="18" t="s">
        <v>7109</v>
      </c>
      <c r="I3572" s="20" t="s">
        <v>7110</v>
      </c>
      <c r="J3572" s="18" t="s">
        <v>30</v>
      </c>
      <c r="K3572" s="18" t="s">
        <v>24</v>
      </c>
      <c r="L3572" s="18" t="s">
        <v>25</v>
      </c>
      <c r="N3572" s="18" t="s">
        <v>154</v>
      </c>
    </row>
    <row r="3573" spans="1:14" ht="15" customHeight="1" x14ac:dyDescent="0.3">
      <c r="A3573" s="18" t="s">
        <v>7103</v>
      </c>
      <c r="B3573" s="19" t="s">
        <v>15</v>
      </c>
      <c r="C3573" s="18" t="s">
        <v>149</v>
      </c>
      <c r="D3573" s="18" t="s">
        <v>17</v>
      </c>
      <c r="E3573" s="18" t="s">
        <v>18</v>
      </c>
      <c r="F3573" s="18" t="s">
        <v>28</v>
      </c>
      <c r="G3573" s="18" t="s">
        <v>28</v>
      </c>
      <c r="H3573" s="18" t="s">
        <v>7111</v>
      </c>
      <c r="I3573" s="20" t="s">
        <v>7112</v>
      </c>
      <c r="J3573" s="18" t="s">
        <v>30</v>
      </c>
      <c r="K3573" s="18" t="s">
        <v>24</v>
      </c>
      <c r="L3573" s="18" t="s">
        <v>25</v>
      </c>
      <c r="N3573" s="18" t="s">
        <v>154</v>
      </c>
    </row>
    <row r="3574" spans="1:14" ht="15" customHeight="1" x14ac:dyDescent="0.3">
      <c r="A3574" s="18" t="s">
        <v>7103</v>
      </c>
      <c r="B3574" s="19" t="s">
        <v>15</v>
      </c>
      <c r="C3574" s="18" t="s">
        <v>149</v>
      </c>
      <c r="D3574" s="18" t="s">
        <v>17</v>
      </c>
      <c r="E3574" s="18" t="s">
        <v>18</v>
      </c>
      <c r="F3574" s="18" t="s">
        <v>619</v>
      </c>
      <c r="G3574" s="18" t="s">
        <v>619</v>
      </c>
      <c r="H3574" s="18" t="s">
        <v>7109</v>
      </c>
      <c r="I3574" s="20" t="s">
        <v>7113</v>
      </c>
      <c r="J3574" s="18" t="s">
        <v>23</v>
      </c>
      <c r="K3574" s="18" t="s">
        <v>24</v>
      </c>
      <c r="L3574" s="18" t="s">
        <v>25</v>
      </c>
      <c r="N3574" s="18" t="s">
        <v>154</v>
      </c>
    </row>
    <row r="3575" spans="1:14" ht="15" customHeight="1" x14ac:dyDescent="0.3">
      <c r="A3575" s="18" t="s">
        <v>7103</v>
      </c>
      <c r="B3575" s="19" t="s">
        <v>15</v>
      </c>
      <c r="C3575" s="18" t="s">
        <v>210</v>
      </c>
      <c r="D3575" s="18" t="s">
        <v>17</v>
      </c>
      <c r="E3575" s="18" t="s">
        <v>18</v>
      </c>
      <c r="F3575" s="18" t="s">
        <v>1069</v>
      </c>
      <c r="G3575" s="18" t="s">
        <v>1069</v>
      </c>
      <c r="H3575" s="18" t="s">
        <v>7105</v>
      </c>
      <c r="I3575" s="20" t="s">
        <v>7114</v>
      </c>
      <c r="J3575" s="18" t="s">
        <v>30</v>
      </c>
      <c r="K3575" s="18" t="s">
        <v>24</v>
      </c>
      <c r="L3575" s="18" t="s">
        <v>25</v>
      </c>
      <c r="N3575" s="18" t="s">
        <v>26</v>
      </c>
    </row>
    <row r="3576" spans="1:14" ht="15" customHeight="1" x14ac:dyDescent="0.3">
      <c r="A3576" s="18" t="s">
        <v>7103</v>
      </c>
      <c r="B3576" s="19" t="s">
        <v>15</v>
      </c>
      <c r="C3576" s="18" t="s">
        <v>1982</v>
      </c>
      <c r="D3576" s="18" t="s">
        <v>17</v>
      </c>
      <c r="E3576" s="18" t="s">
        <v>18</v>
      </c>
      <c r="F3576" s="18" t="s">
        <v>221</v>
      </c>
      <c r="G3576" s="18" t="s">
        <v>212</v>
      </c>
      <c r="H3576" s="18" t="s">
        <v>7107</v>
      </c>
      <c r="I3576" s="20" t="s">
        <v>7115</v>
      </c>
      <c r="J3576" s="18" t="s">
        <v>30</v>
      </c>
      <c r="K3576" s="18" t="s">
        <v>24</v>
      </c>
      <c r="L3576" s="18" t="s">
        <v>25</v>
      </c>
      <c r="M3576" s="18" t="s">
        <v>39</v>
      </c>
      <c r="N3576" s="18" t="s">
        <v>154</v>
      </c>
    </row>
    <row r="3577" spans="1:14" ht="15" customHeight="1" x14ac:dyDescent="0.3">
      <c r="A3577" s="18" t="s">
        <v>7103</v>
      </c>
      <c r="B3577" s="19" t="s">
        <v>15</v>
      </c>
      <c r="C3577" s="18" t="s">
        <v>1982</v>
      </c>
      <c r="D3577" s="18" t="s">
        <v>17</v>
      </c>
      <c r="E3577" s="18" t="s">
        <v>18</v>
      </c>
      <c r="F3577" s="18" t="s">
        <v>7116</v>
      </c>
      <c r="G3577" s="18" t="s">
        <v>1075</v>
      </c>
      <c r="H3577" s="18" t="s">
        <v>7107</v>
      </c>
      <c r="I3577" s="20" t="s">
        <v>7117</v>
      </c>
      <c r="J3577" s="18" t="s">
        <v>30</v>
      </c>
      <c r="K3577" s="18" t="s">
        <v>24</v>
      </c>
      <c r="L3577" s="18" t="s">
        <v>25</v>
      </c>
      <c r="N3577" s="18" t="s">
        <v>154</v>
      </c>
    </row>
    <row r="3578" spans="1:14" ht="15" customHeight="1" x14ac:dyDescent="0.3">
      <c r="A3578" s="18" t="s">
        <v>7103</v>
      </c>
      <c r="B3578" s="19" t="s">
        <v>15</v>
      </c>
      <c r="C3578" s="18" t="s">
        <v>210</v>
      </c>
      <c r="D3578" s="18" t="s">
        <v>17</v>
      </c>
      <c r="E3578" s="18" t="s">
        <v>18</v>
      </c>
      <c r="F3578" s="18" t="s">
        <v>1072</v>
      </c>
      <c r="G3578" s="18" t="s">
        <v>47</v>
      </c>
      <c r="H3578" s="18" t="s">
        <v>7105</v>
      </c>
      <c r="I3578" s="20" t="s">
        <v>7118</v>
      </c>
      <c r="J3578" s="18" t="s">
        <v>30</v>
      </c>
      <c r="K3578" s="18" t="s">
        <v>24</v>
      </c>
      <c r="L3578" s="18" t="s">
        <v>25</v>
      </c>
      <c r="N3578" s="18" t="s">
        <v>26</v>
      </c>
    </row>
    <row r="3579" spans="1:14" ht="15" customHeight="1" x14ac:dyDescent="0.3">
      <c r="A3579" s="18" t="s">
        <v>7103</v>
      </c>
      <c r="B3579" s="19" t="s">
        <v>15</v>
      </c>
      <c r="C3579" s="18" t="s">
        <v>1982</v>
      </c>
      <c r="D3579" s="18" t="s">
        <v>17</v>
      </c>
      <c r="E3579" s="18" t="s">
        <v>18</v>
      </c>
      <c r="F3579" s="18" t="s">
        <v>34</v>
      </c>
      <c r="G3579" s="18" t="s">
        <v>34</v>
      </c>
      <c r="H3579" s="18" t="s">
        <v>7107</v>
      </c>
      <c r="I3579" s="20" t="s">
        <v>7119</v>
      </c>
      <c r="J3579" s="18" t="s">
        <v>30</v>
      </c>
      <c r="K3579" s="18" t="s">
        <v>24</v>
      </c>
      <c r="L3579" s="18" t="s">
        <v>25</v>
      </c>
      <c r="N3579" s="18" t="s">
        <v>154</v>
      </c>
    </row>
    <row r="3580" spans="1:14" ht="15" customHeight="1" x14ac:dyDescent="0.3">
      <c r="A3580" s="18" t="s">
        <v>7103</v>
      </c>
      <c r="B3580" s="19" t="s">
        <v>15</v>
      </c>
      <c r="C3580" s="18" t="s">
        <v>1982</v>
      </c>
      <c r="D3580" s="18" t="s">
        <v>17</v>
      </c>
      <c r="E3580" s="18" t="s">
        <v>18</v>
      </c>
      <c r="F3580" s="18" t="s">
        <v>1253</v>
      </c>
      <c r="G3580" s="18" t="s">
        <v>1254</v>
      </c>
      <c r="H3580" s="18" t="s">
        <v>7107</v>
      </c>
      <c r="I3580" s="20" t="s">
        <v>7120</v>
      </c>
      <c r="J3580" s="18" t="s">
        <v>30</v>
      </c>
      <c r="K3580" s="18" t="s">
        <v>24</v>
      </c>
      <c r="L3580" s="18" t="s">
        <v>25</v>
      </c>
      <c r="N3580" s="18" t="s">
        <v>154</v>
      </c>
    </row>
    <row r="3581" spans="1:14" ht="15" customHeight="1" x14ac:dyDescent="0.3">
      <c r="A3581" s="18" t="s">
        <v>7103</v>
      </c>
      <c r="B3581" s="19" t="s">
        <v>15</v>
      </c>
      <c r="C3581" s="18" t="s">
        <v>1982</v>
      </c>
      <c r="D3581" s="18" t="s">
        <v>17</v>
      </c>
      <c r="E3581" s="18" t="s">
        <v>18</v>
      </c>
      <c r="F3581" s="18" t="s">
        <v>40</v>
      </c>
      <c r="G3581" s="18" t="s">
        <v>41</v>
      </c>
      <c r="H3581" s="18" t="s">
        <v>7107</v>
      </c>
      <c r="I3581" s="20" t="s">
        <v>7121</v>
      </c>
      <c r="J3581" s="18" t="s">
        <v>30</v>
      </c>
      <c r="K3581" s="18" t="s">
        <v>24</v>
      </c>
      <c r="L3581" s="18" t="s">
        <v>25</v>
      </c>
      <c r="N3581" s="18" t="s">
        <v>154</v>
      </c>
    </row>
    <row r="3582" spans="1:14" ht="15" customHeight="1" x14ac:dyDescent="0.3">
      <c r="A3582" s="18" t="s">
        <v>7103</v>
      </c>
      <c r="B3582" s="19" t="s">
        <v>15</v>
      </c>
      <c r="C3582" s="18" t="s">
        <v>210</v>
      </c>
      <c r="D3582" s="18" t="s">
        <v>17</v>
      </c>
      <c r="E3582" s="18" t="s">
        <v>18</v>
      </c>
      <c r="F3582" s="18" t="s">
        <v>3947</v>
      </c>
      <c r="G3582" s="18" t="s">
        <v>41</v>
      </c>
      <c r="H3582" s="18" t="s">
        <v>7105</v>
      </c>
      <c r="I3582" s="20" t="s">
        <v>7122</v>
      </c>
      <c r="J3582" s="18" t="s">
        <v>30</v>
      </c>
      <c r="K3582" s="18" t="s">
        <v>24</v>
      </c>
      <c r="L3582" s="18" t="s">
        <v>25</v>
      </c>
      <c r="N3582" s="18" t="s">
        <v>26</v>
      </c>
    </row>
    <row r="3583" spans="1:14" ht="15" customHeight="1" x14ac:dyDescent="0.3">
      <c r="A3583" s="18" t="s">
        <v>7103</v>
      </c>
      <c r="B3583" s="19" t="s">
        <v>15</v>
      </c>
      <c r="C3583" s="18" t="s">
        <v>149</v>
      </c>
      <c r="D3583" s="18" t="s">
        <v>17</v>
      </c>
      <c r="E3583" s="18" t="s">
        <v>18</v>
      </c>
      <c r="F3583" s="18" t="s">
        <v>7123</v>
      </c>
      <c r="G3583" s="18" t="s">
        <v>41</v>
      </c>
      <c r="H3583" s="18" t="s">
        <v>7124</v>
      </c>
      <c r="I3583" s="20" t="s">
        <v>7125</v>
      </c>
      <c r="J3583" s="18" t="s">
        <v>30</v>
      </c>
      <c r="K3583" s="18" t="s">
        <v>24</v>
      </c>
      <c r="L3583" s="18" t="s">
        <v>25</v>
      </c>
      <c r="N3583" s="18" t="s">
        <v>154</v>
      </c>
    </row>
    <row r="3584" spans="1:14" ht="15" customHeight="1" x14ac:dyDescent="0.3">
      <c r="A3584" s="18" t="s">
        <v>7103</v>
      </c>
      <c r="B3584" s="19" t="s">
        <v>15</v>
      </c>
      <c r="C3584" s="18" t="s">
        <v>210</v>
      </c>
      <c r="D3584" s="18" t="s">
        <v>17</v>
      </c>
      <c r="E3584" s="18" t="s">
        <v>18</v>
      </c>
      <c r="F3584" s="18" t="s">
        <v>1088</v>
      </c>
      <c r="G3584" s="18" t="s">
        <v>41</v>
      </c>
      <c r="H3584" s="18" t="s">
        <v>7105</v>
      </c>
      <c r="I3584" s="20" t="s">
        <v>7126</v>
      </c>
      <c r="J3584" s="18" t="s">
        <v>30</v>
      </c>
      <c r="K3584" s="18" t="s">
        <v>24</v>
      </c>
      <c r="L3584" s="18" t="s">
        <v>25</v>
      </c>
      <c r="N3584" s="18" t="s">
        <v>26</v>
      </c>
    </row>
    <row r="3585" spans="1:14" ht="15" customHeight="1" x14ac:dyDescent="0.3">
      <c r="A3585" s="18" t="s">
        <v>7103</v>
      </c>
      <c r="B3585" s="19" t="s">
        <v>15</v>
      </c>
      <c r="C3585" s="18" t="s">
        <v>210</v>
      </c>
      <c r="D3585" s="18" t="s">
        <v>17</v>
      </c>
      <c r="E3585" s="18" t="s">
        <v>18</v>
      </c>
      <c r="F3585" s="18" t="s">
        <v>1453</v>
      </c>
      <c r="G3585" s="18" t="s">
        <v>537</v>
      </c>
      <c r="H3585" s="18" t="s">
        <v>7105</v>
      </c>
      <c r="I3585" s="20" t="s">
        <v>7127</v>
      </c>
      <c r="J3585" s="18" t="s">
        <v>30</v>
      </c>
      <c r="K3585" s="18" t="s">
        <v>24</v>
      </c>
      <c r="L3585" s="18" t="s">
        <v>25</v>
      </c>
      <c r="N3585" s="18" t="s">
        <v>26</v>
      </c>
    </row>
    <row r="3586" spans="1:14" ht="15" customHeight="1" x14ac:dyDescent="0.3">
      <c r="A3586" s="18" t="s">
        <v>7103</v>
      </c>
      <c r="B3586" s="19" t="s">
        <v>15</v>
      </c>
      <c r="C3586" s="18" t="s">
        <v>210</v>
      </c>
      <c r="D3586" s="18" t="s">
        <v>17</v>
      </c>
      <c r="E3586" s="18" t="s">
        <v>18</v>
      </c>
      <c r="F3586" s="18" t="s">
        <v>7128</v>
      </c>
      <c r="G3586" s="18" t="s">
        <v>2245</v>
      </c>
      <c r="H3586" s="18" t="s">
        <v>7105</v>
      </c>
      <c r="I3586" s="20" t="s">
        <v>7129</v>
      </c>
      <c r="J3586" s="18" t="s">
        <v>30</v>
      </c>
      <c r="K3586" s="18" t="s">
        <v>24</v>
      </c>
      <c r="L3586" s="18" t="s">
        <v>25</v>
      </c>
      <c r="N3586" s="18" t="s">
        <v>26</v>
      </c>
    </row>
    <row r="3587" spans="1:14" ht="15" customHeight="1" x14ac:dyDescent="0.3">
      <c r="A3587" s="18" t="s">
        <v>7103</v>
      </c>
      <c r="B3587" s="19" t="s">
        <v>15</v>
      </c>
      <c r="C3587" s="18" t="s">
        <v>149</v>
      </c>
      <c r="D3587" s="18" t="s">
        <v>17</v>
      </c>
      <c r="E3587" s="18" t="s">
        <v>18</v>
      </c>
      <c r="F3587" s="18" t="s">
        <v>1832</v>
      </c>
      <c r="G3587" s="18" t="s">
        <v>207</v>
      </c>
      <c r="H3587" s="18" t="s">
        <v>7124</v>
      </c>
      <c r="I3587" s="20" t="s">
        <v>7130</v>
      </c>
      <c r="J3587" s="18" t="s">
        <v>30</v>
      </c>
      <c r="K3587" s="18" t="s">
        <v>24</v>
      </c>
      <c r="L3587" s="18" t="s">
        <v>25</v>
      </c>
      <c r="N3587" s="18" t="s">
        <v>154</v>
      </c>
    </row>
    <row r="3588" spans="1:14" ht="15" customHeight="1" x14ac:dyDescent="0.3">
      <c r="A3588" s="18" t="s">
        <v>7103</v>
      </c>
      <c r="B3588" s="19" t="s">
        <v>15</v>
      </c>
      <c r="C3588" s="18" t="s">
        <v>149</v>
      </c>
      <c r="D3588" s="18" t="s">
        <v>17</v>
      </c>
      <c r="E3588" s="18" t="s">
        <v>18</v>
      </c>
      <c r="F3588" s="18" t="s">
        <v>340</v>
      </c>
      <c r="G3588" s="18" t="s">
        <v>340</v>
      </c>
      <c r="H3588" s="18" t="s">
        <v>7131</v>
      </c>
      <c r="I3588" s="20" t="s">
        <v>7132</v>
      </c>
      <c r="J3588" s="18" t="s">
        <v>30</v>
      </c>
      <c r="K3588" s="18" t="s">
        <v>24</v>
      </c>
      <c r="L3588" s="18" t="s">
        <v>25</v>
      </c>
      <c r="N3588" s="18" t="s">
        <v>154</v>
      </c>
    </row>
    <row r="3589" spans="1:14" ht="15" customHeight="1" x14ac:dyDescent="0.3">
      <c r="A3589" s="18" t="s">
        <v>7103</v>
      </c>
      <c r="B3589" s="19" t="s">
        <v>15</v>
      </c>
      <c r="C3589" s="18" t="s">
        <v>149</v>
      </c>
      <c r="D3589" s="18" t="s">
        <v>17</v>
      </c>
      <c r="E3589" s="18" t="s">
        <v>18</v>
      </c>
      <c r="F3589" s="18" t="s">
        <v>6339</v>
      </c>
      <c r="G3589" s="18" t="s">
        <v>1059</v>
      </c>
      <c r="H3589" s="18" t="s">
        <v>7109</v>
      </c>
      <c r="I3589" s="20" t="s">
        <v>7133</v>
      </c>
      <c r="J3589" s="18" t="s">
        <v>30</v>
      </c>
      <c r="K3589" s="18" t="s">
        <v>24</v>
      </c>
      <c r="L3589" s="18" t="s">
        <v>25</v>
      </c>
      <c r="N3589" s="18" t="s">
        <v>154</v>
      </c>
    </row>
    <row r="3590" spans="1:14" ht="15" customHeight="1" x14ac:dyDescent="0.3">
      <c r="A3590" s="18" t="s">
        <v>7103</v>
      </c>
      <c r="B3590" s="19" t="s">
        <v>15</v>
      </c>
      <c r="C3590" s="18" t="s">
        <v>210</v>
      </c>
      <c r="D3590" s="18" t="s">
        <v>17</v>
      </c>
      <c r="E3590" s="18" t="s">
        <v>18</v>
      </c>
      <c r="F3590" s="18" t="s">
        <v>7134</v>
      </c>
      <c r="G3590" s="18" t="s">
        <v>44</v>
      </c>
      <c r="H3590" s="18" t="s">
        <v>7105</v>
      </c>
      <c r="I3590" s="20" t="s">
        <v>7135</v>
      </c>
      <c r="J3590" s="18" t="s">
        <v>30</v>
      </c>
      <c r="K3590" s="18" t="s">
        <v>24</v>
      </c>
      <c r="L3590" s="18" t="s">
        <v>25</v>
      </c>
      <c r="N3590" s="18" t="s">
        <v>26</v>
      </c>
    </row>
    <row r="3591" spans="1:14" ht="15" customHeight="1" x14ac:dyDescent="0.3">
      <c r="A3591" s="18" t="s">
        <v>7103</v>
      </c>
      <c r="B3591" s="19" t="s">
        <v>15</v>
      </c>
      <c r="C3591" s="18" t="s">
        <v>210</v>
      </c>
      <c r="D3591" s="18" t="s">
        <v>17</v>
      </c>
      <c r="E3591" s="18" t="s">
        <v>18</v>
      </c>
      <c r="F3591" s="18" t="s">
        <v>1102</v>
      </c>
      <c r="G3591" s="18" t="s">
        <v>263</v>
      </c>
      <c r="H3591" s="18" t="s">
        <v>7105</v>
      </c>
      <c r="I3591" s="20" t="s">
        <v>7136</v>
      </c>
      <c r="J3591" s="18" t="s">
        <v>30</v>
      </c>
      <c r="K3591" s="18" t="s">
        <v>24</v>
      </c>
      <c r="L3591" s="18" t="s">
        <v>25</v>
      </c>
      <c r="N3591" s="18" t="s">
        <v>26</v>
      </c>
    </row>
    <row r="3592" spans="1:14" ht="15" customHeight="1" x14ac:dyDescent="0.3">
      <c r="A3592" s="18" t="s">
        <v>7103</v>
      </c>
      <c r="B3592" s="19" t="s">
        <v>15</v>
      </c>
      <c r="C3592" s="18" t="s">
        <v>210</v>
      </c>
      <c r="D3592" s="18" t="s">
        <v>17</v>
      </c>
      <c r="E3592" s="18" t="s">
        <v>55</v>
      </c>
      <c r="F3592" s="18" t="s">
        <v>1802</v>
      </c>
      <c r="G3592" s="18" t="s">
        <v>1291</v>
      </c>
      <c r="H3592" s="18" t="s">
        <v>7105</v>
      </c>
      <c r="I3592" s="20" t="s">
        <v>7137</v>
      </c>
      <c r="J3592" s="18" t="s">
        <v>58</v>
      </c>
      <c r="K3592" s="18" t="s">
        <v>24</v>
      </c>
      <c r="L3592" s="18" t="s">
        <v>25</v>
      </c>
      <c r="M3592" s="18" t="s">
        <v>39</v>
      </c>
      <c r="N3592" s="18" t="s">
        <v>26</v>
      </c>
    </row>
    <row r="3593" spans="1:14" ht="15" customHeight="1" x14ac:dyDescent="0.3">
      <c r="A3593" s="18" t="s">
        <v>7103</v>
      </c>
      <c r="B3593" s="19" t="s">
        <v>15</v>
      </c>
      <c r="C3593" s="18" t="s">
        <v>210</v>
      </c>
      <c r="D3593" s="18" t="s">
        <v>17</v>
      </c>
      <c r="E3593" s="18" t="s">
        <v>55</v>
      </c>
      <c r="F3593" s="18" t="s">
        <v>7138</v>
      </c>
      <c r="G3593" s="18" t="s">
        <v>1291</v>
      </c>
      <c r="H3593" s="18" t="s">
        <v>7105</v>
      </c>
      <c r="I3593" s="20" t="s">
        <v>7139</v>
      </c>
      <c r="J3593" s="18" t="s">
        <v>58</v>
      </c>
      <c r="K3593" s="18" t="s">
        <v>24</v>
      </c>
      <c r="L3593" s="18" t="s">
        <v>25</v>
      </c>
      <c r="N3593" s="18" t="s">
        <v>26</v>
      </c>
    </row>
    <row r="3594" spans="1:14" ht="15" customHeight="1" x14ac:dyDescent="0.3">
      <c r="A3594" s="18" t="s">
        <v>7103</v>
      </c>
      <c r="B3594" s="19" t="s">
        <v>15</v>
      </c>
      <c r="C3594" s="18" t="s">
        <v>210</v>
      </c>
      <c r="D3594" s="18" t="s">
        <v>17</v>
      </c>
      <c r="E3594" s="18" t="s">
        <v>55</v>
      </c>
      <c r="F3594" s="18" t="s">
        <v>7140</v>
      </c>
      <c r="G3594" s="18" t="s">
        <v>619</v>
      </c>
      <c r="H3594" s="18" t="s">
        <v>7105</v>
      </c>
      <c r="I3594" s="20" t="s">
        <v>7141</v>
      </c>
      <c r="J3594" s="18" t="s">
        <v>58</v>
      </c>
      <c r="K3594" s="18" t="s">
        <v>24</v>
      </c>
      <c r="L3594" s="18" t="s">
        <v>25</v>
      </c>
      <c r="N3594" s="18" t="s">
        <v>26</v>
      </c>
    </row>
    <row r="3595" spans="1:14" ht="15" customHeight="1" x14ac:dyDescent="0.3">
      <c r="A3595" s="18" t="s">
        <v>7103</v>
      </c>
      <c r="B3595" s="19" t="s">
        <v>15</v>
      </c>
      <c r="C3595" s="18" t="s">
        <v>149</v>
      </c>
      <c r="D3595" s="18" t="s">
        <v>17</v>
      </c>
      <c r="E3595" s="18" t="s">
        <v>55</v>
      </c>
      <c r="F3595" s="18" t="s">
        <v>6768</v>
      </c>
      <c r="G3595" s="18" t="s">
        <v>1055</v>
      </c>
      <c r="H3595" s="18" t="s">
        <v>7109</v>
      </c>
      <c r="I3595" s="20" t="s">
        <v>7142</v>
      </c>
      <c r="J3595" s="18" t="s">
        <v>58</v>
      </c>
      <c r="K3595" s="18" t="s">
        <v>24</v>
      </c>
      <c r="L3595" s="18" t="s">
        <v>25</v>
      </c>
      <c r="N3595" s="18" t="s">
        <v>154</v>
      </c>
    </row>
    <row r="3596" spans="1:14" ht="15" customHeight="1" x14ac:dyDescent="0.3">
      <c r="A3596" s="18" t="s">
        <v>7103</v>
      </c>
      <c r="B3596" s="19" t="s">
        <v>15</v>
      </c>
      <c r="C3596" s="18" t="s">
        <v>210</v>
      </c>
      <c r="D3596" s="18" t="s">
        <v>17</v>
      </c>
      <c r="E3596" s="18" t="s">
        <v>55</v>
      </c>
      <c r="F3596" s="18" t="s">
        <v>28</v>
      </c>
      <c r="G3596" s="18" t="s">
        <v>28</v>
      </c>
      <c r="H3596" s="18" t="s">
        <v>7105</v>
      </c>
      <c r="I3596" s="20" t="s">
        <v>7143</v>
      </c>
      <c r="J3596" s="18" t="s">
        <v>58</v>
      </c>
      <c r="K3596" s="18" t="s">
        <v>24</v>
      </c>
      <c r="L3596" s="18" t="s">
        <v>25</v>
      </c>
      <c r="N3596" s="18" t="s">
        <v>26</v>
      </c>
    </row>
    <row r="3597" spans="1:14" ht="15" customHeight="1" x14ac:dyDescent="0.3">
      <c r="A3597" s="18" t="s">
        <v>7103</v>
      </c>
      <c r="B3597" s="19" t="s">
        <v>15</v>
      </c>
      <c r="C3597" s="18" t="s">
        <v>1982</v>
      </c>
      <c r="D3597" s="18" t="s">
        <v>17</v>
      </c>
      <c r="E3597" s="18" t="s">
        <v>55</v>
      </c>
      <c r="F3597" s="18" t="s">
        <v>2688</v>
      </c>
      <c r="G3597" s="18" t="s">
        <v>28</v>
      </c>
      <c r="H3597" s="18" t="s">
        <v>7107</v>
      </c>
      <c r="I3597" s="20" t="s">
        <v>7144</v>
      </c>
      <c r="J3597" s="18" t="s">
        <v>58</v>
      </c>
      <c r="K3597" s="18" t="s">
        <v>24</v>
      </c>
      <c r="L3597" s="18" t="s">
        <v>25</v>
      </c>
      <c r="N3597" s="18" t="s">
        <v>154</v>
      </c>
    </row>
    <row r="3598" spans="1:14" ht="15" customHeight="1" x14ac:dyDescent="0.3">
      <c r="A3598" s="18" t="s">
        <v>7103</v>
      </c>
      <c r="B3598" s="19" t="s">
        <v>15</v>
      </c>
      <c r="C3598" s="18" t="s">
        <v>149</v>
      </c>
      <c r="D3598" s="18" t="s">
        <v>17</v>
      </c>
      <c r="E3598" s="18" t="s">
        <v>55</v>
      </c>
      <c r="F3598" s="18" t="s">
        <v>619</v>
      </c>
      <c r="G3598" s="18" t="s">
        <v>619</v>
      </c>
      <c r="H3598" s="18" t="s">
        <v>7109</v>
      </c>
      <c r="I3598" s="20" t="s">
        <v>7145</v>
      </c>
      <c r="J3598" s="18" t="s">
        <v>58</v>
      </c>
      <c r="K3598" s="18" t="s">
        <v>24</v>
      </c>
      <c r="L3598" s="18" t="s">
        <v>25</v>
      </c>
      <c r="N3598" s="18" t="s">
        <v>154</v>
      </c>
    </row>
    <row r="3599" spans="1:14" ht="15" customHeight="1" x14ac:dyDescent="0.3">
      <c r="A3599" s="18" t="s">
        <v>7103</v>
      </c>
      <c r="B3599" s="19" t="s">
        <v>15</v>
      </c>
      <c r="C3599" s="18" t="s">
        <v>1982</v>
      </c>
      <c r="D3599" s="18" t="s">
        <v>17</v>
      </c>
      <c r="E3599" s="18" t="s">
        <v>55</v>
      </c>
      <c r="F3599" s="18" t="s">
        <v>1069</v>
      </c>
      <c r="G3599" s="18" t="s">
        <v>1069</v>
      </c>
      <c r="H3599" s="18" t="s">
        <v>7107</v>
      </c>
      <c r="I3599" s="20" t="s">
        <v>7146</v>
      </c>
      <c r="J3599" s="18" t="s">
        <v>58</v>
      </c>
      <c r="K3599" s="18" t="s">
        <v>24</v>
      </c>
      <c r="L3599" s="18" t="s">
        <v>25</v>
      </c>
      <c r="M3599" s="18" t="s">
        <v>39</v>
      </c>
      <c r="N3599" s="18" t="s">
        <v>154</v>
      </c>
    </row>
    <row r="3600" spans="1:14" ht="15" customHeight="1" x14ac:dyDescent="0.3">
      <c r="A3600" s="18" t="s">
        <v>7103</v>
      </c>
      <c r="B3600" s="19" t="s">
        <v>15</v>
      </c>
      <c r="C3600" s="18" t="s">
        <v>210</v>
      </c>
      <c r="D3600" s="18" t="s">
        <v>17</v>
      </c>
      <c r="E3600" s="18" t="s">
        <v>55</v>
      </c>
      <c r="F3600" s="18" t="s">
        <v>7147</v>
      </c>
      <c r="G3600" s="18" t="s">
        <v>1069</v>
      </c>
      <c r="H3600" s="18" t="s">
        <v>7105</v>
      </c>
      <c r="I3600" s="20" t="s">
        <v>7148</v>
      </c>
      <c r="J3600" s="18" t="s">
        <v>58</v>
      </c>
      <c r="K3600" s="18" t="s">
        <v>24</v>
      </c>
      <c r="L3600" s="18" t="s">
        <v>25</v>
      </c>
      <c r="N3600" s="18" t="s">
        <v>26</v>
      </c>
    </row>
    <row r="3601" spans="1:14" ht="15" customHeight="1" x14ac:dyDescent="0.3">
      <c r="A3601" s="18" t="s">
        <v>7103</v>
      </c>
      <c r="B3601" s="19" t="s">
        <v>15</v>
      </c>
      <c r="C3601" s="18" t="s">
        <v>1982</v>
      </c>
      <c r="D3601" s="18" t="s">
        <v>17</v>
      </c>
      <c r="E3601" s="18" t="s">
        <v>55</v>
      </c>
      <c r="F3601" s="18" t="s">
        <v>7116</v>
      </c>
      <c r="G3601" s="18" t="s">
        <v>1075</v>
      </c>
      <c r="H3601" s="18" t="s">
        <v>7107</v>
      </c>
      <c r="I3601" s="20" t="s">
        <v>7149</v>
      </c>
      <c r="J3601" s="18" t="s">
        <v>58</v>
      </c>
      <c r="K3601" s="18" t="s">
        <v>24</v>
      </c>
      <c r="L3601" s="18" t="s">
        <v>25</v>
      </c>
      <c r="N3601" s="18" t="s">
        <v>154</v>
      </c>
    </row>
    <row r="3602" spans="1:14" ht="15" customHeight="1" x14ac:dyDescent="0.3">
      <c r="A3602" s="18" t="s">
        <v>7103</v>
      </c>
      <c r="B3602" s="19" t="s">
        <v>15</v>
      </c>
      <c r="C3602" s="18" t="s">
        <v>1982</v>
      </c>
      <c r="D3602" s="18" t="s">
        <v>17</v>
      </c>
      <c r="E3602" s="18" t="s">
        <v>55</v>
      </c>
      <c r="F3602" s="18" t="s">
        <v>1253</v>
      </c>
      <c r="G3602" s="18" t="s">
        <v>1254</v>
      </c>
      <c r="H3602" s="18" t="s">
        <v>7107</v>
      </c>
      <c r="I3602" s="20" t="s">
        <v>7150</v>
      </c>
      <c r="J3602" s="18" t="s">
        <v>58</v>
      </c>
      <c r="K3602" s="18" t="s">
        <v>24</v>
      </c>
      <c r="L3602" s="18" t="s">
        <v>25</v>
      </c>
      <c r="N3602" s="18" t="s">
        <v>154</v>
      </c>
    </row>
    <row r="3603" spans="1:14" ht="15" customHeight="1" x14ac:dyDescent="0.3">
      <c r="A3603" s="18" t="s">
        <v>7103</v>
      </c>
      <c r="B3603" s="19" t="s">
        <v>15</v>
      </c>
      <c r="C3603" s="18" t="s">
        <v>210</v>
      </c>
      <c r="D3603" s="18" t="s">
        <v>17</v>
      </c>
      <c r="E3603" s="18" t="s">
        <v>55</v>
      </c>
      <c r="F3603" s="18" t="s">
        <v>2610</v>
      </c>
      <c r="G3603" s="18" t="s">
        <v>263</v>
      </c>
      <c r="H3603" s="18" t="s">
        <v>7105</v>
      </c>
      <c r="I3603" s="20" t="s">
        <v>7151</v>
      </c>
      <c r="J3603" s="18" t="s">
        <v>58</v>
      </c>
      <c r="K3603" s="18" t="s">
        <v>24</v>
      </c>
      <c r="L3603" s="18" t="s">
        <v>25</v>
      </c>
      <c r="N3603" s="18" t="s">
        <v>26</v>
      </c>
    </row>
    <row r="3604" spans="1:14" ht="15" customHeight="1" x14ac:dyDescent="0.3">
      <c r="A3604" s="18" t="s">
        <v>7103</v>
      </c>
      <c r="B3604" s="19" t="s">
        <v>15</v>
      </c>
      <c r="C3604" s="18" t="s">
        <v>210</v>
      </c>
      <c r="D3604" s="18" t="s">
        <v>17</v>
      </c>
      <c r="E3604" s="18" t="s">
        <v>55</v>
      </c>
      <c r="F3604" s="18" t="s">
        <v>40</v>
      </c>
      <c r="G3604" s="18" t="s">
        <v>41</v>
      </c>
      <c r="H3604" s="18" t="s">
        <v>7105</v>
      </c>
      <c r="I3604" s="20" t="s">
        <v>7152</v>
      </c>
      <c r="J3604" s="18" t="s">
        <v>58</v>
      </c>
      <c r="K3604" s="18" t="s">
        <v>24</v>
      </c>
      <c r="L3604" s="18" t="s">
        <v>25</v>
      </c>
      <c r="N3604" s="18" t="s">
        <v>26</v>
      </c>
    </row>
    <row r="3605" spans="1:14" ht="15" customHeight="1" x14ac:dyDescent="0.3">
      <c r="A3605" s="18" t="s">
        <v>7103</v>
      </c>
      <c r="B3605" s="19" t="s">
        <v>15</v>
      </c>
      <c r="C3605" s="18" t="s">
        <v>1982</v>
      </c>
      <c r="D3605" s="18" t="s">
        <v>17</v>
      </c>
      <c r="E3605" s="18" t="s">
        <v>55</v>
      </c>
      <c r="F3605" s="18" t="s">
        <v>7153</v>
      </c>
      <c r="G3605" s="18" t="s">
        <v>41</v>
      </c>
      <c r="H3605" s="18" t="s">
        <v>7107</v>
      </c>
      <c r="I3605" s="20" t="s">
        <v>7154</v>
      </c>
      <c r="J3605" s="18" t="s">
        <v>58</v>
      </c>
      <c r="K3605" s="18" t="s">
        <v>24</v>
      </c>
      <c r="L3605" s="18" t="s">
        <v>25</v>
      </c>
      <c r="M3605" s="18" t="s">
        <v>39</v>
      </c>
      <c r="N3605" s="18" t="s">
        <v>154</v>
      </c>
    </row>
    <row r="3606" spans="1:14" ht="15" customHeight="1" x14ac:dyDescent="0.3">
      <c r="A3606" s="18" t="s">
        <v>7103</v>
      </c>
      <c r="B3606" s="19" t="s">
        <v>15</v>
      </c>
      <c r="C3606" s="18" t="s">
        <v>1982</v>
      </c>
      <c r="D3606" s="18" t="s">
        <v>17</v>
      </c>
      <c r="E3606" s="18" t="s">
        <v>55</v>
      </c>
      <c r="F3606" s="18" t="s">
        <v>7155</v>
      </c>
      <c r="G3606" s="18" t="s">
        <v>41</v>
      </c>
      <c r="H3606" s="18" t="s">
        <v>7107</v>
      </c>
      <c r="I3606" s="20" t="s">
        <v>7156</v>
      </c>
      <c r="J3606" s="18" t="s">
        <v>58</v>
      </c>
      <c r="K3606" s="18" t="s">
        <v>24</v>
      </c>
      <c r="L3606" s="18" t="s">
        <v>25</v>
      </c>
      <c r="M3606" s="18" t="s">
        <v>39</v>
      </c>
      <c r="N3606" s="18" t="s">
        <v>154</v>
      </c>
    </row>
    <row r="3607" spans="1:14" ht="15" customHeight="1" x14ac:dyDescent="0.3">
      <c r="A3607" s="18" t="s">
        <v>7103</v>
      </c>
      <c r="B3607" s="19" t="s">
        <v>15</v>
      </c>
      <c r="C3607" s="18" t="s">
        <v>210</v>
      </c>
      <c r="D3607" s="18" t="s">
        <v>17</v>
      </c>
      <c r="E3607" s="18" t="s">
        <v>55</v>
      </c>
      <c r="F3607" s="18" t="s">
        <v>7157</v>
      </c>
      <c r="G3607" s="18" t="s">
        <v>41</v>
      </c>
      <c r="H3607" s="18" t="s">
        <v>7105</v>
      </c>
      <c r="I3607" s="20" t="s">
        <v>7158</v>
      </c>
      <c r="J3607" s="18" t="s">
        <v>58</v>
      </c>
      <c r="K3607" s="18" t="s">
        <v>24</v>
      </c>
      <c r="L3607" s="18" t="s">
        <v>25</v>
      </c>
      <c r="N3607" s="18" t="s">
        <v>26</v>
      </c>
    </row>
    <row r="3608" spans="1:14" ht="15" customHeight="1" x14ac:dyDescent="0.3">
      <c r="A3608" s="18" t="s">
        <v>7103</v>
      </c>
      <c r="B3608" s="19" t="s">
        <v>15</v>
      </c>
      <c r="C3608" s="18" t="s">
        <v>210</v>
      </c>
      <c r="D3608" s="18" t="s">
        <v>17</v>
      </c>
      <c r="E3608" s="18" t="s">
        <v>55</v>
      </c>
      <c r="F3608" s="18" t="s">
        <v>7159</v>
      </c>
      <c r="G3608" s="18" t="s">
        <v>340</v>
      </c>
      <c r="H3608" s="18" t="s">
        <v>7105</v>
      </c>
      <c r="I3608" s="20" t="s">
        <v>7160</v>
      </c>
      <c r="J3608" s="18" t="s">
        <v>58</v>
      </c>
      <c r="K3608" s="18" t="s">
        <v>24</v>
      </c>
      <c r="L3608" s="18" t="s">
        <v>25</v>
      </c>
      <c r="N3608" s="18" t="s">
        <v>26</v>
      </c>
    </row>
    <row r="3609" spans="1:14" ht="15" customHeight="1" x14ac:dyDescent="0.3">
      <c r="A3609" s="18" t="s">
        <v>7103</v>
      </c>
      <c r="B3609" s="19" t="s">
        <v>15</v>
      </c>
      <c r="C3609" s="18" t="s">
        <v>149</v>
      </c>
      <c r="D3609" s="18" t="s">
        <v>17</v>
      </c>
      <c r="E3609" s="18" t="s">
        <v>55</v>
      </c>
      <c r="F3609" s="18" t="s">
        <v>1537</v>
      </c>
      <c r="G3609" s="18" t="s">
        <v>340</v>
      </c>
      <c r="H3609" s="18" t="s">
        <v>7131</v>
      </c>
      <c r="I3609" s="20" t="s">
        <v>7161</v>
      </c>
      <c r="J3609" s="18" t="s">
        <v>58</v>
      </c>
      <c r="K3609" s="18" t="s">
        <v>24</v>
      </c>
      <c r="L3609" s="18" t="s">
        <v>25</v>
      </c>
      <c r="N3609" s="18" t="s">
        <v>154</v>
      </c>
    </row>
    <row r="3610" spans="1:14" ht="15" customHeight="1" x14ac:dyDescent="0.3">
      <c r="A3610" s="18" t="s">
        <v>7103</v>
      </c>
      <c r="B3610" s="19" t="s">
        <v>15</v>
      </c>
      <c r="C3610" s="18" t="s">
        <v>149</v>
      </c>
      <c r="D3610" s="18" t="s">
        <v>17</v>
      </c>
      <c r="E3610" s="18" t="s">
        <v>55</v>
      </c>
      <c r="F3610" s="18" t="s">
        <v>1547</v>
      </c>
      <c r="G3610" s="18" t="s">
        <v>340</v>
      </c>
      <c r="H3610" s="18" t="s">
        <v>7131</v>
      </c>
      <c r="I3610" s="20" t="s">
        <v>7162</v>
      </c>
      <c r="J3610" s="18" t="s">
        <v>58</v>
      </c>
      <c r="K3610" s="18" t="s">
        <v>24</v>
      </c>
      <c r="L3610" s="18" t="s">
        <v>25</v>
      </c>
      <c r="N3610" s="18" t="s">
        <v>154</v>
      </c>
    </row>
    <row r="3611" spans="1:14" ht="15" customHeight="1" x14ac:dyDescent="0.3">
      <c r="A3611" s="18" t="s">
        <v>7103</v>
      </c>
      <c r="B3611" s="19" t="s">
        <v>15</v>
      </c>
      <c r="C3611" s="18" t="s">
        <v>149</v>
      </c>
      <c r="D3611" s="18" t="s">
        <v>17</v>
      </c>
      <c r="E3611" s="18" t="s">
        <v>55</v>
      </c>
      <c r="F3611" s="18" t="s">
        <v>6339</v>
      </c>
      <c r="G3611" s="18" t="s">
        <v>1059</v>
      </c>
      <c r="H3611" s="18" t="s">
        <v>7109</v>
      </c>
      <c r="I3611" s="20" t="s">
        <v>7163</v>
      </c>
      <c r="J3611" s="18" t="s">
        <v>58</v>
      </c>
      <c r="K3611" s="18" t="s">
        <v>24</v>
      </c>
      <c r="L3611" s="18" t="s">
        <v>25</v>
      </c>
      <c r="N3611" s="18" t="s">
        <v>154</v>
      </c>
    </row>
    <row r="3612" spans="1:14" ht="15" customHeight="1" x14ac:dyDescent="0.3">
      <c r="A3612" s="18" t="s">
        <v>7103</v>
      </c>
      <c r="B3612" s="19" t="s">
        <v>15</v>
      </c>
      <c r="C3612" s="18" t="s">
        <v>210</v>
      </c>
      <c r="D3612" s="18" t="s">
        <v>17</v>
      </c>
      <c r="E3612" s="18" t="s">
        <v>55</v>
      </c>
      <c r="F3612" s="18" t="s">
        <v>7134</v>
      </c>
      <c r="G3612" s="18" t="s">
        <v>44</v>
      </c>
      <c r="H3612" s="18" t="s">
        <v>7105</v>
      </c>
      <c r="I3612" s="20" t="s">
        <v>7164</v>
      </c>
      <c r="J3612" s="18" t="s">
        <v>58</v>
      </c>
      <c r="K3612" s="18" t="s">
        <v>24</v>
      </c>
      <c r="L3612" s="18" t="s">
        <v>25</v>
      </c>
      <c r="N3612" s="18" t="s">
        <v>26</v>
      </c>
    </row>
    <row r="3613" spans="1:14" ht="15" customHeight="1" x14ac:dyDescent="0.3">
      <c r="A3613" s="18" t="s">
        <v>7103</v>
      </c>
      <c r="B3613" s="19" t="s">
        <v>15</v>
      </c>
      <c r="C3613" s="18" t="s">
        <v>210</v>
      </c>
      <c r="D3613" s="18" t="s">
        <v>17</v>
      </c>
      <c r="E3613" s="18" t="s">
        <v>55</v>
      </c>
      <c r="F3613" s="18" t="s">
        <v>1102</v>
      </c>
      <c r="G3613" s="18" t="s">
        <v>263</v>
      </c>
      <c r="H3613" s="18" t="s">
        <v>7105</v>
      </c>
      <c r="I3613" s="20" t="s">
        <v>7165</v>
      </c>
      <c r="J3613" s="18" t="s">
        <v>58</v>
      </c>
      <c r="K3613" s="18" t="s">
        <v>24</v>
      </c>
      <c r="L3613" s="18" t="s">
        <v>25</v>
      </c>
      <c r="N3613" s="18" t="s">
        <v>26</v>
      </c>
    </row>
    <row r="3614" spans="1:14" ht="15" customHeight="1" x14ac:dyDescent="0.3">
      <c r="A3614" s="18" t="s">
        <v>7103</v>
      </c>
      <c r="B3614" s="19" t="s">
        <v>15</v>
      </c>
      <c r="C3614" s="18" t="s">
        <v>1982</v>
      </c>
      <c r="D3614" s="18" t="s">
        <v>17</v>
      </c>
      <c r="E3614" s="18" t="s">
        <v>171</v>
      </c>
      <c r="F3614" s="18" t="s">
        <v>172</v>
      </c>
      <c r="G3614" s="18" t="s">
        <v>173</v>
      </c>
      <c r="H3614" s="18" t="s">
        <v>7107</v>
      </c>
      <c r="I3614" s="20" t="s">
        <v>7166</v>
      </c>
      <c r="J3614" s="18" t="s">
        <v>175</v>
      </c>
      <c r="K3614" s="18" t="s">
        <v>24</v>
      </c>
      <c r="L3614" s="18" t="s">
        <v>25</v>
      </c>
      <c r="N3614" s="18" t="s">
        <v>154</v>
      </c>
    </row>
    <row r="3615" spans="1:14" ht="15" customHeight="1" x14ac:dyDescent="0.3">
      <c r="A3615" s="18" t="s">
        <v>7103</v>
      </c>
      <c r="B3615" s="19" t="s">
        <v>15</v>
      </c>
      <c r="C3615" s="18" t="s">
        <v>1982</v>
      </c>
      <c r="D3615" s="18" t="s">
        <v>17</v>
      </c>
      <c r="E3615" s="18" t="s">
        <v>74</v>
      </c>
      <c r="F3615" s="18" t="s">
        <v>7167</v>
      </c>
      <c r="G3615" s="18" t="s">
        <v>381</v>
      </c>
      <c r="H3615" s="18" t="s">
        <v>7168</v>
      </c>
      <c r="I3615" s="20" t="s">
        <v>7169</v>
      </c>
      <c r="J3615" s="18" t="s">
        <v>440</v>
      </c>
      <c r="K3615" s="18" t="s">
        <v>24</v>
      </c>
      <c r="L3615" s="18" t="s">
        <v>25</v>
      </c>
      <c r="N3615" s="18" t="s">
        <v>154</v>
      </c>
    </row>
    <row r="3616" spans="1:14" ht="15" customHeight="1" x14ac:dyDescent="0.3">
      <c r="A3616" s="18" t="s">
        <v>7103</v>
      </c>
      <c r="B3616" s="19" t="s">
        <v>15</v>
      </c>
      <c r="C3616" s="18" t="s">
        <v>210</v>
      </c>
      <c r="D3616" s="18" t="s">
        <v>17</v>
      </c>
      <c r="E3616" s="18" t="s">
        <v>74</v>
      </c>
      <c r="F3616" s="18" t="s">
        <v>7170</v>
      </c>
      <c r="G3616" s="18" t="s">
        <v>173</v>
      </c>
      <c r="H3616" s="18" t="s">
        <v>7171</v>
      </c>
      <c r="I3616" s="20" t="s">
        <v>7172</v>
      </c>
      <c r="J3616" s="18" t="s">
        <v>7173</v>
      </c>
      <c r="K3616" s="18" t="s">
        <v>24</v>
      </c>
      <c r="L3616" s="18" t="s">
        <v>25</v>
      </c>
      <c r="N3616" s="18" t="s">
        <v>26</v>
      </c>
    </row>
    <row r="3617" spans="1:14" ht="15" customHeight="1" x14ac:dyDescent="0.3">
      <c r="A3617" s="18" t="s">
        <v>7103</v>
      </c>
      <c r="B3617" s="19" t="s">
        <v>15</v>
      </c>
      <c r="C3617" s="18" t="s">
        <v>1982</v>
      </c>
      <c r="D3617" s="18" t="s">
        <v>17</v>
      </c>
      <c r="E3617" s="18" t="s">
        <v>74</v>
      </c>
      <c r="F3617" s="18" t="s">
        <v>7174</v>
      </c>
      <c r="G3617" s="18" t="s">
        <v>85</v>
      </c>
      <c r="H3617" s="18" t="s">
        <v>7175</v>
      </c>
      <c r="I3617" s="20" t="s">
        <v>7176</v>
      </c>
      <c r="J3617" s="18" t="s">
        <v>7177</v>
      </c>
      <c r="K3617" s="18" t="s">
        <v>24</v>
      </c>
      <c r="L3617" s="18" t="s">
        <v>25</v>
      </c>
      <c r="N3617" s="18" t="s">
        <v>154</v>
      </c>
    </row>
    <row r="3618" spans="1:14" ht="15" customHeight="1" x14ac:dyDescent="0.3">
      <c r="A3618" s="18" t="s">
        <v>7103</v>
      </c>
      <c r="B3618" s="19" t="s">
        <v>15</v>
      </c>
      <c r="C3618" s="18" t="s">
        <v>1982</v>
      </c>
      <c r="D3618" s="18" t="s">
        <v>17</v>
      </c>
      <c r="E3618" s="18" t="s">
        <v>74</v>
      </c>
      <c r="F3618" s="18" t="s">
        <v>7178</v>
      </c>
      <c r="G3618" s="18" t="s">
        <v>76</v>
      </c>
      <c r="H3618" s="18" t="s">
        <v>667</v>
      </c>
      <c r="I3618" s="20" t="s">
        <v>7179</v>
      </c>
      <c r="J3618" s="18" t="s">
        <v>440</v>
      </c>
      <c r="K3618" s="18" t="s">
        <v>24</v>
      </c>
      <c r="L3618" s="18" t="s">
        <v>25</v>
      </c>
      <c r="N3618" s="18" t="s">
        <v>154</v>
      </c>
    </row>
    <row r="3619" spans="1:14" ht="15" customHeight="1" x14ac:dyDescent="0.3">
      <c r="A3619" s="18" t="s">
        <v>7103</v>
      </c>
      <c r="B3619" s="19" t="s">
        <v>15</v>
      </c>
      <c r="C3619" s="18" t="s">
        <v>210</v>
      </c>
      <c r="D3619" s="18" t="s">
        <v>17</v>
      </c>
      <c r="E3619" s="18" t="s">
        <v>74</v>
      </c>
      <c r="F3619" s="18" t="s">
        <v>7180</v>
      </c>
      <c r="G3619" s="18" t="s">
        <v>173</v>
      </c>
      <c r="H3619" s="18" t="s">
        <v>7171</v>
      </c>
      <c r="I3619" s="20" t="s">
        <v>7181</v>
      </c>
      <c r="J3619" s="18" t="s">
        <v>7182</v>
      </c>
      <c r="K3619" s="18" t="s">
        <v>24</v>
      </c>
      <c r="L3619" s="18" t="s">
        <v>25</v>
      </c>
      <c r="N3619" s="18" t="s">
        <v>26</v>
      </c>
    </row>
    <row r="3620" spans="1:14" ht="15" customHeight="1" x14ac:dyDescent="0.3">
      <c r="A3620" s="18" t="s">
        <v>7103</v>
      </c>
      <c r="B3620" s="19" t="s">
        <v>15</v>
      </c>
      <c r="C3620" s="18" t="s">
        <v>1982</v>
      </c>
      <c r="D3620" s="18" t="s">
        <v>17</v>
      </c>
      <c r="E3620" s="18" t="s">
        <v>74</v>
      </c>
      <c r="F3620" s="18" t="s">
        <v>7183</v>
      </c>
      <c r="G3620" s="18" t="s">
        <v>80</v>
      </c>
      <c r="H3620" s="18" t="s">
        <v>7184</v>
      </c>
      <c r="I3620" s="20" t="s">
        <v>7185</v>
      </c>
      <c r="J3620" s="18" t="s">
        <v>440</v>
      </c>
      <c r="K3620" s="18" t="s">
        <v>24</v>
      </c>
      <c r="L3620" s="18" t="s">
        <v>25</v>
      </c>
      <c r="N3620" s="18" t="s">
        <v>154</v>
      </c>
    </row>
    <row r="3621" spans="1:14" ht="15" customHeight="1" x14ac:dyDescent="0.3">
      <c r="A3621" s="18" t="s">
        <v>7103</v>
      </c>
      <c r="B3621" s="19" t="s">
        <v>15</v>
      </c>
      <c r="C3621" s="18" t="s">
        <v>1982</v>
      </c>
      <c r="D3621" s="18" t="s">
        <v>17</v>
      </c>
      <c r="E3621" s="18" t="s">
        <v>74</v>
      </c>
      <c r="F3621" s="18" t="s">
        <v>7186</v>
      </c>
      <c r="G3621" s="18" t="s">
        <v>28</v>
      </c>
      <c r="H3621" s="18" t="s">
        <v>7187</v>
      </c>
      <c r="I3621" s="20" t="s">
        <v>7188</v>
      </c>
      <c r="J3621" s="18" t="s">
        <v>7177</v>
      </c>
      <c r="K3621" s="18" t="s">
        <v>24</v>
      </c>
      <c r="L3621" s="18" t="s">
        <v>25</v>
      </c>
      <c r="N3621" s="18" t="s">
        <v>154</v>
      </c>
    </row>
    <row r="3622" spans="1:14" ht="15" customHeight="1" x14ac:dyDescent="0.3">
      <c r="A3622" s="18" t="s">
        <v>7103</v>
      </c>
      <c r="B3622" s="19" t="s">
        <v>15</v>
      </c>
      <c r="C3622" s="18" t="s">
        <v>1982</v>
      </c>
      <c r="D3622" s="18" t="s">
        <v>17</v>
      </c>
      <c r="E3622" s="18" t="s">
        <v>74</v>
      </c>
      <c r="F3622" s="18" t="s">
        <v>7189</v>
      </c>
      <c r="G3622" s="18" t="s">
        <v>28</v>
      </c>
      <c r="H3622" s="18" t="s">
        <v>7187</v>
      </c>
      <c r="I3622" s="20" t="s">
        <v>7190</v>
      </c>
      <c r="J3622" s="18" t="s">
        <v>7177</v>
      </c>
      <c r="K3622" s="18" t="s">
        <v>24</v>
      </c>
      <c r="L3622" s="18" t="s">
        <v>25</v>
      </c>
      <c r="N3622" s="18" t="s">
        <v>154</v>
      </c>
    </row>
    <row r="3623" spans="1:14" ht="15" customHeight="1" x14ac:dyDescent="0.3">
      <c r="A3623" s="18" t="s">
        <v>7103</v>
      </c>
      <c r="B3623" s="19" t="s">
        <v>15</v>
      </c>
      <c r="C3623" s="18" t="s">
        <v>1982</v>
      </c>
      <c r="D3623" s="18" t="s">
        <v>17</v>
      </c>
      <c r="E3623" s="18" t="s">
        <v>74</v>
      </c>
      <c r="F3623" s="18" t="s">
        <v>7191</v>
      </c>
      <c r="G3623" s="18" t="s">
        <v>381</v>
      </c>
      <c r="H3623" s="18" t="s">
        <v>5961</v>
      </c>
      <c r="I3623" s="20" t="s">
        <v>7192</v>
      </c>
      <c r="J3623" s="18" t="s">
        <v>440</v>
      </c>
      <c r="K3623" s="18" t="s">
        <v>24</v>
      </c>
      <c r="L3623" s="18" t="s">
        <v>25</v>
      </c>
      <c r="N3623" s="18" t="s">
        <v>154</v>
      </c>
    </row>
    <row r="3624" spans="1:14" ht="15" customHeight="1" x14ac:dyDescent="0.3">
      <c r="A3624" s="18" t="s">
        <v>7103</v>
      </c>
      <c r="B3624" s="19" t="s">
        <v>15</v>
      </c>
      <c r="C3624" s="18" t="s">
        <v>1982</v>
      </c>
      <c r="D3624" s="18" t="s">
        <v>17</v>
      </c>
      <c r="E3624" s="18" t="s">
        <v>74</v>
      </c>
      <c r="F3624" s="18" t="s">
        <v>7193</v>
      </c>
      <c r="G3624" s="18" t="s">
        <v>381</v>
      </c>
      <c r="H3624" s="18" t="s">
        <v>5961</v>
      </c>
      <c r="I3624" s="20" t="s">
        <v>7194</v>
      </c>
      <c r="J3624" s="18" t="s">
        <v>440</v>
      </c>
      <c r="K3624" s="18" t="s">
        <v>24</v>
      </c>
      <c r="L3624" s="18" t="s">
        <v>25</v>
      </c>
      <c r="N3624" s="18" t="s">
        <v>154</v>
      </c>
    </row>
    <row r="3625" spans="1:14" ht="15" customHeight="1" x14ac:dyDescent="0.3">
      <c r="A3625" s="18" t="s">
        <v>7103</v>
      </c>
      <c r="B3625" s="19" t="s">
        <v>15</v>
      </c>
      <c r="C3625" s="18" t="s">
        <v>1982</v>
      </c>
      <c r="D3625" s="18" t="s">
        <v>17</v>
      </c>
      <c r="E3625" s="18" t="s">
        <v>74</v>
      </c>
      <c r="F3625" s="18" t="s">
        <v>7195</v>
      </c>
      <c r="G3625" s="18" t="s">
        <v>381</v>
      </c>
      <c r="H3625" s="18" t="s">
        <v>7196</v>
      </c>
      <c r="I3625" s="20" t="s">
        <v>7197</v>
      </c>
      <c r="J3625" s="18" t="s">
        <v>440</v>
      </c>
      <c r="K3625" s="18" t="s">
        <v>24</v>
      </c>
      <c r="L3625" s="18" t="s">
        <v>25</v>
      </c>
      <c r="N3625" s="18" t="s">
        <v>154</v>
      </c>
    </row>
    <row r="3626" spans="1:14" ht="15" customHeight="1" x14ac:dyDescent="0.3">
      <c r="A3626" s="18" t="s">
        <v>7103</v>
      </c>
      <c r="B3626" s="19" t="s">
        <v>15</v>
      </c>
      <c r="C3626" s="18" t="s">
        <v>1982</v>
      </c>
      <c r="D3626" s="18" t="s">
        <v>17</v>
      </c>
      <c r="E3626" s="18" t="s">
        <v>74</v>
      </c>
      <c r="F3626" s="18" t="s">
        <v>7198</v>
      </c>
      <c r="G3626" s="18" t="s">
        <v>381</v>
      </c>
      <c r="H3626" s="18" t="s">
        <v>7199</v>
      </c>
      <c r="I3626" s="20" t="s">
        <v>7200</v>
      </c>
      <c r="J3626" s="18" t="s">
        <v>440</v>
      </c>
      <c r="K3626" s="18" t="s">
        <v>24</v>
      </c>
      <c r="L3626" s="18" t="s">
        <v>25</v>
      </c>
      <c r="N3626" s="18" t="s">
        <v>154</v>
      </c>
    </row>
    <row r="3627" spans="1:14" ht="15" customHeight="1" x14ac:dyDescent="0.3">
      <c r="A3627" s="18" t="s">
        <v>7103</v>
      </c>
      <c r="B3627" s="19" t="s">
        <v>15</v>
      </c>
      <c r="C3627" s="18" t="s">
        <v>1982</v>
      </c>
      <c r="D3627" s="18" t="s">
        <v>17</v>
      </c>
      <c r="E3627" s="18" t="s">
        <v>74</v>
      </c>
      <c r="F3627" s="18" t="s">
        <v>7201</v>
      </c>
      <c r="G3627" s="18" t="s">
        <v>381</v>
      </c>
      <c r="H3627" s="18" t="s">
        <v>7202</v>
      </c>
      <c r="I3627" s="20" t="s">
        <v>7203</v>
      </c>
      <c r="J3627" s="18" t="s">
        <v>7204</v>
      </c>
      <c r="K3627" s="18" t="s">
        <v>293</v>
      </c>
      <c r="L3627" s="18" t="s">
        <v>25</v>
      </c>
      <c r="N3627" s="18" t="s">
        <v>154</v>
      </c>
    </row>
    <row r="3628" spans="1:14" ht="15" customHeight="1" x14ac:dyDescent="0.3">
      <c r="A3628" s="18" t="s">
        <v>7103</v>
      </c>
      <c r="B3628" s="19" t="s">
        <v>15</v>
      </c>
      <c r="C3628" s="18" t="s">
        <v>1982</v>
      </c>
      <c r="D3628" s="18" t="s">
        <v>17</v>
      </c>
      <c r="E3628" s="18" t="s">
        <v>74</v>
      </c>
      <c r="F3628" s="18" t="s">
        <v>6196</v>
      </c>
      <c r="G3628" s="18" t="s">
        <v>381</v>
      </c>
      <c r="H3628" s="18" t="s">
        <v>7205</v>
      </c>
      <c r="I3628" s="20" t="s">
        <v>7206</v>
      </c>
      <c r="J3628" s="18" t="s">
        <v>440</v>
      </c>
      <c r="K3628" s="18" t="s">
        <v>293</v>
      </c>
      <c r="L3628" s="18" t="s">
        <v>25</v>
      </c>
      <c r="N3628" s="18" t="s">
        <v>154</v>
      </c>
    </row>
    <row r="3629" spans="1:14" ht="15" customHeight="1" x14ac:dyDescent="0.3">
      <c r="A3629" s="18" t="s">
        <v>7103</v>
      </c>
      <c r="B3629" s="19" t="s">
        <v>15</v>
      </c>
      <c r="C3629" s="18" t="s">
        <v>1982</v>
      </c>
      <c r="D3629" s="18" t="s">
        <v>17</v>
      </c>
      <c r="E3629" s="18" t="s">
        <v>74</v>
      </c>
      <c r="F3629" s="18" t="s">
        <v>7207</v>
      </c>
      <c r="G3629" s="18" t="s">
        <v>20</v>
      </c>
      <c r="H3629" s="18" t="s">
        <v>7208</v>
      </c>
      <c r="I3629" s="20" t="s">
        <v>7209</v>
      </c>
      <c r="J3629" s="18" t="s">
        <v>440</v>
      </c>
      <c r="K3629" s="18" t="s">
        <v>24</v>
      </c>
      <c r="L3629" s="18" t="s">
        <v>25</v>
      </c>
      <c r="N3629" s="18" t="s">
        <v>154</v>
      </c>
    </row>
    <row r="3630" spans="1:14" ht="15" customHeight="1" x14ac:dyDescent="0.3">
      <c r="A3630" s="18" t="s">
        <v>7103</v>
      </c>
      <c r="B3630" s="19" t="s">
        <v>15</v>
      </c>
      <c r="C3630" s="18" t="s">
        <v>1982</v>
      </c>
      <c r="D3630" s="18" t="s">
        <v>17</v>
      </c>
      <c r="E3630" s="18" t="s">
        <v>74</v>
      </c>
      <c r="F3630" s="18" t="s">
        <v>7210</v>
      </c>
      <c r="G3630" s="18" t="s">
        <v>20</v>
      </c>
      <c r="H3630" s="18" t="s">
        <v>7211</v>
      </c>
      <c r="I3630" s="20" t="s">
        <v>7212</v>
      </c>
      <c r="J3630" s="18" t="s">
        <v>440</v>
      </c>
      <c r="K3630" s="18" t="s">
        <v>24</v>
      </c>
      <c r="L3630" s="18" t="s">
        <v>25</v>
      </c>
      <c r="N3630" s="18" t="s">
        <v>154</v>
      </c>
    </row>
    <row r="3631" spans="1:14" ht="15" customHeight="1" x14ac:dyDescent="0.3">
      <c r="A3631" s="18" t="s">
        <v>7103</v>
      </c>
      <c r="B3631" s="19" t="s">
        <v>15</v>
      </c>
      <c r="C3631" s="18" t="s">
        <v>1982</v>
      </c>
      <c r="D3631" s="18" t="s">
        <v>17</v>
      </c>
      <c r="E3631" s="18" t="s">
        <v>74</v>
      </c>
      <c r="F3631" s="18" t="s">
        <v>7213</v>
      </c>
      <c r="G3631" s="18" t="s">
        <v>20</v>
      </c>
      <c r="H3631" s="18" t="s">
        <v>580</v>
      </c>
      <c r="I3631" s="20" t="s">
        <v>7214</v>
      </c>
      <c r="J3631" s="18" t="s">
        <v>440</v>
      </c>
      <c r="K3631" s="18" t="s">
        <v>24</v>
      </c>
      <c r="L3631" s="18" t="s">
        <v>25</v>
      </c>
      <c r="N3631" s="18" t="s">
        <v>154</v>
      </c>
    </row>
    <row r="3632" spans="1:14" ht="15" customHeight="1" x14ac:dyDescent="0.3">
      <c r="A3632" s="18" t="s">
        <v>7103</v>
      </c>
      <c r="B3632" s="19" t="s">
        <v>15</v>
      </c>
      <c r="C3632" s="18" t="s">
        <v>1982</v>
      </c>
      <c r="D3632" s="18" t="s">
        <v>17</v>
      </c>
      <c r="E3632" s="18" t="s">
        <v>74</v>
      </c>
      <c r="F3632" s="18" t="s">
        <v>7215</v>
      </c>
      <c r="G3632" s="18" t="s">
        <v>20</v>
      </c>
      <c r="H3632" s="18" t="s">
        <v>7216</v>
      </c>
      <c r="I3632" s="20" t="s">
        <v>7217</v>
      </c>
      <c r="J3632" s="18" t="s">
        <v>440</v>
      </c>
      <c r="K3632" s="18" t="s">
        <v>24</v>
      </c>
      <c r="L3632" s="18" t="s">
        <v>25</v>
      </c>
      <c r="N3632" s="18" t="s">
        <v>154</v>
      </c>
    </row>
    <row r="3633" spans="1:14" ht="15" customHeight="1" x14ac:dyDescent="0.3">
      <c r="A3633" s="18" t="s">
        <v>7103</v>
      </c>
      <c r="B3633" s="19" t="s">
        <v>15</v>
      </c>
      <c r="C3633" s="18" t="s">
        <v>1982</v>
      </c>
      <c r="D3633" s="18" t="s">
        <v>17</v>
      </c>
      <c r="E3633" s="18" t="s">
        <v>74</v>
      </c>
      <c r="F3633" s="18" t="s">
        <v>7218</v>
      </c>
      <c r="G3633" s="18" t="s">
        <v>41</v>
      </c>
      <c r="H3633" s="18" t="s">
        <v>7175</v>
      </c>
      <c r="I3633" s="20" t="s">
        <v>7219</v>
      </c>
      <c r="J3633" s="18" t="s">
        <v>7177</v>
      </c>
      <c r="K3633" s="18" t="s">
        <v>24</v>
      </c>
      <c r="L3633" s="18" t="s">
        <v>25</v>
      </c>
      <c r="N3633" s="18" t="s">
        <v>154</v>
      </c>
    </row>
    <row r="3634" spans="1:14" ht="15" customHeight="1" x14ac:dyDescent="0.3">
      <c r="A3634" s="18" t="s">
        <v>7103</v>
      </c>
      <c r="B3634" s="19" t="s">
        <v>15</v>
      </c>
      <c r="C3634" s="18" t="s">
        <v>1982</v>
      </c>
      <c r="D3634" s="18" t="s">
        <v>17</v>
      </c>
      <c r="E3634" s="18" t="s">
        <v>74</v>
      </c>
      <c r="F3634" s="18" t="s">
        <v>7220</v>
      </c>
      <c r="G3634" s="18" t="s">
        <v>1019</v>
      </c>
      <c r="H3634" s="18" t="s">
        <v>7175</v>
      </c>
      <c r="I3634" s="20" t="s">
        <v>7221</v>
      </c>
      <c r="J3634" s="18" t="s">
        <v>7177</v>
      </c>
      <c r="K3634" s="18" t="s">
        <v>24</v>
      </c>
      <c r="L3634" s="18" t="s">
        <v>25</v>
      </c>
      <c r="N3634" s="18" t="s">
        <v>154</v>
      </c>
    </row>
    <row r="3635" spans="1:14" ht="15" customHeight="1" x14ac:dyDescent="0.3">
      <c r="A3635" s="18" t="s">
        <v>7103</v>
      </c>
      <c r="B3635" s="19" t="s">
        <v>15</v>
      </c>
      <c r="C3635" s="18" t="s">
        <v>210</v>
      </c>
      <c r="D3635" s="18" t="s">
        <v>17</v>
      </c>
      <c r="E3635" s="18" t="s">
        <v>74</v>
      </c>
      <c r="F3635" s="18" t="s">
        <v>7222</v>
      </c>
      <c r="G3635" s="18" t="s">
        <v>1019</v>
      </c>
      <c r="H3635" s="18" t="s">
        <v>7223</v>
      </c>
      <c r="I3635" s="20" t="s">
        <v>7224</v>
      </c>
      <c r="J3635" s="18" t="s">
        <v>7177</v>
      </c>
      <c r="K3635" s="18" t="s">
        <v>24</v>
      </c>
      <c r="L3635" s="18" t="s">
        <v>25</v>
      </c>
      <c r="N3635" s="18" t="s">
        <v>26</v>
      </c>
    </row>
    <row r="3636" spans="1:14" ht="15" customHeight="1" x14ac:dyDescent="0.3">
      <c r="A3636" s="18" t="s">
        <v>7103</v>
      </c>
      <c r="B3636" s="19" t="s">
        <v>15</v>
      </c>
      <c r="C3636" s="18" t="s">
        <v>1982</v>
      </c>
      <c r="D3636" s="18" t="s">
        <v>17</v>
      </c>
      <c r="E3636" s="18" t="s">
        <v>74</v>
      </c>
      <c r="F3636" s="18" t="s">
        <v>7225</v>
      </c>
      <c r="G3636" s="18" t="s">
        <v>76</v>
      </c>
      <c r="H3636" s="18" t="s">
        <v>6190</v>
      </c>
      <c r="I3636" s="20" t="s">
        <v>7226</v>
      </c>
      <c r="J3636" s="18" t="s">
        <v>440</v>
      </c>
      <c r="K3636" s="18" t="s">
        <v>24</v>
      </c>
      <c r="L3636" s="18" t="s">
        <v>25</v>
      </c>
      <c r="N3636" s="18" t="s">
        <v>154</v>
      </c>
    </row>
    <row r="3637" spans="1:14" ht="15" customHeight="1" x14ac:dyDescent="0.3">
      <c r="A3637" s="18" t="s">
        <v>7103</v>
      </c>
      <c r="B3637" s="19" t="s">
        <v>15</v>
      </c>
      <c r="C3637" s="18" t="s">
        <v>1982</v>
      </c>
      <c r="D3637" s="18" t="s">
        <v>17</v>
      </c>
      <c r="E3637" s="18" t="s">
        <v>74</v>
      </c>
      <c r="F3637" s="18" t="s">
        <v>7227</v>
      </c>
      <c r="G3637" s="18" t="s">
        <v>41</v>
      </c>
      <c r="H3637" s="18" t="s">
        <v>7175</v>
      </c>
      <c r="I3637" s="20" t="s">
        <v>7228</v>
      </c>
      <c r="J3637" s="18" t="s">
        <v>7177</v>
      </c>
      <c r="K3637" s="18" t="s">
        <v>24</v>
      </c>
      <c r="L3637" s="18" t="s">
        <v>25</v>
      </c>
      <c r="N3637" s="18" t="s">
        <v>154</v>
      </c>
    </row>
    <row r="3638" spans="1:14" ht="15" customHeight="1" x14ac:dyDescent="0.3">
      <c r="A3638" s="18" t="s">
        <v>7103</v>
      </c>
      <c r="B3638" s="19" t="s">
        <v>15</v>
      </c>
      <c r="C3638" s="18" t="s">
        <v>1982</v>
      </c>
      <c r="D3638" s="18" t="s">
        <v>17</v>
      </c>
      <c r="E3638" s="18" t="s">
        <v>74</v>
      </c>
      <c r="F3638" s="18" t="s">
        <v>1983</v>
      </c>
      <c r="G3638" s="18" t="s">
        <v>381</v>
      </c>
      <c r="H3638" s="18" t="s">
        <v>7202</v>
      </c>
      <c r="I3638" s="20" t="s">
        <v>7229</v>
      </c>
      <c r="J3638" s="18" t="s">
        <v>7230</v>
      </c>
      <c r="K3638" s="18" t="s">
        <v>24</v>
      </c>
      <c r="L3638" s="18" t="s">
        <v>25</v>
      </c>
      <c r="N3638" s="18" t="s">
        <v>154</v>
      </c>
    </row>
    <row r="3639" spans="1:14" ht="15" customHeight="1" x14ac:dyDescent="0.3">
      <c r="A3639" s="18" t="s">
        <v>7103</v>
      </c>
      <c r="B3639" s="19" t="s">
        <v>15</v>
      </c>
      <c r="C3639" s="18" t="s">
        <v>210</v>
      </c>
      <c r="D3639" s="18" t="s">
        <v>17</v>
      </c>
      <c r="E3639" s="18" t="s">
        <v>74</v>
      </c>
      <c r="F3639" s="18" t="s">
        <v>7231</v>
      </c>
      <c r="G3639" s="18" t="s">
        <v>564</v>
      </c>
      <c r="H3639" s="18" t="s">
        <v>7223</v>
      </c>
      <c r="I3639" s="20" t="s">
        <v>7232</v>
      </c>
      <c r="J3639" s="18" t="s">
        <v>7177</v>
      </c>
      <c r="K3639" s="18" t="s">
        <v>24</v>
      </c>
      <c r="L3639" s="18" t="s">
        <v>25</v>
      </c>
      <c r="N3639" s="18" t="s">
        <v>26</v>
      </c>
    </row>
    <row r="3640" spans="1:14" ht="15" customHeight="1" x14ac:dyDescent="0.3">
      <c r="A3640" s="18" t="s">
        <v>7103</v>
      </c>
      <c r="B3640" s="19" t="s">
        <v>15</v>
      </c>
      <c r="C3640" s="18" t="s">
        <v>210</v>
      </c>
      <c r="D3640" s="18" t="s">
        <v>17</v>
      </c>
      <c r="E3640" s="18" t="s">
        <v>74</v>
      </c>
      <c r="F3640" s="18" t="s">
        <v>7233</v>
      </c>
      <c r="G3640" s="18" t="s">
        <v>212</v>
      </c>
      <c r="H3640" s="18" t="s">
        <v>7171</v>
      </c>
      <c r="I3640" s="20" t="s">
        <v>7234</v>
      </c>
      <c r="J3640" s="18" t="s">
        <v>7177</v>
      </c>
      <c r="K3640" s="18" t="s">
        <v>24</v>
      </c>
      <c r="L3640" s="18" t="s">
        <v>25</v>
      </c>
      <c r="N3640" s="18" t="s">
        <v>26</v>
      </c>
    </row>
    <row r="3641" spans="1:14" ht="15" customHeight="1" x14ac:dyDescent="0.3">
      <c r="A3641" s="18" t="s">
        <v>7103</v>
      </c>
      <c r="B3641" s="19" t="s">
        <v>15</v>
      </c>
      <c r="C3641" s="18" t="s">
        <v>1982</v>
      </c>
      <c r="D3641" s="18" t="s">
        <v>17</v>
      </c>
      <c r="E3641" s="18" t="s">
        <v>74</v>
      </c>
      <c r="F3641" s="18" t="s">
        <v>7235</v>
      </c>
      <c r="G3641" s="18" t="s">
        <v>20</v>
      </c>
      <c r="H3641" s="18" t="s">
        <v>7236</v>
      </c>
      <c r="I3641" s="20" t="s">
        <v>7237</v>
      </c>
      <c r="J3641" s="18" t="s">
        <v>440</v>
      </c>
      <c r="K3641" s="18" t="s">
        <v>24</v>
      </c>
      <c r="L3641" s="18" t="s">
        <v>25</v>
      </c>
      <c r="N3641" s="18" t="s">
        <v>154</v>
      </c>
    </row>
    <row r="3642" spans="1:14" ht="15" customHeight="1" x14ac:dyDescent="0.3">
      <c r="A3642" s="18" t="s">
        <v>7103</v>
      </c>
      <c r="B3642" s="19" t="s">
        <v>15</v>
      </c>
      <c r="C3642" s="18" t="s">
        <v>1982</v>
      </c>
      <c r="D3642" s="18" t="s">
        <v>17</v>
      </c>
      <c r="E3642" s="18" t="s">
        <v>226</v>
      </c>
      <c r="F3642" s="18" t="s">
        <v>7238</v>
      </c>
      <c r="G3642" s="18" t="s">
        <v>41</v>
      </c>
      <c r="H3642" s="18" t="s">
        <v>4119</v>
      </c>
      <c r="I3642" s="20" t="s">
        <v>7239</v>
      </c>
      <c r="J3642" s="18" t="s">
        <v>440</v>
      </c>
      <c r="K3642" s="18" t="s">
        <v>293</v>
      </c>
      <c r="L3642" s="18" t="s">
        <v>25</v>
      </c>
      <c r="N3642" s="18" t="s">
        <v>154</v>
      </c>
    </row>
    <row r="3643" spans="1:14" ht="15" customHeight="1" x14ac:dyDescent="0.3">
      <c r="A3643" s="18" t="s">
        <v>7103</v>
      </c>
      <c r="B3643" s="19" t="s">
        <v>15</v>
      </c>
      <c r="C3643" s="18" t="s">
        <v>1982</v>
      </c>
      <c r="D3643" s="18" t="s">
        <v>17</v>
      </c>
      <c r="E3643" s="18" t="s">
        <v>226</v>
      </c>
      <c r="F3643" s="18" t="s">
        <v>7240</v>
      </c>
      <c r="G3643" s="18" t="s">
        <v>41</v>
      </c>
      <c r="H3643" s="18" t="s">
        <v>7202</v>
      </c>
      <c r="I3643" s="20" t="s">
        <v>7241</v>
      </c>
      <c r="J3643" s="18" t="s">
        <v>449</v>
      </c>
      <c r="K3643" s="18" t="s">
        <v>24</v>
      </c>
      <c r="L3643" s="18" t="s">
        <v>25</v>
      </c>
      <c r="N3643" s="18" t="s">
        <v>154</v>
      </c>
    </row>
    <row r="3644" spans="1:14" ht="15" customHeight="1" x14ac:dyDescent="0.3">
      <c r="A3644" s="18" t="s">
        <v>7103</v>
      </c>
      <c r="B3644" s="19" t="s">
        <v>15</v>
      </c>
      <c r="C3644" s="18" t="s">
        <v>1982</v>
      </c>
      <c r="D3644" s="18" t="s">
        <v>17</v>
      </c>
      <c r="E3644" s="18" t="s">
        <v>226</v>
      </c>
      <c r="F3644" s="18" t="s">
        <v>7242</v>
      </c>
      <c r="G3644" s="18" t="s">
        <v>41</v>
      </c>
      <c r="H3644" s="18" t="s">
        <v>7175</v>
      </c>
      <c r="I3644" s="20" t="s">
        <v>7243</v>
      </c>
      <c r="J3644" s="18" t="s">
        <v>7177</v>
      </c>
      <c r="K3644" s="18" t="s">
        <v>24</v>
      </c>
      <c r="L3644" s="18" t="s">
        <v>25</v>
      </c>
      <c r="N3644" s="18" t="s">
        <v>154</v>
      </c>
    </row>
    <row r="3645" spans="1:14" ht="15" customHeight="1" x14ac:dyDescent="0.3">
      <c r="A3645" s="18" t="s">
        <v>7103</v>
      </c>
      <c r="B3645" s="19" t="s">
        <v>15</v>
      </c>
      <c r="C3645" s="18" t="s">
        <v>1982</v>
      </c>
      <c r="D3645" s="18" t="s">
        <v>17</v>
      </c>
      <c r="E3645" s="18" t="s">
        <v>226</v>
      </c>
      <c r="F3645" s="18" t="s">
        <v>7244</v>
      </c>
      <c r="G3645" s="18" t="s">
        <v>207</v>
      </c>
      <c r="H3645" s="18" t="s">
        <v>7175</v>
      </c>
      <c r="I3645" s="20" t="s">
        <v>7245</v>
      </c>
      <c r="J3645" s="18" t="s">
        <v>7177</v>
      </c>
      <c r="K3645" s="18" t="s">
        <v>24</v>
      </c>
      <c r="L3645" s="18" t="s">
        <v>25</v>
      </c>
      <c r="N3645" s="18" t="s">
        <v>154</v>
      </c>
    </row>
    <row r="3646" spans="1:14" ht="15" customHeight="1" x14ac:dyDescent="0.3">
      <c r="A3646" s="18" t="s">
        <v>7103</v>
      </c>
      <c r="B3646" s="19" t="s">
        <v>15</v>
      </c>
      <c r="C3646" s="18" t="s">
        <v>1982</v>
      </c>
      <c r="D3646" s="18" t="s">
        <v>17</v>
      </c>
      <c r="E3646" s="18" t="s">
        <v>226</v>
      </c>
      <c r="F3646" s="18" t="s">
        <v>7246</v>
      </c>
      <c r="G3646" s="18" t="s">
        <v>63</v>
      </c>
      <c r="H3646" s="18" t="s">
        <v>7247</v>
      </c>
      <c r="I3646" s="20" t="s">
        <v>7248</v>
      </c>
      <c r="J3646" s="18" t="s">
        <v>7249</v>
      </c>
      <c r="K3646" s="18" t="s">
        <v>24</v>
      </c>
      <c r="L3646" s="18" t="s">
        <v>25</v>
      </c>
      <c r="N3646" s="18" t="s">
        <v>154</v>
      </c>
    </row>
    <row r="3647" spans="1:14" ht="15" customHeight="1" x14ac:dyDescent="0.3">
      <c r="A3647" s="18" t="s">
        <v>7250</v>
      </c>
      <c r="B3647" s="19" t="s">
        <v>15</v>
      </c>
      <c r="C3647" s="18" t="s">
        <v>210</v>
      </c>
      <c r="D3647" s="18" t="s">
        <v>17</v>
      </c>
      <c r="E3647" s="18" t="s">
        <v>18</v>
      </c>
      <c r="F3647" s="18" t="s">
        <v>7251</v>
      </c>
      <c r="G3647" s="18" t="s">
        <v>1291</v>
      </c>
      <c r="H3647" s="18" t="s">
        <v>7252</v>
      </c>
      <c r="I3647" s="20" t="s">
        <v>7253</v>
      </c>
      <c r="J3647" s="18" t="s">
        <v>30</v>
      </c>
      <c r="K3647" s="18" t="s">
        <v>24</v>
      </c>
      <c r="L3647" s="18" t="s">
        <v>25</v>
      </c>
      <c r="N3647" s="18" t="s">
        <v>26</v>
      </c>
    </row>
    <row r="3648" spans="1:14" ht="15" customHeight="1" x14ac:dyDescent="0.3">
      <c r="A3648" s="18" t="s">
        <v>7250</v>
      </c>
      <c r="B3648" s="19" t="s">
        <v>15</v>
      </c>
      <c r="C3648" s="18" t="s">
        <v>149</v>
      </c>
      <c r="D3648" s="18" t="s">
        <v>17</v>
      </c>
      <c r="E3648" s="18" t="s">
        <v>18</v>
      </c>
      <c r="F3648" s="18" t="s">
        <v>7254</v>
      </c>
      <c r="G3648" s="18" t="s">
        <v>1211</v>
      </c>
      <c r="H3648" s="18" t="s">
        <v>7255</v>
      </c>
      <c r="I3648" s="20" t="s">
        <v>7256</v>
      </c>
      <c r="J3648" s="18" t="s">
        <v>30</v>
      </c>
      <c r="K3648" s="18" t="s">
        <v>24</v>
      </c>
      <c r="L3648" s="18" t="s">
        <v>25</v>
      </c>
      <c r="N3648" s="18" t="s">
        <v>154</v>
      </c>
    </row>
    <row r="3649" spans="1:14" ht="15" customHeight="1" x14ac:dyDescent="0.3">
      <c r="A3649" s="18" t="s">
        <v>7250</v>
      </c>
      <c r="B3649" s="19" t="s">
        <v>15</v>
      </c>
      <c r="C3649" s="18" t="s">
        <v>210</v>
      </c>
      <c r="D3649" s="18" t="s">
        <v>17</v>
      </c>
      <c r="E3649" s="18" t="s">
        <v>18</v>
      </c>
      <c r="F3649" s="18" t="s">
        <v>7257</v>
      </c>
      <c r="G3649" s="18" t="s">
        <v>151</v>
      </c>
      <c r="H3649" s="18" t="s">
        <v>7252</v>
      </c>
      <c r="I3649" s="20" t="s">
        <v>7258</v>
      </c>
      <c r="J3649" s="18" t="s">
        <v>30</v>
      </c>
      <c r="K3649" s="18" t="s">
        <v>24</v>
      </c>
      <c r="L3649" s="18" t="s">
        <v>25</v>
      </c>
      <c r="N3649" s="18" t="s">
        <v>26</v>
      </c>
    </row>
    <row r="3650" spans="1:14" ht="15" customHeight="1" x14ac:dyDescent="0.3">
      <c r="A3650" s="18" t="s">
        <v>7250</v>
      </c>
      <c r="B3650" s="19" t="s">
        <v>15</v>
      </c>
      <c r="C3650" s="18" t="s">
        <v>210</v>
      </c>
      <c r="D3650" s="18" t="s">
        <v>17</v>
      </c>
      <c r="E3650" s="18" t="s">
        <v>18</v>
      </c>
      <c r="F3650" s="18" t="s">
        <v>7259</v>
      </c>
      <c r="G3650" s="18" t="s">
        <v>606</v>
      </c>
      <c r="H3650" s="18" t="s">
        <v>7252</v>
      </c>
      <c r="I3650" s="20" t="s">
        <v>7260</v>
      </c>
      <c r="J3650" s="18" t="s">
        <v>30</v>
      </c>
      <c r="K3650" s="18" t="s">
        <v>24</v>
      </c>
      <c r="L3650" s="18" t="s">
        <v>25</v>
      </c>
      <c r="N3650" s="18" t="s">
        <v>26</v>
      </c>
    </row>
    <row r="3651" spans="1:14" ht="15" customHeight="1" x14ac:dyDescent="0.3">
      <c r="A3651" s="18" t="s">
        <v>7250</v>
      </c>
      <c r="B3651" s="19" t="s">
        <v>15</v>
      </c>
      <c r="C3651" s="18" t="s">
        <v>210</v>
      </c>
      <c r="D3651" s="18" t="s">
        <v>17</v>
      </c>
      <c r="E3651" s="18" t="s">
        <v>18</v>
      </c>
      <c r="F3651" s="18" t="s">
        <v>1518</v>
      </c>
      <c r="G3651" s="18" t="s">
        <v>606</v>
      </c>
      <c r="H3651" s="18" t="s">
        <v>7261</v>
      </c>
      <c r="I3651" s="20" t="s">
        <v>7262</v>
      </c>
      <c r="J3651" s="18" t="s">
        <v>30</v>
      </c>
      <c r="K3651" s="18" t="s">
        <v>24</v>
      </c>
      <c r="L3651" s="18" t="s">
        <v>25</v>
      </c>
      <c r="N3651" s="18" t="s">
        <v>26</v>
      </c>
    </row>
    <row r="3652" spans="1:14" ht="15" customHeight="1" x14ac:dyDescent="0.3">
      <c r="A3652" s="18" t="s">
        <v>7250</v>
      </c>
      <c r="B3652" s="19" t="s">
        <v>15</v>
      </c>
      <c r="C3652" s="18" t="s">
        <v>210</v>
      </c>
      <c r="D3652" s="18" t="s">
        <v>17</v>
      </c>
      <c r="E3652" s="18" t="s">
        <v>18</v>
      </c>
      <c r="F3652" s="18" t="s">
        <v>7263</v>
      </c>
      <c r="G3652" s="18" t="s">
        <v>606</v>
      </c>
      <c r="H3652" s="18" t="s">
        <v>7252</v>
      </c>
      <c r="I3652" s="20" t="s">
        <v>7264</v>
      </c>
      <c r="J3652" s="18" t="s">
        <v>30</v>
      </c>
      <c r="K3652" s="18" t="s">
        <v>24</v>
      </c>
      <c r="L3652" s="18" t="s">
        <v>25</v>
      </c>
      <c r="N3652" s="18" t="s">
        <v>26</v>
      </c>
    </row>
    <row r="3653" spans="1:14" ht="15" customHeight="1" x14ac:dyDescent="0.3">
      <c r="A3653" s="18" t="s">
        <v>7250</v>
      </c>
      <c r="B3653" s="19" t="s">
        <v>15</v>
      </c>
      <c r="C3653" s="18" t="s">
        <v>210</v>
      </c>
      <c r="D3653" s="18" t="s">
        <v>17</v>
      </c>
      <c r="E3653" s="18" t="s">
        <v>18</v>
      </c>
      <c r="F3653" s="18" t="s">
        <v>7265</v>
      </c>
      <c r="G3653" s="18" t="s">
        <v>606</v>
      </c>
      <c r="H3653" s="18" t="s">
        <v>7261</v>
      </c>
      <c r="I3653" s="20" t="s">
        <v>7266</v>
      </c>
      <c r="J3653" s="18" t="s">
        <v>30</v>
      </c>
      <c r="K3653" s="18" t="s">
        <v>24</v>
      </c>
      <c r="L3653" s="18" t="s">
        <v>25</v>
      </c>
      <c r="N3653" s="18" t="s">
        <v>26</v>
      </c>
    </row>
    <row r="3654" spans="1:14" ht="15" customHeight="1" x14ac:dyDescent="0.3">
      <c r="A3654" s="18" t="s">
        <v>7250</v>
      </c>
      <c r="B3654" s="19" t="s">
        <v>15</v>
      </c>
      <c r="C3654" s="18" t="s">
        <v>210</v>
      </c>
      <c r="D3654" s="18" t="s">
        <v>17</v>
      </c>
      <c r="E3654" s="18" t="s">
        <v>18</v>
      </c>
      <c r="F3654" s="18" t="s">
        <v>2743</v>
      </c>
      <c r="G3654" s="18" t="s">
        <v>606</v>
      </c>
      <c r="H3654" s="18" t="s">
        <v>7261</v>
      </c>
      <c r="I3654" s="20" t="s">
        <v>7267</v>
      </c>
      <c r="J3654" s="18" t="s">
        <v>30</v>
      </c>
      <c r="K3654" s="18" t="s">
        <v>24</v>
      </c>
      <c r="L3654" s="18" t="s">
        <v>25</v>
      </c>
      <c r="N3654" s="18" t="s">
        <v>26</v>
      </c>
    </row>
    <row r="3655" spans="1:14" ht="15" customHeight="1" x14ac:dyDescent="0.3">
      <c r="A3655" s="18" t="s">
        <v>7250</v>
      </c>
      <c r="B3655" s="19" t="s">
        <v>15</v>
      </c>
      <c r="C3655" s="18" t="s">
        <v>210</v>
      </c>
      <c r="D3655" s="18" t="s">
        <v>17</v>
      </c>
      <c r="E3655" s="18" t="s">
        <v>18</v>
      </c>
      <c r="F3655" s="18" t="s">
        <v>7268</v>
      </c>
      <c r="G3655" s="18" t="s">
        <v>1291</v>
      </c>
      <c r="H3655" s="18" t="s">
        <v>7269</v>
      </c>
      <c r="I3655" s="20" t="s">
        <v>7270</v>
      </c>
      <c r="J3655" s="18" t="s">
        <v>30</v>
      </c>
      <c r="K3655" s="18" t="s">
        <v>24</v>
      </c>
      <c r="L3655" s="18" t="s">
        <v>25</v>
      </c>
      <c r="N3655" s="18" t="s">
        <v>26</v>
      </c>
    </row>
    <row r="3656" spans="1:14" ht="15" customHeight="1" x14ac:dyDescent="0.3">
      <c r="A3656" s="18" t="s">
        <v>7250</v>
      </c>
      <c r="B3656" s="19" t="s">
        <v>15</v>
      </c>
      <c r="C3656" s="18" t="s">
        <v>210</v>
      </c>
      <c r="D3656" s="18" t="s">
        <v>17</v>
      </c>
      <c r="E3656" s="18" t="s">
        <v>18</v>
      </c>
      <c r="F3656" s="18" t="s">
        <v>7271</v>
      </c>
      <c r="G3656" s="18" t="s">
        <v>1291</v>
      </c>
      <c r="H3656" s="18" t="s">
        <v>7272</v>
      </c>
      <c r="I3656" s="20" t="s">
        <v>7273</v>
      </c>
      <c r="J3656" s="18" t="s">
        <v>30</v>
      </c>
      <c r="K3656" s="18" t="s">
        <v>24</v>
      </c>
      <c r="L3656" s="18" t="s">
        <v>25</v>
      </c>
      <c r="N3656" s="18" t="s">
        <v>26</v>
      </c>
    </row>
    <row r="3657" spans="1:14" ht="15" customHeight="1" x14ac:dyDescent="0.3">
      <c r="A3657" s="18" t="s">
        <v>7250</v>
      </c>
      <c r="B3657" s="19" t="s">
        <v>15</v>
      </c>
      <c r="C3657" s="18" t="s">
        <v>149</v>
      </c>
      <c r="D3657" s="18" t="s">
        <v>17</v>
      </c>
      <c r="E3657" s="18" t="s">
        <v>18</v>
      </c>
      <c r="F3657" s="18" t="s">
        <v>7274</v>
      </c>
      <c r="G3657" s="18" t="s">
        <v>263</v>
      </c>
      <c r="H3657" s="18" t="s">
        <v>7255</v>
      </c>
      <c r="I3657" s="20" t="s">
        <v>7275</v>
      </c>
      <c r="J3657" s="18" t="s">
        <v>30</v>
      </c>
      <c r="K3657" s="18" t="s">
        <v>24</v>
      </c>
      <c r="L3657" s="18" t="s">
        <v>25</v>
      </c>
      <c r="M3657" s="18" t="s">
        <v>39</v>
      </c>
      <c r="N3657" s="18" t="s">
        <v>154</v>
      </c>
    </row>
    <row r="3658" spans="1:14" ht="15" customHeight="1" x14ac:dyDescent="0.3">
      <c r="A3658" s="18" t="s">
        <v>7250</v>
      </c>
      <c r="B3658" s="19" t="s">
        <v>15</v>
      </c>
      <c r="C3658" s="18" t="s">
        <v>210</v>
      </c>
      <c r="D3658" s="18" t="s">
        <v>17</v>
      </c>
      <c r="E3658" s="18" t="s">
        <v>18</v>
      </c>
      <c r="F3658" s="18" t="s">
        <v>6391</v>
      </c>
      <c r="G3658" s="18" t="s">
        <v>1059</v>
      </c>
      <c r="H3658" s="18" t="s">
        <v>7276</v>
      </c>
      <c r="I3658" s="20" t="s">
        <v>7277</v>
      </c>
      <c r="J3658" s="18" t="s">
        <v>30</v>
      </c>
      <c r="K3658" s="18" t="s">
        <v>24</v>
      </c>
      <c r="L3658" s="18" t="s">
        <v>25</v>
      </c>
      <c r="N3658" s="18" t="s">
        <v>26</v>
      </c>
    </row>
    <row r="3659" spans="1:14" ht="15" customHeight="1" x14ac:dyDescent="0.3">
      <c r="A3659" s="18" t="s">
        <v>7250</v>
      </c>
      <c r="B3659" s="19" t="s">
        <v>15</v>
      </c>
      <c r="C3659" s="18" t="s">
        <v>210</v>
      </c>
      <c r="D3659" s="18" t="s">
        <v>17</v>
      </c>
      <c r="E3659" s="18" t="s">
        <v>18</v>
      </c>
      <c r="F3659" s="18" t="s">
        <v>7278</v>
      </c>
      <c r="G3659" s="18" t="s">
        <v>47</v>
      </c>
      <c r="H3659" s="18" t="s">
        <v>7279</v>
      </c>
      <c r="I3659" s="20" t="s">
        <v>7280</v>
      </c>
      <c r="J3659" s="18" t="s">
        <v>30</v>
      </c>
      <c r="K3659" s="18" t="s">
        <v>24</v>
      </c>
      <c r="L3659" s="18" t="s">
        <v>25</v>
      </c>
      <c r="N3659" s="18" t="s">
        <v>26</v>
      </c>
    </row>
    <row r="3660" spans="1:14" ht="15" customHeight="1" x14ac:dyDescent="0.3">
      <c r="A3660" s="18" t="s">
        <v>7250</v>
      </c>
      <c r="B3660" s="19" t="s">
        <v>15</v>
      </c>
      <c r="C3660" s="18" t="s">
        <v>210</v>
      </c>
      <c r="D3660" s="18" t="s">
        <v>17</v>
      </c>
      <c r="E3660" s="18" t="s">
        <v>18</v>
      </c>
      <c r="F3660" s="18" t="s">
        <v>7281</v>
      </c>
      <c r="G3660" s="18" t="s">
        <v>47</v>
      </c>
      <c r="H3660" s="18" t="s">
        <v>7279</v>
      </c>
      <c r="I3660" s="20" t="s">
        <v>7282</v>
      </c>
      <c r="J3660" s="18" t="s">
        <v>30</v>
      </c>
      <c r="K3660" s="18" t="s">
        <v>24</v>
      </c>
      <c r="L3660" s="18" t="s">
        <v>25</v>
      </c>
      <c r="N3660" s="18" t="s">
        <v>26</v>
      </c>
    </row>
    <row r="3661" spans="1:14" ht="15" customHeight="1" x14ac:dyDescent="0.3">
      <c r="A3661" s="18" t="s">
        <v>7250</v>
      </c>
      <c r="B3661" s="19" t="s">
        <v>15</v>
      </c>
      <c r="C3661" s="18" t="s">
        <v>210</v>
      </c>
      <c r="D3661" s="18" t="s">
        <v>17</v>
      </c>
      <c r="E3661" s="18" t="s">
        <v>18</v>
      </c>
      <c r="F3661" s="18" t="s">
        <v>7283</v>
      </c>
      <c r="G3661" s="18" t="s">
        <v>1291</v>
      </c>
      <c r="H3661" s="18" t="s">
        <v>7252</v>
      </c>
      <c r="I3661" s="20" t="s">
        <v>7284</v>
      </c>
      <c r="J3661" s="18" t="s">
        <v>30</v>
      </c>
      <c r="K3661" s="18" t="s">
        <v>24</v>
      </c>
      <c r="L3661" s="18" t="s">
        <v>25</v>
      </c>
      <c r="N3661" s="18" t="s">
        <v>26</v>
      </c>
    </row>
    <row r="3662" spans="1:14" ht="15" customHeight="1" x14ac:dyDescent="0.3">
      <c r="A3662" s="18" t="s">
        <v>7250</v>
      </c>
      <c r="B3662" s="19" t="s">
        <v>15</v>
      </c>
      <c r="C3662" s="18" t="s">
        <v>210</v>
      </c>
      <c r="D3662" s="18" t="s">
        <v>17</v>
      </c>
      <c r="E3662" s="18" t="s">
        <v>18</v>
      </c>
      <c r="F3662" s="18" t="s">
        <v>6324</v>
      </c>
      <c r="G3662" s="18" t="s">
        <v>1340</v>
      </c>
      <c r="H3662" s="18" t="s">
        <v>7285</v>
      </c>
      <c r="I3662" s="20" t="s">
        <v>7286</v>
      </c>
      <c r="J3662" s="18" t="s">
        <v>30</v>
      </c>
      <c r="K3662" s="18" t="s">
        <v>24</v>
      </c>
      <c r="L3662" s="18" t="s">
        <v>25</v>
      </c>
      <c r="N3662" s="18" t="s">
        <v>26</v>
      </c>
    </row>
    <row r="3663" spans="1:14" ht="15" customHeight="1" x14ac:dyDescent="0.3">
      <c r="A3663" s="18" t="s">
        <v>7250</v>
      </c>
      <c r="B3663" s="19" t="s">
        <v>15</v>
      </c>
      <c r="C3663" s="18" t="s">
        <v>149</v>
      </c>
      <c r="D3663" s="18" t="s">
        <v>17</v>
      </c>
      <c r="E3663" s="18" t="s">
        <v>18</v>
      </c>
      <c r="F3663" s="18" t="s">
        <v>273</v>
      </c>
      <c r="G3663" s="18" t="s">
        <v>47</v>
      </c>
      <c r="H3663" s="18" t="s">
        <v>7255</v>
      </c>
      <c r="I3663" s="20" t="s">
        <v>7287</v>
      </c>
      <c r="J3663" s="18" t="s">
        <v>30</v>
      </c>
      <c r="K3663" s="18" t="s">
        <v>24</v>
      </c>
      <c r="L3663" s="18" t="s">
        <v>25</v>
      </c>
      <c r="N3663" s="18" t="s">
        <v>154</v>
      </c>
    </row>
    <row r="3664" spans="1:14" ht="15" customHeight="1" x14ac:dyDescent="0.3">
      <c r="A3664" s="18" t="s">
        <v>7250</v>
      </c>
      <c r="B3664" s="19" t="s">
        <v>15</v>
      </c>
      <c r="C3664" s="18" t="s">
        <v>210</v>
      </c>
      <c r="D3664" s="18" t="s">
        <v>17</v>
      </c>
      <c r="E3664" s="18" t="s">
        <v>18</v>
      </c>
      <c r="F3664" s="18" t="s">
        <v>7288</v>
      </c>
      <c r="G3664" s="18" t="s">
        <v>273</v>
      </c>
      <c r="H3664" s="18" t="s">
        <v>1056</v>
      </c>
      <c r="I3664" s="20" t="s">
        <v>7289</v>
      </c>
      <c r="J3664" s="18" t="s">
        <v>30</v>
      </c>
      <c r="K3664" s="18" t="s">
        <v>24</v>
      </c>
      <c r="L3664" s="18" t="s">
        <v>25</v>
      </c>
      <c r="N3664" s="18" t="s">
        <v>26</v>
      </c>
    </row>
    <row r="3665" spans="1:14" ht="15" customHeight="1" x14ac:dyDescent="0.3">
      <c r="A3665" s="18" t="s">
        <v>7250</v>
      </c>
      <c r="B3665" s="19" t="s">
        <v>15</v>
      </c>
      <c r="C3665" s="18" t="s">
        <v>149</v>
      </c>
      <c r="D3665" s="18" t="s">
        <v>17</v>
      </c>
      <c r="E3665" s="18" t="s">
        <v>18</v>
      </c>
      <c r="F3665" s="18" t="s">
        <v>7290</v>
      </c>
      <c r="G3665" s="18" t="s">
        <v>1254</v>
      </c>
      <c r="H3665" s="18" t="s">
        <v>7255</v>
      </c>
      <c r="I3665" s="20" t="s">
        <v>7291</v>
      </c>
      <c r="J3665" s="18" t="s">
        <v>30</v>
      </c>
      <c r="K3665" s="18" t="s">
        <v>24</v>
      </c>
      <c r="L3665" s="18" t="s">
        <v>25</v>
      </c>
      <c r="M3665" s="18" t="s">
        <v>39</v>
      </c>
      <c r="N3665" s="18" t="s">
        <v>154</v>
      </c>
    </row>
    <row r="3666" spans="1:14" ht="15" customHeight="1" x14ac:dyDescent="0.3">
      <c r="A3666" s="18" t="s">
        <v>7250</v>
      </c>
      <c r="B3666" s="19" t="s">
        <v>15</v>
      </c>
      <c r="C3666" s="18" t="s">
        <v>210</v>
      </c>
      <c r="D3666" s="18" t="s">
        <v>17</v>
      </c>
      <c r="E3666" s="18" t="s">
        <v>18</v>
      </c>
      <c r="F3666" s="18" t="s">
        <v>19</v>
      </c>
      <c r="G3666" s="18" t="s">
        <v>19</v>
      </c>
      <c r="H3666" s="18" t="s">
        <v>7261</v>
      </c>
      <c r="I3666" s="20" t="s">
        <v>7292</v>
      </c>
      <c r="J3666" s="18" t="s">
        <v>23</v>
      </c>
      <c r="K3666" s="18" t="s">
        <v>24</v>
      </c>
      <c r="L3666" s="18" t="s">
        <v>25</v>
      </c>
      <c r="N3666" s="18" t="s">
        <v>26</v>
      </c>
    </row>
    <row r="3667" spans="1:14" ht="15" customHeight="1" x14ac:dyDescent="0.3">
      <c r="A3667" s="18" t="s">
        <v>7250</v>
      </c>
      <c r="B3667" s="19" t="s">
        <v>15</v>
      </c>
      <c r="C3667" s="18" t="s">
        <v>210</v>
      </c>
      <c r="D3667" s="18" t="s">
        <v>17</v>
      </c>
      <c r="E3667" s="18" t="s">
        <v>18</v>
      </c>
      <c r="F3667" s="18" t="s">
        <v>5780</v>
      </c>
      <c r="G3667" s="18" t="s">
        <v>47</v>
      </c>
      <c r="H3667" s="18" t="s">
        <v>7279</v>
      </c>
      <c r="I3667" s="20" t="s">
        <v>7293</v>
      </c>
      <c r="J3667" s="18" t="s">
        <v>30</v>
      </c>
      <c r="K3667" s="18" t="s">
        <v>24</v>
      </c>
      <c r="L3667" s="18" t="s">
        <v>25</v>
      </c>
      <c r="N3667" s="18" t="s">
        <v>26</v>
      </c>
    </row>
    <row r="3668" spans="1:14" ht="15" customHeight="1" x14ac:dyDescent="0.3">
      <c r="A3668" s="18" t="s">
        <v>7250</v>
      </c>
      <c r="B3668" s="19" t="s">
        <v>15</v>
      </c>
      <c r="C3668" s="18" t="s">
        <v>149</v>
      </c>
      <c r="D3668" s="18" t="s">
        <v>17</v>
      </c>
      <c r="E3668" s="18" t="s">
        <v>18</v>
      </c>
      <c r="F3668" s="18" t="s">
        <v>4847</v>
      </c>
      <c r="G3668" s="18" t="s">
        <v>47</v>
      </c>
      <c r="H3668" s="18" t="s">
        <v>7255</v>
      </c>
      <c r="I3668" s="20" t="s">
        <v>7294</v>
      </c>
      <c r="J3668" s="18" t="s">
        <v>30</v>
      </c>
      <c r="K3668" s="18" t="s">
        <v>24</v>
      </c>
      <c r="L3668" s="18" t="s">
        <v>25</v>
      </c>
      <c r="N3668" s="18" t="s">
        <v>154</v>
      </c>
    </row>
    <row r="3669" spans="1:14" ht="15" customHeight="1" x14ac:dyDescent="0.3">
      <c r="A3669" s="18" t="s">
        <v>7250</v>
      </c>
      <c r="B3669" s="19" t="s">
        <v>15</v>
      </c>
      <c r="C3669" s="18" t="s">
        <v>210</v>
      </c>
      <c r="D3669" s="18" t="s">
        <v>17</v>
      </c>
      <c r="E3669" s="18" t="s">
        <v>18</v>
      </c>
      <c r="F3669" s="18" t="s">
        <v>7295</v>
      </c>
      <c r="G3669" s="18" t="s">
        <v>207</v>
      </c>
      <c r="H3669" s="18" t="s">
        <v>7285</v>
      </c>
      <c r="I3669" s="20" t="s">
        <v>7296</v>
      </c>
      <c r="J3669" s="18" t="s">
        <v>30</v>
      </c>
      <c r="K3669" s="18" t="s">
        <v>24</v>
      </c>
      <c r="L3669" s="18" t="s">
        <v>25</v>
      </c>
      <c r="N3669" s="18" t="s">
        <v>26</v>
      </c>
    </row>
    <row r="3670" spans="1:14" ht="15" customHeight="1" x14ac:dyDescent="0.3">
      <c r="A3670" s="18" t="s">
        <v>7250</v>
      </c>
      <c r="B3670" s="19" t="s">
        <v>15</v>
      </c>
      <c r="C3670" s="18" t="s">
        <v>149</v>
      </c>
      <c r="D3670" s="18" t="s">
        <v>17</v>
      </c>
      <c r="E3670" s="18" t="s">
        <v>18</v>
      </c>
      <c r="F3670" s="18" t="s">
        <v>6839</v>
      </c>
      <c r="G3670" s="18" t="s">
        <v>1059</v>
      </c>
      <c r="H3670" s="18" t="s">
        <v>7255</v>
      </c>
      <c r="I3670" s="20" t="s">
        <v>7297</v>
      </c>
      <c r="J3670" s="18" t="s">
        <v>30</v>
      </c>
      <c r="K3670" s="18" t="s">
        <v>24</v>
      </c>
      <c r="L3670" s="18" t="s">
        <v>25</v>
      </c>
      <c r="N3670" s="18" t="s">
        <v>154</v>
      </c>
    </row>
    <row r="3671" spans="1:14" ht="15" customHeight="1" x14ac:dyDescent="0.3">
      <c r="A3671" s="18" t="s">
        <v>7250</v>
      </c>
      <c r="B3671" s="19" t="s">
        <v>15</v>
      </c>
      <c r="C3671" s="18" t="s">
        <v>210</v>
      </c>
      <c r="D3671" s="18" t="s">
        <v>17</v>
      </c>
      <c r="E3671" s="18" t="s">
        <v>18</v>
      </c>
      <c r="F3671" s="18" t="s">
        <v>7298</v>
      </c>
      <c r="G3671" s="18" t="s">
        <v>1340</v>
      </c>
      <c r="H3671" s="18" t="s">
        <v>7285</v>
      </c>
      <c r="I3671" s="20" t="s">
        <v>7299</v>
      </c>
      <c r="J3671" s="18" t="s">
        <v>30</v>
      </c>
      <c r="K3671" s="18" t="s">
        <v>24</v>
      </c>
      <c r="L3671" s="18" t="s">
        <v>25</v>
      </c>
      <c r="N3671" s="18" t="s">
        <v>26</v>
      </c>
    </row>
    <row r="3672" spans="1:14" ht="15" customHeight="1" x14ac:dyDescent="0.3">
      <c r="A3672" s="18" t="s">
        <v>7250</v>
      </c>
      <c r="B3672" s="19" t="s">
        <v>15</v>
      </c>
      <c r="C3672" s="18" t="s">
        <v>210</v>
      </c>
      <c r="D3672" s="18" t="s">
        <v>17</v>
      </c>
      <c r="E3672" s="18" t="s">
        <v>18</v>
      </c>
      <c r="F3672" s="18" t="s">
        <v>7300</v>
      </c>
      <c r="G3672" s="18" t="s">
        <v>85</v>
      </c>
      <c r="H3672" s="18" t="s">
        <v>7301</v>
      </c>
      <c r="I3672" s="20" t="s">
        <v>7302</v>
      </c>
      <c r="J3672" s="18" t="s">
        <v>30</v>
      </c>
      <c r="K3672" s="18" t="s">
        <v>24</v>
      </c>
      <c r="L3672" s="18" t="s">
        <v>25</v>
      </c>
      <c r="N3672" s="18" t="s">
        <v>26</v>
      </c>
    </row>
    <row r="3673" spans="1:14" ht="15" customHeight="1" x14ac:dyDescent="0.3">
      <c r="A3673" s="18" t="s">
        <v>7250</v>
      </c>
      <c r="B3673" s="19" t="s">
        <v>15</v>
      </c>
      <c r="C3673" s="18" t="s">
        <v>210</v>
      </c>
      <c r="D3673" s="18" t="s">
        <v>17</v>
      </c>
      <c r="E3673" s="18" t="s">
        <v>18</v>
      </c>
      <c r="F3673" s="18" t="s">
        <v>6768</v>
      </c>
      <c r="G3673" s="18" t="s">
        <v>1055</v>
      </c>
      <c r="H3673" s="18" t="s">
        <v>7272</v>
      </c>
      <c r="I3673" s="20" t="s">
        <v>7303</v>
      </c>
      <c r="J3673" s="18" t="s">
        <v>30</v>
      </c>
      <c r="K3673" s="18" t="s">
        <v>24</v>
      </c>
      <c r="L3673" s="18" t="s">
        <v>25</v>
      </c>
      <c r="N3673" s="18" t="s">
        <v>26</v>
      </c>
    </row>
    <row r="3674" spans="1:14" ht="15" customHeight="1" x14ac:dyDescent="0.3">
      <c r="A3674" s="18" t="s">
        <v>7250</v>
      </c>
      <c r="B3674" s="19" t="s">
        <v>15</v>
      </c>
      <c r="C3674" s="18" t="s">
        <v>210</v>
      </c>
      <c r="D3674" s="18" t="s">
        <v>17</v>
      </c>
      <c r="E3674" s="18" t="s">
        <v>18</v>
      </c>
      <c r="F3674" s="18" t="s">
        <v>7304</v>
      </c>
      <c r="G3674" s="18" t="s">
        <v>7305</v>
      </c>
      <c r="H3674" s="18" t="s">
        <v>7306</v>
      </c>
      <c r="I3674" s="20" t="s">
        <v>7307</v>
      </c>
      <c r="J3674" s="18" t="s">
        <v>30</v>
      </c>
      <c r="K3674" s="18" t="s">
        <v>24</v>
      </c>
      <c r="L3674" s="18" t="s">
        <v>25</v>
      </c>
      <c r="N3674" s="18" t="s">
        <v>26</v>
      </c>
    </row>
    <row r="3675" spans="1:14" ht="15" customHeight="1" x14ac:dyDescent="0.3">
      <c r="A3675" s="18" t="s">
        <v>7250</v>
      </c>
      <c r="B3675" s="19" t="s">
        <v>15</v>
      </c>
      <c r="C3675" s="18" t="s">
        <v>210</v>
      </c>
      <c r="D3675" s="18" t="s">
        <v>17</v>
      </c>
      <c r="E3675" s="18" t="s">
        <v>18</v>
      </c>
      <c r="F3675" s="18" t="s">
        <v>162</v>
      </c>
      <c r="G3675" s="18" t="s">
        <v>28</v>
      </c>
      <c r="H3675" s="18" t="s">
        <v>7269</v>
      </c>
      <c r="I3675" s="20" t="s">
        <v>7308</v>
      </c>
      <c r="J3675" s="18" t="s">
        <v>30</v>
      </c>
      <c r="K3675" s="18" t="s">
        <v>24</v>
      </c>
      <c r="L3675" s="18" t="s">
        <v>25</v>
      </c>
      <c r="N3675" s="18" t="s">
        <v>26</v>
      </c>
    </row>
    <row r="3676" spans="1:14" ht="15" customHeight="1" x14ac:dyDescent="0.3">
      <c r="A3676" s="18" t="s">
        <v>7250</v>
      </c>
      <c r="B3676" s="19" t="s">
        <v>15</v>
      </c>
      <c r="C3676" s="18" t="s">
        <v>210</v>
      </c>
      <c r="D3676" s="18" t="s">
        <v>17</v>
      </c>
      <c r="E3676" s="18" t="s">
        <v>18</v>
      </c>
      <c r="F3676" s="18" t="s">
        <v>7309</v>
      </c>
      <c r="G3676" s="18" t="s">
        <v>28</v>
      </c>
      <c r="H3676" s="18" t="s">
        <v>7310</v>
      </c>
      <c r="I3676" s="20" t="s">
        <v>7311</v>
      </c>
      <c r="J3676" s="18" t="s">
        <v>30</v>
      </c>
      <c r="K3676" s="18" t="s">
        <v>24</v>
      </c>
      <c r="L3676" s="18" t="s">
        <v>25</v>
      </c>
      <c r="N3676" s="18" t="s">
        <v>26</v>
      </c>
    </row>
    <row r="3677" spans="1:14" ht="15" customHeight="1" x14ac:dyDescent="0.3">
      <c r="A3677" s="18" t="s">
        <v>7250</v>
      </c>
      <c r="B3677" s="19" t="s">
        <v>15</v>
      </c>
      <c r="C3677" s="18" t="s">
        <v>210</v>
      </c>
      <c r="D3677" s="18" t="s">
        <v>17</v>
      </c>
      <c r="E3677" s="18" t="s">
        <v>18</v>
      </c>
      <c r="F3677" s="18" t="s">
        <v>619</v>
      </c>
      <c r="G3677" s="18" t="s">
        <v>619</v>
      </c>
      <c r="H3677" s="18" t="s">
        <v>7312</v>
      </c>
      <c r="I3677" s="20" t="s">
        <v>7313</v>
      </c>
      <c r="J3677" s="18" t="s">
        <v>23</v>
      </c>
      <c r="K3677" s="18" t="s">
        <v>24</v>
      </c>
      <c r="L3677" s="18" t="s">
        <v>25</v>
      </c>
      <c r="N3677" s="18" t="s">
        <v>26</v>
      </c>
    </row>
    <row r="3678" spans="1:14" ht="15" customHeight="1" x14ac:dyDescent="0.3">
      <c r="A3678" s="18" t="s">
        <v>7250</v>
      </c>
      <c r="B3678" s="19" t="s">
        <v>15</v>
      </c>
      <c r="C3678" s="18" t="s">
        <v>210</v>
      </c>
      <c r="D3678" s="18" t="s">
        <v>17</v>
      </c>
      <c r="E3678" s="18" t="s">
        <v>18</v>
      </c>
      <c r="F3678" s="18" t="s">
        <v>1069</v>
      </c>
      <c r="G3678" s="18" t="s">
        <v>1069</v>
      </c>
      <c r="H3678" s="18" t="s">
        <v>7301</v>
      </c>
      <c r="I3678" s="20" t="s">
        <v>7314</v>
      </c>
      <c r="J3678" s="18" t="s">
        <v>30</v>
      </c>
      <c r="K3678" s="18" t="s">
        <v>24</v>
      </c>
      <c r="L3678" s="18" t="s">
        <v>25</v>
      </c>
      <c r="N3678" s="18" t="s">
        <v>26</v>
      </c>
    </row>
    <row r="3679" spans="1:14" ht="15" customHeight="1" x14ac:dyDescent="0.3">
      <c r="A3679" s="18" t="s">
        <v>7250</v>
      </c>
      <c r="B3679" s="19" t="s">
        <v>15</v>
      </c>
      <c r="C3679" s="18" t="s">
        <v>210</v>
      </c>
      <c r="D3679" s="18" t="s">
        <v>17</v>
      </c>
      <c r="E3679" s="18" t="s">
        <v>18</v>
      </c>
      <c r="F3679" s="18" t="s">
        <v>7315</v>
      </c>
      <c r="G3679" s="18" t="s">
        <v>1019</v>
      </c>
      <c r="H3679" s="18" t="s">
        <v>7316</v>
      </c>
      <c r="I3679" s="20" t="s">
        <v>7317</v>
      </c>
      <c r="J3679" s="18" t="s">
        <v>30</v>
      </c>
      <c r="K3679" s="18" t="s">
        <v>24</v>
      </c>
      <c r="L3679" s="18" t="s">
        <v>25</v>
      </c>
      <c r="N3679" s="18" t="s">
        <v>26</v>
      </c>
    </row>
    <row r="3680" spans="1:14" ht="15" customHeight="1" x14ac:dyDescent="0.3">
      <c r="A3680" s="18" t="s">
        <v>7250</v>
      </c>
      <c r="B3680" s="19" t="s">
        <v>15</v>
      </c>
      <c r="C3680" s="18" t="s">
        <v>210</v>
      </c>
      <c r="D3680" s="18" t="s">
        <v>17</v>
      </c>
      <c r="E3680" s="18" t="s">
        <v>18</v>
      </c>
      <c r="F3680" s="18" t="s">
        <v>1239</v>
      </c>
      <c r="G3680" s="18" t="s">
        <v>1075</v>
      </c>
      <c r="H3680" s="18" t="s">
        <v>7318</v>
      </c>
      <c r="I3680" s="20" t="s">
        <v>7319</v>
      </c>
      <c r="J3680" s="18" t="s">
        <v>30</v>
      </c>
      <c r="K3680" s="18" t="s">
        <v>24</v>
      </c>
      <c r="L3680" s="18" t="s">
        <v>25</v>
      </c>
      <c r="N3680" s="18" t="s">
        <v>26</v>
      </c>
    </row>
    <row r="3681" spans="1:14" ht="15" customHeight="1" x14ac:dyDescent="0.3">
      <c r="A3681" s="18" t="s">
        <v>7250</v>
      </c>
      <c r="B3681" s="19" t="s">
        <v>15</v>
      </c>
      <c r="C3681" s="18" t="s">
        <v>210</v>
      </c>
      <c r="D3681" s="18" t="s">
        <v>17</v>
      </c>
      <c r="E3681" s="18" t="s">
        <v>18</v>
      </c>
      <c r="F3681" s="18" t="s">
        <v>2373</v>
      </c>
      <c r="G3681" s="18" t="s">
        <v>606</v>
      </c>
      <c r="H3681" s="18" t="s">
        <v>7318</v>
      </c>
      <c r="I3681" s="20" t="s">
        <v>7320</v>
      </c>
      <c r="J3681" s="18" t="s">
        <v>30</v>
      </c>
      <c r="K3681" s="18" t="s">
        <v>24</v>
      </c>
      <c r="L3681" s="18" t="s">
        <v>25</v>
      </c>
      <c r="M3681" s="18" t="s">
        <v>39</v>
      </c>
      <c r="N3681" s="18" t="s">
        <v>26</v>
      </c>
    </row>
    <row r="3682" spans="1:14" ht="15" customHeight="1" x14ac:dyDescent="0.3">
      <c r="A3682" s="18" t="s">
        <v>7250</v>
      </c>
      <c r="B3682" s="19" t="s">
        <v>15</v>
      </c>
      <c r="C3682" s="18" t="s">
        <v>210</v>
      </c>
      <c r="D3682" s="18" t="s">
        <v>17</v>
      </c>
      <c r="E3682" s="18" t="s">
        <v>18</v>
      </c>
      <c r="F3682" s="18" t="s">
        <v>221</v>
      </c>
      <c r="G3682" s="18" t="s">
        <v>212</v>
      </c>
      <c r="H3682" s="18" t="s">
        <v>7318</v>
      </c>
      <c r="I3682" s="20" t="s">
        <v>7321</v>
      </c>
      <c r="J3682" s="18" t="s">
        <v>30</v>
      </c>
      <c r="K3682" s="18" t="s">
        <v>24</v>
      </c>
      <c r="L3682" s="18" t="s">
        <v>25</v>
      </c>
      <c r="N3682" s="18" t="s">
        <v>26</v>
      </c>
    </row>
    <row r="3683" spans="1:14" ht="15" customHeight="1" x14ac:dyDescent="0.3">
      <c r="A3683" s="18" t="s">
        <v>7250</v>
      </c>
      <c r="B3683" s="19" t="s">
        <v>15</v>
      </c>
      <c r="C3683" s="18" t="s">
        <v>149</v>
      </c>
      <c r="D3683" s="18" t="s">
        <v>17</v>
      </c>
      <c r="E3683" s="18" t="s">
        <v>18</v>
      </c>
      <c r="F3683" s="18" t="s">
        <v>7322</v>
      </c>
      <c r="G3683" s="18" t="s">
        <v>85</v>
      </c>
      <c r="H3683" s="18" t="s">
        <v>7255</v>
      </c>
      <c r="I3683" s="20" t="s">
        <v>7323</v>
      </c>
      <c r="J3683" s="18" t="s">
        <v>30</v>
      </c>
      <c r="K3683" s="18" t="s">
        <v>24</v>
      </c>
      <c r="L3683" s="18" t="s">
        <v>25</v>
      </c>
      <c r="N3683" s="18" t="s">
        <v>154</v>
      </c>
    </row>
    <row r="3684" spans="1:14" ht="15" customHeight="1" x14ac:dyDescent="0.3">
      <c r="A3684" s="18" t="s">
        <v>7250</v>
      </c>
      <c r="B3684" s="19" t="s">
        <v>15</v>
      </c>
      <c r="C3684" s="18" t="s">
        <v>210</v>
      </c>
      <c r="D3684" s="18" t="s">
        <v>17</v>
      </c>
      <c r="E3684" s="18" t="s">
        <v>18</v>
      </c>
      <c r="F3684" s="18" t="s">
        <v>1244</v>
      </c>
      <c r="G3684" s="18" t="s">
        <v>1204</v>
      </c>
      <c r="H3684" s="18" t="s">
        <v>7318</v>
      </c>
      <c r="I3684" s="20" t="s">
        <v>7324</v>
      </c>
      <c r="J3684" s="18" t="s">
        <v>30</v>
      </c>
      <c r="K3684" s="18" t="s">
        <v>24</v>
      </c>
      <c r="L3684" s="18" t="s">
        <v>25</v>
      </c>
      <c r="N3684" s="18" t="s">
        <v>26</v>
      </c>
    </row>
    <row r="3685" spans="1:14" ht="15" customHeight="1" x14ac:dyDescent="0.3">
      <c r="A3685" s="18" t="s">
        <v>7250</v>
      </c>
      <c r="B3685" s="19" t="s">
        <v>15</v>
      </c>
      <c r="C3685" s="18" t="s">
        <v>210</v>
      </c>
      <c r="D3685" s="18" t="s">
        <v>17</v>
      </c>
      <c r="E3685" s="18" t="s">
        <v>18</v>
      </c>
      <c r="F3685" s="18" t="s">
        <v>1072</v>
      </c>
      <c r="G3685" s="18" t="s">
        <v>47</v>
      </c>
      <c r="H3685" s="18" t="s">
        <v>7318</v>
      </c>
      <c r="I3685" s="20" t="s">
        <v>7325</v>
      </c>
      <c r="J3685" s="18" t="s">
        <v>30</v>
      </c>
      <c r="K3685" s="18" t="s">
        <v>24</v>
      </c>
      <c r="L3685" s="18" t="s">
        <v>25</v>
      </c>
      <c r="N3685" s="18" t="s">
        <v>26</v>
      </c>
    </row>
    <row r="3686" spans="1:14" ht="15" customHeight="1" x14ac:dyDescent="0.3">
      <c r="A3686" s="18" t="s">
        <v>7250</v>
      </c>
      <c r="B3686" s="19" t="s">
        <v>15</v>
      </c>
      <c r="C3686" s="18" t="s">
        <v>210</v>
      </c>
      <c r="D3686" s="18" t="s">
        <v>17</v>
      </c>
      <c r="E3686" s="18" t="s">
        <v>18</v>
      </c>
      <c r="F3686" s="18" t="s">
        <v>3492</v>
      </c>
      <c r="G3686" s="18" t="s">
        <v>47</v>
      </c>
      <c r="H3686" s="18" t="s">
        <v>7318</v>
      </c>
      <c r="I3686" s="20" t="s">
        <v>7326</v>
      </c>
      <c r="J3686" s="18" t="s">
        <v>30</v>
      </c>
      <c r="K3686" s="18" t="s">
        <v>24</v>
      </c>
      <c r="L3686" s="18" t="s">
        <v>25</v>
      </c>
      <c r="N3686" s="18" t="s">
        <v>26</v>
      </c>
    </row>
    <row r="3687" spans="1:14" ht="15" customHeight="1" x14ac:dyDescent="0.3">
      <c r="A3687" s="18" t="s">
        <v>7250</v>
      </c>
      <c r="B3687" s="19" t="s">
        <v>15</v>
      </c>
      <c r="C3687" s="18" t="s">
        <v>149</v>
      </c>
      <c r="D3687" s="18" t="s">
        <v>17</v>
      </c>
      <c r="E3687" s="18" t="s">
        <v>18</v>
      </c>
      <c r="F3687" s="18" t="s">
        <v>1348</v>
      </c>
      <c r="G3687" s="18" t="s">
        <v>28</v>
      </c>
      <c r="H3687" s="18" t="s">
        <v>7255</v>
      </c>
      <c r="I3687" s="20" t="s">
        <v>7327</v>
      </c>
      <c r="J3687" s="18" t="s">
        <v>30</v>
      </c>
      <c r="K3687" s="18" t="s">
        <v>24</v>
      </c>
      <c r="L3687" s="18" t="s">
        <v>25</v>
      </c>
      <c r="N3687" s="18" t="s">
        <v>154</v>
      </c>
    </row>
    <row r="3688" spans="1:14" ht="15" customHeight="1" x14ac:dyDescent="0.3">
      <c r="A3688" s="18" t="s">
        <v>7250</v>
      </c>
      <c r="B3688" s="19" t="s">
        <v>15</v>
      </c>
      <c r="C3688" s="18" t="s">
        <v>210</v>
      </c>
      <c r="D3688" s="18" t="s">
        <v>17</v>
      </c>
      <c r="E3688" s="18" t="s">
        <v>18</v>
      </c>
      <c r="F3688" s="18" t="s">
        <v>2099</v>
      </c>
      <c r="G3688" s="18" t="s">
        <v>1211</v>
      </c>
      <c r="H3688" s="18" t="s">
        <v>7318</v>
      </c>
      <c r="I3688" s="20" t="s">
        <v>7328</v>
      </c>
      <c r="J3688" s="18" t="s">
        <v>30</v>
      </c>
      <c r="K3688" s="18" t="s">
        <v>24</v>
      </c>
      <c r="L3688" s="18" t="s">
        <v>25</v>
      </c>
      <c r="N3688" s="18" t="s">
        <v>26</v>
      </c>
    </row>
    <row r="3689" spans="1:14" ht="15" customHeight="1" x14ac:dyDescent="0.3">
      <c r="A3689" s="18" t="s">
        <v>7250</v>
      </c>
      <c r="B3689" s="19" t="s">
        <v>15</v>
      </c>
      <c r="C3689" s="18" t="s">
        <v>210</v>
      </c>
      <c r="D3689" s="18" t="s">
        <v>17</v>
      </c>
      <c r="E3689" s="18" t="s">
        <v>18</v>
      </c>
      <c r="F3689" s="18" t="s">
        <v>1253</v>
      </c>
      <c r="G3689" s="18" t="s">
        <v>1254</v>
      </c>
      <c r="H3689" s="18" t="s">
        <v>7329</v>
      </c>
      <c r="I3689" s="20" t="s">
        <v>7330</v>
      </c>
      <c r="J3689" s="18" t="s">
        <v>30</v>
      </c>
      <c r="K3689" s="18" t="s">
        <v>24</v>
      </c>
      <c r="L3689" s="18" t="s">
        <v>25</v>
      </c>
      <c r="N3689" s="18" t="s">
        <v>26</v>
      </c>
    </row>
    <row r="3690" spans="1:14" ht="15" customHeight="1" x14ac:dyDescent="0.3">
      <c r="A3690" s="18" t="s">
        <v>7250</v>
      </c>
      <c r="B3690" s="19" t="s">
        <v>15</v>
      </c>
      <c r="C3690" s="18" t="s">
        <v>210</v>
      </c>
      <c r="D3690" s="18" t="s">
        <v>17</v>
      </c>
      <c r="E3690" s="18" t="s">
        <v>18</v>
      </c>
      <c r="F3690" s="18" t="s">
        <v>7331</v>
      </c>
      <c r="G3690" s="18" t="s">
        <v>1059</v>
      </c>
      <c r="H3690" s="18" t="s">
        <v>1056</v>
      </c>
      <c r="I3690" s="20" t="s">
        <v>7332</v>
      </c>
      <c r="J3690" s="18" t="s">
        <v>30</v>
      </c>
      <c r="K3690" s="18" t="s">
        <v>24</v>
      </c>
      <c r="L3690" s="18" t="s">
        <v>25</v>
      </c>
      <c r="N3690" s="18" t="s">
        <v>26</v>
      </c>
    </row>
    <row r="3691" spans="1:14" ht="15" customHeight="1" x14ac:dyDescent="0.3">
      <c r="A3691" s="18" t="s">
        <v>7250</v>
      </c>
      <c r="B3691" s="19" t="s">
        <v>15</v>
      </c>
      <c r="C3691" s="18" t="s">
        <v>149</v>
      </c>
      <c r="D3691" s="18" t="s">
        <v>17</v>
      </c>
      <c r="E3691" s="18" t="s">
        <v>18</v>
      </c>
      <c r="F3691" s="18" t="s">
        <v>7333</v>
      </c>
      <c r="G3691" s="18" t="s">
        <v>1291</v>
      </c>
      <c r="H3691" s="18" t="s">
        <v>7255</v>
      </c>
      <c r="I3691" s="20" t="s">
        <v>7334</v>
      </c>
      <c r="J3691" s="18" t="s">
        <v>30</v>
      </c>
      <c r="K3691" s="18" t="s">
        <v>24</v>
      </c>
      <c r="L3691" s="18" t="s">
        <v>25</v>
      </c>
      <c r="N3691" s="18" t="s">
        <v>154</v>
      </c>
    </row>
    <row r="3692" spans="1:14" ht="15" customHeight="1" x14ac:dyDescent="0.3">
      <c r="A3692" s="18" t="s">
        <v>7250</v>
      </c>
      <c r="B3692" s="19" t="s">
        <v>15</v>
      </c>
      <c r="C3692" s="18" t="s">
        <v>210</v>
      </c>
      <c r="D3692" s="18" t="s">
        <v>17</v>
      </c>
      <c r="E3692" s="18" t="s">
        <v>18</v>
      </c>
      <c r="F3692" s="18" t="s">
        <v>6425</v>
      </c>
      <c r="G3692" s="18" t="s">
        <v>312</v>
      </c>
      <c r="H3692" s="18" t="s">
        <v>1056</v>
      </c>
      <c r="I3692" s="20" t="s">
        <v>7335</v>
      </c>
      <c r="J3692" s="18" t="s">
        <v>30</v>
      </c>
      <c r="K3692" s="18" t="s">
        <v>24</v>
      </c>
      <c r="L3692" s="18" t="s">
        <v>25</v>
      </c>
      <c r="N3692" s="18" t="s">
        <v>26</v>
      </c>
    </row>
    <row r="3693" spans="1:14" ht="15" customHeight="1" x14ac:dyDescent="0.3">
      <c r="A3693" s="18" t="s">
        <v>7250</v>
      </c>
      <c r="B3693" s="19" t="s">
        <v>15</v>
      </c>
      <c r="C3693" s="18" t="s">
        <v>210</v>
      </c>
      <c r="D3693" s="18" t="s">
        <v>17</v>
      </c>
      <c r="E3693" s="18" t="s">
        <v>18</v>
      </c>
      <c r="F3693" s="18" t="s">
        <v>7336</v>
      </c>
      <c r="G3693" s="18" t="s">
        <v>44</v>
      </c>
      <c r="H3693" s="18" t="s">
        <v>7272</v>
      </c>
      <c r="I3693" s="20" t="s">
        <v>7337</v>
      </c>
      <c r="J3693" s="18" t="s">
        <v>30</v>
      </c>
      <c r="K3693" s="18" t="s">
        <v>24</v>
      </c>
      <c r="L3693" s="18" t="s">
        <v>25</v>
      </c>
      <c r="N3693" s="18" t="s">
        <v>26</v>
      </c>
    </row>
    <row r="3694" spans="1:14" ht="15" customHeight="1" x14ac:dyDescent="0.3">
      <c r="A3694" s="18" t="s">
        <v>7250</v>
      </c>
      <c r="B3694" s="19" t="s">
        <v>15</v>
      </c>
      <c r="C3694" s="18" t="s">
        <v>210</v>
      </c>
      <c r="D3694" s="18" t="s">
        <v>17</v>
      </c>
      <c r="E3694" s="18" t="s">
        <v>18</v>
      </c>
      <c r="F3694" s="18" t="s">
        <v>7338</v>
      </c>
      <c r="G3694" s="18" t="s">
        <v>2245</v>
      </c>
      <c r="H3694" s="18" t="s">
        <v>7310</v>
      </c>
      <c r="I3694" s="20" t="s">
        <v>7339</v>
      </c>
      <c r="J3694" s="18" t="s">
        <v>30</v>
      </c>
      <c r="K3694" s="18" t="s">
        <v>24</v>
      </c>
      <c r="L3694" s="18" t="s">
        <v>25</v>
      </c>
      <c r="N3694" s="18" t="s">
        <v>26</v>
      </c>
    </row>
    <row r="3695" spans="1:14" ht="15" customHeight="1" x14ac:dyDescent="0.3">
      <c r="A3695" s="18" t="s">
        <v>7250</v>
      </c>
      <c r="B3695" s="19" t="s">
        <v>15</v>
      </c>
      <c r="C3695" s="18" t="s">
        <v>210</v>
      </c>
      <c r="D3695" s="18" t="s">
        <v>17</v>
      </c>
      <c r="E3695" s="18" t="s">
        <v>18</v>
      </c>
      <c r="F3695" s="18" t="s">
        <v>4387</v>
      </c>
      <c r="G3695" s="18" t="s">
        <v>1291</v>
      </c>
      <c r="H3695" s="18" t="s">
        <v>7310</v>
      </c>
      <c r="I3695" s="20" t="s">
        <v>7340</v>
      </c>
      <c r="J3695" s="18" t="s">
        <v>30</v>
      </c>
      <c r="K3695" s="18" t="s">
        <v>24</v>
      </c>
      <c r="L3695" s="18" t="s">
        <v>25</v>
      </c>
      <c r="N3695" s="18" t="s">
        <v>26</v>
      </c>
    </row>
    <row r="3696" spans="1:14" ht="15" customHeight="1" x14ac:dyDescent="0.3">
      <c r="A3696" s="18" t="s">
        <v>7250</v>
      </c>
      <c r="B3696" s="19" t="s">
        <v>15</v>
      </c>
      <c r="C3696" s="18" t="s">
        <v>149</v>
      </c>
      <c r="D3696" s="18" t="s">
        <v>17</v>
      </c>
      <c r="E3696" s="18" t="s">
        <v>18</v>
      </c>
      <c r="F3696" s="18" t="s">
        <v>40</v>
      </c>
      <c r="G3696" s="18" t="s">
        <v>1059</v>
      </c>
      <c r="H3696" s="18" t="s">
        <v>7255</v>
      </c>
      <c r="I3696" s="20" t="s">
        <v>7341</v>
      </c>
      <c r="J3696" s="18" t="s">
        <v>30</v>
      </c>
      <c r="K3696" s="18" t="s">
        <v>24</v>
      </c>
      <c r="L3696" s="18" t="s">
        <v>25</v>
      </c>
      <c r="N3696" s="18" t="s">
        <v>154</v>
      </c>
    </row>
    <row r="3697" spans="1:14" ht="15" customHeight="1" x14ac:dyDescent="0.3">
      <c r="A3697" s="18" t="s">
        <v>7250</v>
      </c>
      <c r="B3697" s="19" t="s">
        <v>15</v>
      </c>
      <c r="C3697" s="18" t="s">
        <v>210</v>
      </c>
      <c r="D3697" s="18" t="s">
        <v>17</v>
      </c>
      <c r="E3697" s="18" t="s">
        <v>18</v>
      </c>
      <c r="F3697" s="18" t="s">
        <v>1352</v>
      </c>
      <c r="G3697" s="18" t="s">
        <v>41</v>
      </c>
      <c r="H3697" s="18" t="s">
        <v>7342</v>
      </c>
      <c r="I3697" s="20" t="s">
        <v>7343</v>
      </c>
      <c r="J3697" s="18" t="s">
        <v>30</v>
      </c>
      <c r="K3697" s="18" t="s">
        <v>24</v>
      </c>
      <c r="L3697" s="18" t="s">
        <v>25</v>
      </c>
      <c r="N3697" s="18" t="s">
        <v>26</v>
      </c>
    </row>
    <row r="3698" spans="1:14" ht="15" customHeight="1" x14ac:dyDescent="0.3">
      <c r="A3698" s="18" t="s">
        <v>7250</v>
      </c>
      <c r="B3698" s="19" t="s">
        <v>15</v>
      </c>
      <c r="C3698" s="18" t="s">
        <v>149</v>
      </c>
      <c r="D3698" s="18" t="s">
        <v>17</v>
      </c>
      <c r="E3698" s="18" t="s">
        <v>18</v>
      </c>
      <c r="F3698" s="18" t="s">
        <v>1959</v>
      </c>
      <c r="G3698" s="18" t="s">
        <v>1059</v>
      </c>
      <c r="H3698" s="18" t="s">
        <v>7255</v>
      </c>
      <c r="I3698" s="20" t="s">
        <v>7344</v>
      </c>
      <c r="J3698" s="18" t="s">
        <v>30</v>
      </c>
      <c r="K3698" s="18" t="s">
        <v>24</v>
      </c>
      <c r="L3698" s="18" t="s">
        <v>25</v>
      </c>
      <c r="N3698" s="18" t="s">
        <v>154</v>
      </c>
    </row>
    <row r="3699" spans="1:14" ht="15" customHeight="1" x14ac:dyDescent="0.3">
      <c r="A3699" s="18" t="s">
        <v>7250</v>
      </c>
      <c r="B3699" s="19" t="s">
        <v>15</v>
      </c>
      <c r="C3699" s="18" t="s">
        <v>210</v>
      </c>
      <c r="D3699" s="18" t="s">
        <v>17</v>
      </c>
      <c r="E3699" s="18" t="s">
        <v>18</v>
      </c>
      <c r="F3699" s="18" t="s">
        <v>1450</v>
      </c>
      <c r="G3699" s="18" t="s">
        <v>41</v>
      </c>
      <c r="H3699" s="18" t="s">
        <v>7301</v>
      </c>
      <c r="I3699" s="20" t="s">
        <v>7345</v>
      </c>
      <c r="J3699" s="18" t="s">
        <v>30</v>
      </c>
      <c r="K3699" s="18" t="s">
        <v>24</v>
      </c>
      <c r="L3699" s="18" t="s">
        <v>25</v>
      </c>
      <c r="N3699" s="18" t="s">
        <v>26</v>
      </c>
    </row>
    <row r="3700" spans="1:14" ht="15" customHeight="1" x14ac:dyDescent="0.3">
      <c r="A3700" s="18" t="s">
        <v>7250</v>
      </c>
      <c r="B3700" s="19" t="s">
        <v>15</v>
      </c>
      <c r="C3700" s="18" t="s">
        <v>210</v>
      </c>
      <c r="D3700" s="18" t="s">
        <v>17</v>
      </c>
      <c r="E3700" s="18" t="s">
        <v>18</v>
      </c>
      <c r="F3700" s="18" t="s">
        <v>1088</v>
      </c>
      <c r="G3700" s="18" t="s">
        <v>41</v>
      </c>
      <c r="H3700" s="18" t="s">
        <v>7301</v>
      </c>
      <c r="I3700" s="20" t="s">
        <v>7346</v>
      </c>
      <c r="J3700" s="18" t="s">
        <v>30</v>
      </c>
      <c r="K3700" s="18" t="s">
        <v>24</v>
      </c>
      <c r="L3700" s="18" t="s">
        <v>25</v>
      </c>
      <c r="N3700" s="18" t="s">
        <v>26</v>
      </c>
    </row>
    <row r="3701" spans="1:14" ht="15" customHeight="1" x14ac:dyDescent="0.3">
      <c r="A3701" s="18" t="s">
        <v>7250</v>
      </c>
      <c r="B3701" s="19" t="s">
        <v>15</v>
      </c>
      <c r="C3701" s="18" t="s">
        <v>149</v>
      </c>
      <c r="D3701" s="18" t="s">
        <v>17</v>
      </c>
      <c r="E3701" s="18" t="s">
        <v>18</v>
      </c>
      <c r="F3701" s="18" t="s">
        <v>5510</v>
      </c>
      <c r="G3701" s="18" t="s">
        <v>41</v>
      </c>
      <c r="H3701" s="18" t="s">
        <v>7255</v>
      </c>
      <c r="I3701" s="20" t="s">
        <v>7347</v>
      </c>
      <c r="J3701" s="18" t="s">
        <v>30</v>
      </c>
      <c r="K3701" s="18" t="s">
        <v>24</v>
      </c>
      <c r="L3701" s="18" t="s">
        <v>25</v>
      </c>
      <c r="N3701" s="18" t="s">
        <v>154</v>
      </c>
    </row>
    <row r="3702" spans="1:14" ht="15" customHeight="1" x14ac:dyDescent="0.3">
      <c r="A3702" s="18" t="s">
        <v>7250</v>
      </c>
      <c r="B3702" s="19" t="s">
        <v>15</v>
      </c>
      <c r="C3702" s="18" t="s">
        <v>210</v>
      </c>
      <c r="D3702" s="18" t="s">
        <v>17</v>
      </c>
      <c r="E3702" s="18" t="s">
        <v>18</v>
      </c>
      <c r="F3702" s="18" t="s">
        <v>1577</v>
      </c>
      <c r="G3702" s="18" t="s">
        <v>41</v>
      </c>
      <c r="H3702" s="18" t="s">
        <v>7348</v>
      </c>
      <c r="I3702" s="20" t="s">
        <v>7349</v>
      </c>
      <c r="J3702" s="18" t="s">
        <v>30</v>
      </c>
      <c r="K3702" s="18" t="s">
        <v>24</v>
      </c>
      <c r="L3702" s="18" t="s">
        <v>25</v>
      </c>
      <c r="N3702" s="18" t="s">
        <v>26</v>
      </c>
    </row>
    <row r="3703" spans="1:14" ht="15" customHeight="1" x14ac:dyDescent="0.3">
      <c r="A3703" s="18" t="s">
        <v>7250</v>
      </c>
      <c r="B3703" s="19" t="s">
        <v>15</v>
      </c>
      <c r="C3703" s="18" t="s">
        <v>149</v>
      </c>
      <c r="D3703" s="18" t="s">
        <v>17</v>
      </c>
      <c r="E3703" s="18" t="s">
        <v>18</v>
      </c>
      <c r="F3703" s="18" t="s">
        <v>1223</v>
      </c>
      <c r="G3703" s="18" t="s">
        <v>41</v>
      </c>
      <c r="H3703" s="18" t="s">
        <v>7255</v>
      </c>
      <c r="I3703" s="20" t="s">
        <v>7350</v>
      </c>
      <c r="J3703" s="18" t="s">
        <v>30</v>
      </c>
      <c r="K3703" s="18" t="s">
        <v>24</v>
      </c>
      <c r="L3703" s="18" t="s">
        <v>25</v>
      </c>
      <c r="N3703" s="18" t="s">
        <v>154</v>
      </c>
    </row>
    <row r="3704" spans="1:14" ht="15" customHeight="1" x14ac:dyDescent="0.3">
      <c r="A3704" s="18" t="s">
        <v>7250</v>
      </c>
      <c r="B3704" s="19" t="s">
        <v>15</v>
      </c>
      <c r="C3704" s="18" t="s">
        <v>210</v>
      </c>
      <c r="D3704" s="18" t="s">
        <v>17</v>
      </c>
      <c r="E3704" s="18" t="s">
        <v>18</v>
      </c>
      <c r="F3704" s="18" t="s">
        <v>340</v>
      </c>
      <c r="G3704" s="18" t="s">
        <v>340</v>
      </c>
      <c r="H3704" s="18" t="s">
        <v>7351</v>
      </c>
      <c r="I3704" s="20" t="s">
        <v>7352</v>
      </c>
      <c r="J3704" s="18" t="s">
        <v>30</v>
      </c>
      <c r="K3704" s="18" t="s">
        <v>24</v>
      </c>
      <c r="L3704" s="18" t="s">
        <v>25</v>
      </c>
      <c r="N3704" s="18" t="s">
        <v>26</v>
      </c>
    </row>
    <row r="3705" spans="1:14" ht="15" customHeight="1" x14ac:dyDescent="0.3">
      <c r="A3705" s="18" t="s">
        <v>7250</v>
      </c>
      <c r="B3705" s="19" t="s">
        <v>15</v>
      </c>
      <c r="C3705" s="18" t="s">
        <v>210</v>
      </c>
      <c r="D3705" s="18" t="s">
        <v>17</v>
      </c>
      <c r="E3705" s="18" t="s">
        <v>18</v>
      </c>
      <c r="F3705" s="18" t="s">
        <v>1102</v>
      </c>
      <c r="G3705" s="18" t="s">
        <v>263</v>
      </c>
      <c r="H3705" s="18" t="s">
        <v>1056</v>
      </c>
      <c r="I3705" s="20" t="s">
        <v>7353</v>
      </c>
      <c r="J3705" s="18" t="s">
        <v>30</v>
      </c>
      <c r="K3705" s="18" t="s">
        <v>24</v>
      </c>
      <c r="L3705" s="18" t="s">
        <v>25</v>
      </c>
      <c r="N3705" s="18" t="s">
        <v>26</v>
      </c>
    </row>
    <row r="3706" spans="1:14" ht="15" customHeight="1" x14ac:dyDescent="0.3">
      <c r="A3706" s="18" t="s">
        <v>7250</v>
      </c>
      <c r="B3706" s="19" t="s">
        <v>15</v>
      </c>
      <c r="C3706" s="18" t="s">
        <v>210</v>
      </c>
      <c r="D3706" s="18" t="s">
        <v>17</v>
      </c>
      <c r="E3706" s="18" t="s">
        <v>18</v>
      </c>
      <c r="F3706" s="18" t="s">
        <v>1104</v>
      </c>
      <c r="G3706" s="18" t="s">
        <v>1055</v>
      </c>
      <c r="H3706" s="18" t="s">
        <v>1056</v>
      </c>
      <c r="I3706" s="20" t="s">
        <v>7354</v>
      </c>
      <c r="J3706" s="18" t="s">
        <v>30</v>
      </c>
      <c r="K3706" s="18" t="s">
        <v>24</v>
      </c>
      <c r="L3706" s="18" t="s">
        <v>25</v>
      </c>
      <c r="N3706" s="18" t="s">
        <v>26</v>
      </c>
    </row>
    <row r="3707" spans="1:14" ht="15" customHeight="1" x14ac:dyDescent="0.3">
      <c r="A3707" s="18" t="s">
        <v>7250</v>
      </c>
      <c r="B3707" s="19" t="s">
        <v>15</v>
      </c>
      <c r="C3707" s="18" t="s">
        <v>210</v>
      </c>
      <c r="D3707" s="18" t="s">
        <v>17</v>
      </c>
      <c r="E3707" s="18" t="s">
        <v>18</v>
      </c>
      <c r="F3707" s="18" t="s">
        <v>7355</v>
      </c>
      <c r="G3707" s="18" t="s">
        <v>1211</v>
      </c>
      <c r="H3707" s="18" t="s">
        <v>7356</v>
      </c>
      <c r="I3707" s="20" t="s">
        <v>7357</v>
      </c>
      <c r="J3707" s="18" t="s">
        <v>30</v>
      </c>
      <c r="K3707" s="18" t="s">
        <v>24</v>
      </c>
      <c r="L3707" s="18" t="s">
        <v>25</v>
      </c>
      <c r="N3707" s="18" t="s">
        <v>26</v>
      </c>
    </row>
    <row r="3708" spans="1:14" ht="15" customHeight="1" x14ac:dyDescent="0.3">
      <c r="A3708" s="18" t="s">
        <v>7250</v>
      </c>
      <c r="B3708" s="19" t="s">
        <v>15</v>
      </c>
      <c r="C3708" s="18" t="s">
        <v>210</v>
      </c>
      <c r="D3708" s="18" t="s">
        <v>17</v>
      </c>
      <c r="E3708" s="18" t="s">
        <v>18</v>
      </c>
      <c r="F3708" s="18" t="s">
        <v>537</v>
      </c>
      <c r="G3708" s="18" t="s">
        <v>537</v>
      </c>
      <c r="H3708" s="18" t="s">
        <v>7358</v>
      </c>
      <c r="I3708" s="20" t="s">
        <v>7359</v>
      </c>
      <c r="J3708" s="18" t="s">
        <v>30</v>
      </c>
      <c r="K3708" s="18" t="s">
        <v>24</v>
      </c>
      <c r="L3708" s="18" t="s">
        <v>25</v>
      </c>
      <c r="N3708" s="18" t="s">
        <v>26</v>
      </c>
    </row>
    <row r="3709" spans="1:14" ht="15" customHeight="1" x14ac:dyDescent="0.3">
      <c r="A3709" s="18" t="s">
        <v>7250</v>
      </c>
      <c r="B3709" s="19" t="s">
        <v>15</v>
      </c>
      <c r="C3709" s="18" t="s">
        <v>149</v>
      </c>
      <c r="D3709" s="18" t="s">
        <v>17</v>
      </c>
      <c r="E3709" s="18" t="s">
        <v>18</v>
      </c>
      <c r="F3709" s="18" t="s">
        <v>7360</v>
      </c>
      <c r="G3709" s="18" t="s">
        <v>1211</v>
      </c>
      <c r="H3709" s="18" t="s">
        <v>7255</v>
      </c>
      <c r="I3709" s="20" t="s">
        <v>7361</v>
      </c>
      <c r="J3709" s="18" t="s">
        <v>30</v>
      </c>
      <c r="K3709" s="18" t="s">
        <v>24</v>
      </c>
      <c r="L3709" s="18" t="s">
        <v>25</v>
      </c>
      <c r="N3709" s="18" t="s">
        <v>154</v>
      </c>
    </row>
    <row r="3710" spans="1:14" ht="15" customHeight="1" x14ac:dyDescent="0.3">
      <c r="A3710" s="18" t="s">
        <v>7250</v>
      </c>
      <c r="B3710" s="19" t="s">
        <v>15</v>
      </c>
      <c r="C3710" s="18" t="s">
        <v>210</v>
      </c>
      <c r="D3710" s="18" t="s">
        <v>17</v>
      </c>
      <c r="E3710" s="18" t="s">
        <v>18</v>
      </c>
      <c r="F3710" s="18" t="s">
        <v>7362</v>
      </c>
      <c r="G3710" s="18" t="s">
        <v>1291</v>
      </c>
      <c r="H3710" s="18" t="s">
        <v>7363</v>
      </c>
      <c r="I3710" s="20" t="s">
        <v>7364</v>
      </c>
      <c r="J3710" s="18" t="s">
        <v>30</v>
      </c>
      <c r="K3710" s="18" t="s">
        <v>24</v>
      </c>
      <c r="L3710" s="18" t="s">
        <v>25</v>
      </c>
      <c r="N3710" s="18" t="s">
        <v>26</v>
      </c>
    </row>
    <row r="3711" spans="1:14" ht="15" customHeight="1" x14ac:dyDescent="0.3">
      <c r="A3711" s="18" t="s">
        <v>7250</v>
      </c>
      <c r="B3711" s="19" t="s">
        <v>15</v>
      </c>
      <c r="C3711" s="18" t="s">
        <v>149</v>
      </c>
      <c r="D3711" s="18" t="s">
        <v>17</v>
      </c>
      <c r="E3711" s="18" t="s">
        <v>18</v>
      </c>
      <c r="F3711" s="18" t="s">
        <v>7365</v>
      </c>
      <c r="G3711" s="18" t="s">
        <v>340</v>
      </c>
      <c r="H3711" s="18" t="s">
        <v>7255</v>
      </c>
      <c r="I3711" s="20" t="s">
        <v>7366</v>
      </c>
      <c r="J3711" s="18" t="s">
        <v>30</v>
      </c>
      <c r="K3711" s="18" t="s">
        <v>24</v>
      </c>
      <c r="L3711" s="18" t="s">
        <v>25</v>
      </c>
      <c r="N3711" s="18" t="s">
        <v>154</v>
      </c>
    </row>
    <row r="3712" spans="1:14" ht="15" customHeight="1" x14ac:dyDescent="0.3">
      <c r="A3712" s="18" t="s">
        <v>7250</v>
      </c>
      <c r="B3712" s="19" t="s">
        <v>15</v>
      </c>
      <c r="C3712" s="18" t="s">
        <v>210</v>
      </c>
      <c r="D3712" s="18" t="s">
        <v>17</v>
      </c>
      <c r="E3712" s="18" t="s">
        <v>55</v>
      </c>
      <c r="F3712" s="18" t="s">
        <v>7367</v>
      </c>
      <c r="G3712" s="18" t="s">
        <v>273</v>
      </c>
      <c r="H3712" s="18" t="s">
        <v>7368</v>
      </c>
      <c r="I3712" s="20" t="s">
        <v>7369</v>
      </c>
      <c r="J3712" s="18" t="s">
        <v>58</v>
      </c>
      <c r="K3712" s="18" t="s">
        <v>24</v>
      </c>
      <c r="L3712" s="18" t="s">
        <v>25</v>
      </c>
      <c r="N3712" s="18" t="s">
        <v>26</v>
      </c>
    </row>
    <row r="3713" spans="1:14" ht="15" customHeight="1" x14ac:dyDescent="0.3">
      <c r="A3713" s="18" t="s">
        <v>7250</v>
      </c>
      <c r="B3713" s="19" t="s">
        <v>15</v>
      </c>
      <c r="C3713" s="18" t="s">
        <v>210</v>
      </c>
      <c r="D3713" s="18" t="s">
        <v>17</v>
      </c>
      <c r="E3713" s="18" t="s">
        <v>55</v>
      </c>
      <c r="F3713" s="18" t="s">
        <v>7370</v>
      </c>
      <c r="G3713" s="18" t="s">
        <v>1291</v>
      </c>
      <c r="H3713" s="18" t="s">
        <v>7368</v>
      </c>
      <c r="I3713" s="20" t="s">
        <v>7371</v>
      </c>
      <c r="J3713" s="18" t="s">
        <v>58</v>
      </c>
      <c r="K3713" s="18" t="s">
        <v>24</v>
      </c>
      <c r="L3713" s="18" t="s">
        <v>25</v>
      </c>
      <c r="N3713" s="18" t="s">
        <v>26</v>
      </c>
    </row>
    <row r="3714" spans="1:14" ht="15" customHeight="1" x14ac:dyDescent="0.3">
      <c r="A3714" s="18" t="s">
        <v>7250</v>
      </c>
      <c r="B3714" s="19" t="s">
        <v>15</v>
      </c>
      <c r="C3714" s="18" t="s">
        <v>210</v>
      </c>
      <c r="D3714" s="18" t="s">
        <v>17</v>
      </c>
      <c r="E3714" s="18" t="s">
        <v>55</v>
      </c>
      <c r="F3714" s="18" t="s">
        <v>7372</v>
      </c>
      <c r="G3714" s="18" t="s">
        <v>606</v>
      </c>
      <c r="H3714" s="18" t="s">
        <v>7368</v>
      </c>
      <c r="I3714" s="20" t="s">
        <v>7373</v>
      </c>
      <c r="J3714" s="18" t="s">
        <v>58</v>
      </c>
      <c r="K3714" s="18" t="s">
        <v>24</v>
      </c>
      <c r="L3714" s="18" t="s">
        <v>25</v>
      </c>
      <c r="N3714" s="18" t="s">
        <v>26</v>
      </c>
    </row>
    <row r="3715" spans="1:14" ht="15" customHeight="1" x14ac:dyDescent="0.3">
      <c r="A3715" s="18" t="s">
        <v>7250</v>
      </c>
      <c r="B3715" s="19" t="s">
        <v>15</v>
      </c>
      <c r="C3715" s="18" t="s">
        <v>210</v>
      </c>
      <c r="D3715" s="18" t="s">
        <v>17</v>
      </c>
      <c r="E3715" s="18" t="s">
        <v>55</v>
      </c>
      <c r="F3715" s="18" t="s">
        <v>7374</v>
      </c>
      <c r="G3715" s="18" t="s">
        <v>913</v>
      </c>
      <c r="H3715" s="18" t="s">
        <v>7368</v>
      </c>
      <c r="I3715" s="20" t="s">
        <v>7375</v>
      </c>
      <c r="J3715" s="18" t="s">
        <v>58</v>
      </c>
      <c r="K3715" s="18" t="s">
        <v>24</v>
      </c>
      <c r="L3715" s="18" t="s">
        <v>25</v>
      </c>
      <c r="N3715" s="18" t="s">
        <v>26</v>
      </c>
    </row>
    <row r="3716" spans="1:14" ht="15" customHeight="1" x14ac:dyDescent="0.3">
      <c r="A3716" s="18" t="s">
        <v>7250</v>
      </c>
      <c r="B3716" s="19" t="s">
        <v>15</v>
      </c>
      <c r="C3716" s="18" t="s">
        <v>210</v>
      </c>
      <c r="D3716" s="18" t="s">
        <v>17</v>
      </c>
      <c r="E3716" s="18" t="s">
        <v>55</v>
      </c>
      <c r="F3716" s="18" t="s">
        <v>7376</v>
      </c>
      <c r="G3716" s="18" t="s">
        <v>340</v>
      </c>
      <c r="H3716" s="18" t="s">
        <v>7368</v>
      </c>
      <c r="I3716" s="20" t="s">
        <v>7377</v>
      </c>
      <c r="J3716" s="18" t="s">
        <v>58</v>
      </c>
      <c r="K3716" s="18" t="s">
        <v>24</v>
      </c>
      <c r="L3716" s="18" t="s">
        <v>25</v>
      </c>
      <c r="N3716" s="18" t="s">
        <v>26</v>
      </c>
    </row>
    <row r="3717" spans="1:14" ht="15" customHeight="1" x14ac:dyDescent="0.3">
      <c r="A3717" s="18" t="s">
        <v>7250</v>
      </c>
      <c r="B3717" s="19" t="s">
        <v>15</v>
      </c>
      <c r="C3717" s="18" t="s">
        <v>210</v>
      </c>
      <c r="D3717" s="18" t="s">
        <v>17</v>
      </c>
      <c r="E3717" s="18" t="s">
        <v>55</v>
      </c>
      <c r="F3717" s="18" t="s">
        <v>7378</v>
      </c>
      <c r="G3717" s="18" t="s">
        <v>340</v>
      </c>
      <c r="H3717" s="18" t="s">
        <v>7368</v>
      </c>
      <c r="I3717" s="20" t="s">
        <v>7379</v>
      </c>
      <c r="J3717" s="18" t="s">
        <v>58</v>
      </c>
      <c r="K3717" s="18" t="s">
        <v>24</v>
      </c>
      <c r="L3717" s="18" t="s">
        <v>25</v>
      </c>
      <c r="N3717" s="18" t="s">
        <v>26</v>
      </c>
    </row>
    <row r="3718" spans="1:14" ht="15" customHeight="1" x14ac:dyDescent="0.3">
      <c r="A3718" s="18" t="s">
        <v>7250</v>
      </c>
      <c r="B3718" s="19" t="s">
        <v>15</v>
      </c>
      <c r="C3718" s="18" t="s">
        <v>210</v>
      </c>
      <c r="D3718" s="18" t="s">
        <v>17</v>
      </c>
      <c r="E3718" s="18" t="s">
        <v>55</v>
      </c>
      <c r="F3718" s="18" t="s">
        <v>7380</v>
      </c>
      <c r="G3718" s="18" t="s">
        <v>423</v>
      </c>
      <c r="H3718" s="18" t="s">
        <v>7368</v>
      </c>
      <c r="I3718" s="20" t="s">
        <v>7381</v>
      </c>
      <c r="J3718" s="18" t="s">
        <v>73</v>
      </c>
      <c r="K3718" s="18" t="s">
        <v>24</v>
      </c>
      <c r="L3718" s="18" t="s">
        <v>25</v>
      </c>
      <c r="N3718" s="18" t="s">
        <v>26</v>
      </c>
    </row>
    <row r="3719" spans="1:14" ht="15" customHeight="1" x14ac:dyDescent="0.3">
      <c r="A3719" s="18" t="s">
        <v>7250</v>
      </c>
      <c r="B3719" s="19" t="s">
        <v>15</v>
      </c>
      <c r="C3719" s="18" t="s">
        <v>210</v>
      </c>
      <c r="D3719" s="18" t="s">
        <v>17</v>
      </c>
      <c r="E3719" s="18" t="s">
        <v>55</v>
      </c>
      <c r="F3719" s="18" t="s">
        <v>7382</v>
      </c>
      <c r="G3719" s="18" t="s">
        <v>273</v>
      </c>
      <c r="H3719" s="18" t="s">
        <v>7368</v>
      </c>
      <c r="I3719" s="20" t="s">
        <v>7383</v>
      </c>
      <c r="J3719" s="18" t="s">
        <v>58</v>
      </c>
      <c r="K3719" s="18" t="s">
        <v>24</v>
      </c>
      <c r="L3719" s="18" t="s">
        <v>25</v>
      </c>
      <c r="N3719" s="18" t="s">
        <v>26</v>
      </c>
    </row>
    <row r="3720" spans="1:14" ht="15" customHeight="1" x14ac:dyDescent="0.3">
      <c r="A3720" s="18" t="s">
        <v>7250</v>
      </c>
      <c r="B3720" s="19" t="s">
        <v>15</v>
      </c>
      <c r="C3720" s="18" t="s">
        <v>210</v>
      </c>
      <c r="D3720" s="18" t="s">
        <v>17</v>
      </c>
      <c r="E3720" s="18" t="s">
        <v>55</v>
      </c>
      <c r="F3720" s="18" t="s">
        <v>7384</v>
      </c>
      <c r="G3720" s="18" t="s">
        <v>1059</v>
      </c>
      <c r="H3720" s="18" t="s">
        <v>7368</v>
      </c>
      <c r="I3720" s="20" t="s">
        <v>7385</v>
      </c>
      <c r="J3720" s="18" t="s">
        <v>58</v>
      </c>
      <c r="K3720" s="18" t="s">
        <v>24</v>
      </c>
      <c r="L3720" s="18" t="s">
        <v>25</v>
      </c>
      <c r="N3720" s="18" t="s">
        <v>26</v>
      </c>
    </row>
    <row r="3721" spans="1:14" ht="15" customHeight="1" x14ac:dyDescent="0.3">
      <c r="A3721" s="18" t="s">
        <v>7250</v>
      </c>
      <c r="B3721" s="19" t="s">
        <v>15</v>
      </c>
      <c r="C3721" s="18" t="s">
        <v>210</v>
      </c>
      <c r="D3721" s="18" t="s">
        <v>17</v>
      </c>
      <c r="E3721" s="18" t="s">
        <v>55</v>
      </c>
      <c r="F3721" s="18" t="s">
        <v>7386</v>
      </c>
      <c r="G3721" s="18" t="s">
        <v>6403</v>
      </c>
      <c r="H3721" s="18" t="s">
        <v>7368</v>
      </c>
      <c r="I3721" s="20" t="s">
        <v>7387</v>
      </c>
      <c r="J3721" s="18" t="s">
        <v>58</v>
      </c>
      <c r="K3721" s="18" t="s">
        <v>24</v>
      </c>
      <c r="L3721" s="18" t="s">
        <v>25</v>
      </c>
      <c r="N3721" s="18" t="s">
        <v>26</v>
      </c>
    </row>
    <row r="3722" spans="1:14" ht="15" customHeight="1" x14ac:dyDescent="0.3">
      <c r="A3722" s="18" t="s">
        <v>7250</v>
      </c>
      <c r="B3722" s="19" t="s">
        <v>15</v>
      </c>
      <c r="C3722" s="18" t="s">
        <v>210</v>
      </c>
      <c r="D3722" s="18" t="s">
        <v>17</v>
      </c>
      <c r="E3722" s="18" t="s">
        <v>55</v>
      </c>
      <c r="F3722" s="18" t="s">
        <v>1061</v>
      </c>
      <c r="G3722" s="18" t="s">
        <v>47</v>
      </c>
      <c r="H3722" s="18" t="s">
        <v>7368</v>
      </c>
      <c r="I3722" s="20" t="s">
        <v>7388</v>
      </c>
      <c r="J3722" s="18" t="s">
        <v>58</v>
      </c>
      <c r="K3722" s="18" t="s">
        <v>24</v>
      </c>
      <c r="L3722" s="18" t="s">
        <v>25</v>
      </c>
      <c r="N3722" s="18" t="s">
        <v>26</v>
      </c>
    </row>
    <row r="3723" spans="1:14" ht="15" customHeight="1" x14ac:dyDescent="0.3">
      <c r="A3723" s="18" t="s">
        <v>7250</v>
      </c>
      <c r="B3723" s="19" t="s">
        <v>15</v>
      </c>
      <c r="C3723" s="18" t="s">
        <v>210</v>
      </c>
      <c r="D3723" s="18" t="s">
        <v>17</v>
      </c>
      <c r="E3723" s="18" t="s">
        <v>55</v>
      </c>
      <c r="F3723" s="18" t="s">
        <v>7389</v>
      </c>
      <c r="G3723" s="18" t="s">
        <v>619</v>
      </c>
      <c r="H3723" s="18" t="s">
        <v>7368</v>
      </c>
      <c r="I3723" s="20" t="s">
        <v>7390</v>
      </c>
      <c r="J3723" s="18" t="s">
        <v>58</v>
      </c>
      <c r="K3723" s="18" t="s">
        <v>24</v>
      </c>
      <c r="L3723" s="18" t="s">
        <v>25</v>
      </c>
      <c r="N3723" s="18" t="s">
        <v>26</v>
      </c>
    </row>
    <row r="3724" spans="1:14" ht="15" customHeight="1" x14ac:dyDescent="0.3">
      <c r="A3724" s="18" t="s">
        <v>7250</v>
      </c>
      <c r="B3724" s="19" t="s">
        <v>15</v>
      </c>
      <c r="C3724" s="18" t="s">
        <v>149</v>
      </c>
      <c r="D3724" s="18" t="s">
        <v>17</v>
      </c>
      <c r="E3724" s="18" t="s">
        <v>55</v>
      </c>
      <c r="F3724" s="18" t="s">
        <v>7391</v>
      </c>
      <c r="G3724" s="18" t="s">
        <v>619</v>
      </c>
      <c r="H3724" s="18" t="s">
        <v>7392</v>
      </c>
      <c r="I3724" s="20" t="s">
        <v>7393</v>
      </c>
      <c r="J3724" s="18" t="s">
        <v>58</v>
      </c>
      <c r="K3724" s="18" t="s">
        <v>24</v>
      </c>
      <c r="L3724" s="18" t="s">
        <v>25</v>
      </c>
      <c r="N3724" s="18" t="s">
        <v>154</v>
      </c>
    </row>
    <row r="3725" spans="1:14" ht="15" customHeight="1" x14ac:dyDescent="0.3">
      <c r="A3725" s="18" t="s">
        <v>7250</v>
      </c>
      <c r="B3725" s="19" t="s">
        <v>15</v>
      </c>
      <c r="C3725" s="18" t="s">
        <v>210</v>
      </c>
      <c r="D3725" s="18" t="s">
        <v>17</v>
      </c>
      <c r="E3725" s="18" t="s">
        <v>55</v>
      </c>
      <c r="F3725" s="18" t="s">
        <v>273</v>
      </c>
      <c r="G3725" s="18" t="s">
        <v>273</v>
      </c>
      <c r="H3725" s="18" t="s">
        <v>7368</v>
      </c>
      <c r="I3725" s="20" t="s">
        <v>7394</v>
      </c>
      <c r="J3725" s="18" t="s">
        <v>58</v>
      </c>
      <c r="K3725" s="18" t="s">
        <v>24</v>
      </c>
      <c r="L3725" s="18" t="s">
        <v>25</v>
      </c>
      <c r="N3725" s="18" t="s">
        <v>26</v>
      </c>
    </row>
    <row r="3726" spans="1:14" ht="15" customHeight="1" x14ac:dyDescent="0.3">
      <c r="A3726" s="18" t="s">
        <v>7250</v>
      </c>
      <c r="B3726" s="19" t="s">
        <v>15</v>
      </c>
      <c r="C3726" s="18" t="s">
        <v>210</v>
      </c>
      <c r="D3726" s="18" t="s">
        <v>17</v>
      </c>
      <c r="E3726" s="18" t="s">
        <v>55</v>
      </c>
      <c r="F3726" s="18" t="s">
        <v>7395</v>
      </c>
      <c r="G3726" s="18" t="s">
        <v>7396</v>
      </c>
      <c r="H3726" s="18" t="s">
        <v>7368</v>
      </c>
      <c r="I3726" s="20" t="s">
        <v>7397</v>
      </c>
      <c r="J3726" s="18" t="s">
        <v>58</v>
      </c>
      <c r="K3726" s="18" t="s">
        <v>24</v>
      </c>
      <c r="L3726" s="18" t="s">
        <v>25</v>
      </c>
      <c r="N3726" s="18" t="s">
        <v>26</v>
      </c>
    </row>
    <row r="3727" spans="1:14" ht="15" customHeight="1" x14ac:dyDescent="0.3">
      <c r="A3727" s="18" t="s">
        <v>7250</v>
      </c>
      <c r="B3727" s="19" t="s">
        <v>15</v>
      </c>
      <c r="C3727" s="18" t="s">
        <v>210</v>
      </c>
      <c r="D3727" s="18" t="s">
        <v>17</v>
      </c>
      <c r="E3727" s="18" t="s">
        <v>55</v>
      </c>
      <c r="F3727" s="18" t="s">
        <v>7398</v>
      </c>
      <c r="G3727" s="18" t="s">
        <v>619</v>
      </c>
      <c r="H3727" s="18" t="s">
        <v>7368</v>
      </c>
      <c r="I3727" s="20" t="s">
        <v>7399</v>
      </c>
      <c r="J3727" s="18" t="s">
        <v>58</v>
      </c>
      <c r="K3727" s="18" t="s">
        <v>24</v>
      </c>
      <c r="L3727" s="18" t="s">
        <v>25</v>
      </c>
      <c r="N3727" s="18" t="s">
        <v>26</v>
      </c>
    </row>
    <row r="3728" spans="1:14" ht="15" customHeight="1" x14ac:dyDescent="0.3">
      <c r="A3728" s="18" t="s">
        <v>7250</v>
      </c>
      <c r="B3728" s="19" t="s">
        <v>15</v>
      </c>
      <c r="C3728" s="18" t="s">
        <v>210</v>
      </c>
      <c r="D3728" s="18" t="s">
        <v>17</v>
      </c>
      <c r="E3728" s="18" t="s">
        <v>55</v>
      </c>
      <c r="F3728" s="18" t="s">
        <v>7400</v>
      </c>
      <c r="G3728" s="18" t="s">
        <v>1069</v>
      </c>
      <c r="H3728" s="18" t="s">
        <v>7368</v>
      </c>
      <c r="I3728" s="20" t="s">
        <v>7401</v>
      </c>
      <c r="J3728" s="18" t="s">
        <v>73</v>
      </c>
      <c r="K3728" s="18" t="s">
        <v>24</v>
      </c>
      <c r="L3728" s="18" t="s">
        <v>25</v>
      </c>
      <c r="N3728" s="18" t="s">
        <v>26</v>
      </c>
    </row>
    <row r="3729" spans="1:14" ht="15" customHeight="1" x14ac:dyDescent="0.3">
      <c r="A3729" s="18" t="s">
        <v>7250</v>
      </c>
      <c r="B3729" s="19" t="s">
        <v>15</v>
      </c>
      <c r="C3729" s="18" t="s">
        <v>210</v>
      </c>
      <c r="D3729" s="18" t="s">
        <v>17</v>
      </c>
      <c r="E3729" s="18" t="s">
        <v>55</v>
      </c>
      <c r="F3729" s="18" t="s">
        <v>7402</v>
      </c>
      <c r="G3729" s="18" t="s">
        <v>1019</v>
      </c>
      <c r="H3729" s="18" t="s">
        <v>7368</v>
      </c>
      <c r="I3729" s="20" t="s">
        <v>7403</v>
      </c>
      <c r="J3729" s="18" t="s">
        <v>58</v>
      </c>
      <c r="K3729" s="18" t="s">
        <v>24</v>
      </c>
      <c r="L3729" s="18" t="s">
        <v>25</v>
      </c>
      <c r="N3729" s="18" t="s">
        <v>26</v>
      </c>
    </row>
    <row r="3730" spans="1:14" ht="15" customHeight="1" x14ac:dyDescent="0.3">
      <c r="A3730" s="18" t="s">
        <v>7250</v>
      </c>
      <c r="B3730" s="19" t="s">
        <v>15</v>
      </c>
      <c r="C3730" s="18" t="s">
        <v>210</v>
      </c>
      <c r="D3730" s="18" t="s">
        <v>17</v>
      </c>
      <c r="E3730" s="18" t="s">
        <v>55</v>
      </c>
      <c r="F3730" s="18" t="s">
        <v>7404</v>
      </c>
      <c r="G3730" s="18" t="s">
        <v>212</v>
      </c>
      <c r="H3730" s="18" t="s">
        <v>7368</v>
      </c>
      <c r="I3730" s="20" t="s">
        <v>7405</v>
      </c>
      <c r="J3730" s="18" t="s">
        <v>58</v>
      </c>
      <c r="K3730" s="18" t="s">
        <v>24</v>
      </c>
      <c r="L3730" s="18" t="s">
        <v>25</v>
      </c>
      <c r="N3730" s="18" t="s">
        <v>26</v>
      </c>
    </row>
    <row r="3731" spans="1:14" ht="15" customHeight="1" x14ac:dyDescent="0.3">
      <c r="A3731" s="18" t="s">
        <v>7250</v>
      </c>
      <c r="B3731" s="19" t="s">
        <v>15</v>
      </c>
      <c r="C3731" s="18" t="s">
        <v>210</v>
      </c>
      <c r="D3731" s="18" t="s">
        <v>17</v>
      </c>
      <c r="E3731" s="18" t="s">
        <v>55</v>
      </c>
      <c r="F3731" s="18" t="s">
        <v>7406</v>
      </c>
      <c r="G3731" s="18" t="s">
        <v>1204</v>
      </c>
      <c r="H3731" s="18" t="s">
        <v>7368</v>
      </c>
      <c r="I3731" s="20" t="s">
        <v>7407</v>
      </c>
      <c r="J3731" s="18" t="s">
        <v>58</v>
      </c>
      <c r="K3731" s="18" t="s">
        <v>24</v>
      </c>
      <c r="L3731" s="18" t="s">
        <v>25</v>
      </c>
      <c r="N3731" s="18" t="s">
        <v>26</v>
      </c>
    </row>
    <row r="3732" spans="1:14" ht="15" customHeight="1" x14ac:dyDescent="0.3">
      <c r="A3732" s="18" t="s">
        <v>7250</v>
      </c>
      <c r="B3732" s="19" t="s">
        <v>15</v>
      </c>
      <c r="C3732" s="18" t="s">
        <v>149</v>
      </c>
      <c r="D3732" s="18" t="s">
        <v>17</v>
      </c>
      <c r="E3732" s="18" t="s">
        <v>55</v>
      </c>
      <c r="F3732" s="18" t="s">
        <v>7408</v>
      </c>
      <c r="G3732" s="18" t="s">
        <v>207</v>
      </c>
      <c r="H3732" s="18" t="s">
        <v>7392</v>
      </c>
      <c r="I3732" s="20" t="s">
        <v>7409</v>
      </c>
      <c r="J3732" s="18" t="s">
        <v>58</v>
      </c>
      <c r="K3732" s="18" t="s">
        <v>24</v>
      </c>
      <c r="L3732" s="18" t="s">
        <v>25</v>
      </c>
      <c r="N3732" s="18" t="s">
        <v>154</v>
      </c>
    </row>
    <row r="3733" spans="1:14" ht="15" customHeight="1" x14ac:dyDescent="0.3">
      <c r="A3733" s="18" t="s">
        <v>7250</v>
      </c>
      <c r="B3733" s="19" t="s">
        <v>15</v>
      </c>
      <c r="C3733" s="18" t="s">
        <v>210</v>
      </c>
      <c r="D3733" s="18" t="s">
        <v>17</v>
      </c>
      <c r="E3733" s="18" t="s">
        <v>55</v>
      </c>
      <c r="F3733" s="18" t="s">
        <v>85</v>
      </c>
      <c r="G3733" s="18" t="s">
        <v>47</v>
      </c>
      <c r="H3733" s="18" t="s">
        <v>7368</v>
      </c>
      <c r="I3733" s="20" t="s">
        <v>7410</v>
      </c>
      <c r="J3733" s="18" t="s">
        <v>58</v>
      </c>
      <c r="K3733" s="18" t="s">
        <v>24</v>
      </c>
      <c r="L3733" s="18" t="s">
        <v>25</v>
      </c>
      <c r="N3733" s="18" t="s">
        <v>26</v>
      </c>
    </row>
    <row r="3734" spans="1:14" ht="15" customHeight="1" x14ac:dyDescent="0.3">
      <c r="A3734" s="18" t="s">
        <v>7250</v>
      </c>
      <c r="B3734" s="19" t="s">
        <v>15</v>
      </c>
      <c r="C3734" s="18" t="s">
        <v>149</v>
      </c>
      <c r="D3734" s="18" t="s">
        <v>17</v>
      </c>
      <c r="E3734" s="18" t="s">
        <v>55</v>
      </c>
      <c r="F3734" s="18" t="s">
        <v>619</v>
      </c>
      <c r="G3734" s="18" t="s">
        <v>619</v>
      </c>
      <c r="H3734" s="18" t="s">
        <v>7392</v>
      </c>
      <c r="I3734" s="20" t="s">
        <v>7411</v>
      </c>
      <c r="J3734" s="18" t="s">
        <v>58</v>
      </c>
      <c r="K3734" s="18" t="s">
        <v>24</v>
      </c>
      <c r="L3734" s="18" t="s">
        <v>25</v>
      </c>
      <c r="N3734" s="18" t="s">
        <v>154</v>
      </c>
    </row>
    <row r="3735" spans="1:14" ht="15" customHeight="1" x14ac:dyDescent="0.3">
      <c r="A3735" s="18" t="s">
        <v>7250</v>
      </c>
      <c r="B3735" s="19" t="s">
        <v>15</v>
      </c>
      <c r="C3735" s="18" t="s">
        <v>149</v>
      </c>
      <c r="D3735" s="18" t="s">
        <v>17</v>
      </c>
      <c r="E3735" s="18" t="s">
        <v>55</v>
      </c>
      <c r="F3735" s="18" t="s">
        <v>7412</v>
      </c>
      <c r="G3735" s="18" t="s">
        <v>2857</v>
      </c>
      <c r="H3735" s="18" t="s">
        <v>7392</v>
      </c>
      <c r="I3735" s="20" t="s">
        <v>7413</v>
      </c>
      <c r="J3735" s="18" t="s">
        <v>58</v>
      </c>
      <c r="K3735" s="18" t="s">
        <v>24</v>
      </c>
      <c r="L3735" s="18" t="s">
        <v>25</v>
      </c>
      <c r="N3735" s="18" t="s">
        <v>154</v>
      </c>
    </row>
    <row r="3736" spans="1:14" ht="15" customHeight="1" x14ac:dyDescent="0.3">
      <c r="A3736" s="18" t="s">
        <v>7250</v>
      </c>
      <c r="B3736" s="19" t="s">
        <v>15</v>
      </c>
      <c r="C3736" s="18" t="s">
        <v>149</v>
      </c>
      <c r="D3736" s="18" t="s">
        <v>17</v>
      </c>
      <c r="E3736" s="18" t="s">
        <v>55</v>
      </c>
      <c r="F3736" s="18" t="s">
        <v>7414</v>
      </c>
      <c r="G3736" s="18" t="s">
        <v>2857</v>
      </c>
      <c r="H3736" s="18" t="s">
        <v>7392</v>
      </c>
      <c r="I3736" s="20" t="s">
        <v>7415</v>
      </c>
      <c r="J3736" s="18" t="s">
        <v>58</v>
      </c>
      <c r="K3736" s="18" t="s">
        <v>24</v>
      </c>
      <c r="L3736" s="18" t="s">
        <v>25</v>
      </c>
      <c r="N3736" s="18" t="s">
        <v>154</v>
      </c>
    </row>
    <row r="3737" spans="1:14" ht="15" customHeight="1" x14ac:dyDescent="0.3">
      <c r="A3737" s="18" t="s">
        <v>7250</v>
      </c>
      <c r="B3737" s="19" t="s">
        <v>15</v>
      </c>
      <c r="C3737" s="18" t="s">
        <v>149</v>
      </c>
      <c r="D3737" s="18" t="s">
        <v>17</v>
      </c>
      <c r="E3737" s="18" t="s">
        <v>55</v>
      </c>
      <c r="F3737" s="18" t="s">
        <v>2384</v>
      </c>
      <c r="G3737" s="18" t="s">
        <v>1019</v>
      </c>
      <c r="H3737" s="18" t="s">
        <v>7392</v>
      </c>
      <c r="I3737" s="20" t="s">
        <v>7416</v>
      </c>
      <c r="J3737" s="18" t="s">
        <v>58</v>
      </c>
      <c r="K3737" s="18" t="s">
        <v>24</v>
      </c>
      <c r="L3737" s="18" t="s">
        <v>25</v>
      </c>
      <c r="N3737" s="18" t="s">
        <v>154</v>
      </c>
    </row>
    <row r="3738" spans="1:14" ht="15" customHeight="1" x14ac:dyDescent="0.3">
      <c r="A3738" s="18" t="s">
        <v>7250</v>
      </c>
      <c r="B3738" s="19" t="s">
        <v>15</v>
      </c>
      <c r="C3738" s="18" t="s">
        <v>149</v>
      </c>
      <c r="D3738" s="18" t="s">
        <v>17</v>
      </c>
      <c r="E3738" s="18" t="s">
        <v>55</v>
      </c>
      <c r="F3738" s="18" t="s">
        <v>40</v>
      </c>
      <c r="G3738" s="18" t="s">
        <v>41</v>
      </c>
      <c r="H3738" s="18" t="s">
        <v>7392</v>
      </c>
      <c r="I3738" s="20" t="s">
        <v>7417</v>
      </c>
      <c r="J3738" s="18" t="s">
        <v>58</v>
      </c>
      <c r="K3738" s="18" t="s">
        <v>24</v>
      </c>
      <c r="L3738" s="18" t="s">
        <v>25</v>
      </c>
      <c r="N3738" s="18" t="s">
        <v>154</v>
      </c>
    </row>
    <row r="3739" spans="1:14" ht="15" customHeight="1" x14ac:dyDescent="0.3">
      <c r="A3739" s="18" t="s">
        <v>7250</v>
      </c>
      <c r="B3739" s="19" t="s">
        <v>15</v>
      </c>
      <c r="C3739" s="18" t="s">
        <v>149</v>
      </c>
      <c r="D3739" s="18" t="s">
        <v>17</v>
      </c>
      <c r="E3739" s="18" t="s">
        <v>55</v>
      </c>
      <c r="F3739" s="18" t="s">
        <v>3306</v>
      </c>
      <c r="G3739" s="18" t="s">
        <v>41</v>
      </c>
      <c r="H3739" s="18" t="s">
        <v>7392</v>
      </c>
      <c r="I3739" s="20" t="s">
        <v>7418</v>
      </c>
      <c r="J3739" s="18" t="s">
        <v>199</v>
      </c>
      <c r="K3739" s="18" t="s">
        <v>24</v>
      </c>
      <c r="L3739" s="18" t="s">
        <v>25</v>
      </c>
      <c r="N3739" s="18" t="s">
        <v>154</v>
      </c>
    </row>
    <row r="3740" spans="1:14" ht="15" customHeight="1" x14ac:dyDescent="0.3">
      <c r="A3740" s="18" t="s">
        <v>7250</v>
      </c>
      <c r="B3740" s="19" t="s">
        <v>15</v>
      </c>
      <c r="C3740" s="18" t="s">
        <v>149</v>
      </c>
      <c r="D3740" s="18" t="s">
        <v>17</v>
      </c>
      <c r="E3740" s="18" t="s">
        <v>55</v>
      </c>
      <c r="F3740" s="18" t="s">
        <v>7419</v>
      </c>
      <c r="G3740" s="18" t="s">
        <v>41</v>
      </c>
      <c r="H3740" s="18" t="s">
        <v>7392</v>
      </c>
      <c r="I3740" s="20" t="s">
        <v>7420</v>
      </c>
      <c r="J3740" s="18" t="s">
        <v>73</v>
      </c>
      <c r="K3740" s="18" t="s">
        <v>24</v>
      </c>
      <c r="L3740" s="18" t="s">
        <v>25</v>
      </c>
      <c r="N3740" s="18" t="s">
        <v>154</v>
      </c>
    </row>
    <row r="3741" spans="1:14" ht="15" customHeight="1" x14ac:dyDescent="0.3">
      <c r="A3741" s="18" t="s">
        <v>7250</v>
      </c>
      <c r="B3741" s="19" t="s">
        <v>15</v>
      </c>
      <c r="C3741" s="18" t="s">
        <v>149</v>
      </c>
      <c r="D3741" s="18" t="s">
        <v>17</v>
      </c>
      <c r="E3741" s="18" t="s">
        <v>55</v>
      </c>
      <c r="F3741" s="18" t="s">
        <v>3403</v>
      </c>
      <c r="G3741" s="18" t="s">
        <v>41</v>
      </c>
      <c r="H3741" s="18" t="s">
        <v>7392</v>
      </c>
      <c r="I3741" s="20" t="s">
        <v>7421</v>
      </c>
      <c r="J3741" s="18" t="s">
        <v>73</v>
      </c>
      <c r="K3741" s="18" t="s">
        <v>24</v>
      </c>
      <c r="L3741" s="18" t="s">
        <v>25</v>
      </c>
      <c r="N3741" s="18" t="s">
        <v>154</v>
      </c>
    </row>
    <row r="3742" spans="1:14" ht="15" customHeight="1" x14ac:dyDescent="0.3">
      <c r="A3742" s="18" t="s">
        <v>7250</v>
      </c>
      <c r="B3742" s="19" t="s">
        <v>15</v>
      </c>
      <c r="C3742" s="18" t="s">
        <v>149</v>
      </c>
      <c r="D3742" s="18" t="s">
        <v>17</v>
      </c>
      <c r="E3742" s="18" t="s">
        <v>55</v>
      </c>
      <c r="F3742" s="18" t="s">
        <v>1088</v>
      </c>
      <c r="G3742" s="18" t="s">
        <v>41</v>
      </c>
      <c r="H3742" s="18" t="s">
        <v>7392</v>
      </c>
      <c r="I3742" s="20" t="s">
        <v>7422</v>
      </c>
      <c r="J3742" s="18" t="s">
        <v>73</v>
      </c>
      <c r="K3742" s="18" t="s">
        <v>24</v>
      </c>
      <c r="L3742" s="18" t="s">
        <v>25</v>
      </c>
      <c r="N3742" s="18" t="s">
        <v>154</v>
      </c>
    </row>
    <row r="3743" spans="1:14" ht="15" customHeight="1" x14ac:dyDescent="0.3">
      <c r="A3743" s="18" t="s">
        <v>7250</v>
      </c>
      <c r="B3743" s="19" t="s">
        <v>15</v>
      </c>
      <c r="C3743" s="18" t="s">
        <v>149</v>
      </c>
      <c r="D3743" s="18" t="s">
        <v>17</v>
      </c>
      <c r="E3743" s="18" t="s">
        <v>55</v>
      </c>
      <c r="F3743" s="18" t="s">
        <v>7423</v>
      </c>
      <c r="G3743" s="18" t="s">
        <v>537</v>
      </c>
      <c r="H3743" s="18" t="s">
        <v>7424</v>
      </c>
      <c r="I3743" s="20" t="s">
        <v>7425</v>
      </c>
      <c r="J3743" s="18" t="s">
        <v>73</v>
      </c>
      <c r="K3743" s="18" t="s">
        <v>91</v>
      </c>
      <c r="L3743" s="18" t="s">
        <v>25</v>
      </c>
      <c r="N3743" s="18" t="s">
        <v>154</v>
      </c>
    </row>
    <row r="3744" spans="1:14" ht="15" customHeight="1" x14ac:dyDescent="0.3">
      <c r="A3744" s="18" t="s">
        <v>7250</v>
      </c>
      <c r="B3744" s="19" t="s">
        <v>15</v>
      </c>
      <c r="C3744" s="18" t="s">
        <v>149</v>
      </c>
      <c r="D3744" s="18" t="s">
        <v>17</v>
      </c>
      <c r="E3744" s="18" t="s">
        <v>55</v>
      </c>
      <c r="F3744" s="18" t="s">
        <v>7426</v>
      </c>
      <c r="G3744" s="18" t="s">
        <v>47</v>
      </c>
      <c r="H3744" s="18" t="s">
        <v>7392</v>
      </c>
      <c r="I3744" s="20" t="s">
        <v>7427</v>
      </c>
      <c r="J3744" s="18" t="s">
        <v>58</v>
      </c>
      <c r="K3744" s="18" t="s">
        <v>24</v>
      </c>
      <c r="L3744" s="18" t="s">
        <v>25</v>
      </c>
      <c r="N3744" s="18" t="s">
        <v>154</v>
      </c>
    </row>
    <row r="3745" spans="1:14" ht="15" customHeight="1" x14ac:dyDescent="0.3">
      <c r="A3745" s="18" t="s">
        <v>7250</v>
      </c>
      <c r="B3745" s="19" t="s">
        <v>15</v>
      </c>
      <c r="C3745" s="18" t="s">
        <v>149</v>
      </c>
      <c r="D3745" s="18" t="s">
        <v>17</v>
      </c>
      <c r="E3745" s="18" t="s">
        <v>55</v>
      </c>
      <c r="F3745" s="18" t="s">
        <v>7428</v>
      </c>
      <c r="G3745" s="18" t="s">
        <v>340</v>
      </c>
      <c r="H3745" s="18" t="s">
        <v>7392</v>
      </c>
      <c r="I3745" s="20" t="s">
        <v>7429</v>
      </c>
      <c r="J3745" s="18" t="s">
        <v>58</v>
      </c>
      <c r="K3745" s="18" t="s">
        <v>24</v>
      </c>
      <c r="L3745" s="18" t="s">
        <v>25</v>
      </c>
      <c r="N3745" s="18" t="s">
        <v>154</v>
      </c>
    </row>
    <row r="3746" spans="1:14" ht="15" customHeight="1" x14ac:dyDescent="0.3">
      <c r="A3746" s="18" t="s">
        <v>7250</v>
      </c>
      <c r="B3746" s="19" t="s">
        <v>15</v>
      </c>
      <c r="C3746" s="18" t="s">
        <v>149</v>
      </c>
      <c r="D3746" s="18" t="s">
        <v>17</v>
      </c>
      <c r="E3746" s="18" t="s">
        <v>55</v>
      </c>
      <c r="F3746" s="18" t="s">
        <v>7430</v>
      </c>
      <c r="G3746" s="18" t="s">
        <v>1340</v>
      </c>
      <c r="H3746" s="18" t="s">
        <v>7392</v>
      </c>
      <c r="I3746" s="20" t="s">
        <v>7431</v>
      </c>
      <c r="J3746" s="18" t="s">
        <v>58</v>
      </c>
      <c r="K3746" s="18" t="s">
        <v>24</v>
      </c>
      <c r="L3746" s="18" t="s">
        <v>25</v>
      </c>
      <c r="N3746" s="18" t="s">
        <v>154</v>
      </c>
    </row>
    <row r="3747" spans="1:14" ht="15" customHeight="1" x14ac:dyDescent="0.3">
      <c r="A3747" s="18" t="s">
        <v>7250</v>
      </c>
      <c r="B3747" s="19" t="s">
        <v>15</v>
      </c>
      <c r="C3747" s="18" t="s">
        <v>149</v>
      </c>
      <c r="D3747" s="18" t="s">
        <v>17</v>
      </c>
      <c r="E3747" s="18" t="s">
        <v>55</v>
      </c>
      <c r="F3747" s="18" t="s">
        <v>7432</v>
      </c>
      <c r="G3747" s="18" t="s">
        <v>1059</v>
      </c>
      <c r="H3747" s="18" t="s">
        <v>7433</v>
      </c>
      <c r="I3747" s="20" t="s">
        <v>7434</v>
      </c>
      <c r="J3747" s="18" t="s">
        <v>73</v>
      </c>
      <c r="K3747" s="18" t="s">
        <v>91</v>
      </c>
      <c r="L3747" s="18" t="s">
        <v>25</v>
      </c>
      <c r="N3747" s="18" t="s">
        <v>154</v>
      </c>
    </row>
    <row r="3748" spans="1:14" ht="15" customHeight="1" x14ac:dyDescent="0.3">
      <c r="A3748" s="18" t="s">
        <v>7250</v>
      </c>
      <c r="B3748" s="19" t="s">
        <v>15</v>
      </c>
      <c r="C3748" s="18" t="s">
        <v>149</v>
      </c>
      <c r="D3748" s="18" t="s">
        <v>17</v>
      </c>
      <c r="E3748" s="18" t="s">
        <v>55</v>
      </c>
      <c r="F3748" s="18" t="s">
        <v>7435</v>
      </c>
      <c r="G3748" s="18" t="s">
        <v>340</v>
      </c>
      <c r="H3748" s="18" t="s">
        <v>7392</v>
      </c>
      <c r="I3748" s="20" t="s">
        <v>7436</v>
      </c>
      <c r="J3748" s="18" t="s">
        <v>58</v>
      </c>
      <c r="K3748" s="18" t="s">
        <v>24</v>
      </c>
      <c r="L3748" s="18" t="s">
        <v>25</v>
      </c>
      <c r="N3748" s="18" t="s">
        <v>154</v>
      </c>
    </row>
    <row r="3749" spans="1:14" ht="15" customHeight="1" x14ac:dyDescent="0.3">
      <c r="A3749" s="18" t="s">
        <v>7250</v>
      </c>
      <c r="B3749" s="19" t="s">
        <v>15</v>
      </c>
      <c r="C3749" s="18" t="s">
        <v>149</v>
      </c>
      <c r="D3749" s="18" t="s">
        <v>17</v>
      </c>
      <c r="E3749" s="18" t="s">
        <v>55</v>
      </c>
      <c r="F3749" s="18" t="s">
        <v>1223</v>
      </c>
      <c r="G3749" s="18" t="s">
        <v>1211</v>
      </c>
      <c r="H3749" s="18" t="s">
        <v>7392</v>
      </c>
      <c r="I3749" s="20" t="s">
        <v>7437</v>
      </c>
      <c r="J3749" s="18" t="s">
        <v>58</v>
      </c>
      <c r="K3749" s="18" t="s">
        <v>24</v>
      </c>
      <c r="L3749" s="18" t="s">
        <v>25</v>
      </c>
      <c r="N3749" s="18" t="s">
        <v>154</v>
      </c>
    </row>
    <row r="3750" spans="1:14" ht="15" customHeight="1" x14ac:dyDescent="0.3">
      <c r="A3750" s="18" t="s">
        <v>7250</v>
      </c>
      <c r="B3750" s="19" t="s">
        <v>15</v>
      </c>
      <c r="C3750" s="18" t="s">
        <v>149</v>
      </c>
      <c r="D3750" s="18" t="s">
        <v>17</v>
      </c>
      <c r="E3750" s="18" t="s">
        <v>55</v>
      </c>
      <c r="F3750" s="18" t="s">
        <v>655</v>
      </c>
      <c r="G3750" s="18" t="s">
        <v>340</v>
      </c>
      <c r="H3750" s="18" t="s">
        <v>7392</v>
      </c>
      <c r="I3750" s="20" t="s">
        <v>7438</v>
      </c>
      <c r="J3750" s="18" t="s">
        <v>58</v>
      </c>
      <c r="K3750" s="18" t="s">
        <v>24</v>
      </c>
      <c r="L3750" s="18" t="s">
        <v>25</v>
      </c>
      <c r="N3750" s="18" t="s">
        <v>154</v>
      </c>
    </row>
    <row r="3751" spans="1:14" ht="15" customHeight="1" x14ac:dyDescent="0.3">
      <c r="A3751" s="18" t="s">
        <v>7250</v>
      </c>
      <c r="B3751" s="19" t="s">
        <v>15</v>
      </c>
      <c r="C3751" s="18" t="s">
        <v>149</v>
      </c>
      <c r="D3751" s="18" t="s">
        <v>17</v>
      </c>
      <c r="E3751" s="18" t="s">
        <v>55</v>
      </c>
      <c r="F3751" s="18" t="s">
        <v>7439</v>
      </c>
      <c r="G3751" s="18" t="s">
        <v>340</v>
      </c>
      <c r="H3751" s="18" t="s">
        <v>7392</v>
      </c>
      <c r="I3751" s="20" t="s">
        <v>7440</v>
      </c>
      <c r="J3751" s="18" t="s">
        <v>58</v>
      </c>
      <c r="K3751" s="18" t="s">
        <v>24</v>
      </c>
      <c r="L3751" s="18" t="s">
        <v>25</v>
      </c>
      <c r="N3751" s="18" t="s">
        <v>154</v>
      </c>
    </row>
    <row r="3752" spans="1:14" ht="15" customHeight="1" x14ac:dyDescent="0.3">
      <c r="A3752" s="18" t="s">
        <v>7250</v>
      </c>
      <c r="B3752" s="19" t="s">
        <v>15</v>
      </c>
      <c r="C3752" s="18" t="s">
        <v>149</v>
      </c>
      <c r="D3752" s="18" t="s">
        <v>17</v>
      </c>
      <c r="E3752" s="18" t="s">
        <v>55</v>
      </c>
      <c r="F3752" s="18" t="s">
        <v>6339</v>
      </c>
      <c r="G3752" s="18" t="s">
        <v>1059</v>
      </c>
      <c r="H3752" s="18" t="s">
        <v>7392</v>
      </c>
      <c r="I3752" s="20" t="s">
        <v>7441</v>
      </c>
      <c r="J3752" s="18" t="s">
        <v>58</v>
      </c>
      <c r="K3752" s="18" t="s">
        <v>24</v>
      </c>
      <c r="L3752" s="18" t="s">
        <v>25</v>
      </c>
      <c r="N3752" s="18" t="s">
        <v>154</v>
      </c>
    </row>
    <row r="3753" spans="1:14" ht="15" customHeight="1" x14ac:dyDescent="0.3">
      <c r="A3753" s="18" t="s">
        <v>7250</v>
      </c>
      <c r="B3753" s="19" t="s">
        <v>15</v>
      </c>
      <c r="C3753" s="18" t="s">
        <v>149</v>
      </c>
      <c r="D3753" s="18" t="s">
        <v>17</v>
      </c>
      <c r="E3753" s="18" t="s">
        <v>55</v>
      </c>
      <c r="F3753" s="18" t="s">
        <v>7442</v>
      </c>
      <c r="G3753" s="18" t="s">
        <v>1204</v>
      </c>
      <c r="H3753" s="18" t="s">
        <v>7392</v>
      </c>
      <c r="I3753" s="20" t="s">
        <v>7443</v>
      </c>
      <c r="J3753" s="18" t="s">
        <v>58</v>
      </c>
      <c r="K3753" s="18" t="s">
        <v>24</v>
      </c>
      <c r="L3753" s="18" t="s">
        <v>25</v>
      </c>
      <c r="N3753" s="18" t="s">
        <v>154</v>
      </c>
    </row>
    <row r="3754" spans="1:14" ht="15" customHeight="1" x14ac:dyDescent="0.3">
      <c r="A3754" s="18" t="s">
        <v>7250</v>
      </c>
      <c r="B3754" s="19" t="s">
        <v>15</v>
      </c>
      <c r="C3754" s="18" t="s">
        <v>149</v>
      </c>
      <c r="D3754" s="18" t="s">
        <v>17</v>
      </c>
      <c r="E3754" s="18" t="s">
        <v>55</v>
      </c>
      <c r="F3754" s="18" t="s">
        <v>7444</v>
      </c>
      <c r="G3754" s="18" t="s">
        <v>1019</v>
      </c>
      <c r="H3754" s="18" t="s">
        <v>7392</v>
      </c>
      <c r="I3754" s="20" t="s">
        <v>7445</v>
      </c>
      <c r="J3754" s="18" t="s">
        <v>58</v>
      </c>
      <c r="K3754" s="18" t="s">
        <v>24</v>
      </c>
      <c r="L3754" s="18" t="s">
        <v>25</v>
      </c>
      <c r="N3754" s="18" t="s">
        <v>154</v>
      </c>
    </row>
    <row r="3755" spans="1:14" ht="15" customHeight="1" x14ac:dyDescent="0.3">
      <c r="A3755" s="18" t="s">
        <v>7250</v>
      </c>
      <c r="B3755" s="19" t="s">
        <v>15</v>
      </c>
      <c r="C3755" s="18" t="s">
        <v>210</v>
      </c>
      <c r="D3755" s="18" t="s">
        <v>17</v>
      </c>
      <c r="E3755" s="18" t="s">
        <v>171</v>
      </c>
      <c r="F3755" s="18" t="s">
        <v>172</v>
      </c>
      <c r="G3755" s="18" t="s">
        <v>173</v>
      </c>
      <c r="H3755" s="18" t="s">
        <v>7446</v>
      </c>
      <c r="I3755" s="20" t="s">
        <v>7447</v>
      </c>
      <c r="J3755" s="18" t="s">
        <v>175</v>
      </c>
      <c r="K3755" s="18" t="s">
        <v>24</v>
      </c>
      <c r="L3755" s="18" t="s">
        <v>25</v>
      </c>
      <c r="N3755" s="18" t="s">
        <v>26</v>
      </c>
    </row>
    <row r="3756" spans="1:14" ht="15" customHeight="1" x14ac:dyDescent="0.3">
      <c r="A3756" s="18" t="s">
        <v>7250</v>
      </c>
      <c r="B3756" s="19" t="s">
        <v>15</v>
      </c>
      <c r="C3756" s="18" t="s">
        <v>210</v>
      </c>
      <c r="D3756" s="18" t="s">
        <v>17</v>
      </c>
      <c r="E3756" s="18" t="s">
        <v>171</v>
      </c>
      <c r="F3756" s="18" t="s">
        <v>80</v>
      </c>
      <c r="G3756" s="18" t="s">
        <v>80</v>
      </c>
      <c r="H3756" s="18" t="s">
        <v>7448</v>
      </c>
      <c r="I3756" s="20" t="s">
        <v>7449</v>
      </c>
      <c r="J3756" s="18" t="s">
        <v>175</v>
      </c>
      <c r="K3756" s="18" t="s">
        <v>24</v>
      </c>
      <c r="L3756" s="18" t="s">
        <v>25</v>
      </c>
      <c r="N3756" s="18" t="s">
        <v>26</v>
      </c>
    </row>
    <row r="3757" spans="1:14" ht="15" customHeight="1" x14ac:dyDescent="0.3">
      <c r="A3757" s="18" t="s">
        <v>7250</v>
      </c>
      <c r="B3757" s="19" t="s">
        <v>15</v>
      </c>
      <c r="C3757" s="18" t="s">
        <v>210</v>
      </c>
      <c r="D3757" s="18" t="s">
        <v>17</v>
      </c>
      <c r="E3757" s="18" t="s">
        <v>171</v>
      </c>
      <c r="F3757" s="18" t="s">
        <v>625</v>
      </c>
      <c r="G3757" s="18" t="s">
        <v>423</v>
      </c>
      <c r="H3757" s="18" t="s">
        <v>7450</v>
      </c>
      <c r="I3757" s="20" t="s">
        <v>7451</v>
      </c>
      <c r="J3757" s="18" t="s">
        <v>7452</v>
      </c>
      <c r="K3757" s="18" t="s">
        <v>24</v>
      </c>
      <c r="L3757" s="18" t="s">
        <v>25</v>
      </c>
      <c r="N3757" s="18" t="s">
        <v>26</v>
      </c>
    </row>
    <row r="3758" spans="1:14" ht="15" customHeight="1" x14ac:dyDescent="0.3">
      <c r="A3758" s="18" t="s">
        <v>7250</v>
      </c>
      <c r="B3758" s="19" t="s">
        <v>15</v>
      </c>
      <c r="C3758" s="18" t="s">
        <v>210</v>
      </c>
      <c r="D3758" s="18" t="s">
        <v>17</v>
      </c>
      <c r="E3758" s="18" t="s">
        <v>74</v>
      </c>
      <c r="F3758" s="18" t="s">
        <v>7453</v>
      </c>
      <c r="G3758" s="18" t="s">
        <v>273</v>
      </c>
      <c r="H3758" s="18" t="s">
        <v>7454</v>
      </c>
      <c r="I3758" s="20" t="s">
        <v>7455</v>
      </c>
      <c r="J3758" s="18" t="s">
        <v>307</v>
      </c>
      <c r="K3758" s="18" t="s">
        <v>24</v>
      </c>
      <c r="L3758" s="18" t="s">
        <v>25</v>
      </c>
      <c r="N3758" s="18" t="s">
        <v>26</v>
      </c>
    </row>
    <row r="3759" spans="1:14" ht="15" customHeight="1" x14ac:dyDescent="0.3">
      <c r="A3759" s="18" t="s">
        <v>7250</v>
      </c>
      <c r="B3759" s="19" t="s">
        <v>15</v>
      </c>
      <c r="C3759" s="18" t="s">
        <v>210</v>
      </c>
      <c r="D3759" s="18" t="s">
        <v>17</v>
      </c>
      <c r="E3759" s="18" t="s">
        <v>74</v>
      </c>
      <c r="F3759" s="18" t="s">
        <v>7456</v>
      </c>
      <c r="G3759" s="18" t="s">
        <v>47</v>
      </c>
      <c r="H3759" s="18" t="s">
        <v>7457</v>
      </c>
      <c r="I3759" s="20" t="s">
        <v>7458</v>
      </c>
      <c r="J3759" s="18" t="s">
        <v>307</v>
      </c>
      <c r="K3759" s="18" t="s">
        <v>24</v>
      </c>
      <c r="L3759" s="18" t="s">
        <v>25</v>
      </c>
      <c r="N3759" s="18" t="s">
        <v>26</v>
      </c>
    </row>
    <row r="3760" spans="1:14" ht="15" customHeight="1" x14ac:dyDescent="0.3">
      <c r="A3760" s="18" t="s">
        <v>7250</v>
      </c>
      <c r="B3760" s="19" t="s">
        <v>15</v>
      </c>
      <c r="C3760" s="18" t="s">
        <v>210</v>
      </c>
      <c r="D3760" s="18" t="s">
        <v>17</v>
      </c>
      <c r="E3760" s="18" t="s">
        <v>74</v>
      </c>
      <c r="F3760" s="18" t="s">
        <v>5069</v>
      </c>
      <c r="G3760" s="18" t="s">
        <v>47</v>
      </c>
      <c r="H3760" s="18" t="s">
        <v>1587</v>
      </c>
      <c r="I3760" s="20" t="s">
        <v>7459</v>
      </c>
      <c r="J3760" s="18" t="s">
        <v>307</v>
      </c>
      <c r="K3760" s="18" t="s">
        <v>24</v>
      </c>
      <c r="L3760" s="18" t="s">
        <v>25</v>
      </c>
      <c r="N3760" s="18" t="s">
        <v>26</v>
      </c>
    </row>
    <row r="3761" spans="1:14" ht="15" customHeight="1" x14ac:dyDescent="0.3">
      <c r="A3761" s="18" t="s">
        <v>7250</v>
      </c>
      <c r="B3761" s="19" t="s">
        <v>15</v>
      </c>
      <c r="C3761" s="18" t="s">
        <v>210</v>
      </c>
      <c r="D3761" s="18" t="s">
        <v>17</v>
      </c>
      <c r="E3761" s="18" t="s">
        <v>74</v>
      </c>
      <c r="F3761" s="18" t="s">
        <v>7460</v>
      </c>
      <c r="G3761" s="18" t="s">
        <v>47</v>
      </c>
      <c r="H3761" s="18" t="s">
        <v>7461</v>
      </c>
      <c r="I3761" s="20" t="s">
        <v>7462</v>
      </c>
      <c r="J3761" s="18" t="s">
        <v>307</v>
      </c>
      <c r="K3761" s="18" t="s">
        <v>24</v>
      </c>
      <c r="L3761" s="18" t="s">
        <v>25</v>
      </c>
      <c r="N3761" s="18" t="s">
        <v>26</v>
      </c>
    </row>
    <row r="3762" spans="1:14" ht="15" customHeight="1" x14ac:dyDescent="0.3">
      <c r="A3762" s="18" t="s">
        <v>7250</v>
      </c>
      <c r="B3762" s="19" t="s">
        <v>15</v>
      </c>
      <c r="C3762" s="18" t="s">
        <v>210</v>
      </c>
      <c r="D3762" s="18" t="s">
        <v>17</v>
      </c>
      <c r="E3762" s="18" t="s">
        <v>74</v>
      </c>
      <c r="F3762" s="18" t="s">
        <v>349</v>
      </c>
      <c r="G3762" s="18" t="s">
        <v>160</v>
      </c>
      <c r="H3762" s="18" t="s">
        <v>7463</v>
      </c>
      <c r="I3762" s="20" t="s">
        <v>7464</v>
      </c>
      <c r="J3762" s="18" t="s">
        <v>307</v>
      </c>
      <c r="K3762" s="18" t="s">
        <v>24</v>
      </c>
      <c r="L3762" s="18" t="s">
        <v>25</v>
      </c>
      <c r="N3762" s="18" t="s">
        <v>26</v>
      </c>
    </row>
    <row r="3763" spans="1:14" ht="15" customHeight="1" x14ac:dyDescent="0.3">
      <c r="A3763" s="18" t="s">
        <v>7250</v>
      </c>
      <c r="B3763" s="19" t="s">
        <v>15</v>
      </c>
      <c r="C3763" s="18" t="s">
        <v>210</v>
      </c>
      <c r="D3763" s="18" t="s">
        <v>17</v>
      </c>
      <c r="E3763" s="18" t="s">
        <v>74</v>
      </c>
      <c r="F3763" s="18" t="s">
        <v>85</v>
      </c>
      <c r="G3763" s="18" t="s">
        <v>85</v>
      </c>
      <c r="H3763" s="18" t="s">
        <v>7465</v>
      </c>
      <c r="I3763" s="20" t="s">
        <v>7466</v>
      </c>
      <c r="J3763" s="18" t="s">
        <v>307</v>
      </c>
      <c r="K3763" s="18" t="s">
        <v>24</v>
      </c>
      <c r="L3763" s="18" t="s">
        <v>25</v>
      </c>
      <c r="N3763" s="18" t="s">
        <v>26</v>
      </c>
    </row>
    <row r="3764" spans="1:14" ht="15" customHeight="1" x14ac:dyDescent="0.3">
      <c r="A3764" s="18" t="s">
        <v>7250</v>
      </c>
      <c r="B3764" s="19" t="s">
        <v>15</v>
      </c>
      <c r="C3764" s="18" t="s">
        <v>149</v>
      </c>
      <c r="D3764" s="18" t="s">
        <v>17</v>
      </c>
      <c r="E3764" s="18" t="s">
        <v>74</v>
      </c>
      <c r="F3764" s="18" t="s">
        <v>6047</v>
      </c>
      <c r="G3764" s="18" t="s">
        <v>44</v>
      </c>
      <c r="H3764" s="18" t="s">
        <v>7467</v>
      </c>
      <c r="I3764" s="20" t="s">
        <v>7468</v>
      </c>
      <c r="J3764" s="18" t="s">
        <v>307</v>
      </c>
      <c r="K3764" s="18" t="s">
        <v>24</v>
      </c>
      <c r="L3764" s="18" t="s">
        <v>25</v>
      </c>
      <c r="N3764" s="18" t="s">
        <v>154</v>
      </c>
    </row>
    <row r="3765" spans="1:14" ht="15" customHeight="1" x14ac:dyDescent="0.3">
      <c r="A3765" s="18" t="s">
        <v>7250</v>
      </c>
      <c r="B3765" s="19" t="s">
        <v>15</v>
      </c>
      <c r="C3765" s="18" t="s">
        <v>210</v>
      </c>
      <c r="D3765" s="18" t="s">
        <v>17</v>
      </c>
      <c r="E3765" s="18" t="s">
        <v>74</v>
      </c>
      <c r="F3765" s="18" t="s">
        <v>7469</v>
      </c>
      <c r="G3765" s="18" t="s">
        <v>619</v>
      </c>
      <c r="H3765" s="18" t="s">
        <v>7470</v>
      </c>
      <c r="I3765" s="20" t="s">
        <v>7471</v>
      </c>
      <c r="J3765" s="18" t="s">
        <v>307</v>
      </c>
      <c r="K3765" s="18" t="s">
        <v>24</v>
      </c>
      <c r="L3765" s="18" t="s">
        <v>25</v>
      </c>
      <c r="N3765" s="18" t="s">
        <v>26</v>
      </c>
    </row>
    <row r="3766" spans="1:14" ht="15" customHeight="1" x14ac:dyDescent="0.3">
      <c r="A3766" s="18" t="s">
        <v>7250</v>
      </c>
      <c r="B3766" s="19" t="s">
        <v>15</v>
      </c>
      <c r="C3766" s="18" t="s">
        <v>210</v>
      </c>
      <c r="D3766" s="18" t="s">
        <v>17</v>
      </c>
      <c r="E3766" s="18" t="s">
        <v>74</v>
      </c>
      <c r="F3766" s="18" t="s">
        <v>7472</v>
      </c>
      <c r="G3766" s="18" t="s">
        <v>88</v>
      </c>
      <c r="H3766" s="18" t="s">
        <v>7473</v>
      </c>
      <c r="I3766" s="20" t="s">
        <v>7474</v>
      </c>
      <c r="J3766" s="18" t="s">
        <v>307</v>
      </c>
      <c r="K3766" s="18" t="s">
        <v>24</v>
      </c>
      <c r="L3766" s="18" t="s">
        <v>25</v>
      </c>
      <c r="N3766" s="18" t="s">
        <v>26</v>
      </c>
    </row>
    <row r="3767" spans="1:14" ht="15" customHeight="1" x14ac:dyDescent="0.3">
      <c r="A3767" s="18" t="s">
        <v>7250</v>
      </c>
      <c r="B3767" s="19" t="s">
        <v>15</v>
      </c>
      <c r="C3767" s="18" t="s">
        <v>210</v>
      </c>
      <c r="D3767" s="18" t="s">
        <v>17</v>
      </c>
      <c r="E3767" s="18" t="s">
        <v>74</v>
      </c>
      <c r="F3767" s="18" t="s">
        <v>7475</v>
      </c>
      <c r="G3767" s="18" t="s">
        <v>51</v>
      </c>
      <c r="H3767" s="18" t="s">
        <v>7476</v>
      </c>
      <c r="I3767" s="20" t="s">
        <v>7477</v>
      </c>
      <c r="J3767" s="18" t="s">
        <v>307</v>
      </c>
      <c r="K3767" s="18" t="s">
        <v>24</v>
      </c>
      <c r="L3767" s="18" t="s">
        <v>25</v>
      </c>
      <c r="N3767" s="18" t="s">
        <v>26</v>
      </c>
    </row>
    <row r="3768" spans="1:14" ht="15" customHeight="1" x14ac:dyDescent="0.3">
      <c r="A3768" s="18" t="s">
        <v>7250</v>
      </c>
      <c r="B3768" s="19" t="s">
        <v>15</v>
      </c>
      <c r="C3768" s="18" t="s">
        <v>210</v>
      </c>
      <c r="D3768" s="18" t="s">
        <v>17</v>
      </c>
      <c r="E3768" s="18" t="s">
        <v>74</v>
      </c>
      <c r="F3768" s="18" t="s">
        <v>7478</v>
      </c>
      <c r="G3768" s="18" t="s">
        <v>2921</v>
      </c>
      <c r="H3768" s="18" t="s">
        <v>7479</v>
      </c>
      <c r="I3768" s="20" t="s">
        <v>7480</v>
      </c>
      <c r="J3768" s="18" t="s">
        <v>307</v>
      </c>
      <c r="K3768" s="18" t="s">
        <v>24</v>
      </c>
      <c r="L3768" s="18" t="s">
        <v>25</v>
      </c>
      <c r="N3768" s="18" t="s">
        <v>26</v>
      </c>
    </row>
    <row r="3769" spans="1:14" ht="15" customHeight="1" x14ac:dyDescent="0.3">
      <c r="A3769" s="18" t="s">
        <v>7250</v>
      </c>
      <c r="B3769" s="19" t="s">
        <v>15</v>
      </c>
      <c r="C3769" s="18" t="s">
        <v>149</v>
      </c>
      <c r="D3769" s="18" t="s">
        <v>17</v>
      </c>
      <c r="E3769" s="18" t="s">
        <v>74</v>
      </c>
      <c r="F3769" s="18" t="s">
        <v>304</v>
      </c>
      <c r="G3769" s="18" t="s">
        <v>273</v>
      </c>
      <c r="H3769" s="18" t="s">
        <v>7481</v>
      </c>
      <c r="I3769" s="20" t="s">
        <v>7482</v>
      </c>
      <c r="J3769" s="18" t="s">
        <v>307</v>
      </c>
      <c r="K3769" s="18" t="s">
        <v>24</v>
      </c>
      <c r="L3769" s="18" t="s">
        <v>25</v>
      </c>
      <c r="N3769" s="18" t="s">
        <v>154</v>
      </c>
    </row>
    <row r="3770" spans="1:14" ht="15" customHeight="1" x14ac:dyDescent="0.3">
      <c r="A3770" s="18" t="s">
        <v>7250</v>
      </c>
      <c r="B3770" s="19" t="s">
        <v>15</v>
      </c>
      <c r="C3770" s="18" t="s">
        <v>210</v>
      </c>
      <c r="D3770" s="18" t="s">
        <v>17</v>
      </c>
      <c r="E3770" s="18" t="s">
        <v>74</v>
      </c>
      <c r="F3770" s="18" t="s">
        <v>7483</v>
      </c>
      <c r="G3770" s="18" t="s">
        <v>41</v>
      </c>
      <c r="H3770" s="18" t="s">
        <v>1088</v>
      </c>
      <c r="I3770" s="20" t="s">
        <v>7484</v>
      </c>
      <c r="J3770" s="18" t="s">
        <v>307</v>
      </c>
      <c r="K3770" s="18" t="s">
        <v>24</v>
      </c>
      <c r="L3770" s="18" t="s">
        <v>25</v>
      </c>
      <c r="N3770" s="18" t="s">
        <v>26</v>
      </c>
    </row>
    <row r="3771" spans="1:14" ht="15" customHeight="1" x14ac:dyDescent="0.3">
      <c r="A3771" s="18" t="s">
        <v>7250</v>
      </c>
      <c r="B3771" s="19" t="s">
        <v>15</v>
      </c>
      <c r="C3771" s="18" t="s">
        <v>210</v>
      </c>
      <c r="D3771" s="18" t="s">
        <v>17</v>
      </c>
      <c r="E3771" s="18" t="s">
        <v>74</v>
      </c>
      <c r="F3771" s="18" t="s">
        <v>2308</v>
      </c>
      <c r="G3771" s="18" t="s">
        <v>44</v>
      </c>
      <c r="H3771" s="18" t="s">
        <v>7485</v>
      </c>
      <c r="I3771" s="20" t="s">
        <v>7486</v>
      </c>
      <c r="J3771" s="18" t="s">
        <v>307</v>
      </c>
      <c r="K3771" s="18" t="s">
        <v>24</v>
      </c>
      <c r="L3771" s="18" t="s">
        <v>25</v>
      </c>
      <c r="N3771" s="18" t="s">
        <v>26</v>
      </c>
    </row>
    <row r="3772" spans="1:14" ht="15" customHeight="1" x14ac:dyDescent="0.3">
      <c r="A3772" s="18" t="s">
        <v>7250</v>
      </c>
      <c r="B3772" s="19" t="s">
        <v>15</v>
      </c>
      <c r="C3772" s="18" t="s">
        <v>210</v>
      </c>
      <c r="D3772" s="18" t="s">
        <v>17</v>
      </c>
      <c r="E3772" s="18" t="s">
        <v>74</v>
      </c>
      <c r="F3772" s="18" t="s">
        <v>7487</v>
      </c>
      <c r="G3772" s="18" t="s">
        <v>192</v>
      </c>
      <c r="H3772" s="18" t="s">
        <v>7488</v>
      </c>
      <c r="I3772" s="20" t="s">
        <v>7489</v>
      </c>
      <c r="J3772" s="18" t="s">
        <v>307</v>
      </c>
      <c r="K3772" s="18" t="s">
        <v>24</v>
      </c>
      <c r="L3772" s="18" t="s">
        <v>25</v>
      </c>
      <c r="N3772" s="18" t="s">
        <v>26</v>
      </c>
    </row>
    <row r="3773" spans="1:14" ht="15" customHeight="1" x14ac:dyDescent="0.3">
      <c r="A3773" s="18" t="s">
        <v>7250</v>
      </c>
      <c r="B3773" s="19" t="s">
        <v>15</v>
      </c>
      <c r="C3773" s="18" t="s">
        <v>210</v>
      </c>
      <c r="D3773" s="18" t="s">
        <v>17</v>
      </c>
      <c r="E3773" s="18" t="s">
        <v>74</v>
      </c>
      <c r="F3773" s="18" t="s">
        <v>7490</v>
      </c>
      <c r="G3773" s="18" t="s">
        <v>219</v>
      </c>
      <c r="H3773" s="18" t="s">
        <v>7491</v>
      </c>
      <c r="I3773" s="20" t="s">
        <v>7492</v>
      </c>
      <c r="J3773" s="18" t="s">
        <v>307</v>
      </c>
      <c r="K3773" s="18" t="s">
        <v>91</v>
      </c>
      <c r="L3773" s="18" t="s">
        <v>25</v>
      </c>
      <c r="N3773" s="18" t="s">
        <v>26</v>
      </c>
    </row>
    <row r="3774" spans="1:14" ht="15" customHeight="1" x14ac:dyDescent="0.3">
      <c r="A3774" s="18" t="s">
        <v>7250</v>
      </c>
      <c r="B3774" s="19" t="s">
        <v>15</v>
      </c>
      <c r="C3774" s="18" t="s">
        <v>210</v>
      </c>
      <c r="D3774" s="18" t="s">
        <v>17</v>
      </c>
      <c r="E3774" s="18" t="s">
        <v>74</v>
      </c>
      <c r="F3774" s="18" t="s">
        <v>7493</v>
      </c>
      <c r="G3774" s="18" t="s">
        <v>564</v>
      </c>
      <c r="H3774" s="18" t="s">
        <v>7465</v>
      </c>
      <c r="I3774" s="20" t="s">
        <v>7494</v>
      </c>
      <c r="J3774" s="18" t="s">
        <v>307</v>
      </c>
      <c r="K3774" s="18" t="s">
        <v>24</v>
      </c>
      <c r="L3774" s="18" t="s">
        <v>25</v>
      </c>
      <c r="N3774" s="18" t="s">
        <v>26</v>
      </c>
    </row>
    <row r="3775" spans="1:14" ht="15" customHeight="1" x14ac:dyDescent="0.3">
      <c r="A3775" s="18" t="s">
        <v>7250</v>
      </c>
      <c r="B3775" s="19" t="s">
        <v>15</v>
      </c>
      <c r="C3775" s="18" t="s">
        <v>210</v>
      </c>
      <c r="D3775" s="18" t="s">
        <v>17</v>
      </c>
      <c r="E3775" s="18" t="s">
        <v>74</v>
      </c>
      <c r="F3775" s="18" t="s">
        <v>7495</v>
      </c>
      <c r="G3775" s="18" t="s">
        <v>1019</v>
      </c>
      <c r="H3775" s="18" t="s">
        <v>7496</v>
      </c>
      <c r="I3775" s="20" t="s">
        <v>7497</v>
      </c>
      <c r="J3775" s="18" t="s">
        <v>307</v>
      </c>
      <c r="K3775" s="18" t="s">
        <v>24</v>
      </c>
      <c r="L3775" s="18" t="s">
        <v>25</v>
      </c>
      <c r="N3775" s="18" t="s">
        <v>26</v>
      </c>
    </row>
    <row r="3776" spans="1:14" ht="15" customHeight="1" x14ac:dyDescent="0.3">
      <c r="A3776" s="18" t="s">
        <v>7250</v>
      </c>
      <c r="B3776" s="19" t="s">
        <v>15</v>
      </c>
      <c r="C3776" s="18" t="s">
        <v>210</v>
      </c>
      <c r="D3776" s="18" t="s">
        <v>17</v>
      </c>
      <c r="E3776" s="18" t="s">
        <v>74</v>
      </c>
      <c r="F3776" s="18" t="s">
        <v>7498</v>
      </c>
      <c r="G3776" s="18" t="s">
        <v>93</v>
      </c>
      <c r="H3776" s="18" t="s">
        <v>7499</v>
      </c>
      <c r="I3776" s="20" t="s">
        <v>7500</v>
      </c>
      <c r="J3776" s="18" t="s">
        <v>307</v>
      </c>
      <c r="K3776" s="18" t="s">
        <v>24</v>
      </c>
      <c r="L3776" s="18" t="s">
        <v>25</v>
      </c>
      <c r="N3776" s="18" t="s">
        <v>26</v>
      </c>
    </row>
    <row r="3777" spans="1:14" ht="15" customHeight="1" x14ac:dyDescent="0.3">
      <c r="A3777" s="18" t="s">
        <v>7250</v>
      </c>
      <c r="B3777" s="19" t="s">
        <v>15</v>
      </c>
      <c r="C3777" s="18" t="s">
        <v>210</v>
      </c>
      <c r="D3777" s="18" t="s">
        <v>17</v>
      </c>
      <c r="E3777" s="18" t="s">
        <v>74</v>
      </c>
      <c r="F3777" s="18" t="s">
        <v>7501</v>
      </c>
      <c r="G3777" s="18" t="s">
        <v>47</v>
      </c>
      <c r="H3777" s="18" t="s">
        <v>7502</v>
      </c>
      <c r="I3777" s="20" t="s">
        <v>7503</v>
      </c>
      <c r="J3777" s="18" t="s">
        <v>307</v>
      </c>
      <c r="K3777" s="18" t="s">
        <v>24</v>
      </c>
      <c r="L3777" s="18" t="s">
        <v>25</v>
      </c>
      <c r="N3777" s="18" t="s">
        <v>26</v>
      </c>
    </row>
    <row r="3778" spans="1:14" ht="15" customHeight="1" x14ac:dyDescent="0.3">
      <c r="A3778" s="18" t="s">
        <v>7250</v>
      </c>
      <c r="B3778" s="19" t="s">
        <v>15</v>
      </c>
      <c r="C3778" s="18" t="s">
        <v>210</v>
      </c>
      <c r="D3778" s="18" t="s">
        <v>17</v>
      </c>
      <c r="E3778" s="18" t="s">
        <v>74</v>
      </c>
      <c r="F3778" s="18" t="s">
        <v>1459</v>
      </c>
      <c r="G3778" s="18" t="s">
        <v>41</v>
      </c>
      <c r="H3778" s="18" t="s">
        <v>7461</v>
      </c>
      <c r="I3778" s="20" t="s">
        <v>7504</v>
      </c>
      <c r="J3778" s="18" t="s">
        <v>307</v>
      </c>
      <c r="K3778" s="18" t="s">
        <v>24</v>
      </c>
      <c r="L3778" s="18" t="s">
        <v>25</v>
      </c>
      <c r="N3778" s="18" t="s">
        <v>26</v>
      </c>
    </row>
    <row r="3779" spans="1:14" ht="15" customHeight="1" x14ac:dyDescent="0.3">
      <c r="A3779" s="18" t="s">
        <v>7250</v>
      </c>
      <c r="B3779" s="19" t="s">
        <v>15</v>
      </c>
      <c r="C3779" s="18" t="s">
        <v>210</v>
      </c>
      <c r="D3779" s="18" t="s">
        <v>17</v>
      </c>
      <c r="E3779" s="18" t="s">
        <v>74</v>
      </c>
      <c r="F3779" s="18" t="s">
        <v>7505</v>
      </c>
      <c r="G3779" s="18" t="s">
        <v>44</v>
      </c>
      <c r="H3779" s="18" t="s">
        <v>7506</v>
      </c>
      <c r="I3779" s="20" t="s">
        <v>7507</v>
      </c>
      <c r="J3779" s="18" t="s">
        <v>307</v>
      </c>
      <c r="K3779" s="18" t="s">
        <v>24</v>
      </c>
      <c r="L3779" s="18" t="s">
        <v>25</v>
      </c>
      <c r="N3779" s="18" t="s">
        <v>26</v>
      </c>
    </row>
    <row r="3780" spans="1:14" ht="15" customHeight="1" x14ac:dyDescent="0.3">
      <c r="A3780" s="18" t="s">
        <v>7250</v>
      </c>
      <c r="B3780" s="19" t="s">
        <v>15</v>
      </c>
      <c r="C3780" s="18" t="s">
        <v>210</v>
      </c>
      <c r="D3780" s="18" t="s">
        <v>17</v>
      </c>
      <c r="E3780" s="18" t="s">
        <v>74</v>
      </c>
      <c r="F3780" s="18" t="s">
        <v>7508</v>
      </c>
      <c r="G3780" s="18" t="s">
        <v>536</v>
      </c>
      <c r="H3780" s="18" t="s">
        <v>7509</v>
      </c>
      <c r="I3780" s="20" t="s">
        <v>7510</v>
      </c>
      <c r="J3780" s="18" t="s">
        <v>307</v>
      </c>
      <c r="K3780" s="18" t="s">
        <v>24</v>
      </c>
      <c r="L3780" s="18" t="s">
        <v>25</v>
      </c>
      <c r="N3780" s="18" t="s">
        <v>26</v>
      </c>
    </row>
    <row r="3781" spans="1:14" ht="15" customHeight="1" x14ac:dyDescent="0.3">
      <c r="A3781" s="18" t="s">
        <v>7250</v>
      </c>
      <c r="B3781" s="19" t="s">
        <v>15</v>
      </c>
      <c r="C3781" s="18" t="s">
        <v>210</v>
      </c>
      <c r="D3781" s="18" t="s">
        <v>17</v>
      </c>
      <c r="E3781" s="18" t="s">
        <v>74</v>
      </c>
      <c r="F3781" s="18" t="s">
        <v>1159</v>
      </c>
      <c r="G3781" s="18" t="s">
        <v>1019</v>
      </c>
      <c r="H3781" s="18" t="s">
        <v>7496</v>
      </c>
      <c r="I3781" s="20" t="s">
        <v>7511</v>
      </c>
      <c r="J3781" s="18" t="s">
        <v>307</v>
      </c>
      <c r="K3781" s="18" t="s">
        <v>24</v>
      </c>
      <c r="L3781" s="18" t="s">
        <v>25</v>
      </c>
      <c r="N3781" s="18" t="s">
        <v>26</v>
      </c>
    </row>
    <row r="3782" spans="1:14" ht="15" customHeight="1" x14ac:dyDescent="0.3">
      <c r="A3782" s="18" t="s">
        <v>7250</v>
      </c>
      <c r="B3782" s="19" t="s">
        <v>15</v>
      </c>
      <c r="C3782" s="18" t="s">
        <v>149</v>
      </c>
      <c r="D3782" s="18" t="s">
        <v>17</v>
      </c>
      <c r="E3782" s="18" t="s">
        <v>74</v>
      </c>
      <c r="F3782" s="18" t="s">
        <v>7512</v>
      </c>
      <c r="G3782" s="18" t="s">
        <v>44</v>
      </c>
      <c r="H3782" s="18" t="s">
        <v>7513</v>
      </c>
      <c r="I3782" s="20" t="s">
        <v>7514</v>
      </c>
      <c r="J3782" s="18" t="s">
        <v>307</v>
      </c>
      <c r="K3782" s="18" t="s">
        <v>24</v>
      </c>
      <c r="L3782" s="18" t="s">
        <v>25</v>
      </c>
      <c r="N3782" s="18" t="s">
        <v>154</v>
      </c>
    </row>
    <row r="3783" spans="1:14" ht="15" customHeight="1" x14ac:dyDescent="0.3">
      <c r="A3783" s="18" t="s">
        <v>7250</v>
      </c>
      <c r="B3783" s="19" t="s">
        <v>15</v>
      </c>
      <c r="C3783" s="18" t="s">
        <v>210</v>
      </c>
      <c r="D3783" s="18" t="s">
        <v>17</v>
      </c>
      <c r="E3783" s="18" t="s">
        <v>74</v>
      </c>
      <c r="F3783" s="18" t="s">
        <v>7515</v>
      </c>
      <c r="G3783" s="18" t="s">
        <v>2921</v>
      </c>
      <c r="H3783" s="18" t="s">
        <v>7516</v>
      </c>
      <c r="I3783" s="20" t="s">
        <v>7517</v>
      </c>
      <c r="J3783" s="18" t="s">
        <v>7518</v>
      </c>
      <c r="K3783" s="18" t="s">
        <v>24</v>
      </c>
      <c r="L3783" s="18" t="s">
        <v>25</v>
      </c>
      <c r="N3783" s="18" t="s">
        <v>26</v>
      </c>
    </row>
    <row r="3784" spans="1:14" ht="15" customHeight="1" x14ac:dyDescent="0.3">
      <c r="A3784" s="18" t="s">
        <v>7250</v>
      </c>
      <c r="B3784" s="19" t="s">
        <v>15</v>
      </c>
      <c r="C3784" s="18" t="s">
        <v>210</v>
      </c>
      <c r="D3784" s="18" t="s">
        <v>17</v>
      </c>
      <c r="E3784" s="18" t="s">
        <v>74</v>
      </c>
      <c r="F3784" s="18" t="s">
        <v>7519</v>
      </c>
      <c r="G3784" s="18" t="s">
        <v>44</v>
      </c>
      <c r="H3784" s="18" t="s">
        <v>7520</v>
      </c>
      <c r="I3784" s="20" t="s">
        <v>7521</v>
      </c>
      <c r="J3784" s="18" t="s">
        <v>307</v>
      </c>
      <c r="K3784" s="18" t="s">
        <v>24</v>
      </c>
      <c r="L3784" s="18" t="s">
        <v>25</v>
      </c>
      <c r="N3784" s="18" t="s">
        <v>26</v>
      </c>
    </row>
    <row r="3785" spans="1:14" ht="15" customHeight="1" x14ac:dyDescent="0.3">
      <c r="A3785" s="18" t="s">
        <v>7250</v>
      </c>
      <c r="B3785" s="19" t="s">
        <v>15</v>
      </c>
      <c r="C3785" s="18" t="s">
        <v>210</v>
      </c>
      <c r="D3785" s="18" t="s">
        <v>17</v>
      </c>
      <c r="E3785" s="18" t="s">
        <v>74</v>
      </c>
      <c r="F3785" s="18" t="s">
        <v>7522</v>
      </c>
      <c r="G3785" s="18" t="s">
        <v>41</v>
      </c>
      <c r="H3785" s="18" t="s">
        <v>7461</v>
      </c>
      <c r="I3785" s="20" t="s">
        <v>7523</v>
      </c>
      <c r="J3785" s="18" t="s">
        <v>307</v>
      </c>
      <c r="K3785" s="18" t="s">
        <v>24</v>
      </c>
      <c r="L3785" s="18" t="s">
        <v>25</v>
      </c>
      <c r="N3785" s="18" t="s">
        <v>26</v>
      </c>
    </row>
    <row r="3786" spans="1:14" ht="15" customHeight="1" x14ac:dyDescent="0.3">
      <c r="A3786" s="18" t="s">
        <v>7250</v>
      </c>
      <c r="B3786" s="19" t="s">
        <v>15</v>
      </c>
      <c r="C3786" s="18" t="s">
        <v>210</v>
      </c>
      <c r="D3786" s="18" t="s">
        <v>17</v>
      </c>
      <c r="E3786" s="18" t="s">
        <v>74</v>
      </c>
      <c r="F3786" s="18" t="s">
        <v>1769</v>
      </c>
      <c r="G3786" s="18" t="s">
        <v>51</v>
      </c>
      <c r="H3786" s="18" t="s">
        <v>7465</v>
      </c>
      <c r="I3786" s="20" t="s">
        <v>7524</v>
      </c>
      <c r="J3786" s="18" t="s">
        <v>307</v>
      </c>
      <c r="K3786" s="18" t="s">
        <v>24</v>
      </c>
      <c r="L3786" s="18" t="s">
        <v>25</v>
      </c>
      <c r="N3786" s="18" t="s">
        <v>26</v>
      </c>
    </row>
    <row r="3787" spans="1:14" ht="15" customHeight="1" x14ac:dyDescent="0.3">
      <c r="A3787" s="18" t="s">
        <v>7250</v>
      </c>
      <c r="B3787" s="19" t="s">
        <v>15</v>
      </c>
      <c r="C3787" s="18" t="s">
        <v>210</v>
      </c>
      <c r="D3787" s="18" t="s">
        <v>17</v>
      </c>
      <c r="E3787" s="18" t="s">
        <v>74</v>
      </c>
      <c r="F3787" s="18" t="s">
        <v>1318</v>
      </c>
      <c r="G3787" s="18" t="s">
        <v>207</v>
      </c>
      <c r="H3787" s="18" t="s">
        <v>7491</v>
      </c>
      <c r="I3787" s="20" t="s">
        <v>7525</v>
      </c>
      <c r="J3787" s="18" t="s">
        <v>307</v>
      </c>
      <c r="K3787" s="18" t="s">
        <v>293</v>
      </c>
      <c r="L3787" s="18" t="s">
        <v>25</v>
      </c>
      <c r="N3787" s="18" t="s">
        <v>26</v>
      </c>
    </row>
    <row r="3788" spans="1:14" ht="15" customHeight="1" x14ac:dyDescent="0.3">
      <c r="A3788" s="18" t="s">
        <v>7250</v>
      </c>
      <c r="B3788" s="19" t="s">
        <v>15</v>
      </c>
      <c r="C3788" s="18" t="s">
        <v>210</v>
      </c>
      <c r="D3788" s="18" t="s">
        <v>17</v>
      </c>
      <c r="E3788" s="18" t="s">
        <v>74</v>
      </c>
      <c r="F3788" s="18" t="s">
        <v>7526</v>
      </c>
      <c r="G3788" s="18" t="s">
        <v>207</v>
      </c>
      <c r="H3788" s="18" t="s">
        <v>7491</v>
      </c>
      <c r="I3788" s="20" t="s">
        <v>7527</v>
      </c>
      <c r="J3788" s="18" t="s">
        <v>307</v>
      </c>
      <c r="K3788" s="18" t="s">
        <v>24</v>
      </c>
      <c r="L3788" s="18" t="s">
        <v>25</v>
      </c>
      <c r="N3788" s="18" t="s">
        <v>26</v>
      </c>
    </row>
    <row r="3789" spans="1:14" ht="15" customHeight="1" x14ac:dyDescent="0.3">
      <c r="A3789" s="18" t="s">
        <v>7250</v>
      </c>
      <c r="B3789" s="19" t="s">
        <v>15</v>
      </c>
      <c r="C3789" s="18" t="s">
        <v>149</v>
      </c>
      <c r="D3789" s="18" t="s">
        <v>17</v>
      </c>
      <c r="E3789" s="18" t="s">
        <v>74</v>
      </c>
      <c r="F3789" s="18" t="s">
        <v>7528</v>
      </c>
      <c r="G3789" s="18" t="s">
        <v>1753</v>
      </c>
      <c r="H3789" s="18" t="s">
        <v>7481</v>
      </c>
      <c r="I3789" s="20" t="s">
        <v>7529</v>
      </c>
      <c r="J3789" s="18" t="s">
        <v>307</v>
      </c>
      <c r="K3789" s="18" t="s">
        <v>24</v>
      </c>
      <c r="L3789" s="18" t="s">
        <v>25</v>
      </c>
      <c r="N3789" s="18" t="s">
        <v>154</v>
      </c>
    </row>
    <row r="3790" spans="1:14" ht="15" customHeight="1" x14ac:dyDescent="0.3">
      <c r="A3790" s="18" t="s">
        <v>7250</v>
      </c>
      <c r="B3790" s="19" t="s">
        <v>15</v>
      </c>
      <c r="C3790" s="18" t="s">
        <v>210</v>
      </c>
      <c r="D3790" s="18" t="s">
        <v>17</v>
      </c>
      <c r="E3790" s="18" t="s">
        <v>74</v>
      </c>
      <c r="F3790" s="18" t="s">
        <v>7530</v>
      </c>
      <c r="G3790" s="18" t="s">
        <v>197</v>
      </c>
      <c r="H3790" s="18" t="s">
        <v>7531</v>
      </c>
      <c r="I3790" s="20" t="s">
        <v>7532</v>
      </c>
      <c r="J3790" s="18" t="s">
        <v>307</v>
      </c>
      <c r="K3790" s="18" t="s">
        <v>24</v>
      </c>
      <c r="L3790" s="18" t="s">
        <v>25</v>
      </c>
      <c r="N3790" s="18" t="s">
        <v>26</v>
      </c>
    </row>
    <row r="3791" spans="1:14" ht="15" customHeight="1" x14ac:dyDescent="0.3">
      <c r="A3791" s="18" t="s">
        <v>7250</v>
      </c>
      <c r="B3791" s="19" t="s">
        <v>15</v>
      </c>
      <c r="C3791" s="18" t="s">
        <v>210</v>
      </c>
      <c r="D3791" s="18" t="s">
        <v>17</v>
      </c>
      <c r="E3791" s="18" t="s">
        <v>74</v>
      </c>
      <c r="F3791" s="18" t="s">
        <v>7533</v>
      </c>
      <c r="G3791" s="18" t="s">
        <v>41</v>
      </c>
      <c r="H3791" s="18" t="s">
        <v>1088</v>
      </c>
      <c r="I3791" s="20" t="s">
        <v>7534</v>
      </c>
      <c r="J3791" s="18" t="s">
        <v>307</v>
      </c>
      <c r="K3791" s="18" t="s">
        <v>24</v>
      </c>
      <c r="L3791" s="18" t="s">
        <v>25</v>
      </c>
      <c r="N3791" s="18" t="s">
        <v>26</v>
      </c>
    </row>
    <row r="3792" spans="1:14" ht="15" customHeight="1" x14ac:dyDescent="0.3">
      <c r="A3792" s="18" t="s">
        <v>7250</v>
      </c>
      <c r="B3792" s="19" t="s">
        <v>15</v>
      </c>
      <c r="C3792" s="18" t="s">
        <v>210</v>
      </c>
      <c r="D3792" s="18" t="s">
        <v>17</v>
      </c>
      <c r="E3792" s="18" t="s">
        <v>74</v>
      </c>
      <c r="F3792" s="18" t="s">
        <v>7535</v>
      </c>
      <c r="G3792" s="18" t="s">
        <v>340</v>
      </c>
      <c r="H3792" s="18" t="s">
        <v>7536</v>
      </c>
      <c r="I3792" s="20" t="s">
        <v>7537</v>
      </c>
      <c r="J3792" s="18" t="s">
        <v>307</v>
      </c>
      <c r="K3792" s="18" t="s">
        <v>24</v>
      </c>
      <c r="L3792" s="18" t="s">
        <v>25</v>
      </c>
      <c r="N3792" s="18" t="s">
        <v>26</v>
      </c>
    </row>
    <row r="3793" spans="1:14" ht="15" customHeight="1" x14ac:dyDescent="0.3">
      <c r="A3793" s="18" t="s">
        <v>7250</v>
      </c>
      <c r="B3793" s="19" t="s">
        <v>15</v>
      </c>
      <c r="C3793" s="18" t="s">
        <v>210</v>
      </c>
      <c r="D3793" s="18" t="s">
        <v>17</v>
      </c>
      <c r="E3793" s="18" t="s">
        <v>74</v>
      </c>
      <c r="F3793" s="18" t="s">
        <v>7538</v>
      </c>
      <c r="G3793" s="18" t="s">
        <v>207</v>
      </c>
      <c r="H3793" s="18" t="s">
        <v>7539</v>
      </c>
      <c r="I3793" s="20" t="s">
        <v>7540</v>
      </c>
      <c r="J3793" s="18" t="s">
        <v>307</v>
      </c>
      <c r="K3793" s="18" t="s">
        <v>24</v>
      </c>
      <c r="L3793" s="18" t="s">
        <v>25</v>
      </c>
      <c r="N3793" s="18" t="s">
        <v>26</v>
      </c>
    </row>
    <row r="3794" spans="1:14" ht="15" customHeight="1" x14ac:dyDescent="0.3">
      <c r="A3794" s="18" t="s">
        <v>7250</v>
      </c>
      <c r="B3794" s="19" t="s">
        <v>15</v>
      </c>
      <c r="C3794" s="18" t="s">
        <v>562</v>
      </c>
      <c r="D3794" s="18" t="s">
        <v>17</v>
      </c>
      <c r="E3794" s="18" t="s">
        <v>74</v>
      </c>
      <c r="F3794" s="18" t="s">
        <v>7541</v>
      </c>
      <c r="G3794" s="18" t="s">
        <v>7542</v>
      </c>
      <c r="H3794" s="18" t="s">
        <v>7543</v>
      </c>
      <c r="I3794" s="20" t="s">
        <v>7544</v>
      </c>
      <c r="J3794" s="18" t="s">
        <v>7545</v>
      </c>
      <c r="K3794" s="18" t="s">
        <v>293</v>
      </c>
      <c r="L3794" s="18" t="s">
        <v>25</v>
      </c>
      <c r="N3794" s="18" t="s">
        <v>154</v>
      </c>
    </row>
    <row r="3795" spans="1:14" ht="15" customHeight="1" x14ac:dyDescent="0.3">
      <c r="A3795" s="18" t="s">
        <v>7250</v>
      </c>
      <c r="B3795" s="19" t="s">
        <v>15</v>
      </c>
      <c r="C3795" s="18" t="s">
        <v>210</v>
      </c>
      <c r="D3795" s="18" t="s">
        <v>17</v>
      </c>
      <c r="E3795" s="18" t="s">
        <v>74</v>
      </c>
      <c r="F3795" s="18" t="s">
        <v>7546</v>
      </c>
      <c r="G3795" s="18" t="s">
        <v>1009</v>
      </c>
      <c r="H3795" s="18" t="s">
        <v>7547</v>
      </c>
      <c r="I3795" s="20" t="s">
        <v>7548</v>
      </c>
      <c r="J3795" s="18" t="s">
        <v>307</v>
      </c>
      <c r="K3795" s="18" t="s">
        <v>24</v>
      </c>
      <c r="L3795" s="18" t="s">
        <v>25</v>
      </c>
      <c r="N3795" s="18" t="s">
        <v>26</v>
      </c>
    </row>
    <row r="3796" spans="1:14" ht="15" customHeight="1" x14ac:dyDescent="0.3">
      <c r="A3796" s="18" t="s">
        <v>7250</v>
      </c>
      <c r="B3796" s="19" t="s">
        <v>15</v>
      </c>
      <c r="C3796" s="18" t="s">
        <v>149</v>
      </c>
      <c r="D3796" s="18" t="s">
        <v>17</v>
      </c>
      <c r="E3796" s="18" t="s">
        <v>74</v>
      </c>
      <c r="F3796" s="18" t="s">
        <v>3437</v>
      </c>
      <c r="G3796" s="18" t="s">
        <v>619</v>
      </c>
      <c r="H3796" s="18" t="s">
        <v>7549</v>
      </c>
      <c r="I3796" s="20" t="s">
        <v>7550</v>
      </c>
      <c r="J3796" s="18" t="s">
        <v>307</v>
      </c>
      <c r="K3796" s="18" t="s">
        <v>24</v>
      </c>
      <c r="L3796" s="18" t="s">
        <v>25</v>
      </c>
      <c r="N3796" s="18" t="s">
        <v>154</v>
      </c>
    </row>
    <row r="3797" spans="1:14" ht="15" customHeight="1" x14ac:dyDescent="0.3">
      <c r="A3797" s="18" t="s">
        <v>7250</v>
      </c>
      <c r="B3797" s="19" t="s">
        <v>15</v>
      </c>
      <c r="C3797" s="18" t="s">
        <v>149</v>
      </c>
      <c r="D3797" s="18" t="s">
        <v>17</v>
      </c>
      <c r="E3797" s="18" t="s">
        <v>74</v>
      </c>
      <c r="F3797" s="18" t="s">
        <v>7551</v>
      </c>
      <c r="G3797" s="18" t="s">
        <v>1059</v>
      </c>
      <c r="H3797" s="18" t="s">
        <v>7552</v>
      </c>
      <c r="I3797" s="20" t="s">
        <v>7553</v>
      </c>
      <c r="J3797" s="18" t="s">
        <v>307</v>
      </c>
      <c r="K3797" s="18" t="s">
        <v>24</v>
      </c>
      <c r="L3797" s="18" t="s">
        <v>25</v>
      </c>
      <c r="N3797" s="18" t="s">
        <v>154</v>
      </c>
    </row>
    <row r="3798" spans="1:14" ht="15" customHeight="1" x14ac:dyDescent="0.3">
      <c r="A3798" s="18" t="s">
        <v>7250</v>
      </c>
      <c r="B3798" s="19" t="s">
        <v>15</v>
      </c>
      <c r="C3798" s="18" t="s">
        <v>210</v>
      </c>
      <c r="D3798" s="18" t="s">
        <v>17</v>
      </c>
      <c r="E3798" s="18" t="s">
        <v>74</v>
      </c>
      <c r="F3798" s="18" t="s">
        <v>7554</v>
      </c>
      <c r="G3798" s="18" t="s">
        <v>1059</v>
      </c>
      <c r="H3798" s="18" t="s">
        <v>6339</v>
      </c>
      <c r="I3798" s="20" t="s">
        <v>7555</v>
      </c>
      <c r="J3798" s="18" t="s">
        <v>307</v>
      </c>
      <c r="K3798" s="18" t="s">
        <v>24</v>
      </c>
      <c r="L3798" s="18" t="s">
        <v>25</v>
      </c>
      <c r="N3798" s="18" t="s">
        <v>26</v>
      </c>
    </row>
    <row r="3799" spans="1:14" ht="15" customHeight="1" x14ac:dyDescent="0.3">
      <c r="A3799" s="18" t="s">
        <v>7250</v>
      </c>
      <c r="B3799" s="19" t="s">
        <v>15</v>
      </c>
      <c r="C3799" s="18" t="s">
        <v>210</v>
      </c>
      <c r="D3799" s="18" t="s">
        <v>17</v>
      </c>
      <c r="E3799" s="18" t="s">
        <v>74</v>
      </c>
      <c r="F3799" s="18" t="s">
        <v>7556</v>
      </c>
      <c r="G3799" s="18" t="s">
        <v>1059</v>
      </c>
      <c r="H3799" s="18" t="s">
        <v>6339</v>
      </c>
      <c r="I3799" s="20" t="s">
        <v>7557</v>
      </c>
      <c r="J3799" s="18" t="s">
        <v>307</v>
      </c>
      <c r="K3799" s="18" t="s">
        <v>24</v>
      </c>
      <c r="L3799" s="18" t="s">
        <v>25</v>
      </c>
      <c r="N3799" s="18" t="s">
        <v>26</v>
      </c>
    </row>
    <row r="3800" spans="1:14" ht="15" customHeight="1" x14ac:dyDescent="0.3">
      <c r="A3800" s="18" t="s">
        <v>7250</v>
      </c>
      <c r="B3800" s="19" t="s">
        <v>15</v>
      </c>
      <c r="C3800" s="18" t="s">
        <v>210</v>
      </c>
      <c r="D3800" s="18" t="s">
        <v>17</v>
      </c>
      <c r="E3800" s="18" t="s">
        <v>74</v>
      </c>
      <c r="F3800" s="18" t="s">
        <v>7558</v>
      </c>
      <c r="G3800" s="18" t="s">
        <v>47</v>
      </c>
      <c r="H3800" s="18" t="s">
        <v>1587</v>
      </c>
      <c r="I3800" s="20" t="s">
        <v>7559</v>
      </c>
      <c r="J3800" s="18" t="s">
        <v>307</v>
      </c>
      <c r="K3800" s="18" t="s">
        <v>24</v>
      </c>
      <c r="L3800" s="18" t="s">
        <v>25</v>
      </c>
      <c r="N3800" s="18" t="s">
        <v>26</v>
      </c>
    </row>
    <row r="3801" spans="1:14" ht="15" customHeight="1" x14ac:dyDescent="0.3">
      <c r="A3801" s="18" t="s">
        <v>7250</v>
      </c>
      <c r="B3801" s="19" t="s">
        <v>15</v>
      </c>
      <c r="C3801" s="18" t="s">
        <v>210</v>
      </c>
      <c r="D3801" s="18" t="s">
        <v>17</v>
      </c>
      <c r="E3801" s="18" t="s">
        <v>74</v>
      </c>
      <c r="F3801" s="18" t="s">
        <v>3609</v>
      </c>
      <c r="G3801" s="18" t="s">
        <v>826</v>
      </c>
      <c r="H3801" s="18" t="s">
        <v>6028</v>
      </c>
      <c r="I3801" s="20" t="s">
        <v>7560</v>
      </c>
      <c r="J3801" s="18" t="s">
        <v>307</v>
      </c>
      <c r="K3801" s="18" t="s">
        <v>24</v>
      </c>
      <c r="L3801" s="18" t="s">
        <v>25</v>
      </c>
      <c r="N3801" s="18" t="s">
        <v>26</v>
      </c>
    </row>
    <row r="3802" spans="1:14" ht="15" customHeight="1" x14ac:dyDescent="0.3">
      <c r="A3802" s="18" t="s">
        <v>7250</v>
      </c>
      <c r="B3802" s="19" t="s">
        <v>15</v>
      </c>
      <c r="C3802" s="18" t="s">
        <v>210</v>
      </c>
      <c r="D3802" s="18" t="s">
        <v>17</v>
      </c>
      <c r="E3802" s="18" t="s">
        <v>74</v>
      </c>
      <c r="F3802" s="18" t="s">
        <v>7561</v>
      </c>
      <c r="G3802" s="18" t="s">
        <v>28</v>
      </c>
      <c r="H3802" s="18" t="s">
        <v>7562</v>
      </c>
      <c r="I3802" s="20" t="s">
        <v>7563</v>
      </c>
      <c r="J3802" s="18" t="s">
        <v>7564</v>
      </c>
      <c r="K3802" s="18" t="s">
        <v>293</v>
      </c>
      <c r="L3802" s="18" t="s">
        <v>25</v>
      </c>
      <c r="N3802" s="18" t="s">
        <v>26</v>
      </c>
    </row>
    <row r="3803" spans="1:14" ht="15" customHeight="1" x14ac:dyDescent="0.3">
      <c r="A3803" s="18" t="s">
        <v>7250</v>
      </c>
      <c r="B3803" s="19" t="s">
        <v>15</v>
      </c>
      <c r="C3803" s="18" t="s">
        <v>149</v>
      </c>
      <c r="D3803" s="18" t="s">
        <v>17</v>
      </c>
      <c r="E3803" s="18" t="s">
        <v>74</v>
      </c>
      <c r="F3803" s="18" t="s">
        <v>7565</v>
      </c>
      <c r="G3803" s="18" t="s">
        <v>1502</v>
      </c>
      <c r="H3803" s="18" t="s">
        <v>7566</v>
      </c>
      <c r="I3803" s="20" t="s">
        <v>7567</v>
      </c>
      <c r="J3803" s="18" t="s">
        <v>307</v>
      </c>
      <c r="K3803" s="18" t="s">
        <v>24</v>
      </c>
      <c r="L3803" s="18" t="s">
        <v>25</v>
      </c>
      <c r="N3803" s="18" t="s">
        <v>154</v>
      </c>
    </row>
    <row r="3804" spans="1:14" ht="15" customHeight="1" x14ac:dyDescent="0.3">
      <c r="A3804" s="18" t="s">
        <v>7250</v>
      </c>
      <c r="B3804" s="19" t="s">
        <v>15</v>
      </c>
      <c r="C3804" s="18" t="s">
        <v>149</v>
      </c>
      <c r="D3804" s="18" t="s">
        <v>17</v>
      </c>
      <c r="E3804" s="18" t="s">
        <v>74</v>
      </c>
      <c r="F3804" s="18" t="s">
        <v>7568</v>
      </c>
      <c r="G3804" s="18" t="s">
        <v>564</v>
      </c>
      <c r="H3804" s="18" t="s">
        <v>7502</v>
      </c>
      <c r="I3804" s="20" t="s">
        <v>7569</v>
      </c>
      <c r="J3804" s="18" t="s">
        <v>307</v>
      </c>
      <c r="K3804" s="18" t="s">
        <v>24</v>
      </c>
      <c r="L3804" s="18" t="s">
        <v>25</v>
      </c>
      <c r="N3804" s="18" t="s">
        <v>154</v>
      </c>
    </row>
    <row r="3805" spans="1:14" ht="15" customHeight="1" x14ac:dyDescent="0.3">
      <c r="A3805" s="18" t="s">
        <v>7570</v>
      </c>
      <c r="B3805" s="19" t="s">
        <v>15</v>
      </c>
      <c r="C3805" s="18" t="s">
        <v>210</v>
      </c>
      <c r="D3805" s="18" t="s">
        <v>116</v>
      </c>
      <c r="E3805" s="18" t="s">
        <v>18</v>
      </c>
      <c r="F3805" s="18" t="s">
        <v>1054</v>
      </c>
      <c r="G3805" s="18" t="s">
        <v>1055</v>
      </c>
      <c r="H3805" s="18" t="s">
        <v>7571</v>
      </c>
      <c r="I3805" s="20" t="s">
        <v>7572</v>
      </c>
      <c r="J3805" s="18" t="s">
        <v>30</v>
      </c>
      <c r="K3805" s="18" t="s">
        <v>24</v>
      </c>
      <c r="L3805" s="18" t="s">
        <v>25</v>
      </c>
      <c r="N3805" s="18" t="s">
        <v>26</v>
      </c>
    </row>
    <row r="3806" spans="1:14" ht="15" customHeight="1" x14ac:dyDescent="0.3">
      <c r="A3806" s="18" t="s">
        <v>7570</v>
      </c>
      <c r="B3806" s="19" t="s">
        <v>15</v>
      </c>
      <c r="C3806" s="18" t="s">
        <v>7573</v>
      </c>
      <c r="D3806" s="18" t="s">
        <v>116</v>
      </c>
      <c r="E3806" s="18" t="s">
        <v>18</v>
      </c>
      <c r="F3806" s="18" t="s">
        <v>7574</v>
      </c>
      <c r="G3806" s="18" t="s">
        <v>47</v>
      </c>
      <c r="H3806" s="18" t="s">
        <v>7575</v>
      </c>
      <c r="I3806" s="20" t="s">
        <v>7576</v>
      </c>
      <c r="J3806" s="18" t="s">
        <v>30</v>
      </c>
      <c r="K3806" s="18" t="s">
        <v>24</v>
      </c>
      <c r="L3806" s="18" t="s">
        <v>25</v>
      </c>
      <c r="M3806" s="18" t="s">
        <v>7577</v>
      </c>
      <c r="N3806" s="18" t="s">
        <v>26</v>
      </c>
    </row>
    <row r="3807" spans="1:14" ht="15" customHeight="1" x14ac:dyDescent="0.3">
      <c r="A3807" s="18" t="s">
        <v>7570</v>
      </c>
      <c r="B3807" s="19" t="s">
        <v>15</v>
      </c>
      <c r="C3807" s="18" t="s">
        <v>210</v>
      </c>
      <c r="D3807" s="18" t="s">
        <v>116</v>
      </c>
      <c r="E3807" s="18" t="s">
        <v>18</v>
      </c>
      <c r="F3807" s="18" t="s">
        <v>7578</v>
      </c>
      <c r="G3807" s="18" t="s">
        <v>197</v>
      </c>
      <c r="H3807" s="18" t="s">
        <v>7571</v>
      </c>
      <c r="I3807" s="20" t="s">
        <v>7579</v>
      </c>
      <c r="J3807" s="18" t="s">
        <v>30</v>
      </c>
      <c r="K3807" s="18" t="s">
        <v>24</v>
      </c>
      <c r="L3807" s="18" t="s">
        <v>25</v>
      </c>
      <c r="N3807" s="18" t="s">
        <v>26</v>
      </c>
    </row>
    <row r="3808" spans="1:14" ht="15" customHeight="1" x14ac:dyDescent="0.3">
      <c r="A3808" s="18" t="s">
        <v>7570</v>
      </c>
      <c r="B3808" s="19" t="s">
        <v>15</v>
      </c>
      <c r="C3808" s="18" t="s">
        <v>7573</v>
      </c>
      <c r="D3808" s="18" t="s">
        <v>116</v>
      </c>
      <c r="E3808" s="18" t="s">
        <v>18</v>
      </c>
      <c r="F3808" s="18" t="s">
        <v>7580</v>
      </c>
      <c r="G3808" s="18" t="s">
        <v>606</v>
      </c>
      <c r="H3808" s="18" t="s">
        <v>7575</v>
      </c>
      <c r="I3808" s="20" t="s">
        <v>7581</v>
      </c>
      <c r="J3808" s="18" t="s">
        <v>30</v>
      </c>
      <c r="K3808" s="18" t="s">
        <v>24</v>
      </c>
      <c r="L3808" s="18" t="s">
        <v>25</v>
      </c>
      <c r="M3808" s="18" t="s">
        <v>7577</v>
      </c>
      <c r="N3808" s="18" t="s">
        <v>26</v>
      </c>
    </row>
    <row r="3809" spans="1:14" ht="15" customHeight="1" x14ac:dyDescent="0.3">
      <c r="A3809" s="18" t="s">
        <v>7570</v>
      </c>
      <c r="B3809" s="19" t="s">
        <v>15</v>
      </c>
      <c r="C3809" s="18" t="s">
        <v>7573</v>
      </c>
      <c r="D3809" s="18" t="s">
        <v>116</v>
      </c>
      <c r="E3809" s="18" t="s">
        <v>18</v>
      </c>
      <c r="F3809" s="18" t="s">
        <v>7265</v>
      </c>
      <c r="G3809" s="18" t="s">
        <v>606</v>
      </c>
      <c r="H3809" s="18" t="s">
        <v>7575</v>
      </c>
      <c r="I3809" s="20" t="s">
        <v>7582</v>
      </c>
      <c r="J3809" s="18" t="s">
        <v>30</v>
      </c>
      <c r="K3809" s="18" t="s">
        <v>24</v>
      </c>
      <c r="L3809" s="18" t="s">
        <v>25</v>
      </c>
      <c r="M3809" s="18" t="s">
        <v>7577</v>
      </c>
      <c r="N3809" s="18" t="s">
        <v>26</v>
      </c>
    </row>
    <row r="3810" spans="1:14" ht="15" customHeight="1" x14ac:dyDescent="0.3">
      <c r="A3810" s="18" t="s">
        <v>7570</v>
      </c>
      <c r="B3810" s="19" t="s">
        <v>15</v>
      </c>
      <c r="C3810" s="18" t="s">
        <v>210</v>
      </c>
      <c r="D3810" s="18" t="s">
        <v>116</v>
      </c>
      <c r="E3810" s="18" t="s">
        <v>18</v>
      </c>
      <c r="F3810" s="18" t="s">
        <v>6391</v>
      </c>
      <c r="G3810" s="18" t="s">
        <v>1059</v>
      </c>
      <c r="H3810" s="18" t="s">
        <v>7571</v>
      </c>
      <c r="I3810" s="20" t="s">
        <v>7583</v>
      </c>
      <c r="J3810" s="18" t="s">
        <v>30</v>
      </c>
      <c r="K3810" s="18" t="s">
        <v>24</v>
      </c>
      <c r="L3810" s="18" t="s">
        <v>25</v>
      </c>
      <c r="N3810" s="18" t="s">
        <v>26</v>
      </c>
    </row>
    <row r="3811" spans="1:14" ht="15" customHeight="1" x14ac:dyDescent="0.3">
      <c r="A3811" s="18" t="s">
        <v>7570</v>
      </c>
      <c r="B3811" s="19" t="s">
        <v>15</v>
      </c>
      <c r="C3811" s="18" t="s">
        <v>210</v>
      </c>
      <c r="D3811" s="18" t="s">
        <v>116</v>
      </c>
      <c r="E3811" s="18" t="s">
        <v>18</v>
      </c>
      <c r="F3811" s="18" t="s">
        <v>1061</v>
      </c>
      <c r="G3811" s="18" t="s">
        <v>47</v>
      </c>
      <c r="H3811" s="18" t="s">
        <v>7584</v>
      </c>
      <c r="I3811" s="20" t="s">
        <v>7585</v>
      </c>
      <c r="J3811" s="18" t="s">
        <v>30</v>
      </c>
      <c r="K3811" s="18" t="s">
        <v>24</v>
      </c>
      <c r="L3811" s="18" t="s">
        <v>25</v>
      </c>
      <c r="N3811" s="18" t="s">
        <v>26</v>
      </c>
    </row>
    <row r="3812" spans="1:14" ht="15" customHeight="1" x14ac:dyDescent="0.3">
      <c r="A3812" s="18" t="s">
        <v>7570</v>
      </c>
      <c r="B3812" s="19" t="s">
        <v>15</v>
      </c>
      <c r="C3812" s="18" t="s">
        <v>210</v>
      </c>
      <c r="D3812" s="18" t="s">
        <v>116</v>
      </c>
      <c r="E3812" s="18" t="s">
        <v>18</v>
      </c>
      <c r="F3812" s="18" t="s">
        <v>7586</v>
      </c>
      <c r="G3812" s="18" t="s">
        <v>340</v>
      </c>
      <c r="H3812" s="18" t="s">
        <v>7587</v>
      </c>
      <c r="I3812" s="20" t="s">
        <v>7588</v>
      </c>
      <c r="J3812" s="18" t="s">
        <v>30</v>
      </c>
      <c r="K3812" s="18" t="s">
        <v>24</v>
      </c>
      <c r="L3812" s="18" t="s">
        <v>25</v>
      </c>
      <c r="N3812" s="18" t="s">
        <v>26</v>
      </c>
    </row>
    <row r="3813" spans="1:14" ht="15" customHeight="1" x14ac:dyDescent="0.3">
      <c r="A3813" s="18" t="s">
        <v>7570</v>
      </c>
      <c r="B3813" s="19" t="s">
        <v>15</v>
      </c>
      <c r="C3813" s="18" t="s">
        <v>210</v>
      </c>
      <c r="D3813" s="18" t="s">
        <v>116</v>
      </c>
      <c r="E3813" s="18" t="s">
        <v>18</v>
      </c>
      <c r="F3813" s="18" t="s">
        <v>7589</v>
      </c>
      <c r="G3813" s="18" t="s">
        <v>7590</v>
      </c>
      <c r="H3813" s="18" t="s">
        <v>7571</v>
      </c>
      <c r="I3813" s="20" t="s">
        <v>7591</v>
      </c>
      <c r="J3813" s="18" t="s">
        <v>30</v>
      </c>
      <c r="K3813" s="18" t="s">
        <v>24</v>
      </c>
      <c r="L3813" s="18" t="s">
        <v>25</v>
      </c>
      <c r="N3813" s="18" t="s">
        <v>26</v>
      </c>
    </row>
    <row r="3814" spans="1:14" ht="15" customHeight="1" x14ac:dyDescent="0.3">
      <c r="A3814" s="18" t="s">
        <v>7570</v>
      </c>
      <c r="B3814" s="19" t="s">
        <v>15</v>
      </c>
      <c r="C3814" s="18" t="s">
        <v>210</v>
      </c>
      <c r="D3814" s="18" t="s">
        <v>116</v>
      </c>
      <c r="E3814" s="18" t="s">
        <v>18</v>
      </c>
      <c r="F3814" s="18" t="s">
        <v>2921</v>
      </c>
      <c r="G3814" s="18" t="s">
        <v>2921</v>
      </c>
      <c r="H3814" s="18" t="s">
        <v>7571</v>
      </c>
      <c r="I3814" s="20" t="s">
        <v>7592</v>
      </c>
      <c r="J3814" s="18" t="s">
        <v>30</v>
      </c>
      <c r="K3814" s="18" t="s">
        <v>24</v>
      </c>
      <c r="L3814" s="18" t="s">
        <v>25</v>
      </c>
      <c r="N3814" s="18" t="s">
        <v>26</v>
      </c>
    </row>
    <row r="3815" spans="1:14" ht="15" customHeight="1" x14ac:dyDescent="0.3">
      <c r="A3815" s="18" t="s">
        <v>7570</v>
      </c>
      <c r="B3815" s="19" t="s">
        <v>15</v>
      </c>
      <c r="C3815" s="18" t="s">
        <v>210</v>
      </c>
      <c r="D3815" s="18" t="s">
        <v>116</v>
      </c>
      <c r="E3815" s="18" t="s">
        <v>18</v>
      </c>
      <c r="F3815" s="18" t="s">
        <v>6324</v>
      </c>
      <c r="G3815" s="18" t="s">
        <v>1130</v>
      </c>
      <c r="H3815" s="18" t="s">
        <v>7571</v>
      </c>
      <c r="I3815" s="20" t="s">
        <v>7593</v>
      </c>
      <c r="J3815" s="18" t="s">
        <v>30</v>
      </c>
      <c r="K3815" s="18" t="s">
        <v>24</v>
      </c>
      <c r="L3815" s="18" t="s">
        <v>25</v>
      </c>
      <c r="N3815" s="18" t="s">
        <v>26</v>
      </c>
    </row>
    <row r="3816" spans="1:14" ht="15" customHeight="1" x14ac:dyDescent="0.3">
      <c r="A3816" s="18" t="s">
        <v>7570</v>
      </c>
      <c r="B3816" s="19" t="s">
        <v>15</v>
      </c>
      <c r="C3816" s="18" t="s">
        <v>210</v>
      </c>
      <c r="D3816" s="18" t="s">
        <v>116</v>
      </c>
      <c r="E3816" s="18" t="s">
        <v>18</v>
      </c>
      <c r="F3816" s="18" t="s">
        <v>7594</v>
      </c>
      <c r="G3816" s="18" t="s">
        <v>192</v>
      </c>
      <c r="H3816" s="18" t="s">
        <v>7571</v>
      </c>
      <c r="I3816" s="20" t="s">
        <v>7595</v>
      </c>
      <c r="J3816" s="18" t="s">
        <v>30</v>
      </c>
      <c r="K3816" s="18" t="s">
        <v>24</v>
      </c>
      <c r="L3816" s="18" t="s">
        <v>25</v>
      </c>
      <c r="N3816" s="18" t="s">
        <v>26</v>
      </c>
    </row>
    <row r="3817" spans="1:14" ht="15" customHeight="1" x14ac:dyDescent="0.3">
      <c r="A3817" s="18" t="s">
        <v>7570</v>
      </c>
      <c r="B3817" s="19" t="s">
        <v>15</v>
      </c>
      <c r="C3817" s="18" t="s">
        <v>210</v>
      </c>
      <c r="D3817" s="18" t="s">
        <v>116</v>
      </c>
      <c r="E3817" s="18" t="s">
        <v>18</v>
      </c>
      <c r="F3817" s="18" t="s">
        <v>19</v>
      </c>
      <c r="G3817" s="18" t="s">
        <v>19</v>
      </c>
      <c r="H3817" s="18" t="s">
        <v>7596</v>
      </c>
      <c r="I3817" s="20" t="s">
        <v>7597</v>
      </c>
      <c r="J3817" s="18" t="s">
        <v>58</v>
      </c>
      <c r="K3817" s="18" t="s">
        <v>24</v>
      </c>
      <c r="L3817" s="18" t="s">
        <v>25</v>
      </c>
      <c r="N3817" s="18" t="s">
        <v>26</v>
      </c>
    </row>
    <row r="3818" spans="1:14" ht="15" customHeight="1" x14ac:dyDescent="0.3">
      <c r="A3818" s="18" t="s">
        <v>7570</v>
      </c>
      <c r="B3818" s="19" t="s">
        <v>15</v>
      </c>
      <c r="C3818" s="18" t="s">
        <v>7573</v>
      </c>
      <c r="D3818" s="18" t="s">
        <v>116</v>
      </c>
      <c r="E3818" s="18" t="s">
        <v>18</v>
      </c>
      <c r="F3818" s="18" t="s">
        <v>7598</v>
      </c>
      <c r="G3818" s="18" t="s">
        <v>243</v>
      </c>
      <c r="H3818" s="18" t="s">
        <v>7575</v>
      </c>
      <c r="I3818" s="20" t="s">
        <v>7599</v>
      </c>
      <c r="J3818" s="18" t="s">
        <v>30</v>
      </c>
      <c r="K3818" s="18" t="s">
        <v>24</v>
      </c>
      <c r="L3818" s="18" t="s">
        <v>25</v>
      </c>
      <c r="M3818" s="18" t="s">
        <v>7577</v>
      </c>
      <c r="N3818" s="18" t="s">
        <v>26</v>
      </c>
    </row>
    <row r="3819" spans="1:14" ht="15" customHeight="1" x14ac:dyDescent="0.3">
      <c r="A3819" s="18" t="s">
        <v>7570</v>
      </c>
      <c r="B3819" s="19" t="s">
        <v>15</v>
      </c>
      <c r="C3819" s="18" t="s">
        <v>210</v>
      </c>
      <c r="D3819" s="18" t="s">
        <v>116</v>
      </c>
      <c r="E3819" s="18" t="s">
        <v>18</v>
      </c>
      <c r="F3819" s="18" t="s">
        <v>619</v>
      </c>
      <c r="G3819" s="18" t="s">
        <v>619</v>
      </c>
      <c r="H3819" s="18" t="s">
        <v>7600</v>
      </c>
      <c r="I3819" s="20" t="s">
        <v>7601</v>
      </c>
      <c r="J3819" s="18" t="s">
        <v>23</v>
      </c>
      <c r="K3819" s="18" t="s">
        <v>24</v>
      </c>
      <c r="L3819" s="18" t="s">
        <v>25</v>
      </c>
      <c r="N3819" s="18" t="s">
        <v>26</v>
      </c>
    </row>
    <row r="3820" spans="1:14" ht="15" customHeight="1" x14ac:dyDescent="0.3">
      <c r="A3820" s="18" t="s">
        <v>7570</v>
      </c>
      <c r="B3820" s="19" t="s">
        <v>15</v>
      </c>
      <c r="C3820" s="18" t="s">
        <v>210</v>
      </c>
      <c r="D3820" s="18" t="s">
        <v>116</v>
      </c>
      <c r="E3820" s="18" t="s">
        <v>18</v>
      </c>
      <c r="F3820" s="18" t="s">
        <v>1069</v>
      </c>
      <c r="G3820" s="18" t="s">
        <v>1069</v>
      </c>
      <c r="H3820" s="18" t="s">
        <v>7602</v>
      </c>
      <c r="I3820" s="20" t="s">
        <v>7603</v>
      </c>
      <c r="J3820" s="18" t="s">
        <v>30</v>
      </c>
      <c r="K3820" s="18" t="s">
        <v>24</v>
      </c>
      <c r="L3820" s="18" t="s">
        <v>25</v>
      </c>
      <c r="N3820" s="18" t="s">
        <v>26</v>
      </c>
    </row>
    <row r="3821" spans="1:14" ht="15" customHeight="1" x14ac:dyDescent="0.3">
      <c r="A3821" s="18" t="s">
        <v>7570</v>
      </c>
      <c r="B3821" s="19" t="s">
        <v>15</v>
      </c>
      <c r="C3821" s="18" t="s">
        <v>7573</v>
      </c>
      <c r="D3821" s="18" t="s">
        <v>116</v>
      </c>
      <c r="E3821" s="18" t="s">
        <v>18</v>
      </c>
      <c r="F3821" s="18" t="s">
        <v>7604</v>
      </c>
      <c r="G3821" s="18" t="s">
        <v>1254</v>
      </c>
      <c r="H3821" s="18" t="s">
        <v>7575</v>
      </c>
      <c r="I3821" s="20" t="s">
        <v>7605</v>
      </c>
      <c r="J3821" s="18" t="s">
        <v>30</v>
      </c>
      <c r="K3821" s="18" t="s">
        <v>24</v>
      </c>
      <c r="L3821" s="18" t="s">
        <v>25</v>
      </c>
      <c r="M3821" s="18" t="s">
        <v>7577</v>
      </c>
      <c r="N3821" s="18" t="s">
        <v>26</v>
      </c>
    </row>
    <row r="3822" spans="1:14" ht="15" customHeight="1" x14ac:dyDescent="0.3">
      <c r="A3822" s="18" t="s">
        <v>7570</v>
      </c>
      <c r="B3822" s="19" t="s">
        <v>15</v>
      </c>
      <c r="C3822" s="18" t="s">
        <v>7573</v>
      </c>
      <c r="D3822" s="18" t="s">
        <v>116</v>
      </c>
      <c r="E3822" s="18" t="s">
        <v>18</v>
      </c>
      <c r="F3822" s="18" t="s">
        <v>1239</v>
      </c>
      <c r="G3822" s="18" t="s">
        <v>1254</v>
      </c>
      <c r="H3822" s="18" t="s">
        <v>7575</v>
      </c>
      <c r="I3822" s="20" t="s">
        <v>7606</v>
      </c>
      <c r="J3822" s="18" t="s">
        <v>30</v>
      </c>
      <c r="K3822" s="18" t="s">
        <v>24</v>
      </c>
      <c r="L3822" s="18" t="s">
        <v>25</v>
      </c>
      <c r="M3822" s="18" t="s">
        <v>7577</v>
      </c>
      <c r="N3822" s="18" t="s">
        <v>26</v>
      </c>
    </row>
    <row r="3823" spans="1:14" ht="15" customHeight="1" x14ac:dyDescent="0.3">
      <c r="A3823" s="18" t="s">
        <v>7570</v>
      </c>
      <c r="B3823" s="19" t="s">
        <v>15</v>
      </c>
      <c r="C3823" s="18" t="s">
        <v>7573</v>
      </c>
      <c r="D3823" s="18" t="s">
        <v>116</v>
      </c>
      <c r="E3823" s="18" t="s">
        <v>18</v>
      </c>
      <c r="F3823" s="18" t="s">
        <v>221</v>
      </c>
      <c r="G3823" s="18" t="s">
        <v>212</v>
      </c>
      <c r="H3823" s="18" t="s">
        <v>7575</v>
      </c>
      <c r="I3823" s="20" t="s">
        <v>7607</v>
      </c>
      <c r="J3823" s="18" t="s">
        <v>30</v>
      </c>
      <c r="K3823" s="18" t="s">
        <v>24</v>
      </c>
      <c r="L3823" s="18" t="s">
        <v>25</v>
      </c>
      <c r="M3823" s="18" t="s">
        <v>7577</v>
      </c>
      <c r="N3823" s="18" t="s">
        <v>26</v>
      </c>
    </row>
    <row r="3824" spans="1:14" ht="15" customHeight="1" x14ac:dyDescent="0.3">
      <c r="A3824" s="18" t="s">
        <v>7570</v>
      </c>
      <c r="B3824" s="19" t="s">
        <v>15</v>
      </c>
      <c r="C3824" s="18" t="s">
        <v>7573</v>
      </c>
      <c r="D3824" s="18" t="s">
        <v>116</v>
      </c>
      <c r="E3824" s="18" t="s">
        <v>18</v>
      </c>
      <c r="F3824" s="18" t="s">
        <v>1244</v>
      </c>
      <c r="G3824" s="18" t="s">
        <v>1204</v>
      </c>
      <c r="H3824" s="18" t="s">
        <v>7575</v>
      </c>
      <c r="I3824" s="20" t="s">
        <v>7608</v>
      </c>
      <c r="J3824" s="18" t="s">
        <v>30</v>
      </c>
      <c r="K3824" s="18" t="s">
        <v>24</v>
      </c>
      <c r="L3824" s="18" t="s">
        <v>25</v>
      </c>
      <c r="M3824" s="18" t="s">
        <v>7577</v>
      </c>
      <c r="N3824" s="18" t="s">
        <v>26</v>
      </c>
    </row>
    <row r="3825" spans="1:14" ht="15" customHeight="1" x14ac:dyDescent="0.3">
      <c r="A3825" s="18" t="s">
        <v>7570</v>
      </c>
      <c r="B3825" s="19" t="s">
        <v>15</v>
      </c>
      <c r="C3825" s="18" t="s">
        <v>7573</v>
      </c>
      <c r="D3825" s="18" t="s">
        <v>116</v>
      </c>
      <c r="E3825" s="18" t="s">
        <v>18</v>
      </c>
      <c r="F3825" s="18" t="s">
        <v>7609</v>
      </c>
      <c r="G3825" s="18" t="s">
        <v>1254</v>
      </c>
      <c r="H3825" s="18" t="s">
        <v>7575</v>
      </c>
      <c r="I3825" s="20" t="s">
        <v>7610</v>
      </c>
      <c r="J3825" s="18" t="s">
        <v>30</v>
      </c>
      <c r="K3825" s="18" t="s">
        <v>24</v>
      </c>
      <c r="L3825" s="18" t="s">
        <v>25</v>
      </c>
      <c r="M3825" s="18" t="s">
        <v>7577</v>
      </c>
      <c r="N3825" s="18" t="s">
        <v>26</v>
      </c>
    </row>
    <row r="3826" spans="1:14" ht="15" customHeight="1" x14ac:dyDescent="0.3">
      <c r="A3826" s="18" t="s">
        <v>7570</v>
      </c>
      <c r="B3826" s="19" t="s">
        <v>15</v>
      </c>
      <c r="C3826" s="18" t="s">
        <v>7573</v>
      </c>
      <c r="D3826" s="18" t="s">
        <v>116</v>
      </c>
      <c r="E3826" s="18" t="s">
        <v>18</v>
      </c>
      <c r="F3826" s="18" t="s">
        <v>7611</v>
      </c>
      <c r="G3826" s="18" t="s">
        <v>2248</v>
      </c>
      <c r="H3826" s="18" t="s">
        <v>7575</v>
      </c>
      <c r="I3826" s="20" t="s">
        <v>7612</v>
      </c>
      <c r="J3826" s="18" t="s">
        <v>30</v>
      </c>
      <c r="K3826" s="18" t="s">
        <v>24</v>
      </c>
      <c r="L3826" s="18" t="s">
        <v>25</v>
      </c>
      <c r="M3826" s="18" t="s">
        <v>7577</v>
      </c>
      <c r="N3826" s="18" t="s">
        <v>26</v>
      </c>
    </row>
    <row r="3827" spans="1:14" ht="15" customHeight="1" x14ac:dyDescent="0.3">
      <c r="A3827" s="18" t="s">
        <v>7570</v>
      </c>
      <c r="B3827" s="19" t="s">
        <v>15</v>
      </c>
      <c r="C3827" s="18" t="s">
        <v>7573</v>
      </c>
      <c r="D3827" s="18" t="s">
        <v>116</v>
      </c>
      <c r="E3827" s="18" t="s">
        <v>18</v>
      </c>
      <c r="F3827" s="18" t="s">
        <v>1072</v>
      </c>
      <c r="G3827" s="18" t="s">
        <v>47</v>
      </c>
      <c r="H3827" s="18" t="s">
        <v>7575</v>
      </c>
      <c r="I3827" s="20" t="s">
        <v>7613</v>
      </c>
      <c r="J3827" s="18" t="s">
        <v>30</v>
      </c>
      <c r="K3827" s="18" t="s">
        <v>24</v>
      </c>
      <c r="L3827" s="18" t="s">
        <v>25</v>
      </c>
      <c r="M3827" s="18" t="s">
        <v>7577</v>
      </c>
      <c r="N3827" s="18" t="s">
        <v>26</v>
      </c>
    </row>
    <row r="3828" spans="1:14" ht="15" customHeight="1" x14ac:dyDescent="0.3">
      <c r="A3828" s="18" t="s">
        <v>7570</v>
      </c>
      <c r="B3828" s="19" t="s">
        <v>15</v>
      </c>
      <c r="C3828" s="18" t="s">
        <v>7573</v>
      </c>
      <c r="D3828" s="18" t="s">
        <v>116</v>
      </c>
      <c r="E3828" s="18" t="s">
        <v>18</v>
      </c>
      <c r="F3828" s="18" t="s">
        <v>34</v>
      </c>
      <c r="G3828" s="18" t="s">
        <v>1254</v>
      </c>
      <c r="H3828" s="18" t="s">
        <v>7575</v>
      </c>
      <c r="I3828" s="20" t="s">
        <v>7614</v>
      </c>
      <c r="J3828" s="18" t="s">
        <v>30</v>
      </c>
      <c r="K3828" s="18" t="s">
        <v>24</v>
      </c>
      <c r="L3828" s="18" t="s">
        <v>25</v>
      </c>
      <c r="M3828" s="18" t="s">
        <v>7577</v>
      </c>
      <c r="N3828" s="18" t="s">
        <v>26</v>
      </c>
    </row>
    <row r="3829" spans="1:14" ht="15" customHeight="1" x14ac:dyDescent="0.3">
      <c r="A3829" s="18" t="s">
        <v>7570</v>
      </c>
      <c r="B3829" s="19" t="s">
        <v>15</v>
      </c>
      <c r="C3829" s="18" t="s">
        <v>7573</v>
      </c>
      <c r="D3829" s="18" t="s">
        <v>116</v>
      </c>
      <c r="E3829" s="18" t="s">
        <v>18</v>
      </c>
      <c r="F3829" s="18" t="s">
        <v>1276</v>
      </c>
      <c r="G3829" s="18" t="s">
        <v>1251</v>
      </c>
      <c r="H3829" s="18" t="s">
        <v>7575</v>
      </c>
      <c r="I3829" s="20" t="s">
        <v>7615</v>
      </c>
      <c r="J3829" s="18" t="s">
        <v>30</v>
      </c>
      <c r="K3829" s="18" t="s">
        <v>24</v>
      </c>
      <c r="L3829" s="18" t="s">
        <v>25</v>
      </c>
      <c r="M3829" s="18" t="s">
        <v>7577</v>
      </c>
      <c r="N3829" s="18" t="s">
        <v>26</v>
      </c>
    </row>
    <row r="3830" spans="1:14" ht="15" customHeight="1" x14ac:dyDescent="0.3">
      <c r="A3830" s="18" t="s">
        <v>7570</v>
      </c>
      <c r="B3830" s="19" t="s">
        <v>15</v>
      </c>
      <c r="C3830" s="18" t="s">
        <v>7573</v>
      </c>
      <c r="D3830" s="18" t="s">
        <v>116</v>
      </c>
      <c r="E3830" s="18" t="s">
        <v>18</v>
      </c>
      <c r="F3830" s="18" t="s">
        <v>7616</v>
      </c>
      <c r="G3830" s="18" t="s">
        <v>1075</v>
      </c>
      <c r="H3830" s="18" t="s">
        <v>7575</v>
      </c>
      <c r="I3830" s="20" t="s">
        <v>7617</v>
      </c>
      <c r="J3830" s="18" t="s">
        <v>30</v>
      </c>
      <c r="K3830" s="18" t="s">
        <v>24</v>
      </c>
      <c r="L3830" s="18" t="s">
        <v>25</v>
      </c>
      <c r="M3830" s="18" t="s">
        <v>7577</v>
      </c>
      <c r="N3830" s="18" t="s">
        <v>26</v>
      </c>
    </row>
    <row r="3831" spans="1:14" ht="15" customHeight="1" x14ac:dyDescent="0.3">
      <c r="A3831" s="18" t="s">
        <v>7570</v>
      </c>
      <c r="B3831" s="19" t="s">
        <v>15</v>
      </c>
      <c r="C3831" s="18" t="s">
        <v>7573</v>
      </c>
      <c r="D3831" s="18" t="s">
        <v>116</v>
      </c>
      <c r="E3831" s="18" t="s">
        <v>18</v>
      </c>
      <c r="F3831" s="18" t="s">
        <v>37</v>
      </c>
      <c r="G3831" s="18" t="s">
        <v>1254</v>
      </c>
      <c r="H3831" s="18" t="s">
        <v>7575</v>
      </c>
      <c r="I3831" s="20" t="s">
        <v>7618</v>
      </c>
      <c r="J3831" s="18" t="s">
        <v>30</v>
      </c>
      <c r="K3831" s="18" t="s">
        <v>24</v>
      </c>
      <c r="L3831" s="18" t="s">
        <v>25</v>
      </c>
      <c r="M3831" s="18" t="s">
        <v>7577</v>
      </c>
      <c r="N3831" s="18" t="s">
        <v>26</v>
      </c>
    </row>
    <row r="3832" spans="1:14" ht="15" customHeight="1" x14ac:dyDescent="0.3">
      <c r="A3832" s="18" t="s">
        <v>7570</v>
      </c>
      <c r="B3832" s="19" t="s">
        <v>15</v>
      </c>
      <c r="C3832" s="18" t="s">
        <v>7573</v>
      </c>
      <c r="D3832" s="18" t="s">
        <v>116</v>
      </c>
      <c r="E3832" s="18" t="s">
        <v>18</v>
      </c>
      <c r="F3832" s="18" t="s">
        <v>7619</v>
      </c>
      <c r="G3832" s="18" t="s">
        <v>1075</v>
      </c>
      <c r="H3832" s="18" t="s">
        <v>7575</v>
      </c>
      <c r="I3832" s="20" t="s">
        <v>7620</v>
      </c>
      <c r="J3832" s="18" t="s">
        <v>30</v>
      </c>
      <c r="K3832" s="18" t="s">
        <v>24</v>
      </c>
      <c r="L3832" s="18" t="s">
        <v>25</v>
      </c>
      <c r="M3832" s="18" t="s">
        <v>7577</v>
      </c>
      <c r="N3832" s="18" t="s">
        <v>26</v>
      </c>
    </row>
    <row r="3833" spans="1:14" ht="15" customHeight="1" x14ac:dyDescent="0.3">
      <c r="A3833" s="18" t="s">
        <v>7570</v>
      </c>
      <c r="B3833" s="19" t="s">
        <v>15</v>
      </c>
      <c r="C3833" s="18" t="s">
        <v>7573</v>
      </c>
      <c r="D3833" s="18" t="s">
        <v>116</v>
      </c>
      <c r="E3833" s="18" t="s">
        <v>18</v>
      </c>
      <c r="F3833" s="18" t="s">
        <v>2099</v>
      </c>
      <c r="G3833" s="18" t="s">
        <v>1502</v>
      </c>
      <c r="H3833" s="18" t="s">
        <v>7575</v>
      </c>
      <c r="I3833" s="20" t="s">
        <v>7621</v>
      </c>
      <c r="J3833" s="18" t="s">
        <v>30</v>
      </c>
      <c r="K3833" s="18" t="s">
        <v>24</v>
      </c>
      <c r="L3833" s="18" t="s">
        <v>25</v>
      </c>
      <c r="M3833" s="18" t="s">
        <v>7577</v>
      </c>
      <c r="N3833" s="18" t="s">
        <v>26</v>
      </c>
    </row>
    <row r="3834" spans="1:14" ht="15" customHeight="1" x14ac:dyDescent="0.3">
      <c r="A3834" s="18" t="s">
        <v>7570</v>
      </c>
      <c r="B3834" s="19" t="s">
        <v>15</v>
      </c>
      <c r="C3834" s="18" t="s">
        <v>7573</v>
      </c>
      <c r="D3834" s="18" t="s">
        <v>116</v>
      </c>
      <c r="E3834" s="18" t="s">
        <v>18</v>
      </c>
      <c r="F3834" s="18" t="s">
        <v>1253</v>
      </c>
      <c r="G3834" s="18" t="s">
        <v>1254</v>
      </c>
      <c r="H3834" s="18" t="s">
        <v>7575</v>
      </c>
      <c r="I3834" s="20" t="s">
        <v>7622</v>
      </c>
      <c r="J3834" s="18" t="s">
        <v>30</v>
      </c>
      <c r="K3834" s="18" t="s">
        <v>24</v>
      </c>
      <c r="L3834" s="18" t="s">
        <v>25</v>
      </c>
      <c r="M3834" s="18" t="s">
        <v>7577</v>
      </c>
      <c r="N3834" s="18" t="s">
        <v>26</v>
      </c>
    </row>
    <row r="3835" spans="1:14" ht="15" customHeight="1" x14ac:dyDescent="0.3">
      <c r="A3835" s="18" t="s">
        <v>7570</v>
      </c>
      <c r="B3835" s="19" t="s">
        <v>15</v>
      </c>
      <c r="C3835" s="18" t="s">
        <v>210</v>
      </c>
      <c r="D3835" s="18" t="s">
        <v>116</v>
      </c>
      <c r="E3835" s="18" t="s">
        <v>18</v>
      </c>
      <c r="F3835" s="18" t="s">
        <v>7623</v>
      </c>
      <c r="G3835" s="18" t="s">
        <v>2248</v>
      </c>
      <c r="H3835" s="18" t="s">
        <v>7602</v>
      </c>
      <c r="I3835" s="20" t="s">
        <v>7624</v>
      </c>
      <c r="J3835" s="18" t="s">
        <v>30</v>
      </c>
      <c r="K3835" s="18" t="s">
        <v>24</v>
      </c>
      <c r="L3835" s="18" t="s">
        <v>25</v>
      </c>
      <c r="N3835" s="18" t="s">
        <v>26</v>
      </c>
    </row>
    <row r="3836" spans="1:14" ht="15" customHeight="1" x14ac:dyDescent="0.3">
      <c r="A3836" s="18" t="s">
        <v>7570</v>
      </c>
      <c r="B3836" s="19" t="s">
        <v>15</v>
      </c>
      <c r="C3836" s="18" t="s">
        <v>210</v>
      </c>
      <c r="D3836" s="18" t="s">
        <v>116</v>
      </c>
      <c r="E3836" s="18" t="s">
        <v>18</v>
      </c>
      <c r="F3836" s="18" t="s">
        <v>6425</v>
      </c>
      <c r="G3836" s="18" t="s">
        <v>312</v>
      </c>
      <c r="H3836" s="18" t="s">
        <v>7571</v>
      </c>
      <c r="I3836" s="20" t="s">
        <v>7625</v>
      </c>
      <c r="J3836" s="18" t="s">
        <v>30</v>
      </c>
      <c r="K3836" s="18" t="s">
        <v>24</v>
      </c>
      <c r="L3836" s="18" t="s">
        <v>25</v>
      </c>
      <c r="N3836" s="18" t="s">
        <v>26</v>
      </c>
    </row>
    <row r="3837" spans="1:14" ht="15" customHeight="1" x14ac:dyDescent="0.3">
      <c r="A3837" s="18" t="s">
        <v>7570</v>
      </c>
      <c r="B3837" s="19" t="s">
        <v>15</v>
      </c>
      <c r="C3837" s="18" t="s">
        <v>210</v>
      </c>
      <c r="D3837" s="18" t="s">
        <v>116</v>
      </c>
      <c r="E3837" s="18" t="s">
        <v>18</v>
      </c>
      <c r="F3837" s="18" t="s">
        <v>7626</v>
      </c>
      <c r="G3837" s="18" t="s">
        <v>2248</v>
      </c>
      <c r="H3837" s="18" t="s">
        <v>7571</v>
      </c>
      <c r="I3837" s="20" t="s">
        <v>7627</v>
      </c>
      <c r="J3837" s="18" t="s">
        <v>30</v>
      </c>
      <c r="K3837" s="18" t="s">
        <v>24</v>
      </c>
      <c r="L3837" s="18" t="s">
        <v>25</v>
      </c>
      <c r="N3837" s="18" t="s">
        <v>26</v>
      </c>
    </row>
    <row r="3838" spans="1:14" ht="15" customHeight="1" x14ac:dyDescent="0.3">
      <c r="A3838" s="18" t="s">
        <v>7570</v>
      </c>
      <c r="B3838" s="19" t="s">
        <v>15</v>
      </c>
      <c r="C3838" s="18" t="s">
        <v>210</v>
      </c>
      <c r="D3838" s="18" t="s">
        <v>116</v>
      </c>
      <c r="E3838" s="18" t="s">
        <v>18</v>
      </c>
      <c r="F3838" s="18" t="s">
        <v>6432</v>
      </c>
      <c r="G3838" s="18" t="s">
        <v>6433</v>
      </c>
      <c r="H3838" s="18" t="s">
        <v>7571</v>
      </c>
      <c r="I3838" s="20" t="s">
        <v>7628</v>
      </c>
      <c r="J3838" s="18" t="s">
        <v>30</v>
      </c>
      <c r="K3838" s="18" t="s">
        <v>24</v>
      </c>
      <c r="L3838" s="18" t="s">
        <v>25</v>
      </c>
      <c r="N3838" s="18" t="s">
        <v>26</v>
      </c>
    </row>
    <row r="3839" spans="1:14" ht="15" customHeight="1" x14ac:dyDescent="0.3">
      <c r="A3839" s="18" t="s">
        <v>7570</v>
      </c>
      <c r="B3839" s="19" t="s">
        <v>15</v>
      </c>
      <c r="C3839" s="18" t="s">
        <v>210</v>
      </c>
      <c r="D3839" s="18" t="s">
        <v>116</v>
      </c>
      <c r="E3839" s="18" t="s">
        <v>18</v>
      </c>
      <c r="F3839" s="18" t="s">
        <v>7629</v>
      </c>
      <c r="G3839" s="18" t="s">
        <v>1055</v>
      </c>
      <c r="H3839" s="18" t="s">
        <v>7571</v>
      </c>
      <c r="I3839" s="20" t="s">
        <v>7630</v>
      </c>
      <c r="J3839" s="18" t="s">
        <v>30</v>
      </c>
      <c r="K3839" s="18" t="s">
        <v>24</v>
      </c>
      <c r="L3839" s="18" t="s">
        <v>25</v>
      </c>
      <c r="N3839" s="18" t="s">
        <v>26</v>
      </c>
    </row>
    <row r="3840" spans="1:14" ht="15" customHeight="1" x14ac:dyDescent="0.3">
      <c r="A3840" s="18" t="s">
        <v>7570</v>
      </c>
      <c r="B3840" s="19" t="s">
        <v>15</v>
      </c>
      <c r="C3840" s="18" t="s">
        <v>7573</v>
      </c>
      <c r="D3840" s="18" t="s">
        <v>116</v>
      </c>
      <c r="E3840" s="18" t="s">
        <v>18</v>
      </c>
      <c r="F3840" s="18" t="s">
        <v>7631</v>
      </c>
      <c r="G3840" s="18" t="s">
        <v>2248</v>
      </c>
      <c r="H3840" s="18" t="s">
        <v>7575</v>
      </c>
      <c r="I3840" s="20" t="s">
        <v>7632</v>
      </c>
      <c r="J3840" s="18" t="s">
        <v>30</v>
      </c>
      <c r="K3840" s="18" t="s">
        <v>24</v>
      </c>
      <c r="L3840" s="18" t="s">
        <v>25</v>
      </c>
      <c r="M3840" s="18" t="s">
        <v>7577</v>
      </c>
      <c r="N3840" s="18" t="s">
        <v>26</v>
      </c>
    </row>
    <row r="3841" spans="1:14" ht="15" customHeight="1" x14ac:dyDescent="0.3">
      <c r="A3841" s="18" t="s">
        <v>7570</v>
      </c>
      <c r="B3841" s="19" t="s">
        <v>15</v>
      </c>
      <c r="C3841" s="18" t="s">
        <v>210</v>
      </c>
      <c r="D3841" s="18" t="s">
        <v>116</v>
      </c>
      <c r="E3841" s="18" t="s">
        <v>18</v>
      </c>
      <c r="F3841" s="18" t="s">
        <v>40</v>
      </c>
      <c r="G3841" s="18" t="s">
        <v>41</v>
      </c>
      <c r="H3841" s="18" t="s">
        <v>7602</v>
      </c>
      <c r="I3841" s="20" t="s">
        <v>7633</v>
      </c>
      <c r="J3841" s="18" t="s">
        <v>30</v>
      </c>
      <c r="K3841" s="18" t="s">
        <v>24</v>
      </c>
      <c r="L3841" s="18" t="s">
        <v>25</v>
      </c>
      <c r="N3841" s="18" t="s">
        <v>26</v>
      </c>
    </row>
    <row r="3842" spans="1:14" ht="15" customHeight="1" x14ac:dyDescent="0.3">
      <c r="A3842" s="18" t="s">
        <v>7570</v>
      </c>
      <c r="B3842" s="19" t="s">
        <v>15</v>
      </c>
      <c r="C3842" s="18" t="s">
        <v>210</v>
      </c>
      <c r="D3842" s="18" t="s">
        <v>116</v>
      </c>
      <c r="E3842" s="18" t="s">
        <v>18</v>
      </c>
      <c r="F3842" s="18" t="s">
        <v>7634</v>
      </c>
      <c r="G3842" s="18" t="s">
        <v>41</v>
      </c>
      <c r="H3842" s="18" t="s">
        <v>7584</v>
      </c>
      <c r="I3842" s="20" t="s">
        <v>7635</v>
      </c>
      <c r="J3842" s="18" t="s">
        <v>30</v>
      </c>
      <c r="K3842" s="18" t="s">
        <v>24</v>
      </c>
      <c r="L3842" s="18" t="s">
        <v>25</v>
      </c>
      <c r="N3842" s="18" t="s">
        <v>26</v>
      </c>
    </row>
    <row r="3843" spans="1:14" ht="15" customHeight="1" x14ac:dyDescent="0.3">
      <c r="A3843" s="18" t="s">
        <v>7570</v>
      </c>
      <c r="B3843" s="19" t="s">
        <v>15</v>
      </c>
      <c r="C3843" s="18" t="s">
        <v>210</v>
      </c>
      <c r="D3843" s="18" t="s">
        <v>116</v>
      </c>
      <c r="E3843" s="18" t="s">
        <v>18</v>
      </c>
      <c r="F3843" s="18" t="s">
        <v>6250</v>
      </c>
      <c r="G3843" s="18" t="s">
        <v>197</v>
      </c>
      <c r="H3843" s="18" t="s">
        <v>7571</v>
      </c>
      <c r="I3843" s="20" t="s">
        <v>7636</v>
      </c>
      <c r="J3843" s="18" t="s">
        <v>30</v>
      </c>
      <c r="K3843" s="18" t="s">
        <v>24</v>
      </c>
      <c r="L3843" s="18" t="s">
        <v>25</v>
      </c>
      <c r="N3843" s="18" t="s">
        <v>26</v>
      </c>
    </row>
    <row r="3844" spans="1:14" ht="15" customHeight="1" x14ac:dyDescent="0.3">
      <c r="A3844" s="18" t="s">
        <v>7570</v>
      </c>
      <c r="B3844" s="19" t="s">
        <v>15</v>
      </c>
      <c r="C3844" s="18" t="s">
        <v>210</v>
      </c>
      <c r="D3844" s="18" t="s">
        <v>116</v>
      </c>
      <c r="E3844" s="18" t="s">
        <v>18</v>
      </c>
      <c r="F3844" s="18" t="s">
        <v>7637</v>
      </c>
      <c r="G3844" s="18" t="s">
        <v>197</v>
      </c>
      <c r="H3844" s="18" t="s">
        <v>7571</v>
      </c>
      <c r="I3844" s="20" t="s">
        <v>7638</v>
      </c>
      <c r="J3844" s="18" t="s">
        <v>30</v>
      </c>
      <c r="K3844" s="18" t="s">
        <v>24</v>
      </c>
      <c r="L3844" s="18" t="s">
        <v>25</v>
      </c>
      <c r="N3844" s="18" t="s">
        <v>26</v>
      </c>
    </row>
    <row r="3845" spans="1:14" ht="15" customHeight="1" x14ac:dyDescent="0.3">
      <c r="A3845" s="18" t="s">
        <v>7570</v>
      </c>
      <c r="B3845" s="19" t="s">
        <v>15</v>
      </c>
      <c r="C3845" s="18" t="s">
        <v>210</v>
      </c>
      <c r="D3845" s="18" t="s">
        <v>116</v>
      </c>
      <c r="E3845" s="18" t="s">
        <v>18</v>
      </c>
      <c r="F3845" s="18" t="s">
        <v>7639</v>
      </c>
      <c r="G3845" s="18" t="s">
        <v>298</v>
      </c>
      <c r="H3845" s="18" t="s">
        <v>7571</v>
      </c>
      <c r="I3845" s="20" t="s">
        <v>7640</v>
      </c>
      <c r="J3845" s="18" t="s">
        <v>30</v>
      </c>
      <c r="K3845" s="18" t="s">
        <v>24</v>
      </c>
      <c r="L3845" s="18" t="s">
        <v>25</v>
      </c>
      <c r="N3845" s="18" t="s">
        <v>26</v>
      </c>
    </row>
    <row r="3846" spans="1:14" ht="15" customHeight="1" x14ac:dyDescent="0.3">
      <c r="A3846" s="18" t="s">
        <v>7570</v>
      </c>
      <c r="B3846" s="19" t="s">
        <v>15</v>
      </c>
      <c r="C3846" s="18" t="s">
        <v>7573</v>
      </c>
      <c r="D3846" s="18" t="s">
        <v>116</v>
      </c>
      <c r="E3846" s="18" t="s">
        <v>18</v>
      </c>
      <c r="F3846" s="18" t="s">
        <v>1095</v>
      </c>
      <c r="G3846" s="18" t="s">
        <v>1095</v>
      </c>
      <c r="H3846" s="18" t="s">
        <v>7575</v>
      </c>
      <c r="I3846" s="20" t="s">
        <v>7641</v>
      </c>
      <c r="J3846" s="18" t="s">
        <v>30</v>
      </c>
      <c r="K3846" s="18" t="s">
        <v>24</v>
      </c>
      <c r="L3846" s="18" t="s">
        <v>25</v>
      </c>
      <c r="M3846" s="18" t="s">
        <v>7577</v>
      </c>
      <c r="N3846" s="18" t="s">
        <v>26</v>
      </c>
    </row>
    <row r="3847" spans="1:14" ht="15" customHeight="1" x14ac:dyDescent="0.3">
      <c r="A3847" s="18" t="s">
        <v>7570</v>
      </c>
      <c r="B3847" s="19" t="s">
        <v>15</v>
      </c>
      <c r="C3847" s="18" t="s">
        <v>7573</v>
      </c>
      <c r="D3847" s="18" t="s">
        <v>116</v>
      </c>
      <c r="E3847" s="18" t="s">
        <v>18</v>
      </c>
      <c r="F3847" s="18" t="s">
        <v>7642</v>
      </c>
      <c r="G3847" s="18" t="s">
        <v>1095</v>
      </c>
      <c r="H3847" s="18" t="s">
        <v>7575</v>
      </c>
      <c r="I3847" s="20" t="s">
        <v>7643</v>
      </c>
      <c r="J3847" s="18" t="s">
        <v>30</v>
      </c>
      <c r="K3847" s="18" t="s">
        <v>24</v>
      </c>
      <c r="L3847" s="18" t="s">
        <v>25</v>
      </c>
      <c r="M3847" s="18" t="s">
        <v>7577</v>
      </c>
      <c r="N3847" s="18" t="s">
        <v>26</v>
      </c>
    </row>
    <row r="3848" spans="1:14" ht="15" customHeight="1" x14ac:dyDescent="0.3">
      <c r="A3848" s="18" t="s">
        <v>7570</v>
      </c>
      <c r="B3848" s="19" t="s">
        <v>15</v>
      </c>
      <c r="C3848" s="18" t="s">
        <v>210</v>
      </c>
      <c r="D3848" s="18" t="s">
        <v>116</v>
      </c>
      <c r="E3848" s="18" t="s">
        <v>18</v>
      </c>
      <c r="F3848" s="18" t="s">
        <v>7644</v>
      </c>
      <c r="G3848" s="18" t="s">
        <v>312</v>
      </c>
      <c r="H3848" s="18" t="s">
        <v>7571</v>
      </c>
      <c r="I3848" s="20" t="s">
        <v>7645</v>
      </c>
      <c r="J3848" s="18" t="s">
        <v>30</v>
      </c>
      <c r="K3848" s="18" t="s">
        <v>24</v>
      </c>
      <c r="L3848" s="18" t="s">
        <v>25</v>
      </c>
      <c r="N3848" s="18" t="s">
        <v>26</v>
      </c>
    </row>
    <row r="3849" spans="1:14" ht="15" customHeight="1" x14ac:dyDescent="0.3">
      <c r="A3849" s="18" t="s">
        <v>7570</v>
      </c>
      <c r="B3849" s="19" t="s">
        <v>15</v>
      </c>
      <c r="C3849" s="18" t="s">
        <v>7573</v>
      </c>
      <c r="D3849" s="18" t="s">
        <v>116</v>
      </c>
      <c r="E3849" s="18" t="s">
        <v>18</v>
      </c>
      <c r="F3849" s="18" t="s">
        <v>7646</v>
      </c>
      <c r="G3849" s="18" t="s">
        <v>7647</v>
      </c>
      <c r="H3849" s="18" t="s">
        <v>7575</v>
      </c>
      <c r="I3849" s="20" t="s">
        <v>7648</v>
      </c>
      <c r="J3849" s="18" t="s">
        <v>30</v>
      </c>
      <c r="K3849" s="18" t="s">
        <v>24</v>
      </c>
      <c r="L3849" s="18" t="s">
        <v>25</v>
      </c>
      <c r="M3849" s="18" t="s">
        <v>7577</v>
      </c>
      <c r="N3849" s="18" t="s">
        <v>26</v>
      </c>
    </row>
    <row r="3850" spans="1:14" ht="15" customHeight="1" x14ac:dyDescent="0.3">
      <c r="A3850" s="18" t="s">
        <v>7570</v>
      </c>
      <c r="B3850" s="19" t="s">
        <v>15</v>
      </c>
      <c r="C3850" s="18" t="s">
        <v>210</v>
      </c>
      <c r="D3850" s="18" t="s">
        <v>116</v>
      </c>
      <c r="E3850" s="18" t="s">
        <v>18</v>
      </c>
      <c r="F3850" s="18" t="s">
        <v>7649</v>
      </c>
      <c r="G3850" s="18" t="s">
        <v>433</v>
      </c>
      <c r="H3850" s="18" t="s">
        <v>7596</v>
      </c>
      <c r="I3850" s="20" t="s">
        <v>7650</v>
      </c>
      <c r="J3850" s="18" t="s">
        <v>58</v>
      </c>
      <c r="K3850" s="18" t="s">
        <v>24</v>
      </c>
      <c r="L3850" s="18" t="s">
        <v>25</v>
      </c>
      <c r="N3850" s="18" t="s">
        <v>26</v>
      </c>
    </row>
    <row r="3851" spans="1:14" ht="15" customHeight="1" x14ac:dyDescent="0.3">
      <c r="A3851" s="18" t="s">
        <v>7570</v>
      </c>
      <c r="B3851" s="19" t="s">
        <v>15</v>
      </c>
      <c r="C3851" s="18" t="s">
        <v>210</v>
      </c>
      <c r="D3851" s="18" t="s">
        <v>116</v>
      </c>
      <c r="E3851" s="18" t="s">
        <v>18</v>
      </c>
      <c r="F3851" s="18" t="s">
        <v>7651</v>
      </c>
      <c r="G3851" s="18" t="s">
        <v>47</v>
      </c>
      <c r="H3851" s="18" t="s">
        <v>7584</v>
      </c>
      <c r="I3851" s="20" t="s">
        <v>7652</v>
      </c>
      <c r="J3851" s="18" t="s">
        <v>30</v>
      </c>
      <c r="K3851" s="18" t="s">
        <v>24</v>
      </c>
      <c r="L3851" s="18" t="s">
        <v>25</v>
      </c>
      <c r="N3851" s="18" t="s">
        <v>26</v>
      </c>
    </row>
    <row r="3852" spans="1:14" ht="15" customHeight="1" x14ac:dyDescent="0.3">
      <c r="A3852" s="18" t="s">
        <v>7570</v>
      </c>
      <c r="B3852" s="19" t="s">
        <v>15</v>
      </c>
      <c r="C3852" s="18" t="s">
        <v>210</v>
      </c>
      <c r="D3852" s="18" t="s">
        <v>116</v>
      </c>
      <c r="E3852" s="18" t="s">
        <v>18</v>
      </c>
      <c r="F3852" s="18" t="s">
        <v>1104</v>
      </c>
      <c r="G3852" s="18" t="s">
        <v>1055</v>
      </c>
      <c r="H3852" s="18" t="s">
        <v>7571</v>
      </c>
      <c r="I3852" s="20" t="s">
        <v>7653</v>
      </c>
      <c r="J3852" s="18" t="s">
        <v>30</v>
      </c>
      <c r="K3852" s="18" t="s">
        <v>24</v>
      </c>
      <c r="L3852" s="18" t="s">
        <v>25</v>
      </c>
      <c r="N3852" s="18" t="s">
        <v>26</v>
      </c>
    </row>
    <row r="3853" spans="1:14" ht="15" customHeight="1" x14ac:dyDescent="0.3">
      <c r="A3853" s="18" t="s">
        <v>7570</v>
      </c>
      <c r="B3853" s="19" t="s">
        <v>15</v>
      </c>
      <c r="C3853" s="18" t="s">
        <v>7573</v>
      </c>
      <c r="D3853" s="18" t="s">
        <v>116</v>
      </c>
      <c r="E3853" s="18" t="s">
        <v>18</v>
      </c>
      <c r="F3853" s="18" t="s">
        <v>7654</v>
      </c>
      <c r="G3853" s="18" t="s">
        <v>913</v>
      </c>
      <c r="H3853" s="18" t="s">
        <v>7575</v>
      </c>
      <c r="I3853" s="20" t="s">
        <v>7655</v>
      </c>
      <c r="J3853" s="18" t="s">
        <v>30</v>
      </c>
      <c r="K3853" s="18" t="s">
        <v>24</v>
      </c>
      <c r="L3853" s="18" t="s">
        <v>25</v>
      </c>
      <c r="M3853" s="18" t="s">
        <v>7577</v>
      </c>
      <c r="N3853" s="18" t="s">
        <v>26</v>
      </c>
    </row>
    <row r="3854" spans="1:14" ht="15" customHeight="1" x14ac:dyDescent="0.3">
      <c r="A3854" s="18" t="s">
        <v>7570</v>
      </c>
      <c r="B3854" s="19" t="s">
        <v>15</v>
      </c>
      <c r="C3854" s="18" t="s">
        <v>210</v>
      </c>
      <c r="D3854" s="18" t="s">
        <v>116</v>
      </c>
      <c r="E3854" s="18" t="s">
        <v>18</v>
      </c>
      <c r="F3854" s="18" t="s">
        <v>2434</v>
      </c>
      <c r="G3854" s="18" t="s">
        <v>192</v>
      </c>
      <c r="H3854" s="18" t="s">
        <v>7571</v>
      </c>
      <c r="I3854" s="20" t="s">
        <v>7656</v>
      </c>
      <c r="J3854" s="18" t="s">
        <v>30</v>
      </c>
      <c r="K3854" s="18" t="s">
        <v>24</v>
      </c>
      <c r="L3854" s="18" t="s">
        <v>25</v>
      </c>
      <c r="N3854" s="18" t="s">
        <v>26</v>
      </c>
    </row>
    <row r="3855" spans="1:14" ht="15" customHeight="1" x14ac:dyDescent="0.3">
      <c r="A3855" s="18" t="s">
        <v>7570</v>
      </c>
      <c r="B3855" s="19" t="s">
        <v>15</v>
      </c>
      <c r="C3855" s="18" t="s">
        <v>210</v>
      </c>
      <c r="D3855" s="18" t="s">
        <v>116</v>
      </c>
      <c r="E3855" s="18" t="s">
        <v>55</v>
      </c>
      <c r="F3855" s="18" t="s">
        <v>1054</v>
      </c>
      <c r="G3855" s="18" t="s">
        <v>1055</v>
      </c>
      <c r="H3855" s="18" t="s">
        <v>7571</v>
      </c>
      <c r="I3855" s="20" t="s">
        <v>7657</v>
      </c>
      <c r="J3855" s="18" t="s">
        <v>30</v>
      </c>
      <c r="K3855" s="18" t="s">
        <v>24</v>
      </c>
      <c r="L3855" s="18" t="s">
        <v>25</v>
      </c>
      <c r="N3855" s="18" t="s">
        <v>26</v>
      </c>
    </row>
    <row r="3856" spans="1:14" ht="15" customHeight="1" x14ac:dyDescent="0.3">
      <c r="A3856" s="18" t="s">
        <v>7570</v>
      </c>
      <c r="B3856" s="19" t="s">
        <v>15</v>
      </c>
      <c r="C3856" s="18" t="s">
        <v>210</v>
      </c>
      <c r="D3856" s="18" t="s">
        <v>116</v>
      </c>
      <c r="E3856" s="18" t="s">
        <v>55</v>
      </c>
      <c r="F3856" s="18" t="s">
        <v>7658</v>
      </c>
      <c r="G3856" s="18" t="s">
        <v>41</v>
      </c>
      <c r="H3856" s="18" t="s">
        <v>7602</v>
      </c>
      <c r="I3856" s="20" t="s">
        <v>7659</v>
      </c>
      <c r="J3856" s="18" t="s">
        <v>73</v>
      </c>
      <c r="K3856" s="18" t="s">
        <v>24</v>
      </c>
      <c r="L3856" s="18" t="s">
        <v>25</v>
      </c>
      <c r="N3856" s="18" t="s">
        <v>26</v>
      </c>
    </row>
    <row r="3857" spans="1:14" ht="15" customHeight="1" x14ac:dyDescent="0.3">
      <c r="A3857" s="18" t="s">
        <v>7570</v>
      </c>
      <c r="B3857" s="19" t="s">
        <v>15</v>
      </c>
      <c r="C3857" s="18" t="s">
        <v>7573</v>
      </c>
      <c r="D3857" s="18" t="s">
        <v>116</v>
      </c>
      <c r="E3857" s="18" t="s">
        <v>55</v>
      </c>
      <c r="F3857" s="18" t="s">
        <v>7574</v>
      </c>
      <c r="G3857" s="18" t="s">
        <v>1095</v>
      </c>
      <c r="H3857" s="18" t="s">
        <v>7575</v>
      </c>
      <c r="I3857" s="20" t="s">
        <v>7660</v>
      </c>
      <c r="J3857" s="18" t="s">
        <v>58</v>
      </c>
      <c r="K3857" s="18" t="s">
        <v>24</v>
      </c>
      <c r="L3857" s="18" t="s">
        <v>25</v>
      </c>
      <c r="M3857" s="18" t="s">
        <v>7577</v>
      </c>
      <c r="N3857" s="18" t="s">
        <v>26</v>
      </c>
    </row>
    <row r="3858" spans="1:14" ht="15" customHeight="1" x14ac:dyDescent="0.3">
      <c r="A3858" s="18" t="s">
        <v>7570</v>
      </c>
      <c r="B3858" s="19" t="s">
        <v>15</v>
      </c>
      <c r="C3858" s="18" t="s">
        <v>210</v>
      </c>
      <c r="D3858" s="18" t="s">
        <v>116</v>
      </c>
      <c r="E3858" s="18" t="s">
        <v>55</v>
      </c>
      <c r="F3858" s="18" t="s">
        <v>7578</v>
      </c>
      <c r="G3858" s="18" t="s">
        <v>197</v>
      </c>
      <c r="H3858" s="18" t="s">
        <v>7571</v>
      </c>
      <c r="I3858" s="20" t="s">
        <v>7661</v>
      </c>
      <c r="J3858" s="18" t="s">
        <v>58</v>
      </c>
      <c r="K3858" s="18" t="s">
        <v>24</v>
      </c>
      <c r="L3858" s="18" t="s">
        <v>25</v>
      </c>
      <c r="N3858" s="18" t="s">
        <v>26</v>
      </c>
    </row>
    <row r="3859" spans="1:14" ht="15" customHeight="1" x14ac:dyDescent="0.3">
      <c r="A3859" s="18" t="s">
        <v>7570</v>
      </c>
      <c r="B3859" s="19" t="s">
        <v>15</v>
      </c>
      <c r="C3859" s="18" t="s">
        <v>7573</v>
      </c>
      <c r="D3859" s="18" t="s">
        <v>116</v>
      </c>
      <c r="E3859" s="18" t="s">
        <v>55</v>
      </c>
      <c r="F3859" s="18" t="s">
        <v>7662</v>
      </c>
      <c r="G3859" s="18" t="s">
        <v>1291</v>
      </c>
      <c r="H3859" s="18" t="s">
        <v>7575</v>
      </c>
      <c r="I3859" s="20" t="s">
        <v>7663</v>
      </c>
      <c r="J3859" s="18" t="s">
        <v>58</v>
      </c>
      <c r="K3859" s="18" t="s">
        <v>24</v>
      </c>
      <c r="L3859" s="18" t="s">
        <v>25</v>
      </c>
      <c r="M3859" s="18" t="s">
        <v>7577</v>
      </c>
      <c r="N3859" s="18" t="s">
        <v>26</v>
      </c>
    </row>
    <row r="3860" spans="1:14" ht="15" customHeight="1" x14ac:dyDescent="0.3">
      <c r="A3860" s="18" t="s">
        <v>7570</v>
      </c>
      <c r="B3860" s="19" t="s">
        <v>15</v>
      </c>
      <c r="C3860" s="18" t="s">
        <v>210</v>
      </c>
      <c r="D3860" s="18" t="s">
        <v>116</v>
      </c>
      <c r="E3860" s="18" t="s">
        <v>55</v>
      </c>
      <c r="F3860" s="18" t="s">
        <v>5422</v>
      </c>
      <c r="G3860" s="18" t="s">
        <v>2245</v>
      </c>
      <c r="H3860" s="18" t="s">
        <v>7571</v>
      </c>
      <c r="I3860" s="20" t="s">
        <v>7664</v>
      </c>
      <c r="J3860" s="18" t="s">
        <v>1262</v>
      </c>
      <c r="K3860" s="18" t="s">
        <v>24</v>
      </c>
      <c r="L3860" s="18" t="s">
        <v>25</v>
      </c>
      <c r="N3860" s="18" t="s">
        <v>26</v>
      </c>
    </row>
    <row r="3861" spans="1:14" ht="15" customHeight="1" x14ac:dyDescent="0.3">
      <c r="A3861" s="18" t="s">
        <v>7570</v>
      </c>
      <c r="B3861" s="19" t="s">
        <v>15</v>
      </c>
      <c r="C3861" s="18" t="s">
        <v>210</v>
      </c>
      <c r="D3861" s="18" t="s">
        <v>116</v>
      </c>
      <c r="E3861" s="18" t="s">
        <v>55</v>
      </c>
      <c r="F3861" s="18" t="s">
        <v>7665</v>
      </c>
      <c r="G3861" s="18" t="s">
        <v>7590</v>
      </c>
      <c r="H3861" s="18" t="s">
        <v>7571</v>
      </c>
      <c r="I3861" s="20" t="s">
        <v>7666</v>
      </c>
      <c r="J3861" s="18" t="s">
        <v>58</v>
      </c>
      <c r="K3861" s="18" t="s">
        <v>24</v>
      </c>
      <c r="L3861" s="18" t="s">
        <v>25</v>
      </c>
      <c r="N3861" s="18" t="s">
        <v>26</v>
      </c>
    </row>
    <row r="3862" spans="1:14" ht="15" customHeight="1" x14ac:dyDescent="0.3">
      <c r="A3862" s="18" t="s">
        <v>7570</v>
      </c>
      <c r="B3862" s="19" t="s">
        <v>15</v>
      </c>
      <c r="C3862" s="18" t="s">
        <v>7573</v>
      </c>
      <c r="D3862" s="18" t="s">
        <v>116</v>
      </c>
      <c r="E3862" s="18" t="s">
        <v>55</v>
      </c>
      <c r="F3862" s="18" t="s">
        <v>7667</v>
      </c>
      <c r="G3862" s="18" t="s">
        <v>7668</v>
      </c>
      <c r="H3862" s="18" t="s">
        <v>7575</v>
      </c>
      <c r="I3862" s="20" t="s">
        <v>7669</v>
      </c>
      <c r="J3862" s="18" t="s">
        <v>58</v>
      </c>
      <c r="K3862" s="18" t="s">
        <v>24</v>
      </c>
      <c r="L3862" s="18" t="s">
        <v>25</v>
      </c>
      <c r="M3862" s="18" t="s">
        <v>7577</v>
      </c>
      <c r="N3862" s="18" t="s">
        <v>26</v>
      </c>
    </row>
    <row r="3863" spans="1:14" ht="15" customHeight="1" x14ac:dyDescent="0.3">
      <c r="A3863" s="18" t="s">
        <v>7570</v>
      </c>
      <c r="B3863" s="19" t="s">
        <v>15</v>
      </c>
      <c r="C3863" s="18" t="s">
        <v>210</v>
      </c>
      <c r="D3863" s="18" t="s">
        <v>116</v>
      </c>
      <c r="E3863" s="18" t="s">
        <v>55</v>
      </c>
      <c r="F3863" s="18" t="s">
        <v>7670</v>
      </c>
      <c r="G3863" s="18" t="s">
        <v>606</v>
      </c>
      <c r="H3863" s="18" t="s">
        <v>7596</v>
      </c>
      <c r="I3863" s="20" t="s">
        <v>7671</v>
      </c>
      <c r="J3863" s="18" t="s">
        <v>58</v>
      </c>
      <c r="K3863" s="18" t="s">
        <v>24</v>
      </c>
      <c r="L3863" s="18" t="s">
        <v>25</v>
      </c>
      <c r="N3863" s="18" t="s">
        <v>26</v>
      </c>
    </row>
    <row r="3864" spans="1:14" ht="15" customHeight="1" x14ac:dyDescent="0.3">
      <c r="A3864" s="18" t="s">
        <v>7570</v>
      </c>
      <c r="B3864" s="19" t="s">
        <v>15</v>
      </c>
      <c r="C3864" s="18" t="s">
        <v>16</v>
      </c>
      <c r="D3864" s="18" t="s">
        <v>116</v>
      </c>
      <c r="E3864" s="18" t="s">
        <v>55</v>
      </c>
      <c r="F3864" s="18" t="s">
        <v>7672</v>
      </c>
      <c r="G3864" s="18" t="s">
        <v>606</v>
      </c>
      <c r="H3864" s="18" t="s">
        <v>7673</v>
      </c>
      <c r="I3864" s="20" t="s">
        <v>7674</v>
      </c>
      <c r="J3864" s="18" t="s">
        <v>58</v>
      </c>
      <c r="K3864" s="18" t="s">
        <v>24</v>
      </c>
      <c r="L3864" s="18" t="s">
        <v>25</v>
      </c>
      <c r="N3864" s="18" t="s">
        <v>26</v>
      </c>
    </row>
    <row r="3865" spans="1:14" ht="15" customHeight="1" x14ac:dyDescent="0.3">
      <c r="A3865" s="18" t="s">
        <v>7570</v>
      </c>
      <c r="B3865" s="19" t="s">
        <v>15</v>
      </c>
      <c r="C3865" s="18" t="s">
        <v>7573</v>
      </c>
      <c r="D3865" s="18" t="s">
        <v>116</v>
      </c>
      <c r="E3865" s="18" t="s">
        <v>55</v>
      </c>
      <c r="F3865" s="18" t="s">
        <v>7675</v>
      </c>
      <c r="G3865" s="18" t="s">
        <v>37</v>
      </c>
      <c r="H3865" s="18" t="s">
        <v>7575</v>
      </c>
      <c r="I3865" s="20" t="s">
        <v>7676</v>
      </c>
      <c r="J3865" s="18" t="s">
        <v>58</v>
      </c>
      <c r="K3865" s="18" t="s">
        <v>24</v>
      </c>
      <c r="L3865" s="18" t="s">
        <v>25</v>
      </c>
      <c r="M3865" s="18" t="s">
        <v>7577</v>
      </c>
      <c r="N3865" s="18" t="s">
        <v>26</v>
      </c>
    </row>
    <row r="3866" spans="1:14" ht="15" customHeight="1" x14ac:dyDescent="0.3">
      <c r="A3866" s="18" t="s">
        <v>7570</v>
      </c>
      <c r="B3866" s="19" t="s">
        <v>15</v>
      </c>
      <c r="C3866" s="18" t="s">
        <v>7573</v>
      </c>
      <c r="D3866" s="18" t="s">
        <v>116</v>
      </c>
      <c r="E3866" s="18" t="s">
        <v>55</v>
      </c>
      <c r="F3866" s="18" t="s">
        <v>7265</v>
      </c>
      <c r="G3866" s="18" t="s">
        <v>606</v>
      </c>
      <c r="H3866" s="18" t="s">
        <v>7575</v>
      </c>
      <c r="I3866" s="20" t="s">
        <v>7677</v>
      </c>
      <c r="J3866" s="18" t="s">
        <v>58</v>
      </c>
      <c r="K3866" s="18" t="s">
        <v>24</v>
      </c>
      <c r="L3866" s="18" t="s">
        <v>25</v>
      </c>
      <c r="M3866" s="18" t="s">
        <v>7577</v>
      </c>
      <c r="N3866" s="18" t="s">
        <v>26</v>
      </c>
    </row>
    <row r="3867" spans="1:14" ht="15" customHeight="1" x14ac:dyDescent="0.3">
      <c r="A3867" s="18" t="s">
        <v>7570</v>
      </c>
      <c r="B3867" s="19" t="s">
        <v>15</v>
      </c>
      <c r="C3867" s="18" t="s">
        <v>210</v>
      </c>
      <c r="D3867" s="18" t="s">
        <v>116</v>
      </c>
      <c r="E3867" s="18" t="s">
        <v>55</v>
      </c>
      <c r="F3867" s="18" t="s">
        <v>7678</v>
      </c>
      <c r="G3867" s="18" t="s">
        <v>606</v>
      </c>
      <c r="H3867" s="18" t="s">
        <v>7596</v>
      </c>
      <c r="I3867" s="20" t="s">
        <v>7679</v>
      </c>
      <c r="J3867" s="18" t="s">
        <v>58</v>
      </c>
      <c r="K3867" s="18" t="s">
        <v>24</v>
      </c>
      <c r="L3867" s="18" t="s">
        <v>25</v>
      </c>
      <c r="N3867" s="18" t="s">
        <v>26</v>
      </c>
    </row>
    <row r="3868" spans="1:14" ht="15" customHeight="1" x14ac:dyDescent="0.3">
      <c r="A3868" s="18" t="s">
        <v>7570</v>
      </c>
      <c r="B3868" s="19" t="s">
        <v>15</v>
      </c>
      <c r="C3868" s="18" t="s">
        <v>7573</v>
      </c>
      <c r="D3868" s="18" t="s">
        <v>116</v>
      </c>
      <c r="E3868" s="18" t="s">
        <v>55</v>
      </c>
      <c r="F3868" s="18" t="s">
        <v>2743</v>
      </c>
      <c r="G3868" s="18" t="s">
        <v>606</v>
      </c>
      <c r="H3868" s="18" t="s">
        <v>7575</v>
      </c>
      <c r="I3868" s="20" t="s">
        <v>7680</v>
      </c>
      <c r="J3868" s="18" t="s">
        <v>58</v>
      </c>
      <c r="K3868" s="18" t="s">
        <v>24</v>
      </c>
      <c r="L3868" s="18" t="s">
        <v>25</v>
      </c>
      <c r="M3868" s="18" t="s">
        <v>7577</v>
      </c>
      <c r="N3868" s="18" t="s">
        <v>26</v>
      </c>
    </row>
    <row r="3869" spans="1:14" ht="15" customHeight="1" x14ac:dyDescent="0.3">
      <c r="A3869" s="18" t="s">
        <v>7570</v>
      </c>
      <c r="B3869" s="19" t="s">
        <v>15</v>
      </c>
      <c r="C3869" s="18" t="s">
        <v>16</v>
      </c>
      <c r="D3869" s="18" t="s">
        <v>116</v>
      </c>
      <c r="E3869" s="18" t="s">
        <v>55</v>
      </c>
      <c r="F3869" s="18" t="s">
        <v>7681</v>
      </c>
      <c r="G3869" s="18" t="s">
        <v>606</v>
      </c>
      <c r="H3869" s="18" t="s">
        <v>7673</v>
      </c>
      <c r="I3869" s="20" t="s">
        <v>7682</v>
      </c>
      <c r="J3869" s="18" t="s">
        <v>58</v>
      </c>
      <c r="K3869" s="18" t="s">
        <v>24</v>
      </c>
      <c r="L3869" s="18" t="s">
        <v>25</v>
      </c>
      <c r="N3869" s="18" t="s">
        <v>26</v>
      </c>
    </row>
    <row r="3870" spans="1:14" ht="15" customHeight="1" x14ac:dyDescent="0.3">
      <c r="A3870" s="18" t="s">
        <v>7570</v>
      </c>
      <c r="B3870" s="19" t="s">
        <v>15</v>
      </c>
      <c r="C3870" s="18" t="s">
        <v>210</v>
      </c>
      <c r="D3870" s="18" t="s">
        <v>116</v>
      </c>
      <c r="E3870" s="18" t="s">
        <v>55</v>
      </c>
      <c r="F3870" s="18" t="s">
        <v>7683</v>
      </c>
      <c r="G3870" s="18" t="s">
        <v>47</v>
      </c>
      <c r="H3870" s="18" t="s">
        <v>7584</v>
      </c>
      <c r="I3870" s="20" t="s">
        <v>7684</v>
      </c>
      <c r="J3870" s="18" t="s">
        <v>199</v>
      </c>
      <c r="K3870" s="18" t="s">
        <v>24</v>
      </c>
      <c r="L3870" s="18" t="s">
        <v>25</v>
      </c>
      <c r="N3870" s="18" t="s">
        <v>26</v>
      </c>
    </row>
    <row r="3871" spans="1:14" ht="15" customHeight="1" x14ac:dyDescent="0.3">
      <c r="A3871" s="18" t="s">
        <v>7570</v>
      </c>
      <c r="B3871" s="19" t="s">
        <v>15</v>
      </c>
      <c r="C3871" s="18" t="s">
        <v>210</v>
      </c>
      <c r="D3871" s="18" t="s">
        <v>116</v>
      </c>
      <c r="E3871" s="18" t="s">
        <v>55</v>
      </c>
      <c r="F3871" s="18" t="s">
        <v>7685</v>
      </c>
      <c r="G3871" s="18" t="s">
        <v>340</v>
      </c>
      <c r="H3871" s="18" t="s">
        <v>3238</v>
      </c>
      <c r="I3871" s="20" t="s">
        <v>7686</v>
      </c>
      <c r="J3871" s="18" t="s">
        <v>199</v>
      </c>
      <c r="K3871" s="18" t="s">
        <v>24</v>
      </c>
      <c r="L3871" s="18" t="s">
        <v>25</v>
      </c>
      <c r="N3871" s="18" t="s">
        <v>26</v>
      </c>
    </row>
    <row r="3872" spans="1:14" ht="15" customHeight="1" x14ac:dyDescent="0.3">
      <c r="A3872" s="18" t="s">
        <v>7570</v>
      </c>
      <c r="B3872" s="19" t="s">
        <v>15</v>
      </c>
      <c r="C3872" s="18" t="s">
        <v>210</v>
      </c>
      <c r="D3872" s="18" t="s">
        <v>116</v>
      </c>
      <c r="E3872" s="18" t="s">
        <v>55</v>
      </c>
      <c r="F3872" s="18" t="s">
        <v>6391</v>
      </c>
      <c r="G3872" s="18" t="s">
        <v>1059</v>
      </c>
      <c r="H3872" s="18" t="s">
        <v>7571</v>
      </c>
      <c r="I3872" s="20" t="s">
        <v>7687</v>
      </c>
      <c r="J3872" s="18" t="s">
        <v>58</v>
      </c>
      <c r="K3872" s="18" t="s">
        <v>24</v>
      </c>
      <c r="L3872" s="18" t="s">
        <v>25</v>
      </c>
      <c r="N3872" s="18" t="s">
        <v>26</v>
      </c>
    </row>
    <row r="3873" spans="1:14" ht="15" customHeight="1" x14ac:dyDescent="0.3">
      <c r="A3873" s="18" t="s">
        <v>7570</v>
      </c>
      <c r="B3873" s="19" t="s">
        <v>15</v>
      </c>
      <c r="C3873" s="18" t="s">
        <v>210</v>
      </c>
      <c r="D3873" s="18" t="s">
        <v>116</v>
      </c>
      <c r="E3873" s="18" t="s">
        <v>55</v>
      </c>
      <c r="F3873" s="18" t="s">
        <v>7688</v>
      </c>
      <c r="G3873" s="18" t="s">
        <v>192</v>
      </c>
      <c r="H3873" s="18" t="s">
        <v>7571</v>
      </c>
      <c r="I3873" s="20" t="s">
        <v>7689</v>
      </c>
      <c r="J3873" s="18" t="s">
        <v>58</v>
      </c>
      <c r="K3873" s="18" t="s">
        <v>24</v>
      </c>
      <c r="L3873" s="18" t="s">
        <v>25</v>
      </c>
      <c r="N3873" s="18" t="s">
        <v>26</v>
      </c>
    </row>
    <row r="3874" spans="1:14" ht="15" customHeight="1" x14ac:dyDescent="0.3">
      <c r="A3874" s="18" t="s">
        <v>7570</v>
      </c>
      <c r="B3874" s="19" t="s">
        <v>15</v>
      </c>
      <c r="C3874" s="18" t="s">
        <v>210</v>
      </c>
      <c r="D3874" s="18" t="s">
        <v>116</v>
      </c>
      <c r="E3874" s="18" t="s">
        <v>55</v>
      </c>
      <c r="F3874" s="18" t="s">
        <v>7690</v>
      </c>
      <c r="G3874" s="18" t="s">
        <v>47</v>
      </c>
      <c r="H3874" s="18" t="s">
        <v>7584</v>
      </c>
      <c r="I3874" s="20" t="s">
        <v>7691</v>
      </c>
      <c r="J3874" s="18" t="s">
        <v>58</v>
      </c>
      <c r="K3874" s="18" t="s">
        <v>24</v>
      </c>
      <c r="L3874" s="18" t="s">
        <v>25</v>
      </c>
      <c r="N3874" s="18" t="s">
        <v>26</v>
      </c>
    </row>
    <row r="3875" spans="1:14" ht="15" customHeight="1" x14ac:dyDescent="0.3">
      <c r="A3875" s="18" t="s">
        <v>7570</v>
      </c>
      <c r="B3875" s="19" t="s">
        <v>15</v>
      </c>
      <c r="C3875" s="18" t="s">
        <v>210</v>
      </c>
      <c r="D3875" s="18" t="s">
        <v>116</v>
      </c>
      <c r="E3875" s="18" t="s">
        <v>55</v>
      </c>
      <c r="F3875" s="18" t="s">
        <v>7692</v>
      </c>
      <c r="G3875" s="18" t="s">
        <v>2248</v>
      </c>
      <c r="H3875" s="18" t="s">
        <v>7584</v>
      </c>
      <c r="I3875" s="20" t="s">
        <v>7693</v>
      </c>
      <c r="J3875" s="18" t="s">
        <v>58</v>
      </c>
      <c r="K3875" s="18" t="s">
        <v>24</v>
      </c>
      <c r="L3875" s="18" t="s">
        <v>25</v>
      </c>
      <c r="N3875" s="18" t="s">
        <v>26</v>
      </c>
    </row>
    <row r="3876" spans="1:14" ht="15" customHeight="1" x14ac:dyDescent="0.3">
      <c r="A3876" s="18" t="s">
        <v>7570</v>
      </c>
      <c r="B3876" s="19" t="s">
        <v>15</v>
      </c>
      <c r="C3876" s="18" t="s">
        <v>210</v>
      </c>
      <c r="D3876" s="18" t="s">
        <v>116</v>
      </c>
      <c r="E3876" s="18" t="s">
        <v>55</v>
      </c>
      <c r="F3876" s="18" t="s">
        <v>613</v>
      </c>
      <c r="G3876" s="18" t="s">
        <v>606</v>
      </c>
      <c r="H3876" s="18" t="s">
        <v>7694</v>
      </c>
      <c r="I3876" s="20" t="s">
        <v>7695</v>
      </c>
      <c r="J3876" s="18" t="s">
        <v>58</v>
      </c>
      <c r="K3876" s="18" t="s">
        <v>24</v>
      </c>
      <c r="L3876" s="18" t="s">
        <v>25</v>
      </c>
      <c r="N3876" s="18" t="s">
        <v>26</v>
      </c>
    </row>
    <row r="3877" spans="1:14" ht="15" customHeight="1" x14ac:dyDescent="0.3">
      <c r="A3877" s="18" t="s">
        <v>7570</v>
      </c>
      <c r="B3877" s="19" t="s">
        <v>15</v>
      </c>
      <c r="C3877" s="18" t="s">
        <v>7573</v>
      </c>
      <c r="D3877" s="18" t="s">
        <v>116</v>
      </c>
      <c r="E3877" s="18" t="s">
        <v>55</v>
      </c>
      <c r="F3877" s="18" t="s">
        <v>5438</v>
      </c>
      <c r="G3877" s="18" t="s">
        <v>913</v>
      </c>
      <c r="H3877" s="18" t="s">
        <v>7575</v>
      </c>
      <c r="I3877" s="20" t="s">
        <v>7696</v>
      </c>
      <c r="J3877" s="18" t="s">
        <v>58</v>
      </c>
      <c r="K3877" s="18" t="s">
        <v>24</v>
      </c>
      <c r="L3877" s="18" t="s">
        <v>25</v>
      </c>
      <c r="M3877" s="18" t="s">
        <v>7577</v>
      </c>
      <c r="N3877" s="18" t="s">
        <v>26</v>
      </c>
    </row>
    <row r="3878" spans="1:14" ht="15" customHeight="1" x14ac:dyDescent="0.3">
      <c r="A3878" s="18" t="s">
        <v>7570</v>
      </c>
      <c r="B3878" s="19" t="s">
        <v>15</v>
      </c>
      <c r="C3878" s="18" t="s">
        <v>210</v>
      </c>
      <c r="D3878" s="18" t="s">
        <v>116</v>
      </c>
      <c r="E3878" s="18" t="s">
        <v>55</v>
      </c>
      <c r="F3878" s="18" t="s">
        <v>7589</v>
      </c>
      <c r="G3878" s="18" t="s">
        <v>7590</v>
      </c>
      <c r="H3878" s="18" t="s">
        <v>7571</v>
      </c>
      <c r="I3878" s="20" t="s">
        <v>7697</v>
      </c>
      <c r="J3878" s="18" t="s">
        <v>58</v>
      </c>
      <c r="K3878" s="18" t="s">
        <v>24</v>
      </c>
      <c r="L3878" s="18" t="s">
        <v>25</v>
      </c>
      <c r="N3878" s="18" t="s">
        <v>26</v>
      </c>
    </row>
    <row r="3879" spans="1:14" ht="15" customHeight="1" x14ac:dyDescent="0.3">
      <c r="A3879" s="18" t="s">
        <v>7570</v>
      </c>
      <c r="B3879" s="19" t="s">
        <v>15</v>
      </c>
      <c r="C3879" s="18" t="s">
        <v>210</v>
      </c>
      <c r="D3879" s="18" t="s">
        <v>116</v>
      </c>
      <c r="E3879" s="18" t="s">
        <v>55</v>
      </c>
      <c r="F3879" s="18" t="s">
        <v>6324</v>
      </c>
      <c r="G3879" s="18" t="s">
        <v>1130</v>
      </c>
      <c r="H3879" s="18" t="s">
        <v>7571</v>
      </c>
      <c r="I3879" s="20" t="s">
        <v>7698</v>
      </c>
      <c r="J3879" s="18" t="s">
        <v>73</v>
      </c>
      <c r="K3879" s="18" t="s">
        <v>24</v>
      </c>
      <c r="L3879" s="18" t="s">
        <v>25</v>
      </c>
      <c r="N3879" s="18" t="s">
        <v>26</v>
      </c>
    </row>
    <row r="3880" spans="1:14" ht="15" customHeight="1" x14ac:dyDescent="0.3">
      <c r="A3880" s="18" t="s">
        <v>7570</v>
      </c>
      <c r="B3880" s="19" t="s">
        <v>15</v>
      </c>
      <c r="C3880" s="18" t="s">
        <v>210</v>
      </c>
      <c r="D3880" s="18" t="s">
        <v>116</v>
      </c>
      <c r="E3880" s="18" t="s">
        <v>55</v>
      </c>
      <c r="F3880" s="18" t="s">
        <v>7594</v>
      </c>
      <c r="G3880" s="18" t="s">
        <v>192</v>
      </c>
      <c r="H3880" s="18" t="s">
        <v>7571</v>
      </c>
      <c r="I3880" s="20" t="s">
        <v>7699</v>
      </c>
      <c r="J3880" s="18" t="s">
        <v>73</v>
      </c>
      <c r="K3880" s="18" t="s">
        <v>24</v>
      </c>
      <c r="L3880" s="18" t="s">
        <v>25</v>
      </c>
      <c r="N3880" s="18" t="s">
        <v>26</v>
      </c>
    </row>
    <row r="3881" spans="1:14" ht="15" customHeight="1" x14ac:dyDescent="0.3">
      <c r="A3881" s="18" t="s">
        <v>7570</v>
      </c>
      <c r="B3881" s="19" t="s">
        <v>15</v>
      </c>
      <c r="C3881" s="18" t="s">
        <v>210</v>
      </c>
      <c r="D3881" s="18" t="s">
        <v>116</v>
      </c>
      <c r="E3881" s="18" t="s">
        <v>55</v>
      </c>
      <c r="F3881" s="18" t="s">
        <v>7700</v>
      </c>
      <c r="G3881" s="18" t="s">
        <v>47</v>
      </c>
      <c r="H3881" s="18" t="s">
        <v>7584</v>
      </c>
      <c r="I3881" s="20" t="s">
        <v>7701</v>
      </c>
      <c r="J3881" s="18" t="s">
        <v>199</v>
      </c>
      <c r="K3881" s="18" t="s">
        <v>24</v>
      </c>
      <c r="L3881" s="18" t="s">
        <v>25</v>
      </c>
      <c r="N3881" s="18" t="s">
        <v>26</v>
      </c>
    </row>
    <row r="3882" spans="1:14" ht="15" customHeight="1" x14ac:dyDescent="0.3">
      <c r="A3882" s="18" t="s">
        <v>7570</v>
      </c>
      <c r="B3882" s="19" t="s">
        <v>15</v>
      </c>
      <c r="C3882" s="18" t="s">
        <v>210</v>
      </c>
      <c r="D3882" s="18" t="s">
        <v>116</v>
      </c>
      <c r="E3882" s="18" t="s">
        <v>55</v>
      </c>
      <c r="F3882" s="18" t="s">
        <v>3237</v>
      </c>
      <c r="G3882" s="18" t="s">
        <v>47</v>
      </c>
      <c r="H3882" s="18" t="s">
        <v>7596</v>
      </c>
      <c r="I3882" s="20" t="s">
        <v>7702</v>
      </c>
      <c r="J3882" s="18" t="s">
        <v>58</v>
      </c>
      <c r="K3882" s="18" t="s">
        <v>24</v>
      </c>
      <c r="L3882" s="18" t="s">
        <v>25</v>
      </c>
      <c r="N3882" s="18" t="s">
        <v>26</v>
      </c>
    </row>
    <row r="3883" spans="1:14" ht="15" customHeight="1" x14ac:dyDescent="0.3">
      <c r="A3883" s="18" t="s">
        <v>7570</v>
      </c>
      <c r="B3883" s="19" t="s">
        <v>15</v>
      </c>
      <c r="C3883" s="18" t="s">
        <v>210</v>
      </c>
      <c r="D3883" s="18" t="s">
        <v>116</v>
      </c>
      <c r="E3883" s="18" t="s">
        <v>55</v>
      </c>
      <c r="F3883" s="18" t="s">
        <v>7703</v>
      </c>
      <c r="G3883" s="18" t="s">
        <v>6324</v>
      </c>
      <c r="H3883" s="18" t="s">
        <v>7571</v>
      </c>
      <c r="I3883" s="20" t="s">
        <v>7704</v>
      </c>
      <c r="J3883" s="18" t="s">
        <v>73</v>
      </c>
      <c r="K3883" s="18" t="s">
        <v>24</v>
      </c>
      <c r="L3883" s="18" t="s">
        <v>25</v>
      </c>
      <c r="N3883" s="18" t="s">
        <v>26</v>
      </c>
    </row>
    <row r="3884" spans="1:14" ht="15" customHeight="1" x14ac:dyDescent="0.3">
      <c r="A3884" s="18" t="s">
        <v>7570</v>
      </c>
      <c r="B3884" s="19" t="s">
        <v>15</v>
      </c>
      <c r="C3884" s="18" t="s">
        <v>7573</v>
      </c>
      <c r="D3884" s="18" t="s">
        <v>116</v>
      </c>
      <c r="E3884" s="18" t="s">
        <v>55</v>
      </c>
      <c r="F3884" s="18" t="s">
        <v>4377</v>
      </c>
      <c r="G3884" s="18" t="s">
        <v>243</v>
      </c>
      <c r="H3884" s="18" t="s">
        <v>7575</v>
      </c>
      <c r="I3884" s="20" t="s">
        <v>7705</v>
      </c>
      <c r="J3884" s="18" t="s">
        <v>58</v>
      </c>
      <c r="K3884" s="18" t="s">
        <v>24</v>
      </c>
      <c r="L3884" s="18" t="s">
        <v>25</v>
      </c>
      <c r="M3884" s="18" t="s">
        <v>7577</v>
      </c>
      <c r="N3884" s="18" t="s">
        <v>26</v>
      </c>
    </row>
    <row r="3885" spans="1:14" ht="15" customHeight="1" x14ac:dyDescent="0.3">
      <c r="A3885" s="18" t="s">
        <v>7570</v>
      </c>
      <c r="B3885" s="19" t="s">
        <v>15</v>
      </c>
      <c r="C3885" s="18" t="s">
        <v>210</v>
      </c>
      <c r="D3885" s="18" t="s">
        <v>116</v>
      </c>
      <c r="E3885" s="18" t="s">
        <v>55</v>
      </c>
      <c r="F3885" s="18" t="s">
        <v>7706</v>
      </c>
      <c r="G3885" s="18" t="s">
        <v>197</v>
      </c>
      <c r="H3885" s="18" t="s">
        <v>7571</v>
      </c>
      <c r="I3885" s="20" t="s">
        <v>7707</v>
      </c>
      <c r="J3885" s="18" t="s">
        <v>58</v>
      </c>
      <c r="K3885" s="18" t="s">
        <v>24</v>
      </c>
      <c r="L3885" s="18" t="s">
        <v>25</v>
      </c>
      <c r="N3885" s="18" t="s">
        <v>26</v>
      </c>
    </row>
    <row r="3886" spans="1:14" ht="15" customHeight="1" x14ac:dyDescent="0.3">
      <c r="A3886" s="18" t="s">
        <v>7570</v>
      </c>
      <c r="B3886" s="19" t="s">
        <v>15</v>
      </c>
      <c r="C3886" s="18" t="s">
        <v>210</v>
      </c>
      <c r="D3886" s="18" t="s">
        <v>116</v>
      </c>
      <c r="E3886" s="18" t="s">
        <v>55</v>
      </c>
      <c r="F3886" s="18" t="s">
        <v>7708</v>
      </c>
      <c r="G3886" s="18" t="s">
        <v>1059</v>
      </c>
      <c r="H3886" s="18" t="s">
        <v>7602</v>
      </c>
      <c r="I3886" s="20" t="s">
        <v>7709</v>
      </c>
      <c r="J3886" s="18" t="s">
        <v>73</v>
      </c>
      <c r="K3886" s="18" t="s">
        <v>24</v>
      </c>
      <c r="L3886" s="18" t="s">
        <v>25</v>
      </c>
      <c r="N3886" s="18" t="s">
        <v>26</v>
      </c>
    </row>
    <row r="3887" spans="1:14" ht="15" customHeight="1" x14ac:dyDescent="0.3">
      <c r="A3887" s="18" t="s">
        <v>7570</v>
      </c>
      <c r="B3887" s="19" t="s">
        <v>15</v>
      </c>
      <c r="C3887" s="18" t="s">
        <v>210</v>
      </c>
      <c r="D3887" s="18" t="s">
        <v>116</v>
      </c>
      <c r="E3887" s="18" t="s">
        <v>55</v>
      </c>
      <c r="F3887" s="18" t="s">
        <v>6271</v>
      </c>
      <c r="G3887" s="18" t="s">
        <v>7710</v>
      </c>
      <c r="H3887" s="18" t="s">
        <v>7571</v>
      </c>
      <c r="I3887" s="20" t="s">
        <v>7711</v>
      </c>
      <c r="J3887" s="18" t="s">
        <v>73</v>
      </c>
      <c r="K3887" s="18" t="s">
        <v>24</v>
      </c>
      <c r="L3887" s="18" t="s">
        <v>1369</v>
      </c>
      <c r="N3887" s="18" t="s">
        <v>26</v>
      </c>
    </row>
    <row r="3888" spans="1:14" ht="15" customHeight="1" x14ac:dyDescent="0.3">
      <c r="A3888" s="18" t="s">
        <v>7570</v>
      </c>
      <c r="B3888" s="19" t="s">
        <v>15</v>
      </c>
      <c r="C3888" s="18" t="s">
        <v>7573</v>
      </c>
      <c r="D3888" s="18" t="s">
        <v>116</v>
      </c>
      <c r="E3888" s="18" t="s">
        <v>55</v>
      </c>
      <c r="F3888" s="18" t="s">
        <v>7712</v>
      </c>
      <c r="G3888" s="18" t="s">
        <v>1095</v>
      </c>
      <c r="H3888" s="18" t="s">
        <v>7575</v>
      </c>
      <c r="I3888" s="20" t="s">
        <v>7713</v>
      </c>
      <c r="J3888" s="18" t="s">
        <v>58</v>
      </c>
      <c r="K3888" s="18" t="s">
        <v>24</v>
      </c>
      <c r="L3888" s="18" t="s">
        <v>25</v>
      </c>
      <c r="M3888" s="18" t="s">
        <v>7577</v>
      </c>
      <c r="N3888" s="18" t="s">
        <v>26</v>
      </c>
    </row>
    <row r="3889" spans="1:14" ht="15" customHeight="1" x14ac:dyDescent="0.3">
      <c r="A3889" s="18" t="s">
        <v>7570</v>
      </c>
      <c r="B3889" s="19" t="s">
        <v>15</v>
      </c>
      <c r="C3889" s="18" t="s">
        <v>210</v>
      </c>
      <c r="D3889" s="18" t="s">
        <v>116</v>
      </c>
      <c r="E3889" s="18" t="s">
        <v>55</v>
      </c>
      <c r="F3889" s="18" t="s">
        <v>619</v>
      </c>
      <c r="G3889" s="18" t="s">
        <v>619</v>
      </c>
      <c r="H3889" s="18" t="s">
        <v>7600</v>
      </c>
      <c r="I3889" s="20" t="s">
        <v>7714</v>
      </c>
      <c r="J3889" s="18" t="s">
        <v>58</v>
      </c>
      <c r="K3889" s="18" t="s">
        <v>24</v>
      </c>
      <c r="L3889" s="18" t="s">
        <v>25</v>
      </c>
      <c r="N3889" s="18" t="s">
        <v>26</v>
      </c>
    </row>
    <row r="3890" spans="1:14" ht="15" customHeight="1" x14ac:dyDescent="0.3">
      <c r="A3890" s="18" t="s">
        <v>7570</v>
      </c>
      <c r="B3890" s="19" t="s">
        <v>15</v>
      </c>
      <c r="C3890" s="18" t="s">
        <v>210</v>
      </c>
      <c r="D3890" s="18" t="s">
        <v>116</v>
      </c>
      <c r="E3890" s="18" t="s">
        <v>55</v>
      </c>
      <c r="F3890" s="18" t="s">
        <v>7715</v>
      </c>
      <c r="G3890" s="18" t="s">
        <v>619</v>
      </c>
      <c r="H3890" s="18" t="s">
        <v>7600</v>
      </c>
      <c r="I3890" s="20" t="s">
        <v>7716</v>
      </c>
      <c r="J3890" s="18" t="s">
        <v>58</v>
      </c>
      <c r="K3890" s="18" t="s">
        <v>24</v>
      </c>
      <c r="L3890" s="18" t="s">
        <v>25</v>
      </c>
      <c r="N3890" s="18" t="s">
        <v>26</v>
      </c>
    </row>
    <row r="3891" spans="1:14" ht="15" customHeight="1" x14ac:dyDescent="0.3">
      <c r="A3891" s="18" t="s">
        <v>7570</v>
      </c>
      <c r="B3891" s="19" t="s">
        <v>15</v>
      </c>
      <c r="C3891" s="18" t="s">
        <v>210</v>
      </c>
      <c r="D3891" s="18" t="s">
        <v>116</v>
      </c>
      <c r="E3891" s="18" t="s">
        <v>55</v>
      </c>
      <c r="F3891" s="18" t="s">
        <v>7717</v>
      </c>
      <c r="G3891" s="18" t="s">
        <v>619</v>
      </c>
      <c r="H3891" s="18" t="s">
        <v>7602</v>
      </c>
      <c r="I3891" s="20" t="s">
        <v>7718</v>
      </c>
      <c r="J3891" s="18" t="s">
        <v>58</v>
      </c>
      <c r="K3891" s="18" t="s">
        <v>24</v>
      </c>
      <c r="L3891" s="18" t="s">
        <v>25</v>
      </c>
      <c r="N3891" s="18" t="s">
        <v>26</v>
      </c>
    </row>
    <row r="3892" spans="1:14" ht="15" customHeight="1" x14ac:dyDescent="0.3">
      <c r="A3892" s="18" t="s">
        <v>7570</v>
      </c>
      <c r="B3892" s="19" t="s">
        <v>15</v>
      </c>
      <c r="C3892" s="18" t="s">
        <v>210</v>
      </c>
      <c r="D3892" s="18" t="s">
        <v>116</v>
      </c>
      <c r="E3892" s="18" t="s">
        <v>55</v>
      </c>
      <c r="F3892" s="18" t="s">
        <v>7719</v>
      </c>
      <c r="G3892" s="18" t="s">
        <v>619</v>
      </c>
      <c r="H3892" s="18" t="s">
        <v>7600</v>
      </c>
      <c r="I3892" s="20" t="s">
        <v>7720</v>
      </c>
      <c r="J3892" s="18" t="s">
        <v>58</v>
      </c>
      <c r="K3892" s="18" t="s">
        <v>24</v>
      </c>
      <c r="L3892" s="18" t="s">
        <v>25</v>
      </c>
      <c r="M3892" s="18" t="s">
        <v>39</v>
      </c>
      <c r="N3892" s="18" t="s">
        <v>26</v>
      </c>
    </row>
    <row r="3893" spans="1:14" ht="15" customHeight="1" x14ac:dyDescent="0.3">
      <c r="A3893" s="18" t="s">
        <v>7570</v>
      </c>
      <c r="B3893" s="19" t="s">
        <v>15</v>
      </c>
      <c r="C3893" s="18" t="s">
        <v>210</v>
      </c>
      <c r="D3893" s="18" t="s">
        <v>116</v>
      </c>
      <c r="E3893" s="18" t="s">
        <v>55</v>
      </c>
      <c r="F3893" s="18" t="s">
        <v>6510</v>
      </c>
      <c r="G3893" s="18" t="s">
        <v>619</v>
      </c>
      <c r="H3893" s="18" t="s">
        <v>7602</v>
      </c>
      <c r="I3893" s="20" t="s">
        <v>7721</v>
      </c>
      <c r="J3893" s="18" t="s">
        <v>1267</v>
      </c>
      <c r="K3893" s="18" t="s">
        <v>24</v>
      </c>
      <c r="L3893" s="18" t="s">
        <v>25</v>
      </c>
      <c r="N3893" s="18" t="s">
        <v>26</v>
      </c>
    </row>
    <row r="3894" spans="1:14" ht="15" customHeight="1" x14ac:dyDescent="0.3">
      <c r="A3894" s="18" t="s">
        <v>7570</v>
      </c>
      <c r="B3894" s="19" t="s">
        <v>15</v>
      </c>
      <c r="C3894" s="18" t="s">
        <v>210</v>
      </c>
      <c r="D3894" s="18" t="s">
        <v>116</v>
      </c>
      <c r="E3894" s="18" t="s">
        <v>55</v>
      </c>
      <c r="F3894" s="18" t="s">
        <v>7722</v>
      </c>
      <c r="G3894" s="18" t="s">
        <v>619</v>
      </c>
      <c r="H3894" s="18" t="s">
        <v>7584</v>
      </c>
      <c r="I3894" s="20" t="s">
        <v>7723</v>
      </c>
      <c r="J3894" s="18" t="s">
        <v>58</v>
      </c>
      <c r="K3894" s="18" t="s">
        <v>24</v>
      </c>
      <c r="L3894" s="18" t="s">
        <v>25</v>
      </c>
      <c r="N3894" s="18" t="s">
        <v>26</v>
      </c>
    </row>
    <row r="3895" spans="1:14" ht="15" customHeight="1" x14ac:dyDescent="0.3">
      <c r="A3895" s="18" t="s">
        <v>7570</v>
      </c>
      <c r="B3895" s="19" t="s">
        <v>15</v>
      </c>
      <c r="C3895" s="18" t="s">
        <v>210</v>
      </c>
      <c r="D3895" s="18" t="s">
        <v>116</v>
      </c>
      <c r="E3895" s="18" t="s">
        <v>55</v>
      </c>
      <c r="F3895" s="18" t="s">
        <v>7724</v>
      </c>
      <c r="G3895" s="18" t="s">
        <v>619</v>
      </c>
      <c r="H3895" s="18" t="s">
        <v>7600</v>
      </c>
      <c r="I3895" s="20" t="s">
        <v>7725</v>
      </c>
      <c r="J3895" s="18" t="s">
        <v>58</v>
      </c>
      <c r="K3895" s="18" t="s">
        <v>24</v>
      </c>
      <c r="L3895" s="18" t="s">
        <v>25</v>
      </c>
      <c r="N3895" s="18" t="s">
        <v>26</v>
      </c>
    </row>
    <row r="3896" spans="1:14" ht="15" customHeight="1" x14ac:dyDescent="0.3">
      <c r="A3896" s="18" t="s">
        <v>7570</v>
      </c>
      <c r="B3896" s="19" t="s">
        <v>15</v>
      </c>
      <c r="C3896" s="18" t="s">
        <v>210</v>
      </c>
      <c r="D3896" s="18" t="s">
        <v>116</v>
      </c>
      <c r="E3896" s="18" t="s">
        <v>55</v>
      </c>
      <c r="F3896" s="18" t="s">
        <v>7726</v>
      </c>
      <c r="G3896" s="18" t="s">
        <v>619</v>
      </c>
      <c r="H3896" s="18" t="s">
        <v>7600</v>
      </c>
      <c r="I3896" s="20" t="s">
        <v>7727</v>
      </c>
      <c r="J3896" s="18" t="s">
        <v>73</v>
      </c>
      <c r="K3896" s="18" t="s">
        <v>24</v>
      </c>
      <c r="L3896" s="18" t="s">
        <v>25</v>
      </c>
      <c r="N3896" s="18" t="s">
        <v>26</v>
      </c>
    </row>
    <row r="3897" spans="1:14" ht="15" customHeight="1" x14ac:dyDescent="0.3">
      <c r="A3897" s="18" t="s">
        <v>7570</v>
      </c>
      <c r="B3897" s="19" t="s">
        <v>15</v>
      </c>
      <c r="C3897" s="18" t="s">
        <v>210</v>
      </c>
      <c r="D3897" s="18" t="s">
        <v>116</v>
      </c>
      <c r="E3897" s="18" t="s">
        <v>55</v>
      </c>
      <c r="F3897" s="18" t="s">
        <v>7728</v>
      </c>
      <c r="G3897" s="18" t="s">
        <v>1055</v>
      </c>
      <c r="H3897" s="18" t="s">
        <v>7571</v>
      </c>
      <c r="I3897" s="20" t="s">
        <v>7729</v>
      </c>
      <c r="J3897" s="18" t="s">
        <v>58</v>
      </c>
      <c r="K3897" s="18" t="s">
        <v>24</v>
      </c>
      <c r="L3897" s="18" t="s">
        <v>25</v>
      </c>
      <c r="N3897" s="18" t="s">
        <v>26</v>
      </c>
    </row>
    <row r="3898" spans="1:14" ht="15" customHeight="1" x14ac:dyDescent="0.3">
      <c r="A3898" s="18" t="s">
        <v>7570</v>
      </c>
      <c r="B3898" s="19" t="s">
        <v>15</v>
      </c>
      <c r="C3898" s="18" t="s">
        <v>210</v>
      </c>
      <c r="D3898" s="18" t="s">
        <v>116</v>
      </c>
      <c r="E3898" s="18" t="s">
        <v>55</v>
      </c>
      <c r="F3898" s="18" t="s">
        <v>1069</v>
      </c>
      <c r="G3898" s="18" t="s">
        <v>1069</v>
      </c>
      <c r="H3898" s="18" t="s">
        <v>7602</v>
      </c>
      <c r="I3898" s="20" t="s">
        <v>7730</v>
      </c>
      <c r="J3898" s="18" t="s">
        <v>73</v>
      </c>
      <c r="K3898" s="18" t="s">
        <v>24</v>
      </c>
      <c r="L3898" s="18" t="s">
        <v>25</v>
      </c>
      <c r="N3898" s="18" t="s">
        <v>26</v>
      </c>
    </row>
    <row r="3899" spans="1:14" ht="15" customHeight="1" x14ac:dyDescent="0.3">
      <c r="A3899" s="18" t="s">
        <v>7570</v>
      </c>
      <c r="B3899" s="19" t="s">
        <v>15</v>
      </c>
      <c r="C3899" s="18" t="s">
        <v>210</v>
      </c>
      <c r="D3899" s="18" t="s">
        <v>116</v>
      </c>
      <c r="E3899" s="18" t="s">
        <v>55</v>
      </c>
      <c r="F3899" s="18" t="s">
        <v>7731</v>
      </c>
      <c r="G3899" s="18" t="s">
        <v>312</v>
      </c>
      <c r="H3899" s="18" t="s">
        <v>7571</v>
      </c>
      <c r="I3899" s="20" t="s">
        <v>7732</v>
      </c>
      <c r="J3899" s="18" t="s">
        <v>73</v>
      </c>
      <c r="K3899" s="18" t="s">
        <v>24</v>
      </c>
      <c r="L3899" s="18" t="s">
        <v>25</v>
      </c>
      <c r="N3899" s="18" t="s">
        <v>26</v>
      </c>
    </row>
    <row r="3900" spans="1:14" ht="15" customHeight="1" x14ac:dyDescent="0.3">
      <c r="A3900" s="18" t="s">
        <v>7570</v>
      </c>
      <c r="B3900" s="19" t="s">
        <v>15</v>
      </c>
      <c r="C3900" s="18" t="s">
        <v>7573</v>
      </c>
      <c r="D3900" s="18" t="s">
        <v>116</v>
      </c>
      <c r="E3900" s="18" t="s">
        <v>55</v>
      </c>
      <c r="F3900" s="18" t="s">
        <v>305</v>
      </c>
      <c r="G3900" s="18" t="s">
        <v>273</v>
      </c>
      <c r="H3900" s="18" t="s">
        <v>7575</v>
      </c>
      <c r="I3900" s="20" t="s">
        <v>7733</v>
      </c>
      <c r="J3900" s="18" t="s">
        <v>73</v>
      </c>
      <c r="K3900" s="18" t="s">
        <v>24</v>
      </c>
      <c r="L3900" s="18" t="s">
        <v>25</v>
      </c>
      <c r="M3900" s="18" t="s">
        <v>7577</v>
      </c>
      <c r="N3900" s="18" t="s">
        <v>26</v>
      </c>
    </row>
    <row r="3901" spans="1:14" ht="15" customHeight="1" x14ac:dyDescent="0.3">
      <c r="A3901" s="18" t="s">
        <v>7570</v>
      </c>
      <c r="B3901" s="19" t="s">
        <v>15</v>
      </c>
      <c r="C3901" s="18" t="s">
        <v>210</v>
      </c>
      <c r="D3901" s="18" t="s">
        <v>116</v>
      </c>
      <c r="E3901" s="18" t="s">
        <v>55</v>
      </c>
      <c r="F3901" s="18" t="s">
        <v>7734</v>
      </c>
      <c r="G3901" s="18" t="s">
        <v>41</v>
      </c>
      <c r="H3901" s="18" t="s">
        <v>7602</v>
      </c>
      <c r="I3901" s="20" t="s">
        <v>7735</v>
      </c>
      <c r="J3901" s="18" t="s">
        <v>73</v>
      </c>
      <c r="K3901" s="18" t="s">
        <v>24</v>
      </c>
      <c r="L3901" s="18" t="s">
        <v>25</v>
      </c>
      <c r="N3901" s="18" t="s">
        <v>26</v>
      </c>
    </row>
    <row r="3902" spans="1:14" ht="15" customHeight="1" x14ac:dyDescent="0.3">
      <c r="A3902" s="18" t="s">
        <v>7570</v>
      </c>
      <c r="B3902" s="19" t="s">
        <v>15</v>
      </c>
      <c r="C3902" s="18" t="s">
        <v>7573</v>
      </c>
      <c r="D3902" s="18" t="s">
        <v>116</v>
      </c>
      <c r="E3902" s="18" t="s">
        <v>55</v>
      </c>
      <c r="F3902" s="18" t="s">
        <v>7604</v>
      </c>
      <c r="G3902" s="18" t="s">
        <v>1254</v>
      </c>
      <c r="H3902" s="18" t="s">
        <v>7575</v>
      </c>
      <c r="I3902" s="20" t="s">
        <v>7736</v>
      </c>
      <c r="J3902" s="18" t="s">
        <v>58</v>
      </c>
      <c r="K3902" s="18" t="s">
        <v>24</v>
      </c>
      <c r="L3902" s="18" t="s">
        <v>25</v>
      </c>
      <c r="M3902" s="18" t="s">
        <v>7577</v>
      </c>
      <c r="N3902" s="18" t="s">
        <v>26</v>
      </c>
    </row>
    <row r="3903" spans="1:14" ht="15" customHeight="1" x14ac:dyDescent="0.3">
      <c r="A3903" s="18" t="s">
        <v>7570</v>
      </c>
      <c r="B3903" s="19" t="s">
        <v>15</v>
      </c>
      <c r="C3903" s="18" t="s">
        <v>7573</v>
      </c>
      <c r="D3903" s="18" t="s">
        <v>116</v>
      </c>
      <c r="E3903" s="18" t="s">
        <v>55</v>
      </c>
      <c r="F3903" s="18" t="s">
        <v>1239</v>
      </c>
      <c r="G3903" s="18" t="s">
        <v>1254</v>
      </c>
      <c r="H3903" s="18" t="s">
        <v>7575</v>
      </c>
      <c r="I3903" s="20" t="s">
        <v>7737</v>
      </c>
      <c r="J3903" s="18" t="s">
        <v>58</v>
      </c>
      <c r="K3903" s="18" t="s">
        <v>24</v>
      </c>
      <c r="L3903" s="18" t="s">
        <v>25</v>
      </c>
      <c r="M3903" s="18" t="s">
        <v>7577</v>
      </c>
      <c r="N3903" s="18" t="s">
        <v>26</v>
      </c>
    </row>
    <row r="3904" spans="1:14" ht="15" customHeight="1" x14ac:dyDescent="0.3">
      <c r="A3904" s="18" t="s">
        <v>7570</v>
      </c>
      <c r="B3904" s="19" t="s">
        <v>15</v>
      </c>
      <c r="C3904" s="18" t="s">
        <v>7573</v>
      </c>
      <c r="D3904" s="18" t="s">
        <v>116</v>
      </c>
      <c r="E3904" s="18" t="s">
        <v>55</v>
      </c>
      <c r="F3904" s="18" t="s">
        <v>221</v>
      </c>
      <c r="G3904" s="18" t="s">
        <v>212</v>
      </c>
      <c r="H3904" s="18" t="s">
        <v>7575</v>
      </c>
      <c r="I3904" s="20" t="s">
        <v>7738</v>
      </c>
      <c r="J3904" s="18" t="s">
        <v>58</v>
      </c>
      <c r="K3904" s="18" t="s">
        <v>24</v>
      </c>
      <c r="L3904" s="18" t="s">
        <v>25</v>
      </c>
      <c r="M3904" s="18" t="s">
        <v>7577</v>
      </c>
      <c r="N3904" s="18" t="s">
        <v>26</v>
      </c>
    </row>
    <row r="3905" spans="1:14" ht="15" customHeight="1" x14ac:dyDescent="0.3">
      <c r="A3905" s="18" t="s">
        <v>7570</v>
      </c>
      <c r="B3905" s="19" t="s">
        <v>15</v>
      </c>
      <c r="C3905" s="18" t="s">
        <v>7573</v>
      </c>
      <c r="D3905" s="18" t="s">
        <v>116</v>
      </c>
      <c r="E3905" s="18" t="s">
        <v>55</v>
      </c>
      <c r="F3905" s="18" t="s">
        <v>7739</v>
      </c>
      <c r="G3905" s="18" t="s">
        <v>212</v>
      </c>
      <c r="H3905" s="18" t="s">
        <v>7575</v>
      </c>
      <c r="I3905" s="20" t="s">
        <v>7740</v>
      </c>
      <c r="J3905" s="18" t="s">
        <v>58</v>
      </c>
      <c r="K3905" s="18" t="s">
        <v>24</v>
      </c>
      <c r="L3905" s="18" t="s">
        <v>25</v>
      </c>
      <c r="M3905" s="18" t="s">
        <v>7741</v>
      </c>
      <c r="N3905" s="18" t="s">
        <v>26</v>
      </c>
    </row>
    <row r="3906" spans="1:14" ht="15" customHeight="1" x14ac:dyDescent="0.3">
      <c r="A3906" s="18" t="s">
        <v>7570</v>
      </c>
      <c r="B3906" s="19" t="s">
        <v>15</v>
      </c>
      <c r="C3906" s="18" t="s">
        <v>7573</v>
      </c>
      <c r="D3906" s="18" t="s">
        <v>116</v>
      </c>
      <c r="E3906" s="18" t="s">
        <v>55</v>
      </c>
      <c r="F3906" s="18" t="s">
        <v>1244</v>
      </c>
      <c r="G3906" s="18" t="s">
        <v>1204</v>
      </c>
      <c r="H3906" s="18" t="s">
        <v>7575</v>
      </c>
      <c r="I3906" s="20" t="s">
        <v>7742</v>
      </c>
      <c r="J3906" s="18" t="s">
        <v>58</v>
      </c>
      <c r="K3906" s="18" t="s">
        <v>24</v>
      </c>
      <c r="L3906" s="18" t="s">
        <v>25</v>
      </c>
      <c r="M3906" s="18" t="s">
        <v>7577</v>
      </c>
      <c r="N3906" s="18" t="s">
        <v>26</v>
      </c>
    </row>
    <row r="3907" spans="1:14" ht="15" customHeight="1" x14ac:dyDescent="0.3">
      <c r="A3907" s="18" t="s">
        <v>7570</v>
      </c>
      <c r="B3907" s="19" t="s">
        <v>15</v>
      </c>
      <c r="C3907" s="18" t="s">
        <v>7573</v>
      </c>
      <c r="D3907" s="18" t="s">
        <v>116</v>
      </c>
      <c r="E3907" s="18" t="s">
        <v>55</v>
      </c>
      <c r="F3907" s="18" t="s">
        <v>7609</v>
      </c>
      <c r="G3907" s="18" t="s">
        <v>1254</v>
      </c>
      <c r="H3907" s="18" t="s">
        <v>7575</v>
      </c>
      <c r="I3907" s="20" t="s">
        <v>7743</v>
      </c>
      <c r="J3907" s="18" t="s">
        <v>58</v>
      </c>
      <c r="K3907" s="18" t="s">
        <v>24</v>
      </c>
      <c r="L3907" s="18" t="s">
        <v>25</v>
      </c>
      <c r="M3907" s="18" t="s">
        <v>7577</v>
      </c>
      <c r="N3907" s="18" t="s">
        <v>26</v>
      </c>
    </row>
    <row r="3908" spans="1:14" ht="15" customHeight="1" x14ac:dyDescent="0.3">
      <c r="A3908" s="18" t="s">
        <v>7570</v>
      </c>
      <c r="B3908" s="19" t="s">
        <v>15</v>
      </c>
      <c r="C3908" s="18" t="s">
        <v>7573</v>
      </c>
      <c r="D3908" s="18" t="s">
        <v>116</v>
      </c>
      <c r="E3908" s="18" t="s">
        <v>55</v>
      </c>
      <c r="F3908" s="18" t="s">
        <v>7611</v>
      </c>
      <c r="G3908" s="18" t="s">
        <v>2248</v>
      </c>
      <c r="H3908" s="18" t="s">
        <v>7575</v>
      </c>
      <c r="I3908" s="20" t="s">
        <v>7744</v>
      </c>
      <c r="J3908" s="18" t="s">
        <v>58</v>
      </c>
      <c r="K3908" s="18" t="s">
        <v>24</v>
      </c>
      <c r="L3908" s="18" t="s">
        <v>25</v>
      </c>
      <c r="M3908" s="18" t="s">
        <v>7577</v>
      </c>
      <c r="N3908" s="18" t="s">
        <v>26</v>
      </c>
    </row>
    <row r="3909" spans="1:14" ht="15" customHeight="1" x14ac:dyDescent="0.3">
      <c r="A3909" s="18" t="s">
        <v>7570</v>
      </c>
      <c r="B3909" s="19" t="s">
        <v>15</v>
      </c>
      <c r="C3909" s="18" t="s">
        <v>7573</v>
      </c>
      <c r="D3909" s="18" t="s">
        <v>116</v>
      </c>
      <c r="E3909" s="18" t="s">
        <v>55</v>
      </c>
      <c r="F3909" s="18" t="s">
        <v>1072</v>
      </c>
      <c r="G3909" s="18" t="s">
        <v>47</v>
      </c>
      <c r="H3909" s="18" t="s">
        <v>7575</v>
      </c>
      <c r="I3909" s="20" t="s">
        <v>7745</v>
      </c>
      <c r="J3909" s="18" t="s">
        <v>58</v>
      </c>
      <c r="K3909" s="18" t="s">
        <v>24</v>
      </c>
      <c r="L3909" s="18" t="s">
        <v>25</v>
      </c>
      <c r="M3909" s="18" t="s">
        <v>7577</v>
      </c>
      <c r="N3909" s="18" t="s">
        <v>26</v>
      </c>
    </row>
    <row r="3910" spans="1:14" ht="15" customHeight="1" x14ac:dyDescent="0.3">
      <c r="A3910" s="18" t="s">
        <v>7570</v>
      </c>
      <c r="B3910" s="19" t="s">
        <v>15</v>
      </c>
      <c r="C3910" s="18" t="s">
        <v>7573</v>
      </c>
      <c r="D3910" s="18" t="s">
        <v>116</v>
      </c>
      <c r="E3910" s="18" t="s">
        <v>55</v>
      </c>
      <c r="F3910" s="18" t="s">
        <v>34</v>
      </c>
      <c r="G3910" s="18" t="s">
        <v>1254</v>
      </c>
      <c r="H3910" s="18" t="s">
        <v>7575</v>
      </c>
      <c r="I3910" s="20" t="s">
        <v>7746</v>
      </c>
      <c r="J3910" s="18" t="s">
        <v>58</v>
      </c>
      <c r="K3910" s="18" t="s">
        <v>24</v>
      </c>
      <c r="L3910" s="18" t="s">
        <v>25</v>
      </c>
      <c r="M3910" s="18" t="s">
        <v>7577</v>
      </c>
      <c r="N3910" s="18" t="s">
        <v>26</v>
      </c>
    </row>
    <row r="3911" spans="1:14" ht="15" customHeight="1" x14ac:dyDescent="0.3">
      <c r="A3911" s="18" t="s">
        <v>7570</v>
      </c>
      <c r="B3911" s="19" t="s">
        <v>15</v>
      </c>
      <c r="C3911" s="18" t="s">
        <v>7573</v>
      </c>
      <c r="D3911" s="18" t="s">
        <v>116</v>
      </c>
      <c r="E3911" s="18" t="s">
        <v>55</v>
      </c>
      <c r="F3911" s="18" t="s">
        <v>1276</v>
      </c>
      <c r="G3911" s="18" t="s">
        <v>1251</v>
      </c>
      <c r="H3911" s="18" t="s">
        <v>7575</v>
      </c>
      <c r="I3911" s="20" t="s">
        <v>7747</v>
      </c>
      <c r="J3911" s="18" t="s">
        <v>58</v>
      </c>
      <c r="K3911" s="18" t="s">
        <v>24</v>
      </c>
      <c r="L3911" s="18" t="s">
        <v>25</v>
      </c>
      <c r="M3911" s="18" t="s">
        <v>7577</v>
      </c>
      <c r="N3911" s="18" t="s">
        <v>26</v>
      </c>
    </row>
    <row r="3912" spans="1:14" ht="15" customHeight="1" x14ac:dyDescent="0.3">
      <c r="A3912" s="18" t="s">
        <v>7570</v>
      </c>
      <c r="B3912" s="19" t="s">
        <v>15</v>
      </c>
      <c r="C3912" s="18" t="s">
        <v>7573</v>
      </c>
      <c r="D3912" s="18" t="s">
        <v>116</v>
      </c>
      <c r="E3912" s="18" t="s">
        <v>55</v>
      </c>
      <c r="F3912" s="18" t="s">
        <v>2304</v>
      </c>
      <c r="G3912" s="18" t="s">
        <v>1204</v>
      </c>
      <c r="H3912" s="18" t="s">
        <v>7575</v>
      </c>
      <c r="I3912" s="20" t="s">
        <v>7748</v>
      </c>
      <c r="J3912" s="18" t="s">
        <v>58</v>
      </c>
      <c r="K3912" s="18" t="s">
        <v>24</v>
      </c>
      <c r="L3912" s="18" t="s">
        <v>25</v>
      </c>
      <c r="M3912" s="18" t="s">
        <v>7577</v>
      </c>
      <c r="N3912" s="18" t="s">
        <v>26</v>
      </c>
    </row>
    <row r="3913" spans="1:14" ht="15" customHeight="1" x14ac:dyDescent="0.3">
      <c r="A3913" s="18" t="s">
        <v>7570</v>
      </c>
      <c r="B3913" s="19" t="s">
        <v>15</v>
      </c>
      <c r="C3913" s="18" t="s">
        <v>7573</v>
      </c>
      <c r="D3913" s="18" t="s">
        <v>116</v>
      </c>
      <c r="E3913" s="18" t="s">
        <v>55</v>
      </c>
      <c r="F3913" s="18" t="s">
        <v>7749</v>
      </c>
      <c r="G3913" s="18" t="s">
        <v>1254</v>
      </c>
      <c r="H3913" s="18" t="s">
        <v>7575</v>
      </c>
      <c r="I3913" s="20" t="s">
        <v>7750</v>
      </c>
      <c r="J3913" s="18" t="s">
        <v>58</v>
      </c>
      <c r="K3913" s="18" t="s">
        <v>24</v>
      </c>
      <c r="L3913" s="18" t="s">
        <v>25</v>
      </c>
      <c r="M3913" s="18" t="s">
        <v>7577</v>
      </c>
      <c r="N3913" s="18" t="s">
        <v>26</v>
      </c>
    </row>
    <row r="3914" spans="1:14" ht="15" customHeight="1" x14ac:dyDescent="0.3">
      <c r="A3914" s="18" t="s">
        <v>7570</v>
      </c>
      <c r="B3914" s="19" t="s">
        <v>15</v>
      </c>
      <c r="C3914" s="18" t="s">
        <v>7573</v>
      </c>
      <c r="D3914" s="18" t="s">
        <v>116</v>
      </c>
      <c r="E3914" s="18" t="s">
        <v>55</v>
      </c>
      <c r="F3914" s="18" t="s">
        <v>37</v>
      </c>
      <c r="G3914" s="18" t="s">
        <v>1254</v>
      </c>
      <c r="H3914" s="18" t="s">
        <v>7575</v>
      </c>
      <c r="I3914" s="20" t="s">
        <v>7751</v>
      </c>
      <c r="J3914" s="18" t="s">
        <v>58</v>
      </c>
      <c r="K3914" s="18" t="s">
        <v>24</v>
      </c>
      <c r="L3914" s="18" t="s">
        <v>25</v>
      </c>
      <c r="M3914" s="18" t="s">
        <v>7577</v>
      </c>
      <c r="N3914" s="18" t="s">
        <v>26</v>
      </c>
    </row>
    <row r="3915" spans="1:14" ht="15" customHeight="1" x14ac:dyDescent="0.3">
      <c r="A3915" s="18" t="s">
        <v>7570</v>
      </c>
      <c r="B3915" s="19" t="s">
        <v>15</v>
      </c>
      <c r="C3915" s="18" t="s">
        <v>7573</v>
      </c>
      <c r="D3915" s="18" t="s">
        <v>116</v>
      </c>
      <c r="E3915" s="18" t="s">
        <v>55</v>
      </c>
      <c r="F3915" s="18" t="s">
        <v>7619</v>
      </c>
      <c r="G3915" s="18" t="s">
        <v>1075</v>
      </c>
      <c r="H3915" s="18" t="s">
        <v>7575</v>
      </c>
      <c r="I3915" s="20" t="s">
        <v>7752</v>
      </c>
      <c r="J3915" s="18" t="s">
        <v>58</v>
      </c>
      <c r="K3915" s="18" t="s">
        <v>24</v>
      </c>
      <c r="L3915" s="18" t="s">
        <v>25</v>
      </c>
      <c r="M3915" s="18" t="s">
        <v>7577</v>
      </c>
      <c r="N3915" s="18" t="s">
        <v>26</v>
      </c>
    </row>
    <row r="3916" spans="1:14" ht="15" customHeight="1" x14ac:dyDescent="0.3">
      <c r="A3916" s="18" t="s">
        <v>7570</v>
      </c>
      <c r="B3916" s="19" t="s">
        <v>15</v>
      </c>
      <c r="C3916" s="18" t="s">
        <v>7573</v>
      </c>
      <c r="D3916" s="18" t="s">
        <v>116</v>
      </c>
      <c r="E3916" s="18" t="s">
        <v>55</v>
      </c>
      <c r="F3916" s="18" t="s">
        <v>7753</v>
      </c>
      <c r="G3916" s="18" t="s">
        <v>1075</v>
      </c>
      <c r="H3916" s="18" t="s">
        <v>7575</v>
      </c>
      <c r="I3916" s="20" t="s">
        <v>7754</v>
      </c>
      <c r="J3916" s="18" t="s">
        <v>58</v>
      </c>
      <c r="K3916" s="18" t="s">
        <v>24</v>
      </c>
      <c r="L3916" s="18" t="s">
        <v>25</v>
      </c>
      <c r="M3916" s="18" t="s">
        <v>7577</v>
      </c>
      <c r="N3916" s="18" t="s">
        <v>26</v>
      </c>
    </row>
    <row r="3917" spans="1:14" ht="15" customHeight="1" x14ac:dyDescent="0.3">
      <c r="A3917" s="18" t="s">
        <v>7570</v>
      </c>
      <c r="B3917" s="19" t="s">
        <v>15</v>
      </c>
      <c r="C3917" s="18" t="s">
        <v>7573</v>
      </c>
      <c r="D3917" s="18" t="s">
        <v>116</v>
      </c>
      <c r="E3917" s="18" t="s">
        <v>55</v>
      </c>
      <c r="F3917" s="18" t="s">
        <v>7755</v>
      </c>
      <c r="G3917" s="18" t="s">
        <v>1254</v>
      </c>
      <c r="H3917" s="18" t="s">
        <v>7575</v>
      </c>
      <c r="I3917" s="20" t="s">
        <v>7756</v>
      </c>
      <c r="J3917" s="18" t="s">
        <v>58</v>
      </c>
      <c r="K3917" s="18" t="s">
        <v>24</v>
      </c>
      <c r="L3917" s="18" t="s">
        <v>25</v>
      </c>
      <c r="M3917" s="18" t="s">
        <v>7577</v>
      </c>
      <c r="N3917" s="18" t="s">
        <v>26</v>
      </c>
    </row>
    <row r="3918" spans="1:14" ht="15" customHeight="1" x14ac:dyDescent="0.3">
      <c r="A3918" s="18" t="s">
        <v>7570</v>
      </c>
      <c r="B3918" s="19" t="s">
        <v>15</v>
      </c>
      <c r="C3918" s="18" t="s">
        <v>7573</v>
      </c>
      <c r="D3918" s="18" t="s">
        <v>116</v>
      </c>
      <c r="E3918" s="18" t="s">
        <v>55</v>
      </c>
      <c r="F3918" s="18" t="s">
        <v>2099</v>
      </c>
      <c r="G3918" s="18" t="s">
        <v>1502</v>
      </c>
      <c r="H3918" s="18" t="s">
        <v>7575</v>
      </c>
      <c r="I3918" s="20" t="s">
        <v>7757</v>
      </c>
      <c r="J3918" s="18" t="s">
        <v>58</v>
      </c>
      <c r="K3918" s="18" t="s">
        <v>24</v>
      </c>
      <c r="L3918" s="18" t="s">
        <v>25</v>
      </c>
      <c r="M3918" s="18" t="s">
        <v>7577</v>
      </c>
      <c r="N3918" s="18" t="s">
        <v>26</v>
      </c>
    </row>
    <row r="3919" spans="1:14" ht="15" customHeight="1" x14ac:dyDescent="0.3">
      <c r="A3919" s="18" t="s">
        <v>7570</v>
      </c>
      <c r="B3919" s="19" t="s">
        <v>15</v>
      </c>
      <c r="C3919" s="18" t="s">
        <v>7573</v>
      </c>
      <c r="D3919" s="18" t="s">
        <v>116</v>
      </c>
      <c r="E3919" s="18" t="s">
        <v>55</v>
      </c>
      <c r="F3919" s="18" t="s">
        <v>1253</v>
      </c>
      <c r="G3919" s="18" t="s">
        <v>1254</v>
      </c>
      <c r="H3919" s="18" t="s">
        <v>7575</v>
      </c>
      <c r="I3919" s="20" t="s">
        <v>7758</v>
      </c>
      <c r="J3919" s="18" t="s">
        <v>58</v>
      </c>
      <c r="K3919" s="18" t="s">
        <v>24</v>
      </c>
      <c r="L3919" s="18" t="s">
        <v>25</v>
      </c>
      <c r="M3919" s="18" t="s">
        <v>7577</v>
      </c>
      <c r="N3919" s="18" t="s">
        <v>26</v>
      </c>
    </row>
    <row r="3920" spans="1:14" ht="15" customHeight="1" x14ac:dyDescent="0.3">
      <c r="A3920" s="18" t="s">
        <v>7570</v>
      </c>
      <c r="B3920" s="19" t="s">
        <v>15</v>
      </c>
      <c r="C3920" s="18" t="s">
        <v>210</v>
      </c>
      <c r="D3920" s="18" t="s">
        <v>116</v>
      </c>
      <c r="E3920" s="18" t="s">
        <v>55</v>
      </c>
      <c r="F3920" s="18" t="s">
        <v>2379</v>
      </c>
      <c r="G3920" s="18" t="s">
        <v>7759</v>
      </c>
      <c r="H3920" s="18" t="s">
        <v>7571</v>
      </c>
      <c r="I3920" s="20" t="s">
        <v>7760</v>
      </c>
      <c r="J3920" s="18" t="s">
        <v>58</v>
      </c>
      <c r="K3920" s="18" t="s">
        <v>24</v>
      </c>
      <c r="L3920" s="18" t="s">
        <v>25</v>
      </c>
      <c r="N3920" s="18" t="s">
        <v>26</v>
      </c>
    </row>
    <row r="3921" spans="1:14" ht="15" customHeight="1" x14ac:dyDescent="0.3">
      <c r="A3921" s="18" t="s">
        <v>7570</v>
      </c>
      <c r="B3921" s="19" t="s">
        <v>15</v>
      </c>
      <c r="C3921" s="18" t="s">
        <v>7573</v>
      </c>
      <c r="D3921" s="18" t="s">
        <v>116</v>
      </c>
      <c r="E3921" s="18" t="s">
        <v>55</v>
      </c>
      <c r="F3921" s="18" t="s">
        <v>7761</v>
      </c>
      <c r="G3921" s="18" t="s">
        <v>7762</v>
      </c>
      <c r="H3921" s="18" t="s">
        <v>7575</v>
      </c>
      <c r="I3921" s="20" t="s">
        <v>7763</v>
      </c>
      <c r="J3921" s="18" t="s">
        <v>58</v>
      </c>
      <c r="K3921" s="18" t="s">
        <v>24</v>
      </c>
      <c r="L3921" s="18" t="s">
        <v>25</v>
      </c>
      <c r="M3921" s="18" t="s">
        <v>7577</v>
      </c>
      <c r="N3921" s="18" t="s">
        <v>26</v>
      </c>
    </row>
    <row r="3922" spans="1:14" ht="15" customHeight="1" x14ac:dyDescent="0.3">
      <c r="A3922" s="18" t="s">
        <v>7570</v>
      </c>
      <c r="B3922" s="19" t="s">
        <v>15</v>
      </c>
      <c r="C3922" s="18" t="s">
        <v>210</v>
      </c>
      <c r="D3922" s="18" t="s">
        <v>116</v>
      </c>
      <c r="E3922" s="18" t="s">
        <v>55</v>
      </c>
      <c r="F3922" s="18" t="s">
        <v>7764</v>
      </c>
      <c r="G3922" s="18" t="s">
        <v>7765</v>
      </c>
      <c r="H3922" s="18" t="s">
        <v>7571</v>
      </c>
      <c r="I3922" s="20" t="s">
        <v>7766</v>
      </c>
      <c r="J3922" s="18" t="s">
        <v>58</v>
      </c>
      <c r="K3922" s="18" t="s">
        <v>24</v>
      </c>
      <c r="L3922" s="18" t="s">
        <v>25</v>
      </c>
      <c r="N3922" s="18" t="s">
        <v>26</v>
      </c>
    </row>
    <row r="3923" spans="1:14" ht="15" customHeight="1" x14ac:dyDescent="0.3">
      <c r="A3923" s="18" t="s">
        <v>7570</v>
      </c>
      <c r="B3923" s="19" t="s">
        <v>15</v>
      </c>
      <c r="C3923" s="18" t="s">
        <v>210</v>
      </c>
      <c r="D3923" s="18" t="s">
        <v>116</v>
      </c>
      <c r="E3923" s="18" t="s">
        <v>55</v>
      </c>
      <c r="F3923" s="18" t="s">
        <v>7767</v>
      </c>
      <c r="G3923" s="18" t="s">
        <v>7768</v>
      </c>
      <c r="H3923" s="18" t="s">
        <v>7571</v>
      </c>
      <c r="I3923" s="20" t="s">
        <v>7769</v>
      </c>
      <c r="J3923" s="18" t="s">
        <v>58</v>
      </c>
      <c r="K3923" s="18" t="s">
        <v>24</v>
      </c>
      <c r="L3923" s="18" t="s">
        <v>25</v>
      </c>
      <c r="N3923" s="18" t="s">
        <v>26</v>
      </c>
    </row>
    <row r="3924" spans="1:14" ht="15" customHeight="1" x14ac:dyDescent="0.3">
      <c r="A3924" s="18" t="s">
        <v>7570</v>
      </c>
      <c r="B3924" s="19" t="s">
        <v>15</v>
      </c>
      <c r="C3924" s="18" t="s">
        <v>210</v>
      </c>
      <c r="D3924" s="18" t="s">
        <v>116</v>
      </c>
      <c r="E3924" s="18" t="s">
        <v>55</v>
      </c>
      <c r="F3924" s="18" t="s">
        <v>7770</v>
      </c>
      <c r="G3924" s="18" t="s">
        <v>7771</v>
      </c>
      <c r="H3924" s="18" t="s">
        <v>7571</v>
      </c>
      <c r="I3924" s="20" t="s">
        <v>7772</v>
      </c>
      <c r="J3924" s="18" t="s">
        <v>58</v>
      </c>
      <c r="K3924" s="18" t="s">
        <v>24</v>
      </c>
      <c r="L3924" s="18" t="s">
        <v>25</v>
      </c>
      <c r="N3924" s="18" t="s">
        <v>26</v>
      </c>
    </row>
    <row r="3925" spans="1:14" ht="15" customHeight="1" x14ac:dyDescent="0.3">
      <c r="A3925" s="18" t="s">
        <v>7570</v>
      </c>
      <c r="B3925" s="19" t="s">
        <v>15</v>
      </c>
      <c r="C3925" s="18" t="s">
        <v>210</v>
      </c>
      <c r="D3925" s="18" t="s">
        <v>116</v>
      </c>
      <c r="E3925" s="18" t="s">
        <v>55</v>
      </c>
      <c r="F3925" s="18" t="s">
        <v>7773</v>
      </c>
      <c r="G3925" s="18" t="s">
        <v>7774</v>
      </c>
      <c r="H3925" s="18" t="s">
        <v>7571</v>
      </c>
      <c r="I3925" s="20" t="s">
        <v>7775</v>
      </c>
      <c r="J3925" s="18" t="s">
        <v>58</v>
      </c>
      <c r="K3925" s="18" t="s">
        <v>24</v>
      </c>
      <c r="L3925" s="18" t="s">
        <v>1369</v>
      </c>
      <c r="N3925" s="18" t="s">
        <v>26</v>
      </c>
    </row>
    <row r="3926" spans="1:14" ht="15" customHeight="1" x14ac:dyDescent="0.3">
      <c r="A3926" s="18" t="s">
        <v>7570</v>
      </c>
      <c r="B3926" s="19" t="s">
        <v>15</v>
      </c>
      <c r="C3926" s="18" t="s">
        <v>210</v>
      </c>
      <c r="D3926" s="18" t="s">
        <v>116</v>
      </c>
      <c r="E3926" s="18" t="s">
        <v>55</v>
      </c>
      <c r="F3926" s="18" t="s">
        <v>1366</v>
      </c>
      <c r="G3926" s="18" t="s">
        <v>1367</v>
      </c>
      <c r="H3926" s="18" t="s">
        <v>7571</v>
      </c>
      <c r="I3926" s="20" t="s">
        <v>7776</v>
      </c>
      <c r="J3926" s="18" t="s">
        <v>73</v>
      </c>
      <c r="K3926" s="18" t="s">
        <v>24</v>
      </c>
      <c r="L3926" s="18" t="s">
        <v>1369</v>
      </c>
      <c r="N3926" s="18" t="s">
        <v>26</v>
      </c>
    </row>
    <row r="3927" spans="1:14" ht="15" customHeight="1" x14ac:dyDescent="0.3">
      <c r="A3927" s="18" t="s">
        <v>7570</v>
      </c>
      <c r="B3927" s="19" t="s">
        <v>15</v>
      </c>
      <c r="C3927" s="18" t="s">
        <v>210</v>
      </c>
      <c r="D3927" s="18" t="s">
        <v>116</v>
      </c>
      <c r="E3927" s="18" t="s">
        <v>55</v>
      </c>
      <c r="F3927" s="18" t="s">
        <v>7777</v>
      </c>
      <c r="G3927" s="18" t="s">
        <v>7778</v>
      </c>
      <c r="H3927" s="18" t="s">
        <v>7571</v>
      </c>
      <c r="I3927" s="20" t="s">
        <v>7779</v>
      </c>
      <c r="J3927" s="18" t="s">
        <v>58</v>
      </c>
      <c r="K3927" s="18" t="s">
        <v>24</v>
      </c>
      <c r="L3927" s="18" t="s">
        <v>1369</v>
      </c>
      <c r="N3927" s="18" t="s">
        <v>26</v>
      </c>
    </row>
    <row r="3928" spans="1:14" ht="15" customHeight="1" x14ac:dyDescent="0.3">
      <c r="A3928" s="18" t="s">
        <v>7570</v>
      </c>
      <c r="B3928" s="19" t="s">
        <v>15</v>
      </c>
      <c r="C3928" s="18" t="s">
        <v>210</v>
      </c>
      <c r="D3928" s="18" t="s">
        <v>116</v>
      </c>
      <c r="E3928" s="18" t="s">
        <v>55</v>
      </c>
      <c r="F3928" s="18" t="s">
        <v>7780</v>
      </c>
      <c r="G3928" s="18" t="s">
        <v>7781</v>
      </c>
      <c r="H3928" s="18" t="s">
        <v>7571</v>
      </c>
      <c r="I3928" s="20" t="s">
        <v>7782</v>
      </c>
      <c r="J3928" s="18" t="s">
        <v>58</v>
      </c>
      <c r="K3928" s="18" t="s">
        <v>24</v>
      </c>
      <c r="L3928" s="18" t="s">
        <v>1369</v>
      </c>
      <c r="N3928" s="18" t="s">
        <v>26</v>
      </c>
    </row>
    <row r="3929" spans="1:14" ht="15" customHeight="1" x14ac:dyDescent="0.3">
      <c r="A3929" s="18" t="s">
        <v>7570</v>
      </c>
      <c r="B3929" s="19" t="s">
        <v>15</v>
      </c>
      <c r="C3929" s="18" t="s">
        <v>210</v>
      </c>
      <c r="D3929" s="18" t="s">
        <v>116</v>
      </c>
      <c r="E3929" s="18" t="s">
        <v>55</v>
      </c>
      <c r="F3929" s="18" t="s">
        <v>7783</v>
      </c>
      <c r="G3929" s="18" t="s">
        <v>7784</v>
      </c>
      <c r="H3929" s="18" t="s">
        <v>7571</v>
      </c>
      <c r="I3929" s="20" t="s">
        <v>7785</v>
      </c>
      <c r="J3929" s="18" t="s">
        <v>58</v>
      </c>
      <c r="K3929" s="18" t="s">
        <v>24</v>
      </c>
      <c r="L3929" s="18" t="s">
        <v>25</v>
      </c>
      <c r="N3929" s="18" t="s">
        <v>26</v>
      </c>
    </row>
    <row r="3930" spans="1:14" ht="15" customHeight="1" x14ac:dyDescent="0.3">
      <c r="A3930" s="18" t="s">
        <v>7570</v>
      </c>
      <c r="B3930" s="19" t="s">
        <v>15</v>
      </c>
      <c r="C3930" s="18" t="s">
        <v>210</v>
      </c>
      <c r="D3930" s="18" t="s">
        <v>116</v>
      </c>
      <c r="E3930" s="18" t="s">
        <v>55</v>
      </c>
      <c r="F3930" s="18" t="s">
        <v>7786</v>
      </c>
      <c r="G3930" s="18" t="s">
        <v>7787</v>
      </c>
      <c r="H3930" s="18" t="s">
        <v>7571</v>
      </c>
      <c r="I3930" s="20" t="s">
        <v>7788</v>
      </c>
      <c r="J3930" s="18" t="s">
        <v>58</v>
      </c>
      <c r="K3930" s="18" t="s">
        <v>24</v>
      </c>
      <c r="L3930" s="18" t="s">
        <v>25</v>
      </c>
      <c r="N3930" s="18" t="s">
        <v>26</v>
      </c>
    </row>
    <row r="3931" spans="1:14" ht="15" customHeight="1" x14ac:dyDescent="0.3">
      <c r="A3931" s="18" t="s">
        <v>7570</v>
      </c>
      <c r="B3931" s="19" t="s">
        <v>15</v>
      </c>
      <c r="C3931" s="18" t="s">
        <v>210</v>
      </c>
      <c r="D3931" s="18" t="s">
        <v>116</v>
      </c>
      <c r="E3931" s="18" t="s">
        <v>55</v>
      </c>
      <c r="F3931" s="18" t="s">
        <v>7789</v>
      </c>
      <c r="G3931" s="18" t="s">
        <v>433</v>
      </c>
      <c r="H3931" s="18" t="s">
        <v>7596</v>
      </c>
      <c r="I3931" s="20" t="s">
        <v>7790</v>
      </c>
      <c r="J3931" s="18" t="s">
        <v>58</v>
      </c>
      <c r="K3931" s="18" t="s">
        <v>24</v>
      </c>
      <c r="L3931" s="18" t="s">
        <v>25</v>
      </c>
      <c r="M3931" s="18" t="s">
        <v>39</v>
      </c>
      <c r="N3931" s="18" t="s">
        <v>26</v>
      </c>
    </row>
    <row r="3932" spans="1:14" ht="15" customHeight="1" x14ac:dyDescent="0.3">
      <c r="A3932" s="18" t="s">
        <v>7570</v>
      </c>
      <c r="B3932" s="19" t="s">
        <v>15</v>
      </c>
      <c r="C3932" s="18" t="s">
        <v>7573</v>
      </c>
      <c r="D3932" s="18" t="s">
        <v>116</v>
      </c>
      <c r="E3932" s="18" t="s">
        <v>55</v>
      </c>
      <c r="F3932" s="18" t="s">
        <v>7791</v>
      </c>
      <c r="G3932" s="18" t="s">
        <v>88</v>
      </c>
      <c r="H3932" s="18" t="s">
        <v>7575</v>
      </c>
      <c r="I3932" s="20" t="s">
        <v>7792</v>
      </c>
      <c r="J3932" s="18" t="s">
        <v>58</v>
      </c>
      <c r="K3932" s="18" t="s">
        <v>24</v>
      </c>
      <c r="L3932" s="18" t="s">
        <v>25</v>
      </c>
      <c r="M3932" s="18" t="s">
        <v>7577</v>
      </c>
      <c r="N3932" s="18" t="s">
        <v>26</v>
      </c>
    </row>
    <row r="3933" spans="1:14" ht="15" customHeight="1" x14ac:dyDescent="0.3">
      <c r="A3933" s="18" t="s">
        <v>7570</v>
      </c>
      <c r="B3933" s="19" t="s">
        <v>15</v>
      </c>
      <c r="C3933" s="18" t="s">
        <v>210</v>
      </c>
      <c r="D3933" s="18" t="s">
        <v>116</v>
      </c>
      <c r="E3933" s="18" t="s">
        <v>55</v>
      </c>
      <c r="F3933" s="18" t="s">
        <v>7793</v>
      </c>
      <c r="G3933" s="18" t="s">
        <v>88</v>
      </c>
      <c r="H3933" s="18" t="s">
        <v>7584</v>
      </c>
      <c r="I3933" s="20" t="s">
        <v>7794</v>
      </c>
      <c r="J3933" s="18" t="s">
        <v>7795</v>
      </c>
      <c r="K3933" s="18" t="s">
        <v>24</v>
      </c>
      <c r="L3933" s="18" t="s">
        <v>25</v>
      </c>
      <c r="N3933" s="18" t="s">
        <v>26</v>
      </c>
    </row>
    <row r="3934" spans="1:14" ht="15" customHeight="1" x14ac:dyDescent="0.3">
      <c r="A3934" s="18" t="s">
        <v>7570</v>
      </c>
      <c r="B3934" s="19" t="s">
        <v>15</v>
      </c>
      <c r="C3934" s="18" t="s">
        <v>210</v>
      </c>
      <c r="D3934" s="18" t="s">
        <v>116</v>
      </c>
      <c r="E3934" s="18" t="s">
        <v>55</v>
      </c>
      <c r="F3934" s="18" t="s">
        <v>6425</v>
      </c>
      <c r="G3934" s="18" t="s">
        <v>312</v>
      </c>
      <c r="H3934" s="18" t="s">
        <v>7571</v>
      </c>
      <c r="I3934" s="20" t="s">
        <v>7796</v>
      </c>
      <c r="J3934" s="18" t="s">
        <v>58</v>
      </c>
      <c r="K3934" s="18" t="s">
        <v>24</v>
      </c>
      <c r="L3934" s="18" t="s">
        <v>25</v>
      </c>
      <c r="N3934" s="18" t="s">
        <v>26</v>
      </c>
    </row>
    <row r="3935" spans="1:14" ht="15" customHeight="1" x14ac:dyDescent="0.3">
      <c r="A3935" s="18" t="s">
        <v>7570</v>
      </c>
      <c r="B3935" s="19" t="s">
        <v>15</v>
      </c>
      <c r="C3935" s="18" t="s">
        <v>210</v>
      </c>
      <c r="D3935" s="18" t="s">
        <v>116</v>
      </c>
      <c r="E3935" s="18" t="s">
        <v>55</v>
      </c>
      <c r="F3935" s="18" t="s">
        <v>7797</v>
      </c>
      <c r="G3935" s="18" t="s">
        <v>1055</v>
      </c>
      <c r="H3935" s="18" t="s">
        <v>7571</v>
      </c>
      <c r="I3935" s="20" t="s">
        <v>7798</v>
      </c>
      <c r="J3935" s="18" t="s">
        <v>58</v>
      </c>
      <c r="K3935" s="18" t="s">
        <v>24</v>
      </c>
      <c r="L3935" s="18" t="s">
        <v>25</v>
      </c>
      <c r="N3935" s="18" t="s">
        <v>26</v>
      </c>
    </row>
    <row r="3936" spans="1:14" ht="15" customHeight="1" x14ac:dyDescent="0.3">
      <c r="A3936" s="18" t="s">
        <v>7570</v>
      </c>
      <c r="B3936" s="19" t="s">
        <v>15</v>
      </c>
      <c r="C3936" s="18" t="s">
        <v>210</v>
      </c>
      <c r="D3936" s="18" t="s">
        <v>116</v>
      </c>
      <c r="E3936" s="18" t="s">
        <v>55</v>
      </c>
      <c r="F3936" s="18" t="s">
        <v>7799</v>
      </c>
      <c r="G3936" s="18" t="s">
        <v>1055</v>
      </c>
      <c r="H3936" s="18" t="s">
        <v>7571</v>
      </c>
      <c r="I3936" s="20" t="s">
        <v>7800</v>
      </c>
      <c r="J3936" s="18" t="s">
        <v>58</v>
      </c>
      <c r="K3936" s="18" t="s">
        <v>24</v>
      </c>
      <c r="L3936" s="18" t="s">
        <v>25</v>
      </c>
      <c r="N3936" s="18" t="s">
        <v>26</v>
      </c>
    </row>
    <row r="3937" spans="1:14" ht="15" customHeight="1" x14ac:dyDescent="0.3">
      <c r="A3937" s="18" t="s">
        <v>7570</v>
      </c>
      <c r="B3937" s="19" t="s">
        <v>15</v>
      </c>
      <c r="C3937" s="18" t="s">
        <v>210</v>
      </c>
      <c r="D3937" s="18" t="s">
        <v>116</v>
      </c>
      <c r="E3937" s="18" t="s">
        <v>55</v>
      </c>
      <c r="F3937" s="18" t="s">
        <v>7801</v>
      </c>
      <c r="G3937" s="18" t="s">
        <v>1055</v>
      </c>
      <c r="H3937" s="18" t="s">
        <v>7571</v>
      </c>
      <c r="I3937" s="20" t="s">
        <v>7802</v>
      </c>
      <c r="J3937" s="18" t="s">
        <v>58</v>
      </c>
      <c r="K3937" s="18" t="s">
        <v>24</v>
      </c>
      <c r="L3937" s="18" t="s">
        <v>25</v>
      </c>
      <c r="N3937" s="18" t="s">
        <v>26</v>
      </c>
    </row>
    <row r="3938" spans="1:14" ht="15" customHeight="1" x14ac:dyDescent="0.3">
      <c r="A3938" s="18" t="s">
        <v>7570</v>
      </c>
      <c r="B3938" s="19" t="s">
        <v>15</v>
      </c>
      <c r="C3938" s="18" t="s">
        <v>210</v>
      </c>
      <c r="D3938" s="18" t="s">
        <v>116</v>
      </c>
      <c r="E3938" s="18" t="s">
        <v>55</v>
      </c>
      <c r="F3938" s="18" t="s">
        <v>7803</v>
      </c>
      <c r="G3938" s="18" t="s">
        <v>273</v>
      </c>
      <c r="H3938" s="18" t="s">
        <v>7571</v>
      </c>
      <c r="I3938" s="20" t="s">
        <v>7804</v>
      </c>
      <c r="J3938" s="18" t="s">
        <v>58</v>
      </c>
      <c r="K3938" s="18" t="s">
        <v>24</v>
      </c>
      <c r="L3938" s="18" t="s">
        <v>25</v>
      </c>
      <c r="N3938" s="18" t="s">
        <v>26</v>
      </c>
    </row>
    <row r="3939" spans="1:14" ht="15" customHeight="1" x14ac:dyDescent="0.3">
      <c r="A3939" s="18" t="s">
        <v>7570</v>
      </c>
      <c r="B3939" s="19" t="s">
        <v>15</v>
      </c>
      <c r="C3939" s="18" t="s">
        <v>210</v>
      </c>
      <c r="D3939" s="18" t="s">
        <v>116</v>
      </c>
      <c r="E3939" s="18" t="s">
        <v>55</v>
      </c>
      <c r="F3939" s="18" t="s">
        <v>7805</v>
      </c>
      <c r="G3939" s="18" t="s">
        <v>6433</v>
      </c>
      <c r="H3939" s="18" t="s">
        <v>7571</v>
      </c>
      <c r="I3939" s="20" t="s">
        <v>7806</v>
      </c>
      <c r="J3939" s="18" t="s">
        <v>58</v>
      </c>
      <c r="K3939" s="18" t="s">
        <v>24</v>
      </c>
      <c r="L3939" s="18" t="s">
        <v>25</v>
      </c>
      <c r="N3939" s="18" t="s">
        <v>26</v>
      </c>
    </row>
    <row r="3940" spans="1:14" ht="15" customHeight="1" x14ac:dyDescent="0.3">
      <c r="A3940" s="18" t="s">
        <v>7570</v>
      </c>
      <c r="B3940" s="19" t="s">
        <v>15</v>
      </c>
      <c r="C3940" s="18" t="s">
        <v>210</v>
      </c>
      <c r="D3940" s="18" t="s">
        <v>116</v>
      </c>
      <c r="E3940" s="18" t="s">
        <v>55</v>
      </c>
      <c r="F3940" s="18" t="s">
        <v>6432</v>
      </c>
      <c r="G3940" s="18" t="s">
        <v>6433</v>
      </c>
      <c r="H3940" s="18" t="s">
        <v>7571</v>
      </c>
      <c r="I3940" s="20" t="s">
        <v>7807</v>
      </c>
      <c r="J3940" s="18" t="s">
        <v>73</v>
      </c>
      <c r="K3940" s="18" t="s">
        <v>24</v>
      </c>
      <c r="L3940" s="18" t="s">
        <v>25</v>
      </c>
      <c r="N3940" s="18" t="s">
        <v>26</v>
      </c>
    </row>
    <row r="3941" spans="1:14" ht="15" customHeight="1" x14ac:dyDescent="0.3">
      <c r="A3941" s="18" t="s">
        <v>7570</v>
      </c>
      <c r="B3941" s="19" t="s">
        <v>15</v>
      </c>
      <c r="C3941" s="18" t="s">
        <v>210</v>
      </c>
      <c r="D3941" s="18" t="s">
        <v>116</v>
      </c>
      <c r="E3941" s="18" t="s">
        <v>55</v>
      </c>
      <c r="F3941" s="18" t="s">
        <v>5050</v>
      </c>
      <c r="G3941" s="18" t="s">
        <v>1069</v>
      </c>
      <c r="H3941" s="18" t="s">
        <v>7602</v>
      </c>
      <c r="I3941" s="20" t="s">
        <v>7808</v>
      </c>
      <c r="J3941" s="18" t="s">
        <v>73</v>
      </c>
      <c r="K3941" s="18" t="s">
        <v>24</v>
      </c>
      <c r="L3941" s="18" t="s">
        <v>25</v>
      </c>
      <c r="N3941" s="18" t="s">
        <v>26</v>
      </c>
    </row>
    <row r="3942" spans="1:14" ht="15" customHeight="1" x14ac:dyDescent="0.3">
      <c r="A3942" s="18" t="s">
        <v>7570</v>
      </c>
      <c r="B3942" s="19" t="s">
        <v>15</v>
      </c>
      <c r="C3942" s="18" t="s">
        <v>210</v>
      </c>
      <c r="D3942" s="18" t="s">
        <v>116</v>
      </c>
      <c r="E3942" s="18" t="s">
        <v>55</v>
      </c>
      <c r="F3942" s="18" t="s">
        <v>6550</v>
      </c>
      <c r="G3942" s="18" t="s">
        <v>1069</v>
      </c>
      <c r="H3942" s="18" t="s">
        <v>7602</v>
      </c>
      <c r="I3942" s="20" t="s">
        <v>7809</v>
      </c>
      <c r="J3942" s="18" t="s">
        <v>73</v>
      </c>
      <c r="K3942" s="18" t="s">
        <v>24</v>
      </c>
      <c r="L3942" s="18" t="s">
        <v>25</v>
      </c>
      <c r="N3942" s="18" t="s">
        <v>26</v>
      </c>
    </row>
    <row r="3943" spans="1:14" ht="15" customHeight="1" x14ac:dyDescent="0.3">
      <c r="A3943" s="18" t="s">
        <v>7570</v>
      </c>
      <c r="B3943" s="19" t="s">
        <v>15</v>
      </c>
      <c r="C3943" s="18" t="s">
        <v>210</v>
      </c>
      <c r="D3943" s="18" t="s">
        <v>116</v>
      </c>
      <c r="E3943" s="18" t="s">
        <v>55</v>
      </c>
      <c r="F3943" s="18" t="s">
        <v>7810</v>
      </c>
      <c r="G3943" s="18" t="s">
        <v>564</v>
      </c>
      <c r="H3943" s="18" t="s">
        <v>7602</v>
      </c>
      <c r="I3943" s="20" t="s">
        <v>7811</v>
      </c>
      <c r="J3943" s="18" t="s">
        <v>199</v>
      </c>
      <c r="K3943" s="18" t="s">
        <v>24</v>
      </c>
      <c r="L3943" s="18" t="s">
        <v>25</v>
      </c>
      <c r="N3943" s="18" t="s">
        <v>26</v>
      </c>
    </row>
    <row r="3944" spans="1:14" ht="15" customHeight="1" x14ac:dyDescent="0.3">
      <c r="A3944" s="18" t="s">
        <v>7570</v>
      </c>
      <c r="B3944" s="19" t="s">
        <v>15</v>
      </c>
      <c r="C3944" s="18" t="s">
        <v>210</v>
      </c>
      <c r="D3944" s="18" t="s">
        <v>116</v>
      </c>
      <c r="E3944" s="18" t="s">
        <v>55</v>
      </c>
      <c r="F3944" s="18" t="s">
        <v>7812</v>
      </c>
      <c r="G3944" s="18" t="s">
        <v>564</v>
      </c>
      <c r="H3944" s="18" t="s">
        <v>7584</v>
      </c>
      <c r="I3944" s="20" t="s">
        <v>7813</v>
      </c>
      <c r="J3944" s="18" t="s">
        <v>199</v>
      </c>
      <c r="K3944" s="18" t="s">
        <v>24</v>
      </c>
      <c r="L3944" s="18" t="s">
        <v>25</v>
      </c>
      <c r="N3944" s="18" t="s">
        <v>26</v>
      </c>
    </row>
    <row r="3945" spans="1:14" ht="15" customHeight="1" x14ac:dyDescent="0.3">
      <c r="A3945" s="18" t="s">
        <v>7570</v>
      </c>
      <c r="B3945" s="19" t="s">
        <v>15</v>
      </c>
      <c r="C3945" s="18" t="s">
        <v>210</v>
      </c>
      <c r="D3945" s="18" t="s">
        <v>116</v>
      </c>
      <c r="E3945" s="18" t="s">
        <v>55</v>
      </c>
      <c r="F3945" s="18" t="s">
        <v>4259</v>
      </c>
      <c r="G3945" s="18" t="s">
        <v>20</v>
      </c>
      <c r="H3945" s="18" t="s">
        <v>7596</v>
      </c>
      <c r="I3945" s="20" t="s">
        <v>7814</v>
      </c>
      <c r="J3945" s="18" t="s">
        <v>58</v>
      </c>
      <c r="K3945" s="18" t="s">
        <v>24</v>
      </c>
      <c r="L3945" s="18" t="s">
        <v>25</v>
      </c>
      <c r="N3945" s="18" t="s">
        <v>26</v>
      </c>
    </row>
    <row r="3946" spans="1:14" ht="15" customHeight="1" x14ac:dyDescent="0.3">
      <c r="A3946" s="18" t="s">
        <v>7570</v>
      </c>
      <c r="B3946" s="19" t="s">
        <v>15</v>
      </c>
      <c r="C3946" s="18" t="s">
        <v>210</v>
      </c>
      <c r="D3946" s="18" t="s">
        <v>116</v>
      </c>
      <c r="E3946" s="18" t="s">
        <v>55</v>
      </c>
      <c r="F3946" s="18" t="s">
        <v>7815</v>
      </c>
      <c r="G3946" s="18" t="s">
        <v>19</v>
      </c>
      <c r="H3946" s="18" t="s">
        <v>7596</v>
      </c>
      <c r="I3946" s="20" t="s">
        <v>7816</v>
      </c>
      <c r="J3946" s="18" t="s">
        <v>58</v>
      </c>
      <c r="K3946" s="18" t="s">
        <v>24</v>
      </c>
      <c r="L3946" s="18" t="s">
        <v>25</v>
      </c>
      <c r="M3946" s="18" t="s">
        <v>39</v>
      </c>
      <c r="N3946" s="18" t="s">
        <v>26</v>
      </c>
    </row>
    <row r="3947" spans="1:14" ht="15" customHeight="1" x14ac:dyDescent="0.3">
      <c r="A3947" s="18" t="s">
        <v>7570</v>
      </c>
      <c r="B3947" s="19" t="s">
        <v>15</v>
      </c>
      <c r="C3947" s="18" t="s">
        <v>7573</v>
      </c>
      <c r="D3947" s="18" t="s">
        <v>116</v>
      </c>
      <c r="E3947" s="18" t="s">
        <v>55</v>
      </c>
      <c r="F3947" s="18" t="s">
        <v>7817</v>
      </c>
      <c r="G3947" s="18" t="s">
        <v>606</v>
      </c>
      <c r="H3947" s="18" t="s">
        <v>7575</v>
      </c>
      <c r="I3947" s="20" t="s">
        <v>7818</v>
      </c>
      <c r="J3947" s="18" t="s">
        <v>58</v>
      </c>
      <c r="K3947" s="18" t="s">
        <v>24</v>
      </c>
      <c r="L3947" s="18" t="s">
        <v>25</v>
      </c>
      <c r="M3947" s="18" t="s">
        <v>7577</v>
      </c>
      <c r="N3947" s="18" t="s">
        <v>26</v>
      </c>
    </row>
    <row r="3948" spans="1:14" ht="15" customHeight="1" x14ac:dyDescent="0.3">
      <c r="A3948" s="18" t="s">
        <v>7570</v>
      </c>
      <c r="B3948" s="19" t="s">
        <v>15</v>
      </c>
      <c r="C3948" s="18" t="s">
        <v>210</v>
      </c>
      <c r="D3948" s="18" t="s">
        <v>116</v>
      </c>
      <c r="E3948" s="18" t="s">
        <v>55</v>
      </c>
      <c r="F3948" s="18" t="s">
        <v>40</v>
      </c>
      <c r="G3948" s="18" t="s">
        <v>41</v>
      </c>
      <c r="H3948" s="18" t="s">
        <v>7602</v>
      </c>
      <c r="I3948" s="20" t="s">
        <v>7819</v>
      </c>
      <c r="J3948" s="18" t="s">
        <v>73</v>
      </c>
      <c r="K3948" s="18" t="s">
        <v>24</v>
      </c>
      <c r="L3948" s="18" t="s">
        <v>25</v>
      </c>
      <c r="N3948" s="18" t="s">
        <v>26</v>
      </c>
    </row>
    <row r="3949" spans="1:14" ht="15" customHeight="1" x14ac:dyDescent="0.3">
      <c r="A3949" s="18" t="s">
        <v>7570</v>
      </c>
      <c r="B3949" s="19" t="s">
        <v>15</v>
      </c>
      <c r="C3949" s="18" t="s">
        <v>210</v>
      </c>
      <c r="D3949" s="18" t="s">
        <v>116</v>
      </c>
      <c r="E3949" s="18" t="s">
        <v>55</v>
      </c>
      <c r="F3949" s="18" t="s">
        <v>7820</v>
      </c>
      <c r="G3949" s="18" t="s">
        <v>41</v>
      </c>
      <c r="H3949" s="18" t="s">
        <v>7602</v>
      </c>
      <c r="I3949" s="20" t="s">
        <v>7821</v>
      </c>
      <c r="J3949" s="18" t="s">
        <v>73</v>
      </c>
      <c r="K3949" s="18" t="s">
        <v>24</v>
      </c>
      <c r="L3949" s="18" t="s">
        <v>25</v>
      </c>
      <c r="N3949" s="18" t="s">
        <v>26</v>
      </c>
    </row>
    <row r="3950" spans="1:14" ht="15" customHeight="1" x14ac:dyDescent="0.3">
      <c r="A3950" s="18" t="s">
        <v>7570</v>
      </c>
      <c r="B3950" s="19" t="s">
        <v>15</v>
      </c>
      <c r="C3950" s="18" t="s">
        <v>210</v>
      </c>
      <c r="D3950" s="18" t="s">
        <v>116</v>
      </c>
      <c r="E3950" s="18" t="s">
        <v>55</v>
      </c>
      <c r="F3950" s="18" t="s">
        <v>7822</v>
      </c>
      <c r="G3950" s="18" t="s">
        <v>41</v>
      </c>
      <c r="H3950" s="18" t="s">
        <v>7602</v>
      </c>
      <c r="I3950" s="20" t="s">
        <v>7823</v>
      </c>
      <c r="J3950" s="18" t="s">
        <v>199</v>
      </c>
      <c r="K3950" s="18" t="s">
        <v>24</v>
      </c>
      <c r="L3950" s="18" t="s">
        <v>25</v>
      </c>
      <c r="N3950" s="18" t="s">
        <v>26</v>
      </c>
    </row>
    <row r="3951" spans="1:14" ht="15" customHeight="1" x14ac:dyDescent="0.3">
      <c r="A3951" s="18" t="s">
        <v>7570</v>
      </c>
      <c r="B3951" s="19" t="s">
        <v>15</v>
      </c>
      <c r="C3951" s="18" t="s">
        <v>210</v>
      </c>
      <c r="D3951" s="18" t="s">
        <v>116</v>
      </c>
      <c r="E3951" s="18" t="s">
        <v>55</v>
      </c>
      <c r="F3951" s="18" t="s">
        <v>7824</v>
      </c>
      <c r="G3951" s="18" t="s">
        <v>41</v>
      </c>
      <c r="H3951" s="18" t="s">
        <v>7596</v>
      </c>
      <c r="I3951" s="20" t="s">
        <v>7825</v>
      </c>
      <c r="J3951" s="18" t="s">
        <v>58</v>
      </c>
      <c r="K3951" s="18" t="s">
        <v>24</v>
      </c>
      <c r="L3951" s="18" t="s">
        <v>25</v>
      </c>
      <c r="N3951" s="18" t="s">
        <v>26</v>
      </c>
    </row>
    <row r="3952" spans="1:14" ht="15" customHeight="1" x14ac:dyDescent="0.3">
      <c r="A3952" s="18" t="s">
        <v>7570</v>
      </c>
      <c r="B3952" s="19" t="s">
        <v>15</v>
      </c>
      <c r="C3952" s="18" t="s">
        <v>210</v>
      </c>
      <c r="D3952" s="18" t="s">
        <v>116</v>
      </c>
      <c r="E3952" s="18" t="s">
        <v>55</v>
      </c>
      <c r="F3952" s="18" t="s">
        <v>7826</v>
      </c>
      <c r="G3952" s="18" t="s">
        <v>41</v>
      </c>
      <c r="H3952" s="18" t="s">
        <v>3238</v>
      </c>
      <c r="I3952" s="20" t="s">
        <v>7827</v>
      </c>
      <c r="J3952" s="18" t="s">
        <v>58</v>
      </c>
      <c r="K3952" s="18" t="s">
        <v>24</v>
      </c>
      <c r="L3952" s="18" t="s">
        <v>25</v>
      </c>
      <c r="N3952" s="18" t="s">
        <v>26</v>
      </c>
    </row>
    <row r="3953" spans="1:14" ht="15" customHeight="1" x14ac:dyDescent="0.3">
      <c r="A3953" s="18" t="s">
        <v>7570</v>
      </c>
      <c r="B3953" s="19" t="s">
        <v>15</v>
      </c>
      <c r="C3953" s="18" t="s">
        <v>210</v>
      </c>
      <c r="D3953" s="18" t="s">
        <v>116</v>
      </c>
      <c r="E3953" s="18" t="s">
        <v>55</v>
      </c>
      <c r="F3953" s="18" t="s">
        <v>7828</v>
      </c>
      <c r="G3953" s="18" t="s">
        <v>41</v>
      </c>
      <c r="H3953" s="18" t="s">
        <v>7596</v>
      </c>
      <c r="I3953" s="20" t="s">
        <v>7829</v>
      </c>
      <c r="J3953" s="18" t="s">
        <v>73</v>
      </c>
      <c r="K3953" s="18" t="s">
        <v>24</v>
      </c>
      <c r="L3953" s="18" t="s">
        <v>25</v>
      </c>
      <c r="N3953" s="18" t="s">
        <v>26</v>
      </c>
    </row>
    <row r="3954" spans="1:14" ht="15" customHeight="1" x14ac:dyDescent="0.3">
      <c r="A3954" s="18" t="s">
        <v>7570</v>
      </c>
      <c r="B3954" s="19" t="s">
        <v>15</v>
      </c>
      <c r="C3954" s="18" t="s">
        <v>210</v>
      </c>
      <c r="D3954" s="18" t="s">
        <v>116</v>
      </c>
      <c r="E3954" s="18" t="s">
        <v>55</v>
      </c>
      <c r="F3954" s="18" t="s">
        <v>7830</v>
      </c>
      <c r="G3954" s="18" t="s">
        <v>41</v>
      </c>
      <c r="H3954" s="18" t="s">
        <v>7602</v>
      </c>
      <c r="I3954" s="20" t="s">
        <v>7831</v>
      </c>
      <c r="J3954" s="18" t="s">
        <v>73</v>
      </c>
      <c r="K3954" s="18" t="s">
        <v>24</v>
      </c>
      <c r="L3954" s="18" t="s">
        <v>25</v>
      </c>
      <c r="N3954" s="18" t="s">
        <v>26</v>
      </c>
    </row>
    <row r="3955" spans="1:14" ht="15" customHeight="1" x14ac:dyDescent="0.3">
      <c r="A3955" s="18" t="s">
        <v>7570</v>
      </c>
      <c r="B3955" s="19" t="s">
        <v>15</v>
      </c>
      <c r="C3955" s="18" t="s">
        <v>210</v>
      </c>
      <c r="D3955" s="18" t="s">
        <v>116</v>
      </c>
      <c r="E3955" s="18" t="s">
        <v>55</v>
      </c>
      <c r="F3955" s="18" t="s">
        <v>7832</v>
      </c>
      <c r="G3955" s="18" t="s">
        <v>41</v>
      </c>
      <c r="H3955" s="18" t="s">
        <v>7602</v>
      </c>
      <c r="I3955" s="20" t="s">
        <v>7833</v>
      </c>
      <c r="J3955" s="18" t="s">
        <v>73</v>
      </c>
      <c r="K3955" s="18" t="s">
        <v>24</v>
      </c>
      <c r="L3955" s="18" t="s">
        <v>25</v>
      </c>
      <c r="N3955" s="18" t="s">
        <v>26</v>
      </c>
    </row>
    <row r="3956" spans="1:14" ht="15" customHeight="1" x14ac:dyDescent="0.3">
      <c r="A3956" s="18" t="s">
        <v>7570</v>
      </c>
      <c r="B3956" s="19" t="s">
        <v>15</v>
      </c>
      <c r="C3956" s="18" t="s">
        <v>210</v>
      </c>
      <c r="D3956" s="18" t="s">
        <v>116</v>
      </c>
      <c r="E3956" s="18" t="s">
        <v>55</v>
      </c>
      <c r="F3956" s="18" t="s">
        <v>7634</v>
      </c>
      <c r="G3956" s="18" t="s">
        <v>41</v>
      </c>
      <c r="H3956" s="18" t="s">
        <v>7584</v>
      </c>
      <c r="I3956" s="20" t="s">
        <v>7834</v>
      </c>
      <c r="J3956" s="18" t="s">
        <v>7795</v>
      </c>
      <c r="K3956" s="18" t="s">
        <v>24</v>
      </c>
      <c r="L3956" s="18" t="s">
        <v>25</v>
      </c>
      <c r="N3956" s="18" t="s">
        <v>26</v>
      </c>
    </row>
    <row r="3957" spans="1:14" ht="15" customHeight="1" x14ac:dyDescent="0.3">
      <c r="A3957" s="18" t="s">
        <v>7570</v>
      </c>
      <c r="B3957" s="19" t="s">
        <v>15</v>
      </c>
      <c r="C3957" s="18" t="s">
        <v>210</v>
      </c>
      <c r="D3957" s="18" t="s">
        <v>116</v>
      </c>
      <c r="E3957" s="18" t="s">
        <v>55</v>
      </c>
      <c r="F3957" s="18" t="s">
        <v>7835</v>
      </c>
      <c r="G3957" s="18" t="s">
        <v>41</v>
      </c>
      <c r="H3957" s="18" t="s">
        <v>7584</v>
      </c>
      <c r="I3957" s="20" t="s">
        <v>7836</v>
      </c>
      <c r="J3957" s="18" t="s">
        <v>7795</v>
      </c>
      <c r="K3957" s="18" t="s">
        <v>24</v>
      </c>
      <c r="L3957" s="18" t="s">
        <v>25</v>
      </c>
      <c r="N3957" s="18" t="s">
        <v>26</v>
      </c>
    </row>
    <row r="3958" spans="1:14" ht="15" customHeight="1" x14ac:dyDescent="0.3">
      <c r="A3958" s="18" t="s">
        <v>7570</v>
      </c>
      <c r="B3958" s="19" t="s">
        <v>15</v>
      </c>
      <c r="C3958" s="18" t="s">
        <v>210</v>
      </c>
      <c r="D3958" s="18" t="s">
        <v>116</v>
      </c>
      <c r="E3958" s="18" t="s">
        <v>55</v>
      </c>
      <c r="F3958" s="18" t="s">
        <v>2786</v>
      </c>
      <c r="G3958" s="18" t="s">
        <v>1055</v>
      </c>
      <c r="H3958" s="18" t="s">
        <v>7571</v>
      </c>
      <c r="I3958" s="20" t="s">
        <v>7837</v>
      </c>
      <c r="J3958" s="18" t="s">
        <v>58</v>
      </c>
      <c r="K3958" s="18" t="s">
        <v>24</v>
      </c>
      <c r="L3958" s="18" t="s">
        <v>25</v>
      </c>
      <c r="N3958" s="18" t="s">
        <v>26</v>
      </c>
    </row>
    <row r="3959" spans="1:14" ht="15" customHeight="1" x14ac:dyDescent="0.3">
      <c r="A3959" s="18" t="s">
        <v>7570</v>
      </c>
      <c r="B3959" s="19" t="s">
        <v>15</v>
      </c>
      <c r="C3959" s="18" t="s">
        <v>210</v>
      </c>
      <c r="D3959" s="18" t="s">
        <v>116</v>
      </c>
      <c r="E3959" s="18" t="s">
        <v>55</v>
      </c>
      <c r="F3959" s="18" t="s">
        <v>7838</v>
      </c>
      <c r="G3959" s="18" t="s">
        <v>5315</v>
      </c>
      <c r="H3959" s="18" t="s">
        <v>7571</v>
      </c>
      <c r="I3959" s="20" t="s">
        <v>7839</v>
      </c>
      <c r="J3959" s="18" t="s">
        <v>58</v>
      </c>
      <c r="K3959" s="18" t="s">
        <v>24</v>
      </c>
      <c r="L3959" s="18" t="s">
        <v>25</v>
      </c>
      <c r="M3959" s="18" t="s">
        <v>39</v>
      </c>
      <c r="N3959" s="18" t="s">
        <v>26</v>
      </c>
    </row>
    <row r="3960" spans="1:14" ht="15" customHeight="1" x14ac:dyDescent="0.3">
      <c r="A3960" s="18" t="s">
        <v>7570</v>
      </c>
      <c r="B3960" s="19" t="s">
        <v>15</v>
      </c>
      <c r="C3960" s="18" t="s">
        <v>210</v>
      </c>
      <c r="D3960" s="18" t="s">
        <v>116</v>
      </c>
      <c r="E3960" s="18" t="s">
        <v>55</v>
      </c>
      <c r="F3960" s="18" t="s">
        <v>6250</v>
      </c>
      <c r="G3960" s="18" t="s">
        <v>197</v>
      </c>
      <c r="H3960" s="18" t="s">
        <v>7571</v>
      </c>
      <c r="I3960" s="20" t="s">
        <v>7840</v>
      </c>
      <c r="J3960" s="18" t="s">
        <v>58</v>
      </c>
      <c r="K3960" s="18" t="s">
        <v>24</v>
      </c>
      <c r="L3960" s="18" t="s">
        <v>25</v>
      </c>
      <c r="N3960" s="18" t="s">
        <v>26</v>
      </c>
    </row>
    <row r="3961" spans="1:14" ht="15" customHeight="1" x14ac:dyDescent="0.3">
      <c r="A3961" s="18" t="s">
        <v>7570</v>
      </c>
      <c r="B3961" s="19" t="s">
        <v>15</v>
      </c>
      <c r="C3961" s="18" t="s">
        <v>210</v>
      </c>
      <c r="D3961" s="18" t="s">
        <v>116</v>
      </c>
      <c r="E3961" s="18" t="s">
        <v>55</v>
      </c>
      <c r="F3961" s="18" t="s">
        <v>7841</v>
      </c>
      <c r="G3961" s="18" t="s">
        <v>197</v>
      </c>
      <c r="H3961" s="18" t="s">
        <v>7571</v>
      </c>
      <c r="I3961" s="20" t="s">
        <v>7842</v>
      </c>
      <c r="J3961" s="18" t="s">
        <v>58</v>
      </c>
      <c r="K3961" s="18" t="s">
        <v>24</v>
      </c>
      <c r="L3961" s="18" t="s">
        <v>25</v>
      </c>
      <c r="N3961" s="18" t="s">
        <v>26</v>
      </c>
    </row>
    <row r="3962" spans="1:14" ht="15" customHeight="1" x14ac:dyDescent="0.3">
      <c r="A3962" s="18" t="s">
        <v>7570</v>
      </c>
      <c r="B3962" s="19" t="s">
        <v>15</v>
      </c>
      <c r="C3962" s="18" t="s">
        <v>210</v>
      </c>
      <c r="D3962" s="18" t="s">
        <v>116</v>
      </c>
      <c r="E3962" s="18" t="s">
        <v>55</v>
      </c>
      <c r="F3962" s="18" t="s">
        <v>7843</v>
      </c>
      <c r="G3962" s="18" t="s">
        <v>197</v>
      </c>
      <c r="H3962" s="18" t="s">
        <v>7571</v>
      </c>
      <c r="I3962" s="20" t="s">
        <v>7844</v>
      </c>
      <c r="J3962" s="18" t="s">
        <v>58</v>
      </c>
      <c r="K3962" s="18" t="s">
        <v>24</v>
      </c>
      <c r="L3962" s="18" t="s">
        <v>25</v>
      </c>
      <c r="N3962" s="18" t="s">
        <v>26</v>
      </c>
    </row>
    <row r="3963" spans="1:14" ht="15" customHeight="1" x14ac:dyDescent="0.3">
      <c r="A3963" s="18" t="s">
        <v>7570</v>
      </c>
      <c r="B3963" s="19" t="s">
        <v>15</v>
      </c>
      <c r="C3963" s="18" t="s">
        <v>210</v>
      </c>
      <c r="D3963" s="18" t="s">
        <v>116</v>
      </c>
      <c r="E3963" s="18" t="s">
        <v>55</v>
      </c>
      <c r="F3963" s="18" t="s">
        <v>7845</v>
      </c>
      <c r="G3963" s="18" t="s">
        <v>197</v>
      </c>
      <c r="H3963" s="18" t="s">
        <v>7571</v>
      </c>
      <c r="I3963" s="20" t="s">
        <v>7846</v>
      </c>
      <c r="J3963" s="18" t="s">
        <v>58</v>
      </c>
      <c r="K3963" s="18" t="s">
        <v>24</v>
      </c>
      <c r="L3963" s="18" t="s">
        <v>25</v>
      </c>
      <c r="N3963" s="18" t="s">
        <v>26</v>
      </c>
    </row>
    <row r="3964" spans="1:14" ht="15" customHeight="1" x14ac:dyDescent="0.3">
      <c r="A3964" s="18" t="s">
        <v>7570</v>
      </c>
      <c r="B3964" s="19" t="s">
        <v>15</v>
      </c>
      <c r="C3964" s="18" t="s">
        <v>210</v>
      </c>
      <c r="D3964" s="18" t="s">
        <v>116</v>
      </c>
      <c r="E3964" s="18" t="s">
        <v>55</v>
      </c>
      <c r="F3964" s="18" t="s">
        <v>7847</v>
      </c>
      <c r="G3964" s="18" t="s">
        <v>41</v>
      </c>
      <c r="H3964" s="18" t="s">
        <v>7602</v>
      </c>
      <c r="I3964" s="20" t="s">
        <v>7848</v>
      </c>
      <c r="J3964" s="18" t="s">
        <v>199</v>
      </c>
      <c r="K3964" s="18" t="s">
        <v>24</v>
      </c>
      <c r="L3964" s="18" t="s">
        <v>25</v>
      </c>
      <c r="N3964" s="18" t="s">
        <v>26</v>
      </c>
    </row>
    <row r="3965" spans="1:14" ht="15" customHeight="1" x14ac:dyDescent="0.3">
      <c r="A3965" s="18" t="s">
        <v>7570</v>
      </c>
      <c r="B3965" s="19" t="s">
        <v>15</v>
      </c>
      <c r="C3965" s="18" t="s">
        <v>210</v>
      </c>
      <c r="D3965" s="18" t="s">
        <v>116</v>
      </c>
      <c r="E3965" s="18" t="s">
        <v>55</v>
      </c>
      <c r="F3965" s="18" t="s">
        <v>7849</v>
      </c>
      <c r="G3965" s="18" t="s">
        <v>41</v>
      </c>
      <c r="H3965" s="18" t="s">
        <v>7584</v>
      </c>
      <c r="I3965" s="20" t="s">
        <v>7850</v>
      </c>
      <c r="J3965" s="18" t="s">
        <v>199</v>
      </c>
      <c r="K3965" s="18" t="s">
        <v>24</v>
      </c>
      <c r="L3965" s="18" t="s">
        <v>25</v>
      </c>
      <c r="N3965" s="18" t="s">
        <v>26</v>
      </c>
    </row>
    <row r="3966" spans="1:14" ht="15" customHeight="1" x14ac:dyDescent="0.3">
      <c r="A3966" s="18" t="s">
        <v>7570</v>
      </c>
      <c r="B3966" s="19" t="s">
        <v>15</v>
      </c>
      <c r="C3966" s="18" t="s">
        <v>210</v>
      </c>
      <c r="D3966" s="18" t="s">
        <v>116</v>
      </c>
      <c r="E3966" s="18" t="s">
        <v>55</v>
      </c>
      <c r="F3966" s="18" t="s">
        <v>7851</v>
      </c>
      <c r="G3966" s="18" t="s">
        <v>606</v>
      </c>
      <c r="H3966" s="18" t="s">
        <v>7694</v>
      </c>
      <c r="I3966" s="20" t="s">
        <v>7852</v>
      </c>
      <c r="J3966" s="18" t="s">
        <v>58</v>
      </c>
      <c r="K3966" s="18" t="s">
        <v>24</v>
      </c>
      <c r="L3966" s="18" t="s">
        <v>25</v>
      </c>
      <c r="N3966" s="18" t="s">
        <v>26</v>
      </c>
    </row>
    <row r="3967" spans="1:14" ht="15" customHeight="1" x14ac:dyDescent="0.3">
      <c r="A3967" s="18" t="s">
        <v>7570</v>
      </c>
      <c r="B3967" s="19" t="s">
        <v>15</v>
      </c>
      <c r="C3967" s="18" t="s">
        <v>210</v>
      </c>
      <c r="D3967" s="18" t="s">
        <v>116</v>
      </c>
      <c r="E3967" s="18" t="s">
        <v>55</v>
      </c>
      <c r="F3967" s="18" t="s">
        <v>7853</v>
      </c>
      <c r="G3967" s="18" t="s">
        <v>41</v>
      </c>
      <c r="H3967" s="18" t="s">
        <v>7584</v>
      </c>
      <c r="I3967" s="20" t="s">
        <v>7854</v>
      </c>
      <c r="J3967" s="18" t="s">
        <v>199</v>
      </c>
      <c r="K3967" s="18" t="s">
        <v>24</v>
      </c>
      <c r="L3967" s="18" t="s">
        <v>25</v>
      </c>
      <c r="N3967" s="18" t="s">
        <v>26</v>
      </c>
    </row>
    <row r="3968" spans="1:14" ht="15" customHeight="1" x14ac:dyDescent="0.3">
      <c r="A3968" s="18" t="s">
        <v>7570</v>
      </c>
      <c r="B3968" s="19" t="s">
        <v>15</v>
      </c>
      <c r="C3968" s="18" t="s">
        <v>210</v>
      </c>
      <c r="D3968" s="18" t="s">
        <v>116</v>
      </c>
      <c r="E3968" s="18" t="s">
        <v>55</v>
      </c>
      <c r="F3968" s="18" t="s">
        <v>7855</v>
      </c>
      <c r="G3968" s="18" t="s">
        <v>606</v>
      </c>
      <c r="H3968" s="18" t="s">
        <v>7596</v>
      </c>
      <c r="I3968" s="20" t="s">
        <v>7856</v>
      </c>
      <c r="J3968" s="18" t="s">
        <v>58</v>
      </c>
      <c r="K3968" s="18" t="s">
        <v>24</v>
      </c>
      <c r="L3968" s="18" t="s">
        <v>25</v>
      </c>
      <c r="N3968" s="18" t="s">
        <v>26</v>
      </c>
    </row>
    <row r="3969" spans="1:14" ht="15" customHeight="1" x14ac:dyDescent="0.3">
      <c r="A3969" s="18" t="s">
        <v>7570</v>
      </c>
      <c r="B3969" s="19" t="s">
        <v>15</v>
      </c>
      <c r="C3969" s="18" t="s">
        <v>210</v>
      </c>
      <c r="D3969" s="18" t="s">
        <v>116</v>
      </c>
      <c r="E3969" s="18" t="s">
        <v>55</v>
      </c>
      <c r="F3969" s="18" t="s">
        <v>3506</v>
      </c>
      <c r="G3969" s="18" t="s">
        <v>1130</v>
      </c>
      <c r="H3969" s="18" t="s">
        <v>7571</v>
      </c>
      <c r="I3969" s="20" t="s">
        <v>7857</v>
      </c>
      <c r="J3969" s="18" t="s">
        <v>73</v>
      </c>
      <c r="K3969" s="18" t="s">
        <v>24</v>
      </c>
      <c r="L3969" s="18" t="s">
        <v>25</v>
      </c>
      <c r="N3969" s="18" t="s">
        <v>26</v>
      </c>
    </row>
    <row r="3970" spans="1:14" ht="15" customHeight="1" x14ac:dyDescent="0.3">
      <c r="A3970" s="18" t="s">
        <v>7570</v>
      </c>
      <c r="B3970" s="19" t="s">
        <v>15</v>
      </c>
      <c r="C3970" s="18" t="s">
        <v>210</v>
      </c>
      <c r="D3970" s="18" t="s">
        <v>116</v>
      </c>
      <c r="E3970" s="18" t="s">
        <v>55</v>
      </c>
      <c r="F3970" s="18" t="s">
        <v>7858</v>
      </c>
      <c r="G3970" s="18" t="s">
        <v>41</v>
      </c>
      <c r="H3970" s="18" t="s">
        <v>7602</v>
      </c>
      <c r="I3970" s="20" t="s">
        <v>7859</v>
      </c>
      <c r="J3970" s="18" t="s">
        <v>199</v>
      </c>
      <c r="K3970" s="18" t="s">
        <v>24</v>
      </c>
      <c r="L3970" s="18" t="s">
        <v>25</v>
      </c>
      <c r="N3970" s="18" t="s">
        <v>26</v>
      </c>
    </row>
    <row r="3971" spans="1:14" ht="15" customHeight="1" x14ac:dyDescent="0.3">
      <c r="A3971" s="18" t="s">
        <v>7570</v>
      </c>
      <c r="B3971" s="19" t="s">
        <v>15</v>
      </c>
      <c r="C3971" s="18" t="s">
        <v>210</v>
      </c>
      <c r="D3971" s="18" t="s">
        <v>116</v>
      </c>
      <c r="E3971" s="18" t="s">
        <v>55</v>
      </c>
      <c r="F3971" s="18" t="s">
        <v>7860</v>
      </c>
      <c r="G3971" s="18" t="s">
        <v>192</v>
      </c>
      <c r="H3971" s="18" t="s">
        <v>7571</v>
      </c>
      <c r="I3971" s="20" t="s">
        <v>7861</v>
      </c>
      <c r="J3971" s="18" t="s">
        <v>58</v>
      </c>
      <c r="K3971" s="18" t="s">
        <v>24</v>
      </c>
      <c r="L3971" s="18" t="s">
        <v>25</v>
      </c>
      <c r="M3971" s="18" t="s">
        <v>39</v>
      </c>
      <c r="N3971" s="18" t="s">
        <v>26</v>
      </c>
    </row>
    <row r="3972" spans="1:14" ht="15" customHeight="1" x14ac:dyDescent="0.3">
      <c r="A3972" s="18" t="s">
        <v>7570</v>
      </c>
      <c r="B3972" s="19" t="s">
        <v>15</v>
      </c>
      <c r="C3972" s="18" t="s">
        <v>7573</v>
      </c>
      <c r="D3972" s="18" t="s">
        <v>116</v>
      </c>
      <c r="E3972" s="18" t="s">
        <v>55</v>
      </c>
      <c r="F3972" s="18" t="s">
        <v>7862</v>
      </c>
      <c r="G3972" s="18" t="s">
        <v>51</v>
      </c>
      <c r="H3972" s="18" t="s">
        <v>7575</v>
      </c>
      <c r="I3972" s="20" t="s">
        <v>7863</v>
      </c>
      <c r="J3972" s="18" t="s">
        <v>199</v>
      </c>
      <c r="K3972" s="18" t="s">
        <v>24</v>
      </c>
      <c r="L3972" s="18" t="s">
        <v>25</v>
      </c>
      <c r="M3972" s="18" t="s">
        <v>7577</v>
      </c>
      <c r="N3972" s="18" t="s">
        <v>26</v>
      </c>
    </row>
    <row r="3973" spans="1:14" ht="15" customHeight="1" x14ac:dyDescent="0.3">
      <c r="A3973" s="18" t="s">
        <v>7570</v>
      </c>
      <c r="B3973" s="19" t="s">
        <v>15</v>
      </c>
      <c r="C3973" s="18" t="s">
        <v>7573</v>
      </c>
      <c r="D3973" s="18" t="s">
        <v>116</v>
      </c>
      <c r="E3973" s="18" t="s">
        <v>55</v>
      </c>
      <c r="F3973" s="18" t="s">
        <v>7864</v>
      </c>
      <c r="G3973" s="18" t="s">
        <v>47</v>
      </c>
      <c r="H3973" s="18" t="s">
        <v>7575</v>
      </c>
      <c r="I3973" s="20" t="s">
        <v>7865</v>
      </c>
      <c r="J3973" s="18" t="s">
        <v>58</v>
      </c>
      <c r="K3973" s="18" t="s">
        <v>24</v>
      </c>
      <c r="L3973" s="18" t="s">
        <v>25</v>
      </c>
      <c r="M3973" s="18" t="s">
        <v>7741</v>
      </c>
      <c r="N3973" s="18" t="s">
        <v>26</v>
      </c>
    </row>
    <row r="3974" spans="1:14" ht="15" customHeight="1" x14ac:dyDescent="0.3">
      <c r="A3974" s="18" t="s">
        <v>7570</v>
      </c>
      <c r="B3974" s="19" t="s">
        <v>15</v>
      </c>
      <c r="C3974" s="18" t="s">
        <v>210</v>
      </c>
      <c r="D3974" s="18" t="s">
        <v>116</v>
      </c>
      <c r="E3974" s="18" t="s">
        <v>55</v>
      </c>
      <c r="F3974" s="18" t="s">
        <v>7866</v>
      </c>
      <c r="G3974" s="18" t="s">
        <v>7867</v>
      </c>
      <c r="H3974" s="18" t="s">
        <v>7584</v>
      </c>
      <c r="I3974" s="20" t="s">
        <v>7868</v>
      </c>
      <c r="J3974" s="18" t="s">
        <v>58</v>
      </c>
      <c r="K3974" s="18" t="s">
        <v>24</v>
      </c>
      <c r="L3974" s="18" t="s">
        <v>25</v>
      </c>
      <c r="N3974" s="18" t="s">
        <v>26</v>
      </c>
    </row>
    <row r="3975" spans="1:14" ht="15" customHeight="1" x14ac:dyDescent="0.3">
      <c r="A3975" s="18" t="s">
        <v>7570</v>
      </c>
      <c r="B3975" s="19" t="s">
        <v>15</v>
      </c>
      <c r="C3975" s="18" t="s">
        <v>210</v>
      </c>
      <c r="D3975" s="18" t="s">
        <v>116</v>
      </c>
      <c r="E3975" s="18" t="s">
        <v>55</v>
      </c>
      <c r="F3975" s="18" t="s">
        <v>7869</v>
      </c>
      <c r="G3975" s="18" t="s">
        <v>41</v>
      </c>
      <c r="H3975" s="18" t="s">
        <v>7584</v>
      </c>
      <c r="I3975" s="20" t="s">
        <v>7870</v>
      </c>
      <c r="J3975" s="18" t="s">
        <v>199</v>
      </c>
      <c r="K3975" s="18" t="s">
        <v>24</v>
      </c>
      <c r="L3975" s="18" t="s">
        <v>25</v>
      </c>
      <c r="N3975" s="18" t="s">
        <v>26</v>
      </c>
    </row>
    <row r="3976" spans="1:14" ht="15" customHeight="1" x14ac:dyDescent="0.3">
      <c r="A3976" s="18" t="s">
        <v>7570</v>
      </c>
      <c r="B3976" s="19" t="s">
        <v>15</v>
      </c>
      <c r="C3976" s="18" t="s">
        <v>210</v>
      </c>
      <c r="D3976" s="18" t="s">
        <v>116</v>
      </c>
      <c r="E3976" s="18" t="s">
        <v>55</v>
      </c>
      <c r="F3976" s="18" t="s">
        <v>7871</v>
      </c>
      <c r="G3976" s="18" t="s">
        <v>41</v>
      </c>
      <c r="H3976" s="18" t="s">
        <v>7602</v>
      </c>
      <c r="I3976" s="20" t="s">
        <v>7872</v>
      </c>
      <c r="J3976" s="18" t="s">
        <v>199</v>
      </c>
      <c r="K3976" s="18" t="s">
        <v>24</v>
      </c>
      <c r="L3976" s="18" t="s">
        <v>25</v>
      </c>
      <c r="N3976" s="18" t="s">
        <v>26</v>
      </c>
    </row>
    <row r="3977" spans="1:14" ht="15" customHeight="1" x14ac:dyDescent="0.3">
      <c r="A3977" s="18" t="s">
        <v>7570</v>
      </c>
      <c r="B3977" s="19" t="s">
        <v>15</v>
      </c>
      <c r="C3977" s="18" t="s">
        <v>7573</v>
      </c>
      <c r="D3977" s="18" t="s">
        <v>116</v>
      </c>
      <c r="E3977" s="18" t="s">
        <v>55</v>
      </c>
      <c r="F3977" s="18" t="s">
        <v>7873</v>
      </c>
      <c r="G3977" s="18" t="s">
        <v>1095</v>
      </c>
      <c r="H3977" s="18" t="s">
        <v>7575</v>
      </c>
      <c r="I3977" s="20" t="s">
        <v>7874</v>
      </c>
      <c r="J3977" s="18" t="s">
        <v>58</v>
      </c>
      <c r="K3977" s="18" t="s">
        <v>24</v>
      </c>
      <c r="L3977" s="18" t="s">
        <v>25</v>
      </c>
      <c r="M3977" s="18" t="s">
        <v>7577</v>
      </c>
      <c r="N3977" s="18" t="s">
        <v>26</v>
      </c>
    </row>
    <row r="3978" spans="1:14" ht="15" customHeight="1" x14ac:dyDescent="0.3">
      <c r="A3978" s="18" t="s">
        <v>7570</v>
      </c>
      <c r="B3978" s="19" t="s">
        <v>15</v>
      </c>
      <c r="C3978" s="18" t="s">
        <v>7573</v>
      </c>
      <c r="D3978" s="18" t="s">
        <v>116</v>
      </c>
      <c r="E3978" s="18" t="s">
        <v>55</v>
      </c>
      <c r="F3978" s="18" t="s">
        <v>6259</v>
      </c>
      <c r="G3978" s="18" t="s">
        <v>1095</v>
      </c>
      <c r="H3978" s="18" t="s">
        <v>7575</v>
      </c>
      <c r="I3978" s="20" t="s">
        <v>7875</v>
      </c>
      <c r="J3978" s="18" t="s">
        <v>58</v>
      </c>
      <c r="K3978" s="18" t="s">
        <v>24</v>
      </c>
      <c r="L3978" s="18" t="s">
        <v>25</v>
      </c>
      <c r="M3978" s="18" t="s">
        <v>7577</v>
      </c>
      <c r="N3978" s="18" t="s">
        <v>26</v>
      </c>
    </row>
    <row r="3979" spans="1:14" ht="15" customHeight="1" x14ac:dyDescent="0.3">
      <c r="A3979" s="18" t="s">
        <v>7570</v>
      </c>
      <c r="B3979" s="19" t="s">
        <v>15</v>
      </c>
      <c r="C3979" s="18" t="s">
        <v>7573</v>
      </c>
      <c r="D3979" s="18" t="s">
        <v>116</v>
      </c>
      <c r="E3979" s="18" t="s">
        <v>55</v>
      </c>
      <c r="F3979" s="18" t="s">
        <v>7876</v>
      </c>
      <c r="G3979" s="18" t="s">
        <v>37</v>
      </c>
      <c r="H3979" s="18" t="s">
        <v>7575</v>
      </c>
      <c r="I3979" s="20" t="s">
        <v>7877</v>
      </c>
      <c r="J3979" s="18" t="s">
        <v>58</v>
      </c>
      <c r="K3979" s="18" t="s">
        <v>24</v>
      </c>
      <c r="L3979" s="18" t="s">
        <v>25</v>
      </c>
      <c r="M3979" s="18" t="s">
        <v>7577</v>
      </c>
      <c r="N3979" s="18" t="s">
        <v>26</v>
      </c>
    </row>
    <row r="3980" spans="1:14" ht="15" customHeight="1" x14ac:dyDescent="0.3">
      <c r="A3980" s="18" t="s">
        <v>7570</v>
      </c>
      <c r="B3980" s="19" t="s">
        <v>15</v>
      </c>
      <c r="C3980" s="18" t="s">
        <v>210</v>
      </c>
      <c r="D3980" s="18" t="s">
        <v>116</v>
      </c>
      <c r="E3980" s="18" t="s">
        <v>55</v>
      </c>
      <c r="F3980" s="18" t="s">
        <v>7878</v>
      </c>
      <c r="G3980" s="18" t="s">
        <v>606</v>
      </c>
      <c r="H3980" s="18" t="s">
        <v>7596</v>
      </c>
      <c r="I3980" s="20" t="s">
        <v>7879</v>
      </c>
      <c r="J3980" s="18" t="s">
        <v>58</v>
      </c>
      <c r="K3980" s="18" t="s">
        <v>24</v>
      </c>
      <c r="L3980" s="18" t="s">
        <v>25</v>
      </c>
      <c r="N3980" s="18" t="s">
        <v>26</v>
      </c>
    </row>
    <row r="3981" spans="1:14" ht="15" customHeight="1" x14ac:dyDescent="0.3">
      <c r="A3981" s="18" t="s">
        <v>7570</v>
      </c>
      <c r="B3981" s="19" t="s">
        <v>15</v>
      </c>
      <c r="C3981" s="18" t="s">
        <v>210</v>
      </c>
      <c r="D3981" s="18" t="s">
        <v>116</v>
      </c>
      <c r="E3981" s="18" t="s">
        <v>55</v>
      </c>
      <c r="F3981" s="18" t="s">
        <v>7880</v>
      </c>
      <c r="G3981" s="18" t="s">
        <v>1055</v>
      </c>
      <c r="H3981" s="18" t="s">
        <v>7571</v>
      </c>
      <c r="I3981" s="20" t="s">
        <v>7881</v>
      </c>
      <c r="J3981" s="18" t="s">
        <v>58</v>
      </c>
      <c r="K3981" s="18" t="s">
        <v>24</v>
      </c>
      <c r="L3981" s="18" t="s">
        <v>25</v>
      </c>
      <c r="N3981" s="18" t="s">
        <v>26</v>
      </c>
    </row>
    <row r="3982" spans="1:14" ht="15" customHeight="1" x14ac:dyDescent="0.3">
      <c r="A3982" s="18" t="s">
        <v>7570</v>
      </c>
      <c r="B3982" s="19" t="s">
        <v>15</v>
      </c>
      <c r="C3982" s="18" t="s">
        <v>210</v>
      </c>
      <c r="D3982" s="18" t="s">
        <v>116</v>
      </c>
      <c r="E3982" s="18" t="s">
        <v>55</v>
      </c>
      <c r="F3982" s="18" t="s">
        <v>7882</v>
      </c>
      <c r="G3982" s="18" t="s">
        <v>192</v>
      </c>
      <c r="H3982" s="18" t="s">
        <v>7571</v>
      </c>
      <c r="I3982" s="20" t="s">
        <v>7883</v>
      </c>
      <c r="J3982" s="18" t="s">
        <v>58</v>
      </c>
      <c r="K3982" s="18" t="s">
        <v>24</v>
      </c>
      <c r="L3982" s="18" t="s">
        <v>25</v>
      </c>
      <c r="N3982" s="18" t="s">
        <v>26</v>
      </c>
    </row>
    <row r="3983" spans="1:14" ht="15" customHeight="1" x14ac:dyDescent="0.3">
      <c r="A3983" s="18" t="s">
        <v>7570</v>
      </c>
      <c r="B3983" s="19" t="s">
        <v>15</v>
      </c>
      <c r="C3983" s="18" t="s">
        <v>210</v>
      </c>
      <c r="D3983" s="18" t="s">
        <v>116</v>
      </c>
      <c r="E3983" s="18" t="s">
        <v>55</v>
      </c>
      <c r="F3983" s="18" t="s">
        <v>7884</v>
      </c>
      <c r="G3983" s="18" t="s">
        <v>197</v>
      </c>
      <c r="H3983" s="18" t="s">
        <v>7571</v>
      </c>
      <c r="I3983" s="20" t="s">
        <v>7885</v>
      </c>
      <c r="J3983" s="18" t="s">
        <v>58</v>
      </c>
      <c r="K3983" s="18" t="s">
        <v>24</v>
      </c>
      <c r="L3983" s="18" t="s">
        <v>25</v>
      </c>
      <c r="N3983" s="18" t="s">
        <v>26</v>
      </c>
    </row>
    <row r="3984" spans="1:14" ht="15" customHeight="1" x14ac:dyDescent="0.3">
      <c r="A3984" s="18" t="s">
        <v>7570</v>
      </c>
      <c r="B3984" s="19" t="s">
        <v>15</v>
      </c>
      <c r="C3984" s="18" t="s">
        <v>210</v>
      </c>
      <c r="D3984" s="18" t="s">
        <v>116</v>
      </c>
      <c r="E3984" s="18" t="s">
        <v>55</v>
      </c>
      <c r="F3984" s="18" t="s">
        <v>7886</v>
      </c>
      <c r="G3984" s="18" t="s">
        <v>192</v>
      </c>
      <c r="H3984" s="18" t="s">
        <v>7571</v>
      </c>
      <c r="I3984" s="20" t="s">
        <v>7887</v>
      </c>
      <c r="J3984" s="18" t="s">
        <v>58</v>
      </c>
      <c r="K3984" s="18" t="s">
        <v>24</v>
      </c>
      <c r="L3984" s="18" t="s">
        <v>25</v>
      </c>
      <c r="N3984" s="18" t="s">
        <v>26</v>
      </c>
    </row>
    <row r="3985" spans="1:14" ht="15" customHeight="1" x14ac:dyDescent="0.3">
      <c r="A3985" s="18" t="s">
        <v>7570</v>
      </c>
      <c r="B3985" s="19" t="s">
        <v>15</v>
      </c>
      <c r="C3985" s="18" t="s">
        <v>210</v>
      </c>
      <c r="D3985" s="18" t="s">
        <v>116</v>
      </c>
      <c r="E3985" s="18" t="s">
        <v>55</v>
      </c>
      <c r="F3985" s="18" t="s">
        <v>7888</v>
      </c>
      <c r="G3985" s="18" t="s">
        <v>1291</v>
      </c>
      <c r="H3985" s="18" t="s">
        <v>7571</v>
      </c>
      <c r="I3985" s="20" t="s">
        <v>7889</v>
      </c>
      <c r="J3985" s="18" t="s">
        <v>73</v>
      </c>
      <c r="K3985" s="18" t="s">
        <v>24</v>
      </c>
      <c r="L3985" s="18" t="s">
        <v>25</v>
      </c>
      <c r="N3985" s="18" t="s">
        <v>26</v>
      </c>
    </row>
    <row r="3986" spans="1:14" ht="15" customHeight="1" x14ac:dyDescent="0.3">
      <c r="A3986" s="18" t="s">
        <v>7570</v>
      </c>
      <c r="B3986" s="19" t="s">
        <v>15</v>
      </c>
      <c r="C3986" s="18" t="s">
        <v>210</v>
      </c>
      <c r="D3986" s="18" t="s">
        <v>116</v>
      </c>
      <c r="E3986" s="18" t="s">
        <v>55</v>
      </c>
      <c r="F3986" s="18" t="s">
        <v>7890</v>
      </c>
      <c r="G3986" s="18" t="s">
        <v>19</v>
      </c>
      <c r="H3986" s="18" t="s">
        <v>7596</v>
      </c>
      <c r="I3986" s="20" t="s">
        <v>7891</v>
      </c>
      <c r="J3986" s="18" t="s">
        <v>58</v>
      </c>
      <c r="K3986" s="18" t="s">
        <v>24</v>
      </c>
      <c r="L3986" s="18" t="s">
        <v>25</v>
      </c>
      <c r="N3986" s="18" t="s">
        <v>26</v>
      </c>
    </row>
    <row r="3987" spans="1:14" ht="15" customHeight="1" x14ac:dyDescent="0.3">
      <c r="A3987" s="18" t="s">
        <v>7570</v>
      </c>
      <c r="B3987" s="19" t="s">
        <v>15</v>
      </c>
      <c r="C3987" s="18" t="s">
        <v>210</v>
      </c>
      <c r="D3987" s="18" t="s">
        <v>116</v>
      </c>
      <c r="E3987" s="18" t="s">
        <v>55</v>
      </c>
      <c r="F3987" s="18" t="s">
        <v>7892</v>
      </c>
      <c r="G3987" s="18" t="s">
        <v>2248</v>
      </c>
      <c r="H3987" s="18" t="s">
        <v>7571</v>
      </c>
      <c r="I3987" s="20" t="s">
        <v>7893</v>
      </c>
      <c r="J3987" s="18" t="s">
        <v>58</v>
      </c>
      <c r="K3987" s="18" t="s">
        <v>24</v>
      </c>
      <c r="L3987" s="18" t="s">
        <v>25</v>
      </c>
      <c r="N3987" s="18" t="s">
        <v>26</v>
      </c>
    </row>
    <row r="3988" spans="1:14" ht="15" customHeight="1" x14ac:dyDescent="0.3">
      <c r="A3988" s="18" t="s">
        <v>7570</v>
      </c>
      <c r="B3988" s="19" t="s">
        <v>15</v>
      </c>
      <c r="C3988" s="18" t="s">
        <v>210</v>
      </c>
      <c r="D3988" s="18" t="s">
        <v>116</v>
      </c>
      <c r="E3988" s="18" t="s">
        <v>55</v>
      </c>
      <c r="F3988" s="18" t="s">
        <v>7894</v>
      </c>
      <c r="G3988" s="18" t="s">
        <v>41</v>
      </c>
      <c r="H3988" s="18" t="s">
        <v>7584</v>
      </c>
      <c r="I3988" s="20" t="s">
        <v>7895</v>
      </c>
      <c r="J3988" s="18" t="s">
        <v>199</v>
      </c>
      <c r="K3988" s="18" t="s">
        <v>24</v>
      </c>
      <c r="L3988" s="18" t="s">
        <v>25</v>
      </c>
      <c r="N3988" s="18" t="s">
        <v>26</v>
      </c>
    </row>
    <row r="3989" spans="1:14" ht="15" customHeight="1" x14ac:dyDescent="0.3">
      <c r="A3989" s="18" t="s">
        <v>7570</v>
      </c>
      <c r="B3989" s="19" t="s">
        <v>15</v>
      </c>
      <c r="C3989" s="18" t="s">
        <v>7573</v>
      </c>
      <c r="D3989" s="18" t="s">
        <v>116</v>
      </c>
      <c r="E3989" s="18" t="s">
        <v>55</v>
      </c>
      <c r="F3989" s="18" t="s">
        <v>7896</v>
      </c>
      <c r="G3989" s="18" t="s">
        <v>2248</v>
      </c>
      <c r="H3989" s="18" t="s">
        <v>7575</v>
      </c>
      <c r="I3989" s="20" t="s">
        <v>7897</v>
      </c>
      <c r="J3989" s="18" t="s">
        <v>58</v>
      </c>
      <c r="K3989" s="18" t="s">
        <v>24</v>
      </c>
      <c r="L3989" s="18" t="s">
        <v>25</v>
      </c>
      <c r="M3989" s="18" t="s">
        <v>7577</v>
      </c>
      <c r="N3989" s="18" t="s">
        <v>26</v>
      </c>
    </row>
    <row r="3990" spans="1:14" ht="15" customHeight="1" x14ac:dyDescent="0.3">
      <c r="A3990" s="18" t="s">
        <v>7570</v>
      </c>
      <c r="B3990" s="19" t="s">
        <v>15</v>
      </c>
      <c r="C3990" s="18" t="s">
        <v>210</v>
      </c>
      <c r="D3990" s="18" t="s">
        <v>116</v>
      </c>
      <c r="E3990" s="18" t="s">
        <v>55</v>
      </c>
      <c r="F3990" s="18" t="s">
        <v>7898</v>
      </c>
      <c r="G3990" s="18" t="s">
        <v>606</v>
      </c>
      <c r="H3990" s="18" t="s">
        <v>7694</v>
      </c>
      <c r="I3990" s="20" t="s">
        <v>7899</v>
      </c>
      <c r="J3990" s="18" t="s">
        <v>58</v>
      </c>
      <c r="K3990" s="18" t="s">
        <v>24</v>
      </c>
      <c r="L3990" s="18" t="s">
        <v>25</v>
      </c>
      <c r="N3990" s="18" t="s">
        <v>26</v>
      </c>
    </row>
    <row r="3991" spans="1:14" ht="15" customHeight="1" x14ac:dyDescent="0.3">
      <c r="A3991" s="18" t="s">
        <v>7570</v>
      </c>
      <c r="B3991" s="19" t="s">
        <v>15</v>
      </c>
      <c r="C3991" s="18" t="s">
        <v>210</v>
      </c>
      <c r="D3991" s="18" t="s">
        <v>116</v>
      </c>
      <c r="E3991" s="18" t="s">
        <v>55</v>
      </c>
      <c r="F3991" s="18" t="s">
        <v>7900</v>
      </c>
      <c r="G3991" s="18" t="s">
        <v>197</v>
      </c>
      <c r="H3991" s="18" t="s">
        <v>7571</v>
      </c>
      <c r="I3991" s="20" t="s">
        <v>7901</v>
      </c>
      <c r="J3991" s="18" t="s">
        <v>58</v>
      </c>
      <c r="K3991" s="18" t="s">
        <v>24</v>
      </c>
      <c r="L3991" s="18" t="s">
        <v>25</v>
      </c>
      <c r="N3991" s="18" t="s">
        <v>26</v>
      </c>
    </row>
    <row r="3992" spans="1:14" ht="15" customHeight="1" x14ac:dyDescent="0.3">
      <c r="A3992" s="18" t="s">
        <v>7570</v>
      </c>
      <c r="B3992" s="19" t="s">
        <v>15</v>
      </c>
      <c r="C3992" s="18" t="s">
        <v>7573</v>
      </c>
      <c r="D3992" s="18" t="s">
        <v>116</v>
      </c>
      <c r="E3992" s="18" t="s">
        <v>55</v>
      </c>
      <c r="F3992" s="18" t="s">
        <v>7902</v>
      </c>
      <c r="G3992" s="18" t="s">
        <v>197</v>
      </c>
      <c r="H3992" s="18" t="s">
        <v>7575</v>
      </c>
      <c r="I3992" s="20" t="s">
        <v>7903</v>
      </c>
      <c r="J3992" s="18" t="s">
        <v>58</v>
      </c>
      <c r="K3992" s="18" t="s">
        <v>24</v>
      </c>
      <c r="L3992" s="18" t="s">
        <v>25</v>
      </c>
      <c r="M3992" s="18" t="s">
        <v>7577</v>
      </c>
      <c r="N3992" s="18" t="s">
        <v>26</v>
      </c>
    </row>
    <row r="3993" spans="1:14" ht="15" customHeight="1" x14ac:dyDescent="0.3">
      <c r="A3993" s="18" t="s">
        <v>7570</v>
      </c>
      <c r="B3993" s="19" t="s">
        <v>15</v>
      </c>
      <c r="C3993" s="18" t="s">
        <v>210</v>
      </c>
      <c r="D3993" s="18" t="s">
        <v>116</v>
      </c>
      <c r="E3993" s="18" t="s">
        <v>55</v>
      </c>
      <c r="F3993" s="18" t="s">
        <v>7904</v>
      </c>
      <c r="G3993" s="18" t="s">
        <v>1059</v>
      </c>
      <c r="H3993" s="18" t="s">
        <v>7584</v>
      </c>
      <c r="I3993" s="20" t="s">
        <v>7905</v>
      </c>
      <c r="J3993" s="18" t="s">
        <v>199</v>
      </c>
      <c r="K3993" s="18" t="s">
        <v>24</v>
      </c>
      <c r="L3993" s="18" t="s">
        <v>25</v>
      </c>
      <c r="N3993" s="18" t="s">
        <v>26</v>
      </c>
    </row>
    <row r="3994" spans="1:14" ht="15" customHeight="1" x14ac:dyDescent="0.3">
      <c r="A3994" s="18" t="s">
        <v>7570</v>
      </c>
      <c r="B3994" s="19" t="s">
        <v>15</v>
      </c>
      <c r="C3994" s="18" t="s">
        <v>210</v>
      </c>
      <c r="D3994" s="18" t="s">
        <v>116</v>
      </c>
      <c r="E3994" s="18" t="s">
        <v>55</v>
      </c>
      <c r="F3994" s="18" t="s">
        <v>7906</v>
      </c>
      <c r="G3994" s="18" t="s">
        <v>7907</v>
      </c>
      <c r="H3994" s="18" t="s">
        <v>7571</v>
      </c>
      <c r="I3994" s="20" t="s">
        <v>7908</v>
      </c>
      <c r="J3994" s="18" t="s">
        <v>1262</v>
      </c>
      <c r="K3994" s="18" t="s">
        <v>24</v>
      </c>
      <c r="L3994" s="18" t="s">
        <v>25</v>
      </c>
      <c r="N3994" s="18" t="s">
        <v>26</v>
      </c>
    </row>
    <row r="3995" spans="1:14" ht="15" customHeight="1" x14ac:dyDescent="0.3">
      <c r="A3995" s="18" t="s">
        <v>7570</v>
      </c>
      <c r="B3995" s="19" t="s">
        <v>15</v>
      </c>
      <c r="C3995" s="18" t="s">
        <v>210</v>
      </c>
      <c r="D3995" s="18" t="s">
        <v>116</v>
      </c>
      <c r="E3995" s="18" t="s">
        <v>55</v>
      </c>
      <c r="F3995" s="18" t="s">
        <v>7909</v>
      </c>
      <c r="G3995" s="18" t="s">
        <v>433</v>
      </c>
      <c r="H3995" s="18" t="s">
        <v>7596</v>
      </c>
      <c r="I3995" s="20" t="s">
        <v>7910</v>
      </c>
      <c r="J3995" s="18" t="s">
        <v>73</v>
      </c>
      <c r="K3995" s="18" t="s">
        <v>24</v>
      </c>
      <c r="L3995" s="18" t="s">
        <v>25</v>
      </c>
      <c r="N3995" s="18" t="s">
        <v>26</v>
      </c>
    </row>
    <row r="3996" spans="1:14" ht="15" customHeight="1" x14ac:dyDescent="0.3">
      <c r="A3996" s="18" t="s">
        <v>7570</v>
      </c>
      <c r="B3996" s="19" t="s">
        <v>15</v>
      </c>
      <c r="C3996" s="18" t="s">
        <v>210</v>
      </c>
      <c r="D3996" s="18" t="s">
        <v>116</v>
      </c>
      <c r="E3996" s="18" t="s">
        <v>55</v>
      </c>
      <c r="F3996" s="18" t="s">
        <v>7911</v>
      </c>
      <c r="G3996" s="18" t="s">
        <v>433</v>
      </c>
      <c r="H3996" s="18" t="s">
        <v>3238</v>
      </c>
      <c r="I3996" s="20" t="s">
        <v>7912</v>
      </c>
      <c r="J3996" s="18" t="s">
        <v>58</v>
      </c>
      <c r="K3996" s="18" t="s">
        <v>24</v>
      </c>
      <c r="L3996" s="18" t="s">
        <v>25</v>
      </c>
      <c r="N3996" s="18" t="s">
        <v>26</v>
      </c>
    </row>
    <row r="3997" spans="1:14" ht="15" customHeight="1" x14ac:dyDescent="0.3">
      <c r="A3997" s="18" t="s">
        <v>7570</v>
      </c>
      <c r="B3997" s="19" t="s">
        <v>15</v>
      </c>
      <c r="C3997" s="18" t="s">
        <v>7573</v>
      </c>
      <c r="D3997" s="18" t="s">
        <v>116</v>
      </c>
      <c r="E3997" s="18" t="s">
        <v>55</v>
      </c>
      <c r="F3997" s="18" t="s">
        <v>7913</v>
      </c>
      <c r="G3997" s="18" t="s">
        <v>7647</v>
      </c>
      <c r="H3997" s="18" t="s">
        <v>7575</v>
      </c>
      <c r="I3997" s="20" t="s">
        <v>7914</v>
      </c>
      <c r="J3997" s="18" t="s">
        <v>58</v>
      </c>
      <c r="K3997" s="18" t="s">
        <v>24</v>
      </c>
      <c r="L3997" s="18" t="s">
        <v>25</v>
      </c>
      <c r="M3997" s="18" t="s">
        <v>7577</v>
      </c>
      <c r="N3997" s="18" t="s">
        <v>26</v>
      </c>
    </row>
    <row r="3998" spans="1:14" ht="15" customHeight="1" x14ac:dyDescent="0.3">
      <c r="A3998" s="18" t="s">
        <v>7570</v>
      </c>
      <c r="B3998" s="19" t="s">
        <v>15</v>
      </c>
      <c r="C3998" s="18" t="s">
        <v>7573</v>
      </c>
      <c r="D3998" s="18" t="s">
        <v>116</v>
      </c>
      <c r="E3998" s="18" t="s">
        <v>55</v>
      </c>
      <c r="F3998" s="18" t="s">
        <v>7083</v>
      </c>
      <c r="G3998" s="18" t="s">
        <v>212</v>
      </c>
      <c r="H3998" s="18" t="s">
        <v>7575</v>
      </c>
      <c r="I3998" s="20" t="s">
        <v>7915</v>
      </c>
      <c r="J3998" s="18" t="s">
        <v>73</v>
      </c>
      <c r="K3998" s="18" t="s">
        <v>24</v>
      </c>
      <c r="L3998" s="18" t="s">
        <v>25</v>
      </c>
      <c r="M3998" s="18" t="s">
        <v>7577</v>
      </c>
      <c r="N3998" s="18" t="s">
        <v>26</v>
      </c>
    </row>
    <row r="3999" spans="1:14" ht="15" customHeight="1" x14ac:dyDescent="0.3">
      <c r="A3999" s="18" t="s">
        <v>7570</v>
      </c>
      <c r="B3999" s="19" t="s">
        <v>15</v>
      </c>
      <c r="C3999" s="18" t="s">
        <v>7573</v>
      </c>
      <c r="D3999" s="18" t="s">
        <v>116</v>
      </c>
      <c r="E3999" s="18" t="s">
        <v>55</v>
      </c>
      <c r="F3999" s="18" t="s">
        <v>7916</v>
      </c>
      <c r="G3999" s="18" t="s">
        <v>606</v>
      </c>
      <c r="H3999" s="18" t="s">
        <v>7575</v>
      </c>
      <c r="I3999" s="20" t="s">
        <v>7917</v>
      </c>
      <c r="J3999" s="18" t="s">
        <v>73</v>
      </c>
      <c r="K3999" s="18" t="s">
        <v>24</v>
      </c>
      <c r="L3999" s="18" t="s">
        <v>25</v>
      </c>
      <c r="M3999" s="18" t="s">
        <v>7577</v>
      </c>
      <c r="N3999" s="18" t="s">
        <v>26</v>
      </c>
    </row>
    <row r="4000" spans="1:14" ht="15" customHeight="1" x14ac:dyDescent="0.3">
      <c r="A4000" s="18" t="s">
        <v>7570</v>
      </c>
      <c r="B4000" s="19" t="s">
        <v>15</v>
      </c>
      <c r="C4000" s="18" t="s">
        <v>7573</v>
      </c>
      <c r="D4000" s="18" t="s">
        <v>116</v>
      </c>
      <c r="E4000" s="18" t="s">
        <v>55</v>
      </c>
      <c r="F4000" s="18" t="s">
        <v>7918</v>
      </c>
      <c r="G4000" s="18" t="s">
        <v>2248</v>
      </c>
      <c r="H4000" s="18" t="s">
        <v>7575</v>
      </c>
      <c r="I4000" s="20" t="s">
        <v>7919</v>
      </c>
      <c r="J4000" s="18" t="s">
        <v>58</v>
      </c>
      <c r="K4000" s="18" t="s">
        <v>24</v>
      </c>
      <c r="L4000" s="18" t="s">
        <v>25</v>
      </c>
      <c r="M4000" s="18" t="s">
        <v>7577</v>
      </c>
      <c r="N4000" s="18" t="s">
        <v>26</v>
      </c>
    </row>
    <row r="4001" spans="1:14" ht="15" customHeight="1" x14ac:dyDescent="0.3">
      <c r="A4001" s="18" t="s">
        <v>7570</v>
      </c>
      <c r="B4001" s="19" t="s">
        <v>15</v>
      </c>
      <c r="C4001" s="18" t="s">
        <v>210</v>
      </c>
      <c r="D4001" s="18" t="s">
        <v>116</v>
      </c>
      <c r="E4001" s="18" t="s">
        <v>55</v>
      </c>
      <c r="F4001" s="18" t="s">
        <v>7920</v>
      </c>
      <c r="G4001" s="18" t="s">
        <v>1009</v>
      </c>
      <c r="H4001" s="18" t="s">
        <v>3238</v>
      </c>
      <c r="I4001" s="20" t="s">
        <v>7921</v>
      </c>
      <c r="J4001" s="18" t="s">
        <v>199</v>
      </c>
      <c r="K4001" s="18" t="s">
        <v>24</v>
      </c>
      <c r="L4001" s="18" t="s">
        <v>25</v>
      </c>
      <c r="N4001" s="18" t="s">
        <v>26</v>
      </c>
    </row>
    <row r="4002" spans="1:14" ht="15" customHeight="1" x14ac:dyDescent="0.3">
      <c r="A4002" s="18" t="s">
        <v>7570</v>
      </c>
      <c r="B4002" s="19" t="s">
        <v>15</v>
      </c>
      <c r="C4002" s="18" t="s">
        <v>210</v>
      </c>
      <c r="D4002" s="18" t="s">
        <v>116</v>
      </c>
      <c r="E4002" s="18" t="s">
        <v>55</v>
      </c>
      <c r="F4002" s="18" t="s">
        <v>7922</v>
      </c>
      <c r="G4002" s="18" t="s">
        <v>433</v>
      </c>
      <c r="H4002" s="18" t="s">
        <v>3238</v>
      </c>
      <c r="I4002" s="20" t="s">
        <v>7923</v>
      </c>
      <c r="J4002" s="18" t="s">
        <v>58</v>
      </c>
      <c r="K4002" s="18" t="s">
        <v>24</v>
      </c>
      <c r="L4002" s="18" t="s">
        <v>25</v>
      </c>
      <c r="N4002" s="18" t="s">
        <v>26</v>
      </c>
    </row>
    <row r="4003" spans="1:14" ht="15" customHeight="1" x14ac:dyDescent="0.3">
      <c r="A4003" s="18" t="s">
        <v>7570</v>
      </c>
      <c r="B4003" s="19" t="s">
        <v>15</v>
      </c>
      <c r="C4003" s="18" t="s">
        <v>210</v>
      </c>
      <c r="D4003" s="18" t="s">
        <v>116</v>
      </c>
      <c r="E4003" s="18" t="s">
        <v>55</v>
      </c>
      <c r="F4003" s="18" t="s">
        <v>925</v>
      </c>
      <c r="G4003" s="18" t="s">
        <v>433</v>
      </c>
      <c r="H4003" s="18" t="s">
        <v>3238</v>
      </c>
      <c r="I4003" s="20" t="s">
        <v>7924</v>
      </c>
      <c r="J4003" s="18" t="s">
        <v>58</v>
      </c>
      <c r="K4003" s="18" t="s">
        <v>24</v>
      </c>
      <c r="L4003" s="18" t="s">
        <v>25</v>
      </c>
      <c r="N4003" s="18" t="s">
        <v>26</v>
      </c>
    </row>
    <row r="4004" spans="1:14" ht="15" customHeight="1" x14ac:dyDescent="0.3">
      <c r="A4004" s="18" t="s">
        <v>7570</v>
      </c>
      <c r="B4004" s="19" t="s">
        <v>15</v>
      </c>
      <c r="C4004" s="18" t="s">
        <v>210</v>
      </c>
      <c r="D4004" s="18" t="s">
        <v>116</v>
      </c>
      <c r="E4004" s="18" t="s">
        <v>55</v>
      </c>
      <c r="F4004" s="18" t="s">
        <v>7925</v>
      </c>
      <c r="G4004" s="18" t="s">
        <v>433</v>
      </c>
      <c r="H4004" s="18" t="s">
        <v>7694</v>
      </c>
      <c r="I4004" s="20" t="s">
        <v>7926</v>
      </c>
      <c r="J4004" s="18" t="s">
        <v>73</v>
      </c>
      <c r="K4004" s="18" t="s">
        <v>24</v>
      </c>
      <c r="L4004" s="18" t="s">
        <v>25</v>
      </c>
      <c r="N4004" s="18" t="s">
        <v>26</v>
      </c>
    </row>
    <row r="4005" spans="1:14" ht="15" customHeight="1" x14ac:dyDescent="0.3">
      <c r="A4005" s="18" t="s">
        <v>7570</v>
      </c>
      <c r="B4005" s="19" t="s">
        <v>15</v>
      </c>
      <c r="C4005" s="18" t="s">
        <v>210</v>
      </c>
      <c r="D4005" s="18" t="s">
        <v>116</v>
      </c>
      <c r="E4005" s="18" t="s">
        <v>55</v>
      </c>
      <c r="F4005" s="18" t="s">
        <v>7927</v>
      </c>
      <c r="G4005" s="18" t="s">
        <v>433</v>
      </c>
      <c r="H4005" s="18" t="s">
        <v>7694</v>
      </c>
      <c r="I4005" s="20" t="s">
        <v>7928</v>
      </c>
      <c r="J4005" s="18" t="s">
        <v>58</v>
      </c>
      <c r="K4005" s="18" t="s">
        <v>24</v>
      </c>
      <c r="L4005" s="18" t="s">
        <v>25</v>
      </c>
      <c r="N4005" s="18" t="s">
        <v>26</v>
      </c>
    </row>
    <row r="4006" spans="1:14" ht="15" customHeight="1" x14ac:dyDescent="0.3">
      <c r="A4006" s="18" t="s">
        <v>7570</v>
      </c>
      <c r="B4006" s="19" t="s">
        <v>15</v>
      </c>
      <c r="C4006" s="18" t="s">
        <v>7573</v>
      </c>
      <c r="D4006" s="18" t="s">
        <v>116</v>
      </c>
      <c r="E4006" s="18" t="s">
        <v>55</v>
      </c>
      <c r="F4006" s="18" t="s">
        <v>7929</v>
      </c>
      <c r="G4006" s="18" t="s">
        <v>913</v>
      </c>
      <c r="H4006" s="18" t="s">
        <v>7575</v>
      </c>
      <c r="I4006" s="20" t="s">
        <v>7930</v>
      </c>
      <c r="J4006" s="18" t="s">
        <v>58</v>
      </c>
      <c r="K4006" s="18" t="s">
        <v>24</v>
      </c>
      <c r="L4006" s="18" t="s">
        <v>25</v>
      </c>
      <c r="M4006" s="18" t="s">
        <v>7577</v>
      </c>
      <c r="N4006" s="18" t="s">
        <v>26</v>
      </c>
    </row>
    <row r="4007" spans="1:14" ht="15" customHeight="1" x14ac:dyDescent="0.3">
      <c r="A4007" s="18" t="s">
        <v>7570</v>
      </c>
      <c r="B4007" s="19" t="s">
        <v>15</v>
      </c>
      <c r="C4007" s="18" t="s">
        <v>7573</v>
      </c>
      <c r="D4007" s="18" t="s">
        <v>116</v>
      </c>
      <c r="E4007" s="18" t="s">
        <v>55</v>
      </c>
      <c r="F4007" s="18" t="s">
        <v>7931</v>
      </c>
      <c r="G4007" s="18" t="s">
        <v>47</v>
      </c>
      <c r="H4007" s="18" t="s">
        <v>7575</v>
      </c>
      <c r="I4007" s="20" t="s">
        <v>7932</v>
      </c>
      <c r="J4007" s="18" t="s">
        <v>58</v>
      </c>
      <c r="K4007" s="18" t="s">
        <v>24</v>
      </c>
      <c r="L4007" s="18" t="s">
        <v>25</v>
      </c>
      <c r="M4007" s="18" t="s">
        <v>7577</v>
      </c>
      <c r="N4007" s="18" t="s">
        <v>26</v>
      </c>
    </row>
    <row r="4008" spans="1:14" ht="15" customHeight="1" x14ac:dyDescent="0.3">
      <c r="A4008" s="18" t="s">
        <v>7570</v>
      </c>
      <c r="B4008" s="19" t="s">
        <v>15</v>
      </c>
      <c r="C4008" s="18" t="s">
        <v>210</v>
      </c>
      <c r="D4008" s="18" t="s">
        <v>116</v>
      </c>
      <c r="E4008" s="18" t="s">
        <v>55</v>
      </c>
      <c r="F4008" s="18" t="s">
        <v>1104</v>
      </c>
      <c r="G4008" s="18" t="s">
        <v>1055</v>
      </c>
      <c r="H4008" s="18" t="s">
        <v>7571</v>
      </c>
      <c r="I4008" s="20" t="s">
        <v>7933</v>
      </c>
      <c r="J4008" s="18" t="s">
        <v>58</v>
      </c>
      <c r="K4008" s="18" t="s">
        <v>24</v>
      </c>
      <c r="L4008" s="18" t="s">
        <v>25</v>
      </c>
      <c r="N4008" s="18" t="s">
        <v>26</v>
      </c>
    </row>
    <row r="4009" spans="1:14" ht="15" customHeight="1" x14ac:dyDescent="0.3">
      <c r="A4009" s="18" t="s">
        <v>7570</v>
      </c>
      <c r="B4009" s="19" t="s">
        <v>15</v>
      </c>
      <c r="C4009" s="18" t="s">
        <v>7573</v>
      </c>
      <c r="D4009" s="18" t="s">
        <v>116</v>
      </c>
      <c r="E4009" s="18" t="s">
        <v>55</v>
      </c>
      <c r="F4009" s="18" t="s">
        <v>7934</v>
      </c>
      <c r="G4009" s="18" t="s">
        <v>212</v>
      </c>
      <c r="H4009" s="18" t="s">
        <v>7575</v>
      </c>
      <c r="I4009" s="20" t="s">
        <v>7935</v>
      </c>
      <c r="J4009" s="18" t="s">
        <v>199</v>
      </c>
      <c r="K4009" s="18" t="s">
        <v>24</v>
      </c>
      <c r="L4009" s="18" t="s">
        <v>25</v>
      </c>
      <c r="M4009" s="18" t="s">
        <v>7741</v>
      </c>
      <c r="N4009" s="18" t="s">
        <v>26</v>
      </c>
    </row>
    <row r="4010" spans="1:14" ht="15" customHeight="1" x14ac:dyDescent="0.3">
      <c r="A4010" s="18" t="s">
        <v>7570</v>
      </c>
      <c r="B4010" s="19" t="s">
        <v>15</v>
      </c>
      <c r="C4010" s="18" t="s">
        <v>7573</v>
      </c>
      <c r="D4010" s="18" t="s">
        <v>116</v>
      </c>
      <c r="E4010" s="18" t="s">
        <v>55</v>
      </c>
      <c r="F4010" s="18" t="s">
        <v>7936</v>
      </c>
      <c r="G4010" s="18" t="s">
        <v>913</v>
      </c>
      <c r="H4010" s="18" t="s">
        <v>7575</v>
      </c>
      <c r="I4010" s="20" t="s">
        <v>7937</v>
      </c>
      <c r="J4010" s="18" t="s">
        <v>58</v>
      </c>
      <c r="K4010" s="18" t="s">
        <v>24</v>
      </c>
      <c r="L4010" s="18" t="s">
        <v>25</v>
      </c>
      <c r="M4010" s="18" t="s">
        <v>7577</v>
      </c>
      <c r="N4010" s="18" t="s">
        <v>26</v>
      </c>
    </row>
    <row r="4011" spans="1:14" ht="15" customHeight="1" x14ac:dyDescent="0.3">
      <c r="A4011" s="18" t="s">
        <v>7570</v>
      </c>
      <c r="B4011" s="19" t="s">
        <v>15</v>
      </c>
      <c r="C4011" s="18" t="s">
        <v>210</v>
      </c>
      <c r="D4011" s="18" t="s">
        <v>116</v>
      </c>
      <c r="E4011" s="18" t="s">
        <v>55</v>
      </c>
      <c r="F4011" s="18" t="s">
        <v>7938</v>
      </c>
      <c r="G4011" s="18" t="s">
        <v>2248</v>
      </c>
      <c r="H4011" s="18" t="s">
        <v>7584</v>
      </c>
      <c r="I4011" s="20" t="s">
        <v>7939</v>
      </c>
      <c r="J4011" s="18" t="s">
        <v>73</v>
      </c>
      <c r="K4011" s="18" t="s">
        <v>24</v>
      </c>
      <c r="L4011" s="18" t="s">
        <v>25</v>
      </c>
      <c r="N4011" s="18" t="s">
        <v>26</v>
      </c>
    </row>
    <row r="4012" spans="1:14" ht="15" customHeight="1" x14ac:dyDescent="0.3">
      <c r="A4012" s="18" t="s">
        <v>7570</v>
      </c>
      <c r="B4012" s="19" t="s">
        <v>15</v>
      </c>
      <c r="C4012" s="18" t="s">
        <v>7573</v>
      </c>
      <c r="D4012" s="18" t="s">
        <v>116</v>
      </c>
      <c r="E4012" s="18" t="s">
        <v>55</v>
      </c>
      <c r="F4012" s="18" t="s">
        <v>7940</v>
      </c>
      <c r="G4012" s="18" t="s">
        <v>913</v>
      </c>
      <c r="H4012" s="18" t="s">
        <v>7575</v>
      </c>
      <c r="I4012" s="20" t="s">
        <v>7941</v>
      </c>
      <c r="J4012" s="18" t="s">
        <v>58</v>
      </c>
      <c r="K4012" s="18" t="s">
        <v>24</v>
      </c>
      <c r="L4012" s="18" t="s">
        <v>25</v>
      </c>
      <c r="M4012" s="18" t="s">
        <v>7577</v>
      </c>
      <c r="N4012" s="18" t="s">
        <v>26</v>
      </c>
    </row>
    <row r="4013" spans="1:14" ht="15" customHeight="1" x14ac:dyDescent="0.3">
      <c r="A4013" s="18" t="s">
        <v>7570</v>
      </c>
      <c r="B4013" s="19" t="s">
        <v>15</v>
      </c>
      <c r="C4013" s="18" t="s">
        <v>7573</v>
      </c>
      <c r="D4013" s="18" t="s">
        <v>116</v>
      </c>
      <c r="E4013" s="18" t="s">
        <v>55</v>
      </c>
      <c r="F4013" s="18" t="s">
        <v>7942</v>
      </c>
      <c r="G4013" s="18" t="s">
        <v>1704</v>
      </c>
      <c r="H4013" s="18" t="s">
        <v>7575</v>
      </c>
      <c r="I4013" s="20" t="s">
        <v>7943</v>
      </c>
      <c r="J4013" s="18" t="s">
        <v>58</v>
      </c>
      <c r="K4013" s="18" t="s">
        <v>24</v>
      </c>
      <c r="L4013" s="18" t="s">
        <v>25</v>
      </c>
      <c r="M4013" s="18" t="s">
        <v>7577</v>
      </c>
      <c r="N4013" s="18" t="s">
        <v>26</v>
      </c>
    </row>
    <row r="4014" spans="1:14" ht="15" customHeight="1" x14ac:dyDescent="0.3">
      <c r="A4014" s="18" t="s">
        <v>7570</v>
      </c>
      <c r="B4014" s="19" t="s">
        <v>15</v>
      </c>
      <c r="C4014" s="18" t="s">
        <v>210</v>
      </c>
      <c r="D4014" s="18" t="s">
        <v>116</v>
      </c>
      <c r="E4014" s="18" t="s">
        <v>55</v>
      </c>
      <c r="F4014" s="18" t="s">
        <v>7944</v>
      </c>
      <c r="G4014" s="18" t="s">
        <v>298</v>
      </c>
      <c r="H4014" s="18" t="s">
        <v>7571</v>
      </c>
      <c r="I4014" s="20" t="s">
        <v>7945</v>
      </c>
      <c r="J4014" s="18" t="s">
        <v>58</v>
      </c>
      <c r="K4014" s="18" t="s">
        <v>24</v>
      </c>
      <c r="L4014" s="18" t="s">
        <v>1369</v>
      </c>
      <c r="N4014" s="18" t="s">
        <v>26</v>
      </c>
    </row>
    <row r="4015" spans="1:14" ht="15" customHeight="1" x14ac:dyDescent="0.3">
      <c r="A4015" s="18" t="s">
        <v>7570</v>
      </c>
      <c r="B4015" s="19" t="s">
        <v>15</v>
      </c>
      <c r="C4015" s="18" t="s">
        <v>210</v>
      </c>
      <c r="D4015" s="18" t="s">
        <v>116</v>
      </c>
      <c r="E4015" s="18" t="s">
        <v>55</v>
      </c>
      <c r="F4015" s="18" t="s">
        <v>7946</v>
      </c>
      <c r="G4015" s="18" t="s">
        <v>7647</v>
      </c>
      <c r="H4015" s="18" t="s">
        <v>3238</v>
      </c>
      <c r="I4015" s="20" t="s">
        <v>7947</v>
      </c>
      <c r="J4015" s="18" t="s">
        <v>199</v>
      </c>
      <c r="K4015" s="18" t="s">
        <v>24</v>
      </c>
      <c r="L4015" s="18" t="s">
        <v>25</v>
      </c>
      <c r="N4015" s="18" t="s">
        <v>26</v>
      </c>
    </row>
    <row r="4016" spans="1:14" ht="15" customHeight="1" x14ac:dyDescent="0.3">
      <c r="A4016" s="18" t="s">
        <v>7570</v>
      </c>
      <c r="B4016" s="19" t="s">
        <v>15</v>
      </c>
      <c r="C4016" s="18" t="s">
        <v>210</v>
      </c>
      <c r="D4016" s="18" t="s">
        <v>116</v>
      </c>
      <c r="E4016" s="18" t="s">
        <v>55</v>
      </c>
      <c r="F4016" s="18" t="s">
        <v>2434</v>
      </c>
      <c r="G4016" s="18" t="s">
        <v>192</v>
      </c>
      <c r="H4016" s="18" t="s">
        <v>7571</v>
      </c>
      <c r="I4016" s="20" t="s">
        <v>7948</v>
      </c>
      <c r="J4016" s="18" t="s">
        <v>73</v>
      </c>
      <c r="K4016" s="18" t="s">
        <v>24</v>
      </c>
      <c r="L4016" s="18" t="s">
        <v>25</v>
      </c>
      <c r="N4016" s="18" t="s">
        <v>26</v>
      </c>
    </row>
    <row r="4017" spans="1:14" ht="15" customHeight="1" x14ac:dyDescent="0.3">
      <c r="A4017" s="18" t="s">
        <v>7570</v>
      </c>
      <c r="B4017" s="19" t="s">
        <v>15</v>
      </c>
      <c r="C4017" s="18" t="s">
        <v>210</v>
      </c>
      <c r="D4017" s="18" t="s">
        <v>116</v>
      </c>
      <c r="E4017" s="18" t="s">
        <v>55</v>
      </c>
      <c r="F4017" s="18" t="s">
        <v>7949</v>
      </c>
      <c r="G4017" s="18" t="s">
        <v>7668</v>
      </c>
      <c r="H4017" s="18" t="s">
        <v>7571</v>
      </c>
      <c r="I4017" s="20" t="s">
        <v>7950</v>
      </c>
      <c r="J4017" s="18" t="s">
        <v>58</v>
      </c>
      <c r="K4017" s="18" t="s">
        <v>24</v>
      </c>
      <c r="L4017" s="18" t="s">
        <v>25</v>
      </c>
      <c r="N4017" s="18" t="s">
        <v>26</v>
      </c>
    </row>
    <row r="4018" spans="1:14" ht="15" customHeight="1" x14ac:dyDescent="0.3">
      <c r="A4018" s="18" t="s">
        <v>7570</v>
      </c>
      <c r="B4018" s="19" t="s">
        <v>15</v>
      </c>
      <c r="C4018" s="18" t="s">
        <v>210</v>
      </c>
      <c r="D4018" s="18" t="s">
        <v>116</v>
      </c>
      <c r="E4018" s="18" t="s">
        <v>55</v>
      </c>
      <c r="F4018" s="18" t="s">
        <v>7951</v>
      </c>
      <c r="G4018" s="18" t="s">
        <v>433</v>
      </c>
      <c r="H4018" s="18" t="s">
        <v>7596</v>
      </c>
      <c r="I4018" s="20" t="s">
        <v>7952</v>
      </c>
      <c r="J4018" s="18" t="s">
        <v>58</v>
      </c>
      <c r="K4018" s="18" t="s">
        <v>24</v>
      </c>
      <c r="L4018" s="18" t="s">
        <v>25</v>
      </c>
      <c r="M4018" s="18" t="s">
        <v>39</v>
      </c>
      <c r="N4018" s="18" t="s">
        <v>26</v>
      </c>
    </row>
    <row r="4019" spans="1:14" ht="15" customHeight="1" x14ac:dyDescent="0.3">
      <c r="A4019" s="18" t="s">
        <v>7570</v>
      </c>
      <c r="B4019" s="19" t="s">
        <v>15</v>
      </c>
      <c r="C4019" s="18" t="s">
        <v>210</v>
      </c>
      <c r="D4019" s="18" t="s">
        <v>116</v>
      </c>
      <c r="E4019" s="18" t="s">
        <v>55</v>
      </c>
      <c r="F4019" s="18" t="s">
        <v>7953</v>
      </c>
      <c r="G4019" s="18" t="s">
        <v>212</v>
      </c>
      <c r="H4019" s="18" t="s">
        <v>7571</v>
      </c>
      <c r="I4019" s="20" t="s">
        <v>7954</v>
      </c>
      <c r="J4019" s="18" t="s">
        <v>58</v>
      </c>
      <c r="K4019" s="18" t="s">
        <v>24</v>
      </c>
      <c r="L4019" s="18" t="s">
        <v>25</v>
      </c>
      <c r="N4019" s="18" t="s">
        <v>26</v>
      </c>
    </row>
    <row r="4020" spans="1:14" ht="15" customHeight="1" x14ac:dyDescent="0.3">
      <c r="A4020" s="18" t="s">
        <v>7570</v>
      </c>
      <c r="B4020" s="19" t="s">
        <v>15</v>
      </c>
      <c r="C4020" s="18" t="s">
        <v>7573</v>
      </c>
      <c r="D4020" s="18" t="s">
        <v>116</v>
      </c>
      <c r="E4020" s="18" t="s">
        <v>171</v>
      </c>
      <c r="F4020" s="18" t="s">
        <v>1239</v>
      </c>
      <c r="G4020" s="18" t="s">
        <v>1254</v>
      </c>
      <c r="H4020" s="18" t="s">
        <v>7575</v>
      </c>
      <c r="I4020" s="20" t="s">
        <v>7955</v>
      </c>
      <c r="J4020" s="18" t="s">
        <v>175</v>
      </c>
      <c r="K4020" s="18" t="s">
        <v>24</v>
      </c>
      <c r="L4020" s="18" t="s">
        <v>25</v>
      </c>
      <c r="M4020" s="18" t="s">
        <v>7741</v>
      </c>
      <c r="N4020" s="18" t="s">
        <v>26</v>
      </c>
    </row>
    <row r="4021" spans="1:14" ht="15" customHeight="1" x14ac:dyDescent="0.3">
      <c r="A4021" s="18" t="s">
        <v>7570</v>
      </c>
      <c r="B4021" s="19" t="s">
        <v>15</v>
      </c>
      <c r="C4021" s="18" t="s">
        <v>7573</v>
      </c>
      <c r="D4021" s="18" t="s">
        <v>116</v>
      </c>
      <c r="E4021" s="18" t="s">
        <v>171</v>
      </c>
      <c r="F4021" s="18" t="s">
        <v>221</v>
      </c>
      <c r="G4021" s="18" t="s">
        <v>212</v>
      </c>
      <c r="H4021" s="18" t="s">
        <v>7575</v>
      </c>
      <c r="I4021" s="20" t="s">
        <v>7956</v>
      </c>
      <c r="J4021" s="18" t="s">
        <v>175</v>
      </c>
      <c r="K4021" s="18" t="s">
        <v>24</v>
      </c>
      <c r="L4021" s="18" t="s">
        <v>25</v>
      </c>
      <c r="M4021" s="18" t="s">
        <v>7741</v>
      </c>
      <c r="N4021" s="18" t="s">
        <v>26</v>
      </c>
    </row>
    <row r="4022" spans="1:14" ht="15" customHeight="1" x14ac:dyDescent="0.3">
      <c r="A4022" s="18" t="s">
        <v>7570</v>
      </c>
      <c r="B4022" s="19" t="s">
        <v>15</v>
      </c>
      <c r="C4022" s="18" t="s">
        <v>7573</v>
      </c>
      <c r="D4022" s="18" t="s">
        <v>116</v>
      </c>
      <c r="E4022" s="18" t="s">
        <v>171</v>
      </c>
      <c r="F4022" s="18" t="s">
        <v>1244</v>
      </c>
      <c r="G4022" s="18" t="s">
        <v>1204</v>
      </c>
      <c r="H4022" s="18" t="s">
        <v>7575</v>
      </c>
      <c r="I4022" s="20" t="s">
        <v>7957</v>
      </c>
      <c r="J4022" s="18" t="s">
        <v>175</v>
      </c>
      <c r="K4022" s="18" t="s">
        <v>24</v>
      </c>
      <c r="L4022" s="18" t="s">
        <v>25</v>
      </c>
      <c r="M4022" s="18" t="s">
        <v>7741</v>
      </c>
      <c r="N4022" s="18" t="s">
        <v>26</v>
      </c>
    </row>
    <row r="4023" spans="1:14" ht="15" customHeight="1" x14ac:dyDescent="0.3">
      <c r="A4023" s="18" t="s">
        <v>7570</v>
      </c>
      <c r="B4023" s="19" t="s">
        <v>15</v>
      </c>
      <c r="C4023" s="18" t="s">
        <v>7573</v>
      </c>
      <c r="D4023" s="18" t="s">
        <v>116</v>
      </c>
      <c r="E4023" s="18" t="s">
        <v>171</v>
      </c>
      <c r="F4023" s="18" t="s">
        <v>7609</v>
      </c>
      <c r="G4023" s="18" t="s">
        <v>1254</v>
      </c>
      <c r="H4023" s="18" t="s">
        <v>7575</v>
      </c>
      <c r="I4023" s="20" t="s">
        <v>7958</v>
      </c>
      <c r="J4023" s="18" t="s">
        <v>175</v>
      </c>
      <c r="K4023" s="18" t="s">
        <v>24</v>
      </c>
      <c r="L4023" s="18" t="s">
        <v>25</v>
      </c>
      <c r="M4023" s="18" t="s">
        <v>7741</v>
      </c>
      <c r="N4023" s="18" t="s">
        <v>26</v>
      </c>
    </row>
    <row r="4024" spans="1:14" ht="15" customHeight="1" x14ac:dyDescent="0.3">
      <c r="A4024" s="18" t="s">
        <v>7570</v>
      </c>
      <c r="B4024" s="19" t="s">
        <v>15</v>
      </c>
      <c r="C4024" s="18" t="s">
        <v>7573</v>
      </c>
      <c r="D4024" s="18" t="s">
        <v>116</v>
      </c>
      <c r="E4024" s="18" t="s">
        <v>171</v>
      </c>
      <c r="F4024" s="18" t="s">
        <v>1072</v>
      </c>
      <c r="G4024" s="18" t="s">
        <v>47</v>
      </c>
      <c r="H4024" s="18" t="s">
        <v>7575</v>
      </c>
      <c r="I4024" s="20" t="s">
        <v>7959</v>
      </c>
      <c r="J4024" s="18" t="s">
        <v>175</v>
      </c>
      <c r="K4024" s="18" t="s">
        <v>24</v>
      </c>
      <c r="L4024" s="18" t="s">
        <v>25</v>
      </c>
      <c r="M4024" s="18" t="s">
        <v>7741</v>
      </c>
      <c r="N4024" s="18" t="s">
        <v>26</v>
      </c>
    </row>
    <row r="4025" spans="1:14" ht="15" customHeight="1" x14ac:dyDescent="0.3">
      <c r="A4025" s="18" t="s">
        <v>7570</v>
      </c>
      <c r="B4025" s="19" t="s">
        <v>15</v>
      </c>
      <c r="C4025" s="18" t="s">
        <v>7573</v>
      </c>
      <c r="D4025" s="18" t="s">
        <v>116</v>
      </c>
      <c r="E4025" s="18" t="s">
        <v>171</v>
      </c>
      <c r="F4025" s="18" t="s">
        <v>34</v>
      </c>
      <c r="G4025" s="18" t="s">
        <v>1254</v>
      </c>
      <c r="H4025" s="18" t="s">
        <v>7575</v>
      </c>
      <c r="I4025" s="20" t="s">
        <v>7960</v>
      </c>
      <c r="J4025" s="18" t="s">
        <v>175</v>
      </c>
      <c r="K4025" s="18" t="s">
        <v>24</v>
      </c>
      <c r="L4025" s="18" t="s">
        <v>25</v>
      </c>
      <c r="M4025" s="18" t="s">
        <v>7741</v>
      </c>
      <c r="N4025" s="18" t="s">
        <v>26</v>
      </c>
    </row>
    <row r="4026" spans="1:14" ht="15" customHeight="1" x14ac:dyDescent="0.3">
      <c r="A4026" s="18" t="s">
        <v>7570</v>
      </c>
      <c r="B4026" s="19" t="s">
        <v>15</v>
      </c>
      <c r="C4026" s="18" t="s">
        <v>7573</v>
      </c>
      <c r="D4026" s="18" t="s">
        <v>116</v>
      </c>
      <c r="E4026" s="18" t="s">
        <v>171</v>
      </c>
      <c r="F4026" s="18" t="s">
        <v>7961</v>
      </c>
      <c r="G4026" s="18" t="s">
        <v>1251</v>
      </c>
      <c r="H4026" s="18" t="s">
        <v>7575</v>
      </c>
      <c r="I4026" s="20" t="s">
        <v>7962</v>
      </c>
      <c r="J4026" s="18" t="s">
        <v>175</v>
      </c>
      <c r="K4026" s="18" t="s">
        <v>24</v>
      </c>
      <c r="L4026" s="18" t="s">
        <v>25</v>
      </c>
      <c r="M4026" s="18" t="s">
        <v>7741</v>
      </c>
      <c r="N4026" s="18" t="s">
        <v>26</v>
      </c>
    </row>
    <row r="4027" spans="1:14" ht="15" customHeight="1" x14ac:dyDescent="0.3">
      <c r="A4027" s="18" t="s">
        <v>7570</v>
      </c>
      <c r="B4027" s="19" t="s">
        <v>15</v>
      </c>
      <c r="C4027" s="18" t="s">
        <v>7573</v>
      </c>
      <c r="D4027" s="18" t="s">
        <v>116</v>
      </c>
      <c r="E4027" s="18" t="s">
        <v>171</v>
      </c>
      <c r="F4027" s="18" t="s">
        <v>37</v>
      </c>
      <c r="G4027" s="18" t="s">
        <v>1254</v>
      </c>
      <c r="H4027" s="18" t="s">
        <v>7575</v>
      </c>
      <c r="I4027" s="20" t="s">
        <v>7963</v>
      </c>
      <c r="J4027" s="18" t="s">
        <v>175</v>
      </c>
      <c r="K4027" s="18" t="s">
        <v>24</v>
      </c>
      <c r="L4027" s="18" t="s">
        <v>25</v>
      </c>
      <c r="M4027" s="18" t="s">
        <v>7741</v>
      </c>
      <c r="N4027" s="18" t="s">
        <v>26</v>
      </c>
    </row>
    <row r="4028" spans="1:14" ht="15" customHeight="1" x14ac:dyDescent="0.3">
      <c r="A4028" s="18" t="s">
        <v>7570</v>
      </c>
      <c r="B4028" s="19" t="s">
        <v>15</v>
      </c>
      <c r="C4028" s="18" t="s">
        <v>7573</v>
      </c>
      <c r="D4028" s="18" t="s">
        <v>116</v>
      </c>
      <c r="E4028" s="18" t="s">
        <v>171</v>
      </c>
      <c r="F4028" s="18" t="s">
        <v>7619</v>
      </c>
      <c r="G4028" s="18" t="s">
        <v>1075</v>
      </c>
      <c r="H4028" s="18" t="s">
        <v>7575</v>
      </c>
      <c r="I4028" s="20" t="s">
        <v>7964</v>
      </c>
      <c r="J4028" s="18" t="s">
        <v>175</v>
      </c>
      <c r="K4028" s="18" t="s">
        <v>24</v>
      </c>
      <c r="L4028" s="18" t="s">
        <v>25</v>
      </c>
      <c r="M4028" s="18" t="s">
        <v>7741</v>
      </c>
      <c r="N4028" s="18" t="s">
        <v>26</v>
      </c>
    </row>
    <row r="4029" spans="1:14" ht="15" customHeight="1" x14ac:dyDescent="0.3">
      <c r="A4029" s="18" t="s">
        <v>7570</v>
      </c>
      <c r="B4029" s="19" t="s">
        <v>15</v>
      </c>
      <c r="C4029" s="18" t="s">
        <v>7573</v>
      </c>
      <c r="D4029" s="18" t="s">
        <v>116</v>
      </c>
      <c r="E4029" s="18" t="s">
        <v>171</v>
      </c>
      <c r="F4029" s="18" t="s">
        <v>2099</v>
      </c>
      <c r="G4029" s="18" t="s">
        <v>1502</v>
      </c>
      <c r="H4029" s="18" t="s">
        <v>7575</v>
      </c>
      <c r="I4029" s="20" t="s">
        <v>7965</v>
      </c>
      <c r="J4029" s="18" t="s">
        <v>175</v>
      </c>
      <c r="K4029" s="18" t="s">
        <v>24</v>
      </c>
      <c r="L4029" s="18" t="s">
        <v>25</v>
      </c>
      <c r="M4029" s="18" t="s">
        <v>7741</v>
      </c>
      <c r="N4029" s="18" t="s">
        <v>26</v>
      </c>
    </row>
    <row r="4030" spans="1:14" ht="15" customHeight="1" x14ac:dyDescent="0.3">
      <c r="A4030" s="18" t="s">
        <v>7570</v>
      </c>
      <c r="B4030" s="19" t="s">
        <v>15</v>
      </c>
      <c r="C4030" s="18" t="s">
        <v>7573</v>
      </c>
      <c r="D4030" s="18" t="s">
        <v>116</v>
      </c>
      <c r="E4030" s="18" t="s">
        <v>171</v>
      </c>
      <c r="F4030" s="18" t="s">
        <v>1253</v>
      </c>
      <c r="G4030" s="18" t="s">
        <v>1254</v>
      </c>
      <c r="H4030" s="18" t="s">
        <v>7575</v>
      </c>
      <c r="I4030" s="20" t="s">
        <v>7966</v>
      </c>
      <c r="J4030" s="18" t="s">
        <v>175</v>
      </c>
      <c r="K4030" s="18" t="s">
        <v>24</v>
      </c>
      <c r="L4030" s="18" t="s">
        <v>25</v>
      </c>
      <c r="M4030" s="18" t="s">
        <v>7741</v>
      </c>
      <c r="N4030" s="18" t="s">
        <v>26</v>
      </c>
    </row>
    <row r="4031" spans="1:14" ht="15" customHeight="1" x14ac:dyDescent="0.3">
      <c r="A4031" s="18" t="s">
        <v>7570</v>
      </c>
      <c r="B4031" s="19" t="s">
        <v>15</v>
      </c>
      <c r="C4031" s="18" t="s">
        <v>210</v>
      </c>
      <c r="D4031" s="18" t="s">
        <v>116</v>
      </c>
      <c r="E4031" s="18" t="s">
        <v>171</v>
      </c>
      <c r="F4031" s="18" t="s">
        <v>423</v>
      </c>
      <c r="G4031" s="18" t="s">
        <v>423</v>
      </c>
      <c r="H4031" s="18" t="s">
        <v>7596</v>
      </c>
      <c r="I4031" s="20" t="s">
        <v>7967</v>
      </c>
      <c r="J4031" s="18" t="s">
        <v>58</v>
      </c>
      <c r="K4031" s="18" t="s">
        <v>24</v>
      </c>
      <c r="L4031" s="18" t="s">
        <v>25</v>
      </c>
      <c r="N4031" s="18" t="s">
        <v>26</v>
      </c>
    </row>
    <row r="4032" spans="1:14" ht="15" customHeight="1" x14ac:dyDescent="0.3">
      <c r="A4032" s="18" t="s">
        <v>7570</v>
      </c>
      <c r="B4032" s="19" t="s">
        <v>15</v>
      </c>
      <c r="C4032" s="18" t="s">
        <v>7968</v>
      </c>
      <c r="D4032" s="18" t="s">
        <v>116</v>
      </c>
      <c r="E4032" s="18" t="s">
        <v>74</v>
      </c>
      <c r="F4032" s="18" t="s">
        <v>7969</v>
      </c>
      <c r="G4032" s="18" t="s">
        <v>47</v>
      </c>
      <c r="H4032" s="18" t="s">
        <v>7970</v>
      </c>
      <c r="I4032" s="20" t="s">
        <v>7971</v>
      </c>
      <c r="J4032" s="18" t="s">
        <v>7972</v>
      </c>
      <c r="K4032" s="18" t="s">
        <v>293</v>
      </c>
      <c r="L4032" s="18" t="s">
        <v>25</v>
      </c>
      <c r="N4032" s="18" t="s">
        <v>26</v>
      </c>
    </row>
    <row r="4033" spans="1:14" ht="15" customHeight="1" x14ac:dyDescent="0.3">
      <c r="A4033" s="18" t="s">
        <v>7570</v>
      </c>
      <c r="B4033" s="19" t="s">
        <v>15</v>
      </c>
      <c r="C4033" s="18" t="s">
        <v>210</v>
      </c>
      <c r="D4033" s="18" t="s">
        <v>116</v>
      </c>
      <c r="E4033" s="18" t="s">
        <v>74</v>
      </c>
      <c r="F4033" s="18" t="s">
        <v>7973</v>
      </c>
      <c r="G4033" s="18" t="s">
        <v>270</v>
      </c>
      <c r="H4033" s="18" t="s">
        <v>7974</v>
      </c>
      <c r="I4033" s="20" t="s">
        <v>7975</v>
      </c>
      <c r="J4033" s="18" t="s">
        <v>199</v>
      </c>
      <c r="K4033" s="18" t="s">
        <v>24</v>
      </c>
      <c r="L4033" s="18" t="s">
        <v>25</v>
      </c>
      <c r="N4033" s="18" t="s">
        <v>26</v>
      </c>
    </row>
    <row r="4034" spans="1:14" ht="15" customHeight="1" x14ac:dyDescent="0.3">
      <c r="A4034" s="18" t="s">
        <v>7570</v>
      </c>
      <c r="B4034" s="19" t="s">
        <v>15</v>
      </c>
      <c r="C4034" s="18" t="s">
        <v>210</v>
      </c>
      <c r="D4034" s="18" t="s">
        <v>116</v>
      </c>
      <c r="E4034" s="18" t="s">
        <v>74</v>
      </c>
      <c r="F4034" s="18" t="s">
        <v>7976</v>
      </c>
      <c r="G4034" s="18" t="s">
        <v>192</v>
      </c>
      <c r="H4034" s="18" t="s">
        <v>7977</v>
      </c>
      <c r="I4034" s="20" t="s">
        <v>7978</v>
      </c>
      <c r="J4034" s="18" t="s">
        <v>199</v>
      </c>
      <c r="K4034" s="18" t="s">
        <v>24</v>
      </c>
      <c r="L4034" s="18" t="s">
        <v>25</v>
      </c>
      <c r="N4034" s="18" t="s">
        <v>26</v>
      </c>
    </row>
    <row r="4035" spans="1:14" ht="15" customHeight="1" x14ac:dyDescent="0.3">
      <c r="A4035" s="18" t="s">
        <v>7570</v>
      </c>
      <c r="B4035" s="19" t="s">
        <v>15</v>
      </c>
      <c r="C4035" s="18" t="s">
        <v>210</v>
      </c>
      <c r="D4035" s="18" t="s">
        <v>116</v>
      </c>
      <c r="E4035" s="18" t="s">
        <v>74</v>
      </c>
      <c r="F4035" s="18" t="s">
        <v>7979</v>
      </c>
      <c r="G4035" s="18" t="s">
        <v>47</v>
      </c>
      <c r="H4035" s="18" t="s">
        <v>7974</v>
      </c>
      <c r="I4035" s="20" t="s">
        <v>7980</v>
      </c>
      <c r="J4035" s="18" t="s">
        <v>199</v>
      </c>
      <c r="K4035" s="18" t="s">
        <v>24</v>
      </c>
      <c r="L4035" s="18" t="s">
        <v>25</v>
      </c>
      <c r="N4035" s="18" t="s">
        <v>26</v>
      </c>
    </row>
    <row r="4036" spans="1:14" ht="15" customHeight="1" x14ac:dyDescent="0.3">
      <c r="A4036" s="18" t="s">
        <v>7570</v>
      </c>
      <c r="B4036" s="19" t="s">
        <v>15</v>
      </c>
      <c r="C4036" s="18" t="s">
        <v>604</v>
      </c>
      <c r="D4036" s="18" t="s">
        <v>116</v>
      </c>
      <c r="E4036" s="18" t="s">
        <v>74</v>
      </c>
      <c r="F4036" s="18" t="s">
        <v>7981</v>
      </c>
      <c r="G4036" s="18" t="s">
        <v>1204</v>
      </c>
      <c r="H4036" s="18" t="s">
        <v>7982</v>
      </c>
      <c r="I4036" s="20" t="s">
        <v>7983</v>
      </c>
      <c r="J4036" s="18" t="s">
        <v>199</v>
      </c>
      <c r="K4036" s="18" t="s">
        <v>24</v>
      </c>
      <c r="L4036" s="18" t="s">
        <v>25</v>
      </c>
      <c r="N4036" s="18" t="s">
        <v>26</v>
      </c>
    </row>
    <row r="4037" spans="1:14" ht="15" customHeight="1" x14ac:dyDescent="0.3">
      <c r="A4037" s="18" t="s">
        <v>7570</v>
      </c>
      <c r="B4037" s="19" t="s">
        <v>15</v>
      </c>
      <c r="C4037" s="18" t="s">
        <v>210</v>
      </c>
      <c r="D4037" s="18" t="s">
        <v>116</v>
      </c>
      <c r="E4037" s="18" t="s">
        <v>74</v>
      </c>
      <c r="F4037" s="18" t="s">
        <v>7984</v>
      </c>
      <c r="G4037" s="18" t="s">
        <v>88</v>
      </c>
      <c r="H4037" s="18" t="s">
        <v>7974</v>
      </c>
      <c r="I4037" s="20" t="s">
        <v>7985</v>
      </c>
      <c r="J4037" s="18" t="s">
        <v>199</v>
      </c>
      <c r="K4037" s="18" t="s">
        <v>24</v>
      </c>
      <c r="L4037" s="18" t="s">
        <v>25</v>
      </c>
      <c r="N4037" s="18" t="s">
        <v>26</v>
      </c>
    </row>
    <row r="4038" spans="1:14" ht="15" customHeight="1" x14ac:dyDescent="0.3">
      <c r="A4038" s="18" t="s">
        <v>7570</v>
      </c>
      <c r="B4038" s="19" t="s">
        <v>15</v>
      </c>
      <c r="C4038" s="18" t="s">
        <v>210</v>
      </c>
      <c r="D4038" s="18" t="s">
        <v>116</v>
      </c>
      <c r="E4038" s="18" t="s">
        <v>74</v>
      </c>
      <c r="F4038" s="18" t="s">
        <v>7986</v>
      </c>
      <c r="G4038" s="18" t="s">
        <v>88</v>
      </c>
      <c r="H4038" s="18" t="s">
        <v>7974</v>
      </c>
      <c r="I4038" s="20" t="s">
        <v>7987</v>
      </c>
      <c r="J4038" s="18" t="s">
        <v>199</v>
      </c>
      <c r="K4038" s="18" t="s">
        <v>24</v>
      </c>
      <c r="L4038" s="18" t="s">
        <v>25</v>
      </c>
      <c r="N4038" s="18" t="s">
        <v>26</v>
      </c>
    </row>
    <row r="4039" spans="1:14" ht="15" customHeight="1" x14ac:dyDescent="0.3">
      <c r="A4039" s="18" t="s">
        <v>7570</v>
      </c>
      <c r="B4039" s="19" t="s">
        <v>15</v>
      </c>
      <c r="C4039" s="18" t="s">
        <v>210</v>
      </c>
      <c r="D4039" s="18" t="s">
        <v>116</v>
      </c>
      <c r="E4039" s="18" t="s">
        <v>74</v>
      </c>
      <c r="F4039" s="18" t="s">
        <v>7988</v>
      </c>
      <c r="G4039" s="18" t="s">
        <v>1753</v>
      </c>
      <c r="H4039" s="18" t="s">
        <v>7974</v>
      </c>
      <c r="I4039" s="20" t="s">
        <v>7989</v>
      </c>
      <c r="J4039" s="18" t="s">
        <v>199</v>
      </c>
      <c r="K4039" s="18" t="s">
        <v>293</v>
      </c>
      <c r="L4039" s="18" t="s">
        <v>25</v>
      </c>
      <c r="N4039" s="18" t="s">
        <v>26</v>
      </c>
    </row>
    <row r="4040" spans="1:14" ht="15" customHeight="1" x14ac:dyDescent="0.3">
      <c r="A4040" s="18" t="s">
        <v>7570</v>
      </c>
      <c r="B4040" s="19" t="s">
        <v>15</v>
      </c>
      <c r="C4040" s="18" t="s">
        <v>210</v>
      </c>
      <c r="D4040" s="18" t="s">
        <v>116</v>
      </c>
      <c r="E4040" s="18" t="s">
        <v>74</v>
      </c>
      <c r="F4040" s="18" t="s">
        <v>7990</v>
      </c>
      <c r="G4040" s="18" t="s">
        <v>1753</v>
      </c>
      <c r="H4040" s="18" t="s">
        <v>7974</v>
      </c>
      <c r="I4040" s="20" t="s">
        <v>7991</v>
      </c>
      <c r="J4040" s="18" t="s">
        <v>199</v>
      </c>
      <c r="K4040" s="18" t="s">
        <v>293</v>
      </c>
      <c r="L4040" s="18" t="s">
        <v>25</v>
      </c>
      <c r="N4040" s="18" t="s">
        <v>26</v>
      </c>
    </row>
    <row r="4041" spans="1:14" ht="15" customHeight="1" x14ac:dyDescent="0.3">
      <c r="A4041" s="18" t="s">
        <v>7570</v>
      </c>
      <c r="B4041" s="19" t="s">
        <v>15</v>
      </c>
      <c r="C4041" s="18" t="s">
        <v>210</v>
      </c>
      <c r="D4041" s="18" t="s">
        <v>116</v>
      </c>
      <c r="E4041" s="18" t="s">
        <v>74</v>
      </c>
      <c r="F4041" s="18" t="s">
        <v>7992</v>
      </c>
      <c r="G4041" s="18" t="s">
        <v>619</v>
      </c>
      <c r="H4041" s="18" t="s">
        <v>7993</v>
      </c>
      <c r="I4041" s="20" t="s">
        <v>7994</v>
      </c>
      <c r="J4041" s="18" t="s">
        <v>7995</v>
      </c>
      <c r="K4041" s="18" t="s">
        <v>91</v>
      </c>
      <c r="L4041" s="18" t="s">
        <v>25</v>
      </c>
      <c r="N4041" s="18" t="s">
        <v>26</v>
      </c>
    </row>
    <row r="4042" spans="1:14" ht="15" customHeight="1" x14ac:dyDescent="0.3">
      <c r="A4042" s="18" t="s">
        <v>7570</v>
      </c>
      <c r="B4042" s="19" t="s">
        <v>15</v>
      </c>
      <c r="C4042" s="18" t="s">
        <v>210</v>
      </c>
      <c r="D4042" s="18" t="s">
        <v>116</v>
      </c>
      <c r="E4042" s="18" t="s">
        <v>74</v>
      </c>
      <c r="F4042" s="18" t="s">
        <v>7996</v>
      </c>
      <c r="G4042" s="18" t="s">
        <v>207</v>
      </c>
      <c r="H4042" s="18" t="s">
        <v>7977</v>
      </c>
      <c r="I4042" s="20" t="s">
        <v>7997</v>
      </c>
      <c r="J4042" s="18" t="s">
        <v>199</v>
      </c>
      <c r="K4042" s="18" t="s">
        <v>293</v>
      </c>
      <c r="L4042" s="18" t="s">
        <v>25</v>
      </c>
      <c r="N4042" s="18" t="s">
        <v>26</v>
      </c>
    </row>
    <row r="4043" spans="1:14" ht="15" customHeight="1" x14ac:dyDescent="0.3">
      <c r="A4043" s="18" t="s">
        <v>7570</v>
      </c>
      <c r="B4043" s="19" t="s">
        <v>15</v>
      </c>
      <c r="C4043" s="18" t="s">
        <v>7968</v>
      </c>
      <c r="D4043" s="18" t="s">
        <v>116</v>
      </c>
      <c r="E4043" s="18" t="s">
        <v>74</v>
      </c>
      <c r="F4043" s="18" t="s">
        <v>7998</v>
      </c>
      <c r="G4043" s="18" t="s">
        <v>564</v>
      </c>
      <c r="H4043" s="18" t="s">
        <v>7970</v>
      </c>
      <c r="I4043" s="20" t="s">
        <v>7999</v>
      </c>
      <c r="J4043" s="18" t="s">
        <v>8000</v>
      </c>
      <c r="K4043" s="18" t="s">
        <v>24</v>
      </c>
      <c r="L4043" s="18" t="s">
        <v>25</v>
      </c>
      <c r="N4043" s="18" t="s">
        <v>26</v>
      </c>
    </row>
    <row r="4044" spans="1:14" ht="15" customHeight="1" x14ac:dyDescent="0.3">
      <c r="A4044" s="18" t="s">
        <v>7570</v>
      </c>
      <c r="B4044" s="19" t="s">
        <v>15</v>
      </c>
      <c r="C4044" s="18" t="s">
        <v>7968</v>
      </c>
      <c r="D4044" s="18" t="s">
        <v>116</v>
      </c>
      <c r="E4044" s="18" t="s">
        <v>74</v>
      </c>
      <c r="F4044" s="18" t="s">
        <v>6663</v>
      </c>
      <c r="G4044" s="18" t="s">
        <v>41</v>
      </c>
      <c r="H4044" s="18" t="s">
        <v>7970</v>
      </c>
      <c r="I4044" s="20" t="s">
        <v>8001</v>
      </c>
      <c r="J4044" s="18" t="s">
        <v>8002</v>
      </c>
      <c r="K4044" s="18" t="s">
        <v>24</v>
      </c>
      <c r="L4044" s="18" t="s">
        <v>25</v>
      </c>
      <c r="N4044" s="18" t="s">
        <v>26</v>
      </c>
    </row>
    <row r="4045" spans="1:14" ht="15" customHeight="1" x14ac:dyDescent="0.3">
      <c r="A4045" s="18" t="s">
        <v>7570</v>
      </c>
      <c r="B4045" s="19" t="s">
        <v>15</v>
      </c>
      <c r="C4045" s="18" t="s">
        <v>210</v>
      </c>
      <c r="D4045" s="18" t="s">
        <v>116</v>
      </c>
      <c r="E4045" s="18" t="s">
        <v>74</v>
      </c>
      <c r="F4045" s="18" t="s">
        <v>8003</v>
      </c>
      <c r="G4045" s="18" t="s">
        <v>41</v>
      </c>
      <c r="H4045" s="18" t="s">
        <v>7974</v>
      </c>
      <c r="I4045" s="20" t="s">
        <v>8004</v>
      </c>
      <c r="J4045" s="18" t="s">
        <v>199</v>
      </c>
      <c r="K4045" s="18" t="s">
        <v>24</v>
      </c>
      <c r="L4045" s="18" t="s">
        <v>25</v>
      </c>
      <c r="N4045" s="18" t="s">
        <v>26</v>
      </c>
    </row>
    <row r="4046" spans="1:14" ht="15" customHeight="1" x14ac:dyDescent="0.3">
      <c r="A4046" s="18" t="s">
        <v>7570</v>
      </c>
      <c r="B4046" s="19" t="s">
        <v>15</v>
      </c>
      <c r="C4046" s="18" t="s">
        <v>7968</v>
      </c>
      <c r="D4046" s="18" t="s">
        <v>116</v>
      </c>
      <c r="E4046" s="18" t="s">
        <v>74</v>
      </c>
      <c r="F4046" s="18" t="s">
        <v>8005</v>
      </c>
      <c r="G4046" s="18" t="s">
        <v>47</v>
      </c>
      <c r="H4046" s="18" t="s">
        <v>7970</v>
      </c>
      <c r="I4046" s="20" t="s">
        <v>8006</v>
      </c>
      <c r="J4046" s="18" t="s">
        <v>8007</v>
      </c>
      <c r="K4046" s="18" t="s">
        <v>91</v>
      </c>
      <c r="L4046" s="18" t="s">
        <v>25</v>
      </c>
      <c r="N4046" s="18" t="s">
        <v>26</v>
      </c>
    </row>
    <row r="4047" spans="1:14" ht="15" customHeight="1" x14ac:dyDescent="0.3">
      <c r="A4047" s="18" t="s">
        <v>7570</v>
      </c>
      <c r="B4047" s="19" t="s">
        <v>15</v>
      </c>
      <c r="C4047" s="18" t="s">
        <v>210</v>
      </c>
      <c r="D4047" s="18" t="s">
        <v>116</v>
      </c>
      <c r="E4047" s="18" t="s">
        <v>74</v>
      </c>
      <c r="F4047" s="18" t="s">
        <v>8008</v>
      </c>
      <c r="G4047" s="18" t="s">
        <v>88</v>
      </c>
      <c r="H4047" s="18" t="s">
        <v>7974</v>
      </c>
      <c r="I4047" s="20" t="s">
        <v>8009</v>
      </c>
      <c r="J4047" s="18" t="s">
        <v>199</v>
      </c>
      <c r="K4047" s="18" t="s">
        <v>24</v>
      </c>
      <c r="L4047" s="18" t="s">
        <v>25</v>
      </c>
      <c r="N4047" s="18" t="s">
        <v>26</v>
      </c>
    </row>
    <row r="4048" spans="1:14" ht="15" customHeight="1" x14ac:dyDescent="0.3">
      <c r="A4048" s="18" t="s">
        <v>7570</v>
      </c>
      <c r="B4048" s="19" t="s">
        <v>15</v>
      </c>
      <c r="C4048" s="18" t="s">
        <v>210</v>
      </c>
      <c r="D4048" s="18" t="s">
        <v>116</v>
      </c>
      <c r="E4048" s="18" t="s">
        <v>74</v>
      </c>
      <c r="F4048" s="18" t="s">
        <v>8010</v>
      </c>
      <c r="G4048" s="18" t="s">
        <v>88</v>
      </c>
      <c r="H4048" s="18" t="s">
        <v>7974</v>
      </c>
      <c r="I4048" s="20" t="s">
        <v>8011</v>
      </c>
      <c r="J4048" s="18" t="s">
        <v>199</v>
      </c>
      <c r="K4048" s="18" t="s">
        <v>24</v>
      </c>
      <c r="L4048" s="18" t="s">
        <v>25</v>
      </c>
      <c r="N4048" s="18" t="s">
        <v>26</v>
      </c>
    </row>
    <row r="4049" spans="1:14" ht="15" customHeight="1" x14ac:dyDescent="0.3">
      <c r="A4049" s="18" t="s">
        <v>7570</v>
      </c>
      <c r="B4049" s="19" t="s">
        <v>15</v>
      </c>
      <c r="C4049" s="18" t="s">
        <v>210</v>
      </c>
      <c r="D4049" s="18" t="s">
        <v>116</v>
      </c>
      <c r="E4049" s="18" t="s">
        <v>74</v>
      </c>
      <c r="F4049" s="18" t="s">
        <v>8012</v>
      </c>
      <c r="G4049" s="18" t="s">
        <v>207</v>
      </c>
      <c r="H4049" s="18" t="s">
        <v>7974</v>
      </c>
      <c r="I4049" s="20" t="s">
        <v>8013</v>
      </c>
      <c r="J4049" s="18" t="s">
        <v>199</v>
      </c>
      <c r="K4049" s="18" t="s">
        <v>24</v>
      </c>
      <c r="L4049" s="18" t="s">
        <v>25</v>
      </c>
      <c r="N4049" s="18" t="s">
        <v>26</v>
      </c>
    </row>
    <row r="4050" spans="1:14" ht="15" customHeight="1" x14ac:dyDescent="0.3">
      <c r="A4050" s="18" t="s">
        <v>7570</v>
      </c>
      <c r="B4050" s="19" t="s">
        <v>15</v>
      </c>
      <c r="C4050" s="18" t="s">
        <v>210</v>
      </c>
      <c r="D4050" s="18" t="s">
        <v>116</v>
      </c>
      <c r="E4050" s="18" t="s">
        <v>74</v>
      </c>
      <c r="F4050" s="18" t="s">
        <v>8014</v>
      </c>
      <c r="G4050" s="18" t="s">
        <v>619</v>
      </c>
      <c r="H4050" s="18" t="s">
        <v>7993</v>
      </c>
      <c r="I4050" s="20" t="s">
        <v>8015</v>
      </c>
      <c r="J4050" s="18" t="s">
        <v>8016</v>
      </c>
      <c r="K4050" s="18" t="s">
        <v>293</v>
      </c>
      <c r="L4050" s="18" t="s">
        <v>25</v>
      </c>
      <c r="N4050" s="18" t="s">
        <v>26</v>
      </c>
    </row>
    <row r="4051" spans="1:14" ht="15" customHeight="1" x14ac:dyDescent="0.3">
      <c r="A4051" s="18" t="s">
        <v>7570</v>
      </c>
      <c r="B4051" s="19" t="s">
        <v>15</v>
      </c>
      <c r="C4051" s="18" t="s">
        <v>210</v>
      </c>
      <c r="D4051" s="18" t="s">
        <v>116</v>
      </c>
      <c r="E4051" s="18" t="s">
        <v>74</v>
      </c>
      <c r="F4051" s="18" t="s">
        <v>8017</v>
      </c>
      <c r="G4051" s="18" t="s">
        <v>619</v>
      </c>
      <c r="H4051" s="18" t="s">
        <v>7993</v>
      </c>
      <c r="I4051" s="20" t="s">
        <v>8018</v>
      </c>
      <c r="J4051" s="18" t="s">
        <v>7995</v>
      </c>
      <c r="K4051" s="18" t="s">
        <v>293</v>
      </c>
      <c r="L4051" s="18" t="s">
        <v>25</v>
      </c>
      <c r="N4051" s="18" t="s">
        <v>26</v>
      </c>
    </row>
    <row r="4052" spans="1:14" ht="15" customHeight="1" x14ac:dyDescent="0.3">
      <c r="A4052" s="18" t="s">
        <v>7570</v>
      </c>
      <c r="B4052" s="19" t="s">
        <v>15</v>
      </c>
      <c r="C4052" s="18" t="s">
        <v>210</v>
      </c>
      <c r="D4052" s="18" t="s">
        <v>116</v>
      </c>
      <c r="E4052" s="18" t="s">
        <v>74</v>
      </c>
      <c r="F4052" s="18" t="s">
        <v>3375</v>
      </c>
      <c r="G4052" s="18" t="s">
        <v>619</v>
      </c>
      <c r="H4052" s="18" t="s">
        <v>7993</v>
      </c>
      <c r="I4052" s="20" t="s">
        <v>8019</v>
      </c>
      <c r="J4052" s="18" t="s">
        <v>8020</v>
      </c>
      <c r="K4052" s="18" t="s">
        <v>24</v>
      </c>
      <c r="L4052" s="18" t="s">
        <v>25</v>
      </c>
      <c r="N4052" s="18" t="s">
        <v>26</v>
      </c>
    </row>
    <row r="4053" spans="1:14" ht="15" customHeight="1" x14ac:dyDescent="0.3">
      <c r="A4053" s="18" t="s">
        <v>7570</v>
      </c>
      <c r="B4053" s="19" t="s">
        <v>15</v>
      </c>
      <c r="C4053" s="18" t="s">
        <v>210</v>
      </c>
      <c r="D4053" s="18" t="s">
        <v>116</v>
      </c>
      <c r="E4053" s="18" t="s">
        <v>74</v>
      </c>
      <c r="F4053" s="18" t="s">
        <v>8021</v>
      </c>
      <c r="G4053" s="18" t="s">
        <v>619</v>
      </c>
      <c r="H4053" s="18" t="s">
        <v>7993</v>
      </c>
      <c r="I4053" s="20" t="s">
        <v>8022</v>
      </c>
      <c r="J4053" s="18" t="s">
        <v>8023</v>
      </c>
      <c r="K4053" s="18" t="s">
        <v>24</v>
      </c>
      <c r="L4053" s="18" t="s">
        <v>25</v>
      </c>
      <c r="N4053" s="18" t="s">
        <v>26</v>
      </c>
    </row>
    <row r="4054" spans="1:14" ht="15" customHeight="1" x14ac:dyDescent="0.3">
      <c r="A4054" s="18" t="s">
        <v>7570</v>
      </c>
      <c r="B4054" s="19" t="s">
        <v>15</v>
      </c>
      <c r="C4054" s="18" t="s">
        <v>210</v>
      </c>
      <c r="D4054" s="18" t="s">
        <v>116</v>
      </c>
      <c r="E4054" s="18" t="s">
        <v>74</v>
      </c>
      <c r="F4054" s="18" t="s">
        <v>8024</v>
      </c>
      <c r="G4054" s="18" t="s">
        <v>298</v>
      </c>
      <c r="H4054" s="18" t="s">
        <v>7977</v>
      </c>
      <c r="I4054" s="20" t="s">
        <v>8025</v>
      </c>
      <c r="J4054" s="18" t="s">
        <v>199</v>
      </c>
      <c r="K4054" s="18" t="s">
        <v>91</v>
      </c>
      <c r="L4054" s="18" t="s">
        <v>25</v>
      </c>
      <c r="N4054" s="18" t="s">
        <v>26</v>
      </c>
    </row>
    <row r="4055" spans="1:14" ht="15" customHeight="1" x14ac:dyDescent="0.3">
      <c r="A4055" s="18" t="s">
        <v>7570</v>
      </c>
      <c r="B4055" s="19" t="s">
        <v>15</v>
      </c>
      <c r="C4055" s="18" t="s">
        <v>210</v>
      </c>
      <c r="D4055" s="18" t="s">
        <v>116</v>
      </c>
      <c r="E4055" s="18" t="s">
        <v>74</v>
      </c>
      <c r="F4055" s="18" t="s">
        <v>8026</v>
      </c>
      <c r="G4055" s="18" t="s">
        <v>47</v>
      </c>
      <c r="H4055" s="18" t="s">
        <v>7974</v>
      </c>
      <c r="I4055" s="20" t="s">
        <v>8027</v>
      </c>
      <c r="J4055" s="18" t="s">
        <v>199</v>
      </c>
      <c r="K4055" s="18" t="s">
        <v>24</v>
      </c>
      <c r="L4055" s="18" t="s">
        <v>25</v>
      </c>
      <c r="N4055" s="18" t="s">
        <v>26</v>
      </c>
    </row>
    <row r="4056" spans="1:14" ht="15" customHeight="1" x14ac:dyDescent="0.3">
      <c r="A4056" s="18" t="s">
        <v>7570</v>
      </c>
      <c r="B4056" s="19" t="s">
        <v>15</v>
      </c>
      <c r="C4056" s="18" t="s">
        <v>210</v>
      </c>
      <c r="D4056" s="18" t="s">
        <v>116</v>
      </c>
      <c r="E4056" s="18" t="s">
        <v>74</v>
      </c>
      <c r="F4056" s="18" t="s">
        <v>8028</v>
      </c>
      <c r="G4056" s="18" t="s">
        <v>88</v>
      </c>
      <c r="H4056" s="18" t="s">
        <v>7974</v>
      </c>
      <c r="I4056" s="20" t="s">
        <v>8029</v>
      </c>
      <c r="J4056" s="18" t="s">
        <v>199</v>
      </c>
      <c r="K4056" s="18" t="s">
        <v>24</v>
      </c>
      <c r="L4056" s="18" t="s">
        <v>25</v>
      </c>
      <c r="N4056" s="18" t="s">
        <v>26</v>
      </c>
    </row>
    <row r="4057" spans="1:14" ht="15" customHeight="1" x14ac:dyDescent="0.3">
      <c r="A4057" s="18" t="s">
        <v>7570</v>
      </c>
      <c r="B4057" s="19" t="s">
        <v>15</v>
      </c>
      <c r="C4057" s="18" t="s">
        <v>210</v>
      </c>
      <c r="D4057" s="18" t="s">
        <v>116</v>
      </c>
      <c r="E4057" s="18" t="s">
        <v>74</v>
      </c>
      <c r="F4057" s="18" t="s">
        <v>8030</v>
      </c>
      <c r="G4057" s="18" t="s">
        <v>160</v>
      </c>
      <c r="H4057" s="18" t="s">
        <v>7977</v>
      </c>
      <c r="I4057" s="20" t="s">
        <v>8031</v>
      </c>
      <c r="J4057" s="18" t="s">
        <v>199</v>
      </c>
      <c r="K4057" s="18" t="s">
        <v>24</v>
      </c>
      <c r="L4057" s="18" t="s">
        <v>25</v>
      </c>
      <c r="N4057" s="18" t="s">
        <v>26</v>
      </c>
    </row>
    <row r="4058" spans="1:14" ht="15" customHeight="1" x14ac:dyDescent="0.3">
      <c r="A4058" s="18" t="s">
        <v>7570</v>
      </c>
      <c r="B4058" s="19" t="s">
        <v>15</v>
      </c>
      <c r="C4058" s="18" t="s">
        <v>210</v>
      </c>
      <c r="D4058" s="18" t="s">
        <v>116</v>
      </c>
      <c r="E4058" s="18" t="s">
        <v>74</v>
      </c>
      <c r="F4058" s="18" t="s">
        <v>8032</v>
      </c>
      <c r="G4058" s="18" t="s">
        <v>47</v>
      </c>
      <c r="H4058" s="18" t="s">
        <v>7974</v>
      </c>
      <c r="I4058" s="20" t="s">
        <v>8033</v>
      </c>
      <c r="J4058" s="18" t="s">
        <v>199</v>
      </c>
      <c r="K4058" s="18" t="s">
        <v>24</v>
      </c>
      <c r="L4058" s="18" t="s">
        <v>25</v>
      </c>
      <c r="N4058" s="18" t="s">
        <v>26</v>
      </c>
    </row>
    <row r="4059" spans="1:14" ht="15" customHeight="1" x14ac:dyDescent="0.3">
      <c r="A4059" s="18" t="s">
        <v>7570</v>
      </c>
      <c r="B4059" s="19" t="s">
        <v>15</v>
      </c>
      <c r="C4059" s="18" t="s">
        <v>210</v>
      </c>
      <c r="D4059" s="18" t="s">
        <v>116</v>
      </c>
      <c r="E4059" s="18" t="s">
        <v>74</v>
      </c>
      <c r="F4059" s="18" t="s">
        <v>8034</v>
      </c>
      <c r="G4059" s="18" t="s">
        <v>1753</v>
      </c>
      <c r="H4059" s="18" t="s">
        <v>7974</v>
      </c>
      <c r="I4059" s="20" t="s">
        <v>8035</v>
      </c>
      <c r="J4059" s="18" t="s">
        <v>199</v>
      </c>
      <c r="K4059" s="18" t="s">
        <v>24</v>
      </c>
      <c r="L4059" s="18" t="s">
        <v>25</v>
      </c>
      <c r="N4059" s="18" t="s">
        <v>26</v>
      </c>
    </row>
    <row r="4060" spans="1:14" ht="15" customHeight="1" x14ac:dyDescent="0.3">
      <c r="A4060" s="18" t="s">
        <v>7570</v>
      </c>
      <c r="B4060" s="19" t="s">
        <v>15</v>
      </c>
      <c r="C4060" s="18" t="s">
        <v>7968</v>
      </c>
      <c r="D4060" s="18" t="s">
        <v>116</v>
      </c>
      <c r="E4060" s="18" t="s">
        <v>74</v>
      </c>
      <c r="F4060" s="18" t="s">
        <v>2386</v>
      </c>
      <c r="G4060" s="18" t="s">
        <v>41</v>
      </c>
      <c r="H4060" s="18" t="s">
        <v>7970</v>
      </c>
      <c r="I4060" s="20" t="s">
        <v>8036</v>
      </c>
      <c r="J4060" s="18" t="s">
        <v>8037</v>
      </c>
      <c r="K4060" s="18" t="s">
        <v>24</v>
      </c>
      <c r="L4060" s="18" t="s">
        <v>25</v>
      </c>
      <c r="N4060" s="18" t="s">
        <v>26</v>
      </c>
    </row>
    <row r="4061" spans="1:14" ht="15" customHeight="1" x14ac:dyDescent="0.3">
      <c r="A4061" s="18" t="s">
        <v>7570</v>
      </c>
      <c r="B4061" s="19" t="s">
        <v>15</v>
      </c>
      <c r="C4061" s="18" t="s">
        <v>7968</v>
      </c>
      <c r="D4061" s="18" t="s">
        <v>116</v>
      </c>
      <c r="E4061" s="18" t="s">
        <v>74</v>
      </c>
      <c r="F4061" s="18" t="s">
        <v>8038</v>
      </c>
      <c r="G4061" s="18" t="s">
        <v>41</v>
      </c>
      <c r="H4061" s="18" t="s">
        <v>7970</v>
      </c>
      <c r="I4061" s="20" t="s">
        <v>8039</v>
      </c>
      <c r="J4061" s="18" t="s">
        <v>8040</v>
      </c>
      <c r="K4061" s="18" t="s">
        <v>24</v>
      </c>
      <c r="L4061" s="18" t="s">
        <v>25</v>
      </c>
      <c r="N4061" s="18" t="s">
        <v>26</v>
      </c>
    </row>
    <row r="4062" spans="1:14" ht="15" customHeight="1" x14ac:dyDescent="0.3">
      <c r="A4062" s="18" t="s">
        <v>7570</v>
      </c>
      <c r="B4062" s="19" t="s">
        <v>15</v>
      </c>
      <c r="C4062" s="18" t="s">
        <v>7968</v>
      </c>
      <c r="D4062" s="18" t="s">
        <v>116</v>
      </c>
      <c r="E4062" s="18" t="s">
        <v>74</v>
      </c>
      <c r="F4062" s="18" t="s">
        <v>8041</v>
      </c>
      <c r="G4062" s="18" t="s">
        <v>564</v>
      </c>
      <c r="H4062" s="18" t="s">
        <v>7970</v>
      </c>
      <c r="I4062" s="20" t="s">
        <v>8042</v>
      </c>
      <c r="J4062" s="18" t="s">
        <v>8043</v>
      </c>
      <c r="K4062" s="18" t="s">
        <v>91</v>
      </c>
      <c r="L4062" s="18" t="s">
        <v>25</v>
      </c>
      <c r="N4062" s="18" t="s">
        <v>26</v>
      </c>
    </row>
    <row r="4063" spans="1:14" ht="15" customHeight="1" x14ac:dyDescent="0.3">
      <c r="A4063" s="18" t="s">
        <v>7570</v>
      </c>
      <c r="B4063" s="19" t="s">
        <v>15</v>
      </c>
      <c r="C4063" s="18" t="s">
        <v>210</v>
      </c>
      <c r="D4063" s="18" t="s">
        <v>116</v>
      </c>
      <c r="E4063" s="18" t="s">
        <v>74</v>
      </c>
      <c r="F4063" s="18" t="s">
        <v>8044</v>
      </c>
      <c r="G4063" s="18" t="s">
        <v>47</v>
      </c>
      <c r="H4063" s="18" t="s">
        <v>7974</v>
      </c>
      <c r="I4063" s="20" t="s">
        <v>8045</v>
      </c>
      <c r="J4063" s="18" t="s">
        <v>199</v>
      </c>
      <c r="K4063" s="18" t="s">
        <v>24</v>
      </c>
      <c r="L4063" s="18" t="s">
        <v>25</v>
      </c>
      <c r="N4063" s="18" t="s">
        <v>26</v>
      </c>
    </row>
    <row r="4064" spans="1:14" ht="15" customHeight="1" x14ac:dyDescent="0.3">
      <c r="A4064" s="18" t="s">
        <v>7570</v>
      </c>
      <c r="B4064" s="19" t="s">
        <v>15</v>
      </c>
      <c r="C4064" s="18" t="s">
        <v>210</v>
      </c>
      <c r="D4064" s="18" t="s">
        <v>116</v>
      </c>
      <c r="E4064" s="18" t="s">
        <v>74</v>
      </c>
      <c r="F4064" s="18" t="s">
        <v>8046</v>
      </c>
      <c r="G4064" s="18" t="s">
        <v>1059</v>
      </c>
      <c r="H4064" s="18" t="s">
        <v>7974</v>
      </c>
      <c r="I4064" s="20" t="s">
        <v>8047</v>
      </c>
      <c r="J4064" s="18" t="s">
        <v>199</v>
      </c>
      <c r="K4064" s="18" t="s">
        <v>24</v>
      </c>
      <c r="L4064" s="18" t="s">
        <v>25</v>
      </c>
      <c r="N4064" s="18" t="s">
        <v>26</v>
      </c>
    </row>
    <row r="4065" spans="1:14" ht="15" customHeight="1" x14ac:dyDescent="0.3">
      <c r="A4065" s="18" t="s">
        <v>7570</v>
      </c>
      <c r="B4065" s="19" t="s">
        <v>15</v>
      </c>
      <c r="C4065" s="18" t="s">
        <v>7968</v>
      </c>
      <c r="D4065" s="18" t="s">
        <v>116</v>
      </c>
      <c r="E4065" s="18" t="s">
        <v>74</v>
      </c>
      <c r="F4065" s="18" t="s">
        <v>8048</v>
      </c>
      <c r="G4065" s="18" t="s">
        <v>41</v>
      </c>
      <c r="H4065" s="18" t="s">
        <v>7970</v>
      </c>
      <c r="I4065" s="20" t="s">
        <v>8049</v>
      </c>
      <c r="J4065" s="18" t="s">
        <v>8050</v>
      </c>
      <c r="K4065" s="18" t="s">
        <v>91</v>
      </c>
      <c r="L4065" s="18" t="s">
        <v>25</v>
      </c>
      <c r="N4065" s="18" t="s">
        <v>26</v>
      </c>
    </row>
    <row r="4066" spans="1:14" ht="15" customHeight="1" x14ac:dyDescent="0.3">
      <c r="A4066" s="18" t="s">
        <v>7570</v>
      </c>
      <c r="B4066" s="19" t="s">
        <v>15</v>
      </c>
      <c r="C4066" s="18" t="s">
        <v>7968</v>
      </c>
      <c r="D4066" s="18" t="s">
        <v>116</v>
      </c>
      <c r="E4066" s="18" t="s">
        <v>74</v>
      </c>
      <c r="F4066" s="18" t="s">
        <v>8051</v>
      </c>
      <c r="G4066" s="18" t="s">
        <v>41</v>
      </c>
      <c r="H4066" s="18" t="s">
        <v>7970</v>
      </c>
      <c r="I4066" s="20" t="s">
        <v>8052</v>
      </c>
      <c r="J4066" s="18" t="s">
        <v>8053</v>
      </c>
      <c r="K4066" s="18" t="s">
        <v>91</v>
      </c>
      <c r="L4066" s="18" t="s">
        <v>25</v>
      </c>
      <c r="N4066" s="18" t="s">
        <v>26</v>
      </c>
    </row>
    <row r="4067" spans="1:14" ht="15" customHeight="1" x14ac:dyDescent="0.3">
      <c r="A4067" s="18" t="s">
        <v>7570</v>
      </c>
      <c r="B4067" s="19" t="s">
        <v>15</v>
      </c>
      <c r="C4067" s="18" t="s">
        <v>210</v>
      </c>
      <c r="D4067" s="18" t="s">
        <v>116</v>
      </c>
      <c r="E4067" s="18" t="s">
        <v>74</v>
      </c>
      <c r="F4067" s="18" t="s">
        <v>7835</v>
      </c>
      <c r="G4067" s="18" t="s">
        <v>41</v>
      </c>
      <c r="H4067" s="18" t="s">
        <v>7974</v>
      </c>
      <c r="I4067" s="20" t="s">
        <v>8054</v>
      </c>
      <c r="J4067" s="18" t="s">
        <v>199</v>
      </c>
      <c r="K4067" s="18" t="s">
        <v>24</v>
      </c>
      <c r="L4067" s="18" t="s">
        <v>25</v>
      </c>
      <c r="N4067" s="18" t="s">
        <v>26</v>
      </c>
    </row>
    <row r="4068" spans="1:14" ht="15" customHeight="1" x14ac:dyDescent="0.3">
      <c r="A4068" s="18" t="s">
        <v>7570</v>
      </c>
      <c r="B4068" s="19" t="s">
        <v>15</v>
      </c>
      <c r="C4068" s="18" t="s">
        <v>210</v>
      </c>
      <c r="D4068" s="18" t="s">
        <v>116</v>
      </c>
      <c r="E4068" s="18" t="s">
        <v>74</v>
      </c>
      <c r="F4068" s="18" t="s">
        <v>8055</v>
      </c>
      <c r="G4068" s="18" t="s">
        <v>47</v>
      </c>
      <c r="H4068" s="18" t="s">
        <v>7974</v>
      </c>
      <c r="I4068" s="20" t="s">
        <v>8056</v>
      </c>
      <c r="J4068" s="18" t="s">
        <v>199</v>
      </c>
      <c r="K4068" s="18" t="s">
        <v>24</v>
      </c>
      <c r="L4068" s="18" t="s">
        <v>25</v>
      </c>
      <c r="N4068" s="18" t="s">
        <v>26</v>
      </c>
    </row>
    <row r="4069" spans="1:14" ht="15" customHeight="1" x14ac:dyDescent="0.3">
      <c r="A4069" s="18" t="s">
        <v>7570</v>
      </c>
      <c r="B4069" s="19" t="s">
        <v>15</v>
      </c>
      <c r="C4069" s="18" t="s">
        <v>210</v>
      </c>
      <c r="D4069" s="18" t="s">
        <v>116</v>
      </c>
      <c r="E4069" s="18" t="s">
        <v>74</v>
      </c>
      <c r="F4069" s="18" t="s">
        <v>8057</v>
      </c>
      <c r="G4069" s="18" t="s">
        <v>564</v>
      </c>
      <c r="H4069" s="18" t="s">
        <v>7974</v>
      </c>
      <c r="I4069" s="20" t="s">
        <v>8058</v>
      </c>
      <c r="J4069" s="18" t="s">
        <v>199</v>
      </c>
      <c r="K4069" s="18" t="s">
        <v>24</v>
      </c>
      <c r="L4069" s="18" t="s">
        <v>25</v>
      </c>
      <c r="N4069" s="18" t="s">
        <v>26</v>
      </c>
    </row>
    <row r="4070" spans="1:14" ht="15" customHeight="1" x14ac:dyDescent="0.3">
      <c r="A4070" s="18" t="s">
        <v>7570</v>
      </c>
      <c r="B4070" s="19" t="s">
        <v>15</v>
      </c>
      <c r="C4070" s="18" t="s">
        <v>7968</v>
      </c>
      <c r="D4070" s="18" t="s">
        <v>116</v>
      </c>
      <c r="E4070" s="18" t="s">
        <v>74</v>
      </c>
      <c r="F4070" s="18" t="s">
        <v>6687</v>
      </c>
      <c r="G4070" s="18" t="s">
        <v>41</v>
      </c>
      <c r="H4070" s="18" t="s">
        <v>7970</v>
      </c>
      <c r="I4070" s="20" t="s">
        <v>8059</v>
      </c>
      <c r="J4070" s="18" t="s">
        <v>8060</v>
      </c>
      <c r="K4070" s="18" t="s">
        <v>24</v>
      </c>
      <c r="L4070" s="18" t="s">
        <v>25</v>
      </c>
      <c r="N4070" s="18" t="s">
        <v>26</v>
      </c>
    </row>
    <row r="4071" spans="1:14" ht="15" customHeight="1" x14ac:dyDescent="0.3">
      <c r="A4071" s="18" t="s">
        <v>7570</v>
      </c>
      <c r="B4071" s="19" t="s">
        <v>15</v>
      </c>
      <c r="C4071" s="18" t="s">
        <v>7968</v>
      </c>
      <c r="D4071" s="18" t="s">
        <v>116</v>
      </c>
      <c r="E4071" s="18" t="s">
        <v>74</v>
      </c>
      <c r="F4071" s="18" t="s">
        <v>8061</v>
      </c>
      <c r="G4071" s="18" t="s">
        <v>41</v>
      </c>
      <c r="H4071" s="18" t="s">
        <v>7970</v>
      </c>
      <c r="I4071" s="20" t="s">
        <v>8062</v>
      </c>
      <c r="J4071" s="18" t="s">
        <v>8063</v>
      </c>
      <c r="K4071" s="18" t="s">
        <v>91</v>
      </c>
      <c r="L4071" s="18" t="s">
        <v>25</v>
      </c>
      <c r="N4071" s="18" t="s">
        <v>26</v>
      </c>
    </row>
    <row r="4072" spans="1:14" ht="15" customHeight="1" x14ac:dyDescent="0.3">
      <c r="A4072" s="18" t="s">
        <v>7570</v>
      </c>
      <c r="B4072" s="19" t="s">
        <v>15</v>
      </c>
      <c r="C4072" s="18" t="s">
        <v>604</v>
      </c>
      <c r="D4072" s="18" t="s">
        <v>116</v>
      </c>
      <c r="E4072" s="18" t="s">
        <v>74</v>
      </c>
      <c r="F4072" s="18" t="s">
        <v>8064</v>
      </c>
      <c r="G4072" s="18" t="s">
        <v>606</v>
      </c>
      <c r="H4072" s="18" t="s">
        <v>7982</v>
      </c>
      <c r="I4072" s="20" t="s">
        <v>8065</v>
      </c>
      <c r="J4072" s="18" t="s">
        <v>199</v>
      </c>
      <c r="K4072" s="18" t="s">
        <v>91</v>
      </c>
      <c r="L4072" s="18" t="s">
        <v>25</v>
      </c>
      <c r="N4072" s="18" t="s">
        <v>26</v>
      </c>
    </row>
    <row r="4073" spans="1:14" ht="15" customHeight="1" x14ac:dyDescent="0.3">
      <c r="A4073" s="18" t="s">
        <v>7570</v>
      </c>
      <c r="B4073" s="19" t="s">
        <v>15</v>
      </c>
      <c r="C4073" s="18" t="s">
        <v>210</v>
      </c>
      <c r="D4073" s="18" t="s">
        <v>116</v>
      </c>
      <c r="E4073" s="18" t="s">
        <v>74</v>
      </c>
      <c r="F4073" s="18" t="s">
        <v>8066</v>
      </c>
      <c r="G4073" s="18" t="s">
        <v>88</v>
      </c>
      <c r="H4073" s="18" t="s">
        <v>7974</v>
      </c>
      <c r="I4073" s="20" t="s">
        <v>8067</v>
      </c>
      <c r="J4073" s="18" t="s">
        <v>199</v>
      </c>
      <c r="K4073" s="18" t="s">
        <v>24</v>
      </c>
      <c r="L4073" s="18" t="s">
        <v>25</v>
      </c>
      <c r="N4073" s="18" t="s">
        <v>26</v>
      </c>
    </row>
    <row r="4074" spans="1:14" ht="15" customHeight="1" x14ac:dyDescent="0.3">
      <c r="A4074" s="18" t="s">
        <v>7570</v>
      </c>
      <c r="B4074" s="19" t="s">
        <v>15</v>
      </c>
      <c r="C4074" s="18" t="s">
        <v>7968</v>
      </c>
      <c r="D4074" s="18" t="s">
        <v>116</v>
      </c>
      <c r="E4074" s="18" t="s">
        <v>74</v>
      </c>
      <c r="F4074" s="18" t="s">
        <v>8068</v>
      </c>
      <c r="G4074" s="18" t="s">
        <v>41</v>
      </c>
      <c r="H4074" s="18" t="s">
        <v>7970</v>
      </c>
      <c r="I4074" s="20" t="s">
        <v>8069</v>
      </c>
      <c r="J4074" s="18" t="s">
        <v>8070</v>
      </c>
      <c r="K4074" s="18" t="s">
        <v>24</v>
      </c>
      <c r="L4074" s="18" t="s">
        <v>25</v>
      </c>
      <c r="N4074" s="18" t="s">
        <v>26</v>
      </c>
    </row>
    <row r="4075" spans="1:14" ht="15" customHeight="1" x14ac:dyDescent="0.3">
      <c r="A4075" s="18" t="s">
        <v>7570</v>
      </c>
      <c r="B4075" s="19" t="s">
        <v>15</v>
      </c>
      <c r="C4075" s="18" t="s">
        <v>7968</v>
      </c>
      <c r="D4075" s="18" t="s">
        <v>116</v>
      </c>
      <c r="E4075" s="18" t="s">
        <v>74</v>
      </c>
      <c r="F4075" s="18" t="s">
        <v>8071</v>
      </c>
      <c r="G4075" s="18" t="s">
        <v>41</v>
      </c>
      <c r="H4075" s="18" t="s">
        <v>7970</v>
      </c>
      <c r="I4075" s="20" t="s">
        <v>8072</v>
      </c>
      <c r="J4075" s="18" t="s">
        <v>8073</v>
      </c>
      <c r="K4075" s="18" t="s">
        <v>91</v>
      </c>
      <c r="L4075" s="18" t="s">
        <v>25</v>
      </c>
      <c r="N4075" s="18" t="s">
        <v>26</v>
      </c>
    </row>
    <row r="4076" spans="1:14" ht="15" customHeight="1" x14ac:dyDescent="0.3">
      <c r="A4076" s="18" t="s">
        <v>7570</v>
      </c>
      <c r="B4076" s="19" t="s">
        <v>15</v>
      </c>
      <c r="C4076" s="18" t="s">
        <v>210</v>
      </c>
      <c r="D4076" s="18" t="s">
        <v>116</v>
      </c>
      <c r="E4076" s="18" t="s">
        <v>74</v>
      </c>
      <c r="F4076" s="18" t="s">
        <v>8074</v>
      </c>
      <c r="G4076" s="18" t="s">
        <v>207</v>
      </c>
      <c r="H4076" s="18" t="s">
        <v>7974</v>
      </c>
      <c r="I4076" s="20" t="s">
        <v>8075</v>
      </c>
      <c r="J4076" s="18" t="s">
        <v>199</v>
      </c>
      <c r="K4076" s="18" t="s">
        <v>24</v>
      </c>
      <c r="L4076" s="18" t="s">
        <v>25</v>
      </c>
      <c r="N4076" s="18" t="s">
        <v>26</v>
      </c>
    </row>
    <row r="4077" spans="1:14" ht="15" customHeight="1" x14ac:dyDescent="0.3">
      <c r="A4077" s="18" t="s">
        <v>7570</v>
      </c>
      <c r="B4077" s="19" t="s">
        <v>15</v>
      </c>
      <c r="C4077" s="18" t="s">
        <v>7968</v>
      </c>
      <c r="D4077" s="18" t="s">
        <v>116</v>
      </c>
      <c r="E4077" s="18" t="s">
        <v>74</v>
      </c>
      <c r="F4077" s="18" t="s">
        <v>8076</v>
      </c>
      <c r="G4077" s="18" t="s">
        <v>207</v>
      </c>
      <c r="H4077" s="18" t="s">
        <v>7970</v>
      </c>
      <c r="I4077" s="20" t="s">
        <v>8077</v>
      </c>
      <c r="J4077" s="18" t="s">
        <v>8070</v>
      </c>
      <c r="K4077" s="18" t="s">
        <v>24</v>
      </c>
      <c r="L4077" s="18" t="s">
        <v>25</v>
      </c>
      <c r="N4077" s="18" t="s">
        <v>26</v>
      </c>
    </row>
    <row r="4078" spans="1:14" ht="15" customHeight="1" x14ac:dyDescent="0.3">
      <c r="A4078" s="18" t="s">
        <v>7570</v>
      </c>
      <c r="B4078" s="19" t="s">
        <v>15</v>
      </c>
      <c r="C4078" s="18" t="s">
        <v>210</v>
      </c>
      <c r="D4078" s="18" t="s">
        <v>116</v>
      </c>
      <c r="E4078" s="18" t="s">
        <v>74</v>
      </c>
      <c r="F4078" s="18" t="s">
        <v>8078</v>
      </c>
      <c r="G4078" s="18" t="s">
        <v>564</v>
      </c>
      <c r="H4078" s="18" t="s">
        <v>7974</v>
      </c>
      <c r="I4078" s="20" t="s">
        <v>8079</v>
      </c>
      <c r="J4078" s="18" t="s">
        <v>199</v>
      </c>
      <c r="K4078" s="18" t="s">
        <v>24</v>
      </c>
      <c r="L4078" s="18" t="s">
        <v>25</v>
      </c>
      <c r="N4078" s="18" t="s">
        <v>26</v>
      </c>
    </row>
    <row r="4079" spans="1:14" ht="15" customHeight="1" x14ac:dyDescent="0.3">
      <c r="A4079" s="18" t="s">
        <v>7570</v>
      </c>
      <c r="B4079" s="19" t="s">
        <v>15</v>
      </c>
      <c r="C4079" s="18" t="s">
        <v>210</v>
      </c>
      <c r="D4079" s="18" t="s">
        <v>116</v>
      </c>
      <c r="E4079" s="18" t="s">
        <v>74</v>
      </c>
      <c r="F4079" s="18" t="s">
        <v>8080</v>
      </c>
      <c r="G4079" s="18" t="s">
        <v>165</v>
      </c>
      <c r="H4079" s="18" t="s">
        <v>7977</v>
      </c>
      <c r="I4079" s="20" t="s">
        <v>8081</v>
      </c>
      <c r="J4079" s="18" t="s">
        <v>199</v>
      </c>
      <c r="K4079" s="18" t="s">
        <v>24</v>
      </c>
      <c r="L4079" s="18" t="s">
        <v>25</v>
      </c>
      <c r="N4079" s="18" t="s">
        <v>26</v>
      </c>
    </row>
    <row r="4080" spans="1:14" ht="15" customHeight="1" x14ac:dyDescent="0.3">
      <c r="A4080" s="18" t="s">
        <v>7570</v>
      </c>
      <c r="B4080" s="19" t="s">
        <v>15</v>
      </c>
      <c r="C4080" s="18" t="s">
        <v>210</v>
      </c>
      <c r="D4080" s="18" t="s">
        <v>116</v>
      </c>
      <c r="E4080" s="18" t="s">
        <v>74</v>
      </c>
      <c r="F4080" s="18" t="s">
        <v>8082</v>
      </c>
      <c r="G4080" s="18" t="s">
        <v>1059</v>
      </c>
      <c r="H4080" s="18" t="s">
        <v>7977</v>
      </c>
      <c r="I4080" s="20" t="s">
        <v>8083</v>
      </c>
      <c r="J4080" s="18" t="s">
        <v>199</v>
      </c>
      <c r="K4080" s="18" t="s">
        <v>293</v>
      </c>
      <c r="L4080" s="18" t="s">
        <v>25</v>
      </c>
      <c r="N4080" s="18" t="s">
        <v>26</v>
      </c>
    </row>
    <row r="4081" spans="1:14" ht="15" customHeight="1" x14ac:dyDescent="0.3">
      <c r="A4081" s="18" t="s">
        <v>7570</v>
      </c>
      <c r="B4081" s="19" t="s">
        <v>15</v>
      </c>
      <c r="C4081" s="18" t="s">
        <v>7968</v>
      </c>
      <c r="D4081" s="18" t="s">
        <v>116</v>
      </c>
      <c r="E4081" s="18" t="s">
        <v>74</v>
      </c>
      <c r="F4081" s="18" t="s">
        <v>8084</v>
      </c>
      <c r="G4081" s="18" t="s">
        <v>207</v>
      </c>
      <c r="H4081" s="18" t="s">
        <v>7970</v>
      </c>
      <c r="I4081" s="20" t="s">
        <v>8085</v>
      </c>
      <c r="J4081" s="18" t="s">
        <v>8086</v>
      </c>
      <c r="K4081" s="18" t="s">
        <v>91</v>
      </c>
      <c r="L4081" s="18" t="s">
        <v>25</v>
      </c>
      <c r="N4081" s="18" t="s">
        <v>26</v>
      </c>
    </row>
    <row r="4082" spans="1:14" ht="15" customHeight="1" x14ac:dyDescent="0.3">
      <c r="A4082" s="18" t="s">
        <v>7570</v>
      </c>
      <c r="B4082" s="19" t="s">
        <v>15</v>
      </c>
      <c r="C4082" s="18" t="s">
        <v>210</v>
      </c>
      <c r="D4082" s="18" t="s">
        <v>116</v>
      </c>
      <c r="E4082" s="18" t="s">
        <v>74</v>
      </c>
      <c r="F4082" s="18" t="s">
        <v>8087</v>
      </c>
      <c r="G4082" s="18" t="s">
        <v>88</v>
      </c>
      <c r="H4082" s="18" t="s">
        <v>7974</v>
      </c>
      <c r="I4082" s="20" t="s">
        <v>8088</v>
      </c>
      <c r="J4082" s="18" t="s">
        <v>199</v>
      </c>
      <c r="K4082" s="18" t="s">
        <v>24</v>
      </c>
      <c r="L4082" s="18" t="s">
        <v>25</v>
      </c>
      <c r="N4082" s="18" t="s">
        <v>26</v>
      </c>
    </row>
    <row r="4083" spans="1:14" ht="15" customHeight="1" x14ac:dyDescent="0.3">
      <c r="A4083" s="18" t="s">
        <v>7570</v>
      </c>
      <c r="B4083" s="19" t="s">
        <v>15</v>
      </c>
      <c r="C4083" s="18" t="s">
        <v>604</v>
      </c>
      <c r="D4083" s="18" t="s">
        <v>116</v>
      </c>
      <c r="E4083" s="18" t="s">
        <v>74</v>
      </c>
      <c r="F4083" s="18" t="s">
        <v>8089</v>
      </c>
      <c r="G4083" s="18" t="s">
        <v>913</v>
      </c>
      <c r="H4083" s="18" t="s">
        <v>7982</v>
      </c>
      <c r="I4083" s="20" t="s">
        <v>8090</v>
      </c>
      <c r="J4083" s="18" t="s">
        <v>199</v>
      </c>
      <c r="K4083" s="18" t="s">
        <v>24</v>
      </c>
      <c r="L4083" s="18" t="s">
        <v>25</v>
      </c>
      <c r="N4083" s="18" t="s">
        <v>26</v>
      </c>
    </row>
    <row r="4084" spans="1:14" ht="15" customHeight="1" x14ac:dyDescent="0.3">
      <c r="A4084" s="18" t="s">
        <v>7570</v>
      </c>
      <c r="B4084" s="19" t="s">
        <v>15</v>
      </c>
      <c r="C4084" s="18" t="s">
        <v>604</v>
      </c>
      <c r="D4084" s="18" t="s">
        <v>116</v>
      </c>
      <c r="E4084" s="18" t="s">
        <v>74</v>
      </c>
      <c r="F4084" s="18" t="s">
        <v>8091</v>
      </c>
      <c r="G4084" s="18" t="s">
        <v>913</v>
      </c>
      <c r="H4084" s="18" t="s">
        <v>7982</v>
      </c>
      <c r="I4084" s="20" t="s">
        <v>8092</v>
      </c>
      <c r="J4084" s="18" t="s">
        <v>199</v>
      </c>
      <c r="K4084" s="18" t="s">
        <v>24</v>
      </c>
      <c r="L4084" s="18" t="s">
        <v>25</v>
      </c>
      <c r="N4084" s="18" t="s">
        <v>26</v>
      </c>
    </row>
    <row r="4085" spans="1:14" ht="15" customHeight="1" x14ac:dyDescent="0.3">
      <c r="A4085" s="18" t="s">
        <v>7570</v>
      </c>
      <c r="B4085" s="19" t="s">
        <v>15</v>
      </c>
      <c r="C4085" s="18" t="s">
        <v>210</v>
      </c>
      <c r="D4085" s="18" t="s">
        <v>116</v>
      </c>
      <c r="E4085" s="18" t="s">
        <v>74</v>
      </c>
      <c r="F4085" s="18" t="s">
        <v>1612</v>
      </c>
      <c r="G4085" s="18" t="s">
        <v>47</v>
      </c>
      <c r="H4085" s="18" t="s">
        <v>7974</v>
      </c>
      <c r="I4085" s="20" t="s">
        <v>8093</v>
      </c>
      <c r="J4085" s="18" t="s">
        <v>199</v>
      </c>
      <c r="K4085" s="18" t="s">
        <v>24</v>
      </c>
      <c r="L4085" s="18" t="s">
        <v>25</v>
      </c>
      <c r="N4085" s="18" t="s">
        <v>26</v>
      </c>
    </row>
    <row r="4086" spans="1:14" ht="15" customHeight="1" x14ac:dyDescent="0.3">
      <c r="A4086" s="18" t="s">
        <v>8094</v>
      </c>
      <c r="B4086" s="19" t="s">
        <v>15</v>
      </c>
      <c r="C4086" s="18" t="s">
        <v>149</v>
      </c>
      <c r="D4086" s="18" t="s">
        <v>17</v>
      </c>
      <c r="E4086" s="18" t="s">
        <v>18</v>
      </c>
      <c r="F4086" s="18" t="s">
        <v>619</v>
      </c>
      <c r="G4086" s="18" t="s">
        <v>619</v>
      </c>
      <c r="H4086" s="18" t="s">
        <v>8095</v>
      </c>
      <c r="I4086" s="20" t="s">
        <v>8096</v>
      </c>
      <c r="J4086" s="18" t="s">
        <v>23</v>
      </c>
      <c r="K4086" s="18" t="s">
        <v>24</v>
      </c>
      <c r="L4086" s="18" t="s">
        <v>25</v>
      </c>
      <c r="N4086" s="18" t="s">
        <v>154</v>
      </c>
    </row>
    <row r="4087" spans="1:14" ht="15" customHeight="1" x14ac:dyDescent="0.3">
      <c r="A4087" s="18" t="s">
        <v>8094</v>
      </c>
      <c r="B4087" s="19" t="s">
        <v>15</v>
      </c>
      <c r="C4087" s="18" t="s">
        <v>149</v>
      </c>
      <c r="D4087" s="18" t="s">
        <v>17</v>
      </c>
      <c r="E4087" s="18" t="s">
        <v>18</v>
      </c>
      <c r="F4087" s="18" t="s">
        <v>2287</v>
      </c>
      <c r="G4087" s="18" t="s">
        <v>629</v>
      </c>
      <c r="H4087" s="18" t="s">
        <v>8095</v>
      </c>
      <c r="I4087" s="20" t="s">
        <v>8097</v>
      </c>
      <c r="J4087" s="18" t="s">
        <v>30</v>
      </c>
      <c r="K4087" s="18" t="s">
        <v>24</v>
      </c>
      <c r="L4087" s="18" t="s">
        <v>25</v>
      </c>
      <c r="N4087" s="18" t="s">
        <v>154</v>
      </c>
    </row>
    <row r="4088" spans="1:14" ht="15" customHeight="1" x14ac:dyDescent="0.3">
      <c r="A4088" s="18" t="s">
        <v>8094</v>
      </c>
      <c r="B4088" s="19" t="s">
        <v>15</v>
      </c>
      <c r="C4088" s="18" t="s">
        <v>149</v>
      </c>
      <c r="D4088" s="18" t="s">
        <v>17</v>
      </c>
      <c r="E4088" s="18" t="s">
        <v>18</v>
      </c>
      <c r="F4088" s="18" t="s">
        <v>1069</v>
      </c>
      <c r="G4088" s="18" t="s">
        <v>1069</v>
      </c>
      <c r="H4088" s="18" t="s">
        <v>8098</v>
      </c>
      <c r="I4088" s="20" t="s">
        <v>8099</v>
      </c>
      <c r="J4088" s="18" t="s">
        <v>30</v>
      </c>
      <c r="K4088" s="18" t="s">
        <v>24</v>
      </c>
      <c r="L4088" s="18" t="s">
        <v>25</v>
      </c>
      <c r="N4088" s="18" t="s">
        <v>154</v>
      </c>
    </row>
    <row r="4089" spans="1:14" ht="15" customHeight="1" x14ac:dyDescent="0.3">
      <c r="A4089" s="18" t="s">
        <v>8094</v>
      </c>
      <c r="B4089" s="19" t="s">
        <v>15</v>
      </c>
      <c r="C4089" s="18" t="s">
        <v>149</v>
      </c>
      <c r="D4089" s="18" t="s">
        <v>17</v>
      </c>
      <c r="E4089" s="18" t="s">
        <v>18</v>
      </c>
      <c r="F4089" s="18" t="s">
        <v>356</v>
      </c>
      <c r="G4089" s="18" t="s">
        <v>273</v>
      </c>
      <c r="H4089" s="18" t="s">
        <v>8095</v>
      </c>
      <c r="I4089" s="20" t="s">
        <v>8100</v>
      </c>
      <c r="J4089" s="18" t="s">
        <v>30</v>
      </c>
      <c r="K4089" s="18" t="s">
        <v>24</v>
      </c>
      <c r="L4089" s="18" t="s">
        <v>25</v>
      </c>
      <c r="N4089" s="18" t="s">
        <v>154</v>
      </c>
    </row>
    <row r="4090" spans="1:14" ht="15" customHeight="1" x14ac:dyDescent="0.3">
      <c r="A4090" s="18" t="s">
        <v>8094</v>
      </c>
      <c r="B4090" s="19" t="s">
        <v>15</v>
      </c>
      <c r="C4090" s="18" t="s">
        <v>149</v>
      </c>
      <c r="D4090" s="18" t="s">
        <v>17</v>
      </c>
      <c r="E4090" s="18" t="s">
        <v>18</v>
      </c>
      <c r="F4090" s="18" t="s">
        <v>1072</v>
      </c>
      <c r="G4090" s="18" t="s">
        <v>47</v>
      </c>
      <c r="H4090" s="18" t="s">
        <v>8095</v>
      </c>
      <c r="I4090" s="20" t="s">
        <v>8101</v>
      </c>
      <c r="J4090" s="18" t="s">
        <v>30</v>
      </c>
      <c r="K4090" s="18" t="s">
        <v>24</v>
      </c>
      <c r="L4090" s="18" t="s">
        <v>25</v>
      </c>
      <c r="N4090" s="18" t="s">
        <v>154</v>
      </c>
    </row>
    <row r="4091" spans="1:14" ht="15" customHeight="1" x14ac:dyDescent="0.3">
      <c r="A4091" s="18" t="s">
        <v>8094</v>
      </c>
      <c r="B4091" s="19" t="s">
        <v>15</v>
      </c>
      <c r="C4091" s="18" t="s">
        <v>149</v>
      </c>
      <c r="D4091" s="18" t="s">
        <v>17</v>
      </c>
      <c r="E4091" s="18" t="s">
        <v>18</v>
      </c>
      <c r="F4091" s="18" t="s">
        <v>1253</v>
      </c>
      <c r="G4091" s="18" t="s">
        <v>1254</v>
      </c>
      <c r="H4091" s="18" t="s">
        <v>8095</v>
      </c>
      <c r="I4091" s="20" t="s">
        <v>8102</v>
      </c>
      <c r="J4091" s="18" t="s">
        <v>30</v>
      </c>
      <c r="K4091" s="18" t="s">
        <v>24</v>
      </c>
      <c r="L4091" s="18" t="s">
        <v>25</v>
      </c>
      <c r="N4091" s="18" t="s">
        <v>154</v>
      </c>
    </row>
    <row r="4092" spans="1:14" ht="15" customHeight="1" x14ac:dyDescent="0.3">
      <c r="A4092" s="18" t="s">
        <v>8094</v>
      </c>
      <c r="B4092" s="19" t="s">
        <v>15</v>
      </c>
      <c r="C4092" s="18" t="s">
        <v>149</v>
      </c>
      <c r="D4092" s="18" t="s">
        <v>17</v>
      </c>
      <c r="E4092" s="18" t="s">
        <v>18</v>
      </c>
      <c r="F4092" s="18" t="s">
        <v>40</v>
      </c>
      <c r="G4092" s="18" t="s">
        <v>41</v>
      </c>
      <c r="H4092" s="18" t="s">
        <v>8095</v>
      </c>
      <c r="I4092" s="20" t="s">
        <v>8103</v>
      </c>
      <c r="J4092" s="18" t="s">
        <v>30</v>
      </c>
      <c r="K4092" s="18" t="s">
        <v>24</v>
      </c>
      <c r="L4092" s="18" t="s">
        <v>25</v>
      </c>
      <c r="N4092" s="18" t="s">
        <v>154</v>
      </c>
    </row>
    <row r="4093" spans="1:14" ht="15" customHeight="1" x14ac:dyDescent="0.3">
      <c r="A4093" s="18" t="s">
        <v>8094</v>
      </c>
      <c r="B4093" s="19" t="s">
        <v>15</v>
      </c>
      <c r="C4093" s="18" t="s">
        <v>149</v>
      </c>
      <c r="D4093" s="18" t="s">
        <v>17</v>
      </c>
      <c r="E4093" s="18" t="s">
        <v>18</v>
      </c>
      <c r="F4093" s="18" t="s">
        <v>8104</v>
      </c>
      <c r="G4093" s="18" t="s">
        <v>629</v>
      </c>
      <c r="H4093" s="18" t="s">
        <v>8095</v>
      </c>
      <c r="I4093" s="20" t="s">
        <v>8105</v>
      </c>
      <c r="J4093" s="18" t="s">
        <v>30</v>
      </c>
      <c r="K4093" s="18" t="s">
        <v>24</v>
      </c>
      <c r="L4093" s="18" t="s">
        <v>25</v>
      </c>
      <c r="N4093" s="18" t="s">
        <v>154</v>
      </c>
    </row>
    <row r="4094" spans="1:14" ht="15" customHeight="1" x14ac:dyDescent="0.3">
      <c r="A4094" s="18" t="s">
        <v>8094</v>
      </c>
      <c r="B4094" s="19" t="s">
        <v>15</v>
      </c>
      <c r="C4094" s="18" t="s">
        <v>149</v>
      </c>
      <c r="D4094" s="18" t="s">
        <v>17</v>
      </c>
      <c r="E4094" s="18" t="s">
        <v>18</v>
      </c>
      <c r="F4094" s="18" t="s">
        <v>4029</v>
      </c>
      <c r="G4094" s="18" t="s">
        <v>41</v>
      </c>
      <c r="H4094" s="18" t="s">
        <v>8095</v>
      </c>
      <c r="I4094" s="20" t="s">
        <v>8106</v>
      </c>
      <c r="J4094" s="18" t="s">
        <v>30</v>
      </c>
      <c r="K4094" s="18" t="s">
        <v>24</v>
      </c>
      <c r="L4094" s="18" t="s">
        <v>25</v>
      </c>
      <c r="N4094" s="18" t="s">
        <v>154</v>
      </c>
    </row>
    <row r="4095" spans="1:14" ht="15" customHeight="1" x14ac:dyDescent="0.3">
      <c r="A4095" s="18" t="s">
        <v>8094</v>
      </c>
      <c r="B4095" s="19" t="s">
        <v>15</v>
      </c>
      <c r="C4095" s="18" t="s">
        <v>149</v>
      </c>
      <c r="D4095" s="18" t="s">
        <v>17</v>
      </c>
      <c r="E4095" s="18" t="s">
        <v>18</v>
      </c>
      <c r="F4095" s="18" t="s">
        <v>1832</v>
      </c>
      <c r="G4095" s="18" t="s">
        <v>207</v>
      </c>
      <c r="H4095" s="18" t="s">
        <v>8095</v>
      </c>
      <c r="I4095" s="20" t="s">
        <v>8107</v>
      </c>
      <c r="J4095" s="18" t="s">
        <v>30</v>
      </c>
      <c r="K4095" s="18" t="s">
        <v>24</v>
      </c>
      <c r="L4095" s="18" t="s">
        <v>25</v>
      </c>
      <c r="N4095" s="18" t="s">
        <v>154</v>
      </c>
    </row>
    <row r="4096" spans="1:14" ht="15" customHeight="1" x14ac:dyDescent="0.3">
      <c r="A4096" s="18" t="s">
        <v>8094</v>
      </c>
      <c r="B4096" s="19" t="s">
        <v>15</v>
      </c>
      <c r="C4096" s="18" t="s">
        <v>149</v>
      </c>
      <c r="D4096" s="18" t="s">
        <v>17</v>
      </c>
      <c r="E4096" s="18" t="s">
        <v>18</v>
      </c>
      <c r="F4096" s="18" t="s">
        <v>8108</v>
      </c>
      <c r="G4096" s="18" t="s">
        <v>1291</v>
      </c>
      <c r="H4096" s="18" t="s">
        <v>8095</v>
      </c>
      <c r="I4096" s="20" t="s">
        <v>8109</v>
      </c>
      <c r="J4096" s="18" t="s">
        <v>30</v>
      </c>
      <c r="K4096" s="18" t="s">
        <v>24</v>
      </c>
      <c r="L4096" s="18" t="s">
        <v>25</v>
      </c>
      <c r="N4096" s="18" t="s">
        <v>154</v>
      </c>
    </row>
    <row r="4097" spans="1:14" ht="15" customHeight="1" x14ac:dyDescent="0.3">
      <c r="A4097" s="18" t="s">
        <v>8094</v>
      </c>
      <c r="B4097" s="19" t="s">
        <v>15</v>
      </c>
      <c r="C4097" s="18" t="s">
        <v>149</v>
      </c>
      <c r="D4097" s="18" t="s">
        <v>17</v>
      </c>
      <c r="E4097" s="18" t="s">
        <v>18</v>
      </c>
      <c r="F4097" s="18" t="s">
        <v>340</v>
      </c>
      <c r="G4097" s="18" t="s">
        <v>340</v>
      </c>
      <c r="H4097" s="18" t="s">
        <v>8095</v>
      </c>
      <c r="I4097" s="20" t="s">
        <v>8110</v>
      </c>
      <c r="J4097" s="18" t="s">
        <v>30</v>
      </c>
      <c r="K4097" s="18" t="s">
        <v>24</v>
      </c>
      <c r="L4097" s="18" t="s">
        <v>25</v>
      </c>
      <c r="N4097" s="18" t="s">
        <v>154</v>
      </c>
    </row>
    <row r="4098" spans="1:14" ht="15" customHeight="1" x14ac:dyDescent="0.3">
      <c r="A4098" s="18" t="s">
        <v>8094</v>
      </c>
      <c r="B4098" s="19" t="s">
        <v>15</v>
      </c>
      <c r="C4098" s="18" t="s">
        <v>149</v>
      </c>
      <c r="D4098" s="18" t="s">
        <v>17</v>
      </c>
      <c r="E4098" s="18" t="s">
        <v>18</v>
      </c>
      <c r="F4098" s="18" t="s">
        <v>6339</v>
      </c>
      <c r="G4098" s="18" t="s">
        <v>1059</v>
      </c>
      <c r="H4098" s="18" t="s">
        <v>8095</v>
      </c>
      <c r="I4098" s="20" t="s">
        <v>8111</v>
      </c>
      <c r="J4098" s="18" t="s">
        <v>30</v>
      </c>
      <c r="K4098" s="18" t="s">
        <v>24</v>
      </c>
      <c r="L4098" s="18" t="s">
        <v>25</v>
      </c>
      <c r="N4098" s="18" t="s">
        <v>154</v>
      </c>
    </row>
    <row r="4099" spans="1:14" ht="15" customHeight="1" x14ac:dyDescent="0.3">
      <c r="A4099" s="18" t="s">
        <v>8094</v>
      </c>
      <c r="B4099" s="19" t="s">
        <v>15</v>
      </c>
      <c r="C4099" s="18" t="s">
        <v>149</v>
      </c>
      <c r="D4099" s="18" t="s">
        <v>17</v>
      </c>
      <c r="E4099" s="18" t="s">
        <v>18</v>
      </c>
      <c r="F4099" s="18" t="s">
        <v>8112</v>
      </c>
      <c r="G4099" s="18" t="s">
        <v>41</v>
      </c>
      <c r="H4099" s="18" t="s">
        <v>8095</v>
      </c>
      <c r="I4099" s="20" t="s">
        <v>8113</v>
      </c>
      <c r="J4099" s="18" t="s">
        <v>30</v>
      </c>
      <c r="K4099" s="18" t="s">
        <v>24</v>
      </c>
      <c r="L4099" s="18" t="s">
        <v>25</v>
      </c>
      <c r="N4099" s="18" t="s">
        <v>154</v>
      </c>
    </row>
    <row r="4100" spans="1:14" ht="15" customHeight="1" x14ac:dyDescent="0.3">
      <c r="A4100" s="18" t="s">
        <v>8094</v>
      </c>
      <c r="B4100" s="19" t="s">
        <v>15</v>
      </c>
      <c r="C4100" s="18" t="s">
        <v>149</v>
      </c>
      <c r="D4100" s="18" t="s">
        <v>17</v>
      </c>
      <c r="E4100" s="18" t="s">
        <v>18</v>
      </c>
      <c r="F4100" s="18" t="s">
        <v>2027</v>
      </c>
      <c r="G4100" s="18" t="s">
        <v>619</v>
      </c>
      <c r="H4100" s="18" t="s">
        <v>8095</v>
      </c>
      <c r="I4100" s="20" t="s">
        <v>8114</v>
      </c>
      <c r="J4100" s="18" t="s">
        <v>30</v>
      </c>
      <c r="K4100" s="18" t="s">
        <v>24</v>
      </c>
      <c r="L4100" s="18" t="s">
        <v>25</v>
      </c>
      <c r="N4100" s="18" t="s">
        <v>154</v>
      </c>
    </row>
    <row r="4101" spans="1:14" ht="15" customHeight="1" x14ac:dyDescent="0.3">
      <c r="A4101" s="18" t="s">
        <v>8094</v>
      </c>
      <c r="B4101" s="19" t="s">
        <v>15</v>
      </c>
      <c r="C4101" s="18" t="s">
        <v>149</v>
      </c>
      <c r="D4101" s="18" t="s">
        <v>17</v>
      </c>
      <c r="E4101" s="18" t="s">
        <v>18</v>
      </c>
      <c r="F4101" s="18" t="s">
        <v>537</v>
      </c>
      <c r="G4101" s="18" t="s">
        <v>537</v>
      </c>
      <c r="H4101" s="18" t="s">
        <v>8095</v>
      </c>
      <c r="I4101" s="20" t="s">
        <v>8115</v>
      </c>
      <c r="J4101" s="18" t="s">
        <v>30</v>
      </c>
      <c r="K4101" s="18" t="s">
        <v>24</v>
      </c>
      <c r="L4101" s="18" t="s">
        <v>25</v>
      </c>
      <c r="N4101" s="18" t="s">
        <v>154</v>
      </c>
    </row>
    <row r="4102" spans="1:14" ht="15" customHeight="1" x14ac:dyDescent="0.3">
      <c r="A4102" s="18" t="s">
        <v>8094</v>
      </c>
      <c r="B4102" s="19" t="s">
        <v>15</v>
      </c>
      <c r="C4102" s="18" t="s">
        <v>149</v>
      </c>
      <c r="D4102" s="18" t="s">
        <v>17</v>
      </c>
      <c r="E4102" s="18" t="s">
        <v>55</v>
      </c>
      <c r="F4102" s="18" t="s">
        <v>8116</v>
      </c>
      <c r="G4102" s="18" t="s">
        <v>41</v>
      </c>
      <c r="H4102" s="18" t="s">
        <v>8117</v>
      </c>
      <c r="I4102" s="20" t="s">
        <v>8118</v>
      </c>
      <c r="J4102" s="18" t="s">
        <v>58</v>
      </c>
      <c r="K4102" s="18" t="s">
        <v>24</v>
      </c>
      <c r="L4102" s="18" t="s">
        <v>25</v>
      </c>
      <c r="M4102" s="18" t="s">
        <v>39</v>
      </c>
      <c r="N4102" s="18" t="s">
        <v>154</v>
      </c>
    </row>
    <row r="4103" spans="1:14" ht="15" customHeight="1" x14ac:dyDescent="0.3">
      <c r="A4103" s="18" t="s">
        <v>8094</v>
      </c>
      <c r="B4103" s="19" t="s">
        <v>15</v>
      </c>
      <c r="C4103" s="18" t="s">
        <v>149</v>
      </c>
      <c r="D4103" s="18" t="s">
        <v>17</v>
      </c>
      <c r="E4103" s="18" t="s">
        <v>55</v>
      </c>
      <c r="F4103" s="18" t="s">
        <v>8119</v>
      </c>
      <c r="G4103" s="18" t="s">
        <v>619</v>
      </c>
      <c r="H4103" s="18" t="s">
        <v>3813</v>
      </c>
      <c r="I4103" s="20" t="s">
        <v>8120</v>
      </c>
      <c r="J4103" s="18" t="s">
        <v>58</v>
      </c>
      <c r="K4103" s="18" t="s">
        <v>24</v>
      </c>
      <c r="L4103" s="18" t="s">
        <v>25</v>
      </c>
      <c r="N4103" s="18" t="s">
        <v>154</v>
      </c>
    </row>
    <row r="4104" spans="1:14" ht="15" customHeight="1" x14ac:dyDescent="0.3">
      <c r="A4104" s="18" t="s">
        <v>8094</v>
      </c>
      <c r="B4104" s="19" t="s">
        <v>15</v>
      </c>
      <c r="C4104" s="18" t="s">
        <v>149</v>
      </c>
      <c r="D4104" s="18" t="s">
        <v>17</v>
      </c>
      <c r="E4104" s="18" t="s">
        <v>55</v>
      </c>
      <c r="F4104" s="18" t="s">
        <v>1061</v>
      </c>
      <c r="G4104" s="18" t="s">
        <v>47</v>
      </c>
      <c r="H4104" s="18" t="s">
        <v>8121</v>
      </c>
      <c r="I4104" s="20" t="s">
        <v>8122</v>
      </c>
      <c r="J4104" s="18" t="s">
        <v>58</v>
      </c>
      <c r="K4104" s="18" t="s">
        <v>24</v>
      </c>
      <c r="L4104" s="18" t="s">
        <v>25</v>
      </c>
      <c r="N4104" s="18" t="s">
        <v>154</v>
      </c>
    </row>
    <row r="4105" spans="1:14" ht="15" customHeight="1" x14ac:dyDescent="0.3">
      <c r="A4105" s="18" t="s">
        <v>8094</v>
      </c>
      <c r="B4105" s="19" t="s">
        <v>15</v>
      </c>
      <c r="C4105" s="18" t="s">
        <v>149</v>
      </c>
      <c r="D4105" s="18" t="s">
        <v>17</v>
      </c>
      <c r="E4105" s="18" t="s">
        <v>55</v>
      </c>
      <c r="F4105" s="18" t="s">
        <v>8123</v>
      </c>
      <c r="G4105" s="18" t="s">
        <v>273</v>
      </c>
      <c r="H4105" s="18" t="s">
        <v>8124</v>
      </c>
      <c r="I4105" s="20" t="s">
        <v>8125</v>
      </c>
      <c r="J4105" s="18" t="s">
        <v>58</v>
      </c>
      <c r="K4105" s="18" t="s">
        <v>24</v>
      </c>
      <c r="L4105" s="18" t="s">
        <v>25</v>
      </c>
      <c r="N4105" s="18" t="s">
        <v>154</v>
      </c>
    </row>
    <row r="4106" spans="1:14" ht="15" customHeight="1" x14ac:dyDescent="0.3">
      <c r="A4106" s="18" t="s">
        <v>8094</v>
      </c>
      <c r="B4106" s="19" t="s">
        <v>15</v>
      </c>
      <c r="C4106" s="18" t="s">
        <v>149</v>
      </c>
      <c r="D4106" s="18" t="s">
        <v>17</v>
      </c>
      <c r="E4106" s="18" t="s">
        <v>55</v>
      </c>
      <c r="F4106" s="18" t="s">
        <v>619</v>
      </c>
      <c r="G4106" s="18" t="s">
        <v>619</v>
      </c>
      <c r="H4106" s="18" t="s">
        <v>3813</v>
      </c>
      <c r="I4106" s="20" t="s">
        <v>8126</v>
      </c>
      <c r="J4106" s="18" t="s">
        <v>58</v>
      </c>
      <c r="K4106" s="18" t="s">
        <v>24</v>
      </c>
      <c r="L4106" s="18" t="s">
        <v>25</v>
      </c>
      <c r="N4106" s="18" t="s">
        <v>154</v>
      </c>
    </row>
    <row r="4107" spans="1:14" ht="15" customHeight="1" x14ac:dyDescent="0.3">
      <c r="A4107" s="18" t="s">
        <v>8094</v>
      </c>
      <c r="B4107" s="19" t="s">
        <v>15</v>
      </c>
      <c r="C4107" s="18" t="s">
        <v>149</v>
      </c>
      <c r="D4107" s="18" t="s">
        <v>17</v>
      </c>
      <c r="E4107" s="18" t="s">
        <v>55</v>
      </c>
      <c r="F4107" s="18" t="s">
        <v>8127</v>
      </c>
      <c r="G4107" s="18" t="s">
        <v>619</v>
      </c>
      <c r="H4107" s="18" t="s">
        <v>3813</v>
      </c>
      <c r="I4107" s="20" t="s">
        <v>8128</v>
      </c>
      <c r="J4107" s="18" t="s">
        <v>58</v>
      </c>
      <c r="K4107" s="18" t="s">
        <v>24</v>
      </c>
      <c r="L4107" s="18" t="s">
        <v>25</v>
      </c>
      <c r="N4107" s="18" t="s">
        <v>154</v>
      </c>
    </row>
    <row r="4108" spans="1:14" ht="15" customHeight="1" x14ac:dyDescent="0.3">
      <c r="A4108" s="18" t="s">
        <v>8094</v>
      </c>
      <c r="B4108" s="19" t="s">
        <v>15</v>
      </c>
      <c r="C4108" s="18" t="s">
        <v>149</v>
      </c>
      <c r="D4108" s="18" t="s">
        <v>17</v>
      </c>
      <c r="E4108" s="18" t="s">
        <v>55</v>
      </c>
      <c r="F4108" s="18" t="s">
        <v>8129</v>
      </c>
      <c r="G4108" s="18" t="s">
        <v>1075</v>
      </c>
      <c r="H4108" s="18" t="s">
        <v>8121</v>
      </c>
      <c r="I4108" s="20" t="s">
        <v>8130</v>
      </c>
      <c r="J4108" s="18" t="s">
        <v>58</v>
      </c>
      <c r="K4108" s="18" t="s">
        <v>24</v>
      </c>
      <c r="L4108" s="18" t="s">
        <v>25</v>
      </c>
      <c r="N4108" s="18" t="s">
        <v>154</v>
      </c>
    </row>
    <row r="4109" spans="1:14" ht="15" customHeight="1" x14ac:dyDescent="0.3">
      <c r="A4109" s="18" t="s">
        <v>8094</v>
      </c>
      <c r="B4109" s="19" t="s">
        <v>15</v>
      </c>
      <c r="C4109" s="18" t="s">
        <v>149</v>
      </c>
      <c r="D4109" s="18" t="s">
        <v>17</v>
      </c>
      <c r="E4109" s="18" t="s">
        <v>55</v>
      </c>
      <c r="F4109" s="18" t="s">
        <v>40</v>
      </c>
      <c r="G4109" s="18" t="s">
        <v>41</v>
      </c>
      <c r="H4109" s="18" t="s">
        <v>8131</v>
      </c>
      <c r="I4109" s="20" t="s">
        <v>8132</v>
      </c>
      <c r="J4109" s="18" t="s">
        <v>58</v>
      </c>
      <c r="K4109" s="18" t="s">
        <v>24</v>
      </c>
      <c r="L4109" s="18" t="s">
        <v>25</v>
      </c>
      <c r="N4109" s="18" t="s">
        <v>154</v>
      </c>
    </row>
    <row r="4110" spans="1:14" ht="15" customHeight="1" x14ac:dyDescent="0.3">
      <c r="A4110" s="18" t="s">
        <v>8094</v>
      </c>
      <c r="B4110" s="19" t="s">
        <v>15</v>
      </c>
      <c r="C4110" s="18" t="s">
        <v>149</v>
      </c>
      <c r="D4110" s="18" t="s">
        <v>17</v>
      </c>
      <c r="E4110" s="18" t="s">
        <v>55</v>
      </c>
      <c r="F4110" s="18" t="s">
        <v>8133</v>
      </c>
      <c r="G4110" s="18" t="s">
        <v>273</v>
      </c>
      <c r="H4110" s="18" t="s">
        <v>8117</v>
      </c>
      <c r="I4110" s="20" t="s">
        <v>8134</v>
      </c>
      <c r="J4110" s="18" t="s">
        <v>58</v>
      </c>
      <c r="K4110" s="18" t="s">
        <v>24</v>
      </c>
      <c r="L4110" s="18" t="s">
        <v>25</v>
      </c>
      <c r="N4110" s="18" t="s">
        <v>154</v>
      </c>
    </row>
    <row r="4111" spans="1:14" ht="15" customHeight="1" x14ac:dyDescent="0.3">
      <c r="A4111" s="18" t="s">
        <v>8094</v>
      </c>
      <c r="B4111" s="19" t="s">
        <v>15</v>
      </c>
      <c r="C4111" s="18" t="s">
        <v>149</v>
      </c>
      <c r="D4111" s="18" t="s">
        <v>17</v>
      </c>
      <c r="E4111" s="18" t="s">
        <v>55</v>
      </c>
      <c r="F4111" s="18" t="s">
        <v>8135</v>
      </c>
      <c r="G4111" s="18" t="s">
        <v>207</v>
      </c>
      <c r="H4111" s="18" t="s">
        <v>8136</v>
      </c>
      <c r="I4111" s="20" t="s">
        <v>8137</v>
      </c>
      <c r="J4111" s="18" t="s">
        <v>58</v>
      </c>
      <c r="K4111" s="18" t="s">
        <v>24</v>
      </c>
      <c r="L4111" s="18" t="s">
        <v>25</v>
      </c>
      <c r="N4111" s="18" t="s">
        <v>154</v>
      </c>
    </row>
    <row r="4112" spans="1:14" ht="15" customHeight="1" x14ac:dyDescent="0.3">
      <c r="A4112" s="18" t="s">
        <v>8094</v>
      </c>
      <c r="B4112" s="19" t="s">
        <v>15</v>
      </c>
      <c r="C4112" s="18" t="s">
        <v>149</v>
      </c>
      <c r="D4112" s="18" t="s">
        <v>17</v>
      </c>
      <c r="E4112" s="18" t="s">
        <v>55</v>
      </c>
      <c r="F4112" s="18" t="s">
        <v>655</v>
      </c>
      <c r="G4112" s="18" t="s">
        <v>340</v>
      </c>
      <c r="H4112" s="18" t="s">
        <v>8138</v>
      </c>
      <c r="I4112" s="20" t="s">
        <v>8139</v>
      </c>
      <c r="J4112" s="18" t="s">
        <v>58</v>
      </c>
      <c r="K4112" s="18" t="s">
        <v>24</v>
      </c>
      <c r="L4112" s="18" t="s">
        <v>25</v>
      </c>
      <c r="N4112" s="18" t="s">
        <v>154</v>
      </c>
    </row>
    <row r="4113" spans="1:14" ht="15" customHeight="1" x14ac:dyDescent="0.3">
      <c r="A4113" s="18" t="s">
        <v>8094</v>
      </c>
      <c r="B4113" s="19" t="s">
        <v>15</v>
      </c>
      <c r="C4113" s="18" t="s">
        <v>149</v>
      </c>
      <c r="D4113" s="18" t="s">
        <v>17</v>
      </c>
      <c r="E4113" s="18" t="s">
        <v>55</v>
      </c>
      <c r="F4113" s="18" t="s">
        <v>8140</v>
      </c>
      <c r="G4113" s="18" t="s">
        <v>1059</v>
      </c>
      <c r="H4113" s="18" t="s">
        <v>8141</v>
      </c>
      <c r="I4113" s="20" t="s">
        <v>8142</v>
      </c>
      <c r="J4113" s="18" t="s">
        <v>58</v>
      </c>
      <c r="K4113" s="18" t="s">
        <v>24</v>
      </c>
      <c r="L4113" s="18" t="s">
        <v>25</v>
      </c>
      <c r="N4113" s="18" t="s">
        <v>154</v>
      </c>
    </row>
    <row r="4114" spans="1:14" ht="15" customHeight="1" x14ac:dyDescent="0.3">
      <c r="A4114" s="18" t="s">
        <v>8094</v>
      </c>
      <c r="B4114" s="19" t="s">
        <v>15</v>
      </c>
      <c r="C4114" s="18" t="s">
        <v>149</v>
      </c>
      <c r="D4114" s="18" t="s">
        <v>17</v>
      </c>
      <c r="E4114" s="18" t="s">
        <v>55</v>
      </c>
      <c r="F4114" s="18" t="s">
        <v>8143</v>
      </c>
      <c r="G4114" s="18" t="s">
        <v>537</v>
      </c>
      <c r="H4114" s="18" t="s">
        <v>8144</v>
      </c>
      <c r="I4114" s="20" t="s">
        <v>8145</v>
      </c>
      <c r="J4114" s="18" t="s">
        <v>58</v>
      </c>
      <c r="K4114" s="18" t="s">
        <v>24</v>
      </c>
      <c r="L4114" s="18" t="s">
        <v>25</v>
      </c>
      <c r="N4114" s="18" t="s">
        <v>154</v>
      </c>
    </row>
    <row r="4115" spans="1:14" ht="15" customHeight="1" x14ac:dyDescent="0.3">
      <c r="A4115" s="18" t="s">
        <v>8094</v>
      </c>
      <c r="B4115" s="19" t="s">
        <v>15</v>
      </c>
      <c r="C4115" s="18" t="s">
        <v>149</v>
      </c>
      <c r="D4115" s="18" t="s">
        <v>17</v>
      </c>
      <c r="E4115" s="18" t="s">
        <v>171</v>
      </c>
      <c r="F4115" s="18" t="s">
        <v>173</v>
      </c>
      <c r="G4115" s="18" t="s">
        <v>173</v>
      </c>
      <c r="H4115" s="18" t="s">
        <v>8146</v>
      </c>
      <c r="I4115" s="20" t="s">
        <v>8147</v>
      </c>
      <c r="J4115" s="18" t="s">
        <v>175</v>
      </c>
      <c r="K4115" s="18" t="s">
        <v>24</v>
      </c>
      <c r="L4115" s="18" t="s">
        <v>25</v>
      </c>
      <c r="N4115" s="18" t="s">
        <v>154</v>
      </c>
    </row>
    <row r="4116" spans="1:14" ht="15" customHeight="1" x14ac:dyDescent="0.3">
      <c r="A4116" s="18" t="s">
        <v>8094</v>
      </c>
      <c r="B4116" s="19" t="s">
        <v>15</v>
      </c>
      <c r="C4116" s="18" t="s">
        <v>149</v>
      </c>
      <c r="D4116" s="18" t="s">
        <v>17</v>
      </c>
      <c r="E4116" s="18" t="s">
        <v>74</v>
      </c>
      <c r="F4116" s="18" t="s">
        <v>8148</v>
      </c>
      <c r="G4116" s="18" t="s">
        <v>619</v>
      </c>
      <c r="H4116" s="18" t="s">
        <v>8149</v>
      </c>
      <c r="I4116" s="20" t="s">
        <v>8150</v>
      </c>
      <c r="J4116" s="18" t="s">
        <v>435</v>
      </c>
      <c r="K4116" s="18" t="s">
        <v>91</v>
      </c>
      <c r="L4116" s="18" t="s">
        <v>25</v>
      </c>
      <c r="N4116" s="18" t="s">
        <v>154</v>
      </c>
    </row>
    <row r="4117" spans="1:14" ht="15" customHeight="1" x14ac:dyDescent="0.3">
      <c r="A4117" s="18" t="s">
        <v>8094</v>
      </c>
      <c r="B4117" s="19" t="s">
        <v>15</v>
      </c>
      <c r="C4117" s="18" t="s">
        <v>149</v>
      </c>
      <c r="D4117" s="18" t="s">
        <v>17</v>
      </c>
      <c r="E4117" s="18" t="s">
        <v>74</v>
      </c>
      <c r="F4117" s="18" t="s">
        <v>8151</v>
      </c>
      <c r="G4117" s="18" t="s">
        <v>433</v>
      </c>
      <c r="H4117" s="18" t="s">
        <v>8152</v>
      </c>
      <c r="I4117" s="20" t="s">
        <v>8153</v>
      </c>
      <c r="J4117" s="18" t="s">
        <v>8154</v>
      </c>
      <c r="K4117" s="18" t="s">
        <v>293</v>
      </c>
      <c r="L4117" s="18" t="s">
        <v>25</v>
      </c>
      <c r="N4117" s="18" t="s">
        <v>154</v>
      </c>
    </row>
    <row r="4118" spans="1:14" ht="15" customHeight="1" x14ac:dyDescent="0.3">
      <c r="A4118" s="18" t="s">
        <v>8094</v>
      </c>
      <c r="B4118" s="19" t="s">
        <v>15</v>
      </c>
      <c r="C4118" s="18" t="s">
        <v>149</v>
      </c>
      <c r="D4118" s="18" t="s">
        <v>17</v>
      </c>
      <c r="E4118" s="18" t="s">
        <v>74</v>
      </c>
      <c r="F4118" s="18" t="s">
        <v>8155</v>
      </c>
      <c r="G4118" s="18" t="s">
        <v>207</v>
      </c>
      <c r="H4118" s="18" t="s">
        <v>8152</v>
      </c>
      <c r="I4118" s="20" t="s">
        <v>8156</v>
      </c>
      <c r="J4118" s="18" t="s">
        <v>8157</v>
      </c>
      <c r="K4118" s="18" t="s">
        <v>293</v>
      </c>
      <c r="L4118" s="18" t="s">
        <v>25</v>
      </c>
      <c r="N4118" s="18" t="s">
        <v>154</v>
      </c>
    </row>
    <row r="4119" spans="1:14" ht="15" customHeight="1" x14ac:dyDescent="0.3">
      <c r="A4119" s="18" t="s">
        <v>8158</v>
      </c>
      <c r="B4119" s="19" t="s">
        <v>15</v>
      </c>
      <c r="C4119" s="18" t="s">
        <v>804</v>
      </c>
      <c r="D4119" s="18" t="s">
        <v>116</v>
      </c>
      <c r="E4119" s="18" t="s">
        <v>18</v>
      </c>
      <c r="F4119" s="18" t="s">
        <v>1237</v>
      </c>
      <c r="G4119" s="18" t="s">
        <v>606</v>
      </c>
      <c r="H4119" s="18" t="s">
        <v>8159</v>
      </c>
      <c r="I4119" s="20" t="s">
        <v>8160</v>
      </c>
      <c r="J4119" s="18" t="s">
        <v>30</v>
      </c>
      <c r="K4119" s="18" t="s">
        <v>24</v>
      </c>
      <c r="L4119" s="18" t="s">
        <v>25</v>
      </c>
      <c r="N4119" s="18" t="s">
        <v>807</v>
      </c>
    </row>
    <row r="4120" spans="1:14" ht="15" customHeight="1" x14ac:dyDescent="0.3">
      <c r="A4120" s="18" t="s">
        <v>8158</v>
      </c>
      <c r="B4120" s="19" t="s">
        <v>15</v>
      </c>
      <c r="C4120" s="18" t="s">
        <v>804</v>
      </c>
      <c r="D4120" s="18" t="s">
        <v>116</v>
      </c>
      <c r="E4120" s="18" t="s">
        <v>18</v>
      </c>
      <c r="F4120" s="18" t="s">
        <v>7265</v>
      </c>
      <c r="G4120" s="18" t="s">
        <v>606</v>
      </c>
      <c r="H4120" s="18" t="s">
        <v>8159</v>
      </c>
      <c r="I4120" s="20" t="s">
        <v>8161</v>
      </c>
      <c r="J4120" s="18" t="s">
        <v>30</v>
      </c>
      <c r="K4120" s="18" t="s">
        <v>24</v>
      </c>
      <c r="L4120" s="18" t="s">
        <v>25</v>
      </c>
      <c r="N4120" s="18" t="s">
        <v>807</v>
      </c>
    </row>
    <row r="4121" spans="1:14" ht="15" customHeight="1" x14ac:dyDescent="0.3">
      <c r="A4121" s="18" t="s">
        <v>8158</v>
      </c>
      <c r="B4121" s="19" t="s">
        <v>15</v>
      </c>
      <c r="C4121" s="18" t="s">
        <v>804</v>
      </c>
      <c r="D4121" s="18" t="s">
        <v>116</v>
      </c>
      <c r="E4121" s="18" t="s">
        <v>18</v>
      </c>
      <c r="F4121" s="18" t="s">
        <v>2743</v>
      </c>
      <c r="G4121" s="18" t="s">
        <v>606</v>
      </c>
      <c r="H4121" s="18" t="s">
        <v>8159</v>
      </c>
      <c r="I4121" s="20" t="s">
        <v>8162</v>
      </c>
      <c r="J4121" s="18" t="s">
        <v>30</v>
      </c>
      <c r="K4121" s="18" t="s">
        <v>24</v>
      </c>
      <c r="L4121" s="18" t="s">
        <v>25</v>
      </c>
      <c r="N4121" s="18" t="s">
        <v>807</v>
      </c>
    </row>
    <row r="4122" spans="1:14" ht="15" customHeight="1" x14ac:dyDescent="0.3">
      <c r="A4122" s="18" t="s">
        <v>8158</v>
      </c>
      <c r="B4122" s="19" t="s">
        <v>15</v>
      </c>
      <c r="C4122" s="18" t="s">
        <v>804</v>
      </c>
      <c r="D4122" s="18" t="s">
        <v>116</v>
      </c>
      <c r="E4122" s="18" t="s">
        <v>18</v>
      </c>
      <c r="F4122" s="18" t="s">
        <v>8163</v>
      </c>
      <c r="G4122" s="18" t="s">
        <v>1211</v>
      </c>
      <c r="H4122" s="18" t="s">
        <v>8164</v>
      </c>
      <c r="I4122" s="20" t="s">
        <v>8165</v>
      </c>
      <c r="J4122" s="18" t="s">
        <v>30</v>
      </c>
      <c r="K4122" s="18" t="s">
        <v>24</v>
      </c>
      <c r="L4122" s="18" t="s">
        <v>25</v>
      </c>
      <c r="N4122" s="18" t="s">
        <v>807</v>
      </c>
    </row>
    <row r="4123" spans="1:14" ht="15" customHeight="1" x14ac:dyDescent="0.3">
      <c r="A4123" s="18" t="s">
        <v>8158</v>
      </c>
      <c r="B4123" s="19" t="s">
        <v>15</v>
      </c>
      <c r="C4123" s="18" t="s">
        <v>804</v>
      </c>
      <c r="D4123" s="18" t="s">
        <v>116</v>
      </c>
      <c r="E4123" s="18" t="s">
        <v>18</v>
      </c>
      <c r="F4123" s="18" t="s">
        <v>3465</v>
      </c>
      <c r="G4123" s="18" t="s">
        <v>1291</v>
      </c>
      <c r="H4123" s="18" t="s">
        <v>8166</v>
      </c>
      <c r="I4123" s="20" t="s">
        <v>8167</v>
      </c>
      <c r="J4123" s="18" t="s">
        <v>30</v>
      </c>
      <c r="K4123" s="18" t="s">
        <v>24</v>
      </c>
      <c r="L4123" s="18" t="s">
        <v>25</v>
      </c>
      <c r="N4123" s="18" t="s">
        <v>807</v>
      </c>
    </row>
    <row r="4124" spans="1:14" ht="15" customHeight="1" x14ac:dyDescent="0.3">
      <c r="A4124" s="18" t="s">
        <v>8158</v>
      </c>
      <c r="B4124" s="19" t="s">
        <v>15</v>
      </c>
      <c r="C4124" s="18" t="s">
        <v>804</v>
      </c>
      <c r="D4124" s="18" t="s">
        <v>116</v>
      </c>
      <c r="E4124" s="18" t="s">
        <v>18</v>
      </c>
      <c r="F4124" s="18" t="s">
        <v>6391</v>
      </c>
      <c r="G4124" s="18" t="s">
        <v>1059</v>
      </c>
      <c r="H4124" s="18" t="s">
        <v>8164</v>
      </c>
      <c r="I4124" s="20" t="s">
        <v>8168</v>
      </c>
      <c r="J4124" s="18" t="s">
        <v>30</v>
      </c>
      <c r="K4124" s="18" t="s">
        <v>24</v>
      </c>
      <c r="L4124" s="18" t="s">
        <v>25</v>
      </c>
      <c r="N4124" s="18" t="s">
        <v>807</v>
      </c>
    </row>
    <row r="4125" spans="1:14" ht="15" customHeight="1" x14ac:dyDescent="0.3">
      <c r="A4125" s="18" t="s">
        <v>8158</v>
      </c>
      <c r="B4125" s="19" t="s">
        <v>15</v>
      </c>
      <c r="C4125" s="18" t="s">
        <v>804</v>
      </c>
      <c r="D4125" s="18" t="s">
        <v>116</v>
      </c>
      <c r="E4125" s="18" t="s">
        <v>18</v>
      </c>
      <c r="F4125" s="18" t="s">
        <v>613</v>
      </c>
      <c r="G4125" s="18" t="s">
        <v>606</v>
      </c>
      <c r="H4125" s="18" t="s">
        <v>8169</v>
      </c>
      <c r="I4125" s="20" t="s">
        <v>8170</v>
      </c>
      <c r="J4125" s="18" t="s">
        <v>30</v>
      </c>
      <c r="K4125" s="18" t="s">
        <v>24</v>
      </c>
      <c r="L4125" s="18" t="s">
        <v>25</v>
      </c>
      <c r="N4125" s="18" t="s">
        <v>807</v>
      </c>
    </row>
    <row r="4126" spans="1:14" ht="15" customHeight="1" x14ac:dyDescent="0.3">
      <c r="A4126" s="18" t="s">
        <v>8158</v>
      </c>
      <c r="B4126" s="19" t="s">
        <v>15</v>
      </c>
      <c r="C4126" s="18" t="s">
        <v>804</v>
      </c>
      <c r="D4126" s="18" t="s">
        <v>116</v>
      </c>
      <c r="E4126" s="18" t="s">
        <v>18</v>
      </c>
      <c r="F4126" s="18" t="s">
        <v>6324</v>
      </c>
      <c r="G4126" s="18" t="s">
        <v>1340</v>
      </c>
      <c r="H4126" s="18" t="s">
        <v>8166</v>
      </c>
      <c r="I4126" s="20" t="s">
        <v>8171</v>
      </c>
      <c r="J4126" s="18" t="s">
        <v>30</v>
      </c>
      <c r="K4126" s="18" t="s">
        <v>24</v>
      </c>
      <c r="L4126" s="18" t="s">
        <v>25</v>
      </c>
      <c r="N4126" s="18" t="s">
        <v>807</v>
      </c>
    </row>
    <row r="4127" spans="1:14" ht="15" customHeight="1" x14ac:dyDescent="0.3">
      <c r="A4127" s="18" t="s">
        <v>8158</v>
      </c>
      <c r="B4127" s="19" t="s">
        <v>15</v>
      </c>
      <c r="C4127" s="18" t="s">
        <v>804</v>
      </c>
      <c r="D4127" s="18" t="s">
        <v>116</v>
      </c>
      <c r="E4127" s="18" t="s">
        <v>18</v>
      </c>
      <c r="F4127" s="18" t="s">
        <v>8172</v>
      </c>
      <c r="G4127" s="18" t="s">
        <v>6252</v>
      </c>
      <c r="H4127" s="18" t="s">
        <v>8166</v>
      </c>
      <c r="I4127" s="20" t="s">
        <v>8173</v>
      </c>
      <c r="J4127" s="18" t="s">
        <v>30</v>
      </c>
      <c r="K4127" s="18" t="s">
        <v>24</v>
      </c>
      <c r="L4127" s="18" t="s">
        <v>25</v>
      </c>
      <c r="N4127" s="18" t="s">
        <v>807</v>
      </c>
    </row>
    <row r="4128" spans="1:14" ht="15" customHeight="1" x14ac:dyDescent="0.3">
      <c r="A4128" s="18" t="s">
        <v>8158</v>
      </c>
      <c r="B4128" s="19" t="s">
        <v>15</v>
      </c>
      <c r="C4128" s="18" t="s">
        <v>804</v>
      </c>
      <c r="D4128" s="18" t="s">
        <v>116</v>
      </c>
      <c r="E4128" s="18" t="s">
        <v>18</v>
      </c>
      <c r="F4128" s="18" t="s">
        <v>1846</v>
      </c>
      <c r="G4128" s="18" t="s">
        <v>1019</v>
      </c>
      <c r="H4128" s="18" t="s">
        <v>7571</v>
      </c>
      <c r="I4128" s="20" t="s">
        <v>8174</v>
      </c>
      <c r="J4128" s="18" t="s">
        <v>30</v>
      </c>
      <c r="K4128" s="18" t="s">
        <v>24</v>
      </c>
      <c r="L4128" s="18" t="s">
        <v>25</v>
      </c>
      <c r="N4128" s="18" t="s">
        <v>807</v>
      </c>
    </row>
    <row r="4129" spans="1:14" ht="15" customHeight="1" x14ac:dyDescent="0.3">
      <c r="A4129" s="18" t="s">
        <v>8158</v>
      </c>
      <c r="B4129" s="19" t="s">
        <v>15</v>
      </c>
      <c r="C4129" s="18" t="s">
        <v>804</v>
      </c>
      <c r="D4129" s="18" t="s">
        <v>116</v>
      </c>
      <c r="E4129" s="18" t="s">
        <v>18</v>
      </c>
      <c r="F4129" s="18" t="s">
        <v>8175</v>
      </c>
      <c r="G4129" s="18" t="s">
        <v>47</v>
      </c>
      <c r="H4129" s="18" t="s">
        <v>8166</v>
      </c>
      <c r="I4129" s="20" t="s">
        <v>8176</v>
      </c>
      <c r="J4129" s="18" t="s">
        <v>30</v>
      </c>
      <c r="K4129" s="18" t="s">
        <v>24</v>
      </c>
      <c r="L4129" s="18" t="s">
        <v>25</v>
      </c>
      <c r="N4129" s="18" t="s">
        <v>807</v>
      </c>
    </row>
    <row r="4130" spans="1:14" ht="15" customHeight="1" x14ac:dyDescent="0.3">
      <c r="A4130" s="18" t="s">
        <v>8158</v>
      </c>
      <c r="B4130" s="19" t="s">
        <v>15</v>
      </c>
      <c r="C4130" s="18" t="s">
        <v>804</v>
      </c>
      <c r="D4130" s="18" t="s">
        <v>116</v>
      </c>
      <c r="E4130" s="18" t="s">
        <v>18</v>
      </c>
      <c r="F4130" s="18" t="s">
        <v>3148</v>
      </c>
      <c r="G4130" s="18" t="s">
        <v>28</v>
      </c>
      <c r="H4130" s="18" t="s">
        <v>8166</v>
      </c>
      <c r="I4130" s="20" t="s">
        <v>8177</v>
      </c>
      <c r="J4130" s="18" t="s">
        <v>30</v>
      </c>
      <c r="K4130" s="18" t="s">
        <v>24</v>
      </c>
      <c r="L4130" s="18" t="s">
        <v>25</v>
      </c>
      <c r="N4130" s="18" t="s">
        <v>807</v>
      </c>
    </row>
    <row r="4131" spans="1:14" ht="15" customHeight="1" x14ac:dyDescent="0.3">
      <c r="A4131" s="18" t="s">
        <v>8158</v>
      </c>
      <c r="B4131" s="19" t="s">
        <v>15</v>
      </c>
      <c r="C4131" s="18" t="s">
        <v>804</v>
      </c>
      <c r="D4131" s="18" t="s">
        <v>116</v>
      </c>
      <c r="E4131" s="18" t="s">
        <v>18</v>
      </c>
      <c r="F4131" s="18" t="s">
        <v>4325</v>
      </c>
      <c r="G4131" s="18" t="s">
        <v>1291</v>
      </c>
      <c r="H4131" s="18" t="s">
        <v>8166</v>
      </c>
      <c r="I4131" s="20" t="s">
        <v>8178</v>
      </c>
      <c r="J4131" s="18" t="s">
        <v>30</v>
      </c>
      <c r="K4131" s="18" t="s">
        <v>24</v>
      </c>
      <c r="L4131" s="18" t="s">
        <v>25</v>
      </c>
      <c r="N4131" s="18" t="s">
        <v>807</v>
      </c>
    </row>
    <row r="4132" spans="1:14" ht="15" customHeight="1" x14ac:dyDescent="0.3">
      <c r="A4132" s="18" t="s">
        <v>8158</v>
      </c>
      <c r="B4132" s="19" t="s">
        <v>15</v>
      </c>
      <c r="C4132" s="18" t="s">
        <v>804</v>
      </c>
      <c r="D4132" s="18" t="s">
        <v>116</v>
      </c>
      <c r="E4132" s="18" t="s">
        <v>18</v>
      </c>
      <c r="F4132" s="18" t="s">
        <v>4940</v>
      </c>
      <c r="G4132" s="18" t="s">
        <v>28</v>
      </c>
      <c r="H4132" s="18" t="s">
        <v>8166</v>
      </c>
      <c r="I4132" s="20" t="s">
        <v>8179</v>
      </c>
      <c r="J4132" s="18" t="s">
        <v>30</v>
      </c>
      <c r="K4132" s="18" t="s">
        <v>24</v>
      </c>
      <c r="L4132" s="18" t="s">
        <v>25</v>
      </c>
      <c r="N4132" s="18" t="s">
        <v>807</v>
      </c>
    </row>
    <row r="4133" spans="1:14" ht="15" customHeight="1" x14ac:dyDescent="0.3">
      <c r="A4133" s="18" t="s">
        <v>8158</v>
      </c>
      <c r="B4133" s="19" t="s">
        <v>15</v>
      </c>
      <c r="C4133" s="18" t="s">
        <v>804</v>
      </c>
      <c r="D4133" s="18" t="s">
        <v>116</v>
      </c>
      <c r="E4133" s="18" t="s">
        <v>18</v>
      </c>
      <c r="F4133" s="18" t="s">
        <v>1069</v>
      </c>
      <c r="G4133" s="18" t="s">
        <v>1069</v>
      </c>
      <c r="H4133" s="18" t="s">
        <v>7571</v>
      </c>
      <c r="I4133" s="20" t="s">
        <v>8180</v>
      </c>
      <c r="J4133" s="18" t="s">
        <v>30</v>
      </c>
      <c r="K4133" s="18" t="s">
        <v>24</v>
      </c>
      <c r="L4133" s="18" t="s">
        <v>25</v>
      </c>
      <c r="N4133" s="18" t="s">
        <v>807</v>
      </c>
    </row>
    <row r="4134" spans="1:14" ht="15" customHeight="1" x14ac:dyDescent="0.3">
      <c r="A4134" s="18" t="s">
        <v>8158</v>
      </c>
      <c r="B4134" s="19" t="s">
        <v>15</v>
      </c>
      <c r="C4134" s="18" t="s">
        <v>804</v>
      </c>
      <c r="D4134" s="18" t="s">
        <v>116</v>
      </c>
      <c r="E4134" s="18" t="s">
        <v>18</v>
      </c>
      <c r="F4134" s="18" t="s">
        <v>31</v>
      </c>
      <c r="G4134" s="18" t="s">
        <v>1231</v>
      </c>
      <c r="H4134" s="18" t="s">
        <v>8164</v>
      </c>
      <c r="I4134" s="20" t="s">
        <v>8181</v>
      </c>
      <c r="J4134" s="18" t="s">
        <v>30</v>
      </c>
      <c r="K4134" s="18" t="s">
        <v>24</v>
      </c>
      <c r="L4134" s="18" t="s">
        <v>25</v>
      </c>
      <c r="N4134" s="18" t="s">
        <v>807</v>
      </c>
    </row>
    <row r="4135" spans="1:14" ht="15" customHeight="1" x14ac:dyDescent="0.3">
      <c r="A4135" s="18" t="s">
        <v>8158</v>
      </c>
      <c r="B4135" s="19" t="s">
        <v>15</v>
      </c>
      <c r="C4135" s="18" t="s">
        <v>804</v>
      </c>
      <c r="D4135" s="18" t="s">
        <v>116</v>
      </c>
      <c r="E4135" s="18" t="s">
        <v>18</v>
      </c>
      <c r="F4135" s="18" t="s">
        <v>221</v>
      </c>
      <c r="G4135" s="18" t="s">
        <v>212</v>
      </c>
      <c r="H4135" s="18" t="s">
        <v>8164</v>
      </c>
      <c r="I4135" s="20" t="s">
        <v>8182</v>
      </c>
      <c r="J4135" s="18" t="s">
        <v>30</v>
      </c>
      <c r="K4135" s="18" t="s">
        <v>24</v>
      </c>
      <c r="L4135" s="18" t="s">
        <v>25</v>
      </c>
      <c r="N4135" s="18" t="s">
        <v>807</v>
      </c>
    </row>
    <row r="4136" spans="1:14" ht="15" customHeight="1" x14ac:dyDescent="0.3">
      <c r="A4136" s="18" t="s">
        <v>8158</v>
      </c>
      <c r="B4136" s="19" t="s">
        <v>15</v>
      </c>
      <c r="C4136" s="18" t="s">
        <v>804</v>
      </c>
      <c r="D4136" s="18" t="s">
        <v>116</v>
      </c>
      <c r="E4136" s="18" t="s">
        <v>18</v>
      </c>
      <c r="F4136" s="18" t="s">
        <v>1242</v>
      </c>
      <c r="G4136" s="18" t="s">
        <v>34</v>
      </c>
      <c r="H4136" s="18" t="s">
        <v>7571</v>
      </c>
      <c r="I4136" s="20" t="s">
        <v>8183</v>
      </c>
      <c r="J4136" s="18" t="s">
        <v>30</v>
      </c>
      <c r="K4136" s="18" t="s">
        <v>24</v>
      </c>
      <c r="L4136" s="18" t="s">
        <v>25</v>
      </c>
      <c r="N4136" s="18" t="s">
        <v>807</v>
      </c>
    </row>
    <row r="4137" spans="1:14" ht="15" customHeight="1" x14ac:dyDescent="0.3">
      <c r="A4137" s="18" t="s">
        <v>8158</v>
      </c>
      <c r="B4137" s="19" t="s">
        <v>15</v>
      </c>
      <c r="C4137" s="18" t="s">
        <v>804</v>
      </c>
      <c r="D4137" s="18" t="s">
        <v>116</v>
      </c>
      <c r="E4137" s="18" t="s">
        <v>18</v>
      </c>
      <c r="F4137" s="18" t="s">
        <v>1244</v>
      </c>
      <c r="G4137" s="18" t="s">
        <v>1075</v>
      </c>
      <c r="H4137" s="18" t="s">
        <v>8164</v>
      </c>
      <c r="I4137" s="20" t="s">
        <v>8184</v>
      </c>
      <c r="J4137" s="18" t="s">
        <v>30</v>
      </c>
      <c r="K4137" s="18" t="s">
        <v>24</v>
      </c>
      <c r="L4137" s="18" t="s">
        <v>25</v>
      </c>
      <c r="N4137" s="18" t="s">
        <v>807</v>
      </c>
    </row>
    <row r="4138" spans="1:14" ht="15" customHeight="1" x14ac:dyDescent="0.3">
      <c r="A4138" s="18" t="s">
        <v>8158</v>
      </c>
      <c r="B4138" s="19" t="s">
        <v>15</v>
      </c>
      <c r="C4138" s="18" t="s">
        <v>804</v>
      </c>
      <c r="D4138" s="18" t="s">
        <v>116</v>
      </c>
      <c r="E4138" s="18" t="s">
        <v>18</v>
      </c>
      <c r="F4138" s="18" t="s">
        <v>1072</v>
      </c>
      <c r="G4138" s="18" t="s">
        <v>47</v>
      </c>
      <c r="H4138" s="18" t="s">
        <v>8164</v>
      </c>
      <c r="I4138" s="20" t="s">
        <v>8185</v>
      </c>
      <c r="J4138" s="18" t="s">
        <v>30</v>
      </c>
      <c r="K4138" s="18" t="s">
        <v>24</v>
      </c>
      <c r="L4138" s="18" t="s">
        <v>25</v>
      </c>
      <c r="N4138" s="18" t="s">
        <v>807</v>
      </c>
    </row>
    <row r="4139" spans="1:14" ht="15" customHeight="1" x14ac:dyDescent="0.3">
      <c r="A4139" s="18" t="s">
        <v>8158</v>
      </c>
      <c r="B4139" s="19" t="s">
        <v>15</v>
      </c>
      <c r="C4139" s="18" t="s">
        <v>804</v>
      </c>
      <c r="D4139" s="18" t="s">
        <v>116</v>
      </c>
      <c r="E4139" s="18" t="s">
        <v>18</v>
      </c>
      <c r="F4139" s="18" t="s">
        <v>8186</v>
      </c>
      <c r="G4139" s="18" t="s">
        <v>34</v>
      </c>
      <c r="H4139" s="18" t="s">
        <v>8164</v>
      </c>
      <c r="I4139" s="20" t="s">
        <v>8187</v>
      </c>
      <c r="J4139" s="18" t="s">
        <v>30</v>
      </c>
      <c r="K4139" s="18" t="s">
        <v>24</v>
      </c>
      <c r="L4139" s="18" t="s">
        <v>25</v>
      </c>
      <c r="N4139" s="18" t="s">
        <v>807</v>
      </c>
    </row>
    <row r="4140" spans="1:14" ht="15" customHeight="1" x14ac:dyDescent="0.3">
      <c r="A4140" s="18" t="s">
        <v>8158</v>
      </c>
      <c r="B4140" s="19" t="s">
        <v>15</v>
      </c>
      <c r="C4140" s="18" t="s">
        <v>804</v>
      </c>
      <c r="D4140" s="18" t="s">
        <v>116</v>
      </c>
      <c r="E4140" s="18" t="s">
        <v>18</v>
      </c>
      <c r="F4140" s="18" t="s">
        <v>1253</v>
      </c>
      <c r="G4140" s="18" t="s">
        <v>1254</v>
      </c>
      <c r="H4140" s="18" t="s">
        <v>8164</v>
      </c>
      <c r="I4140" s="20" t="s">
        <v>8188</v>
      </c>
      <c r="J4140" s="18" t="s">
        <v>30</v>
      </c>
      <c r="K4140" s="18" t="s">
        <v>24</v>
      </c>
      <c r="L4140" s="18" t="s">
        <v>25</v>
      </c>
      <c r="N4140" s="18" t="s">
        <v>807</v>
      </c>
    </row>
    <row r="4141" spans="1:14" ht="15" customHeight="1" x14ac:dyDescent="0.3">
      <c r="A4141" s="18" t="s">
        <v>8158</v>
      </c>
      <c r="B4141" s="19" t="s">
        <v>15</v>
      </c>
      <c r="C4141" s="18" t="s">
        <v>804</v>
      </c>
      <c r="D4141" s="18" t="s">
        <v>116</v>
      </c>
      <c r="E4141" s="18" t="s">
        <v>18</v>
      </c>
      <c r="F4141" s="18" t="s">
        <v>6427</v>
      </c>
      <c r="G4141" s="18" t="s">
        <v>6428</v>
      </c>
      <c r="H4141" s="18" t="s">
        <v>8166</v>
      </c>
      <c r="I4141" s="20" t="s">
        <v>8189</v>
      </c>
      <c r="J4141" s="18" t="s">
        <v>30</v>
      </c>
      <c r="K4141" s="18" t="s">
        <v>24</v>
      </c>
      <c r="L4141" s="18" t="s">
        <v>25</v>
      </c>
      <c r="N4141" s="18" t="s">
        <v>807</v>
      </c>
    </row>
    <row r="4142" spans="1:14" ht="15" customHeight="1" x14ac:dyDescent="0.3">
      <c r="A4142" s="18" t="s">
        <v>8158</v>
      </c>
      <c r="B4142" s="19" t="s">
        <v>15</v>
      </c>
      <c r="C4142" s="18" t="s">
        <v>804</v>
      </c>
      <c r="D4142" s="18" t="s">
        <v>116</v>
      </c>
      <c r="E4142" s="18" t="s">
        <v>18</v>
      </c>
      <c r="F4142" s="18" t="s">
        <v>6432</v>
      </c>
      <c r="G4142" s="18" t="s">
        <v>6433</v>
      </c>
      <c r="H4142" s="18" t="s">
        <v>8166</v>
      </c>
      <c r="I4142" s="20" t="s">
        <v>8190</v>
      </c>
      <c r="J4142" s="18" t="s">
        <v>30</v>
      </c>
      <c r="K4142" s="18" t="s">
        <v>24</v>
      </c>
      <c r="L4142" s="18" t="s">
        <v>25</v>
      </c>
      <c r="N4142" s="18" t="s">
        <v>807</v>
      </c>
    </row>
    <row r="4143" spans="1:14" ht="15" customHeight="1" x14ac:dyDescent="0.3">
      <c r="A4143" s="18" t="s">
        <v>8158</v>
      </c>
      <c r="B4143" s="19" t="s">
        <v>15</v>
      </c>
      <c r="C4143" s="18" t="s">
        <v>804</v>
      </c>
      <c r="D4143" s="18" t="s">
        <v>116</v>
      </c>
      <c r="E4143" s="18" t="s">
        <v>18</v>
      </c>
      <c r="F4143" s="18" t="s">
        <v>8191</v>
      </c>
      <c r="G4143" s="18" t="s">
        <v>3138</v>
      </c>
      <c r="H4143" s="18" t="s">
        <v>8159</v>
      </c>
      <c r="I4143" s="20" t="s">
        <v>8192</v>
      </c>
      <c r="J4143" s="18" t="s">
        <v>30</v>
      </c>
      <c r="K4143" s="18" t="s">
        <v>24</v>
      </c>
      <c r="L4143" s="18" t="s">
        <v>25</v>
      </c>
      <c r="N4143" s="18" t="s">
        <v>807</v>
      </c>
    </row>
    <row r="4144" spans="1:14" ht="15" customHeight="1" x14ac:dyDescent="0.3">
      <c r="A4144" s="18" t="s">
        <v>8158</v>
      </c>
      <c r="B4144" s="19" t="s">
        <v>15</v>
      </c>
      <c r="C4144" s="18" t="s">
        <v>804</v>
      </c>
      <c r="D4144" s="18" t="s">
        <v>116</v>
      </c>
      <c r="E4144" s="18" t="s">
        <v>18</v>
      </c>
      <c r="F4144" s="18" t="s">
        <v>40</v>
      </c>
      <c r="G4144" s="18" t="s">
        <v>41</v>
      </c>
      <c r="H4144" s="18" t="s">
        <v>7571</v>
      </c>
      <c r="I4144" s="20" t="s">
        <v>8193</v>
      </c>
      <c r="J4144" s="18" t="s">
        <v>30</v>
      </c>
      <c r="K4144" s="18" t="s">
        <v>24</v>
      </c>
      <c r="L4144" s="18" t="s">
        <v>25</v>
      </c>
      <c r="N4144" s="18" t="s">
        <v>807</v>
      </c>
    </row>
    <row r="4145" spans="1:14" ht="15" customHeight="1" x14ac:dyDescent="0.3">
      <c r="A4145" s="18" t="s">
        <v>8158</v>
      </c>
      <c r="B4145" s="19" t="s">
        <v>15</v>
      </c>
      <c r="C4145" s="18" t="s">
        <v>804</v>
      </c>
      <c r="D4145" s="18" t="s">
        <v>116</v>
      </c>
      <c r="E4145" s="18" t="s">
        <v>18</v>
      </c>
      <c r="F4145" s="18" t="s">
        <v>8194</v>
      </c>
      <c r="G4145" s="18" t="s">
        <v>47</v>
      </c>
      <c r="H4145" s="18" t="s">
        <v>8164</v>
      </c>
      <c r="I4145" s="20" t="s">
        <v>8195</v>
      </c>
      <c r="J4145" s="18" t="s">
        <v>30</v>
      </c>
      <c r="K4145" s="18" t="s">
        <v>24</v>
      </c>
      <c r="L4145" s="18" t="s">
        <v>25</v>
      </c>
      <c r="N4145" s="18" t="s">
        <v>807</v>
      </c>
    </row>
    <row r="4146" spans="1:14" ht="15" customHeight="1" x14ac:dyDescent="0.3">
      <c r="A4146" s="18" t="s">
        <v>8158</v>
      </c>
      <c r="B4146" s="19" t="s">
        <v>15</v>
      </c>
      <c r="C4146" s="18" t="s">
        <v>804</v>
      </c>
      <c r="D4146" s="18" t="s">
        <v>116</v>
      </c>
      <c r="E4146" s="18" t="s">
        <v>18</v>
      </c>
      <c r="F4146" s="18" t="s">
        <v>8196</v>
      </c>
      <c r="G4146" s="18" t="s">
        <v>47</v>
      </c>
      <c r="H4146" s="18" t="s">
        <v>8164</v>
      </c>
      <c r="I4146" s="20" t="s">
        <v>8197</v>
      </c>
      <c r="J4146" s="18" t="s">
        <v>30</v>
      </c>
      <c r="K4146" s="18" t="s">
        <v>24</v>
      </c>
      <c r="L4146" s="18" t="s">
        <v>25</v>
      </c>
      <c r="N4146" s="18" t="s">
        <v>807</v>
      </c>
    </row>
    <row r="4147" spans="1:14" ht="15" customHeight="1" x14ac:dyDescent="0.3">
      <c r="A4147" s="18" t="s">
        <v>8158</v>
      </c>
      <c r="B4147" s="19" t="s">
        <v>15</v>
      </c>
      <c r="C4147" s="18" t="s">
        <v>804</v>
      </c>
      <c r="D4147" s="18" t="s">
        <v>116</v>
      </c>
      <c r="E4147" s="18" t="s">
        <v>18</v>
      </c>
      <c r="F4147" s="18" t="s">
        <v>1832</v>
      </c>
      <c r="G4147" s="18" t="s">
        <v>207</v>
      </c>
      <c r="H4147" s="18" t="s">
        <v>7571</v>
      </c>
      <c r="I4147" s="20" t="s">
        <v>8198</v>
      </c>
      <c r="J4147" s="18" t="s">
        <v>30</v>
      </c>
      <c r="K4147" s="18" t="s">
        <v>24</v>
      </c>
      <c r="L4147" s="18" t="s">
        <v>25</v>
      </c>
      <c r="N4147" s="18" t="s">
        <v>807</v>
      </c>
    </row>
    <row r="4148" spans="1:14" ht="15" customHeight="1" x14ac:dyDescent="0.3">
      <c r="A4148" s="18" t="s">
        <v>8158</v>
      </c>
      <c r="B4148" s="19" t="s">
        <v>15</v>
      </c>
      <c r="C4148" s="18" t="s">
        <v>804</v>
      </c>
      <c r="D4148" s="18" t="s">
        <v>116</v>
      </c>
      <c r="E4148" s="18" t="s">
        <v>18</v>
      </c>
      <c r="F4148" s="18" t="s">
        <v>6259</v>
      </c>
      <c r="G4148" s="18" t="s">
        <v>1095</v>
      </c>
      <c r="H4148" s="18" t="s">
        <v>8159</v>
      </c>
      <c r="I4148" s="20" t="s">
        <v>8199</v>
      </c>
      <c r="J4148" s="18" t="s">
        <v>30</v>
      </c>
      <c r="K4148" s="18" t="s">
        <v>24</v>
      </c>
      <c r="L4148" s="18" t="s">
        <v>25</v>
      </c>
      <c r="N4148" s="18" t="s">
        <v>807</v>
      </c>
    </row>
    <row r="4149" spans="1:14" ht="15" customHeight="1" x14ac:dyDescent="0.3">
      <c r="A4149" s="18" t="s">
        <v>8158</v>
      </c>
      <c r="B4149" s="19" t="s">
        <v>15</v>
      </c>
      <c r="C4149" s="18" t="s">
        <v>804</v>
      </c>
      <c r="D4149" s="18" t="s">
        <v>116</v>
      </c>
      <c r="E4149" s="18" t="s">
        <v>18</v>
      </c>
      <c r="F4149" s="18" t="s">
        <v>8200</v>
      </c>
      <c r="G4149" s="18" t="s">
        <v>429</v>
      </c>
      <c r="H4149" s="18" t="s">
        <v>8169</v>
      </c>
      <c r="I4149" s="20" t="s">
        <v>8201</v>
      </c>
      <c r="J4149" s="18" t="s">
        <v>30</v>
      </c>
      <c r="K4149" s="18" t="s">
        <v>24</v>
      </c>
      <c r="L4149" s="18" t="s">
        <v>25</v>
      </c>
      <c r="N4149" s="18" t="s">
        <v>807</v>
      </c>
    </row>
    <row r="4150" spans="1:14" ht="15" customHeight="1" x14ac:dyDescent="0.3">
      <c r="A4150" s="18" t="s">
        <v>8158</v>
      </c>
      <c r="B4150" s="19" t="s">
        <v>15</v>
      </c>
      <c r="C4150" s="18" t="s">
        <v>804</v>
      </c>
      <c r="D4150" s="18" t="s">
        <v>116</v>
      </c>
      <c r="E4150" s="18" t="s">
        <v>18</v>
      </c>
      <c r="F4150" s="18" t="s">
        <v>340</v>
      </c>
      <c r="G4150" s="18" t="s">
        <v>340</v>
      </c>
      <c r="H4150" s="18" t="s">
        <v>7571</v>
      </c>
      <c r="I4150" s="20" t="s">
        <v>8202</v>
      </c>
      <c r="J4150" s="18" t="s">
        <v>30</v>
      </c>
      <c r="K4150" s="18" t="s">
        <v>24</v>
      </c>
      <c r="L4150" s="18" t="s">
        <v>25</v>
      </c>
      <c r="N4150" s="18" t="s">
        <v>807</v>
      </c>
    </row>
    <row r="4151" spans="1:14" ht="15" customHeight="1" x14ac:dyDescent="0.3">
      <c r="A4151" s="18" t="s">
        <v>8158</v>
      </c>
      <c r="B4151" s="19" t="s">
        <v>15</v>
      </c>
      <c r="C4151" s="18" t="s">
        <v>804</v>
      </c>
      <c r="D4151" s="18" t="s">
        <v>116</v>
      </c>
      <c r="E4151" s="18" t="s">
        <v>18</v>
      </c>
      <c r="F4151" s="18" t="s">
        <v>8203</v>
      </c>
      <c r="G4151" s="18" t="s">
        <v>7647</v>
      </c>
      <c r="H4151" s="18" t="s">
        <v>8159</v>
      </c>
      <c r="I4151" s="20" t="s">
        <v>8204</v>
      </c>
      <c r="J4151" s="18" t="s">
        <v>30</v>
      </c>
      <c r="K4151" s="18" t="s">
        <v>24</v>
      </c>
      <c r="L4151" s="18" t="s">
        <v>25</v>
      </c>
      <c r="N4151" s="18" t="s">
        <v>807</v>
      </c>
    </row>
    <row r="4152" spans="1:14" ht="15" customHeight="1" x14ac:dyDescent="0.3">
      <c r="A4152" s="18" t="s">
        <v>8158</v>
      </c>
      <c r="B4152" s="19" t="s">
        <v>15</v>
      </c>
      <c r="C4152" s="18" t="s">
        <v>804</v>
      </c>
      <c r="D4152" s="18" t="s">
        <v>116</v>
      </c>
      <c r="E4152" s="18" t="s">
        <v>18</v>
      </c>
      <c r="F4152" s="18" t="s">
        <v>8205</v>
      </c>
      <c r="G4152" s="18" t="s">
        <v>7647</v>
      </c>
      <c r="H4152" s="18" t="s">
        <v>8159</v>
      </c>
      <c r="I4152" s="20" t="s">
        <v>8206</v>
      </c>
      <c r="J4152" s="18" t="s">
        <v>30</v>
      </c>
      <c r="K4152" s="18" t="s">
        <v>24</v>
      </c>
      <c r="L4152" s="18" t="s">
        <v>25</v>
      </c>
      <c r="N4152" s="18" t="s">
        <v>807</v>
      </c>
    </row>
    <row r="4153" spans="1:14" ht="15" customHeight="1" x14ac:dyDescent="0.3">
      <c r="A4153" s="18" t="s">
        <v>8158</v>
      </c>
      <c r="B4153" s="19" t="s">
        <v>15</v>
      </c>
      <c r="C4153" s="18" t="s">
        <v>804</v>
      </c>
      <c r="D4153" s="18" t="s">
        <v>116</v>
      </c>
      <c r="E4153" s="18" t="s">
        <v>18</v>
      </c>
      <c r="F4153" s="18" t="s">
        <v>1104</v>
      </c>
      <c r="G4153" s="18" t="s">
        <v>1055</v>
      </c>
      <c r="H4153" s="18" t="s">
        <v>7571</v>
      </c>
      <c r="I4153" s="20" t="s">
        <v>8207</v>
      </c>
      <c r="J4153" s="18" t="s">
        <v>30</v>
      </c>
      <c r="K4153" s="18" t="s">
        <v>24</v>
      </c>
      <c r="L4153" s="18" t="s">
        <v>25</v>
      </c>
      <c r="N4153" s="18" t="s">
        <v>807</v>
      </c>
    </row>
    <row r="4154" spans="1:14" ht="15" customHeight="1" x14ac:dyDescent="0.3">
      <c r="A4154" s="18" t="s">
        <v>8158</v>
      </c>
      <c r="B4154" s="19" t="s">
        <v>15</v>
      </c>
      <c r="C4154" s="18" t="s">
        <v>804</v>
      </c>
      <c r="D4154" s="18" t="s">
        <v>116</v>
      </c>
      <c r="E4154" s="18" t="s">
        <v>18</v>
      </c>
      <c r="F4154" s="18" t="s">
        <v>8208</v>
      </c>
      <c r="G4154" s="18" t="s">
        <v>28</v>
      </c>
      <c r="H4154" s="18" t="s">
        <v>8166</v>
      </c>
      <c r="I4154" s="20" t="s">
        <v>8209</v>
      </c>
      <c r="J4154" s="18" t="s">
        <v>30</v>
      </c>
      <c r="K4154" s="18" t="s">
        <v>24</v>
      </c>
      <c r="L4154" s="18" t="s">
        <v>25</v>
      </c>
      <c r="N4154" s="18" t="s">
        <v>807</v>
      </c>
    </row>
    <row r="4155" spans="1:14" ht="15" customHeight="1" x14ac:dyDescent="0.3">
      <c r="A4155" s="18" t="s">
        <v>8158</v>
      </c>
      <c r="B4155" s="19" t="s">
        <v>15</v>
      </c>
      <c r="C4155" s="18" t="s">
        <v>8210</v>
      </c>
      <c r="D4155" s="18" t="s">
        <v>116</v>
      </c>
      <c r="E4155" s="18" t="s">
        <v>74</v>
      </c>
      <c r="F4155" s="18" t="s">
        <v>8211</v>
      </c>
      <c r="G4155" s="18" t="s">
        <v>1019</v>
      </c>
      <c r="H4155" s="18" t="s">
        <v>8212</v>
      </c>
      <c r="I4155" s="20" t="s">
        <v>8213</v>
      </c>
      <c r="J4155" s="18" t="s">
        <v>199</v>
      </c>
      <c r="K4155" s="18" t="s">
        <v>293</v>
      </c>
      <c r="L4155" s="18" t="s">
        <v>25</v>
      </c>
      <c r="N4155" s="18" t="s">
        <v>26</v>
      </c>
    </row>
    <row r="4156" spans="1:14" ht="15" customHeight="1" x14ac:dyDescent="0.3">
      <c r="A4156" s="18" t="s">
        <v>8214</v>
      </c>
      <c r="B4156" s="19" t="s">
        <v>15</v>
      </c>
      <c r="C4156" s="18" t="s">
        <v>476</v>
      </c>
      <c r="D4156" s="18" t="s">
        <v>116</v>
      </c>
      <c r="E4156" s="18" t="s">
        <v>74</v>
      </c>
      <c r="F4156" s="18" t="s">
        <v>6391</v>
      </c>
      <c r="G4156" s="18" t="s">
        <v>1059</v>
      </c>
      <c r="H4156" s="18" t="s">
        <v>8215</v>
      </c>
      <c r="I4156" s="20" t="s">
        <v>8216</v>
      </c>
      <c r="J4156" s="18" t="s">
        <v>8217</v>
      </c>
      <c r="K4156" s="18" t="s">
        <v>24</v>
      </c>
      <c r="L4156" s="18" t="s">
        <v>25</v>
      </c>
      <c r="N4156" s="18" t="s">
        <v>480</v>
      </c>
    </row>
    <row r="4157" spans="1:14" ht="15" customHeight="1" x14ac:dyDescent="0.3">
      <c r="A4157" s="18" t="s">
        <v>8214</v>
      </c>
      <c r="B4157" s="19" t="s">
        <v>15</v>
      </c>
      <c r="C4157" s="18" t="s">
        <v>476</v>
      </c>
      <c r="D4157" s="18" t="s">
        <v>116</v>
      </c>
      <c r="E4157" s="18" t="s">
        <v>74</v>
      </c>
      <c r="F4157" s="18" t="s">
        <v>349</v>
      </c>
      <c r="G4157" s="18" t="s">
        <v>207</v>
      </c>
      <c r="H4157" s="18" t="s">
        <v>8218</v>
      </c>
      <c r="I4157" s="20" t="s">
        <v>8219</v>
      </c>
      <c r="J4157" s="18" t="s">
        <v>394</v>
      </c>
      <c r="K4157" s="18" t="s">
        <v>24</v>
      </c>
      <c r="L4157" s="18" t="s">
        <v>25</v>
      </c>
      <c r="N4157" s="18" t="s">
        <v>480</v>
      </c>
    </row>
    <row r="4158" spans="1:14" ht="15" customHeight="1" x14ac:dyDescent="0.3">
      <c r="A4158" s="18" t="s">
        <v>8214</v>
      </c>
      <c r="B4158" s="19" t="s">
        <v>15</v>
      </c>
      <c r="C4158" s="18" t="s">
        <v>476</v>
      </c>
      <c r="D4158" s="18" t="s">
        <v>116</v>
      </c>
      <c r="E4158" s="18" t="s">
        <v>74</v>
      </c>
      <c r="F4158" s="18" t="s">
        <v>6425</v>
      </c>
      <c r="G4158" s="18" t="s">
        <v>192</v>
      </c>
      <c r="H4158" s="18" t="s">
        <v>8218</v>
      </c>
      <c r="I4158" s="20" t="s">
        <v>8220</v>
      </c>
      <c r="J4158" s="18" t="s">
        <v>954</v>
      </c>
      <c r="K4158" s="18" t="s">
        <v>24</v>
      </c>
      <c r="L4158" s="18" t="s">
        <v>25</v>
      </c>
      <c r="N4158" s="18" t="s">
        <v>480</v>
      </c>
    </row>
    <row r="4159" spans="1:14" ht="15" customHeight="1" x14ac:dyDescent="0.3">
      <c r="A4159" s="18" t="s">
        <v>8214</v>
      </c>
      <c r="B4159" s="19" t="s">
        <v>15</v>
      </c>
      <c r="C4159" s="18" t="s">
        <v>476</v>
      </c>
      <c r="D4159" s="18" t="s">
        <v>116</v>
      </c>
      <c r="E4159" s="18" t="s">
        <v>74</v>
      </c>
      <c r="F4159" s="18" t="s">
        <v>8221</v>
      </c>
      <c r="G4159" s="18" t="s">
        <v>1102</v>
      </c>
      <c r="H4159" s="18" t="s">
        <v>8222</v>
      </c>
      <c r="I4159" s="20" t="s">
        <v>8223</v>
      </c>
      <c r="J4159" s="18" t="s">
        <v>2643</v>
      </c>
      <c r="K4159" s="18" t="s">
        <v>24</v>
      </c>
      <c r="L4159" s="18" t="s">
        <v>25</v>
      </c>
      <c r="N4159" s="18" t="s">
        <v>480</v>
      </c>
    </row>
    <row r="4160" spans="1:14" ht="15" customHeight="1" x14ac:dyDescent="0.3">
      <c r="A4160" s="18" t="s">
        <v>8214</v>
      </c>
      <c r="B4160" s="19" t="s">
        <v>15</v>
      </c>
      <c r="C4160" s="18" t="s">
        <v>476</v>
      </c>
      <c r="D4160" s="18" t="s">
        <v>116</v>
      </c>
      <c r="E4160" s="18" t="s">
        <v>74</v>
      </c>
      <c r="F4160" s="18" t="s">
        <v>8224</v>
      </c>
      <c r="G4160" s="18" t="s">
        <v>273</v>
      </c>
      <c r="H4160" s="18" t="s">
        <v>8225</v>
      </c>
      <c r="I4160" s="20" t="s">
        <v>8226</v>
      </c>
      <c r="J4160" s="18" t="s">
        <v>2643</v>
      </c>
      <c r="K4160" s="18" t="s">
        <v>24</v>
      </c>
      <c r="L4160" s="18" t="s">
        <v>25</v>
      </c>
      <c r="N4160" s="18" t="s">
        <v>480</v>
      </c>
    </row>
    <row r="4161" spans="1:14" ht="15" customHeight="1" x14ac:dyDescent="0.3">
      <c r="A4161" s="18" t="s">
        <v>8227</v>
      </c>
      <c r="B4161" s="19" t="s">
        <v>15</v>
      </c>
      <c r="C4161" s="18" t="s">
        <v>2012</v>
      </c>
      <c r="D4161" s="18" t="s">
        <v>17</v>
      </c>
      <c r="E4161" s="18" t="s">
        <v>18</v>
      </c>
      <c r="F4161" s="18" t="s">
        <v>1941</v>
      </c>
      <c r="G4161" s="18" t="s">
        <v>1291</v>
      </c>
      <c r="H4161" s="18" t="s">
        <v>8228</v>
      </c>
      <c r="I4161" s="20" t="s">
        <v>8229</v>
      </c>
      <c r="J4161" s="18" t="s">
        <v>30</v>
      </c>
      <c r="K4161" s="18" t="s">
        <v>24</v>
      </c>
      <c r="L4161" s="18" t="s">
        <v>25</v>
      </c>
      <c r="N4161" s="18" t="s">
        <v>154</v>
      </c>
    </row>
    <row r="4162" spans="1:14" ht="15" customHeight="1" x14ac:dyDescent="0.3">
      <c r="A4162" s="18" t="s">
        <v>8227</v>
      </c>
      <c r="B4162" s="19" t="s">
        <v>15</v>
      </c>
      <c r="C4162" s="18" t="s">
        <v>2012</v>
      </c>
      <c r="D4162" s="18" t="s">
        <v>17</v>
      </c>
      <c r="E4162" s="18" t="s">
        <v>18</v>
      </c>
      <c r="F4162" s="18" t="s">
        <v>6324</v>
      </c>
      <c r="G4162" s="18" t="s">
        <v>1340</v>
      </c>
      <c r="H4162" s="18" t="s">
        <v>8228</v>
      </c>
      <c r="I4162" s="20" t="s">
        <v>8230</v>
      </c>
      <c r="J4162" s="18" t="s">
        <v>30</v>
      </c>
      <c r="K4162" s="18" t="s">
        <v>24</v>
      </c>
      <c r="L4162" s="18" t="s">
        <v>25</v>
      </c>
      <c r="N4162" s="18" t="s">
        <v>154</v>
      </c>
    </row>
    <row r="4163" spans="1:14" ht="15" customHeight="1" x14ac:dyDescent="0.3">
      <c r="A4163" s="18" t="s">
        <v>8227</v>
      </c>
      <c r="B4163" s="19" t="s">
        <v>15</v>
      </c>
      <c r="C4163" s="18" t="s">
        <v>2012</v>
      </c>
      <c r="D4163" s="18" t="s">
        <v>17</v>
      </c>
      <c r="E4163" s="18" t="s">
        <v>18</v>
      </c>
      <c r="F4163" s="18" t="s">
        <v>1846</v>
      </c>
      <c r="G4163" s="18" t="s">
        <v>1019</v>
      </c>
      <c r="H4163" s="18" t="s">
        <v>8228</v>
      </c>
      <c r="I4163" s="20" t="s">
        <v>8231</v>
      </c>
      <c r="J4163" s="18" t="s">
        <v>30</v>
      </c>
      <c r="K4163" s="18" t="s">
        <v>24</v>
      </c>
      <c r="L4163" s="18" t="s">
        <v>25</v>
      </c>
      <c r="N4163" s="18" t="s">
        <v>154</v>
      </c>
    </row>
    <row r="4164" spans="1:14" ht="15" customHeight="1" x14ac:dyDescent="0.3">
      <c r="A4164" s="18" t="s">
        <v>8227</v>
      </c>
      <c r="B4164" s="19" t="s">
        <v>15</v>
      </c>
      <c r="C4164" s="18" t="s">
        <v>2012</v>
      </c>
      <c r="D4164" s="18" t="s">
        <v>17</v>
      </c>
      <c r="E4164" s="18" t="s">
        <v>18</v>
      </c>
      <c r="F4164" s="18" t="s">
        <v>6768</v>
      </c>
      <c r="G4164" s="18" t="s">
        <v>1055</v>
      </c>
      <c r="H4164" s="18" t="s">
        <v>8228</v>
      </c>
      <c r="I4164" s="20" t="s">
        <v>8232</v>
      </c>
      <c r="J4164" s="18" t="s">
        <v>30</v>
      </c>
      <c r="K4164" s="18" t="s">
        <v>24</v>
      </c>
      <c r="L4164" s="18" t="s">
        <v>25</v>
      </c>
      <c r="N4164" s="18" t="s">
        <v>154</v>
      </c>
    </row>
    <row r="4165" spans="1:14" ht="15" customHeight="1" x14ac:dyDescent="0.3">
      <c r="A4165" s="18" t="s">
        <v>8227</v>
      </c>
      <c r="B4165" s="19" t="s">
        <v>15</v>
      </c>
      <c r="C4165" s="18" t="s">
        <v>2012</v>
      </c>
      <c r="D4165" s="18" t="s">
        <v>17</v>
      </c>
      <c r="E4165" s="18" t="s">
        <v>18</v>
      </c>
      <c r="F4165" s="18" t="s">
        <v>2506</v>
      </c>
      <c r="G4165" s="18" t="s">
        <v>1204</v>
      </c>
      <c r="H4165" s="18" t="s">
        <v>8228</v>
      </c>
      <c r="I4165" s="20" t="s">
        <v>8233</v>
      </c>
      <c r="J4165" s="18" t="s">
        <v>30</v>
      </c>
      <c r="K4165" s="18" t="s">
        <v>24</v>
      </c>
      <c r="L4165" s="18" t="s">
        <v>25</v>
      </c>
      <c r="N4165" s="18" t="s">
        <v>154</v>
      </c>
    </row>
    <row r="4166" spans="1:14" ht="15" customHeight="1" x14ac:dyDescent="0.3">
      <c r="A4166" s="18" t="s">
        <v>8227</v>
      </c>
      <c r="B4166" s="19" t="s">
        <v>15</v>
      </c>
      <c r="C4166" s="18" t="s">
        <v>2012</v>
      </c>
      <c r="D4166" s="18" t="s">
        <v>17</v>
      </c>
      <c r="E4166" s="18" t="s">
        <v>18</v>
      </c>
      <c r="F4166" s="18" t="s">
        <v>1450</v>
      </c>
      <c r="G4166" s="18" t="s">
        <v>41</v>
      </c>
      <c r="H4166" s="18" t="s">
        <v>8228</v>
      </c>
      <c r="I4166" s="20" t="s">
        <v>8234</v>
      </c>
      <c r="J4166" s="18" t="s">
        <v>30</v>
      </c>
      <c r="K4166" s="18" t="s">
        <v>24</v>
      </c>
      <c r="L4166" s="18" t="s">
        <v>25</v>
      </c>
      <c r="N4166" s="18" t="s">
        <v>154</v>
      </c>
    </row>
    <row r="4167" spans="1:14" ht="15" customHeight="1" x14ac:dyDescent="0.3">
      <c r="A4167" s="18" t="s">
        <v>8227</v>
      </c>
      <c r="B4167" s="19" t="s">
        <v>15</v>
      </c>
      <c r="C4167" s="18" t="s">
        <v>2012</v>
      </c>
      <c r="D4167" s="18" t="s">
        <v>17</v>
      </c>
      <c r="E4167" s="18" t="s">
        <v>18</v>
      </c>
      <c r="F4167" s="18" t="s">
        <v>1086</v>
      </c>
      <c r="G4167" s="18" t="s">
        <v>207</v>
      </c>
      <c r="H4167" s="18" t="s">
        <v>8228</v>
      </c>
      <c r="I4167" s="20" t="s">
        <v>8235</v>
      </c>
      <c r="J4167" s="18" t="s">
        <v>30</v>
      </c>
      <c r="K4167" s="18" t="s">
        <v>24</v>
      </c>
      <c r="L4167" s="18" t="s">
        <v>25</v>
      </c>
      <c r="N4167" s="18" t="s">
        <v>154</v>
      </c>
    </row>
    <row r="4168" spans="1:14" ht="15" customHeight="1" x14ac:dyDescent="0.3">
      <c r="A4168" s="18" t="s">
        <v>8227</v>
      </c>
      <c r="B4168" s="19" t="s">
        <v>15</v>
      </c>
      <c r="C4168" s="18" t="s">
        <v>2012</v>
      </c>
      <c r="D4168" s="18" t="s">
        <v>17</v>
      </c>
      <c r="E4168" s="18" t="s">
        <v>18</v>
      </c>
      <c r="F4168" s="18" t="s">
        <v>1088</v>
      </c>
      <c r="G4168" s="18" t="s">
        <v>41</v>
      </c>
      <c r="H4168" s="18" t="s">
        <v>8228</v>
      </c>
      <c r="I4168" s="20" t="s">
        <v>8236</v>
      </c>
      <c r="J4168" s="18" t="s">
        <v>30</v>
      </c>
      <c r="K4168" s="18" t="s">
        <v>24</v>
      </c>
      <c r="L4168" s="18" t="s">
        <v>25</v>
      </c>
      <c r="N4168" s="18" t="s">
        <v>154</v>
      </c>
    </row>
    <row r="4169" spans="1:14" ht="15" customHeight="1" x14ac:dyDescent="0.3">
      <c r="A4169" s="18" t="s">
        <v>8227</v>
      </c>
      <c r="B4169" s="19" t="s">
        <v>15</v>
      </c>
      <c r="C4169" s="18" t="s">
        <v>2012</v>
      </c>
      <c r="D4169" s="18" t="s">
        <v>17</v>
      </c>
      <c r="E4169" s="18" t="s">
        <v>18</v>
      </c>
      <c r="F4169" s="18" t="s">
        <v>3997</v>
      </c>
      <c r="G4169" s="18" t="s">
        <v>41</v>
      </c>
      <c r="H4169" s="18" t="s">
        <v>8228</v>
      </c>
      <c r="I4169" s="20" t="s">
        <v>8237</v>
      </c>
      <c r="J4169" s="18" t="s">
        <v>30</v>
      </c>
      <c r="K4169" s="18" t="s">
        <v>24</v>
      </c>
      <c r="L4169" s="18" t="s">
        <v>25</v>
      </c>
      <c r="N4169" s="18" t="s">
        <v>154</v>
      </c>
    </row>
    <row r="4170" spans="1:14" ht="15" customHeight="1" x14ac:dyDescent="0.3">
      <c r="A4170" s="18" t="s">
        <v>8227</v>
      </c>
      <c r="B4170" s="19" t="s">
        <v>15</v>
      </c>
      <c r="C4170" s="18" t="s">
        <v>2012</v>
      </c>
      <c r="D4170" s="18" t="s">
        <v>17</v>
      </c>
      <c r="E4170" s="18" t="s">
        <v>18</v>
      </c>
      <c r="F4170" s="18" t="s">
        <v>1587</v>
      </c>
      <c r="G4170" s="18" t="s">
        <v>47</v>
      </c>
      <c r="H4170" s="18" t="s">
        <v>8228</v>
      </c>
      <c r="I4170" s="20" t="s">
        <v>8238</v>
      </c>
      <c r="J4170" s="18" t="s">
        <v>30</v>
      </c>
      <c r="K4170" s="18" t="s">
        <v>24</v>
      </c>
      <c r="L4170" s="18" t="s">
        <v>25</v>
      </c>
      <c r="N4170" s="18" t="s">
        <v>154</v>
      </c>
    </row>
    <row r="4171" spans="1:14" ht="15" customHeight="1" x14ac:dyDescent="0.3">
      <c r="A4171" s="18" t="s">
        <v>8227</v>
      </c>
      <c r="B4171" s="19" t="s">
        <v>15</v>
      </c>
      <c r="C4171" s="18" t="s">
        <v>2012</v>
      </c>
      <c r="D4171" s="18" t="s">
        <v>17</v>
      </c>
      <c r="E4171" s="18" t="s">
        <v>18</v>
      </c>
      <c r="F4171" s="18" t="s">
        <v>340</v>
      </c>
      <c r="G4171" s="18" t="s">
        <v>340</v>
      </c>
      <c r="H4171" s="18" t="s">
        <v>8228</v>
      </c>
      <c r="I4171" s="20" t="s">
        <v>8239</v>
      </c>
      <c r="J4171" s="18" t="s">
        <v>30</v>
      </c>
      <c r="K4171" s="18" t="s">
        <v>24</v>
      </c>
      <c r="L4171" s="18" t="s">
        <v>25</v>
      </c>
      <c r="N4171" s="18" t="s">
        <v>154</v>
      </c>
    </row>
    <row r="4172" spans="1:14" ht="15" customHeight="1" x14ac:dyDescent="0.3">
      <c r="A4172" s="18" t="s">
        <v>8227</v>
      </c>
      <c r="B4172" s="19" t="s">
        <v>15</v>
      </c>
      <c r="C4172" s="18" t="s">
        <v>2012</v>
      </c>
      <c r="D4172" s="18" t="s">
        <v>17</v>
      </c>
      <c r="E4172" s="18" t="s">
        <v>18</v>
      </c>
      <c r="F4172" s="18" t="s">
        <v>8240</v>
      </c>
      <c r="G4172" s="18" t="s">
        <v>207</v>
      </c>
      <c r="H4172" s="18" t="s">
        <v>8228</v>
      </c>
      <c r="I4172" s="20" t="s">
        <v>8241</v>
      </c>
      <c r="J4172" s="18" t="s">
        <v>30</v>
      </c>
      <c r="K4172" s="18" t="s">
        <v>24</v>
      </c>
      <c r="L4172" s="18" t="s">
        <v>25</v>
      </c>
      <c r="M4172" s="18" t="s">
        <v>39</v>
      </c>
      <c r="N4172" s="18" t="s">
        <v>154</v>
      </c>
    </row>
    <row r="4173" spans="1:14" ht="15" customHeight="1" x14ac:dyDescent="0.3">
      <c r="A4173" s="18" t="s">
        <v>8227</v>
      </c>
      <c r="B4173" s="19" t="s">
        <v>15</v>
      </c>
      <c r="C4173" s="18" t="s">
        <v>2012</v>
      </c>
      <c r="D4173" s="18" t="s">
        <v>17</v>
      </c>
      <c r="E4173" s="18" t="s">
        <v>18</v>
      </c>
      <c r="F4173" s="18" t="s">
        <v>8242</v>
      </c>
      <c r="G4173" s="18" t="s">
        <v>207</v>
      </c>
      <c r="H4173" s="18" t="s">
        <v>8228</v>
      </c>
      <c r="I4173" s="20" t="s">
        <v>8243</v>
      </c>
      <c r="J4173" s="18" t="s">
        <v>30</v>
      </c>
      <c r="K4173" s="18" t="s">
        <v>24</v>
      </c>
      <c r="L4173" s="18" t="s">
        <v>25</v>
      </c>
      <c r="N4173" s="18" t="s">
        <v>154</v>
      </c>
    </row>
    <row r="4174" spans="1:14" ht="15" customHeight="1" x14ac:dyDescent="0.3">
      <c r="A4174" s="18" t="s">
        <v>8227</v>
      </c>
      <c r="B4174" s="19" t="s">
        <v>15</v>
      </c>
      <c r="C4174" s="18" t="s">
        <v>2012</v>
      </c>
      <c r="D4174" s="18" t="s">
        <v>17</v>
      </c>
      <c r="E4174" s="18" t="s">
        <v>18</v>
      </c>
      <c r="F4174" s="18" t="s">
        <v>8244</v>
      </c>
      <c r="G4174" s="18" t="s">
        <v>1291</v>
      </c>
      <c r="H4174" s="18" t="s">
        <v>8228</v>
      </c>
      <c r="I4174" s="20" t="s">
        <v>8245</v>
      </c>
      <c r="J4174" s="18" t="s">
        <v>30</v>
      </c>
      <c r="K4174" s="18" t="s">
        <v>24</v>
      </c>
      <c r="L4174" s="18" t="s">
        <v>25</v>
      </c>
      <c r="N4174" s="18" t="s">
        <v>154</v>
      </c>
    </row>
    <row r="4175" spans="1:14" ht="15" customHeight="1" x14ac:dyDescent="0.3">
      <c r="A4175" s="18" t="s">
        <v>8227</v>
      </c>
      <c r="B4175" s="19" t="s">
        <v>15</v>
      </c>
      <c r="C4175" s="18" t="s">
        <v>2012</v>
      </c>
      <c r="D4175" s="18" t="s">
        <v>17</v>
      </c>
      <c r="E4175" s="18" t="s">
        <v>18</v>
      </c>
      <c r="F4175" s="18" t="s">
        <v>537</v>
      </c>
      <c r="G4175" s="18" t="s">
        <v>537</v>
      </c>
      <c r="H4175" s="18" t="s">
        <v>8228</v>
      </c>
      <c r="I4175" s="20" t="s">
        <v>8246</v>
      </c>
      <c r="J4175" s="18" t="s">
        <v>30</v>
      </c>
      <c r="K4175" s="18" t="s">
        <v>24</v>
      </c>
      <c r="L4175" s="18" t="s">
        <v>25</v>
      </c>
      <c r="N4175" s="18" t="s">
        <v>154</v>
      </c>
    </row>
    <row r="4176" spans="1:14" ht="15" customHeight="1" x14ac:dyDescent="0.3">
      <c r="A4176" s="18" t="s">
        <v>8227</v>
      </c>
      <c r="B4176" s="19" t="s">
        <v>15</v>
      </c>
      <c r="C4176" s="18" t="s">
        <v>2012</v>
      </c>
      <c r="D4176" s="18" t="s">
        <v>17</v>
      </c>
      <c r="E4176" s="18" t="s">
        <v>55</v>
      </c>
      <c r="F4176" s="18" t="s">
        <v>8247</v>
      </c>
      <c r="G4176" s="18" t="s">
        <v>1019</v>
      </c>
      <c r="H4176" s="18" t="s">
        <v>8248</v>
      </c>
      <c r="I4176" s="20" t="s">
        <v>8249</v>
      </c>
      <c r="J4176" s="18" t="s">
        <v>73</v>
      </c>
      <c r="K4176" s="18" t="s">
        <v>91</v>
      </c>
      <c r="L4176" s="18" t="s">
        <v>25</v>
      </c>
      <c r="N4176" s="18" t="s">
        <v>154</v>
      </c>
    </row>
    <row r="4177" spans="1:14" ht="15" customHeight="1" x14ac:dyDescent="0.3">
      <c r="A4177" s="18" t="s">
        <v>8227</v>
      </c>
      <c r="B4177" s="19" t="s">
        <v>15</v>
      </c>
      <c r="C4177" s="18" t="s">
        <v>2012</v>
      </c>
      <c r="D4177" s="18" t="s">
        <v>17</v>
      </c>
      <c r="E4177" s="18" t="s">
        <v>55</v>
      </c>
      <c r="F4177" s="18" t="s">
        <v>8250</v>
      </c>
      <c r="G4177" s="18" t="s">
        <v>1291</v>
      </c>
      <c r="H4177" s="18" t="s">
        <v>8228</v>
      </c>
      <c r="I4177" s="20" t="s">
        <v>8251</v>
      </c>
      <c r="J4177" s="18" t="s">
        <v>58</v>
      </c>
      <c r="K4177" s="18" t="s">
        <v>24</v>
      </c>
      <c r="L4177" s="18" t="s">
        <v>25</v>
      </c>
      <c r="N4177" s="18" t="s">
        <v>154</v>
      </c>
    </row>
    <row r="4178" spans="1:14" ht="15" customHeight="1" x14ac:dyDescent="0.3">
      <c r="A4178" s="18" t="s">
        <v>8227</v>
      </c>
      <c r="B4178" s="19" t="s">
        <v>15</v>
      </c>
      <c r="C4178" s="18" t="s">
        <v>2012</v>
      </c>
      <c r="D4178" s="18" t="s">
        <v>17</v>
      </c>
      <c r="E4178" s="18" t="s">
        <v>55</v>
      </c>
      <c r="F4178" s="18" t="s">
        <v>6768</v>
      </c>
      <c r="G4178" s="18" t="s">
        <v>1055</v>
      </c>
      <c r="H4178" s="18" t="s">
        <v>8228</v>
      </c>
      <c r="I4178" s="20" t="s">
        <v>8252</v>
      </c>
      <c r="J4178" s="18" t="s">
        <v>73</v>
      </c>
      <c r="K4178" s="18" t="s">
        <v>24</v>
      </c>
      <c r="L4178" s="18" t="s">
        <v>25</v>
      </c>
      <c r="N4178" s="18" t="s">
        <v>154</v>
      </c>
    </row>
    <row r="4179" spans="1:14" ht="15" customHeight="1" x14ac:dyDescent="0.3">
      <c r="A4179" s="18" t="s">
        <v>8227</v>
      </c>
      <c r="B4179" s="19" t="s">
        <v>15</v>
      </c>
      <c r="C4179" s="18" t="s">
        <v>2012</v>
      </c>
      <c r="D4179" s="18" t="s">
        <v>17</v>
      </c>
      <c r="E4179" s="18" t="s">
        <v>55</v>
      </c>
      <c r="F4179" s="18" t="s">
        <v>7412</v>
      </c>
      <c r="G4179" s="18" t="s">
        <v>2857</v>
      </c>
      <c r="H4179" s="18" t="s">
        <v>8228</v>
      </c>
      <c r="I4179" s="20" t="s">
        <v>8253</v>
      </c>
      <c r="J4179" s="18" t="s">
        <v>58</v>
      </c>
      <c r="K4179" s="18" t="s">
        <v>24</v>
      </c>
      <c r="L4179" s="18" t="s">
        <v>25</v>
      </c>
      <c r="N4179" s="18" t="s">
        <v>154</v>
      </c>
    </row>
    <row r="4180" spans="1:14" ht="15" customHeight="1" x14ac:dyDescent="0.3">
      <c r="A4180" s="18" t="s">
        <v>8227</v>
      </c>
      <c r="B4180" s="19" t="s">
        <v>15</v>
      </c>
      <c r="C4180" s="18" t="s">
        <v>2012</v>
      </c>
      <c r="D4180" s="18" t="s">
        <v>17</v>
      </c>
      <c r="E4180" s="18" t="s">
        <v>55</v>
      </c>
      <c r="F4180" s="18" t="s">
        <v>7414</v>
      </c>
      <c r="G4180" s="18" t="s">
        <v>2857</v>
      </c>
      <c r="H4180" s="18" t="s">
        <v>8228</v>
      </c>
      <c r="I4180" s="20" t="s">
        <v>8254</v>
      </c>
      <c r="J4180" s="18" t="s">
        <v>58</v>
      </c>
      <c r="K4180" s="18" t="s">
        <v>24</v>
      </c>
      <c r="L4180" s="18" t="s">
        <v>25</v>
      </c>
      <c r="N4180" s="18" t="s">
        <v>154</v>
      </c>
    </row>
    <row r="4181" spans="1:14" ht="15" customHeight="1" x14ac:dyDescent="0.3">
      <c r="A4181" s="18" t="s">
        <v>8227</v>
      </c>
      <c r="B4181" s="19" t="s">
        <v>15</v>
      </c>
      <c r="C4181" s="18" t="s">
        <v>2012</v>
      </c>
      <c r="D4181" s="18" t="s">
        <v>17</v>
      </c>
      <c r="E4181" s="18" t="s">
        <v>55</v>
      </c>
      <c r="F4181" s="18" t="s">
        <v>2384</v>
      </c>
      <c r="G4181" s="18" t="s">
        <v>1019</v>
      </c>
      <c r="H4181" s="18" t="s">
        <v>8228</v>
      </c>
      <c r="I4181" s="20" t="s">
        <v>8255</v>
      </c>
      <c r="J4181" s="18" t="s">
        <v>58</v>
      </c>
      <c r="K4181" s="18" t="s">
        <v>24</v>
      </c>
      <c r="L4181" s="18" t="s">
        <v>25</v>
      </c>
      <c r="N4181" s="18" t="s">
        <v>154</v>
      </c>
    </row>
    <row r="4182" spans="1:14" ht="15" customHeight="1" x14ac:dyDescent="0.3">
      <c r="A4182" s="18" t="s">
        <v>8227</v>
      </c>
      <c r="B4182" s="19" t="s">
        <v>15</v>
      </c>
      <c r="C4182" s="18" t="s">
        <v>2012</v>
      </c>
      <c r="D4182" s="18" t="s">
        <v>17</v>
      </c>
      <c r="E4182" s="18" t="s">
        <v>55</v>
      </c>
      <c r="F4182" s="18" t="s">
        <v>4263</v>
      </c>
      <c r="G4182" s="18" t="s">
        <v>41</v>
      </c>
      <c r="H4182" s="18" t="s">
        <v>8228</v>
      </c>
      <c r="I4182" s="20" t="s">
        <v>8256</v>
      </c>
      <c r="J4182" s="18" t="s">
        <v>73</v>
      </c>
      <c r="K4182" s="18" t="s">
        <v>24</v>
      </c>
      <c r="L4182" s="18" t="s">
        <v>25</v>
      </c>
      <c r="N4182" s="18" t="s">
        <v>154</v>
      </c>
    </row>
    <row r="4183" spans="1:14" ht="15" customHeight="1" x14ac:dyDescent="0.3">
      <c r="A4183" s="18" t="s">
        <v>8227</v>
      </c>
      <c r="B4183" s="19" t="s">
        <v>15</v>
      </c>
      <c r="C4183" s="18" t="s">
        <v>2012</v>
      </c>
      <c r="D4183" s="18" t="s">
        <v>17</v>
      </c>
      <c r="E4183" s="18" t="s">
        <v>55</v>
      </c>
      <c r="F4183" s="18" t="s">
        <v>1450</v>
      </c>
      <c r="G4183" s="18" t="s">
        <v>41</v>
      </c>
      <c r="H4183" s="18" t="s">
        <v>8228</v>
      </c>
      <c r="I4183" s="20" t="s">
        <v>8257</v>
      </c>
      <c r="J4183" s="18" t="s">
        <v>58</v>
      </c>
      <c r="K4183" s="18" t="s">
        <v>24</v>
      </c>
      <c r="L4183" s="18" t="s">
        <v>25</v>
      </c>
      <c r="N4183" s="18" t="s">
        <v>154</v>
      </c>
    </row>
    <row r="4184" spans="1:14" ht="15" customHeight="1" x14ac:dyDescent="0.3">
      <c r="A4184" s="18" t="s">
        <v>8227</v>
      </c>
      <c r="B4184" s="19" t="s">
        <v>15</v>
      </c>
      <c r="C4184" s="18" t="s">
        <v>2012</v>
      </c>
      <c r="D4184" s="18" t="s">
        <v>17</v>
      </c>
      <c r="E4184" s="18" t="s">
        <v>55</v>
      </c>
      <c r="F4184" s="18" t="s">
        <v>3997</v>
      </c>
      <c r="G4184" s="18" t="s">
        <v>41</v>
      </c>
      <c r="H4184" s="18" t="s">
        <v>8228</v>
      </c>
      <c r="I4184" s="20" t="s">
        <v>8258</v>
      </c>
      <c r="J4184" s="18" t="s">
        <v>58</v>
      </c>
      <c r="K4184" s="18" t="s">
        <v>24</v>
      </c>
      <c r="L4184" s="18" t="s">
        <v>25</v>
      </c>
      <c r="N4184" s="18" t="s">
        <v>154</v>
      </c>
    </row>
    <row r="4185" spans="1:14" ht="15" customHeight="1" x14ac:dyDescent="0.3">
      <c r="A4185" s="18" t="s">
        <v>8227</v>
      </c>
      <c r="B4185" s="19" t="s">
        <v>15</v>
      </c>
      <c r="C4185" s="18" t="s">
        <v>2012</v>
      </c>
      <c r="D4185" s="18" t="s">
        <v>17</v>
      </c>
      <c r="E4185" s="18" t="s">
        <v>55</v>
      </c>
      <c r="F4185" s="18" t="s">
        <v>8259</v>
      </c>
      <c r="G4185" s="18" t="s">
        <v>47</v>
      </c>
      <c r="H4185" s="18" t="s">
        <v>8248</v>
      </c>
      <c r="I4185" s="20" t="s">
        <v>8260</v>
      </c>
      <c r="J4185" s="18" t="s">
        <v>58</v>
      </c>
      <c r="K4185" s="18" t="s">
        <v>91</v>
      </c>
      <c r="L4185" s="18" t="s">
        <v>25</v>
      </c>
      <c r="N4185" s="18" t="s">
        <v>154</v>
      </c>
    </row>
    <row r="4186" spans="1:14" ht="15" customHeight="1" x14ac:dyDescent="0.3">
      <c r="A4186" s="18" t="s">
        <v>8227</v>
      </c>
      <c r="B4186" s="19" t="s">
        <v>15</v>
      </c>
      <c r="C4186" s="18" t="s">
        <v>2012</v>
      </c>
      <c r="D4186" s="18" t="s">
        <v>17</v>
      </c>
      <c r="E4186" s="18" t="s">
        <v>55</v>
      </c>
      <c r="F4186" s="18" t="s">
        <v>8261</v>
      </c>
      <c r="G4186" s="18" t="s">
        <v>340</v>
      </c>
      <c r="H4186" s="18" t="s">
        <v>8228</v>
      </c>
      <c r="I4186" s="20" t="s">
        <v>8262</v>
      </c>
      <c r="J4186" s="18" t="s">
        <v>58</v>
      </c>
      <c r="K4186" s="18" t="s">
        <v>24</v>
      </c>
      <c r="L4186" s="18" t="s">
        <v>25</v>
      </c>
      <c r="N4186" s="18" t="s">
        <v>154</v>
      </c>
    </row>
    <row r="4187" spans="1:14" ht="15" customHeight="1" x14ac:dyDescent="0.3">
      <c r="A4187" s="18" t="s">
        <v>8227</v>
      </c>
      <c r="B4187" s="19" t="s">
        <v>15</v>
      </c>
      <c r="C4187" s="18" t="s">
        <v>2012</v>
      </c>
      <c r="D4187" s="18" t="s">
        <v>17</v>
      </c>
      <c r="E4187" s="18" t="s">
        <v>55</v>
      </c>
      <c r="F4187" s="18" t="s">
        <v>8263</v>
      </c>
      <c r="G4187" s="18" t="s">
        <v>340</v>
      </c>
      <c r="H4187" s="18" t="s">
        <v>8227</v>
      </c>
      <c r="I4187" s="20" t="s">
        <v>8264</v>
      </c>
      <c r="J4187" s="18" t="s">
        <v>58</v>
      </c>
      <c r="K4187" s="18" t="s">
        <v>24</v>
      </c>
      <c r="L4187" s="18" t="s">
        <v>25</v>
      </c>
      <c r="N4187" s="18" t="s">
        <v>154</v>
      </c>
    </row>
    <row r="4188" spans="1:14" ht="15" customHeight="1" x14ac:dyDescent="0.3">
      <c r="A4188" s="18" t="s">
        <v>8227</v>
      </c>
      <c r="B4188" s="19" t="s">
        <v>15</v>
      </c>
      <c r="C4188" s="18" t="s">
        <v>2012</v>
      </c>
      <c r="D4188" s="18" t="s">
        <v>17</v>
      </c>
      <c r="E4188" s="18" t="s">
        <v>55</v>
      </c>
      <c r="F4188" s="18" t="s">
        <v>655</v>
      </c>
      <c r="G4188" s="18" t="s">
        <v>340</v>
      </c>
      <c r="H4188" s="18" t="s">
        <v>8228</v>
      </c>
      <c r="I4188" s="20" t="s">
        <v>8265</v>
      </c>
      <c r="J4188" s="18" t="s">
        <v>58</v>
      </c>
      <c r="K4188" s="18" t="s">
        <v>24</v>
      </c>
      <c r="L4188" s="18" t="s">
        <v>25</v>
      </c>
      <c r="N4188" s="18" t="s">
        <v>154</v>
      </c>
    </row>
    <row r="4189" spans="1:14" ht="15" customHeight="1" x14ac:dyDescent="0.3">
      <c r="A4189" s="18" t="s">
        <v>8227</v>
      </c>
      <c r="B4189" s="19" t="s">
        <v>15</v>
      </c>
      <c r="C4189" s="18" t="s">
        <v>2012</v>
      </c>
      <c r="D4189" s="18" t="s">
        <v>17</v>
      </c>
      <c r="E4189" s="18" t="s">
        <v>55</v>
      </c>
      <c r="F4189" s="18" t="s">
        <v>8266</v>
      </c>
      <c r="G4189" s="18" t="s">
        <v>340</v>
      </c>
      <c r="H4189" s="18" t="s">
        <v>8228</v>
      </c>
      <c r="I4189" s="20" t="s">
        <v>8267</v>
      </c>
      <c r="J4189" s="18" t="s">
        <v>58</v>
      </c>
      <c r="K4189" s="18" t="s">
        <v>24</v>
      </c>
      <c r="L4189" s="18" t="s">
        <v>25</v>
      </c>
      <c r="N4189" s="18" t="s">
        <v>154</v>
      </c>
    </row>
    <row r="4190" spans="1:14" ht="15" customHeight="1" x14ac:dyDescent="0.3">
      <c r="A4190" s="18" t="s">
        <v>8227</v>
      </c>
      <c r="B4190" s="19" t="s">
        <v>15</v>
      </c>
      <c r="C4190" s="18" t="s">
        <v>2012</v>
      </c>
      <c r="D4190" s="18" t="s">
        <v>17</v>
      </c>
      <c r="E4190" s="18" t="s">
        <v>55</v>
      </c>
      <c r="F4190" s="18" t="s">
        <v>8268</v>
      </c>
      <c r="G4190" s="18" t="s">
        <v>47</v>
      </c>
      <c r="H4190" s="18" t="s">
        <v>8228</v>
      </c>
      <c r="I4190" s="20" t="s">
        <v>8269</v>
      </c>
      <c r="J4190" s="18" t="s">
        <v>58</v>
      </c>
      <c r="K4190" s="18" t="s">
        <v>24</v>
      </c>
      <c r="L4190" s="18" t="s">
        <v>25</v>
      </c>
      <c r="N4190" s="18" t="s">
        <v>154</v>
      </c>
    </row>
    <row r="4191" spans="1:14" ht="15" customHeight="1" x14ac:dyDescent="0.3">
      <c r="A4191" s="18" t="s">
        <v>8227</v>
      </c>
      <c r="B4191" s="19" t="s">
        <v>15</v>
      </c>
      <c r="C4191" s="18" t="s">
        <v>2012</v>
      </c>
      <c r="D4191" s="18" t="s">
        <v>17</v>
      </c>
      <c r="E4191" s="18" t="s">
        <v>55</v>
      </c>
      <c r="F4191" s="18" t="s">
        <v>1612</v>
      </c>
      <c r="G4191" s="18" t="s">
        <v>47</v>
      </c>
      <c r="H4191" s="18" t="s">
        <v>8228</v>
      </c>
      <c r="I4191" s="20" t="s">
        <v>8270</v>
      </c>
      <c r="J4191" s="18" t="s">
        <v>58</v>
      </c>
      <c r="K4191" s="18" t="s">
        <v>24</v>
      </c>
      <c r="L4191" s="18" t="s">
        <v>25</v>
      </c>
      <c r="N4191" s="18" t="s">
        <v>154</v>
      </c>
    </row>
    <row r="4192" spans="1:14" ht="15" customHeight="1" x14ac:dyDescent="0.3">
      <c r="A4192" s="18" t="s">
        <v>8227</v>
      </c>
      <c r="B4192" s="19" t="s">
        <v>15</v>
      </c>
      <c r="C4192" s="18" t="s">
        <v>2012</v>
      </c>
      <c r="D4192" s="18" t="s">
        <v>17</v>
      </c>
      <c r="E4192" s="18" t="s">
        <v>55</v>
      </c>
      <c r="F4192" s="18" t="s">
        <v>1653</v>
      </c>
      <c r="G4192" s="18" t="s">
        <v>1019</v>
      </c>
      <c r="H4192" s="18" t="s">
        <v>8228</v>
      </c>
      <c r="I4192" s="20" t="s">
        <v>8271</v>
      </c>
      <c r="J4192" s="18" t="s">
        <v>58</v>
      </c>
      <c r="K4192" s="18" t="s">
        <v>24</v>
      </c>
      <c r="L4192" s="18" t="s">
        <v>25</v>
      </c>
      <c r="N4192" s="18" t="s">
        <v>154</v>
      </c>
    </row>
    <row r="4193" spans="1:14" ht="15" customHeight="1" x14ac:dyDescent="0.3">
      <c r="A4193" s="18" t="s">
        <v>8227</v>
      </c>
      <c r="B4193" s="19" t="s">
        <v>15</v>
      </c>
      <c r="C4193" s="18" t="s">
        <v>2012</v>
      </c>
      <c r="D4193" s="18" t="s">
        <v>17</v>
      </c>
      <c r="E4193" s="18" t="s">
        <v>55</v>
      </c>
      <c r="F4193" s="18" t="s">
        <v>8272</v>
      </c>
      <c r="G4193" s="18" t="s">
        <v>537</v>
      </c>
      <c r="H4193" s="18" t="s">
        <v>8228</v>
      </c>
      <c r="I4193" s="20" t="s">
        <v>8273</v>
      </c>
      <c r="J4193" s="18" t="s">
        <v>58</v>
      </c>
      <c r="K4193" s="18" t="s">
        <v>24</v>
      </c>
      <c r="L4193" s="18" t="s">
        <v>25</v>
      </c>
      <c r="N4193" s="18" t="s">
        <v>154</v>
      </c>
    </row>
    <row r="4194" spans="1:14" ht="15" customHeight="1" x14ac:dyDescent="0.3">
      <c r="A4194" s="18" t="s">
        <v>8227</v>
      </c>
      <c r="B4194" s="19" t="s">
        <v>15</v>
      </c>
      <c r="C4194" s="18" t="s">
        <v>2012</v>
      </c>
      <c r="D4194" s="18" t="s">
        <v>17</v>
      </c>
      <c r="E4194" s="18" t="s">
        <v>74</v>
      </c>
      <c r="F4194" s="18" t="s">
        <v>8274</v>
      </c>
      <c r="G4194" s="18" t="s">
        <v>1019</v>
      </c>
      <c r="H4194" s="18" t="s">
        <v>8275</v>
      </c>
      <c r="I4194" s="20" t="s">
        <v>8276</v>
      </c>
      <c r="J4194" s="18" t="s">
        <v>8277</v>
      </c>
      <c r="K4194" s="18" t="s">
        <v>91</v>
      </c>
      <c r="L4194" s="18" t="s">
        <v>25</v>
      </c>
      <c r="N4194" s="18" t="s">
        <v>154</v>
      </c>
    </row>
    <row r="4195" spans="1:14" ht="15" customHeight="1" x14ac:dyDescent="0.3">
      <c r="A4195" s="18" t="s">
        <v>8227</v>
      </c>
      <c r="B4195" s="19" t="s">
        <v>15</v>
      </c>
      <c r="C4195" s="18" t="s">
        <v>2012</v>
      </c>
      <c r="D4195" s="18" t="s">
        <v>17</v>
      </c>
      <c r="E4195" s="18" t="s">
        <v>74</v>
      </c>
      <c r="F4195" s="18" t="s">
        <v>8278</v>
      </c>
      <c r="G4195" s="18" t="s">
        <v>207</v>
      </c>
      <c r="H4195" s="18" t="s">
        <v>8279</v>
      </c>
      <c r="I4195" s="20" t="s">
        <v>8280</v>
      </c>
      <c r="J4195" s="18" t="s">
        <v>8281</v>
      </c>
      <c r="K4195" s="18" t="s">
        <v>293</v>
      </c>
      <c r="L4195" s="18" t="s">
        <v>25</v>
      </c>
      <c r="N4195" s="18" t="s">
        <v>154</v>
      </c>
    </row>
    <row r="4196" spans="1:14" ht="15" customHeight="1" x14ac:dyDescent="0.3">
      <c r="A4196" s="18" t="s">
        <v>8227</v>
      </c>
      <c r="B4196" s="19" t="s">
        <v>15</v>
      </c>
      <c r="C4196" s="18" t="s">
        <v>2012</v>
      </c>
      <c r="D4196" s="18" t="s">
        <v>17</v>
      </c>
      <c r="E4196" s="18" t="s">
        <v>74</v>
      </c>
      <c r="F4196" s="18" t="s">
        <v>8282</v>
      </c>
      <c r="G4196" s="18" t="s">
        <v>340</v>
      </c>
      <c r="H4196" s="18" t="s">
        <v>8283</v>
      </c>
      <c r="I4196" s="20" t="s">
        <v>8284</v>
      </c>
      <c r="J4196" s="18" t="s">
        <v>8285</v>
      </c>
      <c r="K4196" s="18" t="s">
        <v>24</v>
      </c>
      <c r="L4196" s="18" t="s">
        <v>25</v>
      </c>
      <c r="N4196" s="18" t="s">
        <v>154</v>
      </c>
    </row>
    <row r="4197" spans="1:14" ht="15" customHeight="1" x14ac:dyDescent="0.3">
      <c r="A4197" s="18" t="s">
        <v>8227</v>
      </c>
      <c r="B4197" s="19" t="s">
        <v>15</v>
      </c>
      <c r="C4197" s="18" t="s">
        <v>2012</v>
      </c>
      <c r="D4197" s="18" t="s">
        <v>17</v>
      </c>
      <c r="E4197" s="18" t="s">
        <v>74</v>
      </c>
      <c r="F4197" s="18" t="s">
        <v>1741</v>
      </c>
      <c r="G4197" s="18" t="s">
        <v>1204</v>
      </c>
      <c r="H4197" s="18" t="s">
        <v>8286</v>
      </c>
      <c r="I4197" s="20" t="s">
        <v>8287</v>
      </c>
      <c r="J4197" s="18" t="s">
        <v>894</v>
      </c>
      <c r="K4197" s="18" t="s">
        <v>91</v>
      </c>
      <c r="L4197" s="18" t="s">
        <v>25</v>
      </c>
      <c r="N4197" s="18" t="s">
        <v>154</v>
      </c>
    </row>
    <row r="4198" spans="1:14" ht="15" customHeight="1" x14ac:dyDescent="0.3">
      <c r="A4198" s="18" t="s">
        <v>8227</v>
      </c>
      <c r="B4198" s="19" t="s">
        <v>15</v>
      </c>
      <c r="C4198" s="18" t="s">
        <v>2012</v>
      </c>
      <c r="D4198" s="18" t="s">
        <v>17</v>
      </c>
      <c r="E4198" s="18" t="s">
        <v>74</v>
      </c>
      <c r="F4198" s="18" t="s">
        <v>8288</v>
      </c>
      <c r="G4198" s="18" t="s">
        <v>41</v>
      </c>
      <c r="H4198" s="18" t="s">
        <v>8286</v>
      </c>
      <c r="I4198" s="20" t="s">
        <v>8289</v>
      </c>
      <c r="J4198" s="18" t="s">
        <v>179</v>
      </c>
      <c r="K4198" s="18" t="s">
        <v>293</v>
      </c>
      <c r="L4198" s="18" t="s">
        <v>25</v>
      </c>
      <c r="N4198" s="18" t="s">
        <v>154</v>
      </c>
    </row>
    <row r="4199" spans="1:14" ht="15" customHeight="1" x14ac:dyDescent="0.3">
      <c r="A4199" s="18" t="s">
        <v>8227</v>
      </c>
      <c r="B4199" s="19" t="s">
        <v>15</v>
      </c>
      <c r="C4199" s="18" t="s">
        <v>2012</v>
      </c>
      <c r="D4199" s="18" t="s">
        <v>17</v>
      </c>
      <c r="E4199" s="18" t="s">
        <v>74</v>
      </c>
      <c r="F4199" s="18" t="s">
        <v>8290</v>
      </c>
      <c r="G4199" s="18" t="s">
        <v>1019</v>
      </c>
      <c r="H4199" s="18" t="s">
        <v>8275</v>
      </c>
      <c r="I4199" s="20" t="s">
        <v>8291</v>
      </c>
      <c r="J4199" s="18" t="s">
        <v>179</v>
      </c>
      <c r="K4199" s="18" t="s">
        <v>24</v>
      </c>
      <c r="L4199" s="18" t="s">
        <v>25</v>
      </c>
      <c r="N4199" s="18" t="s">
        <v>154</v>
      </c>
    </row>
    <row r="4200" spans="1:14" ht="15" customHeight="1" x14ac:dyDescent="0.3">
      <c r="A4200" s="18" t="s">
        <v>8227</v>
      </c>
      <c r="B4200" s="19" t="s">
        <v>15</v>
      </c>
      <c r="C4200" s="18" t="s">
        <v>2012</v>
      </c>
      <c r="D4200" s="18" t="s">
        <v>17</v>
      </c>
      <c r="E4200" s="18" t="s">
        <v>74</v>
      </c>
      <c r="F4200" s="18" t="s">
        <v>8292</v>
      </c>
      <c r="G4200" s="18" t="s">
        <v>207</v>
      </c>
      <c r="H4200" s="18" t="s">
        <v>8279</v>
      </c>
      <c r="I4200" s="20" t="s">
        <v>8293</v>
      </c>
      <c r="J4200" s="18" t="s">
        <v>8294</v>
      </c>
      <c r="K4200" s="18" t="s">
        <v>293</v>
      </c>
      <c r="L4200" s="18" t="s">
        <v>25</v>
      </c>
      <c r="N4200" s="18" t="s">
        <v>154</v>
      </c>
    </row>
    <row r="4201" spans="1:14" ht="15" customHeight="1" x14ac:dyDescent="0.3">
      <c r="A4201" s="18" t="s">
        <v>8227</v>
      </c>
      <c r="B4201" s="19" t="s">
        <v>15</v>
      </c>
      <c r="C4201" s="18" t="s">
        <v>2012</v>
      </c>
      <c r="D4201" s="18" t="s">
        <v>17</v>
      </c>
      <c r="E4201" s="18" t="s">
        <v>74</v>
      </c>
      <c r="F4201" s="18" t="s">
        <v>8295</v>
      </c>
      <c r="G4201" s="18" t="s">
        <v>1204</v>
      </c>
      <c r="H4201" s="18" t="s">
        <v>8286</v>
      </c>
      <c r="I4201" s="20" t="s">
        <v>8296</v>
      </c>
      <c r="J4201" s="18" t="s">
        <v>179</v>
      </c>
      <c r="K4201" s="18" t="s">
        <v>24</v>
      </c>
      <c r="L4201" s="18" t="s">
        <v>25</v>
      </c>
      <c r="N4201" s="18" t="s">
        <v>154</v>
      </c>
    </row>
    <row r="4202" spans="1:14" ht="15" customHeight="1" x14ac:dyDescent="0.3">
      <c r="A4202" s="18" t="s">
        <v>8227</v>
      </c>
      <c r="B4202" s="19" t="s">
        <v>15</v>
      </c>
      <c r="C4202" s="18" t="s">
        <v>2012</v>
      </c>
      <c r="D4202" s="18" t="s">
        <v>17</v>
      </c>
      <c r="E4202" s="18" t="s">
        <v>226</v>
      </c>
      <c r="F4202" s="18" t="s">
        <v>8288</v>
      </c>
      <c r="G4202" s="18" t="s">
        <v>41</v>
      </c>
      <c r="H4202" s="18" t="s">
        <v>8286</v>
      </c>
      <c r="I4202" s="20" t="s">
        <v>8297</v>
      </c>
      <c r="J4202" s="18" t="s">
        <v>8298</v>
      </c>
      <c r="K4202" s="18" t="s">
        <v>293</v>
      </c>
      <c r="L4202" s="18" t="s">
        <v>25</v>
      </c>
      <c r="N4202" s="18" t="s">
        <v>154</v>
      </c>
    </row>
    <row r="4203" spans="1:14" ht="15" customHeight="1" x14ac:dyDescent="0.3">
      <c r="A4203" s="18" t="s">
        <v>8299</v>
      </c>
      <c r="B4203" s="19" t="s">
        <v>15</v>
      </c>
      <c r="C4203" s="18" t="s">
        <v>715</v>
      </c>
      <c r="D4203" s="18" t="s">
        <v>116</v>
      </c>
      <c r="E4203" s="18" t="s">
        <v>117</v>
      </c>
      <c r="F4203" s="18" t="s">
        <v>8300</v>
      </c>
      <c r="G4203" s="18" t="s">
        <v>1075</v>
      </c>
      <c r="H4203" s="18" t="s">
        <v>8301</v>
      </c>
      <c r="I4203" s="20" t="s">
        <v>8302</v>
      </c>
      <c r="J4203" s="18" t="s">
        <v>58</v>
      </c>
      <c r="K4203" s="18" t="s">
        <v>24</v>
      </c>
      <c r="L4203" s="18" t="s">
        <v>25</v>
      </c>
      <c r="N4203" s="18" t="s">
        <v>154</v>
      </c>
    </row>
    <row r="4204" spans="1:14" ht="15" customHeight="1" x14ac:dyDescent="0.3">
      <c r="A4204" s="18" t="s">
        <v>8299</v>
      </c>
      <c r="B4204" s="19" t="s">
        <v>15</v>
      </c>
      <c r="C4204" s="18" t="s">
        <v>6008</v>
      </c>
      <c r="D4204" s="18" t="s">
        <v>116</v>
      </c>
      <c r="E4204" s="18" t="s">
        <v>117</v>
      </c>
      <c r="F4204" s="18" t="s">
        <v>8303</v>
      </c>
      <c r="G4204" s="18" t="s">
        <v>433</v>
      </c>
      <c r="H4204" s="18" t="s">
        <v>8304</v>
      </c>
      <c r="I4204" s="20" t="s">
        <v>8305</v>
      </c>
      <c r="J4204" s="18" t="s">
        <v>58</v>
      </c>
      <c r="K4204" s="18" t="s">
        <v>24</v>
      </c>
      <c r="L4204" s="18" t="s">
        <v>25</v>
      </c>
      <c r="N4204" s="18" t="s">
        <v>807</v>
      </c>
    </row>
    <row r="4205" spans="1:14" ht="15" customHeight="1" x14ac:dyDescent="0.3">
      <c r="A4205" s="18" t="s">
        <v>8299</v>
      </c>
      <c r="B4205" s="19" t="s">
        <v>15</v>
      </c>
      <c r="C4205" s="18" t="s">
        <v>6008</v>
      </c>
      <c r="D4205" s="18" t="s">
        <v>116</v>
      </c>
      <c r="E4205" s="18" t="s">
        <v>117</v>
      </c>
      <c r="F4205" s="18" t="s">
        <v>8306</v>
      </c>
      <c r="G4205" s="18" t="s">
        <v>564</v>
      </c>
      <c r="H4205" s="18" t="s">
        <v>8307</v>
      </c>
      <c r="I4205" s="20" t="s">
        <v>8308</v>
      </c>
      <c r="J4205" s="18" t="s">
        <v>58</v>
      </c>
      <c r="K4205" s="18" t="s">
        <v>24</v>
      </c>
      <c r="L4205" s="18" t="s">
        <v>25</v>
      </c>
      <c r="N4205" s="18" t="s">
        <v>807</v>
      </c>
    </row>
    <row r="4206" spans="1:14" ht="15" customHeight="1" x14ac:dyDescent="0.3">
      <c r="A4206" s="18" t="s">
        <v>8299</v>
      </c>
      <c r="B4206" s="19" t="s">
        <v>15</v>
      </c>
      <c r="C4206" s="18" t="s">
        <v>8309</v>
      </c>
      <c r="D4206" s="18" t="s">
        <v>116</v>
      </c>
      <c r="E4206" s="18" t="s">
        <v>117</v>
      </c>
      <c r="F4206" s="18" t="s">
        <v>1466</v>
      </c>
      <c r="G4206" s="18" t="s">
        <v>47</v>
      </c>
      <c r="H4206" s="18" t="s">
        <v>8310</v>
      </c>
      <c r="I4206" s="20" t="s">
        <v>8311</v>
      </c>
      <c r="J4206" s="18" t="s">
        <v>58</v>
      </c>
      <c r="K4206" s="18" t="s">
        <v>24</v>
      </c>
      <c r="L4206" s="18" t="s">
        <v>25</v>
      </c>
      <c r="N4206" s="18" t="s">
        <v>973</v>
      </c>
    </row>
    <row r="4207" spans="1:14" ht="15" customHeight="1" x14ac:dyDescent="0.3">
      <c r="A4207" s="18" t="s">
        <v>8299</v>
      </c>
      <c r="B4207" s="19" t="s">
        <v>15</v>
      </c>
      <c r="C4207" s="18" t="s">
        <v>8309</v>
      </c>
      <c r="D4207" s="18" t="s">
        <v>116</v>
      </c>
      <c r="E4207" s="18" t="s">
        <v>117</v>
      </c>
      <c r="F4207" s="18" t="s">
        <v>1629</v>
      </c>
      <c r="G4207" s="18" t="s">
        <v>219</v>
      </c>
      <c r="H4207" s="18" t="s">
        <v>8310</v>
      </c>
      <c r="I4207" s="20" t="s">
        <v>8312</v>
      </c>
      <c r="J4207" s="18" t="s">
        <v>58</v>
      </c>
      <c r="K4207" s="18" t="s">
        <v>24</v>
      </c>
      <c r="L4207" s="18" t="s">
        <v>25</v>
      </c>
      <c r="N4207" s="18" t="s">
        <v>973</v>
      </c>
    </row>
    <row r="4208" spans="1:14" ht="15" customHeight="1" x14ac:dyDescent="0.3">
      <c r="A4208" s="18" t="s">
        <v>8299</v>
      </c>
      <c r="B4208" s="19" t="s">
        <v>15</v>
      </c>
      <c r="C4208" s="18" t="s">
        <v>715</v>
      </c>
      <c r="D4208" s="18" t="s">
        <v>116</v>
      </c>
      <c r="E4208" s="18" t="s">
        <v>117</v>
      </c>
      <c r="F4208" s="18" t="s">
        <v>1571</v>
      </c>
      <c r="G4208" s="18" t="s">
        <v>47</v>
      </c>
      <c r="H4208" s="18" t="s">
        <v>8301</v>
      </c>
      <c r="I4208" s="20" t="s">
        <v>8313</v>
      </c>
      <c r="J4208" s="18" t="s">
        <v>58</v>
      </c>
      <c r="K4208" s="18" t="s">
        <v>24</v>
      </c>
      <c r="L4208" s="18" t="s">
        <v>25</v>
      </c>
      <c r="N4208" s="18" t="s">
        <v>154</v>
      </c>
    </row>
    <row r="4209" spans="1:14" ht="15" customHeight="1" x14ac:dyDescent="0.3">
      <c r="A4209" s="18" t="s">
        <v>8299</v>
      </c>
      <c r="B4209" s="19" t="s">
        <v>15</v>
      </c>
      <c r="C4209" s="18" t="s">
        <v>715</v>
      </c>
      <c r="D4209" s="18" t="s">
        <v>116</v>
      </c>
      <c r="E4209" s="18" t="s">
        <v>117</v>
      </c>
      <c r="F4209" s="18" t="s">
        <v>2688</v>
      </c>
      <c r="G4209" s="18" t="s">
        <v>28</v>
      </c>
      <c r="H4209" s="18" t="s">
        <v>8301</v>
      </c>
      <c r="I4209" s="20" t="s">
        <v>8314</v>
      </c>
      <c r="J4209" s="18" t="s">
        <v>58</v>
      </c>
      <c r="K4209" s="18" t="s">
        <v>24</v>
      </c>
      <c r="L4209" s="18" t="s">
        <v>25</v>
      </c>
      <c r="N4209" s="18" t="s">
        <v>154</v>
      </c>
    </row>
    <row r="4210" spans="1:14" ht="15" customHeight="1" x14ac:dyDescent="0.3">
      <c r="A4210" s="18" t="s">
        <v>8299</v>
      </c>
      <c r="B4210" s="19" t="s">
        <v>15</v>
      </c>
      <c r="C4210" s="18" t="s">
        <v>715</v>
      </c>
      <c r="D4210" s="18" t="s">
        <v>116</v>
      </c>
      <c r="E4210" s="18" t="s">
        <v>117</v>
      </c>
      <c r="F4210" s="18" t="s">
        <v>8315</v>
      </c>
      <c r="G4210" s="18" t="s">
        <v>28</v>
      </c>
      <c r="H4210" s="18" t="s">
        <v>8301</v>
      </c>
      <c r="I4210" s="20" t="s">
        <v>8316</v>
      </c>
      <c r="J4210" s="18" t="s">
        <v>58</v>
      </c>
      <c r="K4210" s="18" t="s">
        <v>24</v>
      </c>
      <c r="L4210" s="18" t="s">
        <v>25</v>
      </c>
      <c r="N4210" s="18" t="s">
        <v>154</v>
      </c>
    </row>
    <row r="4211" spans="1:14" ht="15" customHeight="1" x14ac:dyDescent="0.3">
      <c r="A4211" s="18" t="s">
        <v>8299</v>
      </c>
      <c r="B4211" s="19" t="s">
        <v>15</v>
      </c>
      <c r="C4211" s="18" t="s">
        <v>8309</v>
      </c>
      <c r="D4211" s="18" t="s">
        <v>116</v>
      </c>
      <c r="E4211" s="18" t="s">
        <v>117</v>
      </c>
      <c r="F4211" s="18" t="s">
        <v>2699</v>
      </c>
      <c r="G4211" s="18" t="s">
        <v>41</v>
      </c>
      <c r="H4211" s="18" t="s">
        <v>8310</v>
      </c>
      <c r="I4211" s="20" t="s">
        <v>8317</v>
      </c>
      <c r="J4211" s="18" t="s">
        <v>58</v>
      </c>
      <c r="K4211" s="18" t="s">
        <v>24</v>
      </c>
      <c r="L4211" s="18" t="s">
        <v>25</v>
      </c>
      <c r="N4211" s="18" t="s">
        <v>973</v>
      </c>
    </row>
    <row r="4212" spans="1:14" ht="15" customHeight="1" x14ac:dyDescent="0.3">
      <c r="A4212" s="18" t="s">
        <v>8299</v>
      </c>
      <c r="B4212" s="19" t="s">
        <v>15</v>
      </c>
      <c r="C4212" s="18" t="s">
        <v>715</v>
      </c>
      <c r="D4212" s="18" t="s">
        <v>116</v>
      </c>
      <c r="E4212" s="18" t="s">
        <v>117</v>
      </c>
      <c r="F4212" s="18" t="s">
        <v>8318</v>
      </c>
      <c r="G4212" s="18" t="s">
        <v>1221</v>
      </c>
      <c r="H4212" s="18" t="s">
        <v>8301</v>
      </c>
      <c r="I4212" s="20" t="s">
        <v>8319</v>
      </c>
      <c r="J4212" s="18" t="s">
        <v>58</v>
      </c>
      <c r="K4212" s="18" t="s">
        <v>24</v>
      </c>
      <c r="L4212" s="18" t="s">
        <v>25</v>
      </c>
      <c r="N4212" s="18" t="s">
        <v>154</v>
      </c>
    </row>
    <row r="4213" spans="1:14" ht="15" customHeight="1" x14ac:dyDescent="0.3">
      <c r="A4213" s="18" t="s">
        <v>8299</v>
      </c>
      <c r="B4213" s="19" t="s">
        <v>15</v>
      </c>
      <c r="C4213" s="18" t="s">
        <v>6008</v>
      </c>
      <c r="D4213" s="18" t="s">
        <v>116</v>
      </c>
      <c r="E4213" s="18" t="s">
        <v>117</v>
      </c>
      <c r="F4213" s="18" t="s">
        <v>1445</v>
      </c>
      <c r="G4213" s="18" t="s">
        <v>207</v>
      </c>
      <c r="H4213" s="18" t="s">
        <v>8307</v>
      </c>
      <c r="I4213" s="20" t="s">
        <v>8320</v>
      </c>
      <c r="J4213" s="18" t="s">
        <v>58</v>
      </c>
      <c r="K4213" s="18" t="s">
        <v>24</v>
      </c>
      <c r="L4213" s="18" t="s">
        <v>25</v>
      </c>
      <c r="N4213" s="18" t="s">
        <v>807</v>
      </c>
    </row>
    <row r="4214" spans="1:14" ht="15" customHeight="1" x14ac:dyDescent="0.3">
      <c r="A4214" s="18" t="s">
        <v>8299</v>
      </c>
      <c r="B4214" s="19" t="s">
        <v>15</v>
      </c>
      <c r="C4214" s="18" t="s">
        <v>6008</v>
      </c>
      <c r="D4214" s="18" t="s">
        <v>116</v>
      </c>
      <c r="E4214" s="18" t="s">
        <v>117</v>
      </c>
      <c r="F4214" s="18" t="s">
        <v>8321</v>
      </c>
      <c r="G4214" s="18" t="s">
        <v>47</v>
      </c>
      <c r="H4214" s="18" t="s">
        <v>8307</v>
      </c>
      <c r="I4214" s="20" t="s">
        <v>8322</v>
      </c>
      <c r="J4214" s="18" t="s">
        <v>58</v>
      </c>
      <c r="K4214" s="18" t="s">
        <v>24</v>
      </c>
      <c r="L4214" s="18" t="s">
        <v>25</v>
      </c>
      <c r="N4214" s="18" t="s">
        <v>807</v>
      </c>
    </row>
    <row r="4215" spans="1:14" ht="15" customHeight="1" x14ac:dyDescent="0.3">
      <c r="A4215" s="18" t="s">
        <v>8299</v>
      </c>
      <c r="B4215" s="19" t="s">
        <v>15</v>
      </c>
      <c r="C4215" s="18" t="s">
        <v>8309</v>
      </c>
      <c r="D4215" s="18" t="s">
        <v>116</v>
      </c>
      <c r="E4215" s="18" t="s">
        <v>117</v>
      </c>
      <c r="F4215" s="18" t="s">
        <v>1929</v>
      </c>
      <c r="G4215" s="18" t="s">
        <v>1204</v>
      </c>
      <c r="H4215" s="18" t="s">
        <v>8310</v>
      </c>
      <c r="I4215" s="20" t="s">
        <v>8323</v>
      </c>
      <c r="J4215" s="18" t="s">
        <v>58</v>
      </c>
      <c r="K4215" s="18" t="s">
        <v>24</v>
      </c>
      <c r="L4215" s="18" t="s">
        <v>25</v>
      </c>
      <c r="N4215" s="18" t="s">
        <v>973</v>
      </c>
    </row>
    <row r="4216" spans="1:14" ht="15" customHeight="1" x14ac:dyDescent="0.3">
      <c r="A4216" s="18" t="s">
        <v>8299</v>
      </c>
      <c r="B4216" s="19" t="s">
        <v>15</v>
      </c>
      <c r="C4216" s="18" t="s">
        <v>8309</v>
      </c>
      <c r="D4216" s="18" t="s">
        <v>116</v>
      </c>
      <c r="E4216" s="18" t="s">
        <v>117</v>
      </c>
      <c r="F4216" s="18" t="s">
        <v>4159</v>
      </c>
      <c r="G4216" s="18" t="s">
        <v>34</v>
      </c>
      <c r="H4216" s="18" t="s">
        <v>8310</v>
      </c>
      <c r="I4216" s="20" t="s">
        <v>8324</v>
      </c>
      <c r="J4216" s="18" t="s">
        <v>58</v>
      </c>
      <c r="K4216" s="18" t="s">
        <v>24</v>
      </c>
      <c r="L4216" s="18" t="s">
        <v>25</v>
      </c>
      <c r="N4216" s="18" t="s">
        <v>973</v>
      </c>
    </row>
    <row r="4217" spans="1:14" ht="15" customHeight="1" x14ac:dyDescent="0.3">
      <c r="A4217" s="18" t="s">
        <v>8299</v>
      </c>
      <c r="B4217" s="19" t="s">
        <v>15</v>
      </c>
      <c r="C4217" s="18" t="s">
        <v>8309</v>
      </c>
      <c r="D4217" s="18" t="s">
        <v>116</v>
      </c>
      <c r="E4217" s="18" t="s">
        <v>117</v>
      </c>
      <c r="F4217" s="18" t="s">
        <v>8325</v>
      </c>
      <c r="G4217" s="18" t="s">
        <v>1254</v>
      </c>
      <c r="H4217" s="18" t="s">
        <v>8310</v>
      </c>
      <c r="I4217" s="20" t="s">
        <v>8326</v>
      </c>
      <c r="J4217" s="18" t="s">
        <v>58</v>
      </c>
      <c r="K4217" s="18" t="s">
        <v>24</v>
      </c>
      <c r="L4217" s="18" t="s">
        <v>25</v>
      </c>
      <c r="N4217" s="18" t="s">
        <v>973</v>
      </c>
    </row>
    <row r="4218" spans="1:14" ht="15" customHeight="1" x14ac:dyDescent="0.3">
      <c r="A4218" s="18" t="s">
        <v>8299</v>
      </c>
      <c r="B4218" s="19" t="s">
        <v>15</v>
      </c>
      <c r="C4218" s="18" t="s">
        <v>8309</v>
      </c>
      <c r="D4218" s="18" t="s">
        <v>116</v>
      </c>
      <c r="E4218" s="18" t="s">
        <v>117</v>
      </c>
      <c r="F4218" s="18" t="s">
        <v>3093</v>
      </c>
      <c r="G4218" s="18" t="s">
        <v>47</v>
      </c>
      <c r="H4218" s="18" t="s">
        <v>8310</v>
      </c>
      <c r="I4218" s="20" t="s">
        <v>8327</v>
      </c>
      <c r="J4218" s="18" t="s">
        <v>58</v>
      </c>
      <c r="K4218" s="18" t="s">
        <v>24</v>
      </c>
      <c r="L4218" s="18" t="s">
        <v>25</v>
      </c>
      <c r="N4218" s="18" t="s">
        <v>973</v>
      </c>
    </row>
    <row r="4219" spans="1:14" ht="15" customHeight="1" x14ac:dyDescent="0.3">
      <c r="A4219" s="18" t="s">
        <v>8299</v>
      </c>
      <c r="B4219" s="19" t="s">
        <v>15</v>
      </c>
      <c r="C4219" s="18" t="s">
        <v>715</v>
      </c>
      <c r="D4219" s="18" t="s">
        <v>116</v>
      </c>
      <c r="E4219" s="18" t="s">
        <v>117</v>
      </c>
      <c r="F4219" s="18" t="s">
        <v>3099</v>
      </c>
      <c r="G4219" s="18" t="s">
        <v>34</v>
      </c>
      <c r="H4219" s="18" t="s">
        <v>8301</v>
      </c>
      <c r="I4219" s="20" t="s">
        <v>8328</v>
      </c>
      <c r="J4219" s="18" t="s">
        <v>58</v>
      </c>
      <c r="K4219" s="18" t="s">
        <v>24</v>
      </c>
      <c r="L4219" s="18" t="s">
        <v>25</v>
      </c>
      <c r="N4219" s="18" t="s">
        <v>154</v>
      </c>
    </row>
    <row r="4220" spans="1:14" ht="15" customHeight="1" x14ac:dyDescent="0.3">
      <c r="A4220" s="18" t="s">
        <v>8299</v>
      </c>
      <c r="B4220" s="19" t="s">
        <v>15</v>
      </c>
      <c r="C4220" s="18" t="s">
        <v>8309</v>
      </c>
      <c r="D4220" s="18" t="s">
        <v>116</v>
      </c>
      <c r="E4220" s="18" t="s">
        <v>117</v>
      </c>
      <c r="F4220" s="18" t="s">
        <v>128</v>
      </c>
      <c r="G4220" s="18" t="s">
        <v>47</v>
      </c>
      <c r="H4220" s="18" t="s">
        <v>8310</v>
      </c>
      <c r="I4220" s="20" t="s">
        <v>8329</v>
      </c>
      <c r="J4220" s="18" t="s">
        <v>58</v>
      </c>
      <c r="K4220" s="18" t="s">
        <v>24</v>
      </c>
      <c r="L4220" s="18" t="s">
        <v>25</v>
      </c>
      <c r="N4220" s="18" t="s">
        <v>973</v>
      </c>
    </row>
    <row r="4221" spans="1:14" ht="15" customHeight="1" x14ac:dyDescent="0.3">
      <c r="A4221" s="18" t="s">
        <v>8299</v>
      </c>
      <c r="B4221" s="19" t="s">
        <v>15</v>
      </c>
      <c r="C4221" s="18" t="s">
        <v>6008</v>
      </c>
      <c r="D4221" s="18" t="s">
        <v>116</v>
      </c>
      <c r="E4221" s="18" t="s">
        <v>117</v>
      </c>
      <c r="F4221" s="18" t="s">
        <v>868</v>
      </c>
      <c r="G4221" s="18" t="s">
        <v>270</v>
      </c>
      <c r="H4221" s="18" t="s">
        <v>8304</v>
      </c>
      <c r="I4221" s="20" t="s">
        <v>8330</v>
      </c>
      <c r="J4221" s="18" t="s">
        <v>58</v>
      </c>
      <c r="K4221" s="18" t="s">
        <v>24</v>
      </c>
      <c r="L4221" s="18" t="s">
        <v>25</v>
      </c>
      <c r="N4221" s="18" t="s">
        <v>807</v>
      </c>
    </row>
    <row r="4222" spans="1:14" ht="15" customHeight="1" x14ac:dyDescent="0.3">
      <c r="A4222" s="18" t="s">
        <v>8299</v>
      </c>
      <c r="B4222" s="19" t="s">
        <v>15</v>
      </c>
      <c r="C4222" s="18" t="s">
        <v>715</v>
      </c>
      <c r="D4222" s="18" t="s">
        <v>116</v>
      </c>
      <c r="E4222" s="18" t="s">
        <v>117</v>
      </c>
      <c r="F4222" s="18" t="s">
        <v>5752</v>
      </c>
      <c r="G4222" s="18" t="s">
        <v>34</v>
      </c>
      <c r="H4222" s="18" t="s">
        <v>8301</v>
      </c>
      <c r="I4222" s="20" t="s">
        <v>8331</v>
      </c>
      <c r="J4222" s="18" t="s">
        <v>58</v>
      </c>
      <c r="K4222" s="18" t="s">
        <v>24</v>
      </c>
      <c r="L4222" s="18" t="s">
        <v>25</v>
      </c>
      <c r="N4222" s="18" t="s">
        <v>154</v>
      </c>
    </row>
    <row r="4223" spans="1:14" ht="15" customHeight="1" x14ac:dyDescent="0.3">
      <c r="A4223" s="18" t="s">
        <v>8299</v>
      </c>
      <c r="B4223" s="19" t="s">
        <v>15</v>
      </c>
      <c r="C4223" s="18" t="s">
        <v>715</v>
      </c>
      <c r="D4223" s="18" t="s">
        <v>116</v>
      </c>
      <c r="E4223" s="18" t="s">
        <v>117</v>
      </c>
      <c r="F4223" s="18" t="s">
        <v>8332</v>
      </c>
      <c r="G4223" s="18" t="s">
        <v>8333</v>
      </c>
      <c r="H4223" s="18" t="s">
        <v>8301</v>
      </c>
      <c r="I4223" s="20" t="s">
        <v>8334</v>
      </c>
      <c r="J4223" s="18" t="s">
        <v>58</v>
      </c>
      <c r="K4223" s="18" t="s">
        <v>24</v>
      </c>
      <c r="L4223" s="18" t="s">
        <v>25</v>
      </c>
      <c r="N4223" s="18" t="s">
        <v>154</v>
      </c>
    </row>
    <row r="4224" spans="1:14" ht="15" customHeight="1" x14ac:dyDescent="0.3">
      <c r="A4224" s="18" t="s">
        <v>8299</v>
      </c>
      <c r="B4224" s="19" t="s">
        <v>15</v>
      </c>
      <c r="C4224" s="18" t="s">
        <v>8309</v>
      </c>
      <c r="D4224" s="18" t="s">
        <v>116</v>
      </c>
      <c r="E4224" s="18" t="s">
        <v>117</v>
      </c>
      <c r="F4224" s="18" t="s">
        <v>5283</v>
      </c>
      <c r="G4224" s="18" t="s">
        <v>34</v>
      </c>
      <c r="H4224" s="18" t="s">
        <v>8310</v>
      </c>
      <c r="I4224" s="20" t="s">
        <v>8335</v>
      </c>
      <c r="J4224" s="18" t="s">
        <v>58</v>
      </c>
      <c r="K4224" s="18" t="s">
        <v>24</v>
      </c>
      <c r="L4224" s="18" t="s">
        <v>25</v>
      </c>
      <c r="N4224" s="18" t="s">
        <v>973</v>
      </c>
    </row>
    <row r="4225" spans="1:14" ht="15" customHeight="1" x14ac:dyDescent="0.3">
      <c r="A4225" s="18" t="s">
        <v>8299</v>
      </c>
      <c r="B4225" s="19" t="s">
        <v>15</v>
      </c>
      <c r="C4225" s="18" t="s">
        <v>715</v>
      </c>
      <c r="D4225" s="18" t="s">
        <v>116</v>
      </c>
      <c r="E4225" s="18" t="s">
        <v>117</v>
      </c>
      <c r="F4225" s="18" t="s">
        <v>8336</v>
      </c>
      <c r="G4225" s="18" t="s">
        <v>34</v>
      </c>
      <c r="H4225" s="18" t="s">
        <v>8301</v>
      </c>
      <c r="I4225" s="20" t="s">
        <v>8337</v>
      </c>
      <c r="J4225" s="18" t="s">
        <v>58</v>
      </c>
      <c r="K4225" s="18" t="s">
        <v>24</v>
      </c>
      <c r="L4225" s="18" t="s">
        <v>25</v>
      </c>
      <c r="N4225" s="18" t="s">
        <v>154</v>
      </c>
    </row>
    <row r="4226" spans="1:14" ht="15" customHeight="1" x14ac:dyDescent="0.3">
      <c r="A4226" s="18" t="s">
        <v>8299</v>
      </c>
      <c r="B4226" s="19" t="s">
        <v>15</v>
      </c>
      <c r="C4226" s="18" t="s">
        <v>6008</v>
      </c>
      <c r="D4226" s="18" t="s">
        <v>116</v>
      </c>
      <c r="E4226" s="18" t="s">
        <v>117</v>
      </c>
      <c r="F4226" s="18" t="s">
        <v>8338</v>
      </c>
      <c r="G4226" s="18" t="s">
        <v>20</v>
      </c>
      <c r="H4226" s="18" t="s">
        <v>8304</v>
      </c>
      <c r="I4226" s="20" t="s">
        <v>8339</v>
      </c>
      <c r="J4226" s="18" t="s">
        <v>58</v>
      </c>
      <c r="K4226" s="18" t="s">
        <v>24</v>
      </c>
      <c r="L4226" s="18" t="s">
        <v>25</v>
      </c>
      <c r="N4226" s="18" t="s">
        <v>807</v>
      </c>
    </row>
    <row r="4227" spans="1:14" ht="15" customHeight="1" x14ac:dyDescent="0.3">
      <c r="A4227" s="18" t="s">
        <v>8299</v>
      </c>
      <c r="B4227" s="19" t="s">
        <v>15</v>
      </c>
      <c r="C4227" s="18" t="s">
        <v>6008</v>
      </c>
      <c r="D4227" s="18" t="s">
        <v>116</v>
      </c>
      <c r="E4227" s="18" t="s">
        <v>117</v>
      </c>
      <c r="F4227" s="18" t="s">
        <v>8340</v>
      </c>
      <c r="G4227" s="18" t="s">
        <v>537</v>
      </c>
      <c r="H4227" s="18" t="s">
        <v>8307</v>
      </c>
      <c r="I4227" s="20" t="s">
        <v>8341</v>
      </c>
      <c r="J4227" s="18" t="s">
        <v>58</v>
      </c>
      <c r="K4227" s="18" t="s">
        <v>24</v>
      </c>
      <c r="L4227" s="18" t="s">
        <v>25</v>
      </c>
      <c r="N4227" s="18" t="s">
        <v>807</v>
      </c>
    </row>
    <row r="4228" spans="1:14" ht="15" customHeight="1" x14ac:dyDescent="0.3">
      <c r="A4228" s="18" t="s">
        <v>8299</v>
      </c>
      <c r="B4228" s="19" t="s">
        <v>15</v>
      </c>
      <c r="C4228" s="18" t="s">
        <v>715</v>
      </c>
      <c r="D4228" s="18" t="s">
        <v>116</v>
      </c>
      <c r="E4228" s="18" t="s">
        <v>18</v>
      </c>
      <c r="F4228" s="18" t="s">
        <v>8342</v>
      </c>
      <c r="G4228" s="18" t="s">
        <v>1075</v>
      </c>
      <c r="H4228" s="18" t="s">
        <v>8301</v>
      </c>
      <c r="I4228" s="20" t="s">
        <v>8343</v>
      </c>
      <c r="J4228" s="18" t="s">
        <v>30</v>
      </c>
      <c r="K4228" s="18" t="s">
        <v>24</v>
      </c>
      <c r="L4228" s="18" t="s">
        <v>25</v>
      </c>
      <c r="N4228" s="18" t="s">
        <v>154</v>
      </c>
    </row>
    <row r="4229" spans="1:14" ht="15" customHeight="1" x14ac:dyDescent="0.3">
      <c r="A4229" s="18" t="s">
        <v>8299</v>
      </c>
      <c r="B4229" s="19" t="s">
        <v>15</v>
      </c>
      <c r="C4229" s="18" t="s">
        <v>6008</v>
      </c>
      <c r="D4229" s="18" t="s">
        <v>116</v>
      </c>
      <c r="E4229" s="18" t="s">
        <v>18</v>
      </c>
      <c r="F4229" s="18" t="s">
        <v>1806</v>
      </c>
      <c r="G4229" s="18" t="s">
        <v>85</v>
      </c>
      <c r="H4229" s="18" t="s">
        <v>8344</v>
      </c>
      <c r="I4229" s="20" t="s">
        <v>8345</v>
      </c>
      <c r="J4229" s="18" t="s">
        <v>30</v>
      </c>
      <c r="K4229" s="18" t="s">
        <v>24</v>
      </c>
      <c r="L4229" s="18" t="s">
        <v>25</v>
      </c>
      <c r="N4229" s="18" t="s">
        <v>807</v>
      </c>
    </row>
    <row r="4230" spans="1:14" ht="15" customHeight="1" x14ac:dyDescent="0.3">
      <c r="A4230" s="18" t="s">
        <v>8299</v>
      </c>
      <c r="B4230" s="19" t="s">
        <v>15</v>
      </c>
      <c r="C4230" s="18" t="s">
        <v>715</v>
      </c>
      <c r="D4230" s="18" t="s">
        <v>116</v>
      </c>
      <c r="E4230" s="18" t="s">
        <v>18</v>
      </c>
      <c r="F4230" s="18" t="s">
        <v>8346</v>
      </c>
      <c r="G4230" s="18" t="s">
        <v>28</v>
      </c>
      <c r="H4230" s="18" t="s">
        <v>8301</v>
      </c>
      <c r="I4230" s="20" t="s">
        <v>8347</v>
      </c>
      <c r="J4230" s="18" t="s">
        <v>30</v>
      </c>
      <c r="K4230" s="18" t="s">
        <v>24</v>
      </c>
      <c r="L4230" s="18" t="s">
        <v>25</v>
      </c>
      <c r="N4230" s="18" t="s">
        <v>154</v>
      </c>
    </row>
    <row r="4231" spans="1:14" ht="15" customHeight="1" x14ac:dyDescent="0.3">
      <c r="A4231" s="18" t="s">
        <v>8299</v>
      </c>
      <c r="B4231" s="19" t="s">
        <v>15</v>
      </c>
      <c r="C4231" s="18" t="s">
        <v>8309</v>
      </c>
      <c r="D4231" s="18" t="s">
        <v>116</v>
      </c>
      <c r="E4231" s="18" t="s">
        <v>18</v>
      </c>
      <c r="F4231" s="18" t="s">
        <v>8348</v>
      </c>
      <c r="G4231" s="18" t="s">
        <v>34</v>
      </c>
      <c r="H4231" s="18" t="s">
        <v>8310</v>
      </c>
      <c r="I4231" s="20" t="s">
        <v>8349</v>
      </c>
      <c r="J4231" s="18" t="s">
        <v>30</v>
      </c>
      <c r="K4231" s="18" t="s">
        <v>24</v>
      </c>
      <c r="L4231" s="18" t="s">
        <v>25</v>
      </c>
      <c r="N4231" s="18" t="s">
        <v>973</v>
      </c>
    </row>
    <row r="4232" spans="1:14" ht="15" customHeight="1" x14ac:dyDescent="0.3">
      <c r="A4232" s="18" t="s">
        <v>8299</v>
      </c>
      <c r="B4232" s="19" t="s">
        <v>15</v>
      </c>
      <c r="C4232" s="18" t="s">
        <v>6008</v>
      </c>
      <c r="D4232" s="18" t="s">
        <v>116</v>
      </c>
      <c r="E4232" s="18" t="s">
        <v>18</v>
      </c>
      <c r="F4232" s="18" t="s">
        <v>381</v>
      </c>
      <c r="G4232" s="18" t="s">
        <v>381</v>
      </c>
      <c r="H4232" s="18" t="s">
        <v>8350</v>
      </c>
      <c r="I4232" s="20" t="s">
        <v>8351</v>
      </c>
      <c r="J4232" s="18" t="s">
        <v>23</v>
      </c>
      <c r="K4232" s="18" t="s">
        <v>24</v>
      </c>
      <c r="L4232" s="18" t="s">
        <v>25</v>
      </c>
      <c r="N4232" s="18" t="s">
        <v>807</v>
      </c>
    </row>
    <row r="4233" spans="1:14" ht="15" customHeight="1" x14ac:dyDescent="0.3">
      <c r="A4233" s="18" t="s">
        <v>8299</v>
      </c>
      <c r="B4233" s="19" t="s">
        <v>15</v>
      </c>
      <c r="C4233" s="18" t="s">
        <v>8309</v>
      </c>
      <c r="D4233" s="18" t="s">
        <v>116</v>
      </c>
      <c r="E4233" s="18" t="s">
        <v>18</v>
      </c>
      <c r="F4233" s="18" t="s">
        <v>1272</v>
      </c>
      <c r="G4233" s="18" t="s">
        <v>1204</v>
      </c>
      <c r="H4233" s="18" t="s">
        <v>8310</v>
      </c>
      <c r="I4233" s="20" t="s">
        <v>8352</v>
      </c>
      <c r="J4233" s="18" t="s">
        <v>30</v>
      </c>
      <c r="K4233" s="18" t="s">
        <v>24</v>
      </c>
      <c r="L4233" s="18" t="s">
        <v>25</v>
      </c>
      <c r="M4233" s="18" t="s">
        <v>39</v>
      </c>
      <c r="N4233" s="18" t="s">
        <v>973</v>
      </c>
    </row>
    <row r="4234" spans="1:14" ht="15" customHeight="1" x14ac:dyDescent="0.3">
      <c r="A4234" s="18" t="s">
        <v>8299</v>
      </c>
      <c r="B4234" s="19" t="s">
        <v>15</v>
      </c>
      <c r="C4234" s="18" t="s">
        <v>8309</v>
      </c>
      <c r="D4234" s="18" t="s">
        <v>116</v>
      </c>
      <c r="E4234" s="18" t="s">
        <v>18</v>
      </c>
      <c r="F4234" s="18" t="s">
        <v>8353</v>
      </c>
      <c r="G4234" s="18" t="s">
        <v>47</v>
      </c>
      <c r="H4234" s="18" t="s">
        <v>8310</v>
      </c>
      <c r="I4234" s="20" t="s">
        <v>8354</v>
      </c>
      <c r="J4234" s="18" t="s">
        <v>30</v>
      </c>
      <c r="K4234" s="18" t="s">
        <v>24</v>
      </c>
      <c r="L4234" s="18" t="s">
        <v>25</v>
      </c>
      <c r="N4234" s="18" t="s">
        <v>973</v>
      </c>
    </row>
    <row r="4235" spans="1:14" ht="15" customHeight="1" x14ac:dyDescent="0.3">
      <c r="A4235" s="18" t="s">
        <v>8299</v>
      </c>
      <c r="B4235" s="19" t="s">
        <v>15</v>
      </c>
      <c r="C4235" s="18" t="s">
        <v>715</v>
      </c>
      <c r="D4235" s="18" t="s">
        <v>116</v>
      </c>
      <c r="E4235" s="18" t="s">
        <v>18</v>
      </c>
      <c r="F4235" s="18" t="s">
        <v>8355</v>
      </c>
      <c r="G4235" s="18" t="s">
        <v>47</v>
      </c>
      <c r="H4235" s="18" t="s">
        <v>8301</v>
      </c>
      <c r="I4235" s="20" t="s">
        <v>8356</v>
      </c>
      <c r="J4235" s="18" t="s">
        <v>30</v>
      </c>
      <c r="K4235" s="18" t="s">
        <v>24</v>
      </c>
      <c r="L4235" s="18" t="s">
        <v>25</v>
      </c>
      <c r="N4235" s="18" t="s">
        <v>154</v>
      </c>
    </row>
    <row r="4236" spans="1:14" ht="15" customHeight="1" x14ac:dyDescent="0.3">
      <c r="A4236" s="18" t="s">
        <v>8299</v>
      </c>
      <c r="B4236" s="19" t="s">
        <v>15</v>
      </c>
      <c r="C4236" s="18" t="s">
        <v>6008</v>
      </c>
      <c r="D4236" s="18" t="s">
        <v>116</v>
      </c>
      <c r="E4236" s="18" t="s">
        <v>18</v>
      </c>
      <c r="F4236" s="18" t="s">
        <v>5050</v>
      </c>
      <c r="G4236" s="18" t="s">
        <v>564</v>
      </c>
      <c r="H4236" s="18" t="s">
        <v>8344</v>
      </c>
      <c r="I4236" s="20" t="s">
        <v>8357</v>
      </c>
      <c r="J4236" s="18" t="s">
        <v>30</v>
      </c>
      <c r="K4236" s="18" t="s">
        <v>24</v>
      </c>
      <c r="L4236" s="18" t="s">
        <v>25</v>
      </c>
      <c r="N4236" s="18" t="s">
        <v>807</v>
      </c>
    </row>
    <row r="4237" spans="1:14" ht="15" customHeight="1" x14ac:dyDescent="0.3">
      <c r="A4237" s="18" t="s">
        <v>8299</v>
      </c>
      <c r="B4237" s="19" t="s">
        <v>15</v>
      </c>
      <c r="C4237" s="18" t="s">
        <v>6008</v>
      </c>
      <c r="D4237" s="18" t="s">
        <v>116</v>
      </c>
      <c r="E4237" s="18" t="s">
        <v>18</v>
      </c>
      <c r="F4237" s="18" t="s">
        <v>580</v>
      </c>
      <c r="G4237" s="18" t="s">
        <v>20</v>
      </c>
      <c r="H4237" s="18" t="s">
        <v>8304</v>
      </c>
      <c r="I4237" s="20" t="s">
        <v>8358</v>
      </c>
      <c r="J4237" s="18" t="s">
        <v>23</v>
      </c>
      <c r="K4237" s="18" t="s">
        <v>24</v>
      </c>
      <c r="L4237" s="18" t="s">
        <v>25</v>
      </c>
      <c r="N4237" s="18" t="s">
        <v>807</v>
      </c>
    </row>
    <row r="4238" spans="1:14" ht="15" customHeight="1" x14ac:dyDescent="0.3">
      <c r="A4238" s="18" t="s">
        <v>8299</v>
      </c>
      <c r="B4238" s="19" t="s">
        <v>15</v>
      </c>
      <c r="C4238" s="18" t="s">
        <v>8309</v>
      </c>
      <c r="D4238" s="18" t="s">
        <v>116</v>
      </c>
      <c r="E4238" s="18" t="s">
        <v>18</v>
      </c>
      <c r="F4238" s="18" t="s">
        <v>1959</v>
      </c>
      <c r="G4238" s="18" t="s">
        <v>219</v>
      </c>
      <c r="H4238" s="18" t="s">
        <v>8310</v>
      </c>
      <c r="I4238" s="20" t="s">
        <v>8359</v>
      </c>
      <c r="J4238" s="18" t="s">
        <v>30</v>
      </c>
      <c r="K4238" s="18" t="s">
        <v>24</v>
      </c>
      <c r="L4238" s="18" t="s">
        <v>25</v>
      </c>
      <c r="N4238" s="18" t="s">
        <v>973</v>
      </c>
    </row>
    <row r="4239" spans="1:14" ht="15" customHeight="1" x14ac:dyDescent="0.3">
      <c r="A4239" s="18" t="s">
        <v>8299</v>
      </c>
      <c r="B4239" s="19" t="s">
        <v>15</v>
      </c>
      <c r="C4239" s="18" t="s">
        <v>8309</v>
      </c>
      <c r="D4239" s="18" t="s">
        <v>116</v>
      </c>
      <c r="E4239" s="18" t="s">
        <v>18</v>
      </c>
      <c r="F4239" s="18" t="s">
        <v>2451</v>
      </c>
      <c r="G4239" s="18" t="s">
        <v>41</v>
      </c>
      <c r="H4239" s="18" t="s">
        <v>8310</v>
      </c>
      <c r="I4239" s="20" t="s">
        <v>8360</v>
      </c>
      <c r="J4239" s="18" t="s">
        <v>30</v>
      </c>
      <c r="K4239" s="18" t="s">
        <v>24</v>
      </c>
      <c r="L4239" s="18" t="s">
        <v>25</v>
      </c>
      <c r="N4239" s="18" t="s">
        <v>973</v>
      </c>
    </row>
    <row r="4240" spans="1:14" ht="15" customHeight="1" x14ac:dyDescent="0.3">
      <c r="A4240" s="18" t="s">
        <v>8299</v>
      </c>
      <c r="B4240" s="19" t="s">
        <v>15</v>
      </c>
      <c r="C4240" s="18" t="s">
        <v>8309</v>
      </c>
      <c r="D4240" s="18" t="s">
        <v>116</v>
      </c>
      <c r="E4240" s="18" t="s">
        <v>18</v>
      </c>
      <c r="F4240" s="18" t="s">
        <v>4698</v>
      </c>
      <c r="G4240" s="18" t="s">
        <v>93</v>
      </c>
      <c r="H4240" s="18" t="s">
        <v>8310</v>
      </c>
      <c r="I4240" s="20" t="s">
        <v>8361</v>
      </c>
      <c r="J4240" s="18" t="s">
        <v>30</v>
      </c>
      <c r="K4240" s="18" t="s">
        <v>24</v>
      </c>
      <c r="L4240" s="18" t="s">
        <v>25</v>
      </c>
      <c r="N4240" s="18" t="s">
        <v>973</v>
      </c>
    </row>
    <row r="4241" spans="1:14" ht="15" customHeight="1" x14ac:dyDescent="0.3">
      <c r="A4241" s="18" t="s">
        <v>8299</v>
      </c>
      <c r="B4241" s="19" t="s">
        <v>15</v>
      </c>
      <c r="C4241" s="18" t="s">
        <v>6008</v>
      </c>
      <c r="D4241" s="18" t="s">
        <v>116</v>
      </c>
      <c r="E4241" s="18" t="s">
        <v>18</v>
      </c>
      <c r="F4241" s="18" t="s">
        <v>774</v>
      </c>
      <c r="G4241" s="18" t="s">
        <v>429</v>
      </c>
      <c r="H4241" s="18" t="s">
        <v>8304</v>
      </c>
      <c r="I4241" s="20" t="s">
        <v>8362</v>
      </c>
      <c r="J4241" s="18" t="s">
        <v>23</v>
      </c>
      <c r="K4241" s="18" t="s">
        <v>24</v>
      </c>
      <c r="L4241" s="18" t="s">
        <v>25</v>
      </c>
      <c r="N4241" s="18" t="s">
        <v>807</v>
      </c>
    </row>
    <row r="4242" spans="1:14" ht="15" customHeight="1" x14ac:dyDescent="0.3">
      <c r="A4242" s="18" t="s">
        <v>8299</v>
      </c>
      <c r="B4242" s="19" t="s">
        <v>15</v>
      </c>
      <c r="C4242" s="18" t="s">
        <v>6008</v>
      </c>
      <c r="D4242" s="18" t="s">
        <v>116</v>
      </c>
      <c r="E4242" s="18" t="s">
        <v>18</v>
      </c>
      <c r="F4242" s="18" t="s">
        <v>1832</v>
      </c>
      <c r="G4242" s="18" t="s">
        <v>207</v>
      </c>
      <c r="H4242" s="18" t="s">
        <v>8344</v>
      </c>
      <c r="I4242" s="20" t="s">
        <v>8363</v>
      </c>
      <c r="J4242" s="18" t="s">
        <v>30</v>
      </c>
      <c r="K4242" s="18" t="s">
        <v>24</v>
      </c>
      <c r="L4242" s="18" t="s">
        <v>25</v>
      </c>
      <c r="N4242" s="18" t="s">
        <v>807</v>
      </c>
    </row>
    <row r="4243" spans="1:14" ht="15" customHeight="1" x14ac:dyDescent="0.3">
      <c r="A4243" s="18" t="s">
        <v>8299</v>
      </c>
      <c r="B4243" s="19" t="s">
        <v>15</v>
      </c>
      <c r="C4243" s="18" t="s">
        <v>8309</v>
      </c>
      <c r="D4243" s="18" t="s">
        <v>116</v>
      </c>
      <c r="E4243" s="18" t="s">
        <v>18</v>
      </c>
      <c r="F4243" s="18" t="s">
        <v>8364</v>
      </c>
      <c r="G4243" s="18" t="s">
        <v>270</v>
      </c>
      <c r="H4243" s="18" t="s">
        <v>8310</v>
      </c>
      <c r="I4243" s="20" t="s">
        <v>8365</v>
      </c>
      <c r="J4243" s="18" t="s">
        <v>30</v>
      </c>
      <c r="K4243" s="18" t="s">
        <v>24</v>
      </c>
      <c r="L4243" s="18" t="s">
        <v>25</v>
      </c>
      <c r="N4243" s="18" t="s">
        <v>973</v>
      </c>
    </row>
    <row r="4244" spans="1:14" ht="15" customHeight="1" x14ac:dyDescent="0.3">
      <c r="A4244" s="18" t="s">
        <v>8299</v>
      </c>
      <c r="B4244" s="19" t="s">
        <v>15</v>
      </c>
      <c r="C4244" s="18" t="s">
        <v>8309</v>
      </c>
      <c r="D4244" s="18" t="s">
        <v>116</v>
      </c>
      <c r="E4244" s="18" t="s">
        <v>18</v>
      </c>
      <c r="F4244" s="18" t="s">
        <v>8366</v>
      </c>
      <c r="G4244" s="18" t="s">
        <v>47</v>
      </c>
      <c r="H4244" s="18" t="s">
        <v>8310</v>
      </c>
      <c r="I4244" s="20" t="s">
        <v>8367</v>
      </c>
      <c r="J4244" s="18" t="s">
        <v>30</v>
      </c>
      <c r="K4244" s="18" t="s">
        <v>24</v>
      </c>
      <c r="L4244" s="18" t="s">
        <v>25</v>
      </c>
      <c r="M4244" s="18" t="s">
        <v>39</v>
      </c>
      <c r="N4244" s="18" t="s">
        <v>973</v>
      </c>
    </row>
    <row r="4245" spans="1:14" ht="15" customHeight="1" x14ac:dyDescent="0.3">
      <c r="A4245" s="18" t="s">
        <v>8299</v>
      </c>
      <c r="B4245" s="19" t="s">
        <v>15</v>
      </c>
      <c r="C4245" s="18" t="s">
        <v>6008</v>
      </c>
      <c r="D4245" s="18" t="s">
        <v>116</v>
      </c>
      <c r="E4245" s="18" t="s">
        <v>18</v>
      </c>
      <c r="F4245" s="18" t="s">
        <v>778</v>
      </c>
      <c r="G4245" s="18" t="s">
        <v>20</v>
      </c>
      <c r="H4245" s="18" t="s">
        <v>8304</v>
      </c>
      <c r="I4245" s="20" t="s">
        <v>8368</v>
      </c>
      <c r="J4245" s="18" t="s">
        <v>23</v>
      </c>
      <c r="K4245" s="18" t="s">
        <v>24</v>
      </c>
      <c r="L4245" s="18" t="s">
        <v>25</v>
      </c>
      <c r="N4245" s="18" t="s">
        <v>807</v>
      </c>
    </row>
    <row r="4246" spans="1:14" ht="15" customHeight="1" x14ac:dyDescent="0.3">
      <c r="A4246" s="18" t="s">
        <v>8299</v>
      </c>
      <c r="B4246" s="19" t="s">
        <v>15</v>
      </c>
      <c r="C4246" s="18" t="s">
        <v>8309</v>
      </c>
      <c r="D4246" s="18" t="s">
        <v>116</v>
      </c>
      <c r="E4246" s="18" t="s">
        <v>55</v>
      </c>
      <c r="F4246" s="18" t="s">
        <v>8369</v>
      </c>
      <c r="G4246" s="18" t="s">
        <v>270</v>
      </c>
      <c r="H4246" s="18" t="s">
        <v>8310</v>
      </c>
      <c r="I4246" s="20" t="s">
        <v>8370</v>
      </c>
      <c r="J4246" s="18" t="s">
        <v>58</v>
      </c>
      <c r="K4246" s="18" t="s">
        <v>24</v>
      </c>
      <c r="L4246" s="18" t="s">
        <v>25</v>
      </c>
      <c r="N4246" s="18" t="s">
        <v>973</v>
      </c>
    </row>
    <row r="4247" spans="1:14" ht="15" customHeight="1" x14ac:dyDescent="0.3">
      <c r="A4247" s="18" t="s">
        <v>8299</v>
      </c>
      <c r="B4247" s="19" t="s">
        <v>15</v>
      </c>
      <c r="C4247" s="18" t="s">
        <v>6008</v>
      </c>
      <c r="D4247" s="18" t="s">
        <v>116</v>
      </c>
      <c r="E4247" s="18" t="s">
        <v>55</v>
      </c>
      <c r="F4247" s="18" t="s">
        <v>8371</v>
      </c>
      <c r="G4247" s="18" t="s">
        <v>41</v>
      </c>
      <c r="H4247" s="18" t="s">
        <v>8372</v>
      </c>
      <c r="I4247" s="20" t="s">
        <v>8373</v>
      </c>
      <c r="J4247" s="18" t="s">
        <v>199</v>
      </c>
      <c r="K4247" s="18" t="s">
        <v>24</v>
      </c>
      <c r="L4247" s="18" t="s">
        <v>25</v>
      </c>
      <c r="N4247" s="18" t="s">
        <v>807</v>
      </c>
    </row>
    <row r="4248" spans="1:14" ht="15" customHeight="1" x14ac:dyDescent="0.3">
      <c r="A4248" s="18" t="s">
        <v>8299</v>
      </c>
      <c r="B4248" s="19" t="s">
        <v>15</v>
      </c>
      <c r="C4248" s="18" t="s">
        <v>6008</v>
      </c>
      <c r="D4248" s="18" t="s">
        <v>116</v>
      </c>
      <c r="E4248" s="18" t="s">
        <v>55</v>
      </c>
      <c r="F4248" s="18" t="s">
        <v>1806</v>
      </c>
      <c r="G4248" s="18" t="s">
        <v>85</v>
      </c>
      <c r="H4248" s="18" t="s">
        <v>8374</v>
      </c>
      <c r="I4248" s="20" t="s">
        <v>8375</v>
      </c>
      <c r="J4248" s="18" t="s">
        <v>58</v>
      </c>
      <c r="K4248" s="18" t="s">
        <v>24</v>
      </c>
      <c r="L4248" s="18" t="s">
        <v>25</v>
      </c>
      <c r="N4248" s="18" t="s">
        <v>807</v>
      </c>
    </row>
    <row r="4249" spans="1:14" ht="15" customHeight="1" x14ac:dyDescent="0.3">
      <c r="A4249" s="18" t="s">
        <v>8299</v>
      </c>
      <c r="B4249" s="19" t="s">
        <v>15</v>
      </c>
      <c r="C4249" s="18" t="s">
        <v>6008</v>
      </c>
      <c r="D4249" s="18" t="s">
        <v>116</v>
      </c>
      <c r="E4249" s="18" t="s">
        <v>55</v>
      </c>
      <c r="F4249" s="18" t="s">
        <v>8376</v>
      </c>
      <c r="G4249" s="18" t="s">
        <v>85</v>
      </c>
      <c r="H4249" s="18" t="s">
        <v>8374</v>
      </c>
      <c r="I4249" s="20" t="s">
        <v>8377</v>
      </c>
      <c r="J4249" s="18" t="s">
        <v>58</v>
      </c>
      <c r="K4249" s="18" t="s">
        <v>24</v>
      </c>
      <c r="L4249" s="18" t="s">
        <v>25</v>
      </c>
      <c r="N4249" s="18" t="s">
        <v>807</v>
      </c>
    </row>
    <row r="4250" spans="1:14" ht="15" customHeight="1" x14ac:dyDescent="0.3">
      <c r="A4250" s="18" t="s">
        <v>8299</v>
      </c>
      <c r="B4250" s="19" t="s">
        <v>15</v>
      </c>
      <c r="C4250" s="18" t="s">
        <v>6008</v>
      </c>
      <c r="D4250" s="18" t="s">
        <v>116</v>
      </c>
      <c r="E4250" s="18" t="s">
        <v>55</v>
      </c>
      <c r="F4250" s="18" t="s">
        <v>3270</v>
      </c>
      <c r="G4250" s="18" t="s">
        <v>381</v>
      </c>
      <c r="H4250" s="18" t="s">
        <v>8304</v>
      </c>
      <c r="I4250" s="20" t="s">
        <v>8378</v>
      </c>
      <c r="J4250" s="18" t="s">
        <v>73</v>
      </c>
      <c r="K4250" s="18" t="s">
        <v>24</v>
      </c>
      <c r="L4250" s="18" t="s">
        <v>25</v>
      </c>
      <c r="N4250" s="18" t="s">
        <v>807</v>
      </c>
    </row>
    <row r="4251" spans="1:14" ht="15" customHeight="1" x14ac:dyDescent="0.3">
      <c r="A4251" s="18" t="s">
        <v>8299</v>
      </c>
      <c r="B4251" s="19" t="s">
        <v>15</v>
      </c>
      <c r="C4251" s="18" t="s">
        <v>6008</v>
      </c>
      <c r="D4251" s="18" t="s">
        <v>116</v>
      </c>
      <c r="E4251" s="18" t="s">
        <v>55</v>
      </c>
      <c r="F4251" s="18" t="s">
        <v>8379</v>
      </c>
      <c r="G4251" s="18" t="s">
        <v>381</v>
      </c>
      <c r="H4251" s="18" t="s">
        <v>8304</v>
      </c>
      <c r="I4251" s="20" t="s">
        <v>8380</v>
      </c>
      <c r="J4251" s="18" t="s">
        <v>73</v>
      </c>
      <c r="K4251" s="18" t="s">
        <v>24</v>
      </c>
      <c r="L4251" s="18" t="s">
        <v>25</v>
      </c>
      <c r="N4251" s="18" t="s">
        <v>807</v>
      </c>
    </row>
    <row r="4252" spans="1:14" ht="15" customHeight="1" x14ac:dyDescent="0.3">
      <c r="A4252" s="18" t="s">
        <v>8299</v>
      </c>
      <c r="B4252" s="19" t="s">
        <v>15</v>
      </c>
      <c r="C4252" s="18" t="s">
        <v>6008</v>
      </c>
      <c r="D4252" s="18" t="s">
        <v>116</v>
      </c>
      <c r="E4252" s="18" t="s">
        <v>55</v>
      </c>
      <c r="F4252" s="18" t="s">
        <v>8381</v>
      </c>
      <c r="G4252" s="18" t="s">
        <v>381</v>
      </c>
      <c r="H4252" s="18" t="s">
        <v>8304</v>
      </c>
      <c r="I4252" s="20" t="s">
        <v>8382</v>
      </c>
      <c r="J4252" s="18" t="s">
        <v>73</v>
      </c>
      <c r="K4252" s="18" t="s">
        <v>24</v>
      </c>
      <c r="L4252" s="18" t="s">
        <v>25</v>
      </c>
      <c r="N4252" s="18" t="s">
        <v>807</v>
      </c>
    </row>
    <row r="4253" spans="1:14" ht="15" customHeight="1" x14ac:dyDescent="0.3">
      <c r="A4253" s="18" t="s">
        <v>8299</v>
      </c>
      <c r="B4253" s="19" t="s">
        <v>15</v>
      </c>
      <c r="C4253" s="18" t="s">
        <v>6008</v>
      </c>
      <c r="D4253" s="18" t="s">
        <v>116</v>
      </c>
      <c r="E4253" s="18" t="s">
        <v>55</v>
      </c>
      <c r="F4253" s="18" t="s">
        <v>404</v>
      </c>
      <c r="G4253" s="18" t="s">
        <v>381</v>
      </c>
      <c r="H4253" s="18" t="s">
        <v>8304</v>
      </c>
      <c r="I4253" s="20" t="s">
        <v>8383</v>
      </c>
      <c r="J4253" s="18" t="s">
        <v>73</v>
      </c>
      <c r="K4253" s="18" t="s">
        <v>24</v>
      </c>
      <c r="L4253" s="18" t="s">
        <v>25</v>
      </c>
      <c r="M4253" s="18" t="s">
        <v>39</v>
      </c>
      <c r="N4253" s="18" t="s">
        <v>807</v>
      </c>
    </row>
    <row r="4254" spans="1:14" ht="15" customHeight="1" x14ac:dyDescent="0.3">
      <c r="A4254" s="18" t="s">
        <v>8299</v>
      </c>
      <c r="B4254" s="19" t="s">
        <v>15</v>
      </c>
      <c r="C4254" s="18" t="s">
        <v>8309</v>
      </c>
      <c r="D4254" s="18" t="s">
        <v>116</v>
      </c>
      <c r="E4254" s="18" t="s">
        <v>55</v>
      </c>
      <c r="F4254" s="18" t="s">
        <v>4578</v>
      </c>
      <c r="G4254" s="18" t="s">
        <v>34</v>
      </c>
      <c r="H4254" s="18" t="s">
        <v>8310</v>
      </c>
      <c r="I4254" s="20" t="s">
        <v>8384</v>
      </c>
      <c r="J4254" s="18" t="s">
        <v>58</v>
      </c>
      <c r="K4254" s="18" t="s">
        <v>24</v>
      </c>
      <c r="L4254" s="18" t="s">
        <v>25</v>
      </c>
      <c r="N4254" s="18" t="s">
        <v>973</v>
      </c>
    </row>
    <row r="4255" spans="1:14" ht="15" customHeight="1" x14ac:dyDescent="0.3">
      <c r="A4255" s="18" t="s">
        <v>8299</v>
      </c>
      <c r="B4255" s="19" t="s">
        <v>15</v>
      </c>
      <c r="C4255" s="18" t="s">
        <v>715</v>
      </c>
      <c r="D4255" s="18" t="s">
        <v>116</v>
      </c>
      <c r="E4255" s="18" t="s">
        <v>55</v>
      </c>
      <c r="F4255" s="18" t="s">
        <v>8385</v>
      </c>
      <c r="G4255" s="18" t="s">
        <v>34</v>
      </c>
      <c r="H4255" s="18" t="s">
        <v>8301</v>
      </c>
      <c r="I4255" s="20" t="s">
        <v>8386</v>
      </c>
      <c r="J4255" s="18" t="s">
        <v>58</v>
      </c>
      <c r="K4255" s="18" t="s">
        <v>24</v>
      </c>
      <c r="L4255" s="18" t="s">
        <v>25</v>
      </c>
      <c r="N4255" s="18" t="s">
        <v>154</v>
      </c>
    </row>
    <row r="4256" spans="1:14" ht="15" customHeight="1" x14ac:dyDescent="0.3">
      <c r="A4256" s="18" t="s">
        <v>8299</v>
      </c>
      <c r="B4256" s="19" t="s">
        <v>15</v>
      </c>
      <c r="C4256" s="18" t="s">
        <v>8309</v>
      </c>
      <c r="D4256" s="18" t="s">
        <v>116</v>
      </c>
      <c r="E4256" s="18" t="s">
        <v>55</v>
      </c>
      <c r="F4256" s="18" t="s">
        <v>8387</v>
      </c>
      <c r="G4256" s="18" t="s">
        <v>34</v>
      </c>
      <c r="H4256" s="18" t="s">
        <v>8310</v>
      </c>
      <c r="I4256" s="20" t="s">
        <v>8388</v>
      </c>
      <c r="J4256" s="18" t="s">
        <v>199</v>
      </c>
      <c r="K4256" s="18" t="s">
        <v>24</v>
      </c>
      <c r="L4256" s="18" t="s">
        <v>25</v>
      </c>
      <c r="N4256" s="18" t="s">
        <v>973</v>
      </c>
    </row>
    <row r="4257" spans="1:14" ht="15" customHeight="1" x14ac:dyDescent="0.3">
      <c r="A4257" s="18" t="s">
        <v>8299</v>
      </c>
      <c r="B4257" s="19" t="s">
        <v>15</v>
      </c>
      <c r="C4257" s="18" t="s">
        <v>6008</v>
      </c>
      <c r="D4257" s="18" t="s">
        <v>116</v>
      </c>
      <c r="E4257" s="18" t="s">
        <v>55</v>
      </c>
      <c r="F4257" s="18" t="s">
        <v>5050</v>
      </c>
      <c r="G4257" s="18" t="s">
        <v>564</v>
      </c>
      <c r="H4257" s="18" t="s">
        <v>8374</v>
      </c>
      <c r="I4257" s="20" t="s">
        <v>8389</v>
      </c>
      <c r="J4257" s="18" t="s">
        <v>58</v>
      </c>
      <c r="K4257" s="18" t="s">
        <v>24</v>
      </c>
      <c r="L4257" s="18" t="s">
        <v>25</v>
      </c>
      <c r="N4257" s="18" t="s">
        <v>807</v>
      </c>
    </row>
    <row r="4258" spans="1:14" ht="15" customHeight="1" x14ac:dyDescent="0.3">
      <c r="A4258" s="18" t="s">
        <v>8299</v>
      </c>
      <c r="B4258" s="19" t="s">
        <v>15</v>
      </c>
      <c r="C4258" s="18" t="s">
        <v>6008</v>
      </c>
      <c r="D4258" s="18" t="s">
        <v>116</v>
      </c>
      <c r="E4258" s="18" t="s">
        <v>55</v>
      </c>
      <c r="F4258" s="18" t="s">
        <v>580</v>
      </c>
      <c r="G4258" s="18" t="s">
        <v>20</v>
      </c>
      <c r="H4258" s="18" t="s">
        <v>8304</v>
      </c>
      <c r="I4258" s="20" t="s">
        <v>8390</v>
      </c>
      <c r="J4258" s="18" t="s">
        <v>73</v>
      </c>
      <c r="K4258" s="18" t="s">
        <v>24</v>
      </c>
      <c r="L4258" s="18" t="s">
        <v>25</v>
      </c>
      <c r="N4258" s="18" t="s">
        <v>807</v>
      </c>
    </row>
    <row r="4259" spans="1:14" ht="15" customHeight="1" x14ac:dyDescent="0.3">
      <c r="A4259" s="18" t="s">
        <v>8299</v>
      </c>
      <c r="B4259" s="19" t="s">
        <v>15</v>
      </c>
      <c r="C4259" s="18" t="s">
        <v>6008</v>
      </c>
      <c r="D4259" s="18" t="s">
        <v>116</v>
      </c>
      <c r="E4259" s="18" t="s">
        <v>55</v>
      </c>
      <c r="F4259" s="18" t="s">
        <v>8391</v>
      </c>
      <c r="G4259" s="18" t="s">
        <v>20</v>
      </c>
      <c r="H4259" s="18" t="s">
        <v>8304</v>
      </c>
      <c r="I4259" s="20" t="s">
        <v>8392</v>
      </c>
      <c r="J4259" s="18" t="s">
        <v>58</v>
      </c>
      <c r="K4259" s="18" t="s">
        <v>24</v>
      </c>
      <c r="L4259" s="18" t="s">
        <v>25</v>
      </c>
      <c r="N4259" s="18" t="s">
        <v>807</v>
      </c>
    </row>
    <row r="4260" spans="1:14" ht="15" customHeight="1" x14ac:dyDescent="0.3">
      <c r="A4260" s="18" t="s">
        <v>8299</v>
      </c>
      <c r="B4260" s="19" t="s">
        <v>15</v>
      </c>
      <c r="C4260" s="18" t="s">
        <v>6008</v>
      </c>
      <c r="D4260" s="18" t="s">
        <v>116</v>
      </c>
      <c r="E4260" s="18" t="s">
        <v>55</v>
      </c>
      <c r="F4260" s="18" t="s">
        <v>8393</v>
      </c>
      <c r="G4260" s="18" t="s">
        <v>20</v>
      </c>
      <c r="H4260" s="18" t="s">
        <v>8304</v>
      </c>
      <c r="I4260" s="20" t="s">
        <v>8394</v>
      </c>
      <c r="J4260" s="18" t="s">
        <v>58</v>
      </c>
      <c r="K4260" s="18" t="s">
        <v>24</v>
      </c>
      <c r="L4260" s="18" t="s">
        <v>25</v>
      </c>
      <c r="N4260" s="18" t="s">
        <v>807</v>
      </c>
    </row>
    <row r="4261" spans="1:14" ht="15" customHeight="1" x14ac:dyDescent="0.3">
      <c r="A4261" s="18" t="s">
        <v>8299</v>
      </c>
      <c r="B4261" s="19" t="s">
        <v>15</v>
      </c>
      <c r="C4261" s="18" t="s">
        <v>6008</v>
      </c>
      <c r="D4261" s="18" t="s">
        <v>116</v>
      </c>
      <c r="E4261" s="18" t="s">
        <v>55</v>
      </c>
      <c r="F4261" s="18" t="s">
        <v>4261</v>
      </c>
      <c r="G4261" s="18" t="s">
        <v>20</v>
      </c>
      <c r="H4261" s="18" t="s">
        <v>8304</v>
      </c>
      <c r="I4261" s="20" t="s">
        <v>8395</v>
      </c>
      <c r="J4261" s="18" t="s">
        <v>58</v>
      </c>
      <c r="K4261" s="18" t="s">
        <v>24</v>
      </c>
      <c r="L4261" s="18" t="s">
        <v>25</v>
      </c>
      <c r="N4261" s="18" t="s">
        <v>807</v>
      </c>
    </row>
    <row r="4262" spans="1:14" ht="15" customHeight="1" x14ac:dyDescent="0.3">
      <c r="A4262" s="18" t="s">
        <v>8299</v>
      </c>
      <c r="B4262" s="19" t="s">
        <v>15</v>
      </c>
      <c r="C4262" s="18" t="s">
        <v>8309</v>
      </c>
      <c r="D4262" s="18" t="s">
        <v>116</v>
      </c>
      <c r="E4262" s="18" t="s">
        <v>55</v>
      </c>
      <c r="F4262" s="18" t="s">
        <v>2692</v>
      </c>
      <c r="G4262" s="18" t="s">
        <v>47</v>
      </c>
      <c r="H4262" s="18" t="s">
        <v>8310</v>
      </c>
      <c r="I4262" s="20" t="s">
        <v>8396</v>
      </c>
      <c r="J4262" s="18" t="s">
        <v>58</v>
      </c>
      <c r="K4262" s="18" t="s">
        <v>24</v>
      </c>
      <c r="L4262" s="18" t="s">
        <v>25</v>
      </c>
      <c r="M4262" s="18" t="s">
        <v>39</v>
      </c>
      <c r="N4262" s="18" t="s">
        <v>973</v>
      </c>
    </row>
    <row r="4263" spans="1:14" ht="15" customHeight="1" x14ac:dyDescent="0.3">
      <c r="A4263" s="18" t="s">
        <v>8299</v>
      </c>
      <c r="B4263" s="19" t="s">
        <v>15</v>
      </c>
      <c r="C4263" s="18" t="s">
        <v>8309</v>
      </c>
      <c r="D4263" s="18" t="s">
        <v>116</v>
      </c>
      <c r="E4263" s="18" t="s">
        <v>55</v>
      </c>
      <c r="F4263" s="18" t="s">
        <v>1959</v>
      </c>
      <c r="G4263" s="18" t="s">
        <v>219</v>
      </c>
      <c r="H4263" s="18" t="s">
        <v>8310</v>
      </c>
      <c r="I4263" s="20" t="s">
        <v>8397</v>
      </c>
      <c r="J4263" s="18" t="s">
        <v>58</v>
      </c>
      <c r="K4263" s="18" t="s">
        <v>24</v>
      </c>
      <c r="L4263" s="18" t="s">
        <v>25</v>
      </c>
      <c r="N4263" s="18" t="s">
        <v>973</v>
      </c>
    </row>
    <row r="4264" spans="1:14" ht="15" customHeight="1" x14ac:dyDescent="0.3">
      <c r="A4264" s="18" t="s">
        <v>8299</v>
      </c>
      <c r="B4264" s="19" t="s">
        <v>15</v>
      </c>
      <c r="C4264" s="18" t="s">
        <v>8309</v>
      </c>
      <c r="D4264" s="18" t="s">
        <v>116</v>
      </c>
      <c r="E4264" s="18" t="s">
        <v>55</v>
      </c>
      <c r="F4264" s="18" t="s">
        <v>8398</v>
      </c>
      <c r="G4264" s="18" t="s">
        <v>93</v>
      </c>
      <c r="H4264" s="18" t="s">
        <v>8310</v>
      </c>
      <c r="I4264" s="20" t="s">
        <v>8399</v>
      </c>
      <c r="J4264" s="18" t="s">
        <v>58</v>
      </c>
      <c r="K4264" s="18" t="s">
        <v>24</v>
      </c>
      <c r="L4264" s="18" t="s">
        <v>25</v>
      </c>
      <c r="N4264" s="18" t="s">
        <v>973</v>
      </c>
    </row>
    <row r="4265" spans="1:14" ht="15" customHeight="1" x14ac:dyDescent="0.3">
      <c r="A4265" s="18" t="s">
        <v>8299</v>
      </c>
      <c r="B4265" s="19" t="s">
        <v>15</v>
      </c>
      <c r="C4265" s="18" t="s">
        <v>8309</v>
      </c>
      <c r="D4265" s="18" t="s">
        <v>116</v>
      </c>
      <c r="E4265" s="18" t="s">
        <v>55</v>
      </c>
      <c r="F4265" s="18" t="s">
        <v>8400</v>
      </c>
      <c r="G4265" s="18" t="s">
        <v>41</v>
      </c>
      <c r="H4265" s="18" t="s">
        <v>8310</v>
      </c>
      <c r="I4265" s="20" t="s">
        <v>8401</v>
      </c>
      <c r="J4265" s="18" t="s">
        <v>58</v>
      </c>
      <c r="K4265" s="18" t="s">
        <v>24</v>
      </c>
      <c r="L4265" s="18" t="s">
        <v>25</v>
      </c>
      <c r="N4265" s="18" t="s">
        <v>973</v>
      </c>
    </row>
    <row r="4266" spans="1:14" ht="15" customHeight="1" x14ac:dyDescent="0.3">
      <c r="A4266" s="18" t="s">
        <v>8299</v>
      </c>
      <c r="B4266" s="19" t="s">
        <v>15</v>
      </c>
      <c r="C4266" s="18" t="s">
        <v>8309</v>
      </c>
      <c r="D4266" s="18" t="s">
        <v>116</v>
      </c>
      <c r="E4266" s="18" t="s">
        <v>55</v>
      </c>
      <c r="F4266" s="18" t="s">
        <v>2882</v>
      </c>
      <c r="G4266" s="18" t="s">
        <v>47</v>
      </c>
      <c r="H4266" s="18" t="s">
        <v>8310</v>
      </c>
      <c r="I4266" s="20" t="s">
        <v>8402</v>
      </c>
      <c r="J4266" s="18" t="s">
        <v>58</v>
      </c>
      <c r="K4266" s="18" t="s">
        <v>24</v>
      </c>
      <c r="L4266" s="18" t="s">
        <v>25</v>
      </c>
      <c r="N4266" s="18" t="s">
        <v>973</v>
      </c>
    </row>
    <row r="4267" spans="1:14" ht="15" customHeight="1" x14ac:dyDescent="0.3">
      <c r="A4267" s="18" t="s">
        <v>8299</v>
      </c>
      <c r="B4267" s="19" t="s">
        <v>15</v>
      </c>
      <c r="C4267" s="18" t="s">
        <v>6008</v>
      </c>
      <c r="D4267" s="18" t="s">
        <v>116</v>
      </c>
      <c r="E4267" s="18" t="s">
        <v>55</v>
      </c>
      <c r="F4267" s="18" t="s">
        <v>1832</v>
      </c>
      <c r="G4267" s="18" t="s">
        <v>207</v>
      </c>
      <c r="H4267" s="18" t="s">
        <v>8374</v>
      </c>
      <c r="I4267" s="20" t="s">
        <v>8403</v>
      </c>
      <c r="J4267" s="18" t="s">
        <v>58</v>
      </c>
      <c r="K4267" s="18" t="s">
        <v>24</v>
      </c>
      <c r="L4267" s="18" t="s">
        <v>25</v>
      </c>
      <c r="M4267" s="18" t="s">
        <v>8404</v>
      </c>
      <c r="N4267" s="18" t="s">
        <v>807</v>
      </c>
    </row>
    <row r="4268" spans="1:14" ht="15" customHeight="1" x14ac:dyDescent="0.3">
      <c r="A4268" s="18" t="s">
        <v>8299</v>
      </c>
      <c r="B4268" s="19" t="s">
        <v>15</v>
      </c>
      <c r="C4268" s="18" t="s">
        <v>6008</v>
      </c>
      <c r="D4268" s="18" t="s">
        <v>116</v>
      </c>
      <c r="E4268" s="18" t="s">
        <v>55</v>
      </c>
      <c r="F4268" s="18" t="s">
        <v>8405</v>
      </c>
      <c r="G4268" s="18" t="s">
        <v>207</v>
      </c>
      <c r="H4268" s="18" t="s">
        <v>8374</v>
      </c>
      <c r="I4268" s="20" t="s">
        <v>8406</v>
      </c>
      <c r="J4268" s="18" t="s">
        <v>58</v>
      </c>
      <c r="K4268" s="18" t="s">
        <v>24</v>
      </c>
      <c r="L4268" s="18" t="s">
        <v>25</v>
      </c>
      <c r="M4268" s="18" t="s">
        <v>8404</v>
      </c>
      <c r="N4268" s="18" t="s">
        <v>807</v>
      </c>
    </row>
    <row r="4269" spans="1:14" ht="15" customHeight="1" x14ac:dyDescent="0.3">
      <c r="A4269" s="18" t="s">
        <v>8299</v>
      </c>
      <c r="B4269" s="19" t="s">
        <v>15</v>
      </c>
      <c r="C4269" s="18" t="s">
        <v>715</v>
      </c>
      <c r="D4269" s="18" t="s">
        <v>116</v>
      </c>
      <c r="E4269" s="18" t="s">
        <v>55</v>
      </c>
      <c r="F4269" s="18" t="s">
        <v>8407</v>
      </c>
      <c r="G4269" s="18" t="s">
        <v>28</v>
      </c>
      <c r="H4269" s="18" t="s">
        <v>8301</v>
      </c>
      <c r="I4269" s="20" t="s">
        <v>8408</v>
      </c>
      <c r="J4269" s="18" t="s">
        <v>58</v>
      </c>
      <c r="K4269" s="18" t="s">
        <v>24</v>
      </c>
      <c r="L4269" s="18" t="s">
        <v>25</v>
      </c>
      <c r="N4269" s="18" t="s">
        <v>154</v>
      </c>
    </row>
    <row r="4270" spans="1:14" ht="15" customHeight="1" x14ac:dyDescent="0.3">
      <c r="A4270" s="18" t="s">
        <v>8299</v>
      </c>
      <c r="B4270" s="19" t="s">
        <v>15</v>
      </c>
      <c r="C4270" s="18" t="s">
        <v>6008</v>
      </c>
      <c r="D4270" s="18" t="s">
        <v>116</v>
      </c>
      <c r="E4270" s="18" t="s">
        <v>55</v>
      </c>
      <c r="F4270" s="18" t="s">
        <v>778</v>
      </c>
      <c r="G4270" s="18" t="s">
        <v>20</v>
      </c>
      <c r="H4270" s="18" t="s">
        <v>8304</v>
      </c>
      <c r="I4270" s="20" t="s">
        <v>8409</v>
      </c>
      <c r="J4270" s="18" t="s">
        <v>73</v>
      </c>
      <c r="K4270" s="18" t="s">
        <v>24</v>
      </c>
      <c r="L4270" s="18" t="s">
        <v>25</v>
      </c>
      <c r="N4270" s="18" t="s">
        <v>807</v>
      </c>
    </row>
    <row r="4271" spans="1:14" ht="15" customHeight="1" x14ac:dyDescent="0.3">
      <c r="A4271" s="18" t="s">
        <v>8299</v>
      </c>
      <c r="B4271" s="19" t="s">
        <v>15</v>
      </c>
      <c r="C4271" s="18" t="s">
        <v>6008</v>
      </c>
      <c r="D4271" s="18" t="s">
        <v>116</v>
      </c>
      <c r="E4271" s="18" t="s">
        <v>74</v>
      </c>
      <c r="F4271" s="18" t="s">
        <v>8410</v>
      </c>
      <c r="G4271" s="18" t="s">
        <v>88</v>
      </c>
      <c r="H4271" s="18" t="s">
        <v>8411</v>
      </c>
      <c r="I4271" s="20" t="s">
        <v>8412</v>
      </c>
      <c r="J4271" s="18" t="s">
        <v>8413</v>
      </c>
      <c r="K4271" s="18" t="s">
        <v>24</v>
      </c>
      <c r="L4271" s="18" t="s">
        <v>25</v>
      </c>
      <c r="N4271" s="18" t="s">
        <v>807</v>
      </c>
    </row>
    <row r="4272" spans="1:14" ht="15" customHeight="1" x14ac:dyDescent="0.3">
      <c r="A4272" s="18" t="s">
        <v>8414</v>
      </c>
      <c r="B4272" s="19" t="s">
        <v>15</v>
      </c>
      <c r="C4272" s="18" t="s">
        <v>918</v>
      </c>
      <c r="D4272" s="18" t="s">
        <v>116</v>
      </c>
      <c r="E4272" s="18" t="s">
        <v>18</v>
      </c>
      <c r="F4272" s="18" t="s">
        <v>3128</v>
      </c>
      <c r="G4272" s="18" t="s">
        <v>8415</v>
      </c>
      <c r="H4272" s="18" t="s">
        <v>8416</v>
      </c>
      <c r="I4272" s="20" t="s">
        <v>8417</v>
      </c>
      <c r="J4272" s="18" t="s">
        <v>30</v>
      </c>
      <c r="K4272" s="18" t="s">
        <v>24</v>
      </c>
      <c r="L4272" s="18" t="s">
        <v>25</v>
      </c>
      <c r="M4272" s="18" t="s">
        <v>8418</v>
      </c>
      <c r="N4272" s="18" t="s">
        <v>807</v>
      </c>
    </row>
    <row r="4273" spans="1:14" ht="15" customHeight="1" x14ac:dyDescent="0.3">
      <c r="A4273" s="18" t="s">
        <v>8414</v>
      </c>
      <c r="B4273" s="19" t="s">
        <v>15</v>
      </c>
      <c r="C4273" s="18" t="s">
        <v>918</v>
      </c>
      <c r="D4273" s="18" t="s">
        <v>116</v>
      </c>
      <c r="E4273" s="18" t="s">
        <v>18</v>
      </c>
      <c r="F4273" s="18" t="s">
        <v>1054</v>
      </c>
      <c r="G4273" s="18" t="s">
        <v>1055</v>
      </c>
      <c r="H4273" s="18" t="s">
        <v>7575</v>
      </c>
      <c r="I4273" s="20" t="s">
        <v>8419</v>
      </c>
      <c r="J4273" s="18" t="s">
        <v>30</v>
      </c>
      <c r="K4273" s="18" t="s">
        <v>24</v>
      </c>
      <c r="L4273" s="18" t="s">
        <v>25</v>
      </c>
      <c r="N4273" s="18" t="s">
        <v>807</v>
      </c>
    </row>
    <row r="4274" spans="1:14" ht="15" customHeight="1" x14ac:dyDescent="0.3">
      <c r="A4274" s="18" t="s">
        <v>8414</v>
      </c>
      <c r="B4274" s="19" t="s">
        <v>15</v>
      </c>
      <c r="C4274" s="18" t="s">
        <v>918</v>
      </c>
      <c r="D4274" s="18" t="s">
        <v>116</v>
      </c>
      <c r="E4274" s="18" t="s">
        <v>18</v>
      </c>
      <c r="F4274" s="18" t="s">
        <v>7578</v>
      </c>
      <c r="G4274" s="18" t="s">
        <v>197</v>
      </c>
      <c r="H4274" s="18" t="s">
        <v>8420</v>
      </c>
      <c r="I4274" s="20" t="s">
        <v>8421</v>
      </c>
      <c r="J4274" s="18" t="s">
        <v>30</v>
      </c>
      <c r="K4274" s="18" t="s">
        <v>24</v>
      </c>
      <c r="L4274" s="18" t="s">
        <v>25</v>
      </c>
      <c r="M4274" s="18" t="s">
        <v>8418</v>
      </c>
      <c r="N4274" s="18" t="s">
        <v>807</v>
      </c>
    </row>
    <row r="4275" spans="1:14" ht="15" customHeight="1" x14ac:dyDescent="0.3">
      <c r="A4275" s="18" t="s">
        <v>8414</v>
      </c>
      <c r="B4275" s="19" t="s">
        <v>15</v>
      </c>
      <c r="C4275" s="18" t="s">
        <v>918</v>
      </c>
      <c r="D4275" s="18" t="s">
        <v>116</v>
      </c>
      <c r="E4275" s="18" t="s">
        <v>18</v>
      </c>
      <c r="F4275" s="18" t="s">
        <v>1518</v>
      </c>
      <c r="G4275" s="18" t="s">
        <v>606</v>
      </c>
      <c r="H4275" s="18" t="s">
        <v>7575</v>
      </c>
      <c r="I4275" s="20" t="s">
        <v>8422</v>
      </c>
      <c r="J4275" s="18" t="s">
        <v>30</v>
      </c>
      <c r="K4275" s="18" t="s">
        <v>24</v>
      </c>
      <c r="L4275" s="18" t="s">
        <v>25</v>
      </c>
      <c r="N4275" s="18" t="s">
        <v>807</v>
      </c>
    </row>
    <row r="4276" spans="1:14" ht="15" customHeight="1" x14ac:dyDescent="0.3">
      <c r="A4276" s="18" t="s">
        <v>8414</v>
      </c>
      <c r="B4276" s="19" t="s">
        <v>15</v>
      </c>
      <c r="C4276" s="18" t="s">
        <v>918</v>
      </c>
      <c r="D4276" s="18" t="s">
        <v>116</v>
      </c>
      <c r="E4276" s="18" t="s">
        <v>18</v>
      </c>
      <c r="F4276" s="18" t="s">
        <v>3135</v>
      </c>
      <c r="G4276" s="18" t="s">
        <v>606</v>
      </c>
      <c r="H4276" s="18" t="s">
        <v>8423</v>
      </c>
      <c r="I4276" s="20" t="s">
        <v>8424</v>
      </c>
      <c r="J4276" s="18" t="s">
        <v>30</v>
      </c>
      <c r="K4276" s="18" t="s">
        <v>24</v>
      </c>
      <c r="L4276" s="18" t="s">
        <v>25</v>
      </c>
      <c r="N4276" s="18" t="s">
        <v>807</v>
      </c>
    </row>
    <row r="4277" spans="1:14" ht="15" customHeight="1" x14ac:dyDescent="0.3">
      <c r="A4277" s="18" t="s">
        <v>8414</v>
      </c>
      <c r="B4277" s="19" t="s">
        <v>15</v>
      </c>
      <c r="C4277" s="18" t="s">
        <v>918</v>
      </c>
      <c r="D4277" s="18" t="s">
        <v>116</v>
      </c>
      <c r="E4277" s="18" t="s">
        <v>18</v>
      </c>
      <c r="F4277" s="18" t="s">
        <v>7265</v>
      </c>
      <c r="G4277" s="18" t="s">
        <v>606</v>
      </c>
      <c r="H4277" s="18" t="s">
        <v>7575</v>
      </c>
      <c r="I4277" s="20" t="s">
        <v>8425</v>
      </c>
      <c r="J4277" s="18" t="s">
        <v>30</v>
      </c>
      <c r="K4277" s="18" t="s">
        <v>24</v>
      </c>
      <c r="L4277" s="18" t="s">
        <v>25</v>
      </c>
      <c r="N4277" s="18" t="s">
        <v>807</v>
      </c>
    </row>
    <row r="4278" spans="1:14" ht="15" customHeight="1" x14ac:dyDescent="0.3">
      <c r="A4278" s="18" t="s">
        <v>8414</v>
      </c>
      <c r="B4278" s="19" t="s">
        <v>15</v>
      </c>
      <c r="C4278" s="18" t="s">
        <v>918</v>
      </c>
      <c r="D4278" s="18" t="s">
        <v>116</v>
      </c>
      <c r="E4278" s="18" t="s">
        <v>18</v>
      </c>
      <c r="F4278" s="18" t="s">
        <v>8426</v>
      </c>
      <c r="G4278" s="18" t="s">
        <v>5315</v>
      </c>
      <c r="H4278" s="18" t="s">
        <v>8420</v>
      </c>
      <c r="I4278" s="20" t="s">
        <v>8427</v>
      </c>
      <c r="J4278" s="18" t="s">
        <v>30</v>
      </c>
      <c r="K4278" s="18" t="s">
        <v>24</v>
      </c>
      <c r="L4278" s="18" t="s">
        <v>25</v>
      </c>
      <c r="N4278" s="18" t="s">
        <v>807</v>
      </c>
    </row>
    <row r="4279" spans="1:14" ht="15" customHeight="1" x14ac:dyDescent="0.3">
      <c r="A4279" s="18" t="s">
        <v>8414</v>
      </c>
      <c r="B4279" s="19" t="s">
        <v>15</v>
      </c>
      <c r="C4279" s="18" t="s">
        <v>918</v>
      </c>
      <c r="D4279" s="18" t="s">
        <v>116</v>
      </c>
      <c r="E4279" s="18" t="s">
        <v>18</v>
      </c>
      <c r="F4279" s="18" t="s">
        <v>8428</v>
      </c>
      <c r="G4279" s="18" t="s">
        <v>606</v>
      </c>
      <c r="H4279" s="18" t="s">
        <v>8429</v>
      </c>
      <c r="I4279" s="20" t="s">
        <v>8430</v>
      </c>
      <c r="J4279" s="18" t="s">
        <v>30</v>
      </c>
      <c r="K4279" s="18" t="s">
        <v>24</v>
      </c>
      <c r="L4279" s="18" t="s">
        <v>25</v>
      </c>
      <c r="N4279" s="18" t="s">
        <v>807</v>
      </c>
    </row>
    <row r="4280" spans="1:14" ht="15" customHeight="1" x14ac:dyDescent="0.3">
      <c r="A4280" s="18" t="s">
        <v>8414</v>
      </c>
      <c r="B4280" s="19" t="s">
        <v>15</v>
      </c>
      <c r="C4280" s="18" t="s">
        <v>918</v>
      </c>
      <c r="D4280" s="18" t="s">
        <v>116</v>
      </c>
      <c r="E4280" s="18" t="s">
        <v>18</v>
      </c>
      <c r="F4280" s="18" t="s">
        <v>8431</v>
      </c>
      <c r="G4280" s="18" t="s">
        <v>920</v>
      </c>
      <c r="H4280" s="18" t="s">
        <v>8432</v>
      </c>
      <c r="I4280" s="20" t="s">
        <v>8433</v>
      </c>
      <c r="J4280" s="18" t="s">
        <v>30</v>
      </c>
      <c r="K4280" s="18" t="s">
        <v>24</v>
      </c>
      <c r="L4280" s="18" t="s">
        <v>25</v>
      </c>
      <c r="N4280" s="18" t="s">
        <v>807</v>
      </c>
    </row>
    <row r="4281" spans="1:14" ht="15" customHeight="1" x14ac:dyDescent="0.3">
      <c r="A4281" s="18" t="s">
        <v>8414</v>
      </c>
      <c r="B4281" s="19" t="s">
        <v>15</v>
      </c>
      <c r="C4281" s="18" t="s">
        <v>918</v>
      </c>
      <c r="D4281" s="18" t="s">
        <v>116</v>
      </c>
      <c r="E4281" s="18" t="s">
        <v>18</v>
      </c>
      <c r="F4281" s="18" t="s">
        <v>273</v>
      </c>
      <c r="G4281" s="18" t="s">
        <v>273</v>
      </c>
      <c r="H4281" s="18" t="s">
        <v>8434</v>
      </c>
      <c r="I4281" s="20" t="s">
        <v>8435</v>
      </c>
      <c r="J4281" s="18" t="s">
        <v>30</v>
      </c>
      <c r="K4281" s="18" t="s">
        <v>24</v>
      </c>
      <c r="L4281" s="18" t="s">
        <v>25</v>
      </c>
      <c r="N4281" s="18" t="s">
        <v>807</v>
      </c>
    </row>
    <row r="4282" spans="1:14" ht="15" customHeight="1" x14ac:dyDescent="0.3">
      <c r="A4282" s="18" t="s">
        <v>8414</v>
      </c>
      <c r="B4282" s="19" t="s">
        <v>15</v>
      </c>
      <c r="C4282" s="18" t="s">
        <v>918</v>
      </c>
      <c r="D4282" s="18" t="s">
        <v>116</v>
      </c>
      <c r="E4282" s="18" t="s">
        <v>18</v>
      </c>
      <c r="F4282" s="18" t="s">
        <v>1846</v>
      </c>
      <c r="G4282" s="18" t="s">
        <v>1019</v>
      </c>
      <c r="H4282" s="18" t="s">
        <v>8436</v>
      </c>
      <c r="I4282" s="20" t="s">
        <v>8437</v>
      </c>
      <c r="J4282" s="18" t="s">
        <v>30</v>
      </c>
      <c r="K4282" s="18" t="s">
        <v>24</v>
      </c>
      <c r="L4282" s="18" t="s">
        <v>25</v>
      </c>
      <c r="N4282" s="18" t="s">
        <v>807</v>
      </c>
    </row>
    <row r="4283" spans="1:14" ht="15" customHeight="1" x14ac:dyDescent="0.3">
      <c r="A4283" s="18" t="s">
        <v>8414</v>
      </c>
      <c r="B4283" s="19" t="s">
        <v>15</v>
      </c>
      <c r="C4283" s="18" t="s">
        <v>918</v>
      </c>
      <c r="D4283" s="18" t="s">
        <v>116</v>
      </c>
      <c r="E4283" s="18" t="s">
        <v>18</v>
      </c>
      <c r="F4283" s="18" t="s">
        <v>5317</v>
      </c>
      <c r="G4283" s="18" t="s">
        <v>207</v>
      </c>
      <c r="H4283" s="18" t="s">
        <v>8438</v>
      </c>
      <c r="I4283" s="20" t="s">
        <v>8439</v>
      </c>
      <c r="J4283" s="18" t="s">
        <v>30</v>
      </c>
      <c r="K4283" s="18" t="s">
        <v>24</v>
      </c>
      <c r="L4283" s="18" t="s">
        <v>25</v>
      </c>
      <c r="N4283" s="18" t="s">
        <v>807</v>
      </c>
    </row>
    <row r="4284" spans="1:14" ht="15" customHeight="1" x14ac:dyDescent="0.3">
      <c r="A4284" s="18" t="s">
        <v>8414</v>
      </c>
      <c r="B4284" s="19" t="s">
        <v>15</v>
      </c>
      <c r="C4284" s="18" t="s">
        <v>918</v>
      </c>
      <c r="D4284" s="18" t="s">
        <v>116</v>
      </c>
      <c r="E4284" s="18" t="s">
        <v>18</v>
      </c>
      <c r="F4284" s="18" t="s">
        <v>8440</v>
      </c>
      <c r="G4284" s="18" t="s">
        <v>212</v>
      </c>
      <c r="H4284" s="18" t="s">
        <v>7575</v>
      </c>
      <c r="I4284" s="20" t="s">
        <v>8441</v>
      </c>
      <c r="J4284" s="18" t="s">
        <v>30</v>
      </c>
      <c r="K4284" s="18" t="s">
        <v>24</v>
      </c>
      <c r="L4284" s="18" t="s">
        <v>25</v>
      </c>
      <c r="N4284" s="18" t="s">
        <v>807</v>
      </c>
    </row>
    <row r="4285" spans="1:14" ht="15" customHeight="1" x14ac:dyDescent="0.3">
      <c r="A4285" s="18" t="s">
        <v>8414</v>
      </c>
      <c r="B4285" s="19" t="s">
        <v>15</v>
      </c>
      <c r="C4285" s="18" t="s">
        <v>918</v>
      </c>
      <c r="D4285" s="18" t="s">
        <v>116</v>
      </c>
      <c r="E4285" s="18" t="s">
        <v>18</v>
      </c>
      <c r="F4285" s="18" t="s">
        <v>162</v>
      </c>
      <c r="G4285" s="18" t="s">
        <v>28</v>
      </c>
      <c r="H4285" s="18" t="s">
        <v>8442</v>
      </c>
      <c r="I4285" s="20" t="s">
        <v>8443</v>
      </c>
      <c r="J4285" s="18" t="s">
        <v>30</v>
      </c>
      <c r="K4285" s="18" t="s">
        <v>24</v>
      </c>
      <c r="L4285" s="18" t="s">
        <v>25</v>
      </c>
      <c r="N4285" s="18" t="s">
        <v>807</v>
      </c>
    </row>
    <row r="4286" spans="1:14" ht="15" customHeight="1" x14ac:dyDescent="0.3">
      <c r="A4286" s="18" t="s">
        <v>8414</v>
      </c>
      <c r="B4286" s="19" t="s">
        <v>15</v>
      </c>
      <c r="C4286" s="18" t="s">
        <v>918</v>
      </c>
      <c r="D4286" s="18" t="s">
        <v>116</v>
      </c>
      <c r="E4286" s="18" t="s">
        <v>18</v>
      </c>
      <c r="F4286" s="18" t="s">
        <v>1575</v>
      </c>
      <c r="G4286" s="18" t="s">
        <v>1291</v>
      </c>
      <c r="H4286" s="18" t="s">
        <v>7575</v>
      </c>
      <c r="I4286" s="20" t="s">
        <v>8444</v>
      </c>
      <c r="J4286" s="18" t="s">
        <v>30</v>
      </c>
      <c r="K4286" s="18" t="s">
        <v>24</v>
      </c>
      <c r="L4286" s="18" t="s">
        <v>25</v>
      </c>
      <c r="N4286" s="18" t="s">
        <v>807</v>
      </c>
    </row>
    <row r="4287" spans="1:14" ht="15" customHeight="1" x14ac:dyDescent="0.3">
      <c r="A4287" s="18" t="s">
        <v>8414</v>
      </c>
      <c r="B4287" s="19" t="s">
        <v>15</v>
      </c>
      <c r="C4287" s="18" t="s">
        <v>918</v>
      </c>
      <c r="D4287" s="18" t="s">
        <v>116</v>
      </c>
      <c r="E4287" s="18" t="s">
        <v>18</v>
      </c>
      <c r="F4287" s="18" t="s">
        <v>619</v>
      </c>
      <c r="G4287" s="18" t="s">
        <v>619</v>
      </c>
      <c r="H4287" s="18" t="s">
        <v>8416</v>
      </c>
      <c r="I4287" s="20" t="s">
        <v>8445</v>
      </c>
      <c r="J4287" s="18" t="s">
        <v>23</v>
      </c>
      <c r="K4287" s="18" t="s">
        <v>24</v>
      </c>
      <c r="L4287" s="18" t="s">
        <v>25</v>
      </c>
      <c r="N4287" s="18" t="s">
        <v>807</v>
      </c>
    </row>
    <row r="4288" spans="1:14" ht="15" customHeight="1" x14ac:dyDescent="0.3">
      <c r="A4288" s="18" t="s">
        <v>8414</v>
      </c>
      <c r="B4288" s="19" t="s">
        <v>15</v>
      </c>
      <c r="C4288" s="18" t="s">
        <v>918</v>
      </c>
      <c r="D4288" s="18" t="s">
        <v>116</v>
      </c>
      <c r="E4288" s="18" t="s">
        <v>18</v>
      </c>
      <c r="F4288" s="18" t="s">
        <v>8446</v>
      </c>
      <c r="G4288" s="18" t="s">
        <v>619</v>
      </c>
      <c r="H4288" s="18" t="s">
        <v>8416</v>
      </c>
      <c r="I4288" s="20" t="s">
        <v>8447</v>
      </c>
      <c r="J4288" s="18" t="s">
        <v>23</v>
      </c>
      <c r="K4288" s="18" t="s">
        <v>24</v>
      </c>
      <c r="L4288" s="18" t="s">
        <v>25</v>
      </c>
      <c r="M4288" s="18" t="s">
        <v>39</v>
      </c>
      <c r="N4288" s="18" t="s">
        <v>807</v>
      </c>
    </row>
    <row r="4289" spans="1:14" ht="15" customHeight="1" x14ac:dyDescent="0.3">
      <c r="A4289" s="18" t="s">
        <v>8414</v>
      </c>
      <c r="B4289" s="19" t="s">
        <v>15</v>
      </c>
      <c r="C4289" s="18" t="s">
        <v>918</v>
      </c>
      <c r="D4289" s="18" t="s">
        <v>116</v>
      </c>
      <c r="E4289" s="18" t="s">
        <v>18</v>
      </c>
      <c r="F4289" s="18" t="s">
        <v>8448</v>
      </c>
      <c r="G4289" s="18" t="s">
        <v>1254</v>
      </c>
      <c r="H4289" s="18" t="s">
        <v>7575</v>
      </c>
      <c r="I4289" s="20" t="s">
        <v>8449</v>
      </c>
      <c r="J4289" s="18" t="s">
        <v>30</v>
      </c>
      <c r="K4289" s="18" t="s">
        <v>24</v>
      </c>
      <c r="L4289" s="18" t="s">
        <v>25</v>
      </c>
      <c r="N4289" s="18" t="s">
        <v>807</v>
      </c>
    </row>
    <row r="4290" spans="1:14" ht="15" customHeight="1" x14ac:dyDescent="0.3">
      <c r="A4290" s="18" t="s">
        <v>8414</v>
      </c>
      <c r="B4290" s="19" t="s">
        <v>15</v>
      </c>
      <c r="C4290" s="18" t="s">
        <v>918</v>
      </c>
      <c r="D4290" s="18" t="s">
        <v>116</v>
      </c>
      <c r="E4290" s="18" t="s">
        <v>18</v>
      </c>
      <c r="F4290" s="18" t="s">
        <v>1069</v>
      </c>
      <c r="G4290" s="18" t="s">
        <v>1069</v>
      </c>
      <c r="H4290" s="18" t="s">
        <v>7602</v>
      </c>
      <c r="I4290" s="20" t="s">
        <v>8450</v>
      </c>
      <c r="J4290" s="18" t="s">
        <v>30</v>
      </c>
      <c r="K4290" s="18" t="s">
        <v>24</v>
      </c>
      <c r="L4290" s="18" t="s">
        <v>25</v>
      </c>
      <c r="N4290" s="18" t="s">
        <v>807</v>
      </c>
    </row>
    <row r="4291" spans="1:14" ht="15" customHeight="1" x14ac:dyDescent="0.3">
      <c r="A4291" s="18" t="s">
        <v>8414</v>
      </c>
      <c r="B4291" s="19" t="s">
        <v>15</v>
      </c>
      <c r="C4291" s="18" t="s">
        <v>918</v>
      </c>
      <c r="D4291" s="18" t="s">
        <v>116</v>
      </c>
      <c r="E4291" s="18" t="s">
        <v>18</v>
      </c>
      <c r="F4291" s="18" t="s">
        <v>8451</v>
      </c>
      <c r="G4291" s="18" t="s">
        <v>41</v>
      </c>
      <c r="H4291" s="18" t="s">
        <v>8442</v>
      </c>
      <c r="I4291" s="20" t="s">
        <v>8452</v>
      </c>
      <c r="J4291" s="18" t="s">
        <v>30</v>
      </c>
      <c r="K4291" s="18" t="s">
        <v>24</v>
      </c>
      <c r="L4291" s="18" t="s">
        <v>25</v>
      </c>
      <c r="N4291" s="18" t="s">
        <v>807</v>
      </c>
    </row>
    <row r="4292" spans="1:14" ht="15" customHeight="1" x14ac:dyDescent="0.3">
      <c r="A4292" s="18" t="s">
        <v>8414</v>
      </c>
      <c r="B4292" s="19" t="s">
        <v>15</v>
      </c>
      <c r="C4292" s="18" t="s">
        <v>918</v>
      </c>
      <c r="D4292" s="18" t="s">
        <v>116</v>
      </c>
      <c r="E4292" s="18" t="s">
        <v>18</v>
      </c>
      <c r="F4292" s="18" t="s">
        <v>7604</v>
      </c>
      <c r="G4292" s="18" t="s">
        <v>1254</v>
      </c>
      <c r="H4292" s="18" t="s">
        <v>7575</v>
      </c>
      <c r="I4292" s="20" t="s">
        <v>8453</v>
      </c>
      <c r="J4292" s="18" t="s">
        <v>30</v>
      </c>
      <c r="K4292" s="18" t="s">
        <v>24</v>
      </c>
      <c r="L4292" s="18" t="s">
        <v>25</v>
      </c>
      <c r="N4292" s="18" t="s">
        <v>807</v>
      </c>
    </row>
    <row r="4293" spans="1:14" ht="15" customHeight="1" x14ac:dyDescent="0.3">
      <c r="A4293" s="18" t="s">
        <v>8414</v>
      </c>
      <c r="B4293" s="19" t="s">
        <v>15</v>
      </c>
      <c r="C4293" s="18" t="s">
        <v>918</v>
      </c>
      <c r="D4293" s="18" t="s">
        <v>116</v>
      </c>
      <c r="E4293" s="18" t="s">
        <v>18</v>
      </c>
      <c r="F4293" s="18" t="s">
        <v>1239</v>
      </c>
      <c r="G4293" s="18" t="s">
        <v>1254</v>
      </c>
      <c r="H4293" s="18" t="s">
        <v>7575</v>
      </c>
      <c r="I4293" s="20" t="s">
        <v>8454</v>
      </c>
      <c r="J4293" s="18" t="s">
        <v>30</v>
      </c>
      <c r="K4293" s="18" t="s">
        <v>24</v>
      </c>
      <c r="L4293" s="18" t="s">
        <v>25</v>
      </c>
      <c r="N4293" s="18" t="s">
        <v>807</v>
      </c>
    </row>
    <row r="4294" spans="1:14" ht="15" customHeight="1" x14ac:dyDescent="0.3">
      <c r="A4294" s="18" t="s">
        <v>8414</v>
      </c>
      <c r="B4294" s="19" t="s">
        <v>15</v>
      </c>
      <c r="C4294" s="18" t="s">
        <v>918</v>
      </c>
      <c r="D4294" s="18" t="s">
        <v>116</v>
      </c>
      <c r="E4294" s="18" t="s">
        <v>18</v>
      </c>
      <c r="F4294" s="18" t="s">
        <v>221</v>
      </c>
      <c r="G4294" s="18" t="s">
        <v>212</v>
      </c>
      <c r="H4294" s="18" t="s">
        <v>7575</v>
      </c>
      <c r="I4294" s="20" t="s">
        <v>8455</v>
      </c>
      <c r="J4294" s="18" t="s">
        <v>30</v>
      </c>
      <c r="K4294" s="18" t="s">
        <v>24</v>
      </c>
      <c r="L4294" s="18" t="s">
        <v>25</v>
      </c>
      <c r="N4294" s="18" t="s">
        <v>807</v>
      </c>
    </row>
    <row r="4295" spans="1:14" ht="15" customHeight="1" x14ac:dyDescent="0.3">
      <c r="A4295" s="18" t="s">
        <v>8414</v>
      </c>
      <c r="B4295" s="19" t="s">
        <v>15</v>
      </c>
      <c r="C4295" s="18" t="s">
        <v>918</v>
      </c>
      <c r="D4295" s="18" t="s">
        <v>116</v>
      </c>
      <c r="E4295" s="18" t="s">
        <v>18</v>
      </c>
      <c r="F4295" s="18" t="s">
        <v>1244</v>
      </c>
      <c r="G4295" s="18" t="s">
        <v>1204</v>
      </c>
      <c r="H4295" s="18" t="s">
        <v>7575</v>
      </c>
      <c r="I4295" s="20" t="s">
        <v>8456</v>
      </c>
      <c r="J4295" s="18" t="s">
        <v>30</v>
      </c>
      <c r="K4295" s="18" t="s">
        <v>24</v>
      </c>
      <c r="L4295" s="18" t="s">
        <v>25</v>
      </c>
      <c r="N4295" s="18" t="s">
        <v>807</v>
      </c>
    </row>
    <row r="4296" spans="1:14" ht="15" customHeight="1" x14ac:dyDescent="0.3">
      <c r="A4296" s="18" t="s">
        <v>8414</v>
      </c>
      <c r="B4296" s="19" t="s">
        <v>15</v>
      </c>
      <c r="C4296" s="18" t="s">
        <v>918</v>
      </c>
      <c r="D4296" s="18" t="s">
        <v>116</v>
      </c>
      <c r="E4296" s="18" t="s">
        <v>18</v>
      </c>
      <c r="F4296" s="18" t="s">
        <v>7609</v>
      </c>
      <c r="G4296" s="18" t="s">
        <v>1254</v>
      </c>
      <c r="H4296" s="18" t="s">
        <v>7575</v>
      </c>
      <c r="I4296" s="20" t="s">
        <v>8457</v>
      </c>
      <c r="J4296" s="18" t="s">
        <v>30</v>
      </c>
      <c r="K4296" s="18" t="s">
        <v>24</v>
      </c>
      <c r="L4296" s="18" t="s">
        <v>25</v>
      </c>
      <c r="N4296" s="18" t="s">
        <v>807</v>
      </c>
    </row>
    <row r="4297" spans="1:14" ht="15" customHeight="1" x14ac:dyDescent="0.3">
      <c r="A4297" s="18" t="s">
        <v>8414</v>
      </c>
      <c r="B4297" s="19" t="s">
        <v>15</v>
      </c>
      <c r="C4297" s="18" t="s">
        <v>918</v>
      </c>
      <c r="D4297" s="18" t="s">
        <v>116</v>
      </c>
      <c r="E4297" s="18" t="s">
        <v>18</v>
      </c>
      <c r="F4297" s="18" t="s">
        <v>1072</v>
      </c>
      <c r="G4297" s="18" t="s">
        <v>47</v>
      </c>
      <c r="H4297" s="18" t="s">
        <v>7575</v>
      </c>
      <c r="I4297" s="20" t="s">
        <v>8458</v>
      </c>
      <c r="J4297" s="18" t="s">
        <v>30</v>
      </c>
      <c r="K4297" s="18" t="s">
        <v>24</v>
      </c>
      <c r="L4297" s="18" t="s">
        <v>25</v>
      </c>
      <c r="N4297" s="18" t="s">
        <v>807</v>
      </c>
    </row>
    <row r="4298" spans="1:14" ht="15" customHeight="1" x14ac:dyDescent="0.3">
      <c r="A4298" s="18" t="s">
        <v>8414</v>
      </c>
      <c r="B4298" s="19" t="s">
        <v>15</v>
      </c>
      <c r="C4298" s="18" t="s">
        <v>918</v>
      </c>
      <c r="D4298" s="18" t="s">
        <v>116</v>
      </c>
      <c r="E4298" s="18" t="s">
        <v>18</v>
      </c>
      <c r="F4298" s="18" t="s">
        <v>34</v>
      </c>
      <c r="G4298" s="18" t="s">
        <v>1254</v>
      </c>
      <c r="H4298" s="18" t="s">
        <v>7575</v>
      </c>
      <c r="I4298" s="20" t="s">
        <v>8459</v>
      </c>
      <c r="J4298" s="18" t="s">
        <v>30</v>
      </c>
      <c r="K4298" s="18" t="s">
        <v>24</v>
      </c>
      <c r="L4298" s="18" t="s">
        <v>25</v>
      </c>
      <c r="N4298" s="18" t="s">
        <v>807</v>
      </c>
    </row>
    <row r="4299" spans="1:14" ht="15" customHeight="1" x14ac:dyDescent="0.3">
      <c r="A4299" s="18" t="s">
        <v>8414</v>
      </c>
      <c r="B4299" s="19" t="s">
        <v>15</v>
      </c>
      <c r="C4299" s="18" t="s">
        <v>918</v>
      </c>
      <c r="D4299" s="18" t="s">
        <v>116</v>
      </c>
      <c r="E4299" s="18" t="s">
        <v>18</v>
      </c>
      <c r="F4299" s="18" t="s">
        <v>8460</v>
      </c>
      <c r="G4299" s="18" t="s">
        <v>1254</v>
      </c>
      <c r="H4299" s="18" t="s">
        <v>8423</v>
      </c>
      <c r="I4299" s="20" t="s">
        <v>8461</v>
      </c>
      <c r="J4299" s="18" t="s">
        <v>30</v>
      </c>
      <c r="K4299" s="18" t="s">
        <v>24</v>
      </c>
      <c r="L4299" s="18" t="s">
        <v>25</v>
      </c>
      <c r="N4299" s="18" t="s">
        <v>807</v>
      </c>
    </row>
    <row r="4300" spans="1:14" ht="15" customHeight="1" x14ac:dyDescent="0.3">
      <c r="A4300" s="18" t="s">
        <v>8414</v>
      </c>
      <c r="B4300" s="19" t="s">
        <v>15</v>
      </c>
      <c r="C4300" s="18" t="s">
        <v>918</v>
      </c>
      <c r="D4300" s="18" t="s">
        <v>116</v>
      </c>
      <c r="E4300" s="18" t="s">
        <v>18</v>
      </c>
      <c r="F4300" s="18" t="s">
        <v>1250</v>
      </c>
      <c r="G4300" s="18" t="s">
        <v>1251</v>
      </c>
      <c r="H4300" s="18" t="s">
        <v>7575</v>
      </c>
      <c r="I4300" s="20" t="s">
        <v>8462</v>
      </c>
      <c r="J4300" s="18" t="s">
        <v>30</v>
      </c>
      <c r="K4300" s="18" t="s">
        <v>24</v>
      </c>
      <c r="L4300" s="18" t="s">
        <v>25</v>
      </c>
      <c r="N4300" s="18" t="s">
        <v>807</v>
      </c>
    </row>
    <row r="4301" spans="1:14" ht="15" customHeight="1" x14ac:dyDescent="0.3">
      <c r="A4301" s="18" t="s">
        <v>8414</v>
      </c>
      <c r="B4301" s="19" t="s">
        <v>15</v>
      </c>
      <c r="C4301" s="18" t="s">
        <v>918</v>
      </c>
      <c r="D4301" s="18" t="s">
        <v>116</v>
      </c>
      <c r="E4301" s="18" t="s">
        <v>18</v>
      </c>
      <c r="F4301" s="18" t="s">
        <v>8463</v>
      </c>
      <c r="G4301" s="18" t="s">
        <v>1502</v>
      </c>
      <c r="H4301" s="18" t="s">
        <v>7575</v>
      </c>
      <c r="I4301" s="20" t="s">
        <v>8464</v>
      </c>
      <c r="J4301" s="18" t="s">
        <v>30</v>
      </c>
      <c r="K4301" s="18" t="s">
        <v>24</v>
      </c>
      <c r="L4301" s="18" t="s">
        <v>25</v>
      </c>
      <c r="N4301" s="18" t="s">
        <v>807</v>
      </c>
    </row>
    <row r="4302" spans="1:14" ht="15" customHeight="1" x14ac:dyDescent="0.3">
      <c r="A4302" s="18" t="s">
        <v>8414</v>
      </c>
      <c r="B4302" s="19" t="s">
        <v>15</v>
      </c>
      <c r="C4302" s="18" t="s">
        <v>918</v>
      </c>
      <c r="D4302" s="18" t="s">
        <v>116</v>
      </c>
      <c r="E4302" s="18" t="s">
        <v>18</v>
      </c>
      <c r="F4302" s="18" t="s">
        <v>8465</v>
      </c>
      <c r="G4302" s="18" t="s">
        <v>2245</v>
      </c>
      <c r="H4302" s="18" t="s">
        <v>8420</v>
      </c>
      <c r="I4302" s="20" t="s">
        <v>8466</v>
      </c>
      <c r="J4302" s="18" t="s">
        <v>30</v>
      </c>
      <c r="K4302" s="18" t="s">
        <v>24</v>
      </c>
      <c r="L4302" s="18" t="s">
        <v>25</v>
      </c>
      <c r="N4302" s="18" t="s">
        <v>807</v>
      </c>
    </row>
    <row r="4303" spans="1:14" ht="15" customHeight="1" x14ac:dyDescent="0.3">
      <c r="A4303" s="18" t="s">
        <v>8414</v>
      </c>
      <c r="B4303" s="19" t="s">
        <v>15</v>
      </c>
      <c r="C4303" s="18" t="s">
        <v>918</v>
      </c>
      <c r="D4303" s="18" t="s">
        <v>116</v>
      </c>
      <c r="E4303" s="18" t="s">
        <v>18</v>
      </c>
      <c r="F4303" s="18" t="s">
        <v>8467</v>
      </c>
      <c r="G4303" s="18" t="s">
        <v>298</v>
      </c>
      <c r="H4303" s="18" t="s">
        <v>8420</v>
      </c>
      <c r="I4303" s="20" t="s">
        <v>8468</v>
      </c>
      <c r="J4303" s="18" t="s">
        <v>30</v>
      </c>
      <c r="K4303" s="18" t="s">
        <v>24</v>
      </c>
      <c r="L4303" s="18" t="s">
        <v>25</v>
      </c>
      <c r="N4303" s="18" t="s">
        <v>807</v>
      </c>
    </row>
    <row r="4304" spans="1:14" ht="15" customHeight="1" x14ac:dyDescent="0.3">
      <c r="A4304" s="18" t="s">
        <v>8414</v>
      </c>
      <c r="B4304" s="19" t="s">
        <v>15</v>
      </c>
      <c r="C4304" s="18" t="s">
        <v>918</v>
      </c>
      <c r="D4304" s="18" t="s">
        <v>116</v>
      </c>
      <c r="E4304" s="18" t="s">
        <v>18</v>
      </c>
      <c r="F4304" s="18" t="s">
        <v>3396</v>
      </c>
      <c r="G4304" s="18" t="s">
        <v>1059</v>
      </c>
      <c r="H4304" s="18" t="s">
        <v>8420</v>
      </c>
      <c r="I4304" s="20" t="s">
        <v>8469</v>
      </c>
      <c r="J4304" s="18" t="s">
        <v>30</v>
      </c>
      <c r="K4304" s="18" t="s">
        <v>24</v>
      </c>
      <c r="L4304" s="18" t="s">
        <v>25</v>
      </c>
      <c r="N4304" s="18" t="s">
        <v>807</v>
      </c>
    </row>
    <row r="4305" spans="1:14" ht="15" customHeight="1" x14ac:dyDescent="0.3">
      <c r="A4305" s="18" t="s">
        <v>8414</v>
      </c>
      <c r="B4305" s="19" t="s">
        <v>15</v>
      </c>
      <c r="C4305" s="18" t="s">
        <v>918</v>
      </c>
      <c r="D4305" s="18" t="s">
        <v>116</v>
      </c>
      <c r="E4305" s="18" t="s">
        <v>18</v>
      </c>
      <c r="F4305" s="18" t="s">
        <v>8470</v>
      </c>
      <c r="G4305" s="18" t="s">
        <v>80</v>
      </c>
      <c r="H4305" s="18" t="s">
        <v>8429</v>
      </c>
      <c r="I4305" s="20" t="s">
        <v>8471</v>
      </c>
      <c r="J4305" s="18" t="s">
        <v>30</v>
      </c>
      <c r="K4305" s="18" t="s">
        <v>24</v>
      </c>
      <c r="L4305" s="18" t="s">
        <v>25</v>
      </c>
      <c r="N4305" s="18" t="s">
        <v>807</v>
      </c>
    </row>
    <row r="4306" spans="1:14" ht="15" customHeight="1" x14ac:dyDescent="0.3">
      <c r="A4306" s="18" t="s">
        <v>8414</v>
      </c>
      <c r="B4306" s="19" t="s">
        <v>15</v>
      </c>
      <c r="C4306" s="18" t="s">
        <v>918</v>
      </c>
      <c r="D4306" s="18" t="s">
        <v>116</v>
      </c>
      <c r="E4306" s="18" t="s">
        <v>18</v>
      </c>
      <c r="F4306" s="18" t="s">
        <v>6432</v>
      </c>
      <c r="G4306" s="18" t="s">
        <v>6433</v>
      </c>
      <c r="H4306" s="18" t="s">
        <v>8420</v>
      </c>
      <c r="I4306" s="20" t="s">
        <v>8472</v>
      </c>
      <c r="J4306" s="18" t="s">
        <v>30</v>
      </c>
      <c r="K4306" s="18" t="s">
        <v>24</v>
      </c>
      <c r="L4306" s="18" t="s">
        <v>25</v>
      </c>
      <c r="N4306" s="18" t="s">
        <v>807</v>
      </c>
    </row>
    <row r="4307" spans="1:14" ht="15" customHeight="1" x14ac:dyDescent="0.3">
      <c r="A4307" s="18" t="s">
        <v>8414</v>
      </c>
      <c r="B4307" s="19" t="s">
        <v>15</v>
      </c>
      <c r="C4307" s="18" t="s">
        <v>918</v>
      </c>
      <c r="D4307" s="18" t="s">
        <v>116</v>
      </c>
      <c r="E4307" s="18" t="s">
        <v>18</v>
      </c>
      <c r="F4307" s="18" t="s">
        <v>3138</v>
      </c>
      <c r="G4307" s="18" t="s">
        <v>3138</v>
      </c>
      <c r="H4307" s="18" t="s">
        <v>7575</v>
      </c>
      <c r="I4307" s="20" t="s">
        <v>8473</v>
      </c>
      <c r="J4307" s="18" t="s">
        <v>30</v>
      </c>
      <c r="K4307" s="18" t="s">
        <v>24</v>
      </c>
      <c r="L4307" s="18" t="s">
        <v>25</v>
      </c>
      <c r="N4307" s="18" t="s">
        <v>807</v>
      </c>
    </row>
    <row r="4308" spans="1:14" ht="15" customHeight="1" x14ac:dyDescent="0.3">
      <c r="A4308" s="18" t="s">
        <v>8414</v>
      </c>
      <c r="B4308" s="19" t="s">
        <v>15</v>
      </c>
      <c r="C4308" s="18" t="s">
        <v>918</v>
      </c>
      <c r="D4308" s="18" t="s">
        <v>116</v>
      </c>
      <c r="E4308" s="18" t="s">
        <v>18</v>
      </c>
      <c r="F4308" s="18" t="s">
        <v>8474</v>
      </c>
      <c r="G4308" s="18" t="s">
        <v>1055</v>
      </c>
      <c r="H4308" s="18" t="s">
        <v>8420</v>
      </c>
      <c r="I4308" s="20" t="s">
        <v>8475</v>
      </c>
      <c r="J4308" s="18" t="s">
        <v>30</v>
      </c>
      <c r="K4308" s="18" t="s">
        <v>24</v>
      </c>
      <c r="L4308" s="18" t="s">
        <v>25</v>
      </c>
      <c r="N4308" s="18" t="s">
        <v>807</v>
      </c>
    </row>
    <row r="4309" spans="1:14" ht="15" customHeight="1" x14ac:dyDescent="0.3">
      <c r="A4309" s="18" t="s">
        <v>8414</v>
      </c>
      <c r="B4309" s="19" t="s">
        <v>15</v>
      </c>
      <c r="C4309" s="18" t="s">
        <v>918</v>
      </c>
      <c r="D4309" s="18" t="s">
        <v>116</v>
      </c>
      <c r="E4309" s="18" t="s">
        <v>18</v>
      </c>
      <c r="F4309" s="18" t="s">
        <v>8476</v>
      </c>
      <c r="G4309" s="18" t="s">
        <v>2248</v>
      </c>
      <c r="H4309" s="18" t="s">
        <v>7575</v>
      </c>
      <c r="I4309" s="20" t="s">
        <v>8477</v>
      </c>
      <c r="J4309" s="18" t="s">
        <v>30</v>
      </c>
      <c r="K4309" s="18" t="s">
        <v>24</v>
      </c>
      <c r="L4309" s="18" t="s">
        <v>25</v>
      </c>
      <c r="N4309" s="18" t="s">
        <v>807</v>
      </c>
    </row>
    <row r="4310" spans="1:14" ht="15" customHeight="1" x14ac:dyDescent="0.3">
      <c r="A4310" s="18" t="s">
        <v>8414</v>
      </c>
      <c r="B4310" s="19" t="s">
        <v>15</v>
      </c>
      <c r="C4310" s="18" t="s">
        <v>918</v>
      </c>
      <c r="D4310" s="18" t="s">
        <v>116</v>
      </c>
      <c r="E4310" s="18" t="s">
        <v>18</v>
      </c>
      <c r="F4310" s="18" t="s">
        <v>40</v>
      </c>
      <c r="G4310" s="18" t="s">
        <v>41</v>
      </c>
      <c r="H4310" s="18" t="s">
        <v>7602</v>
      </c>
      <c r="I4310" s="20" t="s">
        <v>8478</v>
      </c>
      <c r="J4310" s="18" t="s">
        <v>30</v>
      </c>
      <c r="K4310" s="18" t="s">
        <v>24</v>
      </c>
      <c r="L4310" s="18" t="s">
        <v>25</v>
      </c>
      <c r="N4310" s="18" t="s">
        <v>807</v>
      </c>
    </row>
    <row r="4311" spans="1:14" ht="15" customHeight="1" x14ac:dyDescent="0.3">
      <c r="A4311" s="18" t="s">
        <v>8414</v>
      </c>
      <c r="B4311" s="19" t="s">
        <v>15</v>
      </c>
      <c r="C4311" s="18" t="s">
        <v>918</v>
      </c>
      <c r="D4311" s="18" t="s">
        <v>116</v>
      </c>
      <c r="E4311" s="18" t="s">
        <v>18</v>
      </c>
      <c r="F4311" s="18" t="s">
        <v>8479</v>
      </c>
      <c r="G4311" s="18" t="s">
        <v>212</v>
      </c>
      <c r="H4311" s="18" t="s">
        <v>7575</v>
      </c>
      <c r="I4311" s="20" t="s">
        <v>8480</v>
      </c>
      <c r="J4311" s="18" t="s">
        <v>30</v>
      </c>
      <c r="K4311" s="18" t="s">
        <v>24</v>
      </c>
      <c r="L4311" s="18" t="s">
        <v>25</v>
      </c>
      <c r="N4311" s="18" t="s">
        <v>807</v>
      </c>
    </row>
    <row r="4312" spans="1:14" ht="15" customHeight="1" x14ac:dyDescent="0.3">
      <c r="A4312" s="18" t="s">
        <v>8414</v>
      </c>
      <c r="B4312" s="19" t="s">
        <v>15</v>
      </c>
      <c r="C4312" s="18" t="s">
        <v>918</v>
      </c>
      <c r="D4312" s="18" t="s">
        <v>116</v>
      </c>
      <c r="E4312" s="18" t="s">
        <v>18</v>
      </c>
      <c r="F4312" s="18" t="s">
        <v>1088</v>
      </c>
      <c r="G4312" s="18" t="s">
        <v>41</v>
      </c>
      <c r="H4312" s="18" t="s">
        <v>8442</v>
      </c>
      <c r="I4312" s="20" t="s">
        <v>8481</v>
      </c>
      <c r="J4312" s="18" t="s">
        <v>30</v>
      </c>
      <c r="K4312" s="18" t="s">
        <v>24</v>
      </c>
      <c r="L4312" s="18" t="s">
        <v>25</v>
      </c>
      <c r="N4312" s="18" t="s">
        <v>807</v>
      </c>
    </row>
    <row r="4313" spans="1:14" ht="15" customHeight="1" x14ac:dyDescent="0.3">
      <c r="A4313" s="18" t="s">
        <v>8414</v>
      </c>
      <c r="B4313" s="19" t="s">
        <v>15</v>
      </c>
      <c r="C4313" s="18" t="s">
        <v>918</v>
      </c>
      <c r="D4313" s="18" t="s">
        <v>116</v>
      </c>
      <c r="E4313" s="18" t="s">
        <v>18</v>
      </c>
      <c r="F4313" s="18" t="s">
        <v>6250</v>
      </c>
      <c r="G4313" s="18" t="s">
        <v>197</v>
      </c>
      <c r="H4313" s="18" t="s">
        <v>8420</v>
      </c>
      <c r="I4313" s="20" t="s">
        <v>8482</v>
      </c>
      <c r="J4313" s="18" t="s">
        <v>30</v>
      </c>
      <c r="K4313" s="18" t="s">
        <v>24</v>
      </c>
      <c r="L4313" s="18" t="s">
        <v>25</v>
      </c>
      <c r="N4313" s="18" t="s">
        <v>807</v>
      </c>
    </row>
    <row r="4314" spans="1:14" ht="15" customHeight="1" x14ac:dyDescent="0.3">
      <c r="A4314" s="18" t="s">
        <v>8414</v>
      </c>
      <c r="B4314" s="19" t="s">
        <v>15</v>
      </c>
      <c r="C4314" s="18" t="s">
        <v>918</v>
      </c>
      <c r="D4314" s="18" t="s">
        <v>116</v>
      </c>
      <c r="E4314" s="18" t="s">
        <v>18</v>
      </c>
      <c r="F4314" s="18" t="s">
        <v>7637</v>
      </c>
      <c r="G4314" s="18" t="s">
        <v>197</v>
      </c>
      <c r="H4314" s="18" t="s">
        <v>8420</v>
      </c>
      <c r="I4314" s="20" t="s">
        <v>8483</v>
      </c>
      <c r="J4314" s="18" t="s">
        <v>30</v>
      </c>
      <c r="K4314" s="18" t="s">
        <v>24</v>
      </c>
      <c r="L4314" s="18" t="s">
        <v>25</v>
      </c>
      <c r="N4314" s="18" t="s">
        <v>807</v>
      </c>
    </row>
    <row r="4315" spans="1:14" ht="15" customHeight="1" x14ac:dyDescent="0.3">
      <c r="A4315" s="18" t="s">
        <v>8414</v>
      </c>
      <c r="B4315" s="19" t="s">
        <v>15</v>
      </c>
      <c r="C4315" s="18" t="s">
        <v>918</v>
      </c>
      <c r="D4315" s="18" t="s">
        <v>116</v>
      </c>
      <c r="E4315" s="18" t="s">
        <v>18</v>
      </c>
      <c r="F4315" s="18" t="s">
        <v>1587</v>
      </c>
      <c r="G4315" s="18" t="s">
        <v>47</v>
      </c>
      <c r="H4315" s="18" t="s">
        <v>8442</v>
      </c>
      <c r="I4315" s="20" t="s">
        <v>8484</v>
      </c>
      <c r="J4315" s="18" t="s">
        <v>30</v>
      </c>
      <c r="K4315" s="18" t="s">
        <v>24</v>
      </c>
      <c r="L4315" s="18" t="s">
        <v>25</v>
      </c>
      <c r="N4315" s="18" t="s">
        <v>807</v>
      </c>
    </row>
    <row r="4316" spans="1:14" ht="15" customHeight="1" x14ac:dyDescent="0.3">
      <c r="A4316" s="18" t="s">
        <v>8414</v>
      </c>
      <c r="B4316" s="19" t="s">
        <v>15</v>
      </c>
      <c r="C4316" s="18" t="s">
        <v>918</v>
      </c>
      <c r="D4316" s="18" t="s">
        <v>116</v>
      </c>
      <c r="E4316" s="18" t="s">
        <v>18</v>
      </c>
      <c r="F4316" s="18" t="s">
        <v>8196</v>
      </c>
      <c r="G4316" s="18" t="s">
        <v>47</v>
      </c>
      <c r="H4316" s="18" t="s">
        <v>7575</v>
      </c>
      <c r="I4316" s="20" t="s">
        <v>8485</v>
      </c>
      <c r="J4316" s="18" t="s">
        <v>30</v>
      </c>
      <c r="K4316" s="18" t="s">
        <v>24</v>
      </c>
      <c r="L4316" s="18" t="s">
        <v>25</v>
      </c>
      <c r="N4316" s="18" t="s">
        <v>807</v>
      </c>
    </row>
    <row r="4317" spans="1:14" ht="15" customHeight="1" x14ac:dyDescent="0.3">
      <c r="A4317" s="18" t="s">
        <v>8414</v>
      </c>
      <c r="B4317" s="19" t="s">
        <v>15</v>
      </c>
      <c r="C4317" s="18" t="s">
        <v>918</v>
      </c>
      <c r="D4317" s="18" t="s">
        <v>116</v>
      </c>
      <c r="E4317" s="18" t="s">
        <v>18</v>
      </c>
      <c r="F4317" s="18" t="s">
        <v>3506</v>
      </c>
      <c r="G4317" s="18" t="s">
        <v>1340</v>
      </c>
      <c r="H4317" s="18" t="s">
        <v>8442</v>
      </c>
      <c r="I4317" s="20" t="s">
        <v>8486</v>
      </c>
      <c r="J4317" s="18" t="s">
        <v>30</v>
      </c>
      <c r="K4317" s="18" t="s">
        <v>24</v>
      </c>
      <c r="L4317" s="18" t="s">
        <v>25</v>
      </c>
      <c r="N4317" s="18" t="s">
        <v>807</v>
      </c>
    </row>
    <row r="4318" spans="1:14" ht="15" customHeight="1" x14ac:dyDescent="0.3">
      <c r="A4318" s="18" t="s">
        <v>8414</v>
      </c>
      <c r="B4318" s="19" t="s">
        <v>15</v>
      </c>
      <c r="C4318" s="18" t="s">
        <v>918</v>
      </c>
      <c r="D4318" s="18" t="s">
        <v>116</v>
      </c>
      <c r="E4318" s="18" t="s">
        <v>18</v>
      </c>
      <c r="F4318" s="18" t="s">
        <v>1130</v>
      </c>
      <c r="G4318" s="18" t="s">
        <v>1130</v>
      </c>
      <c r="H4318" s="18" t="s">
        <v>8420</v>
      </c>
      <c r="I4318" s="20" t="s">
        <v>8487</v>
      </c>
      <c r="J4318" s="18" t="s">
        <v>30</v>
      </c>
      <c r="K4318" s="18" t="s">
        <v>24</v>
      </c>
      <c r="L4318" s="18" t="s">
        <v>25</v>
      </c>
      <c r="N4318" s="18" t="s">
        <v>807</v>
      </c>
    </row>
    <row r="4319" spans="1:14" ht="15" customHeight="1" x14ac:dyDescent="0.3">
      <c r="A4319" s="18" t="s">
        <v>8414</v>
      </c>
      <c r="B4319" s="19" t="s">
        <v>15</v>
      </c>
      <c r="C4319" s="18" t="s">
        <v>918</v>
      </c>
      <c r="D4319" s="18" t="s">
        <v>116</v>
      </c>
      <c r="E4319" s="18" t="s">
        <v>18</v>
      </c>
      <c r="F4319" s="18" t="s">
        <v>8488</v>
      </c>
      <c r="G4319" s="18" t="s">
        <v>298</v>
      </c>
      <c r="H4319" s="18" t="s">
        <v>8420</v>
      </c>
      <c r="I4319" s="20" t="s">
        <v>8489</v>
      </c>
      <c r="J4319" s="18" t="s">
        <v>30</v>
      </c>
      <c r="K4319" s="18" t="s">
        <v>24</v>
      </c>
      <c r="L4319" s="18" t="s">
        <v>25</v>
      </c>
      <c r="N4319" s="18" t="s">
        <v>807</v>
      </c>
    </row>
    <row r="4320" spans="1:14" ht="15" customHeight="1" x14ac:dyDescent="0.3">
      <c r="A4320" s="18" t="s">
        <v>8414</v>
      </c>
      <c r="B4320" s="19" t="s">
        <v>15</v>
      </c>
      <c r="C4320" s="18" t="s">
        <v>918</v>
      </c>
      <c r="D4320" s="18" t="s">
        <v>116</v>
      </c>
      <c r="E4320" s="18" t="s">
        <v>18</v>
      </c>
      <c r="F4320" s="18" t="s">
        <v>1095</v>
      </c>
      <c r="G4320" s="18" t="s">
        <v>1095</v>
      </c>
      <c r="H4320" s="18" t="s">
        <v>7575</v>
      </c>
      <c r="I4320" s="20" t="s">
        <v>8490</v>
      </c>
      <c r="J4320" s="18" t="s">
        <v>30</v>
      </c>
      <c r="K4320" s="18" t="s">
        <v>24</v>
      </c>
      <c r="L4320" s="18" t="s">
        <v>25</v>
      </c>
      <c r="N4320" s="18" t="s">
        <v>807</v>
      </c>
    </row>
    <row r="4321" spans="1:14" ht="15" customHeight="1" x14ac:dyDescent="0.3">
      <c r="A4321" s="18" t="s">
        <v>8414</v>
      </c>
      <c r="B4321" s="19" t="s">
        <v>15</v>
      </c>
      <c r="C4321" s="18" t="s">
        <v>918</v>
      </c>
      <c r="D4321" s="18" t="s">
        <v>116</v>
      </c>
      <c r="E4321" s="18" t="s">
        <v>18</v>
      </c>
      <c r="F4321" s="18" t="s">
        <v>2327</v>
      </c>
      <c r="G4321" s="18" t="s">
        <v>160</v>
      </c>
      <c r="H4321" s="18" t="s">
        <v>8442</v>
      </c>
      <c r="I4321" s="20" t="s">
        <v>8491</v>
      </c>
      <c r="J4321" s="18" t="s">
        <v>30</v>
      </c>
      <c r="K4321" s="18" t="s">
        <v>24</v>
      </c>
      <c r="L4321" s="18" t="s">
        <v>25</v>
      </c>
      <c r="N4321" s="18" t="s">
        <v>807</v>
      </c>
    </row>
    <row r="4322" spans="1:14" ht="15" customHeight="1" x14ac:dyDescent="0.3">
      <c r="A4322" s="18" t="s">
        <v>8414</v>
      </c>
      <c r="B4322" s="19" t="s">
        <v>15</v>
      </c>
      <c r="C4322" s="18" t="s">
        <v>918</v>
      </c>
      <c r="D4322" s="18" t="s">
        <v>116</v>
      </c>
      <c r="E4322" s="18" t="s">
        <v>18</v>
      </c>
      <c r="F4322" s="18" t="s">
        <v>25</v>
      </c>
      <c r="G4322" s="18" t="s">
        <v>312</v>
      </c>
      <c r="H4322" s="18" t="s">
        <v>8420</v>
      </c>
      <c r="I4322" s="20" t="s">
        <v>8492</v>
      </c>
      <c r="J4322" s="18" t="s">
        <v>30</v>
      </c>
      <c r="K4322" s="18" t="s">
        <v>24</v>
      </c>
      <c r="L4322" s="18" t="s">
        <v>25</v>
      </c>
      <c r="N4322" s="18" t="s">
        <v>807</v>
      </c>
    </row>
    <row r="4323" spans="1:14" ht="15" customHeight="1" x14ac:dyDescent="0.3">
      <c r="A4323" s="18" t="s">
        <v>8414</v>
      </c>
      <c r="B4323" s="19" t="s">
        <v>15</v>
      </c>
      <c r="C4323" s="18" t="s">
        <v>918</v>
      </c>
      <c r="D4323" s="18" t="s">
        <v>116</v>
      </c>
      <c r="E4323" s="18" t="s">
        <v>18</v>
      </c>
      <c r="F4323" s="18" t="s">
        <v>340</v>
      </c>
      <c r="G4323" s="18" t="s">
        <v>340</v>
      </c>
      <c r="H4323" s="18" t="s">
        <v>8434</v>
      </c>
      <c r="I4323" s="20" t="s">
        <v>8493</v>
      </c>
      <c r="J4323" s="18" t="s">
        <v>30</v>
      </c>
      <c r="K4323" s="18" t="s">
        <v>24</v>
      </c>
      <c r="L4323" s="18" t="s">
        <v>25</v>
      </c>
      <c r="N4323" s="18" t="s">
        <v>807</v>
      </c>
    </row>
    <row r="4324" spans="1:14" ht="15" customHeight="1" x14ac:dyDescent="0.3">
      <c r="A4324" s="18" t="s">
        <v>8414</v>
      </c>
      <c r="B4324" s="19" t="s">
        <v>15</v>
      </c>
      <c r="C4324" s="18" t="s">
        <v>918</v>
      </c>
      <c r="D4324" s="18" t="s">
        <v>116</v>
      </c>
      <c r="E4324" s="18" t="s">
        <v>18</v>
      </c>
      <c r="F4324" s="18" t="s">
        <v>7647</v>
      </c>
      <c r="G4324" s="18" t="s">
        <v>7647</v>
      </c>
      <c r="H4324" s="18" t="s">
        <v>7575</v>
      </c>
      <c r="I4324" s="20" t="s">
        <v>8494</v>
      </c>
      <c r="J4324" s="18" t="s">
        <v>30</v>
      </c>
      <c r="K4324" s="18" t="s">
        <v>24</v>
      </c>
      <c r="L4324" s="18" t="s">
        <v>25</v>
      </c>
      <c r="N4324" s="18" t="s">
        <v>807</v>
      </c>
    </row>
    <row r="4325" spans="1:14" ht="15" customHeight="1" x14ac:dyDescent="0.3">
      <c r="A4325" s="18" t="s">
        <v>8414</v>
      </c>
      <c r="B4325" s="19" t="s">
        <v>15</v>
      </c>
      <c r="C4325" s="18" t="s">
        <v>918</v>
      </c>
      <c r="D4325" s="18" t="s">
        <v>116</v>
      </c>
      <c r="E4325" s="18" t="s">
        <v>18</v>
      </c>
      <c r="F4325" s="18" t="s">
        <v>8205</v>
      </c>
      <c r="G4325" s="18" t="s">
        <v>7647</v>
      </c>
      <c r="H4325" s="18" t="s">
        <v>7575</v>
      </c>
      <c r="I4325" s="20" t="s">
        <v>8495</v>
      </c>
      <c r="J4325" s="18" t="s">
        <v>30</v>
      </c>
      <c r="K4325" s="18" t="s">
        <v>24</v>
      </c>
      <c r="L4325" s="18" t="s">
        <v>25</v>
      </c>
      <c r="N4325" s="18" t="s">
        <v>807</v>
      </c>
    </row>
    <row r="4326" spans="1:14" ht="15" customHeight="1" x14ac:dyDescent="0.3">
      <c r="A4326" s="18" t="s">
        <v>8414</v>
      </c>
      <c r="B4326" s="19" t="s">
        <v>15</v>
      </c>
      <c r="C4326" s="18" t="s">
        <v>918</v>
      </c>
      <c r="D4326" s="18" t="s">
        <v>116</v>
      </c>
      <c r="E4326" s="18" t="s">
        <v>18</v>
      </c>
      <c r="F4326" s="18" t="s">
        <v>6339</v>
      </c>
      <c r="G4326" s="18" t="s">
        <v>1059</v>
      </c>
      <c r="H4326" s="18" t="s">
        <v>7602</v>
      </c>
      <c r="I4326" s="20" t="s">
        <v>8496</v>
      </c>
      <c r="J4326" s="18" t="s">
        <v>30</v>
      </c>
      <c r="K4326" s="18" t="s">
        <v>24</v>
      </c>
      <c r="L4326" s="18" t="s">
        <v>25</v>
      </c>
      <c r="N4326" s="18" t="s">
        <v>807</v>
      </c>
    </row>
    <row r="4327" spans="1:14" ht="15" customHeight="1" x14ac:dyDescent="0.3">
      <c r="A4327" s="18" t="s">
        <v>8414</v>
      </c>
      <c r="B4327" s="19" t="s">
        <v>15</v>
      </c>
      <c r="C4327" s="18" t="s">
        <v>918</v>
      </c>
      <c r="D4327" s="18" t="s">
        <v>116</v>
      </c>
      <c r="E4327" s="18" t="s">
        <v>18</v>
      </c>
      <c r="F4327" s="18" t="s">
        <v>1102</v>
      </c>
      <c r="G4327" s="18" t="s">
        <v>263</v>
      </c>
      <c r="H4327" s="18" t="s">
        <v>8434</v>
      </c>
      <c r="I4327" s="20" t="s">
        <v>8497</v>
      </c>
      <c r="J4327" s="18" t="s">
        <v>6145</v>
      </c>
      <c r="K4327" s="18" t="s">
        <v>24</v>
      </c>
      <c r="L4327" s="18" t="s">
        <v>25</v>
      </c>
      <c r="N4327" s="18" t="s">
        <v>807</v>
      </c>
    </row>
    <row r="4328" spans="1:14" ht="15" customHeight="1" x14ac:dyDescent="0.3">
      <c r="A4328" s="18" t="s">
        <v>8414</v>
      </c>
      <c r="B4328" s="19" t="s">
        <v>15</v>
      </c>
      <c r="C4328" s="18" t="s">
        <v>918</v>
      </c>
      <c r="D4328" s="18" t="s">
        <v>116</v>
      </c>
      <c r="E4328" s="18" t="s">
        <v>18</v>
      </c>
      <c r="F4328" s="18" t="s">
        <v>1104</v>
      </c>
      <c r="G4328" s="18" t="s">
        <v>1055</v>
      </c>
      <c r="H4328" s="18" t="s">
        <v>7602</v>
      </c>
      <c r="I4328" s="20" t="s">
        <v>8498</v>
      </c>
      <c r="J4328" s="18" t="s">
        <v>30</v>
      </c>
      <c r="K4328" s="18" t="s">
        <v>24</v>
      </c>
      <c r="L4328" s="18" t="s">
        <v>25</v>
      </c>
      <c r="N4328" s="18" t="s">
        <v>807</v>
      </c>
    </row>
    <row r="4329" spans="1:14" ht="15" customHeight="1" x14ac:dyDescent="0.3">
      <c r="A4329" s="18" t="s">
        <v>8414</v>
      </c>
      <c r="B4329" s="19" t="s">
        <v>15</v>
      </c>
      <c r="C4329" s="18" t="s">
        <v>918</v>
      </c>
      <c r="D4329" s="18" t="s">
        <v>116</v>
      </c>
      <c r="E4329" s="18" t="s">
        <v>18</v>
      </c>
      <c r="F4329" s="18" t="s">
        <v>8499</v>
      </c>
      <c r="G4329" s="18" t="s">
        <v>537</v>
      </c>
      <c r="H4329" s="18" t="s">
        <v>8420</v>
      </c>
      <c r="I4329" s="20" t="s">
        <v>8500</v>
      </c>
      <c r="J4329" s="18" t="s">
        <v>30</v>
      </c>
      <c r="K4329" s="18" t="s">
        <v>24</v>
      </c>
      <c r="L4329" s="18" t="s">
        <v>25</v>
      </c>
      <c r="N4329" s="18" t="s">
        <v>807</v>
      </c>
    </row>
    <row r="4330" spans="1:14" ht="15" customHeight="1" x14ac:dyDescent="0.3">
      <c r="A4330" s="18" t="s">
        <v>8414</v>
      </c>
      <c r="B4330" s="19" t="s">
        <v>15</v>
      </c>
      <c r="C4330" s="18" t="s">
        <v>918</v>
      </c>
      <c r="D4330" s="18" t="s">
        <v>116</v>
      </c>
      <c r="E4330" s="18" t="s">
        <v>55</v>
      </c>
      <c r="F4330" s="18" t="s">
        <v>3532</v>
      </c>
      <c r="G4330" s="18" t="s">
        <v>273</v>
      </c>
      <c r="H4330" s="18" t="s">
        <v>8434</v>
      </c>
      <c r="I4330" s="20" t="s">
        <v>8501</v>
      </c>
      <c r="J4330" s="18" t="s">
        <v>58</v>
      </c>
      <c r="K4330" s="18" t="s">
        <v>24</v>
      </c>
      <c r="L4330" s="18" t="s">
        <v>25</v>
      </c>
      <c r="N4330" s="18" t="s">
        <v>807</v>
      </c>
    </row>
    <row r="4331" spans="1:14" ht="15" customHeight="1" x14ac:dyDescent="0.3">
      <c r="A4331" s="18" t="s">
        <v>8414</v>
      </c>
      <c r="B4331" s="19" t="s">
        <v>15</v>
      </c>
      <c r="C4331" s="18" t="s">
        <v>918</v>
      </c>
      <c r="D4331" s="18" t="s">
        <v>116</v>
      </c>
      <c r="E4331" s="18" t="s">
        <v>55</v>
      </c>
      <c r="F4331" s="18" t="s">
        <v>8502</v>
      </c>
      <c r="G4331" s="18" t="s">
        <v>2921</v>
      </c>
      <c r="H4331" s="18" t="s">
        <v>8416</v>
      </c>
      <c r="I4331" s="20" t="s">
        <v>8503</v>
      </c>
      <c r="J4331" s="18" t="s">
        <v>58</v>
      </c>
      <c r="K4331" s="18" t="s">
        <v>24</v>
      </c>
      <c r="L4331" s="18" t="s">
        <v>25</v>
      </c>
      <c r="N4331" s="18" t="s">
        <v>807</v>
      </c>
    </row>
    <row r="4332" spans="1:14" ht="15" customHeight="1" x14ac:dyDescent="0.3">
      <c r="A4332" s="18" t="s">
        <v>8414</v>
      </c>
      <c r="B4332" s="19" t="s">
        <v>15</v>
      </c>
      <c r="C4332" s="18" t="s">
        <v>918</v>
      </c>
      <c r="D4332" s="18" t="s">
        <v>116</v>
      </c>
      <c r="E4332" s="18" t="s">
        <v>55</v>
      </c>
      <c r="F4332" s="18" t="s">
        <v>8504</v>
      </c>
      <c r="G4332" s="18" t="s">
        <v>19</v>
      </c>
      <c r="H4332" s="18" t="s">
        <v>8420</v>
      </c>
      <c r="I4332" s="20" t="s">
        <v>8505</v>
      </c>
      <c r="J4332" s="18" t="s">
        <v>58</v>
      </c>
      <c r="K4332" s="18" t="s">
        <v>24</v>
      </c>
      <c r="L4332" s="18" t="s">
        <v>25</v>
      </c>
      <c r="N4332" s="18" t="s">
        <v>807</v>
      </c>
    </row>
    <row r="4333" spans="1:14" ht="15" customHeight="1" x14ac:dyDescent="0.3">
      <c r="A4333" s="18" t="s">
        <v>8414</v>
      </c>
      <c r="B4333" s="19" t="s">
        <v>15</v>
      </c>
      <c r="C4333" s="18" t="s">
        <v>918</v>
      </c>
      <c r="D4333" s="18" t="s">
        <v>116</v>
      </c>
      <c r="E4333" s="18" t="s">
        <v>55</v>
      </c>
      <c r="F4333" s="18" t="s">
        <v>8506</v>
      </c>
      <c r="G4333" s="18" t="s">
        <v>1055</v>
      </c>
      <c r="H4333" s="18" t="s">
        <v>7575</v>
      </c>
      <c r="I4333" s="20" t="s">
        <v>8507</v>
      </c>
      <c r="J4333" s="18" t="s">
        <v>58</v>
      </c>
      <c r="K4333" s="18" t="s">
        <v>24</v>
      </c>
      <c r="L4333" s="18" t="s">
        <v>25</v>
      </c>
      <c r="N4333" s="18" t="s">
        <v>807</v>
      </c>
    </row>
    <row r="4334" spans="1:14" ht="15" customHeight="1" x14ac:dyDescent="0.3">
      <c r="A4334" s="18" t="s">
        <v>8414</v>
      </c>
      <c r="B4334" s="19" t="s">
        <v>15</v>
      </c>
      <c r="C4334" s="18" t="s">
        <v>918</v>
      </c>
      <c r="D4334" s="18" t="s">
        <v>116</v>
      </c>
      <c r="E4334" s="18" t="s">
        <v>55</v>
      </c>
      <c r="F4334" s="18" t="s">
        <v>8508</v>
      </c>
      <c r="G4334" s="18" t="s">
        <v>1055</v>
      </c>
      <c r="H4334" s="18" t="s">
        <v>7575</v>
      </c>
      <c r="I4334" s="20" t="s">
        <v>8509</v>
      </c>
      <c r="J4334" s="18" t="s">
        <v>58</v>
      </c>
      <c r="K4334" s="18" t="s">
        <v>24</v>
      </c>
      <c r="L4334" s="18" t="s">
        <v>25</v>
      </c>
      <c r="M4334" s="18" t="s">
        <v>39</v>
      </c>
      <c r="N4334" s="18" t="s">
        <v>807</v>
      </c>
    </row>
    <row r="4335" spans="1:14" ht="15" customHeight="1" x14ac:dyDescent="0.3">
      <c r="A4335" s="18" t="s">
        <v>8414</v>
      </c>
      <c r="B4335" s="19" t="s">
        <v>15</v>
      </c>
      <c r="C4335" s="18" t="s">
        <v>918</v>
      </c>
      <c r="D4335" s="18" t="s">
        <v>116</v>
      </c>
      <c r="E4335" s="18" t="s">
        <v>55</v>
      </c>
      <c r="F4335" s="18" t="s">
        <v>8510</v>
      </c>
      <c r="G4335" s="18" t="s">
        <v>1055</v>
      </c>
      <c r="H4335" s="18" t="s">
        <v>7575</v>
      </c>
      <c r="I4335" s="20" t="s">
        <v>8511</v>
      </c>
      <c r="J4335" s="18" t="s">
        <v>58</v>
      </c>
      <c r="K4335" s="18" t="s">
        <v>24</v>
      </c>
      <c r="L4335" s="18" t="s">
        <v>25</v>
      </c>
      <c r="M4335" s="18" t="s">
        <v>39</v>
      </c>
      <c r="N4335" s="18" t="s">
        <v>807</v>
      </c>
    </row>
    <row r="4336" spans="1:14" ht="15" customHeight="1" x14ac:dyDescent="0.3">
      <c r="A4336" s="18" t="s">
        <v>8414</v>
      </c>
      <c r="B4336" s="19" t="s">
        <v>15</v>
      </c>
      <c r="C4336" s="18" t="s">
        <v>918</v>
      </c>
      <c r="D4336" s="18" t="s">
        <v>116</v>
      </c>
      <c r="E4336" s="18" t="s">
        <v>55</v>
      </c>
      <c r="F4336" s="18" t="s">
        <v>8512</v>
      </c>
      <c r="G4336" s="18" t="s">
        <v>1055</v>
      </c>
      <c r="H4336" s="18" t="s">
        <v>7575</v>
      </c>
      <c r="I4336" s="20" t="s">
        <v>8513</v>
      </c>
      <c r="J4336" s="18" t="s">
        <v>58</v>
      </c>
      <c r="K4336" s="18" t="s">
        <v>24</v>
      </c>
      <c r="L4336" s="18" t="s">
        <v>25</v>
      </c>
      <c r="N4336" s="18" t="s">
        <v>807</v>
      </c>
    </row>
    <row r="4337" spans="1:14" ht="15" customHeight="1" x14ac:dyDescent="0.3">
      <c r="A4337" s="18" t="s">
        <v>8414</v>
      </c>
      <c r="B4337" s="19" t="s">
        <v>15</v>
      </c>
      <c r="C4337" s="18" t="s">
        <v>918</v>
      </c>
      <c r="D4337" s="18" t="s">
        <v>116</v>
      </c>
      <c r="E4337" s="18" t="s">
        <v>55</v>
      </c>
      <c r="F4337" s="18" t="s">
        <v>8514</v>
      </c>
      <c r="G4337" s="18" t="s">
        <v>47</v>
      </c>
      <c r="H4337" s="18" t="s">
        <v>7575</v>
      </c>
      <c r="I4337" s="20" t="s">
        <v>8515</v>
      </c>
      <c r="J4337" s="18" t="s">
        <v>58</v>
      </c>
      <c r="K4337" s="18" t="s">
        <v>24</v>
      </c>
      <c r="L4337" s="18" t="s">
        <v>25</v>
      </c>
      <c r="N4337" s="18" t="s">
        <v>807</v>
      </c>
    </row>
    <row r="4338" spans="1:14" ht="15" customHeight="1" x14ac:dyDescent="0.3">
      <c r="A4338" s="18" t="s">
        <v>8414</v>
      </c>
      <c r="B4338" s="19" t="s">
        <v>15</v>
      </c>
      <c r="C4338" s="18" t="s">
        <v>918</v>
      </c>
      <c r="D4338" s="18" t="s">
        <v>116</v>
      </c>
      <c r="E4338" s="18" t="s">
        <v>55</v>
      </c>
      <c r="F4338" s="18" t="s">
        <v>634</v>
      </c>
      <c r="G4338" s="18" t="s">
        <v>429</v>
      </c>
      <c r="H4338" s="18" t="s">
        <v>8429</v>
      </c>
      <c r="I4338" s="20" t="s">
        <v>8516</v>
      </c>
      <c r="J4338" s="18" t="s">
        <v>58</v>
      </c>
      <c r="K4338" s="18" t="s">
        <v>24</v>
      </c>
      <c r="L4338" s="18" t="s">
        <v>25</v>
      </c>
      <c r="N4338" s="18" t="s">
        <v>807</v>
      </c>
    </row>
    <row r="4339" spans="1:14" ht="15" customHeight="1" x14ac:dyDescent="0.3">
      <c r="A4339" s="18" t="s">
        <v>8414</v>
      </c>
      <c r="B4339" s="19" t="s">
        <v>15</v>
      </c>
      <c r="C4339" s="18" t="s">
        <v>918</v>
      </c>
      <c r="D4339" s="18" t="s">
        <v>116</v>
      </c>
      <c r="E4339" s="18" t="s">
        <v>55</v>
      </c>
      <c r="F4339" s="18" t="s">
        <v>8517</v>
      </c>
      <c r="G4339" s="18" t="s">
        <v>197</v>
      </c>
      <c r="H4339" s="18" t="s">
        <v>8420</v>
      </c>
      <c r="I4339" s="20" t="s">
        <v>8518</v>
      </c>
      <c r="J4339" s="18" t="s">
        <v>58</v>
      </c>
      <c r="K4339" s="18" t="s">
        <v>24</v>
      </c>
      <c r="L4339" s="18" t="s">
        <v>25</v>
      </c>
      <c r="N4339" s="18" t="s">
        <v>807</v>
      </c>
    </row>
    <row r="4340" spans="1:14" ht="15" customHeight="1" x14ac:dyDescent="0.3">
      <c r="A4340" s="18" t="s">
        <v>8414</v>
      </c>
      <c r="B4340" s="19" t="s">
        <v>15</v>
      </c>
      <c r="C4340" s="18" t="s">
        <v>918</v>
      </c>
      <c r="D4340" s="18" t="s">
        <v>116</v>
      </c>
      <c r="E4340" s="18" t="s">
        <v>55</v>
      </c>
      <c r="F4340" s="18" t="s">
        <v>8519</v>
      </c>
      <c r="G4340" s="18" t="s">
        <v>173</v>
      </c>
      <c r="H4340" s="18" t="s">
        <v>7575</v>
      </c>
      <c r="I4340" s="20" t="s">
        <v>8520</v>
      </c>
      <c r="J4340" s="18" t="s">
        <v>58</v>
      </c>
      <c r="K4340" s="18" t="s">
        <v>24</v>
      </c>
      <c r="L4340" s="18" t="s">
        <v>25</v>
      </c>
      <c r="N4340" s="18" t="s">
        <v>807</v>
      </c>
    </row>
    <row r="4341" spans="1:14" ht="15" customHeight="1" x14ac:dyDescent="0.3">
      <c r="A4341" s="18" t="s">
        <v>8414</v>
      </c>
      <c r="B4341" s="19" t="s">
        <v>15</v>
      </c>
      <c r="C4341" s="18" t="s">
        <v>918</v>
      </c>
      <c r="D4341" s="18" t="s">
        <v>116</v>
      </c>
      <c r="E4341" s="18" t="s">
        <v>55</v>
      </c>
      <c r="F4341" s="18" t="s">
        <v>8521</v>
      </c>
      <c r="G4341" s="18" t="s">
        <v>3138</v>
      </c>
      <c r="H4341" s="18" t="s">
        <v>7575</v>
      </c>
      <c r="I4341" s="20" t="s">
        <v>8522</v>
      </c>
      <c r="J4341" s="18" t="s">
        <v>58</v>
      </c>
      <c r="K4341" s="18" t="s">
        <v>24</v>
      </c>
      <c r="L4341" s="18" t="s">
        <v>25</v>
      </c>
      <c r="N4341" s="18" t="s">
        <v>807</v>
      </c>
    </row>
    <row r="4342" spans="1:14" ht="15" customHeight="1" x14ac:dyDescent="0.3">
      <c r="A4342" s="18" t="s">
        <v>8414</v>
      </c>
      <c r="B4342" s="19" t="s">
        <v>15</v>
      </c>
      <c r="C4342" s="18" t="s">
        <v>918</v>
      </c>
      <c r="D4342" s="18" t="s">
        <v>116</v>
      </c>
      <c r="E4342" s="18" t="s">
        <v>55</v>
      </c>
      <c r="F4342" s="18" t="s">
        <v>8523</v>
      </c>
      <c r="G4342" s="18" t="s">
        <v>433</v>
      </c>
      <c r="H4342" s="18" t="s">
        <v>8429</v>
      </c>
      <c r="I4342" s="20" t="s">
        <v>8524</v>
      </c>
      <c r="J4342" s="18" t="s">
        <v>58</v>
      </c>
      <c r="K4342" s="18" t="s">
        <v>24</v>
      </c>
      <c r="L4342" s="18" t="s">
        <v>25</v>
      </c>
      <c r="N4342" s="18" t="s">
        <v>807</v>
      </c>
    </row>
    <row r="4343" spans="1:14" ht="15" customHeight="1" x14ac:dyDescent="0.3">
      <c r="A4343" s="18" t="s">
        <v>8414</v>
      </c>
      <c r="B4343" s="19" t="s">
        <v>15</v>
      </c>
      <c r="C4343" s="18" t="s">
        <v>918</v>
      </c>
      <c r="D4343" s="18" t="s">
        <v>116</v>
      </c>
      <c r="E4343" s="18" t="s">
        <v>55</v>
      </c>
      <c r="F4343" s="18" t="s">
        <v>8525</v>
      </c>
      <c r="G4343" s="18" t="s">
        <v>1055</v>
      </c>
      <c r="H4343" s="18" t="s">
        <v>7575</v>
      </c>
      <c r="I4343" s="20" t="s">
        <v>8526</v>
      </c>
      <c r="J4343" s="18" t="s">
        <v>58</v>
      </c>
      <c r="K4343" s="18" t="s">
        <v>24</v>
      </c>
      <c r="L4343" s="18" t="s">
        <v>25</v>
      </c>
      <c r="N4343" s="18" t="s">
        <v>807</v>
      </c>
    </row>
    <row r="4344" spans="1:14" ht="15" customHeight="1" x14ac:dyDescent="0.3">
      <c r="A4344" s="18" t="s">
        <v>8414</v>
      </c>
      <c r="B4344" s="19" t="s">
        <v>15</v>
      </c>
      <c r="C4344" s="18" t="s">
        <v>918</v>
      </c>
      <c r="D4344" s="18" t="s">
        <v>116</v>
      </c>
      <c r="E4344" s="18" t="s">
        <v>55</v>
      </c>
      <c r="F4344" s="18" t="s">
        <v>8527</v>
      </c>
      <c r="G4344" s="18" t="s">
        <v>1019</v>
      </c>
      <c r="H4344" s="18" t="s">
        <v>8436</v>
      </c>
      <c r="I4344" s="20" t="s">
        <v>8528</v>
      </c>
      <c r="J4344" s="18" t="s">
        <v>58</v>
      </c>
      <c r="K4344" s="18" t="s">
        <v>24</v>
      </c>
      <c r="L4344" s="18" t="s">
        <v>25</v>
      </c>
      <c r="M4344" s="18" t="s">
        <v>39</v>
      </c>
      <c r="N4344" s="18" t="s">
        <v>807</v>
      </c>
    </row>
    <row r="4345" spans="1:14" ht="15" customHeight="1" x14ac:dyDescent="0.3">
      <c r="A4345" s="18" t="s">
        <v>8414</v>
      </c>
      <c r="B4345" s="19" t="s">
        <v>15</v>
      </c>
      <c r="C4345" s="18" t="s">
        <v>918</v>
      </c>
      <c r="D4345" s="18" t="s">
        <v>116</v>
      </c>
      <c r="E4345" s="18" t="s">
        <v>55</v>
      </c>
      <c r="F4345" s="18" t="s">
        <v>8529</v>
      </c>
      <c r="G4345" s="18" t="s">
        <v>606</v>
      </c>
      <c r="H4345" s="18" t="s">
        <v>7575</v>
      </c>
      <c r="I4345" s="20" t="s">
        <v>8530</v>
      </c>
      <c r="J4345" s="18" t="s">
        <v>58</v>
      </c>
      <c r="K4345" s="18" t="s">
        <v>24</v>
      </c>
      <c r="L4345" s="18" t="s">
        <v>25</v>
      </c>
      <c r="N4345" s="18" t="s">
        <v>807</v>
      </c>
    </row>
    <row r="4346" spans="1:14" ht="15" customHeight="1" x14ac:dyDescent="0.3">
      <c r="A4346" s="18" t="s">
        <v>8414</v>
      </c>
      <c r="B4346" s="19" t="s">
        <v>15</v>
      </c>
      <c r="C4346" s="18" t="s">
        <v>918</v>
      </c>
      <c r="D4346" s="18" t="s">
        <v>116</v>
      </c>
      <c r="E4346" s="18" t="s">
        <v>55</v>
      </c>
      <c r="F4346" s="18" t="s">
        <v>1518</v>
      </c>
      <c r="G4346" s="18" t="s">
        <v>606</v>
      </c>
      <c r="H4346" s="18" t="s">
        <v>7575</v>
      </c>
      <c r="I4346" s="20" t="s">
        <v>8531</v>
      </c>
      <c r="J4346" s="18" t="s">
        <v>58</v>
      </c>
      <c r="K4346" s="18" t="s">
        <v>24</v>
      </c>
      <c r="L4346" s="18" t="s">
        <v>25</v>
      </c>
      <c r="M4346" s="18" t="s">
        <v>39</v>
      </c>
      <c r="N4346" s="18" t="s">
        <v>807</v>
      </c>
    </row>
    <row r="4347" spans="1:14" ht="15" customHeight="1" x14ac:dyDescent="0.3">
      <c r="A4347" s="18" t="s">
        <v>8414</v>
      </c>
      <c r="B4347" s="19" t="s">
        <v>15</v>
      </c>
      <c r="C4347" s="18" t="s">
        <v>918</v>
      </c>
      <c r="D4347" s="18" t="s">
        <v>116</v>
      </c>
      <c r="E4347" s="18" t="s">
        <v>55</v>
      </c>
      <c r="F4347" s="18" t="s">
        <v>7580</v>
      </c>
      <c r="G4347" s="18" t="s">
        <v>606</v>
      </c>
      <c r="H4347" s="18" t="s">
        <v>7575</v>
      </c>
      <c r="I4347" s="20" t="s">
        <v>8532</v>
      </c>
      <c r="J4347" s="18" t="s">
        <v>58</v>
      </c>
      <c r="K4347" s="18" t="s">
        <v>24</v>
      </c>
      <c r="L4347" s="18" t="s">
        <v>25</v>
      </c>
      <c r="N4347" s="18" t="s">
        <v>807</v>
      </c>
    </row>
    <row r="4348" spans="1:14" ht="15" customHeight="1" x14ac:dyDescent="0.3">
      <c r="A4348" s="18" t="s">
        <v>8414</v>
      </c>
      <c r="B4348" s="19" t="s">
        <v>15</v>
      </c>
      <c r="C4348" s="18" t="s">
        <v>918</v>
      </c>
      <c r="D4348" s="18" t="s">
        <v>116</v>
      </c>
      <c r="E4348" s="18" t="s">
        <v>55</v>
      </c>
      <c r="F4348" s="18" t="s">
        <v>8533</v>
      </c>
      <c r="G4348" s="18" t="s">
        <v>606</v>
      </c>
      <c r="H4348" s="18" t="s">
        <v>7575</v>
      </c>
      <c r="I4348" s="20" t="s">
        <v>8534</v>
      </c>
      <c r="J4348" s="18" t="s">
        <v>58</v>
      </c>
      <c r="K4348" s="18" t="s">
        <v>24</v>
      </c>
      <c r="L4348" s="18" t="s">
        <v>25</v>
      </c>
      <c r="N4348" s="18" t="s">
        <v>807</v>
      </c>
    </row>
    <row r="4349" spans="1:14" ht="15" customHeight="1" x14ac:dyDescent="0.3">
      <c r="A4349" s="18" t="s">
        <v>8414</v>
      </c>
      <c r="B4349" s="19" t="s">
        <v>15</v>
      </c>
      <c r="C4349" s="18" t="s">
        <v>918</v>
      </c>
      <c r="D4349" s="18" t="s">
        <v>116</v>
      </c>
      <c r="E4349" s="18" t="s">
        <v>55</v>
      </c>
      <c r="F4349" s="18" t="s">
        <v>8535</v>
      </c>
      <c r="G4349" s="18" t="s">
        <v>606</v>
      </c>
      <c r="H4349" s="18" t="s">
        <v>7575</v>
      </c>
      <c r="I4349" s="20" t="s">
        <v>8536</v>
      </c>
      <c r="J4349" s="18" t="s">
        <v>58</v>
      </c>
      <c r="K4349" s="18" t="s">
        <v>24</v>
      </c>
      <c r="L4349" s="18" t="s">
        <v>25</v>
      </c>
      <c r="N4349" s="18" t="s">
        <v>807</v>
      </c>
    </row>
    <row r="4350" spans="1:14" ht="15" customHeight="1" x14ac:dyDescent="0.3">
      <c r="A4350" s="18" t="s">
        <v>8414</v>
      </c>
      <c r="B4350" s="19" t="s">
        <v>15</v>
      </c>
      <c r="C4350" s="18" t="s">
        <v>918</v>
      </c>
      <c r="D4350" s="18" t="s">
        <v>116</v>
      </c>
      <c r="E4350" s="18" t="s">
        <v>55</v>
      </c>
      <c r="F4350" s="18" t="s">
        <v>7265</v>
      </c>
      <c r="G4350" s="18" t="s">
        <v>606</v>
      </c>
      <c r="H4350" s="18" t="s">
        <v>7575</v>
      </c>
      <c r="I4350" s="20" t="s">
        <v>8537</v>
      </c>
      <c r="J4350" s="18" t="s">
        <v>58</v>
      </c>
      <c r="K4350" s="18" t="s">
        <v>24</v>
      </c>
      <c r="L4350" s="18" t="s">
        <v>25</v>
      </c>
      <c r="N4350" s="18" t="s">
        <v>807</v>
      </c>
    </row>
    <row r="4351" spans="1:14" ht="15" customHeight="1" x14ac:dyDescent="0.3">
      <c r="A4351" s="18" t="s">
        <v>8414</v>
      </c>
      <c r="B4351" s="19" t="s">
        <v>15</v>
      </c>
      <c r="C4351" s="18" t="s">
        <v>918</v>
      </c>
      <c r="D4351" s="18" t="s">
        <v>116</v>
      </c>
      <c r="E4351" s="18" t="s">
        <v>55</v>
      </c>
      <c r="F4351" s="18" t="s">
        <v>8538</v>
      </c>
      <c r="G4351" s="18" t="s">
        <v>80</v>
      </c>
      <c r="H4351" s="18" t="s">
        <v>8429</v>
      </c>
      <c r="I4351" s="20" t="s">
        <v>8539</v>
      </c>
      <c r="J4351" s="18" t="s">
        <v>58</v>
      </c>
      <c r="K4351" s="18" t="s">
        <v>24</v>
      </c>
      <c r="L4351" s="18" t="s">
        <v>25</v>
      </c>
      <c r="N4351" s="18" t="s">
        <v>807</v>
      </c>
    </row>
    <row r="4352" spans="1:14" ht="15" customHeight="1" x14ac:dyDescent="0.3">
      <c r="A4352" s="18" t="s">
        <v>8414</v>
      </c>
      <c r="B4352" s="19" t="s">
        <v>15</v>
      </c>
      <c r="C4352" s="18" t="s">
        <v>918</v>
      </c>
      <c r="D4352" s="18" t="s">
        <v>116</v>
      </c>
      <c r="E4352" s="18" t="s">
        <v>55</v>
      </c>
      <c r="F4352" s="18" t="s">
        <v>8540</v>
      </c>
      <c r="G4352" s="18" t="s">
        <v>212</v>
      </c>
      <c r="H4352" s="18" t="s">
        <v>7575</v>
      </c>
      <c r="I4352" s="20" t="s">
        <v>8541</v>
      </c>
      <c r="J4352" s="18" t="s">
        <v>58</v>
      </c>
      <c r="K4352" s="18" t="s">
        <v>24</v>
      </c>
      <c r="L4352" s="18" t="s">
        <v>25</v>
      </c>
      <c r="N4352" s="18" t="s">
        <v>807</v>
      </c>
    </row>
    <row r="4353" spans="1:14" ht="15" customHeight="1" x14ac:dyDescent="0.3">
      <c r="A4353" s="18" t="s">
        <v>8414</v>
      </c>
      <c r="B4353" s="19" t="s">
        <v>15</v>
      </c>
      <c r="C4353" s="18" t="s">
        <v>918</v>
      </c>
      <c r="D4353" s="18" t="s">
        <v>116</v>
      </c>
      <c r="E4353" s="18" t="s">
        <v>55</v>
      </c>
      <c r="F4353" s="18" t="s">
        <v>8542</v>
      </c>
      <c r="G4353" s="18" t="s">
        <v>920</v>
      </c>
      <c r="H4353" s="18" t="s">
        <v>8543</v>
      </c>
      <c r="I4353" s="20" t="s">
        <v>8544</v>
      </c>
      <c r="J4353" s="18" t="s">
        <v>58</v>
      </c>
      <c r="K4353" s="18" t="s">
        <v>24</v>
      </c>
      <c r="L4353" s="18" t="s">
        <v>25</v>
      </c>
      <c r="N4353" s="18" t="s">
        <v>807</v>
      </c>
    </row>
    <row r="4354" spans="1:14" ht="15" customHeight="1" x14ac:dyDescent="0.3">
      <c r="A4354" s="18" t="s">
        <v>8414</v>
      </c>
      <c r="B4354" s="19" t="s">
        <v>15</v>
      </c>
      <c r="C4354" s="18" t="s">
        <v>918</v>
      </c>
      <c r="D4354" s="18" t="s">
        <v>116</v>
      </c>
      <c r="E4354" s="18" t="s">
        <v>55</v>
      </c>
      <c r="F4354" s="18" t="s">
        <v>8545</v>
      </c>
      <c r="G4354" s="18" t="s">
        <v>340</v>
      </c>
      <c r="H4354" s="18" t="s">
        <v>8434</v>
      </c>
      <c r="I4354" s="20" t="s">
        <v>8546</v>
      </c>
      <c r="J4354" s="18" t="s">
        <v>58</v>
      </c>
      <c r="K4354" s="18" t="s">
        <v>24</v>
      </c>
      <c r="L4354" s="18" t="s">
        <v>25</v>
      </c>
      <c r="N4354" s="18" t="s">
        <v>807</v>
      </c>
    </row>
    <row r="4355" spans="1:14" ht="15" customHeight="1" x14ac:dyDescent="0.3">
      <c r="A4355" s="18" t="s">
        <v>8414</v>
      </c>
      <c r="B4355" s="19" t="s">
        <v>15</v>
      </c>
      <c r="C4355" s="18" t="s">
        <v>918</v>
      </c>
      <c r="D4355" s="18" t="s">
        <v>116</v>
      </c>
      <c r="E4355" s="18" t="s">
        <v>55</v>
      </c>
      <c r="F4355" s="18" t="s">
        <v>8426</v>
      </c>
      <c r="G4355" s="18" t="s">
        <v>5315</v>
      </c>
      <c r="H4355" s="18" t="s">
        <v>8420</v>
      </c>
      <c r="I4355" s="20" t="s">
        <v>8547</v>
      </c>
      <c r="J4355" s="18" t="s">
        <v>58</v>
      </c>
      <c r="K4355" s="18" t="s">
        <v>24</v>
      </c>
      <c r="L4355" s="18" t="s">
        <v>25</v>
      </c>
      <c r="N4355" s="18" t="s">
        <v>807</v>
      </c>
    </row>
    <row r="4356" spans="1:14" ht="15" customHeight="1" x14ac:dyDescent="0.3">
      <c r="A4356" s="18" t="s">
        <v>8414</v>
      </c>
      <c r="B4356" s="19" t="s">
        <v>15</v>
      </c>
      <c r="C4356" s="18" t="s">
        <v>918</v>
      </c>
      <c r="D4356" s="18" t="s">
        <v>116</v>
      </c>
      <c r="E4356" s="18" t="s">
        <v>55</v>
      </c>
      <c r="F4356" s="18" t="s">
        <v>8548</v>
      </c>
      <c r="G4356" s="18" t="s">
        <v>619</v>
      </c>
      <c r="H4356" s="18" t="s">
        <v>8416</v>
      </c>
      <c r="I4356" s="20" t="s">
        <v>8549</v>
      </c>
      <c r="J4356" s="18" t="s">
        <v>73</v>
      </c>
      <c r="K4356" s="18" t="s">
        <v>24</v>
      </c>
      <c r="L4356" s="18" t="s">
        <v>25</v>
      </c>
      <c r="N4356" s="18" t="s">
        <v>807</v>
      </c>
    </row>
    <row r="4357" spans="1:14" ht="15" customHeight="1" x14ac:dyDescent="0.3">
      <c r="A4357" s="18" t="s">
        <v>8414</v>
      </c>
      <c r="B4357" s="19" t="s">
        <v>15</v>
      </c>
      <c r="C4357" s="18" t="s">
        <v>918</v>
      </c>
      <c r="D4357" s="18" t="s">
        <v>116</v>
      </c>
      <c r="E4357" s="18" t="s">
        <v>55</v>
      </c>
      <c r="F4357" s="18" t="s">
        <v>273</v>
      </c>
      <c r="G4357" s="18" t="s">
        <v>273</v>
      </c>
      <c r="H4357" s="18" t="s">
        <v>8434</v>
      </c>
      <c r="I4357" s="20" t="s">
        <v>8550</v>
      </c>
      <c r="J4357" s="18" t="s">
        <v>58</v>
      </c>
      <c r="K4357" s="18" t="s">
        <v>24</v>
      </c>
      <c r="L4357" s="18" t="s">
        <v>25</v>
      </c>
      <c r="N4357" s="18" t="s">
        <v>807</v>
      </c>
    </row>
    <row r="4358" spans="1:14" ht="15" customHeight="1" x14ac:dyDescent="0.3">
      <c r="A4358" s="18" t="s">
        <v>8414</v>
      </c>
      <c r="B4358" s="19" t="s">
        <v>15</v>
      </c>
      <c r="C4358" s="18" t="s">
        <v>918</v>
      </c>
      <c r="D4358" s="18" t="s">
        <v>116</v>
      </c>
      <c r="E4358" s="18" t="s">
        <v>55</v>
      </c>
      <c r="F4358" s="18" t="s">
        <v>8551</v>
      </c>
      <c r="G4358" s="18" t="s">
        <v>1291</v>
      </c>
      <c r="H4358" s="18" t="s">
        <v>8423</v>
      </c>
      <c r="I4358" s="20" t="s">
        <v>8552</v>
      </c>
      <c r="J4358" s="18" t="s">
        <v>58</v>
      </c>
      <c r="K4358" s="18" t="s">
        <v>24</v>
      </c>
      <c r="L4358" s="18" t="s">
        <v>25</v>
      </c>
      <c r="N4358" s="18" t="s">
        <v>807</v>
      </c>
    </row>
    <row r="4359" spans="1:14" ht="15" customHeight="1" x14ac:dyDescent="0.3">
      <c r="A4359" s="18" t="s">
        <v>8414</v>
      </c>
      <c r="B4359" s="19" t="s">
        <v>15</v>
      </c>
      <c r="C4359" s="18" t="s">
        <v>918</v>
      </c>
      <c r="D4359" s="18" t="s">
        <v>116</v>
      </c>
      <c r="E4359" s="18" t="s">
        <v>55</v>
      </c>
      <c r="F4359" s="18" t="s">
        <v>8553</v>
      </c>
      <c r="G4359" s="18" t="s">
        <v>212</v>
      </c>
      <c r="H4359" s="18" t="s">
        <v>7575</v>
      </c>
      <c r="I4359" s="20" t="s">
        <v>8554</v>
      </c>
      <c r="J4359" s="18" t="s">
        <v>58</v>
      </c>
      <c r="K4359" s="18" t="s">
        <v>24</v>
      </c>
      <c r="L4359" s="18" t="s">
        <v>25</v>
      </c>
      <c r="M4359" s="18" t="s">
        <v>39</v>
      </c>
      <c r="N4359" s="18" t="s">
        <v>807</v>
      </c>
    </row>
    <row r="4360" spans="1:14" ht="15" customHeight="1" x14ac:dyDescent="0.3">
      <c r="A4360" s="18" t="s">
        <v>8414</v>
      </c>
      <c r="B4360" s="19" t="s">
        <v>15</v>
      </c>
      <c r="C4360" s="18" t="s">
        <v>918</v>
      </c>
      <c r="D4360" s="18" t="s">
        <v>116</v>
      </c>
      <c r="E4360" s="18" t="s">
        <v>55</v>
      </c>
      <c r="F4360" s="18" t="s">
        <v>8555</v>
      </c>
      <c r="G4360" s="18" t="s">
        <v>212</v>
      </c>
      <c r="H4360" s="18" t="s">
        <v>7575</v>
      </c>
      <c r="I4360" s="20" t="s">
        <v>8556</v>
      </c>
      <c r="J4360" s="18" t="s">
        <v>199</v>
      </c>
      <c r="K4360" s="18" t="s">
        <v>24</v>
      </c>
      <c r="L4360" s="18" t="s">
        <v>25</v>
      </c>
      <c r="N4360" s="18" t="s">
        <v>807</v>
      </c>
    </row>
    <row r="4361" spans="1:14" ht="15" customHeight="1" x14ac:dyDescent="0.3">
      <c r="A4361" s="18" t="s">
        <v>8414</v>
      </c>
      <c r="B4361" s="19" t="s">
        <v>15</v>
      </c>
      <c r="C4361" s="18" t="s">
        <v>918</v>
      </c>
      <c r="D4361" s="18" t="s">
        <v>116</v>
      </c>
      <c r="E4361" s="18" t="s">
        <v>55</v>
      </c>
      <c r="F4361" s="18" t="s">
        <v>1947</v>
      </c>
      <c r="G4361" s="18" t="s">
        <v>85</v>
      </c>
      <c r="H4361" s="18" t="s">
        <v>7602</v>
      </c>
      <c r="I4361" s="20" t="s">
        <v>8557</v>
      </c>
      <c r="J4361" s="18" t="s">
        <v>58</v>
      </c>
      <c r="K4361" s="18" t="s">
        <v>24</v>
      </c>
      <c r="L4361" s="18" t="s">
        <v>25</v>
      </c>
      <c r="N4361" s="18" t="s">
        <v>807</v>
      </c>
    </row>
    <row r="4362" spans="1:14" ht="15" customHeight="1" x14ac:dyDescent="0.3">
      <c r="A4362" s="18" t="s">
        <v>8414</v>
      </c>
      <c r="B4362" s="19" t="s">
        <v>15</v>
      </c>
      <c r="C4362" s="18" t="s">
        <v>918</v>
      </c>
      <c r="D4362" s="18" t="s">
        <v>116</v>
      </c>
      <c r="E4362" s="18" t="s">
        <v>55</v>
      </c>
      <c r="F4362" s="18" t="s">
        <v>8558</v>
      </c>
      <c r="G4362" s="18" t="s">
        <v>433</v>
      </c>
      <c r="H4362" s="18" t="s">
        <v>8559</v>
      </c>
      <c r="I4362" s="20" t="s">
        <v>8560</v>
      </c>
      <c r="J4362" s="18" t="s">
        <v>58</v>
      </c>
      <c r="K4362" s="18" t="s">
        <v>24</v>
      </c>
      <c r="L4362" s="18" t="s">
        <v>25</v>
      </c>
      <c r="N4362" s="18" t="s">
        <v>807</v>
      </c>
    </row>
    <row r="4363" spans="1:14" ht="15" customHeight="1" x14ac:dyDescent="0.3">
      <c r="A4363" s="18" t="s">
        <v>8414</v>
      </c>
      <c r="B4363" s="19" t="s">
        <v>15</v>
      </c>
      <c r="C4363" s="18" t="s">
        <v>918</v>
      </c>
      <c r="D4363" s="18" t="s">
        <v>116</v>
      </c>
      <c r="E4363" s="18" t="s">
        <v>55</v>
      </c>
      <c r="F4363" s="18" t="s">
        <v>8561</v>
      </c>
      <c r="G4363" s="18" t="s">
        <v>1055</v>
      </c>
      <c r="H4363" s="18" t="s">
        <v>7602</v>
      </c>
      <c r="I4363" s="20" t="s">
        <v>8562</v>
      </c>
      <c r="J4363" s="18" t="s">
        <v>58</v>
      </c>
      <c r="K4363" s="18" t="s">
        <v>24</v>
      </c>
      <c r="L4363" s="18" t="s">
        <v>25</v>
      </c>
      <c r="N4363" s="18" t="s">
        <v>807</v>
      </c>
    </row>
    <row r="4364" spans="1:14" ht="15" customHeight="1" x14ac:dyDescent="0.3">
      <c r="A4364" s="18" t="s">
        <v>8414</v>
      </c>
      <c r="B4364" s="19" t="s">
        <v>15</v>
      </c>
      <c r="C4364" s="18" t="s">
        <v>918</v>
      </c>
      <c r="D4364" s="18" t="s">
        <v>116</v>
      </c>
      <c r="E4364" s="18" t="s">
        <v>55</v>
      </c>
      <c r="F4364" s="18" t="s">
        <v>8563</v>
      </c>
      <c r="G4364" s="18" t="s">
        <v>1059</v>
      </c>
      <c r="H4364" s="18" t="s">
        <v>7602</v>
      </c>
      <c r="I4364" s="20" t="s">
        <v>8564</v>
      </c>
      <c r="J4364" s="18" t="s">
        <v>58</v>
      </c>
      <c r="K4364" s="18" t="s">
        <v>24</v>
      </c>
      <c r="L4364" s="18" t="s">
        <v>25</v>
      </c>
      <c r="M4364" s="18" t="s">
        <v>39</v>
      </c>
      <c r="N4364" s="18" t="s">
        <v>807</v>
      </c>
    </row>
    <row r="4365" spans="1:14" ht="15" customHeight="1" x14ac:dyDescent="0.3">
      <c r="A4365" s="18" t="s">
        <v>8414</v>
      </c>
      <c r="B4365" s="19" t="s">
        <v>15</v>
      </c>
      <c r="C4365" s="18" t="s">
        <v>918</v>
      </c>
      <c r="D4365" s="18" t="s">
        <v>116</v>
      </c>
      <c r="E4365" s="18" t="s">
        <v>55</v>
      </c>
      <c r="F4365" s="18" t="s">
        <v>1575</v>
      </c>
      <c r="G4365" s="18" t="s">
        <v>1291</v>
      </c>
      <c r="H4365" s="18" t="s">
        <v>7575</v>
      </c>
      <c r="I4365" s="20" t="s">
        <v>8565</v>
      </c>
      <c r="J4365" s="18" t="s">
        <v>58</v>
      </c>
      <c r="K4365" s="18" t="s">
        <v>24</v>
      </c>
      <c r="L4365" s="18" t="s">
        <v>25</v>
      </c>
      <c r="N4365" s="18" t="s">
        <v>807</v>
      </c>
    </row>
    <row r="4366" spans="1:14" ht="15" customHeight="1" x14ac:dyDescent="0.3">
      <c r="A4366" s="18" t="s">
        <v>8414</v>
      </c>
      <c r="B4366" s="19" t="s">
        <v>15</v>
      </c>
      <c r="C4366" s="18" t="s">
        <v>918</v>
      </c>
      <c r="D4366" s="18" t="s">
        <v>116</v>
      </c>
      <c r="E4366" s="18" t="s">
        <v>55</v>
      </c>
      <c r="F4366" s="18" t="s">
        <v>8566</v>
      </c>
      <c r="G4366" s="18" t="s">
        <v>1055</v>
      </c>
      <c r="H4366" s="18" t="s">
        <v>7575</v>
      </c>
      <c r="I4366" s="20" t="s">
        <v>8567</v>
      </c>
      <c r="J4366" s="18" t="s">
        <v>58</v>
      </c>
      <c r="K4366" s="18" t="s">
        <v>24</v>
      </c>
      <c r="L4366" s="18" t="s">
        <v>25</v>
      </c>
      <c r="N4366" s="18" t="s">
        <v>807</v>
      </c>
    </row>
    <row r="4367" spans="1:14" ht="15" customHeight="1" x14ac:dyDescent="0.3">
      <c r="A4367" s="18" t="s">
        <v>8414</v>
      </c>
      <c r="B4367" s="19" t="s">
        <v>15</v>
      </c>
      <c r="C4367" s="18" t="s">
        <v>918</v>
      </c>
      <c r="D4367" s="18" t="s">
        <v>116</v>
      </c>
      <c r="E4367" s="18" t="s">
        <v>55</v>
      </c>
      <c r="F4367" s="18" t="s">
        <v>619</v>
      </c>
      <c r="G4367" s="18" t="s">
        <v>619</v>
      </c>
      <c r="H4367" s="18" t="s">
        <v>8416</v>
      </c>
      <c r="I4367" s="20" t="s">
        <v>8568</v>
      </c>
      <c r="J4367" s="18" t="s">
        <v>58</v>
      </c>
      <c r="K4367" s="18" t="s">
        <v>24</v>
      </c>
      <c r="L4367" s="18" t="s">
        <v>25</v>
      </c>
      <c r="N4367" s="18" t="s">
        <v>807</v>
      </c>
    </row>
    <row r="4368" spans="1:14" ht="15" customHeight="1" x14ac:dyDescent="0.3">
      <c r="A4368" s="18" t="s">
        <v>8414</v>
      </c>
      <c r="B4368" s="19" t="s">
        <v>15</v>
      </c>
      <c r="C4368" s="18" t="s">
        <v>918</v>
      </c>
      <c r="D4368" s="18" t="s">
        <v>116</v>
      </c>
      <c r="E4368" s="18" t="s">
        <v>55</v>
      </c>
      <c r="F4368" s="18" t="s">
        <v>8448</v>
      </c>
      <c r="G4368" s="18" t="s">
        <v>1254</v>
      </c>
      <c r="H4368" s="18" t="s">
        <v>7575</v>
      </c>
      <c r="I4368" s="20" t="s">
        <v>8569</v>
      </c>
      <c r="J4368" s="18" t="s">
        <v>58</v>
      </c>
      <c r="K4368" s="18" t="s">
        <v>24</v>
      </c>
      <c r="L4368" s="18" t="s">
        <v>25</v>
      </c>
      <c r="N4368" s="18" t="s">
        <v>807</v>
      </c>
    </row>
    <row r="4369" spans="1:14" ht="15" customHeight="1" x14ac:dyDescent="0.3">
      <c r="A4369" s="18" t="s">
        <v>8414</v>
      </c>
      <c r="B4369" s="19" t="s">
        <v>15</v>
      </c>
      <c r="C4369" s="18" t="s">
        <v>918</v>
      </c>
      <c r="D4369" s="18" t="s">
        <v>116</v>
      </c>
      <c r="E4369" s="18" t="s">
        <v>55</v>
      </c>
      <c r="F4369" s="18" t="s">
        <v>8570</v>
      </c>
      <c r="G4369" s="18" t="s">
        <v>606</v>
      </c>
      <c r="H4369" s="18" t="s">
        <v>7575</v>
      </c>
      <c r="I4369" s="20" t="s">
        <v>8571</v>
      </c>
      <c r="J4369" s="18" t="s">
        <v>58</v>
      </c>
      <c r="K4369" s="18" t="s">
        <v>24</v>
      </c>
      <c r="L4369" s="18" t="s">
        <v>25</v>
      </c>
      <c r="N4369" s="18" t="s">
        <v>807</v>
      </c>
    </row>
    <row r="4370" spans="1:14" ht="15" customHeight="1" x14ac:dyDescent="0.3">
      <c r="A4370" s="18" t="s">
        <v>8414</v>
      </c>
      <c r="B4370" s="19" t="s">
        <v>15</v>
      </c>
      <c r="C4370" s="18" t="s">
        <v>918</v>
      </c>
      <c r="D4370" s="18" t="s">
        <v>116</v>
      </c>
      <c r="E4370" s="18" t="s">
        <v>55</v>
      </c>
      <c r="F4370" s="18" t="s">
        <v>8572</v>
      </c>
      <c r="G4370" s="18" t="s">
        <v>606</v>
      </c>
      <c r="H4370" s="18" t="s">
        <v>7575</v>
      </c>
      <c r="I4370" s="20" t="s">
        <v>8573</v>
      </c>
      <c r="J4370" s="18" t="s">
        <v>58</v>
      </c>
      <c r="K4370" s="18" t="s">
        <v>24</v>
      </c>
      <c r="L4370" s="18" t="s">
        <v>25</v>
      </c>
      <c r="N4370" s="18" t="s">
        <v>807</v>
      </c>
    </row>
    <row r="4371" spans="1:14" ht="15" customHeight="1" x14ac:dyDescent="0.3">
      <c r="A4371" s="18" t="s">
        <v>8414</v>
      </c>
      <c r="B4371" s="19" t="s">
        <v>15</v>
      </c>
      <c r="C4371" s="18" t="s">
        <v>918</v>
      </c>
      <c r="D4371" s="18" t="s">
        <v>116</v>
      </c>
      <c r="E4371" s="18" t="s">
        <v>55</v>
      </c>
      <c r="F4371" s="18" t="s">
        <v>1069</v>
      </c>
      <c r="G4371" s="18" t="s">
        <v>1069</v>
      </c>
      <c r="H4371" s="18" t="s">
        <v>7602</v>
      </c>
      <c r="I4371" s="20" t="s">
        <v>8574</v>
      </c>
      <c r="J4371" s="18" t="s">
        <v>73</v>
      </c>
      <c r="K4371" s="18" t="s">
        <v>24</v>
      </c>
      <c r="L4371" s="18" t="s">
        <v>25</v>
      </c>
      <c r="N4371" s="18" t="s">
        <v>807</v>
      </c>
    </row>
    <row r="4372" spans="1:14" ht="15" customHeight="1" x14ac:dyDescent="0.3">
      <c r="A4372" s="18" t="s">
        <v>8414</v>
      </c>
      <c r="B4372" s="19" t="s">
        <v>15</v>
      </c>
      <c r="C4372" s="18" t="s">
        <v>918</v>
      </c>
      <c r="D4372" s="18" t="s">
        <v>116</v>
      </c>
      <c r="E4372" s="18" t="s">
        <v>55</v>
      </c>
      <c r="F4372" s="18" t="s">
        <v>8575</v>
      </c>
      <c r="G4372" s="18" t="s">
        <v>273</v>
      </c>
      <c r="H4372" s="18" t="s">
        <v>8434</v>
      </c>
      <c r="I4372" s="20" t="s">
        <v>8576</v>
      </c>
      <c r="J4372" s="18" t="s">
        <v>58</v>
      </c>
      <c r="K4372" s="18" t="s">
        <v>24</v>
      </c>
      <c r="L4372" s="18" t="s">
        <v>25</v>
      </c>
      <c r="N4372" s="18" t="s">
        <v>807</v>
      </c>
    </row>
    <row r="4373" spans="1:14" ht="15" customHeight="1" x14ac:dyDescent="0.3">
      <c r="A4373" s="18" t="s">
        <v>8414</v>
      </c>
      <c r="B4373" s="19" t="s">
        <v>15</v>
      </c>
      <c r="C4373" s="18" t="s">
        <v>918</v>
      </c>
      <c r="D4373" s="18" t="s">
        <v>116</v>
      </c>
      <c r="E4373" s="18" t="s">
        <v>55</v>
      </c>
      <c r="F4373" s="18" t="s">
        <v>8577</v>
      </c>
      <c r="G4373" s="18" t="s">
        <v>273</v>
      </c>
      <c r="H4373" s="18" t="s">
        <v>8434</v>
      </c>
      <c r="I4373" s="20" t="s">
        <v>8578</v>
      </c>
      <c r="J4373" s="18" t="s">
        <v>58</v>
      </c>
      <c r="K4373" s="18" t="s">
        <v>24</v>
      </c>
      <c r="L4373" s="18" t="s">
        <v>25</v>
      </c>
      <c r="N4373" s="18" t="s">
        <v>807</v>
      </c>
    </row>
    <row r="4374" spans="1:14" ht="15" customHeight="1" x14ac:dyDescent="0.3">
      <c r="A4374" s="18" t="s">
        <v>8414</v>
      </c>
      <c r="B4374" s="19" t="s">
        <v>15</v>
      </c>
      <c r="C4374" s="18" t="s">
        <v>918</v>
      </c>
      <c r="D4374" s="18" t="s">
        <v>116</v>
      </c>
      <c r="E4374" s="18" t="s">
        <v>55</v>
      </c>
      <c r="F4374" s="18" t="s">
        <v>8579</v>
      </c>
      <c r="G4374" s="18" t="s">
        <v>273</v>
      </c>
      <c r="H4374" s="18" t="s">
        <v>8434</v>
      </c>
      <c r="I4374" s="20" t="s">
        <v>8580</v>
      </c>
      <c r="J4374" s="18" t="s">
        <v>58</v>
      </c>
      <c r="K4374" s="18" t="s">
        <v>24</v>
      </c>
      <c r="L4374" s="18" t="s">
        <v>25</v>
      </c>
      <c r="N4374" s="18" t="s">
        <v>807</v>
      </c>
    </row>
    <row r="4375" spans="1:14" ht="15" customHeight="1" x14ac:dyDescent="0.3">
      <c r="A4375" s="18" t="s">
        <v>8414</v>
      </c>
      <c r="B4375" s="19" t="s">
        <v>15</v>
      </c>
      <c r="C4375" s="18" t="s">
        <v>918</v>
      </c>
      <c r="D4375" s="18" t="s">
        <v>116</v>
      </c>
      <c r="E4375" s="18" t="s">
        <v>55</v>
      </c>
      <c r="F4375" s="18" t="s">
        <v>8581</v>
      </c>
      <c r="G4375" s="18" t="s">
        <v>212</v>
      </c>
      <c r="H4375" s="18" t="s">
        <v>7575</v>
      </c>
      <c r="I4375" s="20" t="s">
        <v>8582</v>
      </c>
      <c r="J4375" s="18" t="s">
        <v>73</v>
      </c>
      <c r="K4375" s="18" t="s">
        <v>24</v>
      </c>
      <c r="L4375" s="18" t="s">
        <v>25</v>
      </c>
      <c r="N4375" s="18" t="s">
        <v>807</v>
      </c>
    </row>
    <row r="4376" spans="1:14" ht="15" customHeight="1" x14ac:dyDescent="0.3">
      <c r="A4376" s="18" t="s">
        <v>8414</v>
      </c>
      <c r="B4376" s="19" t="s">
        <v>15</v>
      </c>
      <c r="C4376" s="18" t="s">
        <v>918</v>
      </c>
      <c r="D4376" s="18" t="s">
        <v>116</v>
      </c>
      <c r="E4376" s="18" t="s">
        <v>55</v>
      </c>
      <c r="F4376" s="18" t="s">
        <v>8583</v>
      </c>
      <c r="G4376" s="18" t="s">
        <v>1204</v>
      </c>
      <c r="H4376" s="18" t="s">
        <v>7575</v>
      </c>
      <c r="I4376" s="20" t="s">
        <v>8584</v>
      </c>
      <c r="J4376" s="18" t="s">
        <v>73</v>
      </c>
      <c r="K4376" s="18" t="s">
        <v>24</v>
      </c>
      <c r="L4376" s="18" t="s">
        <v>25</v>
      </c>
      <c r="N4376" s="18" t="s">
        <v>807</v>
      </c>
    </row>
    <row r="4377" spans="1:14" ht="15" customHeight="1" x14ac:dyDescent="0.3">
      <c r="A4377" s="18" t="s">
        <v>8414</v>
      </c>
      <c r="B4377" s="19" t="s">
        <v>15</v>
      </c>
      <c r="C4377" s="18" t="s">
        <v>918</v>
      </c>
      <c r="D4377" s="18" t="s">
        <v>116</v>
      </c>
      <c r="E4377" s="18" t="s">
        <v>55</v>
      </c>
      <c r="F4377" s="18" t="s">
        <v>1239</v>
      </c>
      <c r="G4377" s="18" t="s">
        <v>1254</v>
      </c>
      <c r="H4377" s="18" t="s">
        <v>7575</v>
      </c>
      <c r="I4377" s="20" t="s">
        <v>8585</v>
      </c>
      <c r="J4377" s="18" t="s">
        <v>58</v>
      </c>
      <c r="K4377" s="18" t="s">
        <v>24</v>
      </c>
      <c r="L4377" s="18" t="s">
        <v>25</v>
      </c>
      <c r="N4377" s="18" t="s">
        <v>807</v>
      </c>
    </row>
    <row r="4378" spans="1:14" ht="15" customHeight="1" x14ac:dyDescent="0.3">
      <c r="A4378" s="18" t="s">
        <v>8414</v>
      </c>
      <c r="B4378" s="19" t="s">
        <v>15</v>
      </c>
      <c r="C4378" s="18" t="s">
        <v>918</v>
      </c>
      <c r="D4378" s="18" t="s">
        <v>116</v>
      </c>
      <c r="E4378" s="18" t="s">
        <v>55</v>
      </c>
      <c r="F4378" s="18" t="s">
        <v>2373</v>
      </c>
      <c r="G4378" s="18" t="s">
        <v>1254</v>
      </c>
      <c r="H4378" s="18" t="s">
        <v>7575</v>
      </c>
      <c r="I4378" s="20" t="s">
        <v>8586</v>
      </c>
      <c r="J4378" s="18" t="s">
        <v>58</v>
      </c>
      <c r="K4378" s="18" t="s">
        <v>24</v>
      </c>
      <c r="L4378" s="18" t="s">
        <v>25</v>
      </c>
      <c r="N4378" s="18" t="s">
        <v>807</v>
      </c>
    </row>
    <row r="4379" spans="1:14" ht="15" customHeight="1" x14ac:dyDescent="0.3">
      <c r="A4379" s="18" t="s">
        <v>8414</v>
      </c>
      <c r="B4379" s="19" t="s">
        <v>15</v>
      </c>
      <c r="C4379" s="18" t="s">
        <v>918</v>
      </c>
      <c r="D4379" s="18" t="s">
        <v>116</v>
      </c>
      <c r="E4379" s="18" t="s">
        <v>55</v>
      </c>
      <c r="F4379" s="18" t="s">
        <v>221</v>
      </c>
      <c r="G4379" s="18" t="s">
        <v>212</v>
      </c>
      <c r="H4379" s="18" t="s">
        <v>7575</v>
      </c>
      <c r="I4379" s="20" t="s">
        <v>8587</v>
      </c>
      <c r="J4379" s="18" t="s">
        <v>58</v>
      </c>
      <c r="K4379" s="18" t="s">
        <v>24</v>
      </c>
      <c r="L4379" s="18" t="s">
        <v>25</v>
      </c>
      <c r="N4379" s="18" t="s">
        <v>807</v>
      </c>
    </row>
    <row r="4380" spans="1:14" ht="15" customHeight="1" x14ac:dyDescent="0.3">
      <c r="A4380" s="18" t="s">
        <v>8414</v>
      </c>
      <c r="B4380" s="19" t="s">
        <v>15</v>
      </c>
      <c r="C4380" s="18" t="s">
        <v>918</v>
      </c>
      <c r="D4380" s="18" t="s">
        <v>116</v>
      </c>
      <c r="E4380" s="18" t="s">
        <v>55</v>
      </c>
      <c r="F4380" s="18" t="s">
        <v>1244</v>
      </c>
      <c r="G4380" s="18" t="s">
        <v>1204</v>
      </c>
      <c r="H4380" s="18" t="s">
        <v>7575</v>
      </c>
      <c r="I4380" s="20" t="s">
        <v>8588</v>
      </c>
      <c r="J4380" s="18" t="s">
        <v>58</v>
      </c>
      <c r="K4380" s="18" t="s">
        <v>24</v>
      </c>
      <c r="L4380" s="18" t="s">
        <v>25</v>
      </c>
      <c r="N4380" s="18" t="s">
        <v>807</v>
      </c>
    </row>
    <row r="4381" spans="1:14" ht="15" customHeight="1" x14ac:dyDescent="0.3">
      <c r="A4381" s="18" t="s">
        <v>8414</v>
      </c>
      <c r="B4381" s="19" t="s">
        <v>15</v>
      </c>
      <c r="C4381" s="18" t="s">
        <v>918</v>
      </c>
      <c r="D4381" s="18" t="s">
        <v>116</v>
      </c>
      <c r="E4381" s="18" t="s">
        <v>55</v>
      </c>
      <c r="F4381" s="18" t="s">
        <v>7609</v>
      </c>
      <c r="G4381" s="18" t="s">
        <v>1254</v>
      </c>
      <c r="H4381" s="18" t="s">
        <v>7575</v>
      </c>
      <c r="I4381" s="20" t="s">
        <v>8589</v>
      </c>
      <c r="J4381" s="18" t="s">
        <v>58</v>
      </c>
      <c r="K4381" s="18" t="s">
        <v>24</v>
      </c>
      <c r="L4381" s="18" t="s">
        <v>25</v>
      </c>
      <c r="N4381" s="18" t="s">
        <v>807</v>
      </c>
    </row>
    <row r="4382" spans="1:14" ht="15" customHeight="1" x14ac:dyDescent="0.3">
      <c r="A4382" s="18" t="s">
        <v>8414</v>
      </c>
      <c r="B4382" s="19" t="s">
        <v>15</v>
      </c>
      <c r="C4382" s="18" t="s">
        <v>918</v>
      </c>
      <c r="D4382" s="18" t="s">
        <v>116</v>
      </c>
      <c r="E4382" s="18" t="s">
        <v>55</v>
      </c>
      <c r="F4382" s="18" t="s">
        <v>8590</v>
      </c>
      <c r="G4382" s="18" t="s">
        <v>2248</v>
      </c>
      <c r="H4382" s="18" t="s">
        <v>7575</v>
      </c>
      <c r="I4382" s="20" t="s">
        <v>8591</v>
      </c>
      <c r="J4382" s="18" t="s">
        <v>58</v>
      </c>
      <c r="K4382" s="18" t="s">
        <v>24</v>
      </c>
      <c r="L4382" s="18" t="s">
        <v>25</v>
      </c>
      <c r="N4382" s="18" t="s">
        <v>807</v>
      </c>
    </row>
    <row r="4383" spans="1:14" ht="15" customHeight="1" x14ac:dyDescent="0.3">
      <c r="A4383" s="18" t="s">
        <v>8414</v>
      </c>
      <c r="B4383" s="19" t="s">
        <v>15</v>
      </c>
      <c r="C4383" s="18" t="s">
        <v>918</v>
      </c>
      <c r="D4383" s="18" t="s">
        <v>116</v>
      </c>
      <c r="E4383" s="18" t="s">
        <v>55</v>
      </c>
      <c r="F4383" s="18" t="s">
        <v>1072</v>
      </c>
      <c r="G4383" s="18" t="s">
        <v>47</v>
      </c>
      <c r="H4383" s="18" t="s">
        <v>7575</v>
      </c>
      <c r="I4383" s="20" t="s">
        <v>8592</v>
      </c>
      <c r="J4383" s="18" t="s">
        <v>58</v>
      </c>
      <c r="K4383" s="18" t="s">
        <v>24</v>
      </c>
      <c r="L4383" s="18" t="s">
        <v>25</v>
      </c>
      <c r="N4383" s="18" t="s">
        <v>807</v>
      </c>
    </row>
    <row r="4384" spans="1:14" ht="15" customHeight="1" x14ac:dyDescent="0.3">
      <c r="A4384" s="18" t="s">
        <v>8414</v>
      </c>
      <c r="B4384" s="19" t="s">
        <v>15</v>
      </c>
      <c r="C4384" s="18" t="s">
        <v>918</v>
      </c>
      <c r="D4384" s="18" t="s">
        <v>116</v>
      </c>
      <c r="E4384" s="18" t="s">
        <v>55</v>
      </c>
      <c r="F4384" s="18" t="s">
        <v>34</v>
      </c>
      <c r="G4384" s="18" t="s">
        <v>1254</v>
      </c>
      <c r="H4384" s="18" t="s">
        <v>7575</v>
      </c>
      <c r="I4384" s="20" t="s">
        <v>8593</v>
      </c>
      <c r="J4384" s="18" t="s">
        <v>58</v>
      </c>
      <c r="K4384" s="18" t="s">
        <v>24</v>
      </c>
      <c r="L4384" s="18" t="s">
        <v>25</v>
      </c>
      <c r="N4384" s="18" t="s">
        <v>807</v>
      </c>
    </row>
    <row r="4385" spans="1:14" ht="15" customHeight="1" x14ac:dyDescent="0.3">
      <c r="A4385" s="18" t="s">
        <v>8414</v>
      </c>
      <c r="B4385" s="19" t="s">
        <v>15</v>
      </c>
      <c r="C4385" s="18" t="s">
        <v>918</v>
      </c>
      <c r="D4385" s="18" t="s">
        <v>116</v>
      </c>
      <c r="E4385" s="18" t="s">
        <v>55</v>
      </c>
      <c r="F4385" s="18" t="s">
        <v>1250</v>
      </c>
      <c r="G4385" s="18" t="s">
        <v>1251</v>
      </c>
      <c r="H4385" s="18" t="s">
        <v>7575</v>
      </c>
      <c r="I4385" s="20" t="s">
        <v>8594</v>
      </c>
      <c r="J4385" s="18" t="s">
        <v>58</v>
      </c>
      <c r="K4385" s="18" t="s">
        <v>24</v>
      </c>
      <c r="L4385" s="18" t="s">
        <v>25</v>
      </c>
      <c r="N4385" s="18" t="s">
        <v>807</v>
      </c>
    </row>
    <row r="4386" spans="1:14" ht="15" customHeight="1" x14ac:dyDescent="0.3">
      <c r="A4386" s="18" t="s">
        <v>8414</v>
      </c>
      <c r="B4386" s="19" t="s">
        <v>15</v>
      </c>
      <c r="C4386" s="18" t="s">
        <v>918</v>
      </c>
      <c r="D4386" s="18" t="s">
        <v>116</v>
      </c>
      <c r="E4386" s="18" t="s">
        <v>55</v>
      </c>
      <c r="F4386" s="18" t="s">
        <v>8595</v>
      </c>
      <c r="G4386" s="18" t="s">
        <v>212</v>
      </c>
      <c r="H4386" s="18" t="s">
        <v>7575</v>
      </c>
      <c r="I4386" s="20" t="s">
        <v>8596</v>
      </c>
      <c r="J4386" s="18" t="s">
        <v>58</v>
      </c>
      <c r="K4386" s="18" t="s">
        <v>24</v>
      </c>
      <c r="L4386" s="18" t="s">
        <v>25</v>
      </c>
      <c r="N4386" s="18" t="s">
        <v>807</v>
      </c>
    </row>
    <row r="4387" spans="1:14" ht="15" customHeight="1" x14ac:dyDescent="0.3">
      <c r="A4387" s="18" t="s">
        <v>8414</v>
      </c>
      <c r="B4387" s="19" t="s">
        <v>15</v>
      </c>
      <c r="C4387" s="18" t="s">
        <v>918</v>
      </c>
      <c r="D4387" s="18" t="s">
        <v>116</v>
      </c>
      <c r="E4387" s="18" t="s">
        <v>55</v>
      </c>
      <c r="F4387" s="18" t="s">
        <v>8597</v>
      </c>
      <c r="G4387" s="18" t="s">
        <v>47</v>
      </c>
      <c r="H4387" s="18" t="s">
        <v>7575</v>
      </c>
      <c r="I4387" s="20" t="s">
        <v>8598</v>
      </c>
      <c r="J4387" s="18" t="s">
        <v>199</v>
      </c>
      <c r="K4387" s="18" t="s">
        <v>24</v>
      </c>
      <c r="L4387" s="18" t="s">
        <v>25</v>
      </c>
      <c r="N4387" s="18" t="s">
        <v>807</v>
      </c>
    </row>
    <row r="4388" spans="1:14" ht="15" customHeight="1" x14ac:dyDescent="0.3">
      <c r="A4388" s="18" t="s">
        <v>8414</v>
      </c>
      <c r="B4388" s="19" t="s">
        <v>15</v>
      </c>
      <c r="C4388" s="18" t="s">
        <v>918</v>
      </c>
      <c r="D4388" s="18" t="s">
        <v>116</v>
      </c>
      <c r="E4388" s="18" t="s">
        <v>55</v>
      </c>
      <c r="F4388" s="18" t="s">
        <v>8599</v>
      </c>
      <c r="G4388" s="18" t="s">
        <v>2248</v>
      </c>
      <c r="H4388" s="18" t="s">
        <v>7575</v>
      </c>
      <c r="I4388" s="20" t="s">
        <v>8600</v>
      </c>
      <c r="J4388" s="18" t="s">
        <v>58</v>
      </c>
      <c r="K4388" s="18" t="s">
        <v>24</v>
      </c>
      <c r="L4388" s="18" t="s">
        <v>25</v>
      </c>
      <c r="N4388" s="18" t="s">
        <v>807</v>
      </c>
    </row>
    <row r="4389" spans="1:14" ht="15" customHeight="1" x14ac:dyDescent="0.3">
      <c r="A4389" s="18" t="s">
        <v>8414</v>
      </c>
      <c r="B4389" s="19" t="s">
        <v>15</v>
      </c>
      <c r="C4389" s="18" t="s">
        <v>918</v>
      </c>
      <c r="D4389" s="18" t="s">
        <v>116</v>
      </c>
      <c r="E4389" s="18" t="s">
        <v>55</v>
      </c>
      <c r="F4389" s="18" t="s">
        <v>37</v>
      </c>
      <c r="G4389" s="18" t="s">
        <v>1254</v>
      </c>
      <c r="H4389" s="18" t="s">
        <v>7575</v>
      </c>
      <c r="I4389" s="20" t="s">
        <v>8601</v>
      </c>
      <c r="J4389" s="18" t="s">
        <v>58</v>
      </c>
      <c r="K4389" s="18" t="s">
        <v>24</v>
      </c>
      <c r="L4389" s="18" t="s">
        <v>25</v>
      </c>
      <c r="N4389" s="18" t="s">
        <v>807</v>
      </c>
    </row>
    <row r="4390" spans="1:14" ht="15" customHeight="1" x14ac:dyDescent="0.3">
      <c r="A4390" s="18" t="s">
        <v>8414</v>
      </c>
      <c r="B4390" s="19" t="s">
        <v>15</v>
      </c>
      <c r="C4390" s="18" t="s">
        <v>918</v>
      </c>
      <c r="D4390" s="18" t="s">
        <v>116</v>
      </c>
      <c r="E4390" s="18" t="s">
        <v>55</v>
      </c>
      <c r="F4390" s="18" t="s">
        <v>8602</v>
      </c>
      <c r="G4390" s="18" t="s">
        <v>212</v>
      </c>
      <c r="H4390" s="18" t="s">
        <v>7575</v>
      </c>
      <c r="I4390" s="20" t="s">
        <v>8603</v>
      </c>
      <c r="J4390" s="18" t="s">
        <v>73</v>
      </c>
      <c r="K4390" s="18" t="s">
        <v>24</v>
      </c>
      <c r="L4390" s="18" t="s">
        <v>25</v>
      </c>
      <c r="N4390" s="18" t="s">
        <v>807</v>
      </c>
    </row>
    <row r="4391" spans="1:14" ht="15" customHeight="1" x14ac:dyDescent="0.3">
      <c r="A4391" s="18" t="s">
        <v>8414</v>
      </c>
      <c r="B4391" s="19" t="s">
        <v>15</v>
      </c>
      <c r="C4391" s="18" t="s">
        <v>918</v>
      </c>
      <c r="D4391" s="18" t="s">
        <v>116</v>
      </c>
      <c r="E4391" s="18" t="s">
        <v>55</v>
      </c>
      <c r="F4391" s="18" t="s">
        <v>4250</v>
      </c>
      <c r="G4391" s="18" t="s">
        <v>47</v>
      </c>
      <c r="H4391" s="18" t="s">
        <v>7575</v>
      </c>
      <c r="I4391" s="20" t="s">
        <v>8604</v>
      </c>
      <c r="J4391" s="18" t="s">
        <v>58</v>
      </c>
      <c r="K4391" s="18" t="s">
        <v>24</v>
      </c>
      <c r="L4391" s="18" t="s">
        <v>25</v>
      </c>
      <c r="N4391" s="18" t="s">
        <v>807</v>
      </c>
    </row>
    <row r="4392" spans="1:14" ht="15" customHeight="1" x14ac:dyDescent="0.3">
      <c r="A4392" s="18" t="s">
        <v>8414</v>
      </c>
      <c r="B4392" s="19" t="s">
        <v>15</v>
      </c>
      <c r="C4392" s="18" t="s">
        <v>918</v>
      </c>
      <c r="D4392" s="18" t="s">
        <v>116</v>
      </c>
      <c r="E4392" s="18" t="s">
        <v>55</v>
      </c>
      <c r="F4392" s="18" t="s">
        <v>8463</v>
      </c>
      <c r="G4392" s="18" t="s">
        <v>1502</v>
      </c>
      <c r="H4392" s="18" t="s">
        <v>7575</v>
      </c>
      <c r="I4392" s="20" t="s">
        <v>8605</v>
      </c>
      <c r="J4392" s="18" t="s">
        <v>58</v>
      </c>
      <c r="K4392" s="18" t="s">
        <v>24</v>
      </c>
      <c r="L4392" s="18" t="s">
        <v>25</v>
      </c>
      <c r="N4392" s="18" t="s">
        <v>807</v>
      </c>
    </row>
    <row r="4393" spans="1:14" ht="15" customHeight="1" x14ac:dyDescent="0.3">
      <c r="A4393" s="18" t="s">
        <v>8414</v>
      </c>
      <c r="B4393" s="19" t="s">
        <v>15</v>
      </c>
      <c r="C4393" s="18" t="s">
        <v>918</v>
      </c>
      <c r="D4393" s="18" t="s">
        <v>116</v>
      </c>
      <c r="E4393" s="18" t="s">
        <v>55</v>
      </c>
      <c r="F4393" s="18" t="s">
        <v>7761</v>
      </c>
      <c r="G4393" s="18" t="s">
        <v>7762</v>
      </c>
      <c r="H4393" s="18" t="s">
        <v>7575</v>
      </c>
      <c r="I4393" s="20" t="s">
        <v>8606</v>
      </c>
      <c r="J4393" s="18" t="s">
        <v>58</v>
      </c>
      <c r="K4393" s="18" t="s">
        <v>24</v>
      </c>
      <c r="L4393" s="18" t="s">
        <v>25</v>
      </c>
      <c r="N4393" s="18" t="s">
        <v>807</v>
      </c>
    </row>
    <row r="4394" spans="1:14" ht="15" customHeight="1" x14ac:dyDescent="0.3">
      <c r="A4394" s="18" t="s">
        <v>8414</v>
      </c>
      <c r="B4394" s="19" t="s">
        <v>15</v>
      </c>
      <c r="C4394" s="18" t="s">
        <v>918</v>
      </c>
      <c r="D4394" s="18" t="s">
        <v>116</v>
      </c>
      <c r="E4394" s="18" t="s">
        <v>55</v>
      </c>
      <c r="F4394" s="18" t="s">
        <v>8607</v>
      </c>
      <c r="G4394" s="18" t="s">
        <v>8608</v>
      </c>
      <c r="H4394" s="18" t="s">
        <v>7575</v>
      </c>
      <c r="I4394" s="20" t="s">
        <v>8609</v>
      </c>
      <c r="J4394" s="18" t="s">
        <v>58</v>
      </c>
      <c r="K4394" s="18" t="s">
        <v>24</v>
      </c>
      <c r="L4394" s="18" t="s">
        <v>25</v>
      </c>
      <c r="N4394" s="18" t="s">
        <v>807</v>
      </c>
    </row>
    <row r="4395" spans="1:14" ht="15" customHeight="1" x14ac:dyDescent="0.3">
      <c r="A4395" s="18" t="s">
        <v>8414</v>
      </c>
      <c r="B4395" s="19" t="s">
        <v>15</v>
      </c>
      <c r="C4395" s="18" t="s">
        <v>918</v>
      </c>
      <c r="D4395" s="18" t="s">
        <v>116</v>
      </c>
      <c r="E4395" s="18" t="s">
        <v>55</v>
      </c>
      <c r="F4395" s="18" t="s">
        <v>7412</v>
      </c>
      <c r="G4395" s="18" t="s">
        <v>8610</v>
      </c>
      <c r="H4395" s="18" t="s">
        <v>8436</v>
      </c>
      <c r="I4395" s="20" t="s">
        <v>8611</v>
      </c>
      <c r="J4395" s="18" t="s">
        <v>58</v>
      </c>
      <c r="K4395" s="18" t="s">
        <v>24</v>
      </c>
      <c r="L4395" s="18" t="s">
        <v>25</v>
      </c>
      <c r="N4395" s="18" t="s">
        <v>807</v>
      </c>
    </row>
    <row r="4396" spans="1:14" ht="15" customHeight="1" x14ac:dyDescent="0.3">
      <c r="A4396" s="18" t="s">
        <v>8414</v>
      </c>
      <c r="B4396" s="19" t="s">
        <v>15</v>
      </c>
      <c r="C4396" s="18" t="s">
        <v>918</v>
      </c>
      <c r="D4396" s="18" t="s">
        <v>116</v>
      </c>
      <c r="E4396" s="18" t="s">
        <v>55</v>
      </c>
      <c r="F4396" s="18" t="s">
        <v>7764</v>
      </c>
      <c r="G4396" s="18" t="s">
        <v>7765</v>
      </c>
      <c r="H4396" s="18" t="s">
        <v>8420</v>
      </c>
      <c r="I4396" s="20" t="s">
        <v>8612</v>
      </c>
      <c r="J4396" s="18" t="s">
        <v>58</v>
      </c>
      <c r="K4396" s="18" t="s">
        <v>24</v>
      </c>
      <c r="L4396" s="18" t="s">
        <v>25</v>
      </c>
      <c r="N4396" s="18" t="s">
        <v>807</v>
      </c>
    </row>
    <row r="4397" spans="1:14" ht="15" customHeight="1" x14ac:dyDescent="0.3">
      <c r="A4397" s="18" t="s">
        <v>8414</v>
      </c>
      <c r="B4397" s="19" t="s">
        <v>15</v>
      </c>
      <c r="C4397" s="18" t="s">
        <v>918</v>
      </c>
      <c r="D4397" s="18" t="s">
        <v>116</v>
      </c>
      <c r="E4397" s="18" t="s">
        <v>55</v>
      </c>
      <c r="F4397" s="18" t="s">
        <v>8613</v>
      </c>
      <c r="G4397" s="18" t="s">
        <v>8614</v>
      </c>
      <c r="H4397" s="18" t="s">
        <v>7575</v>
      </c>
      <c r="I4397" s="20" t="s">
        <v>8615</v>
      </c>
      <c r="J4397" s="18" t="s">
        <v>58</v>
      </c>
      <c r="K4397" s="18" t="s">
        <v>24</v>
      </c>
      <c r="L4397" s="18" t="s">
        <v>25</v>
      </c>
      <c r="N4397" s="18" t="s">
        <v>807</v>
      </c>
    </row>
    <row r="4398" spans="1:14" ht="15" customHeight="1" x14ac:dyDescent="0.3">
      <c r="A4398" s="18" t="s">
        <v>8414</v>
      </c>
      <c r="B4398" s="19" t="s">
        <v>15</v>
      </c>
      <c r="C4398" s="18" t="s">
        <v>918</v>
      </c>
      <c r="D4398" s="18" t="s">
        <v>116</v>
      </c>
      <c r="E4398" s="18" t="s">
        <v>55</v>
      </c>
      <c r="F4398" s="18" t="s">
        <v>8616</v>
      </c>
      <c r="G4398" s="18" t="s">
        <v>7768</v>
      </c>
      <c r="H4398" s="18" t="s">
        <v>8420</v>
      </c>
      <c r="I4398" s="20" t="s">
        <v>8617</v>
      </c>
      <c r="J4398" s="18" t="s">
        <v>58</v>
      </c>
      <c r="K4398" s="18" t="s">
        <v>24</v>
      </c>
      <c r="L4398" s="18" t="s">
        <v>25</v>
      </c>
      <c r="N4398" s="18" t="s">
        <v>807</v>
      </c>
    </row>
    <row r="4399" spans="1:14" ht="15" customHeight="1" x14ac:dyDescent="0.3">
      <c r="A4399" s="18" t="s">
        <v>8414</v>
      </c>
      <c r="B4399" s="19" t="s">
        <v>15</v>
      </c>
      <c r="C4399" s="18" t="s">
        <v>918</v>
      </c>
      <c r="D4399" s="18" t="s">
        <v>116</v>
      </c>
      <c r="E4399" s="18" t="s">
        <v>55</v>
      </c>
      <c r="F4399" s="18" t="s">
        <v>7770</v>
      </c>
      <c r="G4399" s="18" t="s">
        <v>7771</v>
      </c>
      <c r="H4399" s="18" t="s">
        <v>8420</v>
      </c>
      <c r="I4399" s="20" t="s">
        <v>8618</v>
      </c>
      <c r="J4399" s="18" t="s">
        <v>58</v>
      </c>
      <c r="K4399" s="18" t="s">
        <v>24</v>
      </c>
      <c r="L4399" s="18" t="s">
        <v>25</v>
      </c>
      <c r="N4399" s="18" t="s">
        <v>807</v>
      </c>
    </row>
    <row r="4400" spans="1:14" ht="15" customHeight="1" x14ac:dyDescent="0.3">
      <c r="A4400" s="18" t="s">
        <v>8414</v>
      </c>
      <c r="B4400" s="19" t="s">
        <v>15</v>
      </c>
      <c r="C4400" s="18" t="s">
        <v>918</v>
      </c>
      <c r="D4400" s="18" t="s">
        <v>116</v>
      </c>
      <c r="E4400" s="18" t="s">
        <v>55</v>
      </c>
      <c r="F4400" s="18" t="s">
        <v>8619</v>
      </c>
      <c r="G4400" s="18" t="s">
        <v>7774</v>
      </c>
      <c r="H4400" s="18" t="s">
        <v>8420</v>
      </c>
      <c r="I4400" s="20" t="s">
        <v>8620</v>
      </c>
      <c r="J4400" s="18" t="s">
        <v>58</v>
      </c>
      <c r="K4400" s="18" t="s">
        <v>24</v>
      </c>
      <c r="L4400" s="18" t="s">
        <v>1369</v>
      </c>
      <c r="N4400" s="18" t="s">
        <v>807</v>
      </c>
    </row>
    <row r="4401" spans="1:14" ht="15" customHeight="1" x14ac:dyDescent="0.3">
      <c r="A4401" s="18" t="s">
        <v>8414</v>
      </c>
      <c r="B4401" s="19" t="s">
        <v>15</v>
      </c>
      <c r="C4401" s="18" t="s">
        <v>918</v>
      </c>
      <c r="D4401" s="18" t="s">
        <v>116</v>
      </c>
      <c r="E4401" s="18" t="s">
        <v>55</v>
      </c>
      <c r="F4401" s="18" t="s">
        <v>7777</v>
      </c>
      <c r="G4401" s="18" t="s">
        <v>7778</v>
      </c>
      <c r="H4401" s="18" t="s">
        <v>8420</v>
      </c>
      <c r="I4401" s="20" t="s">
        <v>8621</v>
      </c>
      <c r="J4401" s="18" t="s">
        <v>58</v>
      </c>
      <c r="K4401" s="18" t="s">
        <v>24</v>
      </c>
      <c r="L4401" s="18" t="s">
        <v>1369</v>
      </c>
      <c r="N4401" s="18" t="s">
        <v>807</v>
      </c>
    </row>
    <row r="4402" spans="1:14" ht="15" customHeight="1" x14ac:dyDescent="0.3">
      <c r="A4402" s="18" t="s">
        <v>8414</v>
      </c>
      <c r="B4402" s="19" t="s">
        <v>15</v>
      </c>
      <c r="C4402" s="18" t="s">
        <v>918</v>
      </c>
      <c r="D4402" s="18" t="s">
        <v>116</v>
      </c>
      <c r="E4402" s="18" t="s">
        <v>55</v>
      </c>
      <c r="F4402" s="18" t="s">
        <v>8622</v>
      </c>
      <c r="G4402" s="18" t="s">
        <v>7781</v>
      </c>
      <c r="H4402" s="18" t="s">
        <v>8420</v>
      </c>
      <c r="I4402" s="20" t="s">
        <v>8623</v>
      </c>
      <c r="J4402" s="18" t="s">
        <v>58</v>
      </c>
      <c r="K4402" s="18" t="s">
        <v>24</v>
      </c>
      <c r="L4402" s="18" t="s">
        <v>25</v>
      </c>
      <c r="N4402" s="18" t="s">
        <v>807</v>
      </c>
    </row>
    <row r="4403" spans="1:14" ht="15" customHeight="1" x14ac:dyDescent="0.3">
      <c r="A4403" s="18" t="s">
        <v>8414</v>
      </c>
      <c r="B4403" s="19" t="s">
        <v>15</v>
      </c>
      <c r="C4403" s="18" t="s">
        <v>918</v>
      </c>
      <c r="D4403" s="18" t="s">
        <v>116</v>
      </c>
      <c r="E4403" s="18" t="s">
        <v>55</v>
      </c>
      <c r="F4403" s="18" t="s">
        <v>8624</v>
      </c>
      <c r="G4403" s="18" t="s">
        <v>7787</v>
      </c>
      <c r="H4403" s="18" t="s">
        <v>8420</v>
      </c>
      <c r="I4403" s="20" t="s">
        <v>8625</v>
      </c>
      <c r="J4403" s="18" t="s">
        <v>58</v>
      </c>
      <c r="K4403" s="18" t="s">
        <v>24</v>
      </c>
      <c r="L4403" s="18" t="s">
        <v>25</v>
      </c>
      <c r="N4403" s="18" t="s">
        <v>807</v>
      </c>
    </row>
    <row r="4404" spans="1:14" ht="15" customHeight="1" x14ac:dyDescent="0.3">
      <c r="A4404" s="18" t="s">
        <v>8414</v>
      </c>
      <c r="B4404" s="19" t="s">
        <v>15</v>
      </c>
      <c r="C4404" s="18" t="s">
        <v>918</v>
      </c>
      <c r="D4404" s="18" t="s">
        <v>116</v>
      </c>
      <c r="E4404" s="18" t="s">
        <v>55</v>
      </c>
      <c r="F4404" s="18" t="s">
        <v>8626</v>
      </c>
      <c r="G4404" s="18" t="s">
        <v>7784</v>
      </c>
      <c r="H4404" s="18" t="s">
        <v>8420</v>
      </c>
      <c r="I4404" s="20" t="s">
        <v>8627</v>
      </c>
      <c r="J4404" s="18" t="s">
        <v>58</v>
      </c>
      <c r="K4404" s="18" t="s">
        <v>24</v>
      </c>
      <c r="L4404" s="18" t="s">
        <v>25</v>
      </c>
      <c r="N4404" s="18" t="s">
        <v>807</v>
      </c>
    </row>
    <row r="4405" spans="1:14" ht="15" customHeight="1" x14ac:dyDescent="0.3">
      <c r="A4405" s="18" t="s">
        <v>8414</v>
      </c>
      <c r="B4405" s="19" t="s">
        <v>15</v>
      </c>
      <c r="C4405" s="18" t="s">
        <v>918</v>
      </c>
      <c r="D4405" s="18" t="s">
        <v>116</v>
      </c>
      <c r="E4405" s="18" t="s">
        <v>55</v>
      </c>
      <c r="F4405" s="18" t="s">
        <v>8628</v>
      </c>
      <c r="G4405" s="18" t="s">
        <v>312</v>
      </c>
      <c r="H4405" s="18" t="s">
        <v>8420</v>
      </c>
      <c r="I4405" s="20" t="s">
        <v>8629</v>
      </c>
      <c r="J4405" s="18" t="s">
        <v>58</v>
      </c>
      <c r="K4405" s="18" t="s">
        <v>24</v>
      </c>
      <c r="L4405" s="18" t="s">
        <v>25</v>
      </c>
      <c r="N4405" s="18" t="s">
        <v>807</v>
      </c>
    </row>
    <row r="4406" spans="1:14" ht="15" customHeight="1" x14ac:dyDescent="0.3">
      <c r="A4406" s="18" t="s">
        <v>8414</v>
      </c>
      <c r="B4406" s="19" t="s">
        <v>15</v>
      </c>
      <c r="C4406" s="18" t="s">
        <v>918</v>
      </c>
      <c r="D4406" s="18" t="s">
        <v>116</v>
      </c>
      <c r="E4406" s="18" t="s">
        <v>55</v>
      </c>
      <c r="F4406" s="18" t="s">
        <v>8630</v>
      </c>
      <c r="G4406" s="18" t="s">
        <v>212</v>
      </c>
      <c r="H4406" s="18" t="s">
        <v>7575</v>
      </c>
      <c r="I4406" s="20" t="s">
        <v>8631</v>
      </c>
      <c r="J4406" s="18" t="s">
        <v>58</v>
      </c>
      <c r="K4406" s="18" t="s">
        <v>24</v>
      </c>
      <c r="L4406" s="18" t="s">
        <v>25</v>
      </c>
      <c r="N4406" s="18" t="s">
        <v>807</v>
      </c>
    </row>
    <row r="4407" spans="1:14" ht="15" customHeight="1" x14ac:dyDescent="0.3">
      <c r="A4407" s="18" t="s">
        <v>8414</v>
      </c>
      <c r="B4407" s="19" t="s">
        <v>15</v>
      </c>
      <c r="C4407" s="18" t="s">
        <v>918</v>
      </c>
      <c r="D4407" s="18" t="s">
        <v>116</v>
      </c>
      <c r="E4407" s="18" t="s">
        <v>55</v>
      </c>
      <c r="F4407" s="18" t="s">
        <v>8632</v>
      </c>
      <c r="G4407" s="18" t="s">
        <v>197</v>
      </c>
      <c r="H4407" s="18" t="s">
        <v>7575</v>
      </c>
      <c r="I4407" s="20" t="s">
        <v>8633</v>
      </c>
      <c r="J4407" s="18" t="s">
        <v>58</v>
      </c>
      <c r="K4407" s="18" t="s">
        <v>24</v>
      </c>
      <c r="L4407" s="18" t="s">
        <v>25</v>
      </c>
      <c r="N4407" s="18" t="s">
        <v>807</v>
      </c>
    </row>
    <row r="4408" spans="1:14" ht="15" customHeight="1" x14ac:dyDescent="0.3">
      <c r="A4408" s="18" t="s">
        <v>8414</v>
      </c>
      <c r="B4408" s="19" t="s">
        <v>15</v>
      </c>
      <c r="C4408" s="18" t="s">
        <v>918</v>
      </c>
      <c r="D4408" s="18" t="s">
        <v>116</v>
      </c>
      <c r="E4408" s="18" t="s">
        <v>55</v>
      </c>
      <c r="F4408" s="18" t="s">
        <v>8465</v>
      </c>
      <c r="G4408" s="18" t="s">
        <v>2245</v>
      </c>
      <c r="H4408" s="18" t="s">
        <v>8420</v>
      </c>
      <c r="I4408" s="20" t="s">
        <v>8634</v>
      </c>
      <c r="J4408" s="18" t="s">
        <v>58</v>
      </c>
      <c r="K4408" s="18" t="s">
        <v>24</v>
      </c>
      <c r="L4408" s="18" t="s">
        <v>25</v>
      </c>
      <c r="N4408" s="18" t="s">
        <v>807</v>
      </c>
    </row>
    <row r="4409" spans="1:14" ht="15" customHeight="1" x14ac:dyDescent="0.3">
      <c r="A4409" s="18" t="s">
        <v>8414</v>
      </c>
      <c r="B4409" s="19" t="s">
        <v>15</v>
      </c>
      <c r="C4409" s="18" t="s">
        <v>918</v>
      </c>
      <c r="D4409" s="18" t="s">
        <v>116</v>
      </c>
      <c r="E4409" s="18" t="s">
        <v>55</v>
      </c>
      <c r="F4409" s="18" t="s">
        <v>8467</v>
      </c>
      <c r="G4409" s="18" t="s">
        <v>8635</v>
      </c>
      <c r="H4409" s="18" t="s">
        <v>8420</v>
      </c>
      <c r="I4409" s="20" t="s">
        <v>8636</v>
      </c>
      <c r="J4409" s="18" t="s">
        <v>58</v>
      </c>
      <c r="K4409" s="18" t="s">
        <v>24</v>
      </c>
      <c r="L4409" s="18" t="s">
        <v>25</v>
      </c>
      <c r="N4409" s="18" t="s">
        <v>807</v>
      </c>
    </row>
    <row r="4410" spans="1:14" ht="15" customHeight="1" x14ac:dyDescent="0.3">
      <c r="A4410" s="18" t="s">
        <v>8414</v>
      </c>
      <c r="B4410" s="19" t="s">
        <v>15</v>
      </c>
      <c r="C4410" s="18" t="s">
        <v>918</v>
      </c>
      <c r="D4410" s="18" t="s">
        <v>116</v>
      </c>
      <c r="E4410" s="18" t="s">
        <v>55</v>
      </c>
      <c r="F4410" s="18" t="s">
        <v>8637</v>
      </c>
      <c r="G4410" s="18" t="s">
        <v>197</v>
      </c>
      <c r="H4410" s="18" t="s">
        <v>8638</v>
      </c>
      <c r="I4410" s="20" t="s">
        <v>8639</v>
      </c>
      <c r="J4410" s="18" t="s">
        <v>58</v>
      </c>
      <c r="K4410" s="18" t="s">
        <v>24</v>
      </c>
      <c r="L4410" s="18" t="s">
        <v>25</v>
      </c>
      <c r="N4410" s="18" t="s">
        <v>807</v>
      </c>
    </row>
    <row r="4411" spans="1:14" ht="15" customHeight="1" x14ac:dyDescent="0.3">
      <c r="A4411" s="18" t="s">
        <v>8414</v>
      </c>
      <c r="B4411" s="19" t="s">
        <v>15</v>
      </c>
      <c r="C4411" s="18" t="s">
        <v>918</v>
      </c>
      <c r="D4411" s="18" t="s">
        <v>116</v>
      </c>
      <c r="E4411" s="18" t="s">
        <v>55</v>
      </c>
      <c r="F4411" s="18" t="s">
        <v>3396</v>
      </c>
      <c r="G4411" s="18" t="s">
        <v>1059</v>
      </c>
      <c r="H4411" s="18" t="s">
        <v>8420</v>
      </c>
      <c r="I4411" s="20" t="s">
        <v>8640</v>
      </c>
      <c r="J4411" s="18" t="s">
        <v>58</v>
      </c>
      <c r="K4411" s="18" t="s">
        <v>24</v>
      </c>
      <c r="L4411" s="18" t="s">
        <v>25</v>
      </c>
      <c r="N4411" s="18" t="s">
        <v>807</v>
      </c>
    </row>
    <row r="4412" spans="1:14" ht="15" customHeight="1" x14ac:dyDescent="0.3">
      <c r="A4412" s="18" t="s">
        <v>8414</v>
      </c>
      <c r="B4412" s="19" t="s">
        <v>15</v>
      </c>
      <c r="C4412" s="18" t="s">
        <v>918</v>
      </c>
      <c r="D4412" s="18" t="s">
        <v>116</v>
      </c>
      <c r="E4412" s="18" t="s">
        <v>55</v>
      </c>
      <c r="F4412" s="18" t="s">
        <v>8641</v>
      </c>
      <c r="G4412" s="18" t="s">
        <v>192</v>
      </c>
      <c r="H4412" s="18" t="s">
        <v>8420</v>
      </c>
      <c r="I4412" s="20" t="s">
        <v>8642</v>
      </c>
      <c r="J4412" s="18" t="s">
        <v>58</v>
      </c>
      <c r="K4412" s="18" t="s">
        <v>24</v>
      </c>
      <c r="L4412" s="18" t="s">
        <v>25</v>
      </c>
      <c r="N4412" s="18" t="s">
        <v>807</v>
      </c>
    </row>
    <row r="4413" spans="1:14" ht="15" customHeight="1" x14ac:dyDescent="0.3">
      <c r="A4413" s="18" t="s">
        <v>8414</v>
      </c>
      <c r="B4413" s="19" t="s">
        <v>15</v>
      </c>
      <c r="C4413" s="18" t="s">
        <v>918</v>
      </c>
      <c r="D4413" s="18" t="s">
        <v>116</v>
      </c>
      <c r="E4413" s="18" t="s">
        <v>55</v>
      </c>
      <c r="F4413" s="18" t="s">
        <v>8643</v>
      </c>
      <c r="G4413" s="18" t="s">
        <v>606</v>
      </c>
      <c r="H4413" s="18" t="s">
        <v>7575</v>
      </c>
      <c r="I4413" s="20" t="s">
        <v>8644</v>
      </c>
      <c r="J4413" s="18" t="s">
        <v>58</v>
      </c>
      <c r="K4413" s="18" t="s">
        <v>24</v>
      </c>
      <c r="L4413" s="18" t="s">
        <v>25</v>
      </c>
      <c r="N4413" s="18" t="s">
        <v>807</v>
      </c>
    </row>
    <row r="4414" spans="1:14" ht="15" customHeight="1" x14ac:dyDescent="0.3">
      <c r="A4414" s="18" t="s">
        <v>8414</v>
      </c>
      <c r="B4414" s="19" t="s">
        <v>15</v>
      </c>
      <c r="C4414" s="18" t="s">
        <v>918</v>
      </c>
      <c r="D4414" s="18" t="s">
        <v>116</v>
      </c>
      <c r="E4414" s="18" t="s">
        <v>55</v>
      </c>
      <c r="F4414" s="18" t="s">
        <v>2384</v>
      </c>
      <c r="G4414" s="18" t="s">
        <v>1019</v>
      </c>
      <c r="H4414" s="18" t="s">
        <v>8436</v>
      </c>
      <c r="I4414" s="20" t="s">
        <v>8645</v>
      </c>
      <c r="J4414" s="18" t="s">
        <v>58</v>
      </c>
      <c r="K4414" s="18" t="s">
        <v>24</v>
      </c>
      <c r="L4414" s="18" t="s">
        <v>25</v>
      </c>
      <c r="N4414" s="18" t="s">
        <v>807</v>
      </c>
    </row>
    <row r="4415" spans="1:14" ht="15" customHeight="1" x14ac:dyDescent="0.3">
      <c r="A4415" s="18" t="s">
        <v>8414</v>
      </c>
      <c r="B4415" s="19" t="s">
        <v>15</v>
      </c>
      <c r="C4415" s="18" t="s">
        <v>918</v>
      </c>
      <c r="D4415" s="18" t="s">
        <v>116</v>
      </c>
      <c r="E4415" s="18" t="s">
        <v>55</v>
      </c>
      <c r="F4415" s="18" t="s">
        <v>8646</v>
      </c>
      <c r="G4415" s="18" t="s">
        <v>1019</v>
      </c>
      <c r="H4415" s="18" t="s">
        <v>8436</v>
      </c>
      <c r="I4415" s="20" t="s">
        <v>8647</v>
      </c>
      <c r="J4415" s="18" t="s">
        <v>58</v>
      </c>
      <c r="K4415" s="18" t="s">
        <v>24</v>
      </c>
      <c r="L4415" s="18" t="s">
        <v>25</v>
      </c>
      <c r="M4415" s="18" t="s">
        <v>39</v>
      </c>
      <c r="N4415" s="18" t="s">
        <v>807</v>
      </c>
    </row>
    <row r="4416" spans="1:14" ht="15" customHeight="1" x14ac:dyDescent="0.3">
      <c r="A4416" s="18" t="s">
        <v>8414</v>
      </c>
      <c r="B4416" s="19" t="s">
        <v>15</v>
      </c>
      <c r="C4416" s="18" t="s">
        <v>918</v>
      </c>
      <c r="D4416" s="18" t="s">
        <v>116</v>
      </c>
      <c r="E4416" s="18" t="s">
        <v>55</v>
      </c>
      <c r="F4416" s="18" t="s">
        <v>8648</v>
      </c>
      <c r="G4416" s="18" t="s">
        <v>80</v>
      </c>
      <c r="H4416" s="18" t="s">
        <v>8429</v>
      </c>
      <c r="I4416" s="20" t="s">
        <v>8649</v>
      </c>
      <c r="J4416" s="18" t="s">
        <v>58</v>
      </c>
      <c r="K4416" s="18" t="s">
        <v>24</v>
      </c>
      <c r="L4416" s="18" t="s">
        <v>25</v>
      </c>
      <c r="N4416" s="18" t="s">
        <v>807</v>
      </c>
    </row>
    <row r="4417" spans="1:14" ht="15" customHeight="1" x14ac:dyDescent="0.3">
      <c r="A4417" s="18" t="s">
        <v>8414</v>
      </c>
      <c r="B4417" s="19" t="s">
        <v>15</v>
      </c>
      <c r="C4417" s="18" t="s">
        <v>918</v>
      </c>
      <c r="D4417" s="18" t="s">
        <v>116</v>
      </c>
      <c r="E4417" s="18" t="s">
        <v>55</v>
      </c>
      <c r="F4417" s="18" t="s">
        <v>6432</v>
      </c>
      <c r="G4417" s="18" t="s">
        <v>6433</v>
      </c>
      <c r="H4417" s="18" t="s">
        <v>8420</v>
      </c>
      <c r="I4417" s="20" t="s">
        <v>8650</v>
      </c>
      <c r="J4417" s="18" t="s">
        <v>58</v>
      </c>
      <c r="K4417" s="18" t="s">
        <v>24</v>
      </c>
      <c r="L4417" s="18" t="s">
        <v>25</v>
      </c>
      <c r="N4417" s="18" t="s">
        <v>807</v>
      </c>
    </row>
    <row r="4418" spans="1:14" ht="15" customHeight="1" x14ac:dyDescent="0.3">
      <c r="A4418" s="18" t="s">
        <v>8414</v>
      </c>
      <c r="B4418" s="19" t="s">
        <v>15</v>
      </c>
      <c r="C4418" s="18" t="s">
        <v>918</v>
      </c>
      <c r="D4418" s="18" t="s">
        <v>116</v>
      </c>
      <c r="E4418" s="18" t="s">
        <v>55</v>
      </c>
      <c r="F4418" s="18" t="s">
        <v>8651</v>
      </c>
      <c r="G4418" s="18" t="s">
        <v>6433</v>
      </c>
      <c r="H4418" s="18" t="s">
        <v>8420</v>
      </c>
      <c r="I4418" s="20" t="s">
        <v>8652</v>
      </c>
      <c r="J4418" s="18" t="s">
        <v>58</v>
      </c>
      <c r="K4418" s="18" t="s">
        <v>24</v>
      </c>
      <c r="L4418" s="18" t="s">
        <v>25</v>
      </c>
      <c r="N4418" s="18" t="s">
        <v>807</v>
      </c>
    </row>
    <row r="4419" spans="1:14" ht="15" customHeight="1" x14ac:dyDescent="0.3">
      <c r="A4419" s="18" t="s">
        <v>8414</v>
      </c>
      <c r="B4419" s="19" t="s">
        <v>15</v>
      </c>
      <c r="C4419" s="18" t="s">
        <v>918</v>
      </c>
      <c r="D4419" s="18" t="s">
        <v>116</v>
      </c>
      <c r="E4419" s="18" t="s">
        <v>55</v>
      </c>
      <c r="F4419" s="18" t="s">
        <v>3138</v>
      </c>
      <c r="G4419" s="18" t="s">
        <v>3138</v>
      </c>
      <c r="H4419" s="18" t="s">
        <v>7575</v>
      </c>
      <c r="I4419" s="20" t="s">
        <v>8653</v>
      </c>
      <c r="J4419" s="18" t="s">
        <v>58</v>
      </c>
      <c r="K4419" s="18" t="s">
        <v>24</v>
      </c>
      <c r="L4419" s="18" t="s">
        <v>25</v>
      </c>
      <c r="N4419" s="18" t="s">
        <v>807</v>
      </c>
    </row>
    <row r="4420" spans="1:14" ht="15" customHeight="1" x14ac:dyDescent="0.3">
      <c r="A4420" s="18" t="s">
        <v>8414</v>
      </c>
      <c r="B4420" s="19" t="s">
        <v>15</v>
      </c>
      <c r="C4420" s="18" t="s">
        <v>918</v>
      </c>
      <c r="D4420" s="18" t="s">
        <v>116</v>
      </c>
      <c r="E4420" s="18" t="s">
        <v>55</v>
      </c>
      <c r="F4420" s="18" t="s">
        <v>8654</v>
      </c>
      <c r="G4420" s="18" t="s">
        <v>3138</v>
      </c>
      <c r="H4420" s="18" t="s">
        <v>7575</v>
      </c>
      <c r="I4420" s="20" t="s">
        <v>8655</v>
      </c>
      <c r="J4420" s="18" t="s">
        <v>58</v>
      </c>
      <c r="K4420" s="18" t="s">
        <v>24</v>
      </c>
      <c r="L4420" s="18" t="s">
        <v>25</v>
      </c>
      <c r="N4420" s="18" t="s">
        <v>807</v>
      </c>
    </row>
    <row r="4421" spans="1:14" ht="15" customHeight="1" x14ac:dyDescent="0.3">
      <c r="A4421" s="18" t="s">
        <v>8414</v>
      </c>
      <c r="B4421" s="19" t="s">
        <v>15</v>
      </c>
      <c r="C4421" s="18" t="s">
        <v>918</v>
      </c>
      <c r="D4421" s="18" t="s">
        <v>116</v>
      </c>
      <c r="E4421" s="18" t="s">
        <v>55</v>
      </c>
      <c r="F4421" s="18" t="s">
        <v>8656</v>
      </c>
      <c r="G4421" s="18" t="s">
        <v>606</v>
      </c>
      <c r="H4421" s="18" t="s">
        <v>8559</v>
      </c>
      <c r="I4421" s="20" t="s">
        <v>8657</v>
      </c>
      <c r="J4421" s="18" t="s">
        <v>58</v>
      </c>
      <c r="K4421" s="18" t="s">
        <v>24</v>
      </c>
      <c r="L4421" s="18" t="s">
        <v>25</v>
      </c>
      <c r="N4421" s="18" t="s">
        <v>807</v>
      </c>
    </row>
    <row r="4422" spans="1:14" ht="15" customHeight="1" x14ac:dyDescent="0.3">
      <c r="A4422" s="18" t="s">
        <v>8414</v>
      </c>
      <c r="B4422" s="19" t="s">
        <v>15</v>
      </c>
      <c r="C4422" s="18" t="s">
        <v>918</v>
      </c>
      <c r="D4422" s="18" t="s">
        <v>116</v>
      </c>
      <c r="E4422" s="18" t="s">
        <v>55</v>
      </c>
      <c r="F4422" s="18" t="s">
        <v>8658</v>
      </c>
      <c r="G4422" s="18" t="s">
        <v>2248</v>
      </c>
      <c r="H4422" s="18" t="s">
        <v>7575</v>
      </c>
      <c r="I4422" s="20" t="s">
        <v>8659</v>
      </c>
      <c r="J4422" s="18" t="s">
        <v>58</v>
      </c>
      <c r="K4422" s="18" t="s">
        <v>24</v>
      </c>
      <c r="L4422" s="18" t="s">
        <v>25</v>
      </c>
      <c r="N4422" s="18" t="s">
        <v>807</v>
      </c>
    </row>
    <row r="4423" spans="1:14" ht="15" customHeight="1" x14ac:dyDescent="0.3">
      <c r="A4423" s="18" t="s">
        <v>8414</v>
      </c>
      <c r="B4423" s="19" t="s">
        <v>15</v>
      </c>
      <c r="C4423" s="18" t="s">
        <v>918</v>
      </c>
      <c r="D4423" s="18" t="s">
        <v>116</v>
      </c>
      <c r="E4423" s="18" t="s">
        <v>55</v>
      </c>
      <c r="F4423" s="18" t="s">
        <v>8660</v>
      </c>
      <c r="G4423" s="18" t="s">
        <v>2248</v>
      </c>
      <c r="H4423" s="18" t="s">
        <v>7575</v>
      </c>
      <c r="I4423" s="20" t="s">
        <v>8661</v>
      </c>
      <c r="J4423" s="18" t="s">
        <v>58</v>
      </c>
      <c r="K4423" s="18" t="s">
        <v>24</v>
      </c>
      <c r="L4423" s="18" t="s">
        <v>25</v>
      </c>
      <c r="N4423" s="18" t="s">
        <v>807</v>
      </c>
    </row>
    <row r="4424" spans="1:14" ht="15" customHeight="1" x14ac:dyDescent="0.3">
      <c r="A4424" s="18" t="s">
        <v>8414</v>
      </c>
      <c r="B4424" s="19" t="s">
        <v>15</v>
      </c>
      <c r="C4424" s="18" t="s">
        <v>918</v>
      </c>
      <c r="D4424" s="18" t="s">
        <v>116</v>
      </c>
      <c r="E4424" s="18" t="s">
        <v>55</v>
      </c>
      <c r="F4424" s="18" t="s">
        <v>8662</v>
      </c>
      <c r="G4424" s="18" t="s">
        <v>2248</v>
      </c>
      <c r="H4424" s="18" t="s">
        <v>8420</v>
      </c>
      <c r="I4424" s="20" t="s">
        <v>8663</v>
      </c>
      <c r="J4424" s="18" t="s">
        <v>58</v>
      </c>
      <c r="K4424" s="18" t="s">
        <v>24</v>
      </c>
      <c r="L4424" s="18" t="s">
        <v>25</v>
      </c>
      <c r="N4424" s="18" t="s">
        <v>807</v>
      </c>
    </row>
    <row r="4425" spans="1:14" ht="15" customHeight="1" x14ac:dyDescent="0.3">
      <c r="A4425" s="18" t="s">
        <v>8414</v>
      </c>
      <c r="B4425" s="19" t="s">
        <v>15</v>
      </c>
      <c r="C4425" s="18" t="s">
        <v>918</v>
      </c>
      <c r="D4425" s="18" t="s">
        <v>116</v>
      </c>
      <c r="E4425" s="18" t="s">
        <v>55</v>
      </c>
      <c r="F4425" s="18" t="s">
        <v>8664</v>
      </c>
      <c r="G4425" s="18" t="s">
        <v>1055</v>
      </c>
      <c r="H4425" s="18" t="s">
        <v>8420</v>
      </c>
      <c r="I4425" s="20" t="s">
        <v>8665</v>
      </c>
      <c r="J4425" s="18" t="s">
        <v>58</v>
      </c>
      <c r="K4425" s="18" t="s">
        <v>24</v>
      </c>
      <c r="L4425" s="18" t="s">
        <v>25</v>
      </c>
      <c r="N4425" s="18" t="s">
        <v>807</v>
      </c>
    </row>
    <row r="4426" spans="1:14" ht="15" customHeight="1" x14ac:dyDescent="0.3">
      <c r="A4426" s="18" t="s">
        <v>8414</v>
      </c>
      <c r="B4426" s="19" t="s">
        <v>15</v>
      </c>
      <c r="C4426" s="18" t="s">
        <v>918</v>
      </c>
      <c r="D4426" s="18" t="s">
        <v>116</v>
      </c>
      <c r="E4426" s="18" t="s">
        <v>55</v>
      </c>
      <c r="F4426" s="18" t="s">
        <v>8666</v>
      </c>
      <c r="G4426" s="18" t="s">
        <v>423</v>
      </c>
      <c r="H4426" s="18" t="s">
        <v>8559</v>
      </c>
      <c r="I4426" s="20" t="s">
        <v>8667</v>
      </c>
      <c r="J4426" s="18" t="s">
        <v>58</v>
      </c>
      <c r="K4426" s="18" t="s">
        <v>24</v>
      </c>
      <c r="L4426" s="18" t="s">
        <v>25</v>
      </c>
      <c r="N4426" s="18" t="s">
        <v>807</v>
      </c>
    </row>
    <row r="4427" spans="1:14" ht="15" customHeight="1" x14ac:dyDescent="0.3">
      <c r="A4427" s="18" t="s">
        <v>8414</v>
      </c>
      <c r="B4427" s="19" t="s">
        <v>15</v>
      </c>
      <c r="C4427" s="18" t="s">
        <v>918</v>
      </c>
      <c r="D4427" s="18" t="s">
        <v>116</v>
      </c>
      <c r="E4427" s="18" t="s">
        <v>55</v>
      </c>
      <c r="F4427" s="18" t="s">
        <v>40</v>
      </c>
      <c r="G4427" s="18" t="s">
        <v>41</v>
      </c>
      <c r="H4427" s="18" t="s">
        <v>7602</v>
      </c>
      <c r="I4427" s="20" t="s">
        <v>8668</v>
      </c>
      <c r="J4427" s="18" t="s">
        <v>58</v>
      </c>
      <c r="K4427" s="18" t="s">
        <v>24</v>
      </c>
      <c r="L4427" s="18" t="s">
        <v>25</v>
      </c>
      <c r="N4427" s="18" t="s">
        <v>807</v>
      </c>
    </row>
    <row r="4428" spans="1:14" ht="15" customHeight="1" x14ac:dyDescent="0.3">
      <c r="A4428" s="18" t="s">
        <v>8414</v>
      </c>
      <c r="B4428" s="19" t="s">
        <v>15</v>
      </c>
      <c r="C4428" s="18" t="s">
        <v>918</v>
      </c>
      <c r="D4428" s="18" t="s">
        <v>116</v>
      </c>
      <c r="E4428" s="18" t="s">
        <v>55</v>
      </c>
      <c r="F4428" s="18" t="s">
        <v>8669</v>
      </c>
      <c r="G4428" s="18" t="s">
        <v>7668</v>
      </c>
      <c r="H4428" s="18" t="s">
        <v>7575</v>
      </c>
      <c r="I4428" s="20" t="s">
        <v>8670</v>
      </c>
      <c r="J4428" s="18" t="s">
        <v>73</v>
      </c>
      <c r="K4428" s="18" t="s">
        <v>24</v>
      </c>
      <c r="L4428" s="18" t="s">
        <v>25</v>
      </c>
      <c r="N4428" s="18" t="s">
        <v>807</v>
      </c>
    </row>
    <row r="4429" spans="1:14" ht="15" customHeight="1" x14ac:dyDescent="0.3">
      <c r="A4429" s="18" t="s">
        <v>8414</v>
      </c>
      <c r="B4429" s="19" t="s">
        <v>15</v>
      </c>
      <c r="C4429" s="18" t="s">
        <v>918</v>
      </c>
      <c r="D4429" s="18" t="s">
        <v>116</v>
      </c>
      <c r="E4429" s="18" t="s">
        <v>55</v>
      </c>
      <c r="F4429" s="18" t="s">
        <v>8671</v>
      </c>
      <c r="G4429" s="18" t="s">
        <v>51</v>
      </c>
      <c r="H4429" s="18" t="s">
        <v>7575</v>
      </c>
      <c r="I4429" s="20" t="s">
        <v>8672</v>
      </c>
      <c r="J4429" s="18" t="s">
        <v>73</v>
      </c>
      <c r="K4429" s="18" t="s">
        <v>24</v>
      </c>
      <c r="L4429" s="18" t="s">
        <v>25</v>
      </c>
      <c r="M4429" s="18" t="s">
        <v>39</v>
      </c>
      <c r="N4429" s="18" t="s">
        <v>807</v>
      </c>
    </row>
    <row r="4430" spans="1:14" ht="15" customHeight="1" x14ac:dyDescent="0.3">
      <c r="A4430" s="18" t="s">
        <v>8414</v>
      </c>
      <c r="B4430" s="19" t="s">
        <v>15</v>
      </c>
      <c r="C4430" s="18" t="s">
        <v>918</v>
      </c>
      <c r="D4430" s="18" t="s">
        <v>116</v>
      </c>
      <c r="E4430" s="18" t="s">
        <v>55</v>
      </c>
      <c r="F4430" s="18" t="s">
        <v>8673</v>
      </c>
      <c r="G4430" s="18" t="s">
        <v>41</v>
      </c>
      <c r="H4430" s="18" t="s">
        <v>8420</v>
      </c>
      <c r="I4430" s="20" t="s">
        <v>8674</v>
      </c>
      <c r="J4430" s="18" t="s">
        <v>58</v>
      </c>
      <c r="K4430" s="18" t="s">
        <v>24</v>
      </c>
      <c r="L4430" s="18" t="s">
        <v>25</v>
      </c>
      <c r="N4430" s="18" t="s">
        <v>807</v>
      </c>
    </row>
    <row r="4431" spans="1:14" ht="15" customHeight="1" x14ac:dyDescent="0.3">
      <c r="A4431" s="18" t="s">
        <v>8414</v>
      </c>
      <c r="B4431" s="19" t="s">
        <v>15</v>
      </c>
      <c r="C4431" s="18" t="s">
        <v>918</v>
      </c>
      <c r="D4431" s="18" t="s">
        <v>116</v>
      </c>
      <c r="E4431" s="18" t="s">
        <v>55</v>
      </c>
      <c r="F4431" s="18" t="s">
        <v>8675</v>
      </c>
      <c r="G4431" s="18" t="s">
        <v>212</v>
      </c>
      <c r="H4431" s="18" t="s">
        <v>7575</v>
      </c>
      <c r="I4431" s="20" t="s">
        <v>8676</v>
      </c>
      <c r="J4431" s="18" t="s">
        <v>58</v>
      </c>
      <c r="K4431" s="18" t="s">
        <v>24</v>
      </c>
      <c r="L4431" s="18" t="s">
        <v>25</v>
      </c>
      <c r="N4431" s="18" t="s">
        <v>807</v>
      </c>
    </row>
    <row r="4432" spans="1:14" ht="15" customHeight="1" x14ac:dyDescent="0.3">
      <c r="A4432" s="18" t="s">
        <v>8414</v>
      </c>
      <c r="B4432" s="19" t="s">
        <v>15</v>
      </c>
      <c r="C4432" s="18" t="s">
        <v>918</v>
      </c>
      <c r="D4432" s="18" t="s">
        <v>116</v>
      </c>
      <c r="E4432" s="18" t="s">
        <v>55</v>
      </c>
      <c r="F4432" s="18" t="s">
        <v>4392</v>
      </c>
      <c r="G4432" s="18" t="s">
        <v>41</v>
      </c>
      <c r="H4432" s="18" t="s">
        <v>8677</v>
      </c>
      <c r="I4432" s="20" t="s">
        <v>8678</v>
      </c>
      <c r="J4432" s="18" t="s">
        <v>58</v>
      </c>
      <c r="K4432" s="18" t="s">
        <v>24</v>
      </c>
      <c r="L4432" s="18" t="s">
        <v>25</v>
      </c>
      <c r="M4432" s="18" t="s">
        <v>39</v>
      </c>
      <c r="N4432" s="18" t="s">
        <v>807</v>
      </c>
    </row>
    <row r="4433" spans="1:14" ht="15" customHeight="1" x14ac:dyDescent="0.3">
      <c r="A4433" s="18" t="s">
        <v>8414</v>
      </c>
      <c r="B4433" s="19" t="s">
        <v>15</v>
      </c>
      <c r="C4433" s="18" t="s">
        <v>918</v>
      </c>
      <c r="D4433" s="18" t="s">
        <v>116</v>
      </c>
      <c r="E4433" s="18" t="s">
        <v>55</v>
      </c>
      <c r="F4433" s="18" t="s">
        <v>8679</v>
      </c>
      <c r="G4433" s="18" t="s">
        <v>41</v>
      </c>
      <c r="H4433" s="18" t="s">
        <v>7602</v>
      </c>
      <c r="I4433" s="20" t="s">
        <v>8680</v>
      </c>
      <c r="J4433" s="18" t="s">
        <v>58</v>
      </c>
      <c r="K4433" s="18" t="s">
        <v>24</v>
      </c>
      <c r="L4433" s="18" t="s">
        <v>25</v>
      </c>
      <c r="N4433" s="18" t="s">
        <v>807</v>
      </c>
    </row>
    <row r="4434" spans="1:14" ht="15" customHeight="1" x14ac:dyDescent="0.3">
      <c r="A4434" s="18" t="s">
        <v>8414</v>
      </c>
      <c r="B4434" s="19" t="s">
        <v>15</v>
      </c>
      <c r="C4434" s="18" t="s">
        <v>918</v>
      </c>
      <c r="D4434" s="18" t="s">
        <v>116</v>
      </c>
      <c r="E4434" s="18" t="s">
        <v>55</v>
      </c>
      <c r="F4434" s="18" t="s">
        <v>6250</v>
      </c>
      <c r="G4434" s="18" t="s">
        <v>197</v>
      </c>
      <c r="H4434" s="18" t="s">
        <v>8420</v>
      </c>
      <c r="I4434" s="20" t="s">
        <v>8681</v>
      </c>
      <c r="J4434" s="18" t="s">
        <v>58</v>
      </c>
      <c r="K4434" s="18" t="s">
        <v>24</v>
      </c>
      <c r="L4434" s="18" t="s">
        <v>25</v>
      </c>
      <c r="N4434" s="18" t="s">
        <v>807</v>
      </c>
    </row>
    <row r="4435" spans="1:14" ht="15" customHeight="1" x14ac:dyDescent="0.3">
      <c r="A4435" s="18" t="s">
        <v>8414</v>
      </c>
      <c r="B4435" s="19" t="s">
        <v>15</v>
      </c>
      <c r="C4435" s="18" t="s">
        <v>918</v>
      </c>
      <c r="D4435" s="18" t="s">
        <v>116</v>
      </c>
      <c r="E4435" s="18" t="s">
        <v>55</v>
      </c>
      <c r="F4435" s="18" t="s">
        <v>8682</v>
      </c>
      <c r="G4435" s="18" t="s">
        <v>197</v>
      </c>
      <c r="H4435" s="18" t="s">
        <v>8420</v>
      </c>
      <c r="I4435" s="20" t="s">
        <v>8683</v>
      </c>
      <c r="J4435" s="18" t="s">
        <v>58</v>
      </c>
      <c r="K4435" s="18" t="s">
        <v>24</v>
      </c>
      <c r="L4435" s="18" t="s">
        <v>25</v>
      </c>
      <c r="N4435" s="18" t="s">
        <v>807</v>
      </c>
    </row>
    <row r="4436" spans="1:14" ht="15" customHeight="1" x14ac:dyDescent="0.3">
      <c r="A4436" s="18" t="s">
        <v>8414</v>
      </c>
      <c r="B4436" s="19" t="s">
        <v>15</v>
      </c>
      <c r="C4436" s="18" t="s">
        <v>918</v>
      </c>
      <c r="D4436" s="18" t="s">
        <v>116</v>
      </c>
      <c r="E4436" s="18" t="s">
        <v>55</v>
      </c>
      <c r="F4436" s="18" t="s">
        <v>1492</v>
      </c>
      <c r="G4436" s="18" t="s">
        <v>47</v>
      </c>
      <c r="H4436" s="18" t="s">
        <v>8423</v>
      </c>
      <c r="I4436" s="20" t="s">
        <v>8684</v>
      </c>
      <c r="J4436" s="18" t="s">
        <v>58</v>
      </c>
      <c r="K4436" s="18" t="s">
        <v>24</v>
      </c>
      <c r="L4436" s="18" t="s">
        <v>25</v>
      </c>
      <c r="N4436" s="18" t="s">
        <v>807</v>
      </c>
    </row>
    <row r="4437" spans="1:14" ht="15" customHeight="1" x14ac:dyDescent="0.3">
      <c r="A4437" s="18" t="s">
        <v>8414</v>
      </c>
      <c r="B4437" s="19" t="s">
        <v>15</v>
      </c>
      <c r="C4437" s="18" t="s">
        <v>918</v>
      </c>
      <c r="D4437" s="18" t="s">
        <v>116</v>
      </c>
      <c r="E4437" s="18" t="s">
        <v>55</v>
      </c>
      <c r="F4437" s="18" t="s">
        <v>8196</v>
      </c>
      <c r="G4437" s="18" t="s">
        <v>47</v>
      </c>
      <c r="H4437" s="18" t="s">
        <v>7575</v>
      </c>
      <c r="I4437" s="20" t="s">
        <v>8685</v>
      </c>
      <c r="J4437" s="18" t="s">
        <v>58</v>
      </c>
      <c r="K4437" s="18" t="s">
        <v>24</v>
      </c>
      <c r="L4437" s="18" t="s">
        <v>25</v>
      </c>
      <c r="N4437" s="18" t="s">
        <v>807</v>
      </c>
    </row>
    <row r="4438" spans="1:14" ht="15" customHeight="1" x14ac:dyDescent="0.3">
      <c r="A4438" s="18" t="s">
        <v>8414</v>
      </c>
      <c r="B4438" s="19" t="s">
        <v>15</v>
      </c>
      <c r="C4438" s="18" t="s">
        <v>918</v>
      </c>
      <c r="D4438" s="18" t="s">
        <v>116</v>
      </c>
      <c r="E4438" s="18" t="s">
        <v>55</v>
      </c>
      <c r="F4438" s="18" t="s">
        <v>8686</v>
      </c>
      <c r="G4438" s="18" t="s">
        <v>263</v>
      </c>
      <c r="H4438" s="18" t="s">
        <v>7602</v>
      </c>
      <c r="I4438" s="20" t="s">
        <v>8687</v>
      </c>
      <c r="J4438" s="18" t="s">
        <v>58</v>
      </c>
      <c r="K4438" s="18" t="s">
        <v>24</v>
      </c>
      <c r="L4438" s="18" t="s">
        <v>25</v>
      </c>
      <c r="N4438" s="18" t="s">
        <v>807</v>
      </c>
    </row>
    <row r="4439" spans="1:14" ht="15" customHeight="1" x14ac:dyDescent="0.3">
      <c r="A4439" s="18" t="s">
        <v>8414</v>
      </c>
      <c r="B4439" s="19" t="s">
        <v>15</v>
      </c>
      <c r="C4439" s="18" t="s">
        <v>918</v>
      </c>
      <c r="D4439" s="18" t="s">
        <v>116</v>
      </c>
      <c r="E4439" s="18" t="s">
        <v>55</v>
      </c>
      <c r="F4439" s="18" t="s">
        <v>8688</v>
      </c>
      <c r="G4439" s="18" t="s">
        <v>340</v>
      </c>
      <c r="H4439" s="18" t="s">
        <v>8434</v>
      </c>
      <c r="I4439" s="20" t="s">
        <v>8689</v>
      </c>
      <c r="J4439" s="18" t="s">
        <v>58</v>
      </c>
      <c r="K4439" s="18" t="s">
        <v>24</v>
      </c>
      <c r="L4439" s="18" t="s">
        <v>25</v>
      </c>
      <c r="N4439" s="18" t="s">
        <v>807</v>
      </c>
    </row>
    <row r="4440" spans="1:14" ht="15" customHeight="1" x14ac:dyDescent="0.3">
      <c r="A4440" s="18" t="s">
        <v>8414</v>
      </c>
      <c r="B4440" s="19" t="s">
        <v>15</v>
      </c>
      <c r="C4440" s="18" t="s">
        <v>918</v>
      </c>
      <c r="D4440" s="18" t="s">
        <v>116</v>
      </c>
      <c r="E4440" s="18" t="s">
        <v>55</v>
      </c>
      <c r="F4440" s="18" t="s">
        <v>7855</v>
      </c>
      <c r="G4440" s="18" t="s">
        <v>606</v>
      </c>
      <c r="H4440" s="18" t="s">
        <v>8559</v>
      </c>
      <c r="I4440" s="20" t="s">
        <v>8690</v>
      </c>
      <c r="J4440" s="18" t="s">
        <v>58</v>
      </c>
      <c r="K4440" s="18" t="s">
        <v>24</v>
      </c>
      <c r="L4440" s="18" t="s">
        <v>25</v>
      </c>
      <c r="N4440" s="18" t="s">
        <v>807</v>
      </c>
    </row>
    <row r="4441" spans="1:14" ht="15" customHeight="1" x14ac:dyDescent="0.3">
      <c r="A4441" s="18" t="s">
        <v>8414</v>
      </c>
      <c r="B4441" s="19" t="s">
        <v>15</v>
      </c>
      <c r="C4441" s="18" t="s">
        <v>918</v>
      </c>
      <c r="D4441" s="18" t="s">
        <v>116</v>
      </c>
      <c r="E4441" s="18" t="s">
        <v>55</v>
      </c>
      <c r="F4441" s="18" t="s">
        <v>1130</v>
      </c>
      <c r="G4441" s="18" t="s">
        <v>1130</v>
      </c>
      <c r="H4441" s="18" t="s">
        <v>8420</v>
      </c>
      <c r="I4441" s="20" t="s">
        <v>8691</v>
      </c>
      <c r="J4441" s="18" t="s">
        <v>58</v>
      </c>
      <c r="K4441" s="18" t="s">
        <v>24</v>
      </c>
      <c r="L4441" s="18" t="s">
        <v>25</v>
      </c>
      <c r="N4441" s="18" t="s">
        <v>807</v>
      </c>
    </row>
    <row r="4442" spans="1:14" ht="15" customHeight="1" x14ac:dyDescent="0.3">
      <c r="A4442" s="18" t="s">
        <v>8414</v>
      </c>
      <c r="B4442" s="19" t="s">
        <v>15</v>
      </c>
      <c r="C4442" s="18" t="s">
        <v>918</v>
      </c>
      <c r="D4442" s="18" t="s">
        <v>116</v>
      </c>
      <c r="E4442" s="18" t="s">
        <v>55</v>
      </c>
      <c r="F4442" s="18" t="s">
        <v>8692</v>
      </c>
      <c r="G4442" s="18" t="s">
        <v>312</v>
      </c>
      <c r="H4442" s="18" t="s">
        <v>8420</v>
      </c>
      <c r="I4442" s="20" t="s">
        <v>8693</v>
      </c>
      <c r="J4442" s="18" t="s">
        <v>58</v>
      </c>
      <c r="K4442" s="18" t="s">
        <v>24</v>
      </c>
      <c r="L4442" s="18" t="s">
        <v>25</v>
      </c>
      <c r="N4442" s="18" t="s">
        <v>807</v>
      </c>
    </row>
    <row r="4443" spans="1:14" ht="15" customHeight="1" x14ac:dyDescent="0.3">
      <c r="A4443" s="18" t="s">
        <v>8414</v>
      </c>
      <c r="B4443" s="19" t="s">
        <v>15</v>
      </c>
      <c r="C4443" s="18" t="s">
        <v>918</v>
      </c>
      <c r="D4443" s="18" t="s">
        <v>116</v>
      </c>
      <c r="E4443" s="18" t="s">
        <v>55</v>
      </c>
      <c r="F4443" s="18" t="s">
        <v>8694</v>
      </c>
      <c r="G4443" s="18" t="s">
        <v>298</v>
      </c>
      <c r="H4443" s="18" t="s">
        <v>8420</v>
      </c>
      <c r="I4443" s="20" t="s">
        <v>8695</v>
      </c>
      <c r="J4443" s="18" t="s">
        <v>58</v>
      </c>
      <c r="K4443" s="18" t="s">
        <v>24</v>
      </c>
      <c r="L4443" s="18" t="s">
        <v>25</v>
      </c>
      <c r="N4443" s="18" t="s">
        <v>807</v>
      </c>
    </row>
    <row r="4444" spans="1:14" ht="15" customHeight="1" x14ac:dyDescent="0.3">
      <c r="A4444" s="18" t="s">
        <v>8414</v>
      </c>
      <c r="B4444" s="19" t="s">
        <v>15</v>
      </c>
      <c r="C4444" s="18" t="s">
        <v>918</v>
      </c>
      <c r="D4444" s="18" t="s">
        <v>116</v>
      </c>
      <c r="E4444" s="18" t="s">
        <v>55</v>
      </c>
      <c r="F4444" s="18" t="s">
        <v>1832</v>
      </c>
      <c r="G4444" s="18" t="s">
        <v>219</v>
      </c>
      <c r="H4444" s="18" t="s">
        <v>7602</v>
      </c>
      <c r="I4444" s="20" t="s">
        <v>8696</v>
      </c>
      <c r="J4444" s="18" t="s">
        <v>58</v>
      </c>
      <c r="K4444" s="18" t="s">
        <v>24</v>
      </c>
      <c r="L4444" s="18" t="s">
        <v>25</v>
      </c>
      <c r="N4444" s="18" t="s">
        <v>807</v>
      </c>
    </row>
    <row r="4445" spans="1:14" ht="15" customHeight="1" x14ac:dyDescent="0.3">
      <c r="A4445" s="18" t="s">
        <v>8414</v>
      </c>
      <c r="B4445" s="19" t="s">
        <v>15</v>
      </c>
      <c r="C4445" s="18" t="s">
        <v>918</v>
      </c>
      <c r="D4445" s="18" t="s">
        <v>116</v>
      </c>
      <c r="E4445" s="18" t="s">
        <v>55</v>
      </c>
      <c r="F4445" s="18" t="s">
        <v>1095</v>
      </c>
      <c r="G4445" s="18" t="s">
        <v>1095</v>
      </c>
      <c r="H4445" s="18" t="s">
        <v>7575</v>
      </c>
      <c r="I4445" s="20" t="s">
        <v>8697</v>
      </c>
      <c r="J4445" s="18" t="s">
        <v>58</v>
      </c>
      <c r="K4445" s="18" t="s">
        <v>24</v>
      </c>
      <c r="L4445" s="18" t="s">
        <v>25</v>
      </c>
      <c r="N4445" s="18" t="s">
        <v>807</v>
      </c>
    </row>
    <row r="4446" spans="1:14" ht="15" customHeight="1" x14ac:dyDescent="0.3">
      <c r="A4446" s="18" t="s">
        <v>8414</v>
      </c>
      <c r="B4446" s="19" t="s">
        <v>15</v>
      </c>
      <c r="C4446" s="18" t="s">
        <v>918</v>
      </c>
      <c r="D4446" s="18" t="s">
        <v>116</v>
      </c>
      <c r="E4446" s="18" t="s">
        <v>55</v>
      </c>
      <c r="F4446" s="18" t="s">
        <v>8698</v>
      </c>
      <c r="G4446" s="18" t="s">
        <v>212</v>
      </c>
      <c r="H4446" s="18" t="s">
        <v>7575</v>
      </c>
      <c r="I4446" s="20" t="s">
        <v>8699</v>
      </c>
      <c r="J4446" s="18" t="s">
        <v>73</v>
      </c>
      <c r="K4446" s="18" t="s">
        <v>24</v>
      </c>
      <c r="L4446" s="18" t="s">
        <v>25</v>
      </c>
      <c r="M4446" s="18" t="s">
        <v>39</v>
      </c>
      <c r="N4446" s="18" t="s">
        <v>807</v>
      </c>
    </row>
    <row r="4447" spans="1:14" ht="15" customHeight="1" x14ac:dyDescent="0.3">
      <c r="A4447" s="18" t="s">
        <v>8414</v>
      </c>
      <c r="B4447" s="19" t="s">
        <v>15</v>
      </c>
      <c r="C4447" s="18" t="s">
        <v>918</v>
      </c>
      <c r="D4447" s="18" t="s">
        <v>116</v>
      </c>
      <c r="E4447" s="18" t="s">
        <v>55</v>
      </c>
      <c r="F4447" s="18" t="s">
        <v>8700</v>
      </c>
      <c r="G4447" s="18" t="s">
        <v>80</v>
      </c>
      <c r="H4447" s="18" t="s">
        <v>8429</v>
      </c>
      <c r="I4447" s="20" t="s">
        <v>8701</v>
      </c>
      <c r="J4447" s="18" t="s">
        <v>58</v>
      </c>
      <c r="K4447" s="18" t="s">
        <v>24</v>
      </c>
      <c r="L4447" s="18" t="s">
        <v>25</v>
      </c>
      <c r="N4447" s="18" t="s">
        <v>807</v>
      </c>
    </row>
    <row r="4448" spans="1:14" ht="15" customHeight="1" x14ac:dyDescent="0.3">
      <c r="A4448" s="18" t="s">
        <v>8414</v>
      </c>
      <c r="B4448" s="19" t="s">
        <v>15</v>
      </c>
      <c r="C4448" s="18" t="s">
        <v>918</v>
      </c>
      <c r="D4448" s="18" t="s">
        <v>116</v>
      </c>
      <c r="E4448" s="18" t="s">
        <v>55</v>
      </c>
      <c r="F4448" s="18" t="s">
        <v>8702</v>
      </c>
      <c r="G4448" s="18" t="s">
        <v>920</v>
      </c>
      <c r="H4448" s="18" t="s">
        <v>8543</v>
      </c>
      <c r="I4448" s="20" t="s">
        <v>8703</v>
      </c>
      <c r="J4448" s="18" t="s">
        <v>58</v>
      </c>
      <c r="K4448" s="18" t="s">
        <v>293</v>
      </c>
      <c r="L4448" s="18" t="s">
        <v>25</v>
      </c>
      <c r="N4448" s="18" t="s">
        <v>807</v>
      </c>
    </row>
    <row r="4449" spans="1:14" ht="15" customHeight="1" x14ac:dyDescent="0.3">
      <c r="A4449" s="18" t="s">
        <v>8414</v>
      </c>
      <c r="B4449" s="19" t="s">
        <v>15</v>
      </c>
      <c r="C4449" s="18" t="s">
        <v>918</v>
      </c>
      <c r="D4449" s="18" t="s">
        <v>116</v>
      </c>
      <c r="E4449" s="18" t="s">
        <v>55</v>
      </c>
      <c r="F4449" s="18" t="s">
        <v>8704</v>
      </c>
      <c r="G4449" s="18" t="s">
        <v>423</v>
      </c>
      <c r="H4449" s="18" t="s">
        <v>8559</v>
      </c>
      <c r="I4449" s="20" t="s">
        <v>8705</v>
      </c>
      <c r="J4449" s="18" t="s">
        <v>58</v>
      </c>
      <c r="K4449" s="18" t="s">
        <v>24</v>
      </c>
      <c r="L4449" s="18" t="s">
        <v>25</v>
      </c>
      <c r="N4449" s="18" t="s">
        <v>807</v>
      </c>
    </row>
    <row r="4450" spans="1:14" ht="15" customHeight="1" x14ac:dyDescent="0.3">
      <c r="A4450" s="18" t="s">
        <v>8414</v>
      </c>
      <c r="B4450" s="19" t="s">
        <v>15</v>
      </c>
      <c r="C4450" s="18" t="s">
        <v>918</v>
      </c>
      <c r="D4450" s="18" t="s">
        <v>116</v>
      </c>
      <c r="E4450" s="18" t="s">
        <v>55</v>
      </c>
      <c r="F4450" s="18" t="s">
        <v>8706</v>
      </c>
      <c r="G4450" s="18" t="s">
        <v>423</v>
      </c>
      <c r="H4450" s="18" t="s">
        <v>8559</v>
      </c>
      <c r="I4450" s="20" t="s">
        <v>8707</v>
      </c>
      <c r="J4450" s="18" t="s">
        <v>58</v>
      </c>
      <c r="K4450" s="18" t="s">
        <v>24</v>
      </c>
      <c r="L4450" s="18" t="s">
        <v>25</v>
      </c>
      <c r="N4450" s="18" t="s">
        <v>807</v>
      </c>
    </row>
    <row r="4451" spans="1:14" ht="15" customHeight="1" x14ac:dyDescent="0.3">
      <c r="A4451" s="18" t="s">
        <v>8414</v>
      </c>
      <c r="B4451" s="19" t="s">
        <v>15</v>
      </c>
      <c r="C4451" s="18" t="s">
        <v>918</v>
      </c>
      <c r="D4451" s="18" t="s">
        <v>116</v>
      </c>
      <c r="E4451" s="18" t="s">
        <v>55</v>
      </c>
      <c r="F4451" s="18" t="s">
        <v>8708</v>
      </c>
      <c r="G4451" s="18" t="s">
        <v>606</v>
      </c>
      <c r="H4451" s="18" t="s">
        <v>7575</v>
      </c>
      <c r="I4451" s="20" t="s">
        <v>8709</v>
      </c>
      <c r="J4451" s="18" t="s">
        <v>58</v>
      </c>
      <c r="K4451" s="18" t="s">
        <v>24</v>
      </c>
      <c r="L4451" s="18" t="s">
        <v>25</v>
      </c>
      <c r="N4451" s="18" t="s">
        <v>807</v>
      </c>
    </row>
    <row r="4452" spans="1:14" ht="15" customHeight="1" x14ac:dyDescent="0.3">
      <c r="A4452" s="18" t="s">
        <v>8414</v>
      </c>
      <c r="B4452" s="19" t="s">
        <v>15</v>
      </c>
      <c r="C4452" s="18" t="s">
        <v>918</v>
      </c>
      <c r="D4452" s="18" t="s">
        <v>116</v>
      </c>
      <c r="E4452" s="18" t="s">
        <v>55</v>
      </c>
      <c r="F4452" s="18" t="s">
        <v>8710</v>
      </c>
      <c r="G4452" s="18" t="s">
        <v>1095</v>
      </c>
      <c r="H4452" s="18" t="s">
        <v>7575</v>
      </c>
      <c r="I4452" s="20" t="s">
        <v>8711</v>
      </c>
      <c r="J4452" s="18" t="s">
        <v>73</v>
      </c>
      <c r="K4452" s="18" t="s">
        <v>24</v>
      </c>
      <c r="L4452" s="18" t="s">
        <v>25</v>
      </c>
      <c r="N4452" s="18" t="s">
        <v>807</v>
      </c>
    </row>
    <row r="4453" spans="1:14" ht="15" customHeight="1" x14ac:dyDescent="0.3">
      <c r="A4453" s="18" t="s">
        <v>8414</v>
      </c>
      <c r="B4453" s="19" t="s">
        <v>15</v>
      </c>
      <c r="C4453" s="18" t="s">
        <v>918</v>
      </c>
      <c r="D4453" s="18" t="s">
        <v>116</v>
      </c>
      <c r="E4453" s="18" t="s">
        <v>55</v>
      </c>
      <c r="F4453" s="18" t="s">
        <v>8712</v>
      </c>
      <c r="G4453" s="18" t="s">
        <v>606</v>
      </c>
      <c r="H4453" s="18" t="s">
        <v>8559</v>
      </c>
      <c r="I4453" s="20" t="s">
        <v>8713</v>
      </c>
      <c r="J4453" s="18" t="s">
        <v>58</v>
      </c>
      <c r="K4453" s="18" t="s">
        <v>24</v>
      </c>
      <c r="L4453" s="18" t="s">
        <v>25</v>
      </c>
      <c r="N4453" s="18" t="s">
        <v>807</v>
      </c>
    </row>
    <row r="4454" spans="1:14" ht="15" customHeight="1" x14ac:dyDescent="0.3">
      <c r="A4454" s="18" t="s">
        <v>8414</v>
      </c>
      <c r="B4454" s="19" t="s">
        <v>15</v>
      </c>
      <c r="C4454" s="18" t="s">
        <v>918</v>
      </c>
      <c r="D4454" s="18" t="s">
        <v>116</v>
      </c>
      <c r="E4454" s="18" t="s">
        <v>55</v>
      </c>
      <c r="F4454" s="18" t="s">
        <v>8714</v>
      </c>
      <c r="G4454" s="18" t="s">
        <v>340</v>
      </c>
      <c r="H4454" s="18" t="s">
        <v>8434</v>
      </c>
      <c r="I4454" s="20" t="s">
        <v>8715</v>
      </c>
      <c r="J4454" s="18" t="s">
        <v>58</v>
      </c>
      <c r="K4454" s="18" t="s">
        <v>24</v>
      </c>
      <c r="L4454" s="18" t="s">
        <v>25</v>
      </c>
      <c r="M4454" s="18" t="s">
        <v>39</v>
      </c>
      <c r="N4454" s="18" t="s">
        <v>807</v>
      </c>
    </row>
    <row r="4455" spans="1:14" ht="15" customHeight="1" x14ac:dyDescent="0.3">
      <c r="A4455" s="18" t="s">
        <v>8414</v>
      </c>
      <c r="B4455" s="19" t="s">
        <v>15</v>
      </c>
      <c r="C4455" s="18" t="s">
        <v>918</v>
      </c>
      <c r="D4455" s="18" t="s">
        <v>116</v>
      </c>
      <c r="E4455" s="18" t="s">
        <v>55</v>
      </c>
      <c r="F4455" s="18" t="s">
        <v>8716</v>
      </c>
      <c r="G4455" s="18" t="s">
        <v>340</v>
      </c>
      <c r="H4455" s="18" t="s">
        <v>8434</v>
      </c>
      <c r="I4455" s="20" t="s">
        <v>8717</v>
      </c>
      <c r="J4455" s="18" t="s">
        <v>58</v>
      </c>
      <c r="K4455" s="18" t="s">
        <v>24</v>
      </c>
      <c r="L4455" s="18" t="s">
        <v>25</v>
      </c>
      <c r="N4455" s="18" t="s">
        <v>807</v>
      </c>
    </row>
    <row r="4456" spans="1:14" ht="15" customHeight="1" x14ac:dyDescent="0.3">
      <c r="A4456" s="18" t="s">
        <v>8414</v>
      </c>
      <c r="B4456" s="19" t="s">
        <v>15</v>
      </c>
      <c r="C4456" s="18" t="s">
        <v>918</v>
      </c>
      <c r="D4456" s="18" t="s">
        <v>116</v>
      </c>
      <c r="E4456" s="18" t="s">
        <v>55</v>
      </c>
      <c r="F4456" s="18" t="s">
        <v>8718</v>
      </c>
      <c r="G4456" s="18" t="s">
        <v>667</v>
      </c>
      <c r="H4456" s="18" t="s">
        <v>8559</v>
      </c>
      <c r="I4456" s="20" t="s">
        <v>8719</v>
      </c>
      <c r="J4456" s="18" t="s">
        <v>199</v>
      </c>
      <c r="K4456" s="18" t="s">
        <v>24</v>
      </c>
      <c r="L4456" s="18" t="s">
        <v>25</v>
      </c>
      <c r="N4456" s="18" t="s">
        <v>807</v>
      </c>
    </row>
    <row r="4457" spans="1:14" ht="15" customHeight="1" x14ac:dyDescent="0.3">
      <c r="A4457" s="18" t="s">
        <v>8414</v>
      </c>
      <c r="B4457" s="19" t="s">
        <v>15</v>
      </c>
      <c r="C4457" s="18" t="s">
        <v>918</v>
      </c>
      <c r="D4457" s="18" t="s">
        <v>116</v>
      </c>
      <c r="E4457" s="18" t="s">
        <v>55</v>
      </c>
      <c r="F4457" s="18" t="s">
        <v>8720</v>
      </c>
      <c r="G4457" s="18" t="s">
        <v>423</v>
      </c>
      <c r="H4457" s="18" t="s">
        <v>8559</v>
      </c>
      <c r="I4457" s="20" t="s">
        <v>8721</v>
      </c>
      <c r="J4457" s="18" t="s">
        <v>58</v>
      </c>
      <c r="K4457" s="18" t="s">
        <v>24</v>
      </c>
      <c r="L4457" s="18" t="s">
        <v>25</v>
      </c>
      <c r="N4457" s="18" t="s">
        <v>807</v>
      </c>
    </row>
    <row r="4458" spans="1:14" ht="15" customHeight="1" x14ac:dyDescent="0.3">
      <c r="A4458" s="18" t="s">
        <v>8414</v>
      </c>
      <c r="B4458" s="19" t="s">
        <v>15</v>
      </c>
      <c r="C4458" s="18" t="s">
        <v>918</v>
      </c>
      <c r="D4458" s="18" t="s">
        <v>116</v>
      </c>
      <c r="E4458" s="18" t="s">
        <v>55</v>
      </c>
      <c r="F4458" s="18" t="s">
        <v>8722</v>
      </c>
      <c r="G4458" s="18" t="s">
        <v>197</v>
      </c>
      <c r="H4458" s="18" t="s">
        <v>8420</v>
      </c>
      <c r="I4458" s="20" t="s">
        <v>8723</v>
      </c>
      <c r="J4458" s="18" t="s">
        <v>58</v>
      </c>
      <c r="K4458" s="18" t="s">
        <v>24</v>
      </c>
      <c r="L4458" s="18" t="s">
        <v>25</v>
      </c>
      <c r="N4458" s="18" t="s">
        <v>807</v>
      </c>
    </row>
    <row r="4459" spans="1:14" ht="15" customHeight="1" x14ac:dyDescent="0.3">
      <c r="A4459" s="18" t="s">
        <v>8414</v>
      </c>
      <c r="B4459" s="19" t="s">
        <v>15</v>
      </c>
      <c r="C4459" s="18" t="s">
        <v>918</v>
      </c>
      <c r="D4459" s="18" t="s">
        <v>116</v>
      </c>
      <c r="E4459" s="18" t="s">
        <v>55</v>
      </c>
      <c r="F4459" s="18" t="s">
        <v>8724</v>
      </c>
      <c r="G4459" s="18" t="s">
        <v>197</v>
      </c>
      <c r="H4459" s="18" t="s">
        <v>7575</v>
      </c>
      <c r="I4459" s="20" t="s">
        <v>8725</v>
      </c>
      <c r="J4459" s="18" t="s">
        <v>58</v>
      </c>
      <c r="K4459" s="18" t="s">
        <v>24</v>
      </c>
      <c r="L4459" s="18" t="s">
        <v>25</v>
      </c>
      <c r="M4459" s="18" t="s">
        <v>39</v>
      </c>
      <c r="N4459" s="18" t="s">
        <v>807</v>
      </c>
    </row>
    <row r="4460" spans="1:14" ht="15" customHeight="1" x14ac:dyDescent="0.3">
      <c r="A4460" s="18" t="s">
        <v>8414</v>
      </c>
      <c r="B4460" s="19" t="s">
        <v>15</v>
      </c>
      <c r="C4460" s="18" t="s">
        <v>918</v>
      </c>
      <c r="D4460" s="18" t="s">
        <v>116</v>
      </c>
      <c r="E4460" s="18" t="s">
        <v>55</v>
      </c>
      <c r="F4460" s="18" t="s">
        <v>8726</v>
      </c>
      <c r="G4460" s="18" t="s">
        <v>8727</v>
      </c>
      <c r="H4460" s="18" t="s">
        <v>7575</v>
      </c>
      <c r="I4460" s="20" t="s">
        <v>8728</v>
      </c>
      <c r="J4460" s="18" t="s">
        <v>199</v>
      </c>
      <c r="K4460" s="18" t="s">
        <v>24</v>
      </c>
      <c r="L4460" s="18" t="s">
        <v>25</v>
      </c>
      <c r="N4460" s="18" t="s">
        <v>807</v>
      </c>
    </row>
    <row r="4461" spans="1:14" ht="15" customHeight="1" x14ac:dyDescent="0.3">
      <c r="A4461" s="18" t="s">
        <v>8414</v>
      </c>
      <c r="B4461" s="19" t="s">
        <v>15</v>
      </c>
      <c r="C4461" s="18" t="s">
        <v>918</v>
      </c>
      <c r="D4461" s="18" t="s">
        <v>116</v>
      </c>
      <c r="E4461" s="18" t="s">
        <v>55</v>
      </c>
      <c r="F4461" s="18" t="s">
        <v>8729</v>
      </c>
      <c r="G4461" s="18" t="s">
        <v>41</v>
      </c>
      <c r="H4461" s="18" t="s">
        <v>8420</v>
      </c>
      <c r="I4461" s="20" t="s">
        <v>8730</v>
      </c>
      <c r="J4461" s="18" t="s">
        <v>58</v>
      </c>
      <c r="K4461" s="18" t="s">
        <v>24</v>
      </c>
      <c r="L4461" s="18" t="s">
        <v>25</v>
      </c>
      <c r="N4461" s="18" t="s">
        <v>807</v>
      </c>
    </row>
    <row r="4462" spans="1:14" ht="15" customHeight="1" x14ac:dyDescent="0.3">
      <c r="A4462" s="18" t="s">
        <v>8414</v>
      </c>
      <c r="B4462" s="19" t="s">
        <v>15</v>
      </c>
      <c r="C4462" s="18" t="s">
        <v>918</v>
      </c>
      <c r="D4462" s="18" t="s">
        <v>116</v>
      </c>
      <c r="E4462" s="18" t="s">
        <v>55</v>
      </c>
      <c r="F4462" s="18" t="s">
        <v>8731</v>
      </c>
      <c r="G4462" s="18" t="s">
        <v>7907</v>
      </c>
      <c r="H4462" s="18" t="s">
        <v>8420</v>
      </c>
      <c r="I4462" s="20" t="s">
        <v>8732</v>
      </c>
      <c r="J4462" s="18" t="s">
        <v>58</v>
      </c>
      <c r="K4462" s="18" t="s">
        <v>24</v>
      </c>
      <c r="L4462" s="18" t="s">
        <v>25</v>
      </c>
      <c r="N4462" s="18" t="s">
        <v>807</v>
      </c>
    </row>
    <row r="4463" spans="1:14" ht="15" customHeight="1" x14ac:dyDescent="0.3">
      <c r="A4463" s="18" t="s">
        <v>8414</v>
      </c>
      <c r="B4463" s="19" t="s">
        <v>15</v>
      </c>
      <c r="C4463" s="18" t="s">
        <v>918</v>
      </c>
      <c r="D4463" s="18" t="s">
        <v>116</v>
      </c>
      <c r="E4463" s="18" t="s">
        <v>55</v>
      </c>
      <c r="F4463" s="18" t="s">
        <v>1537</v>
      </c>
      <c r="G4463" s="18" t="s">
        <v>340</v>
      </c>
      <c r="H4463" s="18" t="s">
        <v>8733</v>
      </c>
      <c r="I4463" s="20" t="s">
        <v>8734</v>
      </c>
      <c r="J4463" s="18" t="s">
        <v>58</v>
      </c>
      <c r="K4463" s="18" t="s">
        <v>24</v>
      </c>
      <c r="L4463" s="18" t="s">
        <v>25</v>
      </c>
      <c r="N4463" s="18" t="s">
        <v>807</v>
      </c>
    </row>
    <row r="4464" spans="1:14" ht="15" customHeight="1" x14ac:dyDescent="0.3">
      <c r="A4464" s="18" t="s">
        <v>8414</v>
      </c>
      <c r="B4464" s="19" t="s">
        <v>15</v>
      </c>
      <c r="C4464" s="18" t="s">
        <v>918</v>
      </c>
      <c r="D4464" s="18" t="s">
        <v>116</v>
      </c>
      <c r="E4464" s="18" t="s">
        <v>55</v>
      </c>
      <c r="F4464" s="18" t="s">
        <v>8735</v>
      </c>
      <c r="G4464" s="18" t="s">
        <v>340</v>
      </c>
      <c r="H4464" s="18" t="s">
        <v>8434</v>
      </c>
      <c r="I4464" s="20" t="s">
        <v>8736</v>
      </c>
      <c r="J4464" s="18" t="s">
        <v>58</v>
      </c>
      <c r="K4464" s="18" t="s">
        <v>24</v>
      </c>
      <c r="L4464" s="18" t="s">
        <v>25</v>
      </c>
      <c r="N4464" s="18" t="s">
        <v>807</v>
      </c>
    </row>
    <row r="4465" spans="1:14" ht="15" customHeight="1" x14ac:dyDescent="0.3">
      <c r="A4465" s="18" t="s">
        <v>8414</v>
      </c>
      <c r="B4465" s="19" t="s">
        <v>15</v>
      </c>
      <c r="C4465" s="18" t="s">
        <v>918</v>
      </c>
      <c r="D4465" s="18" t="s">
        <v>116</v>
      </c>
      <c r="E4465" s="18" t="s">
        <v>55</v>
      </c>
      <c r="F4465" s="18" t="s">
        <v>8737</v>
      </c>
      <c r="G4465" s="18" t="s">
        <v>340</v>
      </c>
      <c r="H4465" s="18" t="s">
        <v>8434</v>
      </c>
      <c r="I4465" s="20" t="s">
        <v>8738</v>
      </c>
      <c r="J4465" s="18" t="s">
        <v>58</v>
      </c>
      <c r="K4465" s="18" t="s">
        <v>24</v>
      </c>
      <c r="L4465" s="18" t="s">
        <v>25</v>
      </c>
      <c r="N4465" s="18" t="s">
        <v>807</v>
      </c>
    </row>
    <row r="4466" spans="1:14" ht="15" customHeight="1" x14ac:dyDescent="0.3">
      <c r="A4466" s="18" t="s">
        <v>8414</v>
      </c>
      <c r="B4466" s="19" t="s">
        <v>15</v>
      </c>
      <c r="C4466" s="18" t="s">
        <v>918</v>
      </c>
      <c r="D4466" s="18" t="s">
        <v>116</v>
      </c>
      <c r="E4466" s="18" t="s">
        <v>55</v>
      </c>
      <c r="F4466" s="18" t="s">
        <v>8739</v>
      </c>
      <c r="G4466" s="18" t="s">
        <v>340</v>
      </c>
      <c r="H4466" s="18" t="s">
        <v>8434</v>
      </c>
      <c r="I4466" s="20" t="s">
        <v>8740</v>
      </c>
      <c r="J4466" s="18" t="s">
        <v>58</v>
      </c>
      <c r="K4466" s="18" t="s">
        <v>24</v>
      </c>
      <c r="L4466" s="18" t="s">
        <v>25</v>
      </c>
      <c r="N4466" s="18" t="s">
        <v>807</v>
      </c>
    </row>
    <row r="4467" spans="1:14" ht="15" customHeight="1" x14ac:dyDescent="0.3">
      <c r="A4467" s="18" t="s">
        <v>8414</v>
      </c>
      <c r="B4467" s="19" t="s">
        <v>15</v>
      </c>
      <c r="C4467" s="18" t="s">
        <v>918</v>
      </c>
      <c r="D4467" s="18" t="s">
        <v>116</v>
      </c>
      <c r="E4467" s="18" t="s">
        <v>55</v>
      </c>
      <c r="F4467" s="18" t="s">
        <v>8741</v>
      </c>
      <c r="G4467" s="18" t="s">
        <v>340</v>
      </c>
      <c r="H4467" s="18" t="s">
        <v>8434</v>
      </c>
      <c r="I4467" s="20" t="s">
        <v>8742</v>
      </c>
      <c r="J4467" s="18" t="s">
        <v>58</v>
      </c>
      <c r="K4467" s="18" t="s">
        <v>24</v>
      </c>
      <c r="L4467" s="18" t="s">
        <v>25</v>
      </c>
      <c r="N4467" s="18" t="s">
        <v>807</v>
      </c>
    </row>
    <row r="4468" spans="1:14" ht="15" customHeight="1" x14ac:dyDescent="0.3">
      <c r="A4468" s="18" t="s">
        <v>8414</v>
      </c>
      <c r="B4468" s="19" t="s">
        <v>15</v>
      </c>
      <c r="C4468" s="18" t="s">
        <v>918</v>
      </c>
      <c r="D4468" s="18" t="s">
        <v>116</v>
      </c>
      <c r="E4468" s="18" t="s">
        <v>55</v>
      </c>
      <c r="F4468" s="18" t="s">
        <v>8743</v>
      </c>
      <c r="G4468" s="18" t="s">
        <v>340</v>
      </c>
      <c r="H4468" s="18" t="s">
        <v>8434</v>
      </c>
      <c r="I4468" s="20" t="s">
        <v>8744</v>
      </c>
      <c r="J4468" s="18" t="s">
        <v>58</v>
      </c>
      <c r="K4468" s="18" t="s">
        <v>24</v>
      </c>
      <c r="L4468" s="18" t="s">
        <v>25</v>
      </c>
      <c r="N4468" s="18" t="s">
        <v>807</v>
      </c>
    </row>
    <row r="4469" spans="1:14" ht="15" customHeight="1" x14ac:dyDescent="0.3">
      <c r="A4469" s="18" t="s">
        <v>8414</v>
      </c>
      <c r="B4469" s="19" t="s">
        <v>15</v>
      </c>
      <c r="C4469" s="18" t="s">
        <v>918</v>
      </c>
      <c r="D4469" s="18" t="s">
        <v>116</v>
      </c>
      <c r="E4469" s="18" t="s">
        <v>55</v>
      </c>
      <c r="F4469" s="18" t="s">
        <v>8745</v>
      </c>
      <c r="G4469" s="18" t="s">
        <v>423</v>
      </c>
      <c r="H4469" s="18" t="s">
        <v>8559</v>
      </c>
      <c r="I4469" s="20" t="s">
        <v>8746</v>
      </c>
      <c r="J4469" s="18" t="s">
        <v>58</v>
      </c>
      <c r="K4469" s="18" t="s">
        <v>24</v>
      </c>
      <c r="L4469" s="18" t="s">
        <v>25</v>
      </c>
      <c r="N4469" s="18" t="s">
        <v>807</v>
      </c>
    </row>
    <row r="4470" spans="1:14" ht="15" customHeight="1" x14ac:dyDescent="0.3">
      <c r="A4470" s="18" t="s">
        <v>8414</v>
      </c>
      <c r="B4470" s="19" t="s">
        <v>15</v>
      </c>
      <c r="C4470" s="18" t="s">
        <v>918</v>
      </c>
      <c r="D4470" s="18" t="s">
        <v>116</v>
      </c>
      <c r="E4470" s="18" t="s">
        <v>55</v>
      </c>
      <c r="F4470" s="18" t="s">
        <v>7647</v>
      </c>
      <c r="G4470" s="18" t="s">
        <v>7647</v>
      </c>
      <c r="H4470" s="18" t="s">
        <v>7575</v>
      </c>
      <c r="I4470" s="20" t="s">
        <v>8747</v>
      </c>
      <c r="J4470" s="18" t="s">
        <v>58</v>
      </c>
      <c r="K4470" s="18" t="s">
        <v>24</v>
      </c>
      <c r="L4470" s="18" t="s">
        <v>25</v>
      </c>
      <c r="N4470" s="18" t="s">
        <v>807</v>
      </c>
    </row>
    <row r="4471" spans="1:14" ht="15" customHeight="1" x14ac:dyDescent="0.3">
      <c r="A4471" s="18" t="s">
        <v>8414</v>
      </c>
      <c r="B4471" s="19" t="s">
        <v>15</v>
      </c>
      <c r="C4471" s="18" t="s">
        <v>918</v>
      </c>
      <c r="D4471" s="18" t="s">
        <v>116</v>
      </c>
      <c r="E4471" s="18" t="s">
        <v>55</v>
      </c>
      <c r="F4471" s="18" t="s">
        <v>8748</v>
      </c>
      <c r="G4471" s="18" t="s">
        <v>7647</v>
      </c>
      <c r="H4471" s="18" t="s">
        <v>8429</v>
      </c>
      <c r="I4471" s="20" t="s">
        <v>8749</v>
      </c>
      <c r="J4471" s="18" t="s">
        <v>58</v>
      </c>
      <c r="K4471" s="18" t="s">
        <v>24</v>
      </c>
      <c r="L4471" s="18" t="s">
        <v>25</v>
      </c>
      <c r="N4471" s="18" t="s">
        <v>807</v>
      </c>
    </row>
    <row r="4472" spans="1:14" ht="15" customHeight="1" x14ac:dyDescent="0.3">
      <c r="A4472" s="18" t="s">
        <v>8414</v>
      </c>
      <c r="B4472" s="19" t="s">
        <v>15</v>
      </c>
      <c r="C4472" s="18" t="s">
        <v>918</v>
      </c>
      <c r="D4472" s="18" t="s">
        <v>116</v>
      </c>
      <c r="E4472" s="18" t="s">
        <v>55</v>
      </c>
      <c r="F4472" s="18" t="s">
        <v>8750</v>
      </c>
      <c r="G4472" s="18" t="s">
        <v>7647</v>
      </c>
      <c r="H4472" s="18" t="s">
        <v>7575</v>
      </c>
      <c r="I4472" s="20" t="s">
        <v>8751</v>
      </c>
      <c r="J4472" s="18" t="s">
        <v>58</v>
      </c>
      <c r="K4472" s="18" t="s">
        <v>24</v>
      </c>
      <c r="L4472" s="18" t="s">
        <v>25</v>
      </c>
      <c r="N4472" s="18" t="s">
        <v>807</v>
      </c>
    </row>
    <row r="4473" spans="1:14" ht="15" customHeight="1" x14ac:dyDescent="0.3">
      <c r="A4473" s="18" t="s">
        <v>8414</v>
      </c>
      <c r="B4473" s="19" t="s">
        <v>15</v>
      </c>
      <c r="C4473" s="18" t="s">
        <v>918</v>
      </c>
      <c r="D4473" s="18" t="s">
        <v>116</v>
      </c>
      <c r="E4473" s="18" t="s">
        <v>55</v>
      </c>
      <c r="F4473" s="18" t="s">
        <v>8205</v>
      </c>
      <c r="G4473" s="18" t="s">
        <v>7647</v>
      </c>
      <c r="H4473" s="18" t="s">
        <v>7575</v>
      </c>
      <c r="I4473" s="20" t="s">
        <v>8752</v>
      </c>
      <c r="J4473" s="18" t="s">
        <v>58</v>
      </c>
      <c r="K4473" s="18" t="s">
        <v>24</v>
      </c>
      <c r="L4473" s="18" t="s">
        <v>25</v>
      </c>
      <c r="N4473" s="18" t="s">
        <v>807</v>
      </c>
    </row>
    <row r="4474" spans="1:14" ht="15" customHeight="1" x14ac:dyDescent="0.3">
      <c r="A4474" s="18" t="s">
        <v>8414</v>
      </c>
      <c r="B4474" s="19" t="s">
        <v>15</v>
      </c>
      <c r="C4474" s="18" t="s">
        <v>918</v>
      </c>
      <c r="D4474" s="18" t="s">
        <v>116</v>
      </c>
      <c r="E4474" s="18" t="s">
        <v>55</v>
      </c>
      <c r="F4474" s="18" t="s">
        <v>8753</v>
      </c>
      <c r="G4474" s="18" t="s">
        <v>212</v>
      </c>
      <c r="H4474" s="18" t="s">
        <v>7575</v>
      </c>
      <c r="I4474" s="20" t="s">
        <v>8754</v>
      </c>
      <c r="J4474" s="18" t="s">
        <v>73</v>
      </c>
      <c r="K4474" s="18" t="s">
        <v>24</v>
      </c>
      <c r="L4474" s="18" t="s">
        <v>25</v>
      </c>
      <c r="N4474" s="18" t="s">
        <v>807</v>
      </c>
    </row>
    <row r="4475" spans="1:14" ht="15" customHeight="1" x14ac:dyDescent="0.3">
      <c r="A4475" s="18" t="s">
        <v>8414</v>
      </c>
      <c r="B4475" s="19" t="s">
        <v>15</v>
      </c>
      <c r="C4475" s="18" t="s">
        <v>918</v>
      </c>
      <c r="D4475" s="18" t="s">
        <v>116</v>
      </c>
      <c r="E4475" s="18" t="s">
        <v>55</v>
      </c>
      <c r="F4475" s="18" t="s">
        <v>7083</v>
      </c>
      <c r="G4475" s="18" t="s">
        <v>212</v>
      </c>
      <c r="H4475" s="18" t="s">
        <v>7575</v>
      </c>
      <c r="I4475" s="20" t="s">
        <v>8755</v>
      </c>
      <c r="J4475" s="18" t="s">
        <v>73</v>
      </c>
      <c r="K4475" s="18" t="s">
        <v>24</v>
      </c>
      <c r="L4475" s="18" t="s">
        <v>25</v>
      </c>
      <c r="N4475" s="18" t="s">
        <v>807</v>
      </c>
    </row>
    <row r="4476" spans="1:14" ht="15" customHeight="1" x14ac:dyDescent="0.3">
      <c r="A4476" s="18" t="s">
        <v>8414</v>
      </c>
      <c r="B4476" s="19" t="s">
        <v>15</v>
      </c>
      <c r="C4476" s="18" t="s">
        <v>918</v>
      </c>
      <c r="D4476" s="18" t="s">
        <v>116</v>
      </c>
      <c r="E4476" s="18" t="s">
        <v>55</v>
      </c>
      <c r="F4476" s="18" t="s">
        <v>8756</v>
      </c>
      <c r="G4476" s="18" t="s">
        <v>606</v>
      </c>
      <c r="H4476" s="18" t="s">
        <v>7575</v>
      </c>
      <c r="I4476" s="20" t="s">
        <v>8757</v>
      </c>
      <c r="J4476" s="18" t="s">
        <v>58</v>
      </c>
      <c r="K4476" s="18" t="s">
        <v>24</v>
      </c>
      <c r="L4476" s="18" t="s">
        <v>25</v>
      </c>
      <c r="N4476" s="18" t="s">
        <v>807</v>
      </c>
    </row>
    <row r="4477" spans="1:14" ht="15" customHeight="1" x14ac:dyDescent="0.3">
      <c r="A4477" s="18" t="s">
        <v>8414</v>
      </c>
      <c r="B4477" s="19" t="s">
        <v>15</v>
      </c>
      <c r="C4477" s="18" t="s">
        <v>918</v>
      </c>
      <c r="D4477" s="18" t="s">
        <v>116</v>
      </c>
      <c r="E4477" s="18" t="s">
        <v>55</v>
      </c>
      <c r="F4477" s="18" t="s">
        <v>8758</v>
      </c>
      <c r="G4477" s="18" t="s">
        <v>2248</v>
      </c>
      <c r="H4477" s="18" t="s">
        <v>7575</v>
      </c>
      <c r="I4477" s="20" t="s">
        <v>8759</v>
      </c>
      <c r="J4477" s="18" t="s">
        <v>58</v>
      </c>
      <c r="K4477" s="18" t="s">
        <v>24</v>
      </c>
      <c r="L4477" s="18" t="s">
        <v>25</v>
      </c>
      <c r="M4477" s="18" t="s">
        <v>39</v>
      </c>
      <c r="N4477" s="18" t="s">
        <v>807</v>
      </c>
    </row>
    <row r="4478" spans="1:14" ht="15" customHeight="1" x14ac:dyDescent="0.3">
      <c r="A4478" s="18" t="s">
        <v>8414</v>
      </c>
      <c r="B4478" s="19" t="s">
        <v>15</v>
      </c>
      <c r="C4478" s="18" t="s">
        <v>918</v>
      </c>
      <c r="D4478" s="18" t="s">
        <v>116</v>
      </c>
      <c r="E4478" s="18" t="s">
        <v>55</v>
      </c>
      <c r="F4478" s="18" t="s">
        <v>8760</v>
      </c>
      <c r="G4478" s="18" t="s">
        <v>1059</v>
      </c>
      <c r="H4478" s="18" t="s">
        <v>7602</v>
      </c>
      <c r="I4478" s="20" t="s">
        <v>8761</v>
      </c>
      <c r="J4478" s="18" t="s">
        <v>58</v>
      </c>
      <c r="K4478" s="18" t="s">
        <v>24</v>
      </c>
      <c r="L4478" s="18" t="s">
        <v>25</v>
      </c>
      <c r="N4478" s="18" t="s">
        <v>807</v>
      </c>
    </row>
    <row r="4479" spans="1:14" ht="15" customHeight="1" x14ac:dyDescent="0.3">
      <c r="A4479" s="18" t="s">
        <v>8414</v>
      </c>
      <c r="B4479" s="19" t="s">
        <v>15</v>
      </c>
      <c r="C4479" s="18" t="s">
        <v>918</v>
      </c>
      <c r="D4479" s="18" t="s">
        <v>116</v>
      </c>
      <c r="E4479" s="18" t="s">
        <v>55</v>
      </c>
      <c r="F4479" s="18" t="s">
        <v>8762</v>
      </c>
      <c r="G4479" s="18" t="s">
        <v>1059</v>
      </c>
      <c r="H4479" s="18" t="s">
        <v>7602</v>
      </c>
      <c r="I4479" s="20" t="s">
        <v>8763</v>
      </c>
      <c r="J4479" s="18" t="s">
        <v>58</v>
      </c>
      <c r="K4479" s="18" t="s">
        <v>24</v>
      </c>
      <c r="L4479" s="18" t="s">
        <v>25</v>
      </c>
      <c r="N4479" s="18" t="s">
        <v>807</v>
      </c>
    </row>
    <row r="4480" spans="1:14" ht="15" customHeight="1" x14ac:dyDescent="0.3">
      <c r="A4480" s="18" t="s">
        <v>8414</v>
      </c>
      <c r="B4480" s="19" t="s">
        <v>15</v>
      </c>
      <c r="C4480" s="18" t="s">
        <v>918</v>
      </c>
      <c r="D4480" s="18" t="s">
        <v>116</v>
      </c>
      <c r="E4480" s="18" t="s">
        <v>55</v>
      </c>
      <c r="F4480" s="18" t="s">
        <v>8764</v>
      </c>
      <c r="G4480" s="18" t="s">
        <v>212</v>
      </c>
      <c r="H4480" s="18" t="s">
        <v>7575</v>
      </c>
      <c r="I4480" s="20" t="s">
        <v>8765</v>
      </c>
      <c r="J4480" s="18" t="s">
        <v>58</v>
      </c>
      <c r="K4480" s="18" t="s">
        <v>24</v>
      </c>
      <c r="L4480" s="18" t="s">
        <v>25</v>
      </c>
      <c r="N4480" s="18" t="s">
        <v>807</v>
      </c>
    </row>
    <row r="4481" spans="1:14" ht="15" customHeight="1" x14ac:dyDescent="0.3">
      <c r="A4481" s="18" t="s">
        <v>8414</v>
      </c>
      <c r="B4481" s="19" t="s">
        <v>15</v>
      </c>
      <c r="C4481" s="18" t="s">
        <v>918</v>
      </c>
      <c r="D4481" s="18" t="s">
        <v>116</v>
      </c>
      <c r="E4481" s="18" t="s">
        <v>55</v>
      </c>
      <c r="F4481" s="18" t="s">
        <v>7922</v>
      </c>
      <c r="G4481" s="18" t="s">
        <v>433</v>
      </c>
      <c r="H4481" s="18" t="s">
        <v>8559</v>
      </c>
      <c r="I4481" s="20" t="s">
        <v>8766</v>
      </c>
      <c r="J4481" s="18" t="s">
        <v>58</v>
      </c>
      <c r="K4481" s="18" t="s">
        <v>24</v>
      </c>
      <c r="L4481" s="18" t="s">
        <v>25</v>
      </c>
      <c r="N4481" s="18" t="s">
        <v>807</v>
      </c>
    </row>
    <row r="4482" spans="1:14" ht="15" customHeight="1" x14ac:dyDescent="0.3">
      <c r="A4482" s="18" t="s">
        <v>8414</v>
      </c>
      <c r="B4482" s="19" t="s">
        <v>15</v>
      </c>
      <c r="C4482" s="18" t="s">
        <v>918</v>
      </c>
      <c r="D4482" s="18" t="s">
        <v>116</v>
      </c>
      <c r="E4482" s="18" t="s">
        <v>55</v>
      </c>
      <c r="F4482" s="18" t="s">
        <v>8767</v>
      </c>
      <c r="G4482" s="18" t="s">
        <v>433</v>
      </c>
      <c r="H4482" s="18" t="s">
        <v>8420</v>
      </c>
      <c r="I4482" s="20" t="s">
        <v>8768</v>
      </c>
      <c r="J4482" s="18" t="s">
        <v>58</v>
      </c>
      <c r="K4482" s="18" t="s">
        <v>24</v>
      </c>
      <c r="L4482" s="18" t="s">
        <v>25</v>
      </c>
      <c r="N4482" s="18" t="s">
        <v>807</v>
      </c>
    </row>
    <row r="4483" spans="1:14" ht="15" customHeight="1" x14ac:dyDescent="0.3">
      <c r="A4483" s="18" t="s">
        <v>8414</v>
      </c>
      <c r="B4483" s="19" t="s">
        <v>15</v>
      </c>
      <c r="C4483" s="18" t="s">
        <v>918</v>
      </c>
      <c r="D4483" s="18" t="s">
        <v>116</v>
      </c>
      <c r="E4483" s="18" t="s">
        <v>55</v>
      </c>
      <c r="F4483" s="18" t="s">
        <v>8769</v>
      </c>
      <c r="G4483" s="18" t="s">
        <v>913</v>
      </c>
      <c r="H4483" s="18" t="s">
        <v>8429</v>
      </c>
      <c r="I4483" s="20" t="s">
        <v>8770</v>
      </c>
      <c r="J4483" s="18" t="s">
        <v>58</v>
      </c>
      <c r="K4483" s="18" t="s">
        <v>24</v>
      </c>
      <c r="L4483" s="18" t="s">
        <v>25</v>
      </c>
      <c r="N4483" s="18" t="s">
        <v>807</v>
      </c>
    </row>
    <row r="4484" spans="1:14" ht="15" customHeight="1" x14ac:dyDescent="0.3">
      <c r="A4484" s="18" t="s">
        <v>8414</v>
      </c>
      <c r="B4484" s="19" t="s">
        <v>15</v>
      </c>
      <c r="C4484" s="18" t="s">
        <v>918</v>
      </c>
      <c r="D4484" s="18" t="s">
        <v>116</v>
      </c>
      <c r="E4484" s="18" t="s">
        <v>55</v>
      </c>
      <c r="F4484" s="18" t="s">
        <v>8771</v>
      </c>
      <c r="G4484" s="18" t="s">
        <v>47</v>
      </c>
      <c r="H4484" s="18" t="s">
        <v>7575</v>
      </c>
      <c r="I4484" s="20" t="s">
        <v>8772</v>
      </c>
      <c r="J4484" s="18" t="s">
        <v>58</v>
      </c>
      <c r="K4484" s="18" t="s">
        <v>24</v>
      </c>
      <c r="L4484" s="18" t="s">
        <v>25</v>
      </c>
      <c r="N4484" s="18" t="s">
        <v>807</v>
      </c>
    </row>
    <row r="4485" spans="1:14" ht="15" customHeight="1" x14ac:dyDescent="0.3">
      <c r="A4485" s="18" t="s">
        <v>8414</v>
      </c>
      <c r="B4485" s="19" t="s">
        <v>15</v>
      </c>
      <c r="C4485" s="18" t="s">
        <v>918</v>
      </c>
      <c r="D4485" s="18" t="s">
        <v>116</v>
      </c>
      <c r="E4485" s="18" t="s">
        <v>55</v>
      </c>
      <c r="F4485" s="18" t="s">
        <v>1102</v>
      </c>
      <c r="G4485" s="18" t="s">
        <v>263</v>
      </c>
      <c r="H4485" s="18" t="s">
        <v>8434</v>
      </c>
      <c r="I4485" s="20" t="s">
        <v>8773</v>
      </c>
      <c r="J4485" s="18" t="s">
        <v>58</v>
      </c>
      <c r="K4485" s="18" t="s">
        <v>24</v>
      </c>
      <c r="L4485" s="18" t="s">
        <v>25</v>
      </c>
      <c r="N4485" s="18" t="s">
        <v>807</v>
      </c>
    </row>
    <row r="4486" spans="1:14" ht="15" customHeight="1" x14ac:dyDescent="0.3">
      <c r="A4486" s="18" t="s">
        <v>8414</v>
      </c>
      <c r="B4486" s="19" t="s">
        <v>15</v>
      </c>
      <c r="C4486" s="18" t="s">
        <v>918</v>
      </c>
      <c r="D4486" s="18" t="s">
        <v>116</v>
      </c>
      <c r="E4486" s="18" t="s">
        <v>55</v>
      </c>
      <c r="F4486" s="18" t="s">
        <v>8774</v>
      </c>
      <c r="G4486" s="18" t="s">
        <v>2248</v>
      </c>
      <c r="H4486" s="18" t="s">
        <v>7575</v>
      </c>
      <c r="I4486" s="20" t="s">
        <v>8775</v>
      </c>
      <c r="J4486" s="18" t="s">
        <v>58</v>
      </c>
      <c r="K4486" s="18" t="s">
        <v>24</v>
      </c>
      <c r="L4486" s="18" t="s">
        <v>25</v>
      </c>
      <c r="N4486" s="18" t="s">
        <v>807</v>
      </c>
    </row>
    <row r="4487" spans="1:14" ht="15" customHeight="1" x14ac:dyDescent="0.3">
      <c r="A4487" s="18" t="s">
        <v>8414</v>
      </c>
      <c r="B4487" s="19" t="s">
        <v>15</v>
      </c>
      <c r="C4487" s="18" t="s">
        <v>918</v>
      </c>
      <c r="D4487" s="18" t="s">
        <v>116</v>
      </c>
      <c r="E4487" s="18" t="s">
        <v>55</v>
      </c>
      <c r="F4487" s="18" t="s">
        <v>1104</v>
      </c>
      <c r="G4487" s="18" t="s">
        <v>1055</v>
      </c>
      <c r="H4487" s="18" t="s">
        <v>7602</v>
      </c>
      <c r="I4487" s="20" t="s">
        <v>8776</v>
      </c>
      <c r="J4487" s="18" t="s">
        <v>58</v>
      </c>
      <c r="K4487" s="18" t="s">
        <v>24</v>
      </c>
      <c r="L4487" s="18" t="s">
        <v>25</v>
      </c>
      <c r="N4487" s="18" t="s">
        <v>807</v>
      </c>
    </row>
    <row r="4488" spans="1:14" ht="15" customHeight="1" x14ac:dyDescent="0.3">
      <c r="A4488" s="18" t="s">
        <v>8414</v>
      </c>
      <c r="B4488" s="19" t="s">
        <v>15</v>
      </c>
      <c r="C4488" s="18" t="s">
        <v>918</v>
      </c>
      <c r="D4488" s="18" t="s">
        <v>116</v>
      </c>
      <c r="E4488" s="18" t="s">
        <v>55</v>
      </c>
      <c r="F4488" s="18" t="s">
        <v>8777</v>
      </c>
      <c r="G4488" s="18" t="s">
        <v>2248</v>
      </c>
      <c r="H4488" s="18" t="s">
        <v>7575</v>
      </c>
      <c r="I4488" s="20" t="s">
        <v>8778</v>
      </c>
      <c r="J4488" s="18" t="s">
        <v>58</v>
      </c>
      <c r="K4488" s="18" t="s">
        <v>24</v>
      </c>
      <c r="L4488" s="18" t="s">
        <v>25</v>
      </c>
      <c r="N4488" s="18" t="s">
        <v>807</v>
      </c>
    </row>
    <row r="4489" spans="1:14" ht="15" customHeight="1" x14ac:dyDescent="0.3">
      <c r="A4489" s="18" t="s">
        <v>8414</v>
      </c>
      <c r="B4489" s="19" t="s">
        <v>15</v>
      </c>
      <c r="C4489" s="18" t="s">
        <v>918</v>
      </c>
      <c r="D4489" s="18" t="s">
        <v>116</v>
      </c>
      <c r="E4489" s="18" t="s">
        <v>55</v>
      </c>
      <c r="F4489" s="18" t="s">
        <v>8779</v>
      </c>
      <c r="G4489" s="18" t="s">
        <v>80</v>
      </c>
      <c r="H4489" s="18" t="s">
        <v>8429</v>
      </c>
      <c r="I4489" s="20" t="s">
        <v>8780</v>
      </c>
      <c r="J4489" s="18" t="s">
        <v>58</v>
      </c>
      <c r="K4489" s="18" t="s">
        <v>24</v>
      </c>
      <c r="L4489" s="18" t="s">
        <v>25</v>
      </c>
      <c r="N4489" s="18" t="s">
        <v>807</v>
      </c>
    </row>
    <row r="4490" spans="1:14" ht="15" customHeight="1" x14ac:dyDescent="0.3">
      <c r="A4490" s="18" t="s">
        <v>8414</v>
      </c>
      <c r="B4490" s="19" t="s">
        <v>15</v>
      </c>
      <c r="C4490" s="18" t="s">
        <v>918</v>
      </c>
      <c r="D4490" s="18" t="s">
        <v>116</v>
      </c>
      <c r="E4490" s="18" t="s">
        <v>55</v>
      </c>
      <c r="F4490" s="18" t="s">
        <v>8781</v>
      </c>
      <c r="G4490" s="18" t="s">
        <v>340</v>
      </c>
      <c r="H4490" s="18" t="s">
        <v>8434</v>
      </c>
      <c r="I4490" s="20" t="s">
        <v>8782</v>
      </c>
      <c r="J4490" s="18" t="s">
        <v>58</v>
      </c>
      <c r="K4490" s="18" t="s">
        <v>24</v>
      </c>
      <c r="L4490" s="18" t="s">
        <v>25</v>
      </c>
      <c r="M4490" s="18" t="s">
        <v>39</v>
      </c>
      <c r="N4490" s="18" t="s">
        <v>807</v>
      </c>
    </row>
    <row r="4491" spans="1:14" ht="15" customHeight="1" x14ac:dyDescent="0.3">
      <c r="A4491" s="18" t="s">
        <v>8414</v>
      </c>
      <c r="B4491" s="19" t="s">
        <v>15</v>
      </c>
      <c r="C4491" s="18" t="s">
        <v>918</v>
      </c>
      <c r="D4491" s="18" t="s">
        <v>116</v>
      </c>
      <c r="E4491" s="18" t="s">
        <v>55</v>
      </c>
      <c r="F4491" s="18" t="s">
        <v>2434</v>
      </c>
      <c r="G4491" s="18" t="s">
        <v>192</v>
      </c>
      <c r="H4491" s="18" t="s">
        <v>8420</v>
      </c>
      <c r="I4491" s="20" t="s">
        <v>8783</v>
      </c>
      <c r="J4491" s="18" t="s">
        <v>58</v>
      </c>
      <c r="K4491" s="18" t="s">
        <v>24</v>
      </c>
      <c r="L4491" s="18" t="s">
        <v>25</v>
      </c>
      <c r="N4491" s="18" t="s">
        <v>807</v>
      </c>
    </row>
    <row r="4492" spans="1:14" ht="15" customHeight="1" x14ac:dyDescent="0.3">
      <c r="A4492" s="18" t="s">
        <v>8414</v>
      </c>
      <c r="B4492" s="19" t="s">
        <v>15</v>
      </c>
      <c r="C4492" s="18" t="s">
        <v>918</v>
      </c>
      <c r="D4492" s="18" t="s">
        <v>116</v>
      </c>
      <c r="E4492" s="18" t="s">
        <v>55</v>
      </c>
      <c r="F4492" s="18" t="s">
        <v>1653</v>
      </c>
      <c r="G4492" s="18" t="s">
        <v>1019</v>
      </c>
      <c r="H4492" s="18" t="s">
        <v>8436</v>
      </c>
      <c r="I4492" s="20" t="s">
        <v>8784</v>
      </c>
      <c r="J4492" s="18" t="s">
        <v>58</v>
      </c>
      <c r="K4492" s="18" t="s">
        <v>24</v>
      </c>
      <c r="L4492" s="18" t="s">
        <v>25</v>
      </c>
      <c r="N4492" s="18" t="s">
        <v>807</v>
      </c>
    </row>
    <row r="4493" spans="1:14" ht="15" customHeight="1" x14ac:dyDescent="0.3">
      <c r="A4493" s="18" t="s">
        <v>8414</v>
      </c>
      <c r="B4493" s="19" t="s">
        <v>15</v>
      </c>
      <c r="C4493" s="18" t="s">
        <v>918</v>
      </c>
      <c r="D4493" s="18" t="s">
        <v>116</v>
      </c>
      <c r="E4493" s="18" t="s">
        <v>55</v>
      </c>
      <c r="F4493" s="18" t="s">
        <v>8785</v>
      </c>
      <c r="G4493" s="18" t="s">
        <v>1254</v>
      </c>
      <c r="H4493" s="18" t="s">
        <v>7575</v>
      </c>
      <c r="I4493" s="20" t="s">
        <v>8786</v>
      </c>
      <c r="J4493" s="18" t="s">
        <v>58</v>
      </c>
      <c r="K4493" s="18" t="s">
        <v>24</v>
      </c>
      <c r="L4493" s="18" t="s">
        <v>25</v>
      </c>
      <c r="N4493" s="18" t="s">
        <v>807</v>
      </c>
    </row>
    <row r="4494" spans="1:14" ht="15" customHeight="1" x14ac:dyDescent="0.3">
      <c r="A4494" s="18" t="s">
        <v>8414</v>
      </c>
      <c r="B4494" s="19" t="s">
        <v>15</v>
      </c>
      <c r="C4494" s="18" t="s">
        <v>918</v>
      </c>
      <c r="D4494" s="18" t="s">
        <v>116</v>
      </c>
      <c r="E4494" s="18" t="s">
        <v>55</v>
      </c>
      <c r="F4494" s="18" t="s">
        <v>8787</v>
      </c>
      <c r="G4494" s="18" t="s">
        <v>537</v>
      </c>
      <c r="H4494" s="18" t="s">
        <v>8420</v>
      </c>
      <c r="I4494" s="20" t="s">
        <v>8788</v>
      </c>
      <c r="J4494" s="18" t="s">
        <v>58</v>
      </c>
      <c r="K4494" s="18" t="s">
        <v>24</v>
      </c>
      <c r="L4494" s="18" t="s">
        <v>25</v>
      </c>
      <c r="N4494" s="18" t="s">
        <v>807</v>
      </c>
    </row>
    <row r="4495" spans="1:14" ht="15" customHeight="1" x14ac:dyDescent="0.3">
      <c r="A4495" s="18" t="s">
        <v>8414</v>
      </c>
      <c r="B4495" s="19" t="s">
        <v>15</v>
      </c>
      <c r="C4495" s="18" t="s">
        <v>918</v>
      </c>
      <c r="D4495" s="18" t="s">
        <v>116</v>
      </c>
      <c r="E4495" s="18" t="s">
        <v>171</v>
      </c>
      <c r="F4495" s="18" t="s">
        <v>172</v>
      </c>
      <c r="G4495" s="18" t="s">
        <v>173</v>
      </c>
      <c r="H4495" s="18" t="s">
        <v>7575</v>
      </c>
      <c r="I4495" s="20" t="s">
        <v>8789</v>
      </c>
      <c r="J4495" s="18" t="s">
        <v>175</v>
      </c>
      <c r="K4495" s="18" t="s">
        <v>24</v>
      </c>
      <c r="L4495" s="18" t="s">
        <v>25</v>
      </c>
      <c r="N4495" s="18" t="s">
        <v>807</v>
      </c>
    </row>
    <row r="4496" spans="1:14" ht="15" customHeight="1" x14ac:dyDescent="0.3">
      <c r="A4496" s="18" t="s">
        <v>8414</v>
      </c>
      <c r="B4496" s="19" t="s">
        <v>15</v>
      </c>
      <c r="C4496" s="18" t="s">
        <v>918</v>
      </c>
      <c r="D4496" s="18" t="s">
        <v>116</v>
      </c>
      <c r="E4496" s="18" t="s">
        <v>171</v>
      </c>
      <c r="F4496" s="18" t="s">
        <v>80</v>
      </c>
      <c r="G4496" s="18" t="s">
        <v>80</v>
      </c>
      <c r="H4496" s="18" t="s">
        <v>8429</v>
      </c>
      <c r="I4496" s="20" t="s">
        <v>8790</v>
      </c>
      <c r="J4496" s="18" t="s">
        <v>175</v>
      </c>
      <c r="K4496" s="18" t="s">
        <v>24</v>
      </c>
      <c r="L4496" s="18" t="s">
        <v>25</v>
      </c>
      <c r="N4496" s="18" t="s">
        <v>807</v>
      </c>
    </row>
    <row r="4497" spans="1:14" ht="15" customHeight="1" x14ac:dyDescent="0.3">
      <c r="A4497" s="18" t="s">
        <v>8414</v>
      </c>
      <c r="B4497" s="19" t="s">
        <v>15</v>
      </c>
      <c r="C4497" s="18" t="s">
        <v>918</v>
      </c>
      <c r="D4497" s="18" t="s">
        <v>116</v>
      </c>
      <c r="E4497" s="18" t="s">
        <v>171</v>
      </c>
      <c r="F4497" s="18" t="s">
        <v>1239</v>
      </c>
      <c r="G4497" s="18" t="s">
        <v>1254</v>
      </c>
      <c r="H4497" s="18" t="s">
        <v>7575</v>
      </c>
      <c r="I4497" s="20" t="s">
        <v>8791</v>
      </c>
      <c r="J4497" s="18" t="s">
        <v>175</v>
      </c>
      <c r="K4497" s="18" t="s">
        <v>24</v>
      </c>
      <c r="L4497" s="18" t="s">
        <v>25</v>
      </c>
      <c r="M4497" s="18" t="s">
        <v>39</v>
      </c>
      <c r="N4497" s="18" t="s">
        <v>807</v>
      </c>
    </row>
    <row r="4498" spans="1:14" ht="15" customHeight="1" x14ac:dyDescent="0.3">
      <c r="A4498" s="18" t="s">
        <v>8414</v>
      </c>
      <c r="B4498" s="19" t="s">
        <v>15</v>
      </c>
      <c r="C4498" s="18" t="s">
        <v>918</v>
      </c>
      <c r="D4498" s="18" t="s">
        <v>116</v>
      </c>
      <c r="E4498" s="18" t="s">
        <v>171</v>
      </c>
      <c r="F4498" s="18" t="s">
        <v>221</v>
      </c>
      <c r="G4498" s="18" t="s">
        <v>212</v>
      </c>
      <c r="H4498" s="18" t="s">
        <v>7575</v>
      </c>
      <c r="I4498" s="20" t="s">
        <v>8792</v>
      </c>
      <c r="J4498" s="18" t="s">
        <v>175</v>
      </c>
      <c r="K4498" s="18" t="s">
        <v>24</v>
      </c>
      <c r="L4498" s="18" t="s">
        <v>25</v>
      </c>
      <c r="M4498" s="18" t="s">
        <v>39</v>
      </c>
      <c r="N4498" s="18" t="s">
        <v>807</v>
      </c>
    </row>
    <row r="4499" spans="1:14" ht="15" customHeight="1" x14ac:dyDescent="0.3">
      <c r="A4499" s="18" t="s">
        <v>8414</v>
      </c>
      <c r="B4499" s="19" t="s">
        <v>15</v>
      </c>
      <c r="C4499" s="18" t="s">
        <v>918</v>
      </c>
      <c r="D4499" s="18" t="s">
        <v>116</v>
      </c>
      <c r="E4499" s="18" t="s">
        <v>171</v>
      </c>
      <c r="F4499" s="18" t="s">
        <v>1244</v>
      </c>
      <c r="G4499" s="18" t="s">
        <v>1204</v>
      </c>
      <c r="H4499" s="18" t="s">
        <v>7575</v>
      </c>
      <c r="I4499" s="20" t="s">
        <v>8793</v>
      </c>
      <c r="J4499" s="18" t="s">
        <v>175</v>
      </c>
      <c r="K4499" s="18" t="s">
        <v>24</v>
      </c>
      <c r="L4499" s="18" t="s">
        <v>25</v>
      </c>
      <c r="M4499" s="18" t="s">
        <v>39</v>
      </c>
      <c r="N4499" s="18" t="s">
        <v>807</v>
      </c>
    </row>
    <row r="4500" spans="1:14" ht="15" customHeight="1" x14ac:dyDescent="0.3">
      <c r="A4500" s="18" t="s">
        <v>8414</v>
      </c>
      <c r="B4500" s="19" t="s">
        <v>15</v>
      </c>
      <c r="C4500" s="18" t="s">
        <v>918</v>
      </c>
      <c r="D4500" s="18" t="s">
        <v>116</v>
      </c>
      <c r="E4500" s="18" t="s">
        <v>171</v>
      </c>
      <c r="F4500" s="18" t="s">
        <v>7609</v>
      </c>
      <c r="G4500" s="18" t="s">
        <v>1254</v>
      </c>
      <c r="H4500" s="18" t="s">
        <v>7575</v>
      </c>
      <c r="I4500" s="20" t="s">
        <v>8794</v>
      </c>
      <c r="J4500" s="18" t="s">
        <v>175</v>
      </c>
      <c r="K4500" s="18" t="s">
        <v>24</v>
      </c>
      <c r="L4500" s="18" t="s">
        <v>25</v>
      </c>
      <c r="M4500" s="18" t="s">
        <v>39</v>
      </c>
      <c r="N4500" s="18" t="s">
        <v>807</v>
      </c>
    </row>
    <row r="4501" spans="1:14" ht="15" customHeight="1" x14ac:dyDescent="0.3">
      <c r="A4501" s="18" t="s">
        <v>8414</v>
      </c>
      <c r="B4501" s="19" t="s">
        <v>15</v>
      </c>
      <c r="C4501" s="18" t="s">
        <v>918</v>
      </c>
      <c r="D4501" s="18" t="s">
        <v>116</v>
      </c>
      <c r="E4501" s="18" t="s">
        <v>171</v>
      </c>
      <c r="F4501" s="18" t="s">
        <v>34</v>
      </c>
      <c r="G4501" s="18" t="s">
        <v>1254</v>
      </c>
      <c r="H4501" s="18" t="s">
        <v>7575</v>
      </c>
      <c r="I4501" s="20" t="s">
        <v>8795</v>
      </c>
      <c r="J4501" s="18" t="s">
        <v>175</v>
      </c>
      <c r="K4501" s="18" t="s">
        <v>24</v>
      </c>
      <c r="L4501" s="18" t="s">
        <v>25</v>
      </c>
      <c r="M4501" s="18" t="s">
        <v>39</v>
      </c>
      <c r="N4501" s="18" t="s">
        <v>807</v>
      </c>
    </row>
    <row r="4502" spans="1:14" ht="15" customHeight="1" x14ac:dyDescent="0.3">
      <c r="A4502" s="18" t="s">
        <v>8414</v>
      </c>
      <c r="B4502" s="19" t="s">
        <v>15</v>
      </c>
      <c r="C4502" s="18" t="s">
        <v>918</v>
      </c>
      <c r="D4502" s="18" t="s">
        <v>116</v>
      </c>
      <c r="E4502" s="18" t="s">
        <v>171</v>
      </c>
      <c r="F4502" s="18" t="s">
        <v>1250</v>
      </c>
      <c r="G4502" s="18" t="s">
        <v>1251</v>
      </c>
      <c r="H4502" s="18" t="s">
        <v>7575</v>
      </c>
      <c r="I4502" s="20" t="s">
        <v>8796</v>
      </c>
      <c r="J4502" s="18" t="s">
        <v>175</v>
      </c>
      <c r="K4502" s="18" t="s">
        <v>24</v>
      </c>
      <c r="L4502" s="18" t="s">
        <v>25</v>
      </c>
      <c r="M4502" s="18" t="s">
        <v>39</v>
      </c>
      <c r="N4502" s="18" t="s">
        <v>807</v>
      </c>
    </row>
    <row r="4503" spans="1:14" ht="15" customHeight="1" x14ac:dyDescent="0.3">
      <c r="A4503" s="18" t="s">
        <v>8414</v>
      </c>
      <c r="B4503" s="19" t="s">
        <v>15</v>
      </c>
      <c r="C4503" s="18" t="s">
        <v>918</v>
      </c>
      <c r="D4503" s="18" t="s">
        <v>116</v>
      </c>
      <c r="E4503" s="18" t="s">
        <v>171</v>
      </c>
      <c r="F4503" s="18" t="s">
        <v>2099</v>
      </c>
      <c r="G4503" s="18" t="s">
        <v>1502</v>
      </c>
      <c r="H4503" s="18" t="s">
        <v>7575</v>
      </c>
      <c r="I4503" s="20" t="s">
        <v>8797</v>
      </c>
      <c r="J4503" s="18" t="s">
        <v>175</v>
      </c>
      <c r="K4503" s="18" t="s">
        <v>24</v>
      </c>
      <c r="L4503" s="18" t="s">
        <v>25</v>
      </c>
      <c r="M4503" s="18" t="s">
        <v>39</v>
      </c>
      <c r="N4503" s="18" t="s">
        <v>807</v>
      </c>
    </row>
    <row r="4504" spans="1:14" ht="15" customHeight="1" x14ac:dyDescent="0.3">
      <c r="A4504" s="18" t="s">
        <v>8414</v>
      </c>
      <c r="B4504" s="19" t="s">
        <v>15</v>
      </c>
      <c r="C4504" s="18" t="s">
        <v>918</v>
      </c>
      <c r="D4504" s="18" t="s">
        <v>116</v>
      </c>
      <c r="E4504" s="18" t="s">
        <v>171</v>
      </c>
      <c r="F4504" s="18" t="s">
        <v>423</v>
      </c>
      <c r="G4504" s="18" t="s">
        <v>423</v>
      </c>
      <c r="H4504" s="18" t="s">
        <v>8559</v>
      </c>
      <c r="I4504" s="20" t="s">
        <v>8798</v>
      </c>
      <c r="J4504" s="18" t="s">
        <v>670</v>
      </c>
      <c r="K4504" s="18" t="s">
        <v>24</v>
      </c>
      <c r="L4504" s="18" t="s">
        <v>25</v>
      </c>
      <c r="N4504" s="18" t="s">
        <v>807</v>
      </c>
    </row>
    <row r="4505" spans="1:14" ht="15" customHeight="1" x14ac:dyDescent="0.3">
      <c r="A4505" s="18" t="s">
        <v>8414</v>
      </c>
      <c r="B4505" s="19" t="s">
        <v>15</v>
      </c>
      <c r="C4505" s="18" t="s">
        <v>918</v>
      </c>
      <c r="D4505" s="18" t="s">
        <v>116</v>
      </c>
      <c r="E4505" s="18" t="s">
        <v>171</v>
      </c>
      <c r="F4505" s="18" t="s">
        <v>667</v>
      </c>
      <c r="G4505" s="18" t="s">
        <v>667</v>
      </c>
      <c r="H4505" s="18" t="s">
        <v>8559</v>
      </c>
      <c r="I4505" s="20" t="s">
        <v>8799</v>
      </c>
      <c r="J4505" s="18" t="s">
        <v>175</v>
      </c>
      <c r="K4505" s="18" t="s">
        <v>24</v>
      </c>
      <c r="L4505" s="18" t="s">
        <v>25</v>
      </c>
      <c r="N4505" s="18" t="s">
        <v>807</v>
      </c>
    </row>
    <row r="4506" spans="1:14" ht="15" customHeight="1" x14ac:dyDescent="0.3">
      <c r="A4506" s="18" t="s">
        <v>8414</v>
      </c>
      <c r="B4506" s="19" t="s">
        <v>15</v>
      </c>
      <c r="C4506" s="18" t="s">
        <v>918</v>
      </c>
      <c r="D4506" s="18" t="s">
        <v>116</v>
      </c>
      <c r="E4506" s="18" t="s">
        <v>171</v>
      </c>
      <c r="F4506" s="18" t="s">
        <v>625</v>
      </c>
      <c r="G4506" s="18" t="s">
        <v>920</v>
      </c>
      <c r="H4506" s="18" t="s">
        <v>8800</v>
      </c>
      <c r="I4506" s="20" t="s">
        <v>8801</v>
      </c>
      <c r="J4506" s="18" t="s">
        <v>7452</v>
      </c>
      <c r="K4506" s="18" t="s">
        <v>24</v>
      </c>
      <c r="L4506" s="18" t="s">
        <v>25</v>
      </c>
      <c r="N4506" s="18" t="s">
        <v>807</v>
      </c>
    </row>
    <row r="4507" spans="1:14" ht="15" customHeight="1" x14ac:dyDescent="0.3">
      <c r="A4507" s="18" t="s">
        <v>8414</v>
      </c>
      <c r="B4507" s="19" t="s">
        <v>15</v>
      </c>
      <c r="C4507" s="18" t="s">
        <v>918</v>
      </c>
      <c r="D4507" s="18" t="s">
        <v>116</v>
      </c>
      <c r="E4507" s="18" t="s">
        <v>171</v>
      </c>
      <c r="F4507" s="18" t="s">
        <v>340</v>
      </c>
      <c r="G4507" s="18" t="s">
        <v>340</v>
      </c>
      <c r="H4507" s="18" t="s">
        <v>8434</v>
      </c>
      <c r="I4507" s="20" t="s">
        <v>8802</v>
      </c>
      <c r="J4507" s="18" t="s">
        <v>175</v>
      </c>
      <c r="K4507" s="18" t="s">
        <v>24</v>
      </c>
      <c r="L4507" s="18" t="s">
        <v>25</v>
      </c>
      <c r="M4507" s="18" t="s">
        <v>39</v>
      </c>
      <c r="N4507" s="18" t="s">
        <v>807</v>
      </c>
    </row>
    <row r="4508" spans="1:14" ht="15" customHeight="1" x14ac:dyDescent="0.3">
      <c r="A4508" s="18" t="s">
        <v>8414</v>
      </c>
      <c r="B4508" s="19" t="s">
        <v>15</v>
      </c>
      <c r="C4508" s="18" t="s">
        <v>918</v>
      </c>
      <c r="D4508" s="18" t="s">
        <v>116</v>
      </c>
      <c r="E4508" s="18" t="s">
        <v>74</v>
      </c>
      <c r="F4508" s="18" t="s">
        <v>8803</v>
      </c>
      <c r="G4508" s="18" t="s">
        <v>381</v>
      </c>
      <c r="H4508" s="18" t="s">
        <v>7168</v>
      </c>
      <c r="I4508" s="20" t="s">
        <v>8804</v>
      </c>
      <c r="J4508" s="18" t="s">
        <v>440</v>
      </c>
      <c r="K4508" s="18" t="s">
        <v>24</v>
      </c>
      <c r="L4508" s="18" t="s">
        <v>25</v>
      </c>
      <c r="N4508" s="18" t="s">
        <v>807</v>
      </c>
    </row>
    <row r="4509" spans="1:14" ht="15" customHeight="1" x14ac:dyDescent="0.3">
      <c r="A4509" s="18" t="s">
        <v>8414</v>
      </c>
      <c r="B4509" s="19" t="s">
        <v>15</v>
      </c>
      <c r="C4509" s="18" t="s">
        <v>918</v>
      </c>
      <c r="D4509" s="18" t="s">
        <v>116</v>
      </c>
      <c r="E4509" s="18" t="s">
        <v>74</v>
      </c>
      <c r="F4509" s="18" t="s">
        <v>8805</v>
      </c>
      <c r="G4509" s="18" t="s">
        <v>263</v>
      </c>
      <c r="H4509" s="18" t="s">
        <v>5832</v>
      </c>
      <c r="I4509" s="20" t="s">
        <v>8806</v>
      </c>
      <c r="J4509" s="18" t="s">
        <v>8807</v>
      </c>
      <c r="K4509" s="18" t="s">
        <v>91</v>
      </c>
      <c r="L4509" s="18" t="s">
        <v>25</v>
      </c>
      <c r="N4509" s="18" t="s">
        <v>807</v>
      </c>
    </row>
    <row r="4510" spans="1:14" ht="15" customHeight="1" x14ac:dyDescent="0.3">
      <c r="A4510" s="18" t="s">
        <v>8414</v>
      </c>
      <c r="B4510" s="19" t="s">
        <v>15</v>
      </c>
      <c r="C4510" s="18" t="s">
        <v>918</v>
      </c>
      <c r="D4510" s="18" t="s">
        <v>116</v>
      </c>
      <c r="E4510" s="18" t="s">
        <v>74</v>
      </c>
      <c r="F4510" s="18" t="s">
        <v>8808</v>
      </c>
      <c r="G4510" s="18" t="s">
        <v>207</v>
      </c>
      <c r="H4510" s="18" t="s">
        <v>5815</v>
      </c>
      <c r="I4510" s="20" t="s">
        <v>8809</v>
      </c>
      <c r="J4510" s="18" t="s">
        <v>8810</v>
      </c>
      <c r="K4510" s="18" t="s">
        <v>91</v>
      </c>
      <c r="L4510" s="18" t="s">
        <v>25</v>
      </c>
      <c r="N4510" s="18" t="s">
        <v>807</v>
      </c>
    </row>
    <row r="4511" spans="1:14" ht="15" customHeight="1" x14ac:dyDescent="0.3">
      <c r="A4511" s="18" t="s">
        <v>8414</v>
      </c>
      <c r="B4511" s="19" t="s">
        <v>15</v>
      </c>
      <c r="C4511" s="18" t="s">
        <v>918</v>
      </c>
      <c r="D4511" s="18" t="s">
        <v>116</v>
      </c>
      <c r="E4511" s="18" t="s">
        <v>74</v>
      </c>
      <c r="F4511" s="18" t="s">
        <v>8811</v>
      </c>
      <c r="G4511" s="18" t="s">
        <v>173</v>
      </c>
      <c r="H4511" s="18" t="s">
        <v>8812</v>
      </c>
      <c r="I4511" s="20" t="s">
        <v>8813</v>
      </c>
      <c r="J4511" s="18" t="s">
        <v>394</v>
      </c>
      <c r="K4511" s="18" t="s">
        <v>293</v>
      </c>
      <c r="L4511" s="18" t="s">
        <v>25</v>
      </c>
      <c r="N4511" s="18" t="s">
        <v>807</v>
      </c>
    </row>
    <row r="4512" spans="1:14" ht="15" customHeight="1" x14ac:dyDescent="0.3">
      <c r="A4512" s="18" t="s">
        <v>8414</v>
      </c>
      <c r="B4512" s="19" t="s">
        <v>15</v>
      </c>
      <c r="C4512" s="18" t="s">
        <v>918</v>
      </c>
      <c r="D4512" s="18" t="s">
        <v>116</v>
      </c>
      <c r="E4512" s="18" t="s">
        <v>74</v>
      </c>
      <c r="F4512" s="18" t="s">
        <v>8702</v>
      </c>
      <c r="G4512" s="18" t="s">
        <v>920</v>
      </c>
      <c r="H4512" s="18" t="s">
        <v>921</v>
      </c>
      <c r="I4512" s="20" t="s">
        <v>8814</v>
      </c>
      <c r="J4512" s="18" t="s">
        <v>58</v>
      </c>
      <c r="K4512" s="18" t="s">
        <v>24</v>
      </c>
      <c r="L4512" s="18" t="s">
        <v>25</v>
      </c>
      <c r="N4512" s="18" t="s">
        <v>807</v>
      </c>
    </row>
    <row r="4513" spans="1:14" ht="15" customHeight="1" x14ac:dyDescent="0.3">
      <c r="A4513" s="18" t="s">
        <v>8414</v>
      </c>
      <c r="B4513" s="19" t="s">
        <v>15</v>
      </c>
      <c r="C4513" s="18" t="s">
        <v>918</v>
      </c>
      <c r="D4513" s="18" t="s">
        <v>116</v>
      </c>
      <c r="E4513" s="18" t="s">
        <v>74</v>
      </c>
      <c r="F4513" s="18" t="s">
        <v>8815</v>
      </c>
      <c r="G4513" s="18" t="s">
        <v>920</v>
      </c>
      <c r="H4513" s="18" t="s">
        <v>921</v>
      </c>
      <c r="I4513" s="20" t="s">
        <v>8816</v>
      </c>
      <c r="J4513" s="18" t="s">
        <v>8817</v>
      </c>
      <c r="K4513" s="18" t="s">
        <v>293</v>
      </c>
      <c r="L4513" s="18" t="s">
        <v>25</v>
      </c>
      <c r="N4513" s="18" t="s">
        <v>807</v>
      </c>
    </row>
    <row r="4514" spans="1:14" ht="15" customHeight="1" x14ac:dyDescent="0.3">
      <c r="A4514" s="18" t="s">
        <v>8414</v>
      </c>
      <c r="B4514" s="19" t="s">
        <v>15</v>
      </c>
      <c r="C4514" s="18" t="s">
        <v>918</v>
      </c>
      <c r="D4514" s="18" t="s">
        <v>116</v>
      </c>
      <c r="E4514" s="18" t="s">
        <v>74</v>
      </c>
      <c r="F4514" s="18" t="s">
        <v>8818</v>
      </c>
      <c r="G4514" s="18" t="s">
        <v>920</v>
      </c>
      <c r="H4514" s="18" t="s">
        <v>921</v>
      </c>
      <c r="I4514" s="20" t="s">
        <v>8819</v>
      </c>
      <c r="J4514" s="18" t="s">
        <v>8820</v>
      </c>
      <c r="K4514" s="18" t="s">
        <v>91</v>
      </c>
      <c r="L4514" s="18" t="s">
        <v>25</v>
      </c>
      <c r="N4514" s="18" t="s">
        <v>807</v>
      </c>
    </row>
    <row r="4515" spans="1:14" ht="15" customHeight="1" x14ac:dyDescent="0.3">
      <c r="A4515" s="18" t="s">
        <v>8414</v>
      </c>
      <c r="B4515" s="19" t="s">
        <v>15</v>
      </c>
      <c r="C4515" s="18" t="s">
        <v>918</v>
      </c>
      <c r="D4515" s="18" t="s">
        <v>116</v>
      </c>
      <c r="E4515" s="18" t="s">
        <v>74</v>
      </c>
      <c r="F4515" s="18" t="s">
        <v>8821</v>
      </c>
      <c r="G4515" s="18" t="s">
        <v>47</v>
      </c>
      <c r="H4515" s="18" t="s">
        <v>8812</v>
      </c>
      <c r="I4515" s="20" t="s">
        <v>8822</v>
      </c>
      <c r="J4515" s="18" t="s">
        <v>394</v>
      </c>
      <c r="K4515" s="18" t="s">
        <v>24</v>
      </c>
      <c r="L4515" s="18" t="s">
        <v>25</v>
      </c>
      <c r="N4515" s="18" t="s">
        <v>807</v>
      </c>
    </row>
    <row r="4516" spans="1:14" ht="15" customHeight="1" x14ac:dyDescent="0.3">
      <c r="A4516" s="18" t="s">
        <v>8414</v>
      </c>
      <c r="B4516" s="19" t="s">
        <v>15</v>
      </c>
      <c r="C4516" s="18" t="s">
        <v>918</v>
      </c>
      <c r="D4516" s="18" t="s">
        <v>116</v>
      </c>
      <c r="E4516" s="18" t="s">
        <v>74</v>
      </c>
      <c r="F4516" s="18" t="s">
        <v>1287</v>
      </c>
      <c r="G4516" s="18" t="s">
        <v>41</v>
      </c>
      <c r="H4516" s="18" t="s">
        <v>8812</v>
      </c>
      <c r="I4516" s="20" t="s">
        <v>8823</v>
      </c>
      <c r="J4516" s="18" t="s">
        <v>58</v>
      </c>
      <c r="K4516" s="18" t="s">
        <v>24</v>
      </c>
      <c r="L4516" s="18" t="s">
        <v>25</v>
      </c>
      <c r="N4516" s="18" t="s">
        <v>807</v>
      </c>
    </row>
    <row r="4517" spans="1:14" ht="15" customHeight="1" x14ac:dyDescent="0.3">
      <c r="A4517" s="18" t="s">
        <v>8824</v>
      </c>
      <c r="B4517" s="19" t="s">
        <v>15</v>
      </c>
      <c r="C4517" s="18" t="s">
        <v>210</v>
      </c>
      <c r="D4517" s="18" t="s">
        <v>116</v>
      </c>
      <c r="E4517" s="18" t="s">
        <v>18</v>
      </c>
      <c r="F4517" s="18" t="s">
        <v>3128</v>
      </c>
      <c r="G4517" s="18" t="s">
        <v>2921</v>
      </c>
      <c r="H4517" s="18" t="s">
        <v>8825</v>
      </c>
      <c r="I4517" s="20" t="s">
        <v>8826</v>
      </c>
      <c r="J4517" s="18" t="s">
        <v>30</v>
      </c>
      <c r="K4517" s="18" t="s">
        <v>24</v>
      </c>
      <c r="L4517" s="18" t="s">
        <v>25</v>
      </c>
      <c r="N4517" s="18" t="s">
        <v>26</v>
      </c>
    </row>
    <row r="4518" spans="1:14" ht="15" customHeight="1" x14ac:dyDescent="0.3">
      <c r="A4518" s="18" t="s">
        <v>8824</v>
      </c>
      <c r="B4518" s="19" t="s">
        <v>15</v>
      </c>
      <c r="C4518" s="18" t="s">
        <v>210</v>
      </c>
      <c r="D4518" s="18" t="s">
        <v>116</v>
      </c>
      <c r="E4518" s="18" t="s">
        <v>18</v>
      </c>
      <c r="F4518" s="18" t="s">
        <v>8827</v>
      </c>
      <c r="G4518" s="18" t="s">
        <v>2921</v>
      </c>
      <c r="H4518" s="18" t="s">
        <v>8828</v>
      </c>
      <c r="I4518" s="20" t="s">
        <v>8829</v>
      </c>
      <c r="J4518" s="18" t="s">
        <v>30</v>
      </c>
      <c r="K4518" s="18" t="s">
        <v>24</v>
      </c>
      <c r="L4518" s="18" t="s">
        <v>25</v>
      </c>
      <c r="N4518" s="18" t="s">
        <v>26</v>
      </c>
    </row>
    <row r="4519" spans="1:14" ht="15" customHeight="1" x14ac:dyDescent="0.3">
      <c r="A4519" s="18" t="s">
        <v>8824</v>
      </c>
      <c r="B4519" s="19" t="s">
        <v>15</v>
      </c>
      <c r="C4519" s="18" t="s">
        <v>210</v>
      </c>
      <c r="D4519" s="18" t="s">
        <v>116</v>
      </c>
      <c r="E4519" s="18" t="s">
        <v>18</v>
      </c>
      <c r="F4519" s="18" t="s">
        <v>1054</v>
      </c>
      <c r="G4519" s="18" t="s">
        <v>1055</v>
      </c>
      <c r="H4519" s="18" t="s">
        <v>8828</v>
      </c>
      <c r="I4519" s="20" t="s">
        <v>8830</v>
      </c>
      <c r="J4519" s="18" t="s">
        <v>30</v>
      </c>
      <c r="K4519" s="18" t="s">
        <v>24</v>
      </c>
      <c r="L4519" s="18" t="s">
        <v>25</v>
      </c>
      <c r="N4519" s="18" t="s">
        <v>26</v>
      </c>
    </row>
    <row r="4520" spans="1:14" ht="15" customHeight="1" x14ac:dyDescent="0.3">
      <c r="A4520" s="18" t="s">
        <v>8824</v>
      </c>
      <c r="B4520" s="19" t="s">
        <v>15</v>
      </c>
      <c r="C4520" s="18" t="s">
        <v>210</v>
      </c>
      <c r="D4520" s="18" t="s">
        <v>116</v>
      </c>
      <c r="E4520" s="18" t="s">
        <v>18</v>
      </c>
      <c r="F4520" s="18" t="s">
        <v>7578</v>
      </c>
      <c r="G4520" s="18" t="s">
        <v>197</v>
      </c>
      <c r="H4520" s="18" t="s">
        <v>8420</v>
      </c>
      <c r="I4520" s="20" t="s">
        <v>8831</v>
      </c>
      <c r="J4520" s="18" t="s">
        <v>30</v>
      </c>
      <c r="K4520" s="18" t="s">
        <v>24</v>
      </c>
      <c r="L4520" s="18" t="s">
        <v>25</v>
      </c>
      <c r="N4520" s="18" t="s">
        <v>26</v>
      </c>
    </row>
    <row r="4521" spans="1:14" ht="15" customHeight="1" x14ac:dyDescent="0.3">
      <c r="A4521" s="18" t="s">
        <v>8824</v>
      </c>
      <c r="B4521" s="19" t="s">
        <v>15</v>
      </c>
      <c r="C4521" s="18" t="s">
        <v>210</v>
      </c>
      <c r="D4521" s="18" t="s">
        <v>116</v>
      </c>
      <c r="E4521" s="18" t="s">
        <v>18</v>
      </c>
      <c r="F4521" s="18" t="s">
        <v>8832</v>
      </c>
      <c r="G4521" s="18" t="s">
        <v>173</v>
      </c>
      <c r="H4521" s="18" t="s">
        <v>8833</v>
      </c>
      <c r="I4521" s="20" t="s">
        <v>8834</v>
      </c>
      <c r="J4521" s="18" t="s">
        <v>30</v>
      </c>
      <c r="K4521" s="18" t="s">
        <v>24</v>
      </c>
      <c r="L4521" s="18" t="s">
        <v>25</v>
      </c>
      <c r="N4521" s="18" t="s">
        <v>26</v>
      </c>
    </row>
    <row r="4522" spans="1:14" ht="15" customHeight="1" x14ac:dyDescent="0.3">
      <c r="A4522" s="18" t="s">
        <v>8824</v>
      </c>
      <c r="B4522" s="19" t="s">
        <v>15</v>
      </c>
      <c r="C4522" s="18" t="s">
        <v>210</v>
      </c>
      <c r="D4522" s="18" t="s">
        <v>116</v>
      </c>
      <c r="E4522" s="18" t="s">
        <v>18</v>
      </c>
      <c r="F4522" s="18" t="s">
        <v>1941</v>
      </c>
      <c r="G4522" s="18" t="s">
        <v>160</v>
      </c>
      <c r="H4522" s="18" t="s">
        <v>8835</v>
      </c>
      <c r="I4522" s="20" t="s">
        <v>8836</v>
      </c>
      <c r="J4522" s="18" t="s">
        <v>30</v>
      </c>
      <c r="K4522" s="18" t="s">
        <v>24</v>
      </c>
      <c r="L4522" s="18" t="s">
        <v>25</v>
      </c>
      <c r="N4522" s="18" t="s">
        <v>26</v>
      </c>
    </row>
    <row r="4523" spans="1:14" ht="15" customHeight="1" x14ac:dyDescent="0.3">
      <c r="A4523" s="18" t="s">
        <v>8824</v>
      </c>
      <c r="B4523" s="19" t="s">
        <v>15</v>
      </c>
      <c r="C4523" s="18" t="s">
        <v>210</v>
      </c>
      <c r="D4523" s="18" t="s">
        <v>116</v>
      </c>
      <c r="E4523" s="18" t="s">
        <v>18</v>
      </c>
      <c r="F4523" s="18" t="s">
        <v>8837</v>
      </c>
      <c r="G4523" s="18" t="s">
        <v>8838</v>
      </c>
      <c r="H4523" s="18" t="s">
        <v>8420</v>
      </c>
      <c r="I4523" s="20" t="s">
        <v>8839</v>
      </c>
      <c r="J4523" s="18" t="s">
        <v>30</v>
      </c>
      <c r="K4523" s="18" t="s">
        <v>24</v>
      </c>
      <c r="L4523" s="18" t="s">
        <v>25</v>
      </c>
      <c r="N4523" s="18" t="s">
        <v>26</v>
      </c>
    </row>
    <row r="4524" spans="1:14" ht="15" customHeight="1" x14ac:dyDescent="0.3">
      <c r="A4524" s="18" t="s">
        <v>8824</v>
      </c>
      <c r="B4524" s="19" t="s">
        <v>15</v>
      </c>
      <c r="C4524" s="18" t="s">
        <v>210</v>
      </c>
      <c r="D4524" s="18" t="s">
        <v>116</v>
      </c>
      <c r="E4524" s="18" t="s">
        <v>18</v>
      </c>
      <c r="F4524" s="18" t="s">
        <v>1518</v>
      </c>
      <c r="G4524" s="18" t="s">
        <v>606</v>
      </c>
      <c r="H4524" s="18" t="s">
        <v>8159</v>
      </c>
      <c r="I4524" s="20" t="s">
        <v>8840</v>
      </c>
      <c r="J4524" s="18" t="s">
        <v>30</v>
      </c>
      <c r="K4524" s="18" t="s">
        <v>24</v>
      </c>
      <c r="L4524" s="18" t="s">
        <v>25</v>
      </c>
      <c r="N4524" s="18" t="s">
        <v>26</v>
      </c>
    </row>
    <row r="4525" spans="1:14" ht="15" customHeight="1" x14ac:dyDescent="0.3">
      <c r="A4525" s="18" t="s">
        <v>8824</v>
      </c>
      <c r="B4525" s="19" t="s">
        <v>15</v>
      </c>
      <c r="C4525" s="18" t="s">
        <v>210</v>
      </c>
      <c r="D4525" s="18" t="s">
        <v>116</v>
      </c>
      <c r="E4525" s="18" t="s">
        <v>18</v>
      </c>
      <c r="F4525" s="18" t="s">
        <v>7265</v>
      </c>
      <c r="G4525" s="18" t="s">
        <v>606</v>
      </c>
      <c r="H4525" s="18" t="s">
        <v>8159</v>
      </c>
      <c r="I4525" s="20" t="s">
        <v>8841</v>
      </c>
      <c r="J4525" s="18" t="s">
        <v>30</v>
      </c>
      <c r="K4525" s="18" t="s">
        <v>24</v>
      </c>
      <c r="L4525" s="18" t="s">
        <v>25</v>
      </c>
      <c r="N4525" s="18" t="s">
        <v>26</v>
      </c>
    </row>
    <row r="4526" spans="1:14" ht="15" customHeight="1" x14ac:dyDescent="0.3">
      <c r="A4526" s="18" t="s">
        <v>8824</v>
      </c>
      <c r="B4526" s="19" t="s">
        <v>15</v>
      </c>
      <c r="C4526" s="18" t="s">
        <v>210</v>
      </c>
      <c r="D4526" s="18" t="s">
        <v>116</v>
      </c>
      <c r="E4526" s="18" t="s">
        <v>18</v>
      </c>
      <c r="F4526" s="18" t="s">
        <v>1058</v>
      </c>
      <c r="G4526" s="18" t="s">
        <v>1059</v>
      </c>
      <c r="H4526" s="18" t="s">
        <v>8828</v>
      </c>
      <c r="I4526" s="20" t="s">
        <v>8842</v>
      </c>
      <c r="J4526" s="18" t="s">
        <v>30</v>
      </c>
      <c r="K4526" s="18" t="s">
        <v>24</v>
      </c>
      <c r="L4526" s="18" t="s">
        <v>25</v>
      </c>
      <c r="N4526" s="18" t="s">
        <v>26</v>
      </c>
    </row>
    <row r="4527" spans="1:14" ht="15" customHeight="1" x14ac:dyDescent="0.3">
      <c r="A4527" s="18" t="s">
        <v>8824</v>
      </c>
      <c r="B4527" s="19" t="s">
        <v>15</v>
      </c>
      <c r="C4527" s="18" t="s">
        <v>210</v>
      </c>
      <c r="D4527" s="18" t="s">
        <v>116</v>
      </c>
      <c r="E4527" s="18" t="s">
        <v>18</v>
      </c>
      <c r="F4527" s="18" t="s">
        <v>1061</v>
      </c>
      <c r="G4527" s="18" t="s">
        <v>88</v>
      </c>
      <c r="H4527" s="18" t="s">
        <v>8159</v>
      </c>
      <c r="I4527" s="20" t="s">
        <v>8843</v>
      </c>
      <c r="J4527" s="18" t="s">
        <v>30</v>
      </c>
      <c r="K4527" s="18" t="s">
        <v>24</v>
      </c>
      <c r="L4527" s="18" t="s">
        <v>25</v>
      </c>
      <c r="N4527" s="18" t="s">
        <v>26</v>
      </c>
    </row>
    <row r="4528" spans="1:14" ht="15" customHeight="1" x14ac:dyDescent="0.3">
      <c r="A4528" s="18" t="s">
        <v>8824</v>
      </c>
      <c r="B4528" s="19" t="s">
        <v>15</v>
      </c>
      <c r="C4528" s="18" t="s">
        <v>210</v>
      </c>
      <c r="D4528" s="18" t="s">
        <v>116</v>
      </c>
      <c r="E4528" s="18" t="s">
        <v>18</v>
      </c>
      <c r="F4528" s="18" t="s">
        <v>8844</v>
      </c>
      <c r="G4528" s="18" t="s">
        <v>197</v>
      </c>
      <c r="H4528" s="18" t="s">
        <v>8835</v>
      </c>
      <c r="I4528" s="20" t="s">
        <v>8845</v>
      </c>
      <c r="J4528" s="18" t="s">
        <v>30</v>
      </c>
      <c r="K4528" s="18" t="s">
        <v>24</v>
      </c>
      <c r="L4528" s="18" t="s">
        <v>25</v>
      </c>
      <c r="N4528" s="18" t="s">
        <v>26</v>
      </c>
    </row>
    <row r="4529" spans="1:14" ht="15" customHeight="1" x14ac:dyDescent="0.3">
      <c r="A4529" s="18" t="s">
        <v>8824</v>
      </c>
      <c r="B4529" s="19" t="s">
        <v>15</v>
      </c>
      <c r="C4529" s="18" t="s">
        <v>210</v>
      </c>
      <c r="D4529" s="18" t="s">
        <v>116</v>
      </c>
      <c r="E4529" s="18" t="s">
        <v>18</v>
      </c>
      <c r="F4529" s="18" t="s">
        <v>6324</v>
      </c>
      <c r="G4529" s="18" t="s">
        <v>1130</v>
      </c>
      <c r="H4529" s="18" t="s">
        <v>8828</v>
      </c>
      <c r="I4529" s="20" t="s">
        <v>8846</v>
      </c>
      <c r="J4529" s="18" t="s">
        <v>30</v>
      </c>
      <c r="K4529" s="18" t="s">
        <v>24</v>
      </c>
      <c r="L4529" s="18" t="s">
        <v>25</v>
      </c>
      <c r="N4529" s="18" t="s">
        <v>26</v>
      </c>
    </row>
    <row r="4530" spans="1:14" ht="15" customHeight="1" x14ac:dyDescent="0.3">
      <c r="A4530" s="18" t="s">
        <v>8824</v>
      </c>
      <c r="B4530" s="19" t="s">
        <v>15</v>
      </c>
      <c r="C4530" s="18" t="s">
        <v>210</v>
      </c>
      <c r="D4530" s="18" t="s">
        <v>116</v>
      </c>
      <c r="E4530" s="18" t="s">
        <v>18</v>
      </c>
      <c r="F4530" s="18" t="s">
        <v>7594</v>
      </c>
      <c r="G4530" s="18" t="s">
        <v>8847</v>
      </c>
      <c r="H4530" s="18" t="s">
        <v>8420</v>
      </c>
      <c r="I4530" s="20" t="s">
        <v>8848</v>
      </c>
      <c r="J4530" s="18" t="s">
        <v>30</v>
      </c>
      <c r="K4530" s="18" t="s">
        <v>24</v>
      </c>
      <c r="L4530" s="18" t="s">
        <v>25</v>
      </c>
      <c r="N4530" s="18" t="s">
        <v>26</v>
      </c>
    </row>
    <row r="4531" spans="1:14" ht="15" customHeight="1" x14ac:dyDescent="0.3">
      <c r="A4531" s="18" t="s">
        <v>8824</v>
      </c>
      <c r="B4531" s="19" t="s">
        <v>15</v>
      </c>
      <c r="C4531" s="18" t="s">
        <v>210</v>
      </c>
      <c r="D4531" s="18" t="s">
        <v>116</v>
      </c>
      <c r="E4531" s="18" t="s">
        <v>18</v>
      </c>
      <c r="F4531" s="18" t="s">
        <v>19</v>
      </c>
      <c r="G4531" s="18" t="s">
        <v>19</v>
      </c>
      <c r="H4531" s="18" t="s">
        <v>8429</v>
      </c>
      <c r="I4531" s="20" t="s">
        <v>8849</v>
      </c>
      <c r="J4531" s="18" t="s">
        <v>23</v>
      </c>
      <c r="K4531" s="18" t="s">
        <v>24</v>
      </c>
      <c r="L4531" s="18" t="s">
        <v>25</v>
      </c>
      <c r="N4531" s="18" t="s">
        <v>26</v>
      </c>
    </row>
    <row r="4532" spans="1:14" ht="15" customHeight="1" x14ac:dyDescent="0.3">
      <c r="A4532" s="18" t="s">
        <v>8824</v>
      </c>
      <c r="B4532" s="19" t="s">
        <v>15</v>
      </c>
      <c r="C4532" s="18" t="s">
        <v>210</v>
      </c>
      <c r="D4532" s="18" t="s">
        <v>116</v>
      </c>
      <c r="E4532" s="18" t="s">
        <v>18</v>
      </c>
      <c r="F4532" s="18" t="s">
        <v>433</v>
      </c>
      <c r="G4532" s="18" t="s">
        <v>433</v>
      </c>
      <c r="H4532" s="18" t="s">
        <v>8429</v>
      </c>
      <c r="I4532" s="20" t="s">
        <v>8850</v>
      </c>
      <c r="J4532" s="18" t="s">
        <v>30</v>
      </c>
      <c r="K4532" s="18" t="s">
        <v>24</v>
      </c>
      <c r="L4532" s="18" t="s">
        <v>25</v>
      </c>
      <c r="N4532" s="18" t="s">
        <v>26</v>
      </c>
    </row>
    <row r="4533" spans="1:14" ht="15" customHeight="1" x14ac:dyDescent="0.3">
      <c r="A4533" s="18" t="s">
        <v>8824</v>
      </c>
      <c r="B4533" s="19" t="s">
        <v>15</v>
      </c>
      <c r="C4533" s="18" t="s">
        <v>210</v>
      </c>
      <c r="D4533" s="18" t="s">
        <v>116</v>
      </c>
      <c r="E4533" s="18" t="s">
        <v>18</v>
      </c>
      <c r="F4533" s="18" t="s">
        <v>1846</v>
      </c>
      <c r="G4533" s="18" t="s">
        <v>8851</v>
      </c>
      <c r="H4533" s="18" t="s">
        <v>8852</v>
      </c>
      <c r="I4533" s="20" t="s">
        <v>8853</v>
      </c>
      <c r="J4533" s="18" t="s">
        <v>30</v>
      </c>
      <c r="K4533" s="18" t="s">
        <v>24</v>
      </c>
      <c r="L4533" s="18" t="s">
        <v>25</v>
      </c>
      <c r="N4533" s="18" t="s">
        <v>26</v>
      </c>
    </row>
    <row r="4534" spans="1:14" ht="15" customHeight="1" x14ac:dyDescent="0.3">
      <c r="A4534" s="18" t="s">
        <v>8824</v>
      </c>
      <c r="B4534" s="19" t="s">
        <v>15</v>
      </c>
      <c r="C4534" s="18" t="s">
        <v>210</v>
      </c>
      <c r="D4534" s="18" t="s">
        <v>116</v>
      </c>
      <c r="E4534" s="18" t="s">
        <v>18</v>
      </c>
      <c r="F4534" s="18" t="s">
        <v>3477</v>
      </c>
      <c r="G4534" s="18" t="s">
        <v>8838</v>
      </c>
      <c r="H4534" s="18" t="s">
        <v>8852</v>
      </c>
      <c r="I4534" s="20" t="s">
        <v>8854</v>
      </c>
      <c r="J4534" s="18" t="s">
        <v>30</v>
      </c>
      <c r="K4534" s="18" t="s">
        <v>24</v>
      </c>
      <c r="L4534" s="18" t="s">
        <v>25</v>
      </c>
      <c r="N4534" s="18" t="s">
        <v>26</v>
      </c>
    </row>
    <row r="4535" spans="1:14" ht="15" customHeight="1" x14ac:dyDescent="0.3">
      <c r="A4535" s="18" t="s">
        <v>8824</v>
      </c>
      <c r="B4535" s="19" t="s">
        <v>15</v>
      </c>
      <c r="C4535" s="18" t="s">
        <v>210</v>
      </c>
      <c r="D4535" s="18" t="s">
        <v>116</v>
      </c>
      <c r="E4535" s="18" t="s">
        <v>18</v>
      </c>
      <c r="F4535" s="18" t="s">
        <v>1971</v>
      </c>
      <c r="G4535" s="18" t="s">
        <v>8851</v>
      </c>
      <c r="H4535" s="18" t="s">
        <v>8835</v>
      </c>
      <c r="I4535" s="20" t="s">
        <v>8855</v>
      </c>
      <c r="J4535" s="18" t="s">
        <v>30</v>
      </c>
      <c r="K4535" s="18" t="s">
        <v>24</v>
      </c>
      <c r="L4535" s="18" t="s">
        <v>25</v>
      </c>
      <c r="N4535" s="18" t="s">
        <v>26</v>
      </c>
    </row>
    <row r="4536" spans="1:14" ht="15" customHeight="1" x14ac:dyDescent="0.3">
      <c r="A4536" s="18" t="s">
        <v>8824</v>
      </c>
      <c r="B4536" s="19" t="s">
        <v>15</v>
      </c>
      <c r="C4536" s="18" t="s">
        <v>210</v>
      </c>
      <c r="D4536" s="18" t="s">
        <v>116</v>
      </c>
      <c r="E4536" s="18" t="s">
        <v>18</v>
      </c>
      <c r="F4536" s="18" t="s">
        <v>28</v>
      </c>
      <c r="G4536" s="18" t="s">
        <v>28</v>
      </c>
      <c r="H4536" s="18" t="s">
        <v>8856</v>
      </c>
      <c r="I4536" s="20" t="s">
        <v>8857</v>
      </c>
      <c r="J4536" s="18" t="s">
        <v>30</v>
      </c>
      <c r="K4536" s="18" t="s">
        <v>24</v>
      </c>
      <c r="L4536" s="18" t="s">
        <v>25</v>
      </c>
      <c r="N4536" s="18" t="s">
        <v>26</v>
      </c>
    </row>
    <row r="4537" spans="1:14" ht="15" customHeight="1" x14ac:dyDescent="0.3">
      <c r="A4537" s="18" t="s">
        <v>8824</v>
      </c>
      <c r="B4537" s="19" t="s">
        <v>15</v>
      </c>
      <c r="C4537" s="18" t="s">
        <v>210</v>
      </c>
      <c r="D4537" s="18" t="s">
        <v>116</v>
      </c>
      <c r="E4537" s="18" t="s">
        <v>18</v>
      </c>
      <c r="F4537" s="18" t="s">
        <v>162</v>
      </c>
      <c r="G4537" s="18" t="s">
        <v>28</v>
      </c>
      <c r="H4537" s="18" t="s">
        <v>8835</v>
      </c>
      <c r="I4537" s="20" t="s">
        <v>8858</v>
      </c>
      <c r="J4537" s="18" t="s">
        <v>30</v>
      </c>
      <c r="K4537" s="18" t="s">
        <v>24</v>
      </c>
      <c r="L4537" s="18" t="s">
        <v>25</v>
      </c>
      <c r="N4537" s="18" t="s">
        <v>26</v>
      </c>
    </row>
    <row r="4538" spans="1:14" ht="15" customHeight="1" x14ac:dyDescent="0.3">
      <c r="A4538" s="18" t="s">
        <v>8824</v>
      </c>
      <c r="B4538" s="19" t="s">
        <v>15</v>
      </c>
      <c r="C4538" s="18" t="s">
        <v>210</v>
      </c>
      <c r="D4538" s="18" t="s">
        <v>116</v>
      </c>
      <c r="E4538" s="18" t="s">
        <v>18</v>
      </c>
      <c r="F4538" s="18" t="s">
        <v>8859</v>
      </c>
      <c r="G4538" s="18" t="s">
        <v>28</v>
      </c>
      <c r="H4538" s="18" t="s">
        <v>8835</v>
      </c>
      <c r="I4538" s="20" t="s">
        <v>8860</v>
      </c>
      <c r="J4538" s="18" t="s">
        <v>30</v>
      </c>
      <c r="K4538" s="18" t="s">
        <v>24</v>
      </c>
      <c r="L4538" s="18" t="s">
        <v>25</v>
      </c>
      <c r="N4538" s="18" t="s">
        <v>26</v>
      </c>
    </row>
    <row r="4539" spans="1:14" ht="15" customHeight="1" x14ac:dyDescent="0.3">
      <c r="A4539" s="18" t="s">
        <v>8824</v>
      </c>
      <c r="B4539" s="19" t="s">
        <v>15</v>
      </c>
      <c r="C4539" s="18" t="s">
        <v>210</v>
      </c>
      <c r="D4539" s="18" t="s">
        <v>116</v>
      </c>
      <c r="E4539" s="18" t="s">
        <v>18</v>
      </c>
      <c r="F4539" s="18" t="s">
        <v>4940</v>
      </c>
      <c r="G4539" s="18" t="s">
        <v>28</v>
      </c>
      <c r="H4539" s="18" t="s">
        <v>8856</v>
      </c>
      <c r="I4539" s="20" t="s">
        <v>8861</v>
      </c>
      <c r="J4539" s="18" t="s">
        <v>30</v>
      </c>
      <c r="K4539" s="18" t="s">
        <v>24</v>
      </c>
      <c r="L4539" s="18" t="s">
        <v>25</v>
      </c>
      <c r="N4539" s="18" t="s">
        <v>26</v>
      </c>
    </row>
    <row r="4540" spans="1:14" ht="15" customHeight="1" x14ac:dyDescent="0.3">
      <c r="A4540" s="18" t="s">
        <v>8824</v>
      </c>
      <c r="B4540" s="19" t="s">
        <v>15</v>
      </c>
      <c r="C4540" s="18" t="s">
        <v>210</v>
      </c>
      <c r="D4540" s="18" t="s">
        <v>116</v>
      </c>
      <c r="E4540" s="18" t="s">
        <v>18</v>
      </c>
      <c r="F4540" s="18" t="s">
        <v>619</v>
      </c>
      <c r="G4540" s="18" t="s">
        <v>619</v>
      </c>
      <c r="H4540" s="18" t="s">
        <v>8416</v>
      </c>
      <c r="I4540" s="20" t="s">
        <v>8862</v>
      </c>
      <c r="J4540" s="18" t="s">
        <v>23</v>
      </c>
      <c r="K4540" s="18" t="s">
        <v>24</v>
      </c>
      <c r="L4540" s="18" t="s">
        <v>25</v>
      </c>
      <c r="M4540" s="18" t="s">
        <v>8863</v>
      </c>
      <c r="N4540" s="18" t="s">
        <v>26</v>
      </c>
    </row>
    <row r="4541" spans="1:14" ht="15" customHeight="1" x14ac:dyDescent="0.3">
      <c r="A4541" s="18" t="s">
        <v>8824</v>
      </c>
      <c r="B4541" s="19" t="s">
        <v>15</v>
      </c>
      <c r="C4541" s="18" t="s">
        <v>210</v>
      </c>
      <c r="D4541" s="18" t="s">
        <v>116</v>
      </c>
      <c r="E4541" s="18" t="s">
        <v>18</v>
      </c>
      <c r="F4541" s="18" t="s">
        <v>1069</v>
      </c>
      <c r="G4541" s="18" t="s">
        <v>2921</v>
      </c>
      <c r="H4541" s="18" t="s">
        <v>8828</v>
      </c>
      <c r="I4541" s="20" t="s">
        <v>8864</v>
      </c>
      <c r="J4541" s="18" t="s">
        <v>30</v>
      </c>
      <c r="K4541" s="18" t="s">
        <v>24</v>
      </c>
      <c r="L4541" s="18" t="s">
        <v>25</v>
      </c>
      <c r="N4541" s="18" t="s">
        <v>26</v>
      </c>
    </row>
    <row r="4542" spans="1:14" ht="15" customHeight="1" x14ac:dyDescent="0.3">
      <c r="A4542" s="18" t="s">
        <v>8824</v>
      </c>
      <c r="B4542" s="19" t="s">
        <v>15</v>
      </c>
      <c r="C4542" s="18" t="s">
        <v>210</v>
      </c>
      <c r="D4542" s="18" t="s">
        <v>116</v>
      </c>
      <c r="E4542" s="18" t="s">
        <v>18</v>
      </c>
      <c r="F4542" s="18" t="s">
        <v>8865</v>
      </c>
      <c r="G4542" s="18" t="s">
        <v>305</v>
      </c>
      <c r="H4542" s="18" t="s">
        <v>8833</v>
      </c>
      <c r="I4542" s="20" t="s">
        <v>8866</v>
      </c>
      <c r="J4542" s="18" t="s">
        <v>30</v>
      </c>
      <c r="K4542" s="18" t="s">
        <v>24</v>
      </c>
      <c r="L4542" s="18" t="s">
        <v>25</v>
      </c>
      <c r="N4542" s="18" t="s">
        <v>26</v>
      </c>
    </row>
    <row r="4543" spans="1:14" ht="15" customHeight="1" x14ac:dyDescent="0.3">
      <c r="A4543" s="18" t="s">
        <v>8824</v>
      </c>
      <c r="B4543" s="19" t="s">
        <v>15</v>
      </c>
      <c r="C4543" s="18" t="s">
        <v>210</v>
      </c>
      <c r="D4543" s="18" t="s">
        <v>116</v>
      </c>
      <c r="E4543" s="18" t="s">
        <v>18</v>
      </c>
      <c r="F4543" s="18" t="s">
        <v>7604</v>
      </c>
      <c r="G4543" s="18" t="s">
        <v>1254</v>
      </c>
      <c r="H4543" s="18" t="s">
        <v>8867</v>
      </c>
      <c r="I4543" s="20" t="s">
        <v>8868</v>
      </c>
      <c r="J4543" s="18" t="s">
        <v>30</v>
      </c>
      <c r="K4543" s="18" t="s">
        <v>24</v>
      </c>
      <c r="L4543" s="18" t="s">
        <v>25</v>
      </c>
      <c r="N4543" s="18" t="s">
        <v>26</v>
      </c>
    </row>
    <row r="4544" spans="1:14" ht="15" customHeight="1" x14ac:dyDescent="0.3">
      <c r="A4544" s="18" t="s">
        <v>8824</v>
      </c>
      <c r="B4544" s="19" t="s">
        <v>15</v>
      </c>
      <c r="C4544" s="18" t="s">
        <v>210</v>
      </c>
      <c r="D4544" s="18" t="s">
        <v>116</v>
      </c>
      <c r="E4544" s="18" t="s">
        <v>18</v>
      </c>
      <c r="F4544" s="18" t="s">
        <v>2294</v>
      </c>
      <c r="G4544" s="18" t="s">
        <v>8869</v>
      </c>
      <c r="H4544" s="18" t="s">
        <v>8825</v>
      </c>
      <c r="I4544" s="20" t="s">
        <v>8870</v>
      </c>
      <c r="J4544" s="18" t="s">
        <v>30</v>
      </c>
      <c r="K4544" s="18" t="s">
        <v>24</v>
      </c>
      <c r="L4544" s="18" t="s">
        <v>25</v>
      </c>
      <c r="N4544" s="18" t="s">
        <v>26</v>
      </c>
    </row>
    <row r="4545" spans="1:14" ht="15" customHeight="1" x14ac:dyDescent="0.3">
      <c r="A4545" s="18" t="s">
        <v>8824</v>
      </c>
      <c r="B4545" s="19" t="s">
        <v>15</v>
      </c>
      <c r="C4545" s="18" t="s">
        <v>210</v>
      </c>
      <c r="D4545" s="18" t="s">
        <v>116</v>
      </c>
      <c r="E4545" s="18" t="s">
        <v>18</v>
      </c>
      <c r="F4545" s="18" t="s">
        <v>2124</v>
      </c>
      <c r="G4545" s="18" t="s">
        <v>8869</v>
      </c>
      <c r="H4545" s="18" t="s">
        <v>8825</v>
      </c>
      <c r="I4545" s="20" t="s">
        <v>8871</v>
      </c>
      <c r="J4545" s="18" t="s">
        <v>30</v>
      </c>
      <c r="K4545" s="18" t="s">
        <v>24</v>
      </c>
      <c r="L4545" s="18" t="s">
        <v>25</v>
      </c>
      <c r="N4545" s="18" t="s">
        <v>26</v>
      </c>
    </row>
    <row r="4546" spans="1:14" ht="15" customHeight="1" x14ac:dyDescent="0.3">
      <c r="A4546" s="18" t="s">
        <v>8824</v>
      </c>
      <c r="B4546" s="19" t="s">
        <v>15</v>
      </c>
      <c r="C4546" s="18" t="s">
        <v>210</v>
      </c>
      <c r="D4546" s="18" t="s">
        <v>116</v>
      </c>
      <c r="E4546" s="18" t="s">
        <v>18</v>
      </c>
      <c r="F4546" s="18" t="s">
        <v>8872</v>
      </c>
      <c r="G4546" s="18" t="s">
        <v>1254</v>
      </c>
      <c r="H4546" s="18" t="s">
        <v>8867</v>
      </c>
      <c r="I4546" s="20" t="s">
        <v>8873</v>
      </c>
      <c r="J4546" s="18" t="s">
        <v>30</v>
      </c>
      <c r="K4546" s="18" t="s">
        <v>24</v>
      </c>
      <c r="L4546" s="18" t="s">
        <v>25</v>
      </c>
      <c r="N4546" s="18" t="s">
        <v>26</v>
      </c>
    </row>
    <row r="4547" spans="1:14" ht="15" customHeight="1" x14ac:dyDescent="0.3">
      <c r="A4547" s="18" t="s">
        <v>8824</v>
      </c>
      <c r="B4547" s="19" t="s">
        <v>15</v>
      </c>
      <c r="C4547" s="18" t="s">
        <v>210</v>
      </c>
      <c r="D4547" s="18" t="s">
        <v>116</v>
      </c>
      <c r="E4547" s="18" t="s">
        <v>18</v>
      </c>
      <c r="F4547" s="18" t="s">
        <v>1239</v>
      </c>
      <c r="G4547" s="18" t="s">
        <v>1254</v>
      </c>
      <c r="H4547" s="18" t="s">
        <v>8867</v>
      </c>
      <c r="I4547" s="20" t="s">
        <v>8874</v>
      </c>
      <c r="J4547" s="18" t="s">
        <v>30</v>
      </c>
      <c r="K4547" s="18" t="s">
        <v>24</v>
      </c>
      <c r="L4547" s="18" t="s">
        <v>25</v>
      </c>
      <c r="N4547" s="18" t="s">
        <v>26</v>
      </c>
    </row>
    <row r="4548" spans="1:14" ht="15" customHeight="1" x14ac:dyDescent="0.3">
      <c r="A4548" s="18" t="s">
        <v>8824</v>
      </c>
      <c r="B4548" s="19" t="s">
        <v>15</v>
      </c>
      <c r="C4548" s="18" t="s">
        <v>210</v>
      </c>
      <c r="D4548" s="18" t="s">
        <v>116</v>
      </c>
      <c r="E4548" s="18" t="s">
        <v>18</v>
      </c>
      <c r="F4548" s="18" t="s">
        <v>8875</v>
      </c>
      <c r="G4548" s="18" t="s">
        <v>63</v>
      </c>
      <c r="H4548" s="18" t="s">
        <v>8159</v>
      </c>
      <c r="I4548" s="20" t="s">
        <v>8876</v>
      </c>
      <c r="J4548" s="18" t="s">
        <v>30</v>
      </c>
      <c r="K4548" s="18" t="s">
        <v>24</v>
      </c>
      <c r="L4548" s="18" t="s">
        <v>25</v>
      </c>
      <c r="N4548" s="18" t="s">
        <v>26</v>
      </c>
    </row>
    <row r="4549" spans="1:14" ht="15" customHeight="1" x14ac:dyDescent="0.3">
      <c r="A4549" s="18" t="s">
        <v>8824</v>
      </c>
      <c r="B4549" s="19" t="s">
        <v>15</v>
      </c>
      <c r="C4549" s="18" t="s">
        <v>210</v>
      </c>
      <c r="D4549" s="18" t="s">
        <v>116</v>
      </c>
      <c r="E4549" s="18" t="s">
        <v>18</v>
      </c>
      <c r="F4549" s="18" t="s">
        <v>221</v>
      </c>
      <c r="G4549" s="18" t="s">
        <v>212</v>
      </c>
      <c r="H4549" s="18" t="s">
        <v>8867</v>
      </c>
      <c r="I4549" s="20" t="s">
        <v>8877</v>
      </c>
      <c r="J4549" s="18" t="s">
        <v>30</v>
      </c>
      <c r="K4549" s="18" t="s">
        <v>24</v>
      </c>
      <c r="L4549" s="18" t="s">
        <v>25</v>
      </c>
      <c r="N4549" s="18" t="s">
        <v>26</v>
      </c>
    </row>
    <row r="4550" spans="1:14" ht="15" customHeight="1" x14ac:dyDescent="0.3">
      <c r="A4550" s="18" t="s">
        <v>8824</v>
      </c>
      <c r="B4550" s="19" t="s">
        <v>15</v>
      </c>
      <c r="C4550" s="18" t="s">
        <v>210</v>
      </c>
      <c r="D4550" s="18" t="s">
        <v>116</v>
      </c>
      <c r="E4550" s="18" t="s">
        <v>18</v>
      </c>
      <c r="F4550" s="18" t="s">
        <v>8878</v>
      </c>
      <c r="G4550" s="18" t="s">
        <v>212</v>
      </c>
      <c r="H4550" s="18" t="s">
        <v>8867</v>
      </c>
      <c r="I4550" s="20" t="s">
        <v>8879</v>
      </c>
      <c r="J4550" s="18" t="s">
        <v>23</v>
      </c>
      <c r="K4550" s="18" t="s">
        <v>24</v>
      </c>
      <c r="L4550" s="18" t="s">
        <v>25</v>
      </c>
      <c r="N4550" s="18" t="s">
        <v>26</v>
      </c>
    </row>
    <row r="4551" spans="1:14" ht="15" customHeight="1" x14ac:dyDescent="0.3">
      <c r="A4551" s="18" t="s">
        <v>8824</v>
      </c>
      <c r="B4551" s="19" t="s">
        <v>15</v>
      </c>
      <c r="C4551" s="18" t="s">
        <v>210</v>
      </c>
      <c r="D4551" s="18" t="s">
        <v>116</v>
      </c>
      <c r="E4551" s="18" t="s">
        <v>18</v>
      </c>
      <c r="F4551" s="18" t="s">
        <v>1244</v>
      </c>
      <c r="G4551" s="18" t="s">
        <v>1204</v>
      </c>
      <c r="H4551" s="18" t="s">
        <v>8867</v>
      </c>
      <c r="I4551" s="20" t="s">
        <v>8880</v>
      </c>
      <c r="J4551" s="18" t="s">
        <v>30</v>
      </c>
      <c r="K4551" s="18" t="s">
        <v>24</v>
      </c>
      <c r="L4551" s="18" t="s">
        <v>25</v>
      </c>
      <c r="N4551" s="18" t="s">
        <v>26</v>
      </c>
    </row>
    <row r="4552" spans="1:14" ht="15" customHeight="1" x14ac:dyDescent="0.3">
      <c r="A4552" s="18" t="s">
        <v>8824</v>
      </c>
      <c r="B4552" s="19" t="s">
        <v>15</v>
      </c>
      <c r="C4552" s="18" t="s">
        <v>210</v>
      </c>
      <c r="D4552" s="18" t="s">
        <v>116</v>
      </c>
      <c r="E4552" s="18" t="s">
        <v>18</v>
      </c>
      <c r="F4552" s="18" t="s">
        <v>8881</v>
      </c>
      <c r="G4552" s="18" t="s">
        <v>1204</v>
      </c>
      <c r="H4552" s="18" t="s">
        <v>8867</v>
      </c>
      <c r="I4552" s="20" t="s">
        <v>8882</v>
      </c>
      <c r="J4552" s="18" t="s">
        <v>23</v>
      </c>
      <c r="K4552" s="18" t="s">
        <v>24</v>
      </c>
      <c r="L4552" s="18" t="s">
        <v>25</v>
      </c>
      <c r="N4552" s="18" t="s">
        <v>26</v>
      </c>
    </row>
    <row r="4553" spans="1:14" ht="15" customHeight="1" x14ac:dyDescent="0.3">
      <c r="A4553" s="18" t="s">
        <v>8824</v>
      </c>
      <c r="B4553" s="19" t="s">
        <v>15</v>
      </c>
      <c r="C4553" s="18" t="s">
        <v>210</v>
      </c>
      <c r="D4553" s="18" t="s">
        <v>116</v>
      </c>
      <c r="E4553" s="18" t="s">
        <v>18</v>
      </c>
      <c r="F4553" s="18" t="s">
        <v>8883</v>
      </c>
      <c r="G4553" s="18" t="s">
        <v>1204</v>
      </c>
      <c r="H4553" s="18" t="s">
        <v>8867</v>
      </c>
      <c r="I4553" s="20" t="s">
        <v>8884</v>
      </c>
      <c r="J4553" s="18" t="s">
        <v>30</v>
      </c>
      <c r="K4553" s="18" t="s">
        <v>24</v>
      </c>
      <c r="L4553" s="18" t="s">
        <v>25</v>
      </c>
      <c r="N4553" s="18" t="s">
        <v>26</v>
      </c>
    </row>
    <row r="4554" spans="1:14" ht="15" customHeight="1" x14ac:dyDescent="0.3">
      <c r="A4554" s="18" t="s">
        <v>8824</v>
      </c>
      <c r="B4554" s="19" t="s">
        <v>15</v>
      </c>
      <c r="C4554" s="18" t="s">
        <v>210</v>
      </c>
      <c r="D4554" s="18" t="s">
        <v>116</v>
      </c>
      <c r="E4554" s="18" t="s">
        <v>18</v>
      </c>
      <c r="F4554" s="18" t="s">
        <v>8885</v>
      </c>
      <c r="G4554" s="18" t="s">
        <v>8869</v>
      </c>
      <c r="H4554" s="18" t="s">
        <v>8825</v>
      </c>
      <c r="I4554" s="20" t="s">
        <v>8886</v>
      </c>
      <c r="J4554" s="18" t="s">
        <v>30</v>
      </c>
      <c r="K4554" s="18" t="s">
        <v>24</v>
      </c>
      <c r="L4554" s="18" t="s">
        <v>25</v>
      </c>
      <c r="N4554" s="18" t="s">
        <v>26</v>
      </c>
    </row>
    <row r="4555" spans="1:14" ht="15" customHeight="1" x14ac:dyDescent="0.3">
      <c r="A4555" s="18" t="s">
        <v>8824</v>
      </c>
      <c r="B4555" s="19" t="s">
        <v>15</v>
      </c>
      <c r="C4555" s="18" t="s">
        <v>210</v>
      </c>
      <c r="D4555" s="18" t="s">
        <v>116</v>
      </c>
      <c r="E4555" s="18" t="s">
        <v>18</v>
      </c>
      <c r="F4555" s="18" t="s">
        <v>7609</v>
      </c>
      <c r="G4555" s="18" t="s">
        <v>3138</v>
      </c>
      <c r="H4555" s="18" t="s">
        <v>8159</v>
      </c>
      <c r="I4555" s="20" t="s">
        <v>8887</v>
      </c>
      <c r="J4555" s="18" t="s">
        <v>30</v>
      </c>
      <c r="K4555" s="18" t="s">
        <v>24</v>
      </c>
      <c r="L4555" s="18" t="s">
        <v>25</v>
      </c>
      <c r="N4555" s="18" t="s">
        <v>26</v>
      </c>
    </row>
    <row r="4556" spans="1:14" ht="15" customHeight="1" x14ac:dyDescent="0.3">
      <c r="A4556" s="18" t="s">
        <v>8824</v>
      </c>
      <c r="B4556" s="19" t="s">
        <v>15</v>
      </c>
      <c r="C4556" s="18" t="s">
        <v>210</v>
      </c>
      <c r="D4556" s="18" t="s">
        <v>116</v>
      </c>
      <c r="E4556" s="18" t="s">
        <v>18</v>
      </c>
      <c r="F4556" s="18" t="s">
        <v>8888</v>
      </c>
      <c r="G4556" s="18" t="s">
        <v>1254</v>
      </c>
      <c r="H4556" s="18" t="s">
        <v>8867</v>
      </c>
      <c r="I4556" s="20" t="s">
        <v>8889</v>
      </c>
      <c r="J4556" s="18" t="s">
        <v>30</v>
      </c>
      <c r="K4556" s="18" t="s">
        <v>24</v>
      </c>
      <c r="L4556" s="18" t="s">
        <v>25</v>
      </c>
      <c r="N4556" s="18" t="s">
        <v>26</v>
      </c>
    </row>
    <row r="4557" spans="1:14" ht="15" customHeight="1" x14ac:dyDescent="0.3">
      <c r="A4557" s="18" t="s">
        <v>8824</v>
      </c>
      <c r="B4557" s="19" t="s">
        <v>15</v>
      </c>
      <c r="C4557" s="18" t="s">
        <v>210</v>
      </c>
      <c r="D4557" s="18" t="s">
        <v>116</v>
      </c>
      <c r="E4557" s="18" t="s">
        <v>18</v>
      </c>
      <c r="F4557" s="18" t="s">
        <v>8890</v>
      </c>
      <c r="G4557" s="18" t="s">
        <v>1254</v>
      </c>
      <c r="H4557" s="18" t="s">
        <v>8159</v>
      </c>
      <c r="I4557" s="20" t="s">
        <v>8891</v>
      </c>
      <c r="J4557" s="18" t="s">
        <v>30</v>
      </c>
      <c r="K4557" s="18" t="s">
        <v>24</v>
      </c>
      <c r="L4557" s="18" t="s">
        <v>25</v>
      </c>
      <c r="N4557" s="18" t="s">
        <v>26</v>
      </c>
    </row>
    <row r="4558" spans="1:14" ht="15" customHeight="1" x14ac:dyDescent="0.3">
      <c r="A4558" s="18" t="s">
        <v>8824</v>
      </c>
      <c r="B4558" s="19" t="s">
        <v>15</v>
      </c>
      <c r="C4558" s="18" t="s">
        <v>210</v>
      </c>
      <c r="D4558" s="18" t="s">
        <v>116</v>
      </c>
      <c r="E4558" s="18" t="s">
        <v>18</v>
      </c>
      <c r="F4558" s="18" t="s">
        <v>8892</v>
      </c>
      <c r="G4558" s="18" t="s">
        <v>1254</v>
      </c>
      <c r="H4558" s="18" t="s">
        <v>8867</v>
      </c>
      <c r="I4558" s="20" t="s">
        <v>8893</v>
      </c>
      <c r="J4558" s="18" t="s">
        <v>30</v>
      </c>
      <c r="K4558" s="18" t="s">
        <v>24</v>
      </c>
      <c r="L4558" s="18" t="s">
        <v>25</v>
      </c>
      <c r="N4558" s="18" t="s">
        <v>26</v>
      </c>
    </row>
    <row r="4559" spans="1:14" ht="15" customHeight="1" x14ac:dyDescent="0.3">
      <c r="A4559" s="18" t="s">
        <v>8824</v>
      </c>
      <c r="B4559" s="19" t="s">
        <v>15</v>
      </c>
      <c r="C4559" s="18" t="s">
        <v>210</v>
      </c>
      <c r="D4559" s="18" t="s">
        <v>116</v>
      </c>
      <c r="E4559" s="18" t="s">
        <v>18</v>
      </c>
      <c r="F4559" s="18" t="s">
        <v>1072</v>
      </c>
      <c r="G4559" s="18" t="s">
        <v>47</v>
      </c>
      <c r="H4559" s="18" t="s">
        <v>8159</v>
      </c>
      <c r="I4559" s="20" t="s">
        <v>8894</v>
      </c>
      <c r="J4559" s="18" t="s">
        <v>30</v>
      </c>
      <c r="K4559" s="18" t="s">
        <v>24</v>
      </c>
      <c r="L4559" s="18" t="s">
        <v>25</v>
      </c>
      <c r="N4559" s="18" t="s">
        <v>26</v>
      </c>
    </row>
    <row r="4560" spans="1:14" ht="15" customHeight="1" x14ac:dyDescent="0.3">
      <c r="A4560" s="18" t="s">
        <v>8824</v>
      </c>
      <c r="B4560" s="19" t="s">
        <v>15</v>
      </c>
      <c r="C4560" s="18" t="s">
        <v>210</v>
      </c>
      <c r="D4560" s="18" t="s">
        <v>116</v>
      </c>
      <c r="E4560" s="18" t="s">
        <v>18</v>
      </c>
      <c r="F4560" s="18" t="s">
        <v>136</v>
      </c>
      <c r="G4560" s="18" t="s">
        <v>47</v>
      </c>
      <c r="H4560" s="18" t="s">
        <v>8867</v>
      </c>
      <c r="I4560" s="20" t="s">
        <v>8895</v>
      </c>
      <c r="J4560" s="18" t="s">
        <v>30</v>
      </c>
      <c r="K4560" s="18" t="s">
        <v>24</v>
      </c>
      <c r="L4560" s="18" t="s">
        <v>25</v>
      </c>
      <c r="N4560" s="18" t="s">
        <v>26</v>
      </c>
    </row>
    <row r="4561" spans="1:14" ht="15" customHeight="1" x14ac:dyDescent="0.3">
      <c r="A4561" s="18" t="s">
        <v>8824</v>
      </c>
      <c r="B4561" s="19" t="s">
        <v>15</v>
      </c>
      <c r="C4561" s="18" t="s">
        <v>210</v>
      </c>
      <c r="D4561" s="18" t="s">
        <v>116</v>
      </c>
      <c r="E4561" s="18" t="s">
        <v>18</v>
      </c>
      <c r="F4561" s="18" t="s">
        <v>34</v>
      </c>
      <c r="G4561" s="18" t="s">
        <v>1254</v>
      </c>
      <c r="H4561" s="18" t="s">
        <v>8867</v>
      </c>
      <c r="I4561" s="20" t="s">
        <v>8896</v>
      </c>
      <c r="J4561" s="18" t="s">
        <v>30</v>
      </c>
      <c r="K4561" s="18" t="s">
        <v>24</v>
      </c>
      <c r="L4561" s="18" t="s">
        <v>25</v>
      </c>
      <c r="N4561" s="18" t="s">
        <v>26</v>
      </c>
    </row>
    <row r="4562" spans="1:14" ht="15" customHeight="1" x14ac:dyDescent="0.3">
      <c r="A4562" s="18" t="s">
        <v>8824</v>
      </c>
      <c r="B4562" s="19" t="s">
        <v>15</v>
      </c>
      <c r="C4562" s="18" t="s">
        <v>210</v>
      </c>
      <c r="D4562" s="18" t="s">
        <v>116</v>
      </c>
      <c r="E4562" s="18" t="s">
        <v>18</v>
      </c>
      <c r="F4562" s="18" t="s">
        <v>8460</v>
      </c>
      <c r="G4562" s="18" t="s">
        <v>1254</v>
      </c>
      <c r="H4562" s="18" t="s">
        <v>8867</v>
      </c>
      <c r="I4562" s="20" t="s">
        <v>8897</v>
      </c>
      <c r="J4562" s="18" t="s">
        <v>30</v>
      </c>
      <c r="K4562" s="18" t="s">
        <v>24</v>
      </c>
      <c r="L4562" s="18" t="s">
        <v>25</v>
      </c>
      <c r="N4562" s="18" t="s">
        <v>26</v>
      </c>
    </row>
    <row r="4563" spans="1:14" ht="15" customHeight="1" x14ac:dyDescent="0.3">
      <c r="A4563" s="18" t="s">
        <v>8824</v>
      </c>
      <c r="B4563" s="19" t="s">
        <v>15</v>
      </c>
      <c r="C4563" s="18" t="s">
        <v>210</v>
      </c>
      <c r="D4563" s="18" t="s">
        <v>116</v>
      </c>
      <c r="E4563" s="18" t="s">
        <v>18</v>
      </c>
      <c r="F4563" s="18" t="s">
        <v>1250</v>
      </c>
      <c r="G4563" s="18" t="s">
        <v>8898</v>
      </c>
      <c r="H4563" s="18" t="s">
        <v>8867</v>
      </c>
      <c r="I4563" s="20" t="s">
        <v>8899</v>
      </c>
      <c r="J4563" s="18" t="s">
        <v>30</v>
      </c>
      <c r="K4563" s="18" t="s">
        <v>24</v>
      </c>
      <c r="L4563" s="18" t="s">
        <v>25</v>
      </c>
      <c r="N4563" s="18" t="s">
        <v>26</v>
      </c>
    </row>
    <row r="4564" spans="1:14" ht="15" customHeight="1" x14ac:dyDescent="0.3">
      <c r="A4564" s="18" t="s">
        <v>8824</v>
      </c>
      <c r="B4564" s="19" t="s">
        <v>15</v>
      </c>
      <c r="C4564" s="18" t="s">
        <v>210</v>
      </c>
      <c r="D4564" s="18" t="s">
        <v>116</v>
      </c>
      <c r="E4564" s="18" t="s">
        <v>18</v>
      </c>
      <c r="F4564" s="18" t="s">
        <v>2302</v>
      </c>
      <c r="G4564" s="18" t="s">
        <v>1704</v>
      </c>
      <c r="H4564" s="18" t="s">
        <v>8825</v>
      </c>
      <c r="I4564" s="20" t="s">
        <v>8900</v>
      </c>
      <c r="J4564" s="18" t="s">
        <v>30</v>
      </c>
      <c r="K4564" s="18" t="s">
        <v>24</v>
      </c>
      <c r="L4564" s="18" t="s">
        <v>25</v>
      </c>
      <c r="N4564" s="18" t="s">
        <v>26</v>
      </c>
    </row>
    <row r="4565" spans="1:14" ht="15" customHeight="1" x14ac:dyDescent="0.3">
      <c r="A4565" s="18" t="s">
        <v>8824</v>
      </c>
      <c r="B4565" s="19" t="s">
        <v>15</v>
      </c>
      <c r="C4565" s="18" t="s">
        <v>210</v>
      </c>
      <c r="D4565" s="18" t="s">
        <v>116</v>
      </c>
      <c r="E4565" s="18" t="s">
        <v>18</v>
      </c>
      <c r="F4565" s="18" t="s">
        <v>8901</v>
      </c>
      <c r="G4565" s="18" t="s">
        <v>1204</v>
      </c>
      <c r="H4565" s="18" t="s">
        <v>8159</v>
      </c>
      <c r="I4565" s="20" t="s">
        <v>8902</v>
      </c>
      <c r="J4565" s="18" t="s">
        <v>30</v>
      </c>
      <c r="K4565" s="18" t="s">
        <v>24</v>
      </c>
      <c r="L4565" s="18" t="s">
        <v>25</v>
      </c>
      <c r="N4565" s="18" t="s">
        <v>26</v>
      </c>
    </row>
    <row r="4566" spans="1:14" ht="15" customHeight="1" x14ac:dyDescent="0.3">
      <c r="A4566" s="18" t="s">
        <v>8824</v>
      </c>
      <c r="B4566" s="19" t="s">
        <v>15</v>
      </c>
      <c r="C4566" s="18" t="s">
        <v>210</v>
      </c>
      <c r="D4566" s="18" t="s">
        <v>116</v>
      </c>
      <c r="E4566" s="18" t="s">
        <v>18</v>
      </c>
      <c r="F4566" s="18" t="s">
        <v>37</v>
      </c>
      <c r="G4566" s="18" t="s">
        <v>1254</v>
      </c>
      <c r="H4566" s="18" t="s">
        <v>8867</v>
      </c>
      <c r="I4566" s="20" t="s">
        <v>8903</v>
      </c>
      <c r="J4566" s="18" t="s">
        <v>30</v>
      </c>
      <c r="K4566" s="18" t="s">
        <v>24</v>
      </c>
      <c r="L4566" s="18" t="s">
        <v>25</v>
      </c>
      <c r="N4566" s="18" t="s">
        <v>26</v>
      </c>
    </row>
    <row r="4567" spans="1:14" ht="15" customHeight="1" x14ac:dyDescent="0.3">
      <c r="A4567" s="18" t="s">
        <v>8824</v>
      </c>
      <c r="B4567" s="19" t="s">
        <v>15</v>
      </c>
      <c r="C4567" s="18" t="s">
        <v>210</v>
      </c>
      <c r="D4567" s="18" t="s">
        <v>116</v>
      </c>
      <c r="E4567" s="18" t="s">
        <v>18</v>
      </c>
      <c r="F4567" s="18" t="s">
        <v>8904</v>
      </c>
      <c r="G4567" s="18" t="s">
        <v>8905</v>
      </c>
      <c r="H4567" s="18" t="s">
        <v>8867</v>
      </c>
      <c r="I4567" s="20" t="s">
        <v>8906</v>
      </c>
      <c r="J4567" s="18" t="s">
        <v>30</v>
      </c>
      <c r="K4567" s="18" t="s">
        <v>24</v>
      </c>
      <c r="L4567" s="18" t="s">
        <v>25</v>
      </c>
      <c r="N4567" s="18" t="s">
        <v>26</v>
      </c>
    </row>
    <row r="4568" spans="1:14" ht="15" customHeight="1" x14ac:dyDescent="0.3">
      <c r="A4568" s="18" t="s">
        <v>8824</v>
      </c>
      <c r="B4568" s="19" t="s">
        <v>15</v>
      </c>
      <c r="C4568" s="18" t="s">
        <v>210</v>
      </c>
      <c r="D4568" s="18" t="s">
        <v>116</v>
      </c>
      <c r="E4568" s="18" t="s">
        <v>18</v>
      </c>
      <c r="F4568" s="18" t="s">
        <v>1074</v>
      </c>
      <c r="G4568" s="18" t="s">
        <v>1204</v>
      </c>
      <c r="H4568" s="18" t="s">
        <v>8867</v>
      </c>
      <c r="I4568" s="20" t="s">
        <v>8907</v>
      </c>
      <c r="J4568" s="18" t="s">
        <v>30</v>
      </c>
      <c r="K4568" s="18" t="s">
        <v>24</v>
      </c>
      <c r="L4568" s="18" t="s">
        <v>25</v>
      </c>
      <c r="N4568" s="18" t="s">
        <v>26</v>
      </c>
    </row>
    <row r="4569" spans="1:14" ht="15" customHeight="1" x14ac:dyDescent="0.3">
      <c r="A4569" s="18" t="s">
        <v>8824</v>
      </c>
      <c r="B4569" s="19" t="s">
        <v>15</v>
      </c>
      <c r="C4569" s="18" t="s">
        <v>210</v>
      </c>
      <c r="D4569" s="18" t="s">
        <v>116</v>
      </c>
      <c r="E4569" s="18" t="s">
        <v>18</v>
      </c>
      <c r="F4569" s="18" t="s">
        <v>2099</v>
      </c>
      <c r="G4569" s="18" t="s">
        <v>8869</v>
      </c>
      <c r="H4569" s="18" t="s">
        <v>8825</v>
      </c>
      <c r="I4569" s="20" t="s">
        <v>8908</v>
      </c>
      <c r="J4569" s="18" t="s">
        <v>30</v>
      </c>
      <c r="K4569" s="18" t="s">
        <v>24</v>
      </c>
      <c r="L4569" s="18" t="s">
        <v>25</v>
      </c>
      <c r="N4569" s="18" t="s">
        <v>26</v>
      </c>
    </row>
    <row r="4570" spans="1:14" ht="15" customHeight="1" x14ac:dyDescent="0.3">
      <c r="A4570" s="18" t="s">
        <v>8824</v>
      </c>
      <c r="B4570" s="19" t="s">
        <v>15</v>
      </c>
      <c r="C4570" s="18" t="s">
        <v>210</v>
      </c>
      <c r="D4570" s="18" t="s">
        <v>116</v>
      </c>
      <c r="E4570" s="18" t="s">
        <v>18</v>
      </c>
      <c r="F4570" s="18" t="s">
        <v>8909</v>
      </c>
      <c r="G4570" s="18" t="s">
        <v>7668</v>
      </c>
      <c r="H4570" s="18" t="s">
        <v>8159</v>
      </c>
      <c r="I4570" s="20" t="s">
        <v>8910</v>
      </c>
      <c r="J4570" s="18" t="s">
        <v>30</v>
      </c>
      <c r="K4570" s="18" t="s">
        <v>24</v>
      </c>
      <c r="L4570" s="18" t="s">
        <v>25</v>
      </c>
      <c r="N4570" s="18" t="s">
        <v>26</v>
      </c>
    </row>
    <row r="4571" spans="1:14" ht="15" customHeight="1" x14ac:dyDescent="0.3">
      <c r="A4571" s="18" t="s">
        <v>8824</v>
      </c>
      <c r="B4571" s="19" t="s">
        <v>15</v>
      </c>
      <c r="C4571" s="18" t="s">
        <v>210</v>
      </c>
      <c r="D4571" s="18" t="s">
        <v>116</v>
      </c>
      <c r="E4571" s="18" t="s">
        <v>18</v>
      </c>
      <c r="F4571" s="18" t="s">
        <v>1253</v>
      </c>
      <c r="G4571" s="18" t="s">
        <v>1254</v>
      </c>
      <c r="H4571" s="18" t="s">
        <v>8867</v>
      </c>
      <c r="I4571" s="20" t="s">
        <v>8911</v>
      </c>
      <c r="J4571" s="18" t="s">
        <v>30</v>
      </c>
      <c r="K4571" s="18" t="s">
        <v>24</v>
      </c>
      <c r="L4571" s="18" t="s">
        <v>25</v>
      </c>
      <c r="N4571" s="18" t="s">
        <v>26</v>
      </c>
    </row>
    <row r="4572" spans="1:14" ht="15" customHeight="1" x14ac:dyDescent="0.3">
      <c r="A4572" s="18" t="s">
        <v>8824</v>
      </c>
      <c r="B4572" s="19" t="s">
        <v>15</v>
      </c>
      <c r="C4572" s="18" t="s">
        <v>210</v>
      </c>
      <c r="D4572" s="18" t="s">
        <v>116</v>
      </c>
      <c r="E4572" s="18" t="s">
        <v>18</v>
      </c>
      <c r="F4572" s="18" t="s">
        <v>8912</v>
      </c>
      <c r="G4572" s="18" t="s">
        <v>1019</v>
      </c>
      <c r="H4572" s="18" t="s">
        <v>8852</v>
      </c>
      <c r="I4572" s="20" t="s">
        <v>8913</v>
      </c>
      <c r="J4572" s="18" t="s">
        <v>30</v>
      </c>
      <c r="K4572" s="18" t="s">
        <v>24</v>
      </c>
      <c r="L4572" s="18" t="s">
        <v>25</v>
      </c>
      <c r="M4572" s="18" t="s">
        <v>39</v>
      </c>
      <c r="N4572" s="18" t="s">
        <v>26</v>
      </c>
    </row>
    <row r="4573" spans="1:14" ht="15" customHeight="1" x14ac:dyDescent="0.3">
      <c r="A4573" s="18" t="s">
        <v>8824</v>
      </c>
      <c r="B4573" s="19" t="s">
        <v>15</v>
      </c>
      <c r="C4573" s="18" t="s">
        <v>210</v>
      </c>
      <c r="D4573" s="18" t="s">
        <v>116</v>
      </c>
      <c r="E4573" s="18" t="s">
        <v>18</v>
      </c>
      <c r="F4573" s="18" t="s">
        <v>8914</v>
      </c>
      <c r="G4573" s="18" t="s">
        <v>8851</v>
      </c>
      <c r="H4573" s="18" t="s">
        <v>8835</v>
      </c>
      <c r="I4573" s="20" t="s">
        <v>8915</v>
      </c>
      <c r="J4573" s="18" t="s">
        <v>30</v>
      </c>
      <c r="K4573" s="18" t="s">
        <v>24</v>
      </c>
      <c r="L4573" s="18" t="s">
        <v>25</v>
      </c>
      <c r="N4573" s="18" t="s">
        <v>26</v>
      </c>
    </row>
    <row r="4574" spans="1:14" ht="15" customHeight="1" x14ac:dyDescent="0.3">
      <c r="A4574" s="18" t="s">
        <v>8824</v>
      </c>
      <c r="B4574" s="19" t="s">
        <v>15</v>
      </c>
      <c r="C4574" s="18" t="s">
        <v>210</v>
      </c>
      <c r="D4574" s="18" t="s">
        <v>116</v>
      </c>
      <c r="E4574" s="18" t="s">
        <v>18</v>
      </c>
      <c r="F4574" s="18" t="s">
        <v>8916</v>
      </c>
      <c r="G4574" s="18" t="s">
        <v>88</v>
      </c>
      <c r="H4574" s="18" t="s">
        <v>8159</v>
      </c>
      <c r="I4574" s="20" t="s">
        <v>8917</v>
      </c>
      <c r="J4574" s="18" t="s">
        <v>30</v>
      </c>
      <c r="K4574" s="18" t="s">
        <v>24</v>
      </c>
      <c r="L4574" s="18" t="s">
        <v>25</v>
      </c>
      <c r="N4574" s="18" t="s">
        <v>26</v>
      </c>
    </row>
    <row r="4575" spans="1:14" ht="15" customHeight="1" x14ac:dyDescent="0.3">
      <c r="A4575" s="18" t="s">
        <v>8824</v>
      </c>
      <c r="B4575" s="19" t="s">
        <v>15</v>
      </c>
      <c r="C4575" s="18" t="s">
        <v>210</v>
      </c>
      <c r="D4575" s="18" t="s">
        <v>116</v>
      </c>
      <c r="E4575" s="18" t="s">
        <v>18</v>
      </c>
      <c r="F4575" s="18" t="s">
        <v>8632</v>
      </c>
      <c r="G4575" s="18" t="s">
        <v>197</v>
      </c>
      <c r="H4575" s="18" t="s">
        <v>8420</v>
      </c>
      <c r="I4575" s="20" t="s">
        <v>8918</v>
      </c>
      <c r="J4575" s="18" t="s">
        <v>30</v>
      </c>
      <c r="K4575" s="18" t="s">
        <v>24</v>
      </c>
      <c r="L4575" s="18" t="s">
        <v>25</v>
      </c>
      <c r="N4575" s="18" t="s">
        <v>26</v>
      </c>
    </row>
    <row r="4576" spans="1:14" ht="15" customHeight="1" x14ac:dyDescent="0.3">
      <c r="A4576" s="18" t="s">
        <v>8824</v>
      </c>
      <c r="B4576" s="19" t="s">
        <v>15</v>
      </c>
      <c r="C4576" s="18" t="s">
        <v>210</v>
      </c>
      <c r="D4576" s="18" t="s">
        <v>116</v>
      </c>
      <c r="E4576" s="18" t="s">
        <v>18</v>
      </c>
      <c r="F4576" s="18" t="s">
        <v>8465</v>
      </c>
      <c r="G4576" s="18" t="s">
        <v>2245</v>
      </c>
      <c r="H4576" s="18" t="s">
        <v>8420</v>
      </c>
      <c r="I4576" s="20" t="s">
        <v>8919</v>
      </c>
      <c r="J4576" s="18" t="s">
        <v>30</v>
      </c>
      <c r="K4576" s="18" t="s">
        <v>24</v>
      </c>
      <c r="L4576" s="18" t="s">
        <v>25</v>
      </c>
      <c r="N4576" s="18" t="s">
        <v>26</v>
      </c>
    </row>
    <row r="4577" spans="1:14" ht="15" customHeight="1" x14ac:dyDescent="0.3">
      <c r="A4577" s="18" t="s">
        <v>8824</v>
      </c>
      <c r="B4577" s="19" t="s">
        <v>15</v>
      </c>
      <c r="C4577" s="18" t="s">
        <v>210</v>
      </c>
      <c r="D4577" s="18" t="s">
        <v>116</v>
      </c>
      <c r="E4577" s="18" t="s">
        <v>18</v>
      </c>
      <c r="F4577" s="18" t="s">
        <v>6537</v>
      </c>
      <c r="G4577" s="18" t="s">
        <v>8847</v>
      </c>
      <c r="H4577" s="18" t="s">
        <v>8420</v>
      </c>
      <c r="I4577" s="20" t="s">
        <v>8920</v>
      </c>
      <c r="J4577" s="18" t="s">
        <v>30</v>
      </c>
      <c r="K4577" s="18" t="s">
        <v>24</v>
      </c>
      <c r="L4577" s="18" t="s">
        <v>25</v>
      </c>
      <c r="N4577" s="18" t="s">
        <v>26</v>
      </c>
    </row>
    <row r="4578" spans="1:14" ht="15" customHeight="1" x14ac:dyDescent="0.3">
      <c r="A4578" s="18" t="s">
        <v>8824</v>
      </c>
      <c r="B4578" s="19" t="s">
        <v>15</v>
      </c>
      <c r="C4578" s="18" t="s">
        <v>210</v>
      </c>
      <c r="D4578" s="18" t="s">
        <v>116</v>
      </c>
      <c r="E4578" s="18" t="s">
        <v>18</v>
      </c>
      <c r="F4578" s="18" t="s">
        <v>8467</v>
      </c>
      <c r="G4578" s="18" t="s">
        <v>8847</v>
      </c>
      <c r="H4578" s="18" t="s">
        <v>8420</v>
      </c>
      <c r="I4578" s="20" t="s">
        <v>8921</v>
      </c>
      <c r="J4578" s="18" t="s">
        <v>30</v>
      </c>
      <c r="K4578" s="18" t="s">
        <v>24</v>
      </c>
      <c r="L4578" s="18" t="s">
        <v>25</v>
      </c>
      <c r="N4578" s="18" t="s">
        <v>26</v>
      </c>
    </row>
    <row r="4579" spans="1:14" ht="15" customHeight="1" x14ac:dyDescent="0.3">
      <c r="A4579" s="18" t="s">
        <v>8824</v>
      </c>
      <c r="B4579" s="19" t="s">
        <v>15</v>
      </c>
      <c r="C4579" s="18" t="s">
        <v>210</v>
      </c>
      <c r="D4579" s="18" t="s">
        <v>116</v>
      </c>
      <c r="E4579" s="18" t="s">
        <v>18</v>
      </c>
      <c r="F4579" s="18" t="s">
        <v>8922</v>
      </c>
      <c r="G4579" s="18" t="s">
        <v>8847</v>
      </c>
      <c r="H4579" s="18" t="s">
        <v>8420</v>
      </c>
      <c r="I4579" s="20" t="s">
        <v>8923</v>
      </c>
      <c r="J4579" s="18" t="s">
        <v>30</v>
      </c>
      <c r="K4579" s="18" t="s">
        <v>24</v>
      </c>
      <c r="L4579" s="18" t="s">
        <v>25</v>
      </c>
      <c r="N4579" s="18" t="s">
        <v>26</v>
      </c>
    </row>
    <row r="4580" spans="1:14" ht="15" customHeight="1" x14ac:dyDescent="0.3">
      <c r="A4580" s="18" t="s">
        <v>8824</v>
      </c>
      <c r="B4580" s="19" t="s">
        <v>15</v>
      </c>
      <c r="C4580" s="18" t="s">
        <v>210</v>
      </c>
      <c r="D4580" s="18" t="s">
        <v>116</v>
      </c>
      <c r="E4580" s="18" t="s">
        <v>18</v>
      </c>
      <c r="F4580" s="18" t="s">
        <v>3396</v>
      </c>
      <c r="G4580" s="18" t="s">
        <v>197</v>
      </c>
      <c r="H4580" s="18" t="s">
        <v>8420</v>
      </c>
      <c r="I4580" s="20" t="s">
        <v>8924</v>
      </c>
      <c r="J4580" s="18" t="s">
        <v>30</v>
      </c>
      <c r="K4580" s="18" t="s">
        <v>24</v>
      </c>
      <c r="L4580" s="18" t="s">
        <v>25</v>
      </c>
      <c r="N4580" s="18" t="s">
        <v>26</v>
      </c>
    </row>
    <row r="4581" spans="1:14" ht="15" customHeight="1" x14ac:dyDescent="0.3">
      <c r="A4581" s="18" t="s">
        <v>8824</v>
      </c>
      <c r="B4581" s="19" t="s">
        <v>15</v>
      </c>
      <c r="C4581" s="18" t="s">
        <v>210</v>
      </c>
      <c r="D4581" s="18" t="s">
        <v>116</v>
      </c>
      <c r="E4581" s="18" t="s">
        <v>18</v>
      </c>
      <c r="F4581" s="18" t="s">
        <v>8838</v>
      </c>
      <c r="G4581" s="18" t="s">
        <v>8838</v>
      </c>
      <c r="H4581" s="18" t="s">
        <v>8835</v>
      </c>
      <c r="I4581" s="20" t="s">
        <v>8925</v>
      </c>
      <c r="J4581" s="18" t="s">
        <v>30</v>
      </c>
      <c r="K4581" s="18" t="s">
        <v>24</v>
      </c>
      <c r="L4581" s="18" t="s">
        <v>25</v>
      </c>
      <c r="N4581" s="18" t="s">
        <v>26</v>
      </c>
    </row>
    <row r="4582" spans="1:14" ht="15" customHeight="1" x14ac:dyDescent="0.3">
      <c r="A4582" s="18" t="s">
        <v>8824</v>
      </c>
      <c r="B4582" s="19" t="s">
        <v>15</v>
      </c>
      <c r="C4582" s="18" t="s">
        <v>210</v>
      </c>
      <c r="D4582" s="18" t="s">
        <v>116</v>
      </c>
      <c r="E4582" s="18" t="s">
        <v>18</v>
      </c>
      <c r="F4582" s="18" t="s">
        <v>6425</v>
      </c>
      <c r="G4582" s="18" t="s">
        <v>8847</v>
      </c>
      <c r="H4582" s="18" t="s">
        <v>8420</v>
      </c>
      <c r="I4582" s="20" t="s">
        <v>8926</v>
      </c>
      <c r="J4582" s="18" t="s">
        <v>30</v>
      </c>
      <c r="K4582" s="18" t="s">
        <v>24</v>
      </c>
      <c r="L4582" s="18" t="s">
        <v>25</v>
      </c>
      <c r="N4582" s="18" t="s">
        <v>26</v>
      </c>
    </row>
    <row r="4583" spans="1:14" ht="15" customHeight="1" x14ac:dyDescent="0.3">
      <c r="A4583" s="18" t="s">
        <v>8824</v>
      </c>
      <c r="B4583" s="19" t="s">
        <v>15</v>
      </c>
      <c r="C4583" s="18" t="s">
        <v>210</v>
      </c>
      <c r="D4583" s="18" t="s">
        <v>116</v>
      </c>
      <c r="E4583" s="18" t="s">
        <v>18</v>
      </c>
      <c r="F4583" s="18" t="s">
        <v>8927</v>
      </c>
      <c r="G4583" s="18" t="s">
        <v>8847</v>
      </c>
      <c r="H4583" s="18" t="s">
        <v>8420</v>
      </c>
      <c r="I4583" s="20" t="s">
        <v>8928</v>
      </c>
      <c r="J4583" s="18" t="s">
        <v>30</v>
      </c>
      <c r="K4583" s="18" t="s">
        <v>24</v>
      </c>
      <c r="L4583" s="18" t="s">
        <v>25</v>
      </c>
      <c r="N4583" s="18" t="s">
        <v>26</v>
      </c>
    </row>
    <row r="4584" spans="1:14" ht="15" customHeight="1" x14ac:dyDescent="0.3">
      <c r="A4584" s="18" t="s">
        <v>8824</v>
      </c>
      <c r="B4584" s="19" t="s">
        <v>15</v>
      </c>
      <c r="C4584" s="18" t="s">
        <v>210</v>
      </c>
      <c r="D4584" s="18" t="s">
        <v>116</v>
      </c>
      <c r="E4584" s="18" t="s">
        <v>18</v>
      </c>
      <c r="F4584" s="18" t="s">
        <v>6432</v>
      </c>
      <c r="G4584" s="18" t="s">
        <v>6432</v>
      </c>
      <c r="H4584" s="18" t="s">
        <v>8420</v>
      </c>
      <c r="I4584" s="20" t="s">
        <v>8929</v>
      </c>
      <c r="J4584" s="18" t="s">
        <v>30</v>
      </c>
      <c r="K4584" s="18" t="s">
        <v>24</v>
      </c>
      <c r="L4584" s="18" t="s">
        <v>25</v>
      </c>
      <c r="N4584" s="18" t="s">
        <v>26</v>
      </c>
    </row>
    <row r="4585" spans="1:14" ht="15" customHeight="1" x14ac:dyDescent="0.3">
      <c r="A4585" s="18" t="s">
        <v>8824</v>
      </c>
      <c r="B4585" s="19" t="s">
        <v>15</v>
      </c>
      <c r="C4585" s="18" t="s">
        <v>210</v>
      </c>
      <c r="D4585" s="18" t="s">
        <v>116</v>
      </c>
      <c r="E4585" s="18" t="s">
        <v>18</v>
      </c>
      <c r="F4585" s="18" t="s">
        <v>5050</v>
      </c>
      <c r="G4585" s="18" t="s">
        <v>1069</v>
      </c>
      <c r="H4585" s="18" t="s">
        <v>8930</v>
      </c>
      <c r="I4585" s="20" t="s">
        <v>8931</v>
      </c>
      <c r="J4585" s="18" t="s">
        <v>30</v>
      </c>
      <c r="K4585" s="18" t="s">
        <v>24</v>
      </c>
      <c r="L4585" s="18" t="s">
        <v>25</v>
      </c>
      <c r="N4585" s="18" t="s">
        <v>26</v>
      </c>
    </row>
    <row r="4586" spans="1:14" ht="15" customHeight="1" x14ac:dyDescent="0.3">
      <c r="A4586" s="18" t="s">
        <v>8824</v>
      </c>
      <c r="B4586" s="19" t="s">
        <v>15</v>
      </c>
      <c r="C4586" s="18" t="s">
        <v>210</v>
      </c>
      <c r="D4586" s="18" t="s">
        <v>116</v>
      </c>
      <c r="E4586" s="18" t="s">
        <v>18</v>
      </c>
      <c r="F4586" s="18" t="s">
        <v>3138</v>
      </c>
      <c r="G4586" s="18" t="s">
        <v>3138</v>
      </c>
      <c r="H4586" s="18" t="s">
        <v>8159</v>
      </c>
      <c r="I4586" s="20" t="s">
        <v>8932</v>
      </c>
      <c r="J4586" s="18" t="s">
        <v>30</v>
      </c>
      <c r="K4586" s="18" t="s">
        <v>24</v>
      </c>
      <c r="L4586" s="18" t="s">
        <v>25</v>
      </c>
      <c r="N4586" s="18" t="s">
        <v>26</v>
      </c>
    </row>
    <row r="4587" spans="1:14" ht="15" customHeight="1" x14ac:dyDescent="0.3">
      <c r="A4587" s="18" t="s">
        <v>8824</v>
      </c>
      <c r="B4587" s="19" t="s">
        <v>15</v>
      </c>
      <c r="C4587" s="18" t="s">
        <v>210</v>
      </c>
      <c r="D4587" s="18" t="s">
        <v>116</v>
      </c>
      <c r="E4587" s="18" t="s">
        <v>18</v>
      </c>
      <c r="F4587" s="18" t="s">
        <v>8474</v>
      </c>
      <c r="G4587" s="18" t="s">
        <v>2921</v>
      </c>
      <c r="H4587" s="18" t="s">
        <v>8833</v>
      </c>
      <c r="I4587" s="20" t="s">
        <v>8933</v>
      </c>
      <c r="J4587" s="18" t="s">
        <v>30</v>
      </c>
      <c r="K4587" s="18" t="s">
        <v>24</v>
      </c>
      <c r="L4587" s="18" t="s">
        <v>25</v>
      </c>
      <c r="N4587" s="18" t="s">
        <v>26</v>
      </c>
    </row>
    <row r="4588" spans="1:14" ht="15" customHeight="1" x14ac:dyDescent="0.3">
      <c r="A4588" s="18" t="s">
        <v>8824</v>
      </c>
      <c r="B4588" s="19" t="s">
        <v>15</v>
      </c>
      <c r="C4588" s="18" t="s">
        <v>210</v>
      </c>
      <c r="D4588" s="18" t="s">
        <v>116</v>
      </c>
      <c r="E4588" s="18" t="s">
        <v>18</v>
      </c>
      <c r="F4588" s="18" t="s">
        <v>2692</v>
      </c>
      <c r="G4588" s="18" t="s">
        <v>47</v>
      </c>
      <c r="H4588" s="18" t="s">
        <v>8159</v>
      </c>
      <c r="I4588" s="20" t="s">
        <v>8934</v>
      </c>
      <c r="J4588" s="18" t="s">
        <v>30</v>
      </c>
      <c r="K4588" s="18" t="s">
        <v>24</v>
      </c>
      <c r="L4588" s="18" t="s">
        <v>25</v>
      </c>
      <c r="N4588" s="18" t="s">
        <v>26</v>
      </c>
    </row>
    <row r="4589" spans="1:14" ht="15" customHeight="1" x14ac:dyDescent="0.3">
      <c r="A4589" s="18" t="s">
        <v>8824</v>
      </c>
      <c r="B4589" s="19" t="s">
        <v>15</v>
      </c>
      <c r="C4589" s="18" t="s">
        <v>210</v>
      </c>
      <c r="D4589" s="18" t="s">
        <v>116</v>
      </c>
      <c r="E4589" s="18" t="s">
        <v>18</v>
      </c>
      <c r="F4589" s="18" t="s">
        <v>8476</v>
      </c>
      <c r="G4589" s="18" t="s">
        <v>2248</v>
      </c>
      <c r="H4589" s="18" t="s">
        <v>8159</v>
      </c>
      <c r="I4589" s="20" t="s">
        <v>8935</v>
      </c>
      <c r="J4589" s="18" t="s">
        <v>30</v>
      </c>
      <c r="K4589" s="18" t="s">
        <v>24</v>
      </c>
      <c r="L4589" s="18" t="s">
        <v>25</v>
      </c>
      <c r="N4589" s="18" t="s">
        <v>26</v>
      </c>
    </row>
    <row r="4590" spans="1:14" ht="15" customHeight="1" x14ac:dyDescent="0.3">
      <c r="A4590" s="18" t="s">
        <v>8824</v>
      </c>
      <c r="B4590" s="19" t="s">
        <v>15</v>
      </c>
      <c r="C4590" s="18" t="s">
        <v>210</v>
      </c>
      <c r="D4590" s="18" t="s">
        <v>116</v>
      </c>
      <c r="E4590" s="18" t="s">
        <v>18</v>
      </c>
      <c r="F4590" s="18" t="s">
        <v>40</v>
      </c>
      <c r="G4590" s="18" t="s">
        <v>41</v>
      </c>
      <c r="H4590" s="18" t="s">
        <v>8930</v>
      </c>
      <c r="I4590" s="20" t="s">
        <v>8936</v>
      </c>
      <c r="J4590" s="18" t="s">
        <v>30</v>
      </c>
      <c r="K4590" s="18" t="s">
        <v>24</v>
      </c>
      <c r="L4590" s="18" t="s">
        <v>25</v>
      </c>
      <c r="N4590" s="18" t="s">
        <v>26</v>
      </c>
    </row>
    <row r="4591" spans="1:14" ht="15" customHeight="1" x14ac:dyDescent="0.3">
      <c r="A4591" s="18" t="s">
        <v>8824</v>
      </c>
      <c r="B4591" s="19" t="s">
        <v>15</v>
      </c>
      <c r="C4591" s="18" t="s">
        <v>210</v>
      </c>
      <c r="D4591" s="18" t="s">
        <v>116</v>
      </c>
      <c r="E4591" s="18" t="s">
        <v>18</v>
      </c>
      <c r="F4591" s="18" t="s">
        <v>1088</v>
      </c>
      <c r="G4591" s="18" t="s">
        <v>41</v>
      </c>
      <c r="H4591" s="18" t="s">
        <v>8828</v>
      </c>
      <c r="I4591" s="20" t="s">
        <v>8937</v>
      </c>
      <c r="J4591" s="18" t="s">
        <v>30</v>
      </c>
      <c r="K4591" s="18" t="s">
        <v>24</v>
      </c>
      <c r="L4591" s="18" t="s">
        <v>25</v>
      </c>
      <c r="N4591" s="18" t="s">
        <v>26</v>
      </c>
    </row>
    <row r="4592" spans="1:14" ht="15" customHeight="1" x14ac:dyDescent="0.3">
      <c r="A4592" s="18" t="s">
        <v>8824</v>
      </c>
      <c r="B4592" s="19" t="s">
        <v>15</v>
      </c>
      <c r="C4592" s="18" t="s">
        <v>210</v>
      </c>
      <c r="D4592" s="18" t="s">
        <v>116</v>
      </c>
      <c r="E4592" s="18" t="s">
        <v>18</v>
      </c>
      <c r="F4592" s="18" t="s">
        <v>3997</v>
      </c>
      <c r="G4592" s="18" t="s">
        <v>1019</v>
      </c>
      <c r="H4592" s="18" t="s">
        <v>8852</v>
      </c>
      <c r="I4592" s="20" t="s">
        <v>8938</v>
      </c>
      <c r="J4592" s="18" t="s">
        <v>30</v>
      </c>
      <c r="K4592" s="18" t="s">
        <v>24</v>
      </c>
      <c r="L4592" s="18" t="s">
        <v>25</v>
      </c>
      <c r="N4592" s="18" t="s">
        <v>26</v>
      </c>
    </row>
    <row r="4593" spans="1:14" ht="15" customHeight="1" x14ac:dyDescent="0.3">
      <c r="A4593" s="18" t="s">
        <v>8824</v>
      </c>
      <c r="B4593" s="19" t="s">
        <v>15</v>
      </c>
      <c r="C4593" s="18" t="s">
        <v>210</v>
      </c>
      <c r="D4593" s="18" t="s">
        <v>116</v>
      </c>
      <c r="E4593" s="18" t="s">
        <v>18</v>
      </c>
      <c r="F4593" s="18" t="s">
        <v>3799</v>
      </c>
      <c r="G4593" s="18" t="s">
        <v>429</v>
      </c>
      <c r="H4593" s="18" t="s">
        <v>8939</v>
      </c>
      <c r="I4593" s="20" t="s">
        <v>8940</v>
      </c>
      <c r="J4593" s="18" t="s">
        <v>30</v>
      </c>
      <c r="K4593" s="18" t="s">
        <v>24</v>
      </c>
      <c r="L4593" s="18" t="s">
        <v>25</v>
      </c>
      <c r="N4593" s="18" t="s">
        <v>26</v>
      </c>
    </row>
    <row r="4594" spans="1:14" ht="15" customHeight="1" x14ac:dyDescent="0.3">
      <c r="A4594" s="18" t="s">
        <v>8824</v>
      </c>
      <c r="B4594" s="19" t="s">
        <v>15</v>
      </c>
      <c r="C4594" s="18" t="s">
        <v>210</v>
      </c>
      <c r="D4594" s="18" t="s">
        <v>116</v>
      </c>
      <c r="E4594" s="18" t="s">
        <v>18</v>
      </c>
      <c r="F4594" s="18" t="s">
        <v>6250</v>
      </c>
      <c r="G4594" s="18" t="s">
        <v>197</v>
      </c>
      <c r="H4594" s="18" t="s">
        <v>8420</v>
      </c>
      <c r="I4594" s="20" t="s">
        <v>8941</v>
      </c>
      <c r="J4594" s="18" t="s">
        <v>30</v>
      </c>
      <c r="K4594" s="18" t="s">
        <v>24</v>
      </c>
      <c r="L4594" s="18" t="s">
        <v>25</v>
      </c>
      <c r="N4594" s="18" t="s">
        <v>26</v>
      </c>
    </row>
    <row r="4595" spans="1:14" ht="15" customHeight="1" x14ac:dyDescent="0.3">
      <c r="A4595" s="18" t="s">
        <v>8824</v>
      </c>
      <c r="B4595" s="19" t="s">
        <v>15</v>
      </c>
      <c r="C4595" s="18" t="s">
        <v>210</v>
      </c>
      <c r="D4595" s="18" t="s">
        <v>116</v>
      </c>
      <c r="E4595" s="18" t="s">
        <v>18</v>
      </c>
      <c r="F4595" s="18" t="s">
        <v>7637</v>
      </c>
      <c r="G4595" s="18" t="s">
        <v>197</v>
      </c>
      <c r="H4595" s="18" t="s">
        <v>8420</v>
      </c>
      <c r="I4595" s="20" t="s">
        <v>8942</v>
      </c>
      <c r="J4595" s="18" t="s">
        <v>30</v>
      </c>
      <c r="K4595" s="18" t="s">
        <v>24</v>
      </c>
      <c r="L4595" s="18" t="s">
        <v>25</v>
      </c>
      <c r="N4595" s="18" t="s">
        <v>26</v>
      </c>
    </row>
    <row r="4596" spans="1:14" ht="15" customHeight="1" x14ac:dyDescent="0.3">
      <c r="A4596" s="18" t="s">
        <v>8824</v>
      </c>
      <c r="B4596" s="19" t="s">
        <v>15</v>
      </c>
      <c r="C4596" s="18" t="s">
        <v>210</v>
      </c>
      <c r="D4596" s="18" t="s">
        <v>116</v>
      </c>
      <c r="E4596" s="18" t="s">
        <v>18</v>
      </c>
      <c r="F4596" s="18" t="s">
        <v>7639</v>
      </c>
      <c r="G4596" s="18" t="s">
        <v>8847</v>
      </c>
      <c r="H4596" s="18" t="s">
        <v>8420</v>
      </c>
      <c r="I4596" s="20" t="s">
        <v>8943</v>
      </c>
      <c r="J4596" s="18" t="s">
        <v>30</v>
      </c>
      <c r="K4596" s="18" t="s">
        <v>24</v>
      </c>
      <c r="L4596" s="18" t="s">
        <v>25</v>
      </c>
      <c r="N4596" s="18" t="s">
        <v>26</v>
      </c>
    </row>
    <row r="4597" spans="1:14" ht="15" customHeight="1" x14ac:dyDescent="0.3">
      <c r="A4597" s="18" t="s">
        <v>8824</v>
      </c>
      <c r="B4597" s="19" t="s">
        <v>15</v>
      </c>
      <c r="C4597" s="18" t="s">
        <v>210</v>
      </c>
      <c r="D4597" s="18" t="s">
        <v>116</v>
      </c>
      <c r="E4597" s="18" t="s">
        <v>18</v>
      </c>
      <c r="F4597" s="18" t="s">
        <v>1095</v>
      </c>
      <c r="G4597" s="18" t="s">
        <v>1095</v>
      </c>
      <c r="H4597" s="18" t="s">
        <v>8159</v>
      </c>
      <c r="I4597" s="20" t="s">
        <v>8944</v>
      </c>
      <c r="J4597" s="18" t="s">
        <v>30</v>
      </c>
      <c r="K4597" s="18" t="s">
        <v>24</v>
      </c>
      <c r="L4597" s="18" t="s">
        <v>25</v>
      </c>
      <c r="N4597" s="18" t="s">
        <v>26</v>
      </c>
    </row>
    <row r="4598" spans="1:14" ht="15" customHeight="1" x14ac:dyDescent="0.3">
      <c r="A4598" s="18" t="s">
        <v>8824</v>
      </c>
      <c r="B4598" s="19" t="s">
        <v>15</v>
      </c>
      <c r="C4598" s="18" t="s">
        <v>210</v>
      </c>
      <c r="D4598" s="18" t="s">
        <v>116</v>
      </c>
      <c r="E4598" s="18" t="s">
        <v>18</v>
      </c>
      <c r="F4598" s="18" t="s">
        <v>8945</v>
      </c>
      <c r="G4598" s="18" t="s">
        <v>1095</v>
      </c>
      <c r="H4598" s="18" t="s">
        <v>8159</v>
      </c>
      <c r="I4598" s="20" t="s">
        <v>8946</v>
      </c>
      <c r="J4598" s="18" t="s">
        <v>30</v>
      </c>
      <c r="K4598" s="18" t="s">
        <v>24</v>
      </c>
      <c r="L4598" s="18" t="s">
        <v>25</v>
      </c>
      <c r="N4598" s="18" t="s">
        <v>26</v>
      </c>
    </row>
    <row r="4599" spans="1:14" ht="15" customHeight="1" x14ac:dyDescent="0.3">
      <c r="A4599" s="18" t="s">
        <v>8824</v>
      </c>
      <c r="B4599" s="19" t="s">
        <v>15</v>
      </c>
      <c r="C4599" s="18" t="s">
        <v>210</v>
      </c>
      <c r="D4599" s="18" t="s">
        <v>116</v>
      </c>
      <c r="E4599" s="18" t="s">
        <v>18</v>
      </c>
      <c r="F4599" s="18" t="s">
        <v>8947</v>
      </c>
      <c r="G4599" s="18" t="s">
        <v>1095</v>
      </c>
      <c r="H4599" s="18" t="s">
        <v>8867</v>
      </c>
      <c r="I4599" s="20" t="s">
        <v>8948</v>
      </c>
      <c r="J4599" s="18" t="s">
        <v>30</v>
      </c>
      <c r="K4599" s="18" t="s">
        <v>24</v>
      </c>
      <c r="L4599" s="18" t="s">
        <v>25</v>
      </c>
      <c r="N4599" s="18" t="s">
        <v>26</v>
      </c>
    </row>
    <row r="4600" spans="1:14" ht="15" customHeight="1" x14ac:dyDescent="0.3">
      <c r="A4600" s="18" t="s">
        <v>8824</v>
      </c>
      <c r="B4600" s="19" t="s">
        <v>15</v>
      </c>
      <c r="C4600" s="18" t="s">
        <v>210</v>
      </c>
      <c r="D4600" s="18" t="s">
        <v>116</v>
      </c>
      <c r="E4600" s="18" t="s">
        <v>18</v>
      </c>
      <c r="F4600" s="18" t="s">
        <v>8949</v>
      </c>
      <c r="G4600" s="18" t="s">
        <v>1095</v>
      </c>
      <c r="H4600" s="18" t="s">
        <v>8930</v>
      </c>
      <c r="I4600" s="20" t="s">
        <v>8950</v>
      </c>
      <c r="J4600" s="18" t="s">
        <v>30</v>
      </c>
      <c r="K4600" s="18" t="s">
        <v>24</v>
      </c>
      <c r="L4600" s="18" t="s">
        <v>25</v>
      </c>
      <c r="N4600" s="18" t="s">
        <v>26</v>
      </c>
    </row>
    <row r="4601" spans="1:14" ht="15" customHeight="1" x14ac:dyDescent="0.3">
      <c r="A4601" s="18" t="s">
        <v>8824</v>
      </c>
      <c r="B4601" s="19" t="s">
        <v>15</v>
      </c>
      <c r="C4601" s="18" t="s">
        <v>210</v>
      </c>
      <c r="D4601" s="18" t="s">
        <v>116</v>
      </c>
      <c r="E4601" s="18" t="s">
        <v>18</v>
      </c>
      <c r="F4601" s="18" t="s">
        <v>8951</v>
      </c>
      <c r="G4601" s="18" t="s">
        <v>2248</v>
      </c>
      <c r="H4601" s="18" t="s">
        <v>8159</v>
      </c>
      <c r="I4601" s="20" t="s">
        <v>8952</v>
      </c>
      <c r="J4601" s="18" t="s">
        <v>30</v>
      </c>
      <c r="K4601" s="18" t="s">
        <v>24</v>
      </c>
      <c r="L4601" s="18" t="s">
        <v>25</v>
      </c>
      <c r="N4601" s="18" t="s">
        <v>26</v>
      </c>
    </row>
    <row r="4602" spans="1:14" ht="15" customHeight="1" x14ac:dyDescent="0.3">
      <c r="A4602" s="18" t="s">
        <v>8824</v>
      </c>
      <c r="B4602" s="19" t="s">
        <v>15</v>
      </c>
      <c r="C4602" s="18" t="s">
        <v>210</v>
      </c>
      <c r="D4602" s="18" t="s">
        <v>116</v>
      </c>
      <c r="E4602" s="18" t="s">
        <v>18</v>
      </c>
      <c r="F4602" s="18" t="s">
        <v>8953</v>
      </c>
      <c r="G4602" s="18" t="s">
        <v>8851</v>
      </c>
      <c r="H4602" s="18" t="s">
        <v>8835</v>
      </c>
      <c r="I4602" s="20" t="s">
        <v>8954</v>
      </c>
      <c r="J4602" s="18" t="s">
        <v>30</v>
      </c>
      <c r="K4602" s="18" t="s">
        <v>24</v>
      </c>
      <c r="L4602" s="18" t="s">
        <v>25</v>
      </c>
      <c r="N4602" s="18" t="s">
        <v>26</v>
      </c>
    </row>
    <row r="4603" spans="1:14" ht="15" customHeight="1" x14ac:dyDescent="0.3">
      <c r="A4603" s="18" t="s">
        <v>8824</v>
      </c>
      <c r="B4603" s="19" t="s">
        <v>15</v>
      </c>
      <c r="C4603" s="18" t="s">
        <v>210</v>
      </c>
      <c r="D4603" s="18" t="s">
        <v>116</v>
      </c>
      <c r="E4603" s="18" t="s">
        <v>18</v>
      </c>
      <c r="F4603" s="18" t="s">
        <v>8955</v>
      </c>
      <c r="G4603" s="18" t="s">
        <v>2921</v>
      </c>
      <c r="H4603" s="18" t="s">
        <v>8833</v>
      </c>
      <c r="I4603" s="20" t="s">
        <v>8956</v>
      </c>
      <c r="J4603" s="18" t="s">
        <v>30</v>
      </c>
      <c r="K4603" s="18" t="s">
        <v>24</v>
      </c>
      <c r="L4603" s="18" t="s">
        <v>25</v>
      </c>
      <c r="N4603" s="18" t="s">
        <v>26</v>
      </c>
    </row>
    <row r="4604" spans="1:14" ht="15" customHeight="1" x14ac:dyDescent="0.3">
      <c r="A4604" s="18" t="s">
        <v>8824</v>
      </c>
      <c r="B4604" s="19" t="s">
        <v>15</v>
      </c>
      <c r="C4604" s="18" t="s">
        <v>210</v>
      </c>
      <c r="D4604" s="18" t="s">
        <v>116</v>
      </c>
      <c r="E4604" s="18" t="s">
        <v>18</v>
      </c>
      <c r="F4604" s="18" t="s">
        <v>631</v>
      </c>
      <c r="G4604" s="18" t="s">
        <v>429</v>
      </c>
      <c r="H4604" s="18" t="s">
        <v>8939</v>
      </c>
      <c r="I4604" s="20" t="s">
        <v>8957</v>
      </c>
      <c r="J4604" s="18" t="s">
        <v>30</v>
      </c>
      <c r="K4604" s="18" t="s">
        <v>24</v>
      </c>
      <c r="L4604" s="18" t="s">
        <v>25</v>
      </c>
      <c r="N4604" s="18" t="s">
        <v>26</v>
      </c>
    </row>
    <row r="4605" spans="1:14" ht="15" customHeight="1" x14ac:dyDescent="0.3">
      <c r="A4605" s="18" t="s">
        <v>8824</v>
      </c>
      <c r="B4605" s="19" t="s">
        <v>15</v>
      </c>
      <c r="C4605" s="18" t="s">
        <v>210</v>
      </c>
      <c r="D4605" s="18" t="s">
        <v>116</v>
      </c>
      <c r="E4605" s="18" t="s">
        <v>18</v>
      </c>
      <c r="F4605" s="18" t="s">
        <v>340</v>
      </c>
      <c r="G4605" s="18" t="s">
        <v>340</v>
      </c>
      <c r="H4605" s="18" t="s">
        <v>8958</v>
      </c>
      <c r="I4605" s="20" t="s">
        <v>8959</v>
      </c>
      <c r="J4605" s="18" t="s">
        <v>30</v>
      </c>
      <c r="K4605" s="18" t="s">
        <v>24</v>
      </c>
      <c r="L4605" s="18" t="s">
        <v>25</v>
      </c>
      <c r="N4605" s="18" t="s">
        <v>26</v>
      </c>
    </row>
    <row r="4606" spans="1:14" ht="15" customHeight="1" x14ac:dyDescent="0.3">
      <c r="A4606" s="18" t="s">
        <v>8824</v>
      </c>
      <c r="B4606" s="19" t="s">
        <v>15</v>
      </c>
      <c r="C4606" s="18" t="s">
        <v>210</v>
      </c>
      <c r="D4606" s="18" t="s">
        <v>116</v>
      </c>
      <c r="E4606" s="18" t="s">
        <v>18</v>
      </c>
      <c r="F4606" s="18" t="s">
        <v>7647</v>
      </c>
      <c r="G4606" s="18" t="s">
        <v>7647</v>
      </c>
      <c r="H4606" s="18" t="s">
        <v>8159</v>
      </c>
      <c r="I4606" s="20" t="s">
        <v>8960</v>
      </c>
      <c r="J4606" s="18" t="s">
        <v>30</v>
      </c>
      <c r="K4606" s="18" t="s">
        <v>24</v>
      </c>
      <c r="L4606" s="18" t="s">
        <v>25</v>
      </c>
      <c r="N4606" s="18" t="s">
        <v>26</v>
      </c>
    </row>
    <row r="4607" spans="1:14" ht="15" customHeight="1" x14ac:dyDescent="0.3">
      <c r="A4607" s="18" t="s">
        <v>8824</v>
      </c>
      <c r="B4607" s="19" t="s">
        <v>15</v>
      </c>
      <c r="C4607" s="18" t="s">
        <v>210</v>
      </c>
      <c r="D4607" s="18" t="s">
        <v>116</v>
      </c>
      <c r="E4607" s="18" t="s">
        <v>18</v>
      </c>
      <c r="F4607" s="18" t="s">
        <v>8961</v>
      </c>
      <c r="G4607" s="18" t="s">
        <v>8898</v>
      </c>
      <c r="H4607" s="18" t="s">
        <v>8159</v>
      </c>
      <c r="I4607" s="20" t="s">
        <v>8962</v>
      </c>
      <c r="J4607" s="18" t="s">
        <v>30</v>
      </c>
      <c r="K4607" s="18" t="s">
        <v>24</v>
      </c>
      <c r="L4607" s="18" t="s">
        <v>25</v>
      </c>
      <c r="N4607" s="18" t="s">
        <v>26</v>
      </c>
    </row>
    <row r="4608" spans="1:14" ht="15" customHeight="1" x14ac:dyDescent="0.3">
      <c r="A4608" s="18" t="s">
        <v>8824</v>
      </c>
      <c r="B4608" s="19" t="s">
        <v>15</v>
      </c>
      <c r="C4608" s="18" t="s">
        <v>210</v>
      </c>
      <c r="D4608" s="18" t="s">
        <v>116</v>
      </c>
      <c r="E4608" s="18" t="s">
        <v>18</v>
      </c>
      <c r="F4608" s="18" t="s">
        <v>8963</v>
      </c>
      <c r="G4608" s="18" t="s">
        <v>1019</v>
      </c>
      <c r="H4608" s="18" t="s">
        <v>8852</v>
      </c>
      <c r="I4608" s="20" t="s">
        <v>8964</v>
      </c>
      <c r="J4608" s="18" t="s">
        <v>30</v>
      </c>
      <c r="K4608" s="18" t="s">
        <v>24</v>
      </c>
      <c r="L4608" s="18" t="s">
        <v>25</v>
      </c>
      <c r="N4608" s="18" t="s">
        <v>26</v>
      </c>
    </row>
    <row r="4609" spans="1:14" ht="15" customHeight="1" x14ac:dyDescent="0.3">
      <c r="A4609" s="18" t="s">
        <v>8824</v>
      </c>
      <c r="B4609" s="19" t="s">
        <v>15</v>
      </c>
      <c r="C4609" s="18" t="s">
        <v>210</v>
      </c>
      <c r="D4609" s="18" t="s">
        <v>116</v>
      </c>
      <c r="E4609" s="18" t="s">
        <v>18</v>
      </c>
      <c r="F4609" s="18" t="s">
        <v>6339</v>
      </c>
      <c r="G4609" s="18" t="s">
        <v>1059</v>
      </c>
      <c r="H4609" s="18" t="s">
        <v>8828</v>
      </c>
      <c r="I4609" s="20" t="s">
        <v>8965</v>
      </c>
      <c r="J4609" s="18" t="s">
        <v>30</v>
      </c>
      <c r="K4609" s="18" t="s">
        <v>24</v>
      </c>
      <c r="L4609" s="18" t="s">
        <v>25</v>
      </c>
      <c r="N4609" s="18" t="s">
        <v>26</v>
      </c>
    </row>
    <row r="4610" spans="1:14" ht="15" customHeight="1" x14ac:dyDescent="0.3">
      <c r="A4610" s="18" t="s">
        <v>8824</v>
      </c>
      <c r="B4610" s="19" t="s">
        <v>15</v>
      </c>
      <c r="C4610" s="18" t="s">
        <v>210</v>
      </c>
      <c r="D4610" s="18" t="s">
        <v>116</v>
      </c>
      <c r="E4610" s="18" t="s">
        <v>18</v>
      </c>
      <c r="F4610" s="18" t="s">
        <v>1102</v>
      </c>
      <c r="G4610" s="18" t="s">
        <v>263</v>
      </c>
      <c r="H4610" s="18" t="s">
        <v>8828</v>
      </c>
      <c r="I4610" s="20" t="s">
        <v>8966</v>
      </c>
      <c r="J4610" s="18" t="s">
        <v>30</v>
      </c>
      <c r="K4610" s="18" t="s">
        <v>24</v>
      </c>
      <c r="L4610" s="18" t="s">
        <v>25</v>
      </c>
      <c r="N4610" s="18" t="s">
        <v>26</v>
      </c>
    </row>
    <row r="4611" spans="1:14" ht="15" customHeight="1" x14ac:dyDescent="0.3">
      <c r="A4611" s="18" t="s">
        <v>8824</v>
      </c>
      <c r="B4611" s="19" t="s">
        <v>15</v>
      </c>
      <c r="C4611" s="18" t="s">
        <v>210</v>
      </c>
      <c r="D4611" s="18" t="s">
        <v>116</v>
      </c>
      <c r="E4611" s="18" t="s">
        <v>18</v>
      </c>
      <c r="F4611" s="18" t="s">
        <v>1104</v>
      </c>
      <c r="G4611" s="18" t="s">
        <v>1055</v>
      </c>
      <c r="H4611" s="18" t="s">
        <v>8828</v>
      </c>
      <c r="I4611" s="20" t="s">
        <v>8967</v>
      </c>
      <c r="J4611" s="18" t="s">
        <v>30</v>
      </c>
      <c r="K4611" s="18" t="s">
        <v>24</v>
      </c>
      <c r="L4611" s="18" t="s">
        <v>25</v>
      </c>
      <c r="N4611" s="18" t="s">
        <v>26</v>
      </c>
    </row>
    <row r="4612" spans="1:14" ht="15" customHeight="1" x14ac:dyDescent="0.3">
      <c r="A4612" s="18" t="s">
        <v>8824</v>
      </c>
      <c r="B4612" s="19" t="s">
        <v>15</v>
      </c>
      <c r="C4612" s="18" t="s">
        <v>210</v>
      </c>
      <c r="D4612" s="18" t="s">
        <v>116</v>
      </c>
      <c r="E4612" s="18" t="s">
        <v>18</v>
      </c>
      <c r="F4612" s="18" t="s">
        <v>8968</v>
      </c>
      <c r="G4612" s="18" t="s">
        <v>47</v>
      </c>
      <c r="H4612" s="18" t="s">
        <v>8159</v>
      </c>
      <c r="I4612" s="20" t="s">
        <v>8969</v>
      </c>
      <c r="J4612" s="18" t="s">
        <v>30</v>
      </c>
      <c r="K4612" s="18" t="s">
        <v>24</v>
      </c>
      <c r="L4612" s="18" t="s">
        <v>25</v>
      </c>
      <c r="N4612" s="18" t="s">
        <v>26</v>
      </c>
    </row>
    <row r="4613" spans="1:14" ht="15" customHeight="1" x14ac:dyDescent="0.3">
      <c r="A4613" s="18" t="s">
        <v>8824</v>
      </c>
      <c r="B4613" s="19" t="s">
        <v>15</v>
      </c>
      <c r="C4613" s="18" t="s">
        <v>210</v>
      </c>
      <c r="D4613" s="18" t="s">
        <v>116</v>
      </c>
      <c r="E4613" s="18" t="s">
        <v>18</v>
      </c>
      <c r="F4613" s="18" t="s">
        <v>2434</v>
      </c>
      <c r="G4613" s="18" t="s">
        <v>8847</v>
      </c>
      <c r="H4613" s="18" t="s">
        <v>8420</v>
      </c>
      <c r="I4613" s="20" t="s">
        <v>8970</v>
      </c>
      <c r="J4613" s="18" t="s">
        <v>30</v>
      </c>
      <c r="K4613" s="18" t="s">
        <v>24</v>
      </c>
      <c r="L4613" s="18" t="s">
        <v>25</v>
      </c>
      <c r="N4613" s="18" t="s">
        <v>26</v>
      </c>
    </row>
    <row r="4614" spans="1:14" ht="15" customHeight="1" x14ac:dyDescent="0.3">
      <c r="A4614" s="18" t="s">
        <v>8824</v>
      </c>
      <c r="B4614" s="19" t="s">
        <v>15</v>
      </c>
      <c r="C4614" s="18" t="s">
        <v>210</v>
      </c>
      <c r="D4614" s="18" t="s">
        <v>116</v>
      </c>
      <c r="E4614" s="18" t="s">
        <v>55</v>
      </c>
      <c r="F4614" s="18" t="s">
        <v>3128</v>
      </c>
      <c r="G4614" s="18" t="s">
        <v>2921</v>
      </c>
      <c r="H4614" s="18" t="s">
        <v>8828</v>
      </c>
      <c r="I4614" s="20" t="s">
        <v>8971</v>
      </c>
      <c r="J4614" s="18" t="s">
        <v>58</v>
      </c>
      <c r="K4614" s="18" t="s">
        <v>24</v>
      </c>
      <c r="L4614" s="18" t="s">
        <v>25</v>
      </c>
      <c r="N4614" s="18" t="s">
        <v>26</v>
      </c>
    </row>
    <row r="4615" spans="1:14" ht="15" customHeight="1" x14ac:dyDescent="0.3">
      <c r="A4615" s="18" t="s">
        <v>8824</v>
      </c>
      <c r="B4615" s="19" t="s">
        <v>15</v>
      </c>
      <c r="C4615" s="18" t="s">
        <v>210</v>
      </c>
      <c r="D4615" s="18" t="s">
        <v>116</v>
      </c>
      <c r="E4615" s="18" t="s">
        <v>55</v>
      </c>
      <c r="F4615" s="18" t="s">
        <v>1054</v>
      </c>
      <c r="G4615" s="18" t="s">
        <v>1055</v>
      </c>
      <c r="H4615" s="18" t="s">
        <v>8828</v>
      </c>
      <c r="I4615" s="20" t="s">
        <v>8972</v>
      </c>
      <c r="J4615" s="18" t="s">
        <v>58</v>
      </c>
      <c r="K4615" s="18" t="s">
        <v>24</v>
      </c>
      <c r="L4615" s="18" t="s">
        <v>25</v>
      </c>
      <c r="N4615" s="18" t="s">
        <v>26</v>
      </c>
    </row>
    <row r="4616" spans="1:14" ht="15" customHeight="1" x14ac:dyDescent="0.3">
      <c r="A4616" s="18" t="s">
        <v>8824</v>
      </c>
      <c r="B4616" s="19" t="s">
        <v>15</v>
      </c>
      <c r="C4616" s="18" t="s">
        <v>210</v>
      </c>
      <c r="D4616" s="18" t="s">
        <v>116</v>
      </c>
      <c r="E4616" s="18" t="s">
        <v>55</v>
      </c>
      <c r="F4616" s="18" t="s">
        <v>8973</v>
      </c>
      <c r="G4616" s="18" t="s">
        <v>41</v>
      </c>
      <c r="H4616" s="18" t="s">
        <v>8930</v>
      </c>
      <c r="I4616" s="20" t="s">
        <v>8974</v>
      </c>
      <c r="J4616" s="18" t="s">
        <v>58</v>
      </c>
      <c r="K4616" s="18" t="s">
        <v>24</v>
      </c>
      <c r="L4616" s="18" t="s">
        <v>25</v>
      </c>
      <c r="N4616" s="18" t="s">
        <v>26</v>
      </c>
    </row>
    <row r="4617" spans="1:14" ht="15" customHeight="1" x14ac:dyDescent="0.3">
      <c r="A4617" s="18" t="s">
        <v>8824</v>
      </c>
      <c r="B4617" s="19" t="s">
        <v>15</v>
      </c>
      <c r="C4617" s="18" t="s">
        <v>210</v>
      </c>
      <c r="D4617" s="18" t="s">
        <v>116</v>
      </c>
      <c r="E4617" s="18" t="s">
        <v>55</v>
      </c>
      <c r="F4617" s="18" t="s">
        <v>634</v>
      </c>
      <c r="G4617" s="18" t="s">
        <v>429</v>
      </c>
      <c r="H4617" s="18" t="s">
        <v>8429</v>
      </c>
      <c r="I4617" s="20" t="s">
        <v>8975</v>
      </c>
      <c r="J4617" s="18" t="s">
        <v>58</v>
      </c>
      <c r="K4617" s="18" t="s">
        <v>24</v>
      </c>
      <c r="L4617" s="18" t="s">
        <v>25</v>
      </c>
      <c r="N4617" s="18" t="s">
        <v>26</v>
      </c>
    </row>
    <row r="4618" spans="1:14" ht="15" customHeight="1" x14ac:dyDescent="0.3">
      <c r="A4618" s="18" t="s">
        <v>8824</v>
      </c>
      <c r="B4618" s="19" t="s">
        <v>15</v>
      </c>
      <c r="C4618" s="18" t="s">
        <v>210</v>
      </c>
      <c r="D4618" s="18" t="s">
        <v>116</v>
      </c>
      <c r="E4618" s="18" t="s">
        <v>55</v>
      </c>
      <c r="F4618" s="18" t="s">
        <v>7578</v>
      </c>
      <c r="G4618" s="18" t="s">
        <v>197</v>
      </c>
      <c r="H4618" s="18" t="s">
        <v>8420</v>
      </c>
      <c r="I4618" s="20" t="s">
        <v>8976</v>
      </c>
      <c r="J4618" s="18" t="s">
        <v>58</v>
      </c>
      <c r="K4618" s="18" t="s">
        <v>24</v>
      </c>
      <c r="L4618" s="18" t="s">
        <v>25</v>
      </c>
      <c r="N4618" s="18" t="s">
        <v>26</v>
      </c>
    </row>
    <row r="4619" spans="1:14" ht="15" customHeight="1" x14ac:dyDescent="0.3">
      <c r="A4619" s="18" t="s">
        <v>8824</v>
      </c>
      <c r="B4619" s="19" t="s">
        <v>15</v>
      </c>
      <c r="C4619" s="18" t="s">
        <v>210</v>
      </c>
      <c r="D4619" s="18" t="s">
        <v>116</v>
      </c>
      <c r="E4619" s="18" t="s">
        <v>55</v>
      </c>
      <c r="F4619" s="18" t="s">
        <v>8832</v>
      </c>
      <c r="G4619" s="18" t="s">
        <v>173</v>
      </c>
      <c r="H4619" s="18" t="s">
        <v>8825</v>
      </c>
      <c r="I4619" s="20" t="s">
        <v>8977</v>
      </c>
      <c r="J4619" s="18" t="s">
        <v>58</v>
      </c>
      <c r="K4619" s="18" t="s">
        <v>24</v>
      </c>
      <c r="L4619" s="18" t="s">
        <v>25</v>
      </c>
      <c r="N4619" s="18" t="s">
        <v>26</v>
      </c>
    </row>
    <row r="4620" spans="1:14" ht="15" customHeight="1" x14ac:dyDescent="0.3">
      <c r="A4620" s="18" t="s">
        <v>8824</v>
      </c>
      <c r="B4620" s="19" t="s">
        <v>15</v>
      </c>
      <c r="C4620" s="18" t="s">
        <v>210</v>
      </c>
      <c r="D4620" s="18" t="s">
        <v>116</v>
      </c>
      <c r="E4620" s="18" t="s">
        <v>55</v>
      </c>
      <c r="F4620" s="18" t="s">
        <v>1941</v>
      </c>
      <c r="G4620" s="18" t="s">
        <v>160</v>
      </c>
      <c r="H4620" s="18" t="s">
        <v>8835</v>
      </c>
      <c r="I4620" s="20" t="s">
        <v>8978</v>
      </c>
      <c r="J4620" s="18" t="s">
        <v>58</v>
      </c>
      <c r="K4620" s="18" t="s">
        <v>24</v>
      </c>
      <c r="L4620" s="18" t="s">
        <v>25</v>
      </c>
      <c r="N4620" s="18" t="s">
        <v>26</v>
      </c>
    </row>
    <row r="4621" spans="1:14" ht="15" customHeight="1" x14ac:dyDescent="0.3">
      <c r="A4621" s="18" t="s">
        <v>8824</v>
      </c>
      <c r="B4621" s="19" t="s">
        <v>15</v>
      </c>
      <c r="C4621" s="18" t="s">
        <v>210</v>
      </c>
      <c r="D4621" s="18" t="s">
        <v>116</v>
      </c>
      <c r="E4621" s="18" t="s">
        <v>55</v>
      </c>
      <c r="F4621" s="18" t="s">
        <v>7662</v>
      </c>
      <c r="G4621" s="18" t="s">
        <v>8851</v>
      </c>
      <c r="H4621" s="18" t="s">
        <v>8835</v>
      </c>
      <c r="I4621" s="20" t="s">
        <v>8979</v>
      </c>
      <c r="J4621" s="18" t="s">
        <v>58</v>
      </c>
      <c r="K4621" s="18" t="s">
        <v>24</v>
      </c>
      <c r="L4621" s="18" t="s">
        <v>25</v>
      </c>
      <c r="N4621" s="18" t="s">
        <v>26</v>
      </c>
    </row>
    <row r="4622" spans="1:14" ht="15" customHeight="1" x14ac:dyDescent="0.3">
      <c r="A4622" s="18" t="s">
        <v>8824</v>
      </c>
      <c r="B4622" s="19" t="s">
        <v>15</v>
      </c>
      <c r="C4622" s="18" t="s">
        <v>210</v>
      </c>
      <c r="D4622" s="18" t="s">
        <v>116</v>
      </c>
      <c r="E4622" s="18" t="s">
        <v>55</v>
      </c>
      <c r="F4622" s="18" t="s">
        <v>8980</v>
      </c>
      <c r="G4622" s="18" t="s">
        <v>1254</v>
      </c>
      <c r="H4622" s="18" t="s">
        <v>8867</v>
      </c>
      <c r="I4622" s="20" t="s">
        <v>8981</v>
      </c>
      <c r="J4622" s="18" t="s">
        <v>58</v>
      </c>
      <c r="K4622" s="18" t="s">
        <v>24</v>
      </c>
      <c r="L4622" s="18" t="s">
        <v>25</v>
      </c>
      <c r="N4622" s="18" t="s">
        <v>26</v>
      </c>
    </row>
    <row r="4623" spans="1:14" ht="15" customHeight="1" x14ac:dyDescent="0.3">
      <c r="A4623" s="18" t="s">
        <v>8824</v>
      </c>
      <c r="B4623" s="19" t="s">
        <v>15</v>
      </c>
      <c r="C4623" s="18" t="s">
        <v>210</v>
      </c>
      <c r="D4623" s="18" t="s">
        <v>116</v>
      </c>
      <c r="E4623" s="18" t="s">
        <v>55</v>
      </c>
      <c r="F4623" s="18" t="s">
        <v>8982</v>
      </c>
      <c r="G4623" s="18" t="s">
        <v>1254</v>
      </c>
      <c r="H4623" s="18" t="s">
        <v>8867</v>
      </c>
      <c r="I4623" s="20" t="s">
        <v>8983</v>
      </c>
      <c r="J4623" s="18" t="s">
        <v>58</v>
      </c>
      <c r="K4623" s="18" t="s">
        <v>24</v>
      </c>
      <c r="L4623" s="18" t="s">
        <v>25</v>
      </c>
      <c r="N4623" s="18" t="s">
        <v>26</v>
      </c>
    </row>
    <row r="4624" spans="1:14" ht="15" customHeight="1" x14ac:dyDescent="0.3">
      <c r="A4624" s="18" t="s">
        <v>8824</v>
      </c>
      <c r="B4624" s="19" t="s">
        <v>15</v>
      </c>
      <c r="C4624" s="18" t="s">
        <v>210</v>
      </c>
      <c r="D4624" s="18" t="s">
        <v>116</v>
      </c>
      <c r="E4624" s="18" t="s">
        <v>55</v>
      </c>
      <c r="F4624" s="18" t="s">
        <v>8984</v>
      </c>
      <c r="G4624" s="18" t="s">
        <v>88</v>
      </c>
      <c r="H4624" s="18" t="s">
        <v>8159</v>
      </c>
      <c r="I4624" s="20" t="s">
        <v>8985</v>
      </c>
      <c r="J4624" s="18" t="s">
        <v>58</v>
      </c>
      <c r="K4624" s="18" t="s">
        <v>24</v>
      </c>
      <c r="L4624" s="18" t="s">
        <v>25</v>
      </c>
      <c r="N4624" s="18" t="s">
        <v>26</v>
      </c>
    </row>
    <row r="4625" spans="1:14" ht="15" customHeight="1" x14ac:dyDescent="0.3">
      <c r="A4625" s="18" t="s">
        <v>8824</v>
      </c>
      <c r="B4625" s="19" t="s">
        <v>15</v>
      </c>
      <c r="C4625" s="18" t="s">
        <v>210</v>
      </c>
      <c r="D4625" s="18" t="s">
        <v>116</v>
      </c>
      <c r="E4625" s="18" t="s">
        <v>55</v>
      </c>
      <c r="F4625" s="18" t="s">
        <v>8986</v>
      </c>
      <c r="G4625" s="18" t="s">
        <v>88</v>
      </c>
      <c r="H4625" s="18" t="s">
        <v>8159</v>
      </c>
      <c r="I4625" s="20" t="s">
        <v>8987</v>
      </c>
      <c r="J4625" s="18" t="s">
        <v>58</v>
      </c>
      <c r="K4625" s="18" t="s">
        <v>24</v>
      </c>
      <c r="L4625" s="18" t="s">
        <v>25</v>
      </c>
      <c r="N4625" s="18" t="s">
        <v>26</v>
      </c>
    </row>
    <row r="4626" spans="1:14" ht="15" customHeight="1" x14ac:dyDescent="0.3">
      <c r="A4626" s="18" t="s">
        <v>8824</v>
      </c>
      <c r="B4626" s="19" t="s">
        <v>15</v>
      </c>
      <c r="C4626" s="18" t="s">
        <v>210</v>
      </c>
      <c r="D4626" s="18" t="s">
        <v>116</v>
      </c>
      <c r="E4626" s="18" t="s">
        <v>55</v>
      </c>
      <c r="F4626" s="18" t="s">
        <v>8988</v>
      </c>
      <c r="G4626" s="18" t="s">
        <v>606</v>
      </c>
      <c r="H4626" s="18" t="s">
        <v>8159</v>
      </c>
      <c r="I4626" s="20" t="s">
        <v>8989</v>
      </c>
      <c r="J4626" s="18" t="s">
        <v>58</v>
      </c>
      <c r="K4626" s="18" t="s">
        <v>24</v>
      </c>
      <c r="L4626" s="18" t="s">
        <v>25</v>
      </c>
      <c r="N4626" s="18" t="s">
        <v>26</v>
      </c>
    </row>
    <row r="4627" spans="1:14" ht="15" customHeight="1" x14ac:dyDescent="0.3">
      <c r="A4627" s="18" t="s">
        <v>8824</v>
      </c>
      <c r="B4627" s="19" t="s">
        <v>15</v>
      </c>
      <c r="C4627" s="18" t="s">
        <v>210</v>
      </c>
      <c r="D4627" s="18" t="s">
        <v>116</v>
      </c>
      <c r="E4627" s="18" t="s">
        <v>55</v>
      </c>
      <c r="F4627" s="18" t="s">
        <v>8990</v>
      </c>
      <c r="G4627" s="18" t="s">
        <v>606</v>
      </c>
      <c r="H4627" s="18" t="s">
        <v>8159</v>
      </c>
      <c r="I4627" s="20" t="s">
        <v>8991</v>
      </c>
      <c r="J4627" s="18" t="s">
        <v>58</v>
      </c>
      <c r="K4627" s="18" t="s">
        <v>24</v>
      </c>
      <c r="L4627" s="18" t="s">
        <v>25</v>
      </c>
      <c r="N4627" s="18" t="s">
        <v>26</v>
      </c>
    </row>
    <row r="4628" spans="1:14" ht="15" customHeight="1" x14ac:dyDescent="0.3">
      <c r="A4628" s="18" t="s">
        <v>8824</v>
      </c>
      <c r="B4628" s="19" t="s">
        <v>15</v>
      </c>
      <c r="C4628" s="18" t="s">
        <v>210</v>
      </c>
      <c r="D4628" s="18" t="s">
        <v>116</v>
      </c>
      <c r="E4628" s="18" t="s">
        <v>55</v>
      </c>
      <c r="F4628" s="18" t="s">
        <v>8992</v>
      </c>
      <c r="G4628" s="18" t="s">
        <v>606</v>
      </c>
      <c r="H4628" s="18" t="s">
        <v>8159</v>
      </c>
      <c r="I4628" s="20" t="s">
        <v>8993</v>
      </c>
      <c r="J4628" s="18" t="s">
        <v>58</v>
      </c>
      <c r="K4628" s="18" t="s">
        <v>24</v>
      </c>
      <c r="L4628" s="18" t="s">
        <v>25</v>
      </c>
      <c r="N4628" s="18" t="s">
        <v>26</v>
      </c>
    </row>
    <row r="4629" spans="1:14" ht="15" customHeight="1" x14ac:dyDescent="0.3">
      <c r="A4629" s="18" t="s">
        <v>8824</v>
      </c>
      <c r="B4629" s="19" t="s">
        <v>15</v>
      </c>
      <c r="C4629" s="18" t="s">
        <v>210</v>
      </c>
      <c r="D4629" s="18" t="s">
        <v>116</v>
      </c>
      <c r="E4629" s="18" t="s">
        <v>55</v>
      </c>
      <c r="F4629" s="18" t="s">
        <v>8994</v>
      </c>
      <c r="G4629" s="18" t="s">
        <v>606</v>
      </c>
      <c r="H4629" s="18" t="s">
        <v>8159</v>
      </c>
      <c r="I4629" s="20" t="s">
        <v>8995</v>
      </c>
      <c r="J4629" s="18" t="s">
        <v>58</v>
      </c>
      <c r="K4629" s="18" t="s">
        <v>24</v>
      </c>
      <c r="L4629" s="18" t="s">
        <v>25</v>
      </c>
      <c r="N4629" s="18" t="s">
        <v>26</v>
      </c>
    </row>
    <row r="4630" spans="1:14" ht="15" customHeight="1" x14ac:dyDescent="0.3">
      <c r="A4630" s="18" t="s">
        <v>8824</v>
      </c>
      <c r="B4630" s="19" t="s">
        <v>15</v>
      </c>
      <c r="C4630" s="18" t="s">
        <v>210</v>
      </c>
      <c r="D4630" s="18" t="s">
        <v>116</v>
      </c>
      <c r="E4630" s="18" t="s">
        <v>55</v>
      </c>
      <c r="F4630" s="18" t="s">
        <v>8996</v>
      </c>
      <c r="G4630" s="18" t="s">
        <v>606</v>
      </c>
      <c r="H4630" s="18" t="s">
        <v>8159</v>
      </c>
      <c r="I4630" s="20" t="s">
        <v>8997</v>
      </c>
      <c r="J4630" s="18" t="s">
        <v>58</v>
      </c>
      <c r="K4630" s="18" t="s">
        <v>24</v>
      </c>
      <c r="L4630" s="18" t="s">
        <v>25</v>
      </c>
      <c r="N4630" s="18" t="s">
        <v>26</v>
      </c>
    </row>
    <row r="4631" spans="1:14" ht="15" customHeight="1" x14ac:dyDescent="0.3">
      <c r="A4631" s="18" t="s">
        <v>8824</v>
      </c>
      <c r="B4631" s="19" t="s">
        <v>15</v>
      </c>
      <c r="C4631" s="18" t="s">
        <v>210</v>
      </c>
      <c r="D4631" s="18" t="s">
        <v>116</v>
      </c>
      <c r="E4631" s="18" t="s">
        <v>55</v>
      </c>
      <c r="F4631" s="18" t="s">
        <v>8998</v>
      </c>
      <c r="G4631" s="18" t="s">
        <v>606</v>
      </c>
      <c r="H4631" s="18" t="s">
        <v>8159</v>
      </c>
      <c r="I4631" s="20" t="s">
        <v>8999</v>
      </c>
      <c r="J4631" s="18" t="s">
        <v>58</v>
      </c>
      <c r="K4631" s="18" t="s">
        <v>24</v>
      </c>
      <c r="L4631" s="18" t="s">
        <v>25</v>
      </c>
      <c r="N4631" s="18" t="s">
        <v>26</v>
      </c>
    </row>
    <row r="4632" spans="1:14" ht="15" customHeight="1" x14ac:dyDescent="0.3">
      <c r="A4632" s="18" t="s">
        <v>8824</v>
      </c>
      <c r="B4632" s="19" t="s">
        <v>15</v>
      </c>
      <c r="C4632" s="18" t="s">
        <v>210</v>
      </c>
      <c r="D4632" s="18" t="s">
        <v>116</v>
      </c>
      <c r="E4632" s="18" t="s">
        <v>55</v>
      </c>
      <c r="F4632" s="18" t="s">
        <v>2743</v>
      </c>
      <c r="G4632" s="18" t="s">
        <v>606</v>
      </c>
      <c r="H4632" s="18" t="s">
        <v>8867</v>
      </c>
      <c r="I4632" s="20" t="s">
        <v>9000</v>
      </c>
      <c r="J4632" s="18" t="s">
        <v>58</v>
      </c>
      <c r="K4632" s="18" t="s">
        <v>24</v>
      </c>
      <c r="L4632" s="18" t="s">
        <v>25</v>
      </c>
      <c r="N4632" s="18" t="s">
        <v>26</v>
      </c>
    </row>
    <row r="4633" spans="1:14" ht="15" customHeight="1" x14ac:dyDescent="0.3">
      <c r="A4633" s="18" t="s">
        <v>8824</v>
      </c>
      <c r="B4633" s="19" t="s">
        <v>15</v>
      </c>
      <c r="C4633" s="18" t="s">
        <v>210</v>
      </c>
      <c r="D4633" s="18" t="s">
        <v>116</v>
      </c>
      <c r="E4633" s="18" t="s">
        <v>55</v>
      </c>
      <c r="F4633" s="18" t="s">
        <v>9001</v>
      </c>
      <c r="G4633" s="18" t="s">
        <v>606</v>
      </c>
      <c r="H4633" s="18" t="s">
        <v>8159</v>
      </c>
      <c r="I4633" s="20" t="s">
        <v>9002</v>
      </c>
      <c r="J4633" s="18" t="s">
        <v>58</v>
      </c>
      <c r="K4633" s="18" t="s">
        <v>24</v>
      </c>
      <c r="L4633" s="18" t="s">
        <v>25</v>
      </c>
      <c r="N4633" s="18" t="s">
        <v>26</v>
      </c>
    </row>
    <row r="4634" spans="1:14" ht="15" customHeight="1" x14ac:dyDescent="0.3">
      <c r="A4634" s="18" t="s">
        <v>8824</v>
      </c>
      <c r="B4634" s="19" t="s">
        <v>15</v>
      </c>
      <c r="C4634" s="18" t="s">
        <v>210</v>
      </c>
      <c r="D4634" s="18" t="s">
        <v>116</v>
      </c>
      <c r="E4634" s="18" t="s">
        <v>55</v>
      </c>
      <c r="F4634" s="18" t="s">
        <v>1058</v>
      </c>
      <c r="G4634" s="18" t="s">
        <v>1059</v>
      </c>
      <c r="H4634" s="18" t="s">
        <v>8828</v>
      </c>
      <c r="I4634" s="20" t="s">
        <v>9003</v>
      </c>
      <c r="J4634" s="18" t="s">
        <v>58</v>
      </c>
      <c r="K4634" s="18" t="s">
        <v>24</v>
      </c>
      <c r="L4634" s="18" t="s">
        <v>25</v>
      </c>
      <c r="N4634" s="18" t="s">
        <v>26</v>
      </c>
    </row>
    <row r="4635" spans="1:14" ht="15" customHeight="1" x14ac:dyDescent="0.3">
      <c r="A4635" s="18" t="s">
        <v>8824</v>
      </c>
      <c r="B4635" s="19" t="s">
        <v>15</v>
      </c>
      <c r="C4635" s="18" t="s">
        <v>210</v>
      </c>
      <c r="D4635" s="18" t="s">
        <v>116</v>
      </c>
      <c r="E4635" s="18" t="s">
        <v>55</v>
      </c>
      <c r="F4635" s="18" t="s">
        <v>1061</v>
      </c>
      <c r="G4635" s="18" t="s">
        <v>340</v>
      </c>
      <c r="H4635" s="18" t="s">
        <v>8159</v>
      </c>
      <c r="I4635" s="20" t="s">
        <v>9004</v>
      </c>
      <c r="J4635" s="18" t="s">
        <v>58</v>
      </c>
      <c r="K4635" s="18" t="s">
        <v>24</v>
      </c>
      <c r="L4635" s="18" t="s">
        <v>25</v>
      </c>
      <c r="N4635" s="18" t="s">
        <v>26</v>
      </c>
    </row>
    <row r="4636" spans="1:14" ht="15" customHeight="1" x14ac:dyDescent="0.3">
      <c r="A4636" s="18" t="s">
        <v>8824</v>
      </c>
      <c r="B4636" s="19" t="s">
        <v>15</v>
      </c>
      <c r="C4636" s="18" t="s">
        <v>210</v>
      </c>
      <c r="D4636" s="18" t="s">
        <v>116</v>
      </c>
      <c r="E4636" s="18" t="s">
        <v>55</v>
      </c>
      <c r="F4636" s="18" t="s">
        <v>9005</v>
      </c>
      <c r="G4636" s="18" t="s">
        <v>47</v>
      </c>
      <c r="H4636" s="18" t="s">
        <v>8825</v>
      </c>
      <c r="I4636" s="20" t="s">
        <v>9006</v>
      </c>
      <c r="J4636" s="18" t="s">
        <v>58</v>
      </c>
      <c r="K4636" s="18" t="s">
        <v>24</v>
      </c>
      <c r="L4636" s="18" t="s">
        <v>25</v>
      </c>
      <c r="N4636" s="18" t="s">
        <v>26</v>
      </c>
    </row>
    <row r="4637" spans="1:14" ht="15" customHeight="1" x14ac:dyDescent="0.3">
      <c r="A4637" s="18" t="s">
        <v>8824</v>
      </c>
      <c r="B4637" s="19" t="s">
        <v>15</v>
      </c>
      <c r="C4637" s="18" t="s">
        <v>210</v>
      </c>
      <c r="D4637" s="18" t="s">
        <v>116</v>
      </c>
      <c r="E4637" s="18" t="s">
        <v>55</v>
      </c>
      <c r="F4637" s="18" t="s">
        <v>9007</v>
      </c>
      <c r="G4637" s="18" t="s">
        <v>7647</v>
      </c>
      <c r="H4637" s="18" t="s">
        <v>8867</v>
      </c>
      <c r="I4637" s="20" t="s">
        <v>9008</v>
      </c>
      <c r="J4637" s="18" t="s">
        <v>58</v>
      </c>
      <c r="K4637" s="18" t="s">
        <v>24</v>
      </c>
      <c r="L4637" s="18" t="s">
        <v>25</v>
      </c>
      <c r="N4637" s="18" t="s">
        <v>26</v>
      </c>
    </row>
    <row r="4638" spans="1:14" ht="15" customHeight="1" x14ac:dyDescent="0.3">
      <c r="A4638" s="18" t="s">
        <v>8824</v>
      </c>
      <c r="B4638" s="19" t="s">
        <v>15</v>
      </c>
      <c r="C4638" s="18" t="s">
        <v>210</v>
      </c>
      <c r="D4638" s="18" t="s">
        <v>116</v>
      </c>
      <c r="E4638" s="18" t="s">
        <v>55</v>
      </c>
      <c r="F4638" s="18" t="s">
        <v>9009</v>
      </c>
      <c r="G4638" s="18" t="s">
        <v>1069</v>
      </c>
      <c r="H4638" s="18" t="s">
        <v>8930</v>
      </c>
      <c r="I4638" s="20" t="s">
        <v>9010</v>
      </c>
      <c r="J4638" s="18" t="s">
        <v>58</v>
      </c>
      <c r="K4638" s="18" t="s">
        <v>24</v>
      </c>
      <c r="L4638" s="18" t="s">
        <v>25</v>
      </c>
      <c r="N4638" s="18" t="s">
        <v>26</v>
      </c>
    </row>
    <row r="4639" spans="1:14" ht="15" customHeight="1" x14ac:dyDescent="0.3">
      <c r="A4639" s="18" t="s">
        <v>8824</v>
      </c>
      <c r="B4639" s="19" t="s">
        <v>15</v>
      </c>
      <c r="C4639" s="18" t="s">
        <v>210</v>
      </c>
      <c r="D4639" s="18" t="s">
        <v>116</v>
      </c>
      <c r="E4639" s="18" t="s">
        <v>55</v>
      </c>
      <c r="F4639" s="18" t="s">
        <v>9011</v>
      </c>
      <c r="G4639" s="18" t="s">
        <v>80</v>
      </c>
      <c r="H4639" s="18" t="s">
        <v>8429</v>
      </c>
      <c r="I4639" s="20" t="s">
        <v>9012</v>
      </c>
      <c r="J4639" s="18" t="s">
        <v>58</v>
      </c>
      <c r="K4639" s="18" t="s">
        <v>24</v>
      </c>
      <c r="L4639" s="18" t="s">
        <v>25</v>
      </c>
      <c r="N4639" s="18" t="s">
        <v>26</v>
      </c>
    </row>
    <row r="4640" spans="1:14" ht="15" customHeight="1" x14ac:dyDescent="0.3">
      <c r="A4640" s="18" t="s">
        <v>8824</v>
      </c>
      <c r="B4640" s="19" t="s">
        <v>15</v>
      </c>
      <c r="C4640" s="18" t="s">
        <v>210</v>
      </c>
      <c r="D4640" s="18" t="s">
        <v>116</v>
      </c>
      <c r="E4640" s="18" t="s">
        <v>55</v>
      </c>
      <c r="F4640" s="18" t="s">
        <v>4231</v>
      </c>
      <c r="G4640" s="18" t="s">
        <v>41</v>
      </c>
      <c r="H4640" s="18" t="s">
        <v>8930</v>
      </c>
      <c r="I4640" s="20" t="s">
        <v>9013</v>
      </c>
      <c r="J4640" s="18" t="s">
        <v>58</v>
      </c>
      <c r="K4640" s="18" t="s">
        <v>24</v>
      </c>
      <c r="L4640" s="18" t="s">
        <v>25</v>
      </c>
      <c r="N4640" s="18" t="s">
        <v>26</v>
      </c>
    </row>
    <row r="4641" spans="1:14" ht="15" customHeight="1" x14ac:dyDescent="0.3">
      <c r="A4641" s="18" t="s">
        <v>8824</v>
      </c>
      <c r="B4641" s="19" t="s">
        <v>15</v>
      </c>
      <c r="C4641" s="18" t="s">
        <v>210</v>
      </c>
      <c r="D4641" s="18" t="s">
        <v>116</v>
      </c>
      <c r="E4641" s="18" t="s">
        <v>55</v>
      </c>
      <c r="F4641" s="18" t="s">
        <v>9014</v>
      </c>
      <c r="G4641" s="18" t="s">
        <v>1704</v>
      </c>
      <c r="H4641" s="18" t="s">
        <v>9015</v>
      </c>
      <c r="I4641" s="20" t="s">
        <v>9016</v>
      </c>
      <c r="J4641" s="18" t="s">
        <v>58</v>
      </c>
      <c r="K4641" s="18" t="s">
        <v>24</v>
      </c>
      <c r="L4641" s="18" t="s">
        <v>25</v>
      </c>
      <c r="N4641" s="18" t="s">
        <v>26</v>
      </c>
    </row>
    <row r="4642" spans="1:14" ht="15" customHeight="1" x14ac:dyDescent="0.3">
      <c r="A4642" s="18" t="s">
        <v>8824</v>
      </c>
      <c r="B4642" s="19" t="s">
        <v>15</v>
      </c>
      <c r="C4642" s="18" t="s">
        <v>210</v>
      </c>
      <c r="D4642" s="18" t="s">
        <v>116</v>
      </c>
      <c r="E4642" s="18" t="s">
        <v>55</v>
      </c>
      <c r="F4642" s="18" t="s">
        <v>5438</v>
      </c>
      <c r="G4642" s="18" t="s">
        <v>913</v>
      </c>
      <c r="H4642" s="18" t="s">
        <v>8825</v>
      </c>
      <c r="I4642" s="20" t="s">
        <v>9017</v>
      </c>
      <c r="J4642" s="18" t="s">
        <v>58</v>
      </c>
      <c r="K4642" s="18" t="s">
        <v>24</v>
      </c>
      <c r="L4642" s="18" t="s">
        <v>25</v>
      </c>
      <c r="N4642" s="18" t="s">
        <v>26</v>
      </c>
    </row>
    <row r="4643" spans="1:14" ht="15" customHeight="1" x14ac:dyDescent="0.3">
      <c r="A4643" s="18" t="s">
        <v>8824</v>
      </c>
      <c r="B4643" s="19" t="s">
        <v>15</v>
      </c>
      <c r="C4643" s="18" t="s">
        <v>210</v>
      </c>
      <c r="D4643" s="18" t="s">
        <v>116</v>
      </c>
      <c r="E4643" s="18" t="s">
        <v>55</v>
      </c>
      <c r="F4643" s="18" t="s">
        <v>9018</v>
      </c>
      <c r="G4643" s="18" t="s">
        <v>88</v>
      </c>
      <c r="H4643" s="18" t="s">
        <v>8159</v>
      </c>
      <c r="I4643" s="20" t="s">
        <v>9019</v>
      </c>
      <c r="J4643" s="18" t="s">
        <v>58</v>
      </c>
      <c r="K4643" s="18" t="s">
        <v>24</v>
      </c>
      <c r="L4643" s="18" t="s">
        <v>25</v>
      </c>
      <c r="N4643" s="18" t="s">
        <v>26</v>
      </c>
    </row>
    <row r="4644" spans="1:14" ht="15" customHeight="1" x14ac:dyDescent="0.3">
      <c r="A4644" s="18" t="s">
        <v>8824</v>
      </c>
      <c r="B4644" s="19" t="s">
        <v>15</v>
      </c>
      <c r="C4644" s="18" t="s">
        <v>210</v>
      </c>
      <c r="D4644" s="18" t="s">
        <v>116</v>
      </c>
      <c r="E4644" s="18" t="s">
        <v>55</v>
      </c>
      <c r="F4644" s="18" t="s">
        <v>9020</v>
      </c>
      <c r="G4644" s="18" t="s">
        <v>667</v>
      </c>
      <c r="H4644" s="18" t="s">
        <v>8939</v>
      </c>
      <c r="I4644" s="20" t="s">
        <v>9021</v>
      </c>
      <c r="J4644" s="18" t="s">
        <v>58</v>
      </c>
      <c r="K4644" s="18" t="s">
        <v>24</v>
      </c>
      <c r="L4644" s="18" t="s">
        <v>25</v>
      </c>
      <c r="N4644" s="18" t="s">
        <v>26</v>
      </c>
    </row>
    <row r="4645" spans="1:14" ht="15" customHeight="1" x14ac:dyDescent="0.3">
      <c r="A4645" s="18" t="s">
        <v>8824</v>
      </c>
      <c r="B4645" s="19" t="s">
        <v>15</v>
      </c>
      <c r="C4645" s="18" t="s">
        <v>210</v>
      </c>
      <c r="D4645" s="18" t="s">
        <v>116</v>
      </c>
      <c r="E4645" s="18" t="s">
        <v>55</v>
      </c>
      <c r="F4645" s="18" t="s">
        <v>9022</v>
      </c>
      <c r="G4645" s="18" t="s">
        <v>6432</v>
      </c>
      <c r="H4645" s="18" t="s">
        <v>8159</v>
      </c>
      <c r="I4645" s="20" t="s">
        <v>9023</v>
      </c>
      <c r="J4645" s="18" t="s">
        <v>58</v>
      </c>
      <c r="K4645" s="18" t="s">
        <v>24</v>
      </c>
      <c r="L4645" s="18" t="s">
        <v>25</v>
      </c>
      <c r="M4645" s="18" t="s">
        <v>39</v>
      </c>
      <c r="N4645" s="18" t="s">
        <v>26</v>
      </c>
    </row>
    <row r="4646" spans="1:14" ht="15" customHeight="1" x14ac:dyDescent="0.3">
      <c r="A4646" s="18" t="s">
        <v>8824</v>
      </c>
      <c r="B4646" s="19" t="s">
        <v>15</v>
      </c>
      <c r="C4646" s="18" t="s">
        <v>210</v>
      </c>
      <c r="D4646" s="18" t="s">
        <v>116</v>
      </c>
      <c r="E4646" s="18" t="s">
        <v>55</v>
      </c>
      <c r="F4646" s="18" t="s">
        <v>6324</v>
      </c>
      <c r="G4646" s="18" t="s">
        <v>1130</v>
      </c>
      <c r="H4646" s="18" t="s">
        <v>8828</v>
      </c>
      <c r="I4646" s="20" t="s">
        <v>9024</v>
      </c>
      <c r="J4646" s="18" t="s">
        <v>58</v>
      </c>
      <c r="K4646" s="18" t="s">
        <v>24</v>
      </c>
      <c r="L4646" s="18" t="s">
        <v>25</v>
      </c>
      <c r="N4646" s="18" t="s">
        <v>26</v>
      </c>
    </row>
    <row r="4647" spans="1:14" ht="15" customHeight="1" x14ac:dyDescent="0.3">
      <c r="A4647" s="18" t="s">
        <v>8824</v>
      </c>
      <c r="B4647" s="19" t="s">
        <v>15</v>
      </c>
      <c r="C4647" s="18" t="s">
        <v>210</v>
      </c>
      <c r="D4647" s="18" t="s">
        <v>116</v>
      </c>
      <c r="E4647" s="18" t="s">
        <v>55</v>
      </c>
      <c r="F4647" s="18" t="s">
        <v>9025</v>
      </c>
      <c r="G4647" s="18" t="s">
        <v>9026</v>
      </c>
      <c r="H4647" s="18" t="s">
        <v>8420</v>
      </c>
      <c r="I4647" s="20" t="s">
        <v>9027</v>
      </c>
      <c r="J4647" s="18" t="s">
        <v>58</v>
      </c>
      <c r="K4647" s="18" t="s">
        <v>24</v>
      </c>
      <c r="L4647" s="18" t="s">
        <v>25</v>
      </c>
      <c r="N4647" s="18" t="s">
        <v>26</v>
      </c>
    </row>
    <row r="4648" spans="1:14" ht="15" customHeight="1" x14ac:dyDescent="0.3">
      <c r="A4648" s="18" t="s">
        <v>8824</v>
      </c>
      <c r="B4648" s="19" t="s">
        <v>15</v>
      </c>
      <c r="C4648" s="18" t="s">
        <v>210</v>
      </c>
      <c r="D4648" s="18" t="s">
        <v>116</v>
      </c>
      <c r="E4648" s="18" t="s">
        <v>55</v>
      </c>
      <c r="F4648" s="18" t="s">
        <v>9028</v>
      </c>
      <c r="G4648" s="18" t="s">
        <v>2248</v>
      </c>
      <c r="H4648" s="18" t="s">
        <v>8159</v>
      </c>
      <c r="I4648" s="20" t="s">
        <v>9029</v>
      </c>
      <c r="J4648" s="18" t="s">
        <v>58</v>
      </c>
      <c r="K4648" s="18" t="s">
        <v>24</v>
      </c>
      <c r="L4648" s="18" t="s">
        <v>25</v>
      </c>
      <c r="N4648" s="18" t="s">
        <v>26</v>
      </c>
    </row>
    <row r="4649" spans="1:14" ht="15" customHeight="1" x14ac:dyDescent="0.3">
      <c r="A4649" s="18" t="s">
        <v>8824</v>
      </c>
      <c r="B4649" s="19" t="s">
        <v>15</v>
      </c>
      <c r="C4649" s="18" t="s">
        <v>210</v>
      </c>
      <c r="D4649" s="18" t="s">
        <v>116</v>
      </c>
      <c r="E4649" s="18" t="s">
        <v>55</v>
      </c>
      <c r="F4649" s="18" t="s">
        <v>9030</v>
      </c>
      <c r="G4649" s="18" t="s">
        <v>429</v>
      </c>
      <c r="H4649" s="18" t="s">
        <v>8939</v>
      </c>
      <c r="I4649" s="20" t="s">
        <v>9031</v>
      </c>
      <c r="J4649" s="18" t="s">
        <v>58</v>
      </c>
      <c r="K4649" s="18" t="s">
        <v>24</v>
      </c>
      <c r="L4649" s="18" t="s">
        <v>25</v>
      </c>
      <c r="N4649" s="18" t="s">
        <v>26</v>
      </c>
    </row>
    <row r="4650" spans="1:14" ht="15" customHeight="1" x14ac:dyDescent="0.3">
      <c r="A4650" s="18" t="s">
        <v>8824</v>
      </c>
      <c r="B4650" s="19" t="s">
        <v>15</v>
      </c>
      <c r="C4650" s="18" t="s">
        <v>210</v>
      </c>
      <c r="D4650" s="18" t="s">
        <v>116</v>
      </c>
      <c r="E4650" s="18" t="s">
        <v>55</v>
      </c>
      <c r="F4650" s="18" t="s">
        <v>9032</v>
      </c>
      <c r="G4650" s="18" t="s">
        <v>197</v>
      </c>
      <c r="H4650" s="18" t="s">
        <v>8867</v>
      </c>
      <c r="I4650" s="20" t="s">
        <v>9033</v>
      </c>
      <c r="J4650" s="18" t="s">
        <v>58</v>
      </c>
      <c r="K4650" s="18" t="s">
        <v>24</v>
      </c>
      <c r="L4650" s="18" t="s">
        <v>25</v>
      </c>
      <c r="M4650" s="18" t="s">
        <v>39</v>
      </c>
      <c r="N4650" s="18" t="s">
        <v>26</v>
      </c>
    </row>
    <row r="4651" spans="1:14" ht="15" customHeight="1" x14ac:dyDescent="0.3">
      <c r="A4651" s="18" t="s">
        <v>8824</v>
      </c>
      <c r="B4651" s="19" t="s">
        <v>15</v>
      </c>
      <c r="C4651" s="18" t="s">
        <v>210</v>
      </c>
      <c r="D4651" s="18" t="s">
        <v>116</v>
      </c>
      <c r="E4651" s="18" t="s">
        <v>55</v>
      </c>
      <c r="F4651" s="18" t="s">
        <v>9034</v>
      </c>
      <c r="G4651" s="18" t="s">
        <v>197</v>
      </c>
      <c r="H4651" s="18" t="s">
        <v>8835</v>
      </c>
      <c r="I4651" s="20" t="s">
        <v>9035</v>
      </c>
      <c r="J4651" s="18" t="s">
        <v>58</v>
      </c>
      <c r="K4651" s="18" t="s">
        <v>24</v>
      </c>
      <c r="L4651" s="18" t="s">
        <v>25</v>
      </c>
      <c r="N4651" s="18" t="s">
        <v>26</v>
      </c>
    </row>
    <row r="4652" spans="1:14" ht="15" customHeight="1" x14ac:dyDescent="0.3">
      <c r="A4652" s="18" t="s">
        <v>8824</v>
      </c>
      <c r="B4652" s="19" t="s">
        <v>15</v>
      </c>
      <c r="C4652" s="18" t="s">
        <v>210</v>
      </c>
      <c r="D4652" s="18" t="s">
        <v>116</v>
      </c>
      <c r="E4652" s="18" t="s">
        <v>55</v>
      </c>
      <c r="F4652" s="18" t="s">
        <v>1806</v>
      </c>
      <c r="G4652" s="18" t="s">
        <v>85</v>
      </c>
      <c r="H4652" s="18" t="s">
        <v>8930</v>
      </c>
      <c r="I4652" s="20" t="s">
        <v>9036</v>
      </c>
      <c r="J4652" s="18" t="s">
        <v>58</v>
      </c>
      <c r="K4652" s="18" t="s">
        <v>24</v>
      </c>
      <c r="L4652" s="18" t="s">
        <v>25</v>
      </c>
      <c r="N4652" s="18" t="s">
        <v>26</v>
      </c>
    </row>
    <row r="4653" spans="1:14" ht="15" customHeight="1" x14ac:dyDescent="0.3">
      <c r="A4653" s="18" t="s">
        <v>8824</v>
      </c>
      <c r="B4653" s="19" t="s">
        <v>15</v>
      </c>
      <c r="C4653" s="18" t="s">
        <v>210</v>
      </c>
      <c r="D4653" s="18" t="s">
        <v>116</v>
      </c>
      <c r="E4653" s="18" t="s">
        <v>55</v>
      </c>
      <c r="F4653" s="18" t="s">
        <v>9037</v>
      </c>
      <c r="G4653" s="18" t="s">
        <v>85</v>
      </c>
      <c r="H4653" s="18" t="s">
        <v>8930</v>
      </c>
      <c r="I4653" s="20" t="s">
        <v>9038</v>
      </c>
      <c r="J4653" s="18" t="s">
        <v>58</v>
      </c>
      <c r="K4653" s="18" t="s">
        <v>24</v>
      </c>
      <c r="L4653" s="18" t="s">
        <v>25</v>
      </c>
      <c r="N4653" s="18" t="s">
        <v>26</v>
      </c>
    </row>
    <row r="4654" spans="1:14" ht="15" customHeight="1" x14ac:dyDescent="0.3">
      <c r="A4654" s="18" t="s">
        <v>8824</v>
      </c>
      <c r="B4654" s="19" t="s">
        <v>15</v>
      </c>
      <c r="C4654" s="18" t="s">
        <v>210</v>
      </c>
      <c r="D4654" s="18" t="s">
        <v>116</v>
      </c>
      <c r="E4654" s="18" t="s">
        <v>55</v>
      </c>
      <c r="F4654" s="18" t="s">
        <v>9039</v>
      </c>
      <c r="G4654" s="18" t="s">
        <v>80</v>
      </c>
      <c r="H4654" s="18" t="s">
        <v>8429</v>
      </c>
      <c r="I4654" s="20" t="s">
        <v>9040</v>
      </c>
      <c r="J4654" s="18" t="s">
        <v>58</v>
      </c>
      <c r="K4654" s="18" t="s">
        <v>91</v>
      </c>
      <c r="L4654" s="18" t="s">
        <v>25</v>
      </c>
      <c r="N4654" s="18" t="s">
        <v>26</v>
      </c>
    </row>
    <row r="4655" spans="1:14" ht="15" customHeight="1" x14ac:dyDescent="0.3">
      <c r="A4655" s="18" t="s">
        <v>8824</v>
      </c>
      <c r="B4655" s="19" t="s">
        <v>15</v>
      </c>
      <c r="C4655" s="18" t="s">
        <v>210</v>
      </c>
      <c r="D4655" s="18" t="s">
        <v>116</v>
      </c>
      <c r="E4655" s="18" t="s">
        <v>55</v>
      </c>
      <c r="F4655" s="18" t="s">
        <v>9041</v>
      </c>
      <c r="G4655" s="18" t="s">
        <v>8847</v>
      </c>
      <c r="H4655" s="18" t="s">
        <v>8420</v>
      </c>
      <c r="I4655" s="20" t="s">
        <v>9042</v>
      </c>
      <c r="J4655" s="18" t="s">
        <v>58</v>
      </c>
      <c r="K4655" s="18" t="s">
        <v>24</v>
      </c>
      <c r="L4655" s="18" t="s">
        <v>25</v>
      </c>
      <c r="N4655" s="18" t="s">
        <v>26</v>
      </c>
    </row>
    <row r="4656" spans="1:14" ht="15" customHeight="1" x14ac:dyDescent="0.3">
      <c r="A4656" s="18" t="s">
        <v>8824</v>
      </c>
      <c r="B4656" s="19" t="s">
        <v>15</v>
      </c>
      <c r="C4656" s="18" t="s">
        <v>210</v>
      </c>
      <c r="D4656" s="18" t="s">
        <v>116</v>
      </c>
      <c r="E4656" s="18" t="s">
        <v>55</v>
      </c>
      <c r="F4656" s="18" t="s">
        <v>9043</v>
      </c>
      <c r="G4656" s="18" t="s">
        <v>197</v>
      </c>
      <c r="H4656" s="18" t="s">
        <v>8835</v>
      </c>
      <c r="I4656" s="20" t="s">
        <v>9044</v>
      </c>
      <c r="J4656" s="18" t="s">
        <v>58</v>
      </c>
      <c r="K4656" s="18" t="s">
        <v>24</v>
      </c>
      <c r="L4656" s="18" t="s">
        <v>25</v>
      </c>
      <c r="N4656" s="18" t="s">
        <v>26</v>
      </c>
    </row>
    <row r="4657" spans="1:14" ht="15" customHeight="1" x14ac:dyDescent="0.3">
      <c r="A4657" s="18" t="s">
        <v>8824</v>
      </c>
      <c r="B4657" s="19" t="s">
        <v>15</v>
      </c>
      <c r="C4657" s="18" t="s">
        <v>210</v>
      </c>
      <c r="D4657" s="18" t="s">
        <v>116</v>
      </c>
      <c r="E4657" s="18" t="s">
        <v>55</v>
      </c>
      <c r="F4657" s="18" t="s">
        <v>391</v>
      </c>
      <c r="G4657" s="18" t="s">
        <v>381</v>
      </c>
      <c r="H4657" s="18" t="s">
        <v>8559</v>
      </c>
      <c r="I4657" s="20" t="s">
        <v>9045</v>
      </c>
      <c r="J4657" s="18" t="s">
        <v>58</v>
      </c>
      <c r="K4657" s="18" t="s">
        <v>24</v>
      </c>
      <c r="L4657" s="18" t="s">
        <v>25</v>
      </c>
      <c r="N4657" s="18" t="s">
        <v>26</v>
      </c>
    </row>
    <row r="4658" spans="1:14" ht="15" customHeight="1" x14ac:dyDescent="0.3">
      <c r="A4658" s="18" t="s">
        <v>8824</v>
      </c>
      <c r="B4658" s="19" t="s">
        <v>15</v>
      </c>
      <c r="C4658" s="18" t="s">
        <v>210</v>
      </c>
      <c r="D4658" s="18" t="s">
        <v>116</v>
      </c>
      <c r="E4658" s="18" t="s">
        <v>55</v>
      </c>
      <c r="F4658" s="18" t="s">
        <v>9046</v>
      </c>
      <c r="G4658" s="18" t="s">
        <v>6432</v>
      </c>
      <c r="H4658" s="18" t="s">
        <v>8159</v>
      </c>
      <c r="I4658" s="20" t="s">
        <v>9047</v>
      </c>
      <c r="J4658" s="18" t="s">
        <v>58</v>
      </c>
      <c r="K4658" s="18" t="s">
        <v>24</v>
      </c>
      <c r="L4658" s="18" t="s">
        <v>25</v>
      </c>
      <c r="M4658" s="18" t="s">
        <v>39</v>
      </c>
      <c r="N4658" s="18" t="s">
        <v>26</v>
      </c>
    </row>
    <row r="4659" spans="1:14" ht="15" customHeight="1" x14ac:dyDescent="0.3">
      <c r="A4659" s="18" t="s">
        <v>8824</v>
      </c>
      <c r="B4659" s="19" t="s">
        <v>15</v>
      </c>
      <c r="C4659" s="18" t="s">
        <v>210</v>
      </c>
      <c r="D4659" s="18" t="s">
        <v>116</v>
      </c>
      <c r="E4659" s="18" t="s">
        <v>55</v>
      </c>
      <c r="F4659" s="18" t="s">
        <v>9048</v>
      </c>
      <c r="G4659" s="18" t="s">
        <v>6324</v>
      </c>
      <c r="H4659" s="18" t="s">
        <v>8420</v>
      </c>
      <c r="I4659" s="20" t="s">
        <v>9049</v>
      </c>
      <c r="J4659" s="18" t="s">
        <v>58</v>
      </c>
      <c r="K4659" s="18" t="s">
        <v>24</v>
      </c>
      <c r="L4659" s="18" t="s">
        <v>25</v>
      </c>
      <c r="N4659" s="18" t="s">
        <v>26</v>
      </c>
    </row>
    <row r="4660" spans="1:14" ht="15" customHeight="1" x14ac:dyDescent="0.3">
      <c r="A4660" s="18" t="s">
        <v>8824</v>
      </c>
      <c r="B4660" s="19" t="s">
        <v>15</v>
      </c>
      <c r="C4660" s="18" t="s">
        <v>210</v>
      </c>
      <c r="D4660" s="18" t="s">
        <v>116</v>
      </c>
      <c r="E4660" s="18" t="s">
        <v>55</v>
      </c>
      <c r="F4660" s="18" t="s">
        <v>1971</v>
      </c>
      <c r="G4660" s="18" t="s">
        <v>8851</v>
      </c>
      <c r="H4660" s="18" t="s">
        <v>8835</v>
      </c>
      <c r="I4660" s="20" t="s">
        <v>9050</v>
      </c>
      <c r="J4660" s="18" t="s">
        <v>58</v>
      </c>
      <c r="K4660" s="18" t="s">
        <v>24</v>
      </c>
      <c r="L4660" s="18" t="s">
        <v>25</v>
      </c>
      <c r="N4660" s="18" t="s">
        <v>26</v>
      </c>
    </row>
    <row r="4661" spans="1:14" ht="15" customHeight="1" x14ac:dyDescent="0.3">
      <c r="A4661" s="18" t="s">
        <v>8824</v>
      </c>
      <c r="B4661" s="19" t="s">
        <v>15</v>
      </c>
      <c r="C4661" s="18" t="s">
        <v>210</v>
      </c>
      <c r="D4661" s="18" t="s">
        <v>116</v>
      </c>
      <c r="E4661" s="18" t="s">
        <v>55</v>
      </c>
      <c r="F4661" s="18" t="s">
        <v>9051</v>
      </c>
      <c r="G4661" s="18" t="s">
        <v>1059</v>
      </c>
      <c r="H4661" s="18" t="s">
        <v>8930</v>
      </c>
      <c r="I4661" s="20" t="s">
        <v>9052</v>
      </c>
      <c r="J4661" s="18" t="s">
        <v>58</v>
      </c>
      <c r="K4661" s="18" t="s">
        <v>24</v>
      </c>
      <c r="L4661" s="18" t="s">
        <v>25</v>
      </c>
      <c r="N4661" s="18" t="s">
        <v>26</v>
      </c>
    </row>
    <row r="4662" spans="1:14" ht="15" customHeight="1" x14ac:dyDescent="0.3">
      <c r="A4662" s="18" t="s">
        <v>8824</v>
      </c>
      <c r="B4662" s="19" t="s">
        <v>15</v>
      </c>
      <c r="C4662" s="18" t="s">
        <v>210</v>
      </c>
      <c r="D4662" s="18" t="s">
        <v>116</v>
      </c>
      <c r="E4662" s="18" t="s">
        <v>55</v>
      </c>
      <c r="F4662" s="18" t="s">
        <v>2587</v>
      </c>
      <c r="G4662" s="18" t="s">
        <v>28</v>
      </c>
      <c r="H4662" s="18" t="s">
        <v>8856</v>
      </c>
      <c r="I4662" s="20" t="s">
        <v>9053</v>
      </c>
      <c r="J4662" s="18" t="s">
        <v>58</v>
      </c>
      <c r="K4662" s="18" t="s">
        <v>24</v>
      </c>
      <c r="L4662" s="18" t="s">
        <v>25</v>
      </c>
      <c r="N4662" s="18" t="s">
        <v>26</v>
      </c>
    </row>
    <row r="4663" spans="1:14" ht="15" customHeight="1" x14ac:dyDescent="0.3">
      <c r="A4663" s="18" t="s">
        <v>8824</v>
      </c>
      <c r="B4663" s="19" t="s">
        <v>15</v>
      </c>
      <c r="C4663" s="18" t="s">
        <v>210</v>
      </c>
      <c r="D4663" s="18" t="s">
        <v>116</v>
      </c>
      <c r="E4663" s="18" t="s">
        <v>55</v>
      </c>
      <c r="F4663" s="18" t="s">
        <v>9054</v>
      </c>
      <c r="G4663" s="18" t="s">
        <v>28</v>
      </c>
      <c r="H4663" s="18" t="s">
        <v>8856</v>
      </c>
      <c r="I4663" s="20" t="s">
        <v>9055</v>
      </c>
      <c r="J4663" s="18" t="s">
        <v>58</v>
      </c>
      <c r="K4663" s="18" t="s">
        <v>24</v>
      </c>
      <c r="L4663" s="18" t="s">
        <v>25</v>
      </c>
      <c r="M4663" s="18" t="s">
        <v>39</v>
      </c>
      <c r="N4663" s="18" t="s">
        <v>26</v>
      </c>
    </row>
    <row r="4664" spans="1:14" ht="15" customHeight="1" x14ac:dyDescent="0.3">
      <c r="A4664" s="18" t="s">
        <v>8824</v>
      </c>
      <c r="B4664" s="19" t="s">
        <v>15</v>
      </c>
      <c r="C4664" s="18" t="s">
        <v>210</v>
      </c>
      <c r="D4664" s="18" t="s">
        <v>116</v>
      </c>
      <c r="E4664" s="18" t="s">
        <v>55</v>
      </c>
      <c r="F4664" s="18" t="s">
        <v>162</v>
      </c>
      <c r="G4664" s="18" t="s">
        <v>28</v>
      </c>
      <c r="H4664" s="18" t="s">
        <v>8856</v>
      </c>
      <c r="I4664" s="20" t="s">
        <v>9056</v>
      </c>
      <c r="J4664" s="18" t="s">
        <v>58</v>
      </c>
      <c r="K4664" s="18" t="s">
        <v>24</v>
      </c>
      <c r="L4664" s="18" t="s">
        <v>25</v>
      </c>
      <c r="N4664" s="18" t="s">
        <v>26</v>
      </c>
    </row>
    <row r="4665" spans="1:14" ht="15" customHeight="1" x14ac:dyDescent="0.3">
      <c r="A4665" s="18" t="s">
        <v>8824</v>
      </c>
      <c r="B4665" s="19" t="s">
        <v>15</v>
      </c>
      <c r="C4665" s="18" t="s">
        <v>210</v>
      </c>
      <c r="D4665" s="18" t="s">
        <v>116</v>
      </c>
      <c r="E4665" s="18" t="s">
        <v>55</v>
      </c>
      <c r="F4665" s="18" t="s">
        <v>8859</v>
      </c>
      <c r="G4665" s="18" t="s">
        <v>28</v>
      </c>
      <c r="H4665" s="18" t="s">
        <v>8835</v>
      </c>
      <c r="I4665" s="20" t="s">
        <v>9057</v>
      </c>
      <c r="J4665" s="18" t="s">
        <v>58</v>
      </c>
      <c r="K4665" s="18" t="s">
        <v>24</v>
      </c>
      <c r="L4665" s="18" t="s">
        <v>25</v>
      </c>
      <c r="N4665" s="18" t="s">
        <v>26</v>
      </c>
    </row>
    <row r="4666" spans="1:14" ht="15" customHeight="1" x14ac:dyDescent="0.3">
      <c r="A4666" s="18" t="s">
        <v>8824</v>
      </c>
      <c r="B4666" s="19" t="s">
        <v>15</v>
      </c>
      <c r="C4666" s="18" t="s">
        <v>210</v>
      </c>
      <c r="D4666" s="18" t="s">
        <v>116</v>
      </c>
      <c r="E4666" s="18" t="s">
        <v>55</v>
      </c>
      <c r="F4666" s="18" t="s">
        <v>6783</v>
      </c>
      <c r="G4666" s="18" t="s">
        <v>28</v>
      </c>
      <c r="H4666" s="18" t="s">
        <v>8856</v>
      </c>
      <c r="I4666" s="20" t="s">
        <v>9058</v>
      </c>
      <c r="J4666" s="18" t="s">
        <v>58</v>
      </c>
      <c r="K4666" s="18" t="s">
        <v>24</v>
      </c>
      <c r="L4666" s="18" t="s">
        <v>25</v>
      </c>
      <c r="N4666" s="18" t="s">
        <v>26</v>
      </c>
    </row>
    <row r="4667" spans="1:14" ht="15" customHeight="1" x14ac:dyDescent="0.3">
      <c r="A4667" s="18" t="s">
        <v>8824</v>
      </c>
      <c r="B4667" s="19" t="s">
        <v>15</v>
      </c>
      <c r="C4667" s="18" t="s">
        <v>210</v>
      </c>
      <c r="D4667" s="18" t="s">
        <v>116</v>
      </c>
      <c r="E4667" s="18" t="s">
        <v>55</v>
      </c>
      <c r="F4667" s="18" t="s">
        <v>4940</v>
      </c>
      <c r="G4667" s="18" t="s">
        <v>28</v>
      </c>
      <c r="H4667" s="18" t="s">
        <v>8856</v>
      </c>
      <c r="I4667" s="20" t="s">
        <v>9059</v>
      </c>
      <c r="J4667" s="18" t="s">
        <v>58</v>
      </c>
      <c r="K4667" s="18" t="s">
        <v>24</v>
      </c>
      <c r="L4667" s="18" t="s">
        <v>25</v>
      </c>
      <c r="N4667" s="18" t="s">
        <v>26</v>
      </c>
    </row>
    <row r="4668" spans="1:14" ht="15" customHeight="1" x14ac:dyDescent="0.3">
      <c r="A4668" s="18" t="s">
        <v>8824</v>
      </c>
      <c r="B4668" s="19" t="s">
        <v>15</v>
      </c>
      <c r="C4668" s="18" t="s">
        <v>210</v>
      </c>
      <c r="D4668" s="18" t="s">
        <v>116</v>
      </c>
      <c r="E4668" s="18" t="s">
        <v>55</v>
      </c>
      <c r="F4668" s="18" t="s">
        <v>2688</v>
      </c>
      <c r="G4668" s="18" t="s">
        <v>28</v>
      </c>
      <c r="H4668" s="18" t="s">
        <v>8856</v>
      </c>
      <c r="I4668" s="20" t="s">
        <v>9060</v>
      </c>
      <c r="J4668" s="18" t="s">
        <v>58</v>
      </c>
      <c r="K4668" s="18" t="s">
        <v>24</v>
      </c>
      <c r="L4668" s="18" t="s">
        <v>25</v>
      </c>
      <c r="N4668" s="18" t="s">
        <v>26</v>
      </c>
    </row>
    <row r="4669" spans="1:14" ht="15" customHeight="1" x14ac:dyDescent="0.3">
      <c r="A4669" s="18" t="s">
        <v>8824</v>
      </c>
      <c r="B4669" s="19" t="s">
        <v>15</v>
      </c>
      <c r="C4669" s="18" t="s">
        <v>210</v>
      </c>
      <c r="D4669" s="18" t="s">
        <v>116</v>
      </c>
      <c r="E4669" s="18" t="s">
        <v>55</v>
      </c>
      <c r="F4669" s="18" t="s">
        <v>2591</v>
      </c>
      <c r="G4669" s="18" t="s">
        <v>28</v>
      </c>
      <c r="H4669" s="18" t="s">
        <v>8856</v>
      </c>
      <c r="I4669" s="20" t="s">
        <v>9061</v>
      </c>
      <c r="J4669" s="18" t="s">
        <v>58</v>
      </c>
      <c r="K4669" s="18" t="s">
        <v>24</v>
      </c>
      <c r="L4669" s="18" t="s">
        <v>25</v>
      </c>
      <c r="N4669" s="18" t="s">
        <v>26</v>
      </c>
    </row>
    <row r="4670" spans="1:14" ht="15" customHeight="1" x14ac:dyDescent="0.3">
      <c r="A4670" s="18" t="s">
        <v>8824</v>
      </c>
      <c r="B4670" s="19" t="s">
        <v>15</v>
      </c>
      <c r="C4670" s="18" t="s">
        <v>210</v>
      </c>
      <c r="D4670" s="18" t="s">
        <v>116</v>
      </c>
      <c r="E4670" s="18" t="s">
        <v>55</v>
      </c>
      <c r="F4670" s="18" t="s">
        <v>6860</v>
      </c>
      <c r="G4670" s="18" t="s">
        <v>28</v>
      </c>
      <c r="H4670" s="18" t="s">
        <v>8856</v>
      </c>
      <c r="I4670" s="20" t="s">
        <v>9062</v>
      </c>
      <c r="J4670" s="18" t="s">
        <v>58</v>
      </c>
      <c r="K4670" s="18" t="s">
        <v>24</v>
      </c>
      <c r="L4670" s="18" t="s">
        <v>25</v>
      </c>
      <c r="N4670" s="18" t="s">
        <v>26</v>
      </c>
    </row>
    <row r="4671" spans="1:14" ht="15" customHeight="1" x14ac:dyDescent="0.3">
      <c r="A4671" s="18" t="s">
        <v>8824</v>
      </c>
      <c r="B4671" s="19" t="s">
        <v>15</v>
      </c>
      <c r="C4671" s="18" t="s">
        <v>210</v>
      </c>
      <c r="D4671" s="18" t="s">
        <v>116</v>
      </c>
      <c r="E4671" s="18" t="s">
        <v>55</v>
      </c>
      <c r="F4671" s="18" t="s">
        <v>9063</v>
      </c>
      <c r="G4671" s="18" t="s">
        <v>28</v>
      </c>
      <c r="H4671" s="18" t="s">
        <v>8835</v>
      </c>
      <c r="I4671" s="20" t="s">
        <v>9064</v>
      </c>
      <c r="J4671" s="18" t="s">
        <v>58</v>
      </c>
      <c r="K4671" s="18" t="s">
        <v>24</v>
      </c>
      <c r="L4671" s="18" t="s">
        <v>25</v>
      </c>
      <c r="N4671" s="18" t="s">
        <v>26</v>
      </c>
    </row>
    <row r="4672" spans="1:14" ht="15" customHeight="1" x14ac:dyDescent="0.3">
      <c r="A4672" s="18" t="s">
        <v>8824</v>
      </c>
      <c r="B4672" s="19" t="s">
        <v>15</v>
      </c>
      <c r="C4672" s="18" t="s">
        <v>210</v>
      </c>
      <c r="D4672" s="18" t="s">
        <v>116</v>
      </c>
      <c r="E4672" s="18" t="s">
        <v>55</v>
      </c>
      <c r="F4672" s="18" t="s">
        <v>619</v>
      </c>
      <c r="G4672" s="18" t="s">
        <v>619</v>
      </c>
      <c r="H4672" s="18" t="s">
        <v>8416</v>
      </c>
      <c r="I4672" s="20" t="s">
        <v>9065</v>
      </c>
      <c r="J4672" s="18" t="s">
        <v>58</v>
      </c>
      <c r="K4672" s="18" t="s">
        <v>24</v>
      </c>
      <c r="L4672" s="18" t="s">
        <v>25</v>
      </c>
      <c r="N4672" s="18" t="s">
        <v>26</v>
      </c>
    </row>
    <row r="4673" spans="1:14" ht="15" customHeight="1" x14ac:dyDescent="0.3">
      <c r="A4673" s="18" t="s">
        <v>8824</v>
      </c>
      <c r="B4673" s="19" t="s">
        <v>15</v>
      </c>
      <c r="C4673" s="18" t="s">
        <v>210</v>
      </c>
      <c r="D4673" s="18" t="s">
        <v>116</v>
      </c>
      <c r="E4673" s="18" t="s">
        <v>55</v>
      </c>
      <c r="F4673" s="18" t="s">
        <v>9066</v>
      </c>
      <c r="G4673" s="18" t="s">
        <v>619</v>
      </c>
      <c r="H4673" s="18" t="s">
        <v>8416</v>
      </c>
      <c r="I4673" s="20" t="s">
        <v>9067</v>
      </c>
      <c r="J4673" s="18" t="s">
        <v>58</v>
      </c>
      <c r="K4673" s="18" t="s">
        <v>24</v>
      </c>
      <c r="L4673" s="18" t="s">
        <v>25</v>
      </c>
      <c r="N4673" s="18" t="s">
        <v>26</v>
      </c>
    </row>
    <row r="4674" spans="1:14" ht="15" customHeight="1" x14ac:dyDescent="0.3">
      <c r="A4674" s="18" t="s">
        <v>8824</v>
      </c>
      <c r="B4674" s="19" t="s">
        <v>15</v>
      </c>
      <c r="C4674" s="18" t="s">
        <v>210</v>
      </c>
      <c r="D4674" s="18" t="s">
        <v>116</v>
      </c>
      <c r="E4674" s="18" t="s">
        <v>55</v>
      </c>
      <c r="F4674" s="18" t="s">
        <v>6510</v>
      </c>
      <c r="G4674" s="18" t="s">
        <v>619</v>
      </c>
      <c r="H4674" s="18" t="s">
        <v>8416</v>
      </c>
      <c r="I4674" s="20" t="s">
        <v>9068</v>
      </c>
      <c r="J4674" s="18" t="s">
        <v>58</v>
      </c>
      <c r="K4674" s="18" t="s">
        <v>24</v>
      </c>
      <c r="L4674" s="18" t="s">
        <v>25</v>
      </c>
      <c r="N4674" s="18" t="s">
        <v>26</v>
      </c>
    </row>
    <row r="4675" spans="1:14" ht="15" customHeight="1" x14ac:dyDescent="0.3">
      <c r="A4675" s="18" t="s">
        <v>8824</v>
      </c>
      <c r="B4675" s="19" t="s">
        <v>15</v>
      </c>
      <c r="C4675" s="18" t="s">
        <v>210</v>
      </c>
      <c r="D4675" s="18" t="s">
        <v>116</v>
      </c>
      <c r="E4675" s="18" t="s">
        <v>55</v>
      </c>
      <c r="F4675" s="18" t="s">
        <v>9069</v>
      </c>
      <c r="G4675" s="18" t="s">
        <v>619</v>
      </c>
      <c r="H4675" s="18" t="s">
        <v>8416</v>
      </c>
      <c r="I4675" s="20" t="s">
        <v>9070</v>
      </c>
      <c r="J4675" s="18" t="s">
        <v>58</v>
      </c>
      <c r="K4675" s="18" t="s">
        <v>24</v>
      </c>
      <c r="L4675" s="18" t="s">
        <v>25</v>
      </c>
      <c r="N4675" s="18" t="s">
        <v>26</v>
      </c>
    </row>
    <row r="4676" spans="1:14" ht="15" customHeight="1" x14ac:dyDescent="0.3">
      <c r="A4676" s="18" t="s">
        <v>8824</v>
      </c>
      <c r="B4676" s="19" t="s">
        <v>15</v>
      </c>
      <c r="C4676" s="18" t="s">
        <v>210</v>
      </c>
      <c r="D4676" s="18" t="s">
        <v>116</v>
      </c>
      <c r="E4676" s="18" t="s">
        <v>55</v>
      </c>
      <c r="F4676" s="18" t="s">
        <v>9071</v>
      </c>
      <c r="G4676" s="18" t="s">
        <v>619</v>
      </c>
      <c r="H4676" s="18" t="s">
        <v>8416</v>
      </c>
      <c r="I4676" s="20" t="s">
        <v>9072</v>
      </c>
      <c r="J4676" s="18" t="s">
        <v>58</v>
      </c>
      <c r="K4676" s="18" t="s">
        <v>24</v>
      </c>
      <c r="L4676" s="18" t="s">
        <v>25</v>
      </c>
      <c r="N4676" s="18" t="s">
        <v>26</v>
      </c>
    </row>
    <row r="4677" spans="1:14" ht="15" customHeight="1" x14ac:dyDescent="0.3">
      <c r="A4677" s="18" t="s">
        <v>8824</v>
      </c>
      <c r="B4677" s="19" t="s">
        <v>15</v>
      </c>
      <c r="C4677" s="18" t="s">
        <v>210</v>
      </c>
      <c r="D4677" s="18" t="s">
        <v>116</v>
      </c>
      <c r="E4677" s="18" t="s">
        <v>55</v>
      </c>
      <c r="F4677" s="18" t="s">
        <v>9073</v>
      </c>
      <c r="G4677" s="18" t="s">
        <v>19</v>
      </c>
      <c r="H4677" s="18" t="s">
        <v>8559</v>
      </c>
      <c r="I4677" s="20" t="s">
        <v>9074</v>
      </c>
      <c r="J4677" s="18" t="s">
        <v>58</v>
      </c>
      <c r="K4677" s="18" t="s">
        <v>24</v>
      </c>
      <c r="L4677" s="18" t="s">
        <v>25</v>
      </c>
      <c r="N4677" s="18" t="s">
        <v>26</v>
      </c>
    </row>
    <row r="4678" spans="1:14" ht="15" customHeight="1" x14ac:dyDescent="0.3">
      <c r="A4678" s="18" t="s">
        <v>8824</v>
      </c>
      <c r="B4678" s="19" t="s">
        <v>15</v>
      </c>
      <c r="C4678" s="18" t="s">
        <v>210</v>
      </c>
      <c r="D4678" s="18" t="s">
        <v>116</v>
      </c>
      <c r="E4678" s="18" t="s">
        <v>55</v>
      </c>
      <c r="F4678" s="18" t="s">
        <v>9075</v>
      </c>
      <c r="G4678" s="18" t="s">
        <v>28</v>
      </c>
      <c r="H4678" s="18" t="s">
        <v>8159</v>
      </c>
      <c r="I4678" s="20" t="s">
        <v>9076</v>
      </c>
      <c r="J4678" s="18" t="s">
        <v>58</v>
      </c>
      <c r="K4678" s="18" t="s">
        <v>24</v>
      </c>
      <c r="L4678" s="18" t="s">
        <v>25</v>
      </c>
      <c r="N4678" s="18" t="s">
        <v>26</v>
      </c>
    </row>
    <row r="4679" spans="1:14" ht="15" customHeight="1" x14ac:dyDescent="0.3">
      <c r="A4679" s="18" t="s">
        <v>8824</v>
      </c>
      <c r="B4679" s="19" t="s">
        <v>15</v>
      </c>
      <c r="C4679" s="18" t="s">
        <v>210</v>
      </c>
      <c r="D4679" s="18" t="s">
        <v>116</v>
      </c>
      <c r="E4679" s="18" t="s">
        <v>55</v>
      </c>
      <c r="F4679" s="18" t="s">
        <v>9077</v>
      </c>
      <c r="G4679" s="18" t="s">
        <v>606</v>
      </c>
      <c r="H4679" s="18" t="s">
        <v>8159</v>
      </c>
      <c r="I4679" s="20" t="s">
        <v>9078</v>
      </c>
      <c r="J4679" s="18" t="s">
        <v>58</v>
      </c>
      <c r="K4679" s="18" t="s">
        <v>24</v>
      </c>
      <c r="L4679" s="18" t="s">
        <v>25</v>
      </c>
      <c r="N4679" s="18" t="s">
        <v>26</v>
      </c>
    </row>
    <row r="4680" spans="1:14" ht="15" customHeight="1" x14ac:dyDescent="0.3">
      <c r="A4680" s="18" t="s">
        <v>8824</v>
      </c>
      <c r="B4680" s="19" t="s">
        <v>15</v>
      </c>
      <c r="C4680" s="18" t="s">
        <v>210</v>
      </c>
      <c r="D4680" s="18" t="s">
        <v>116</v>
      </c>
      <c r="E4680" s="18" t="s">
        <v>55</v>
      </c>
      <c r="F4680" s="18" t="s">
        <v>9079</v>
      </c>
      <c r="G4680" s="18" t="s">
        <v>1009</v>
      </c>
      <c r="H4680" s="18" t="s">
        <v>8159</v>
      </c>
      <c r="I4680" s="20" t="s">
        <v>9080</v>
      </c>
      <c r="J4680" s="18" t="s">
        <v>58</v>
      </c>
      <c r="K4680" s="18" t="s">
        <v>24</v>
      </c>
      <c r="L4680" s="18" t="s">
        <v>25</v>
      </c>
      <c r="N4680" s="18" t="s">
        <v>26</v>
      </c>
    </row>
    <row r="4681" spans="1:14" ht="15" customHeight="1" x14ac:dyDescent="0.3">
      <c r="A4681" s="18" t="s">
        <v>8824</v>
      </c>
      <c r="B4681" s="19" t="s">
        <v>15</v>
      </c>
      <c r="C4681" s="18" t="s">
        <v>210</v>
      </c>
      <c r="D4681" s="18" t="s">
        <v>116</v>
      </c>
      <c r="E4681" s="18" t="s">
        <v>55</v>
      </c>
      <c r="F4681" s="18" t="s">
        <v>9081</v>
      </c>
      <c r="G4681" s="18" t="s">
        <v>1069</v>
      </c>
      <c r="H4681" s="18" t="s">
        <v>8930</v>
      </c>
      <c r="I4681" s="20" t="s">
        <v>9082</v>
      </c>
      <c r="J4681" s="18" t="s">
        <v>58</v>
      </c>
      <c r="K4681" s="18" t="s">
        <v>24</v>
      </c>
      <c r="L4681" s="18" t="s">
        <v>25</v>
      </c>
      <c r="N4681" s="18" t="s">
        <v>26</v>
      </c>
    </row>
    <row r="4682" spans="1:14" ht="15" customHeight="1" x14ac:dyDescent="0.3">
      <c r="A4682" s="18" t="s">
        <v>8824</v>
      </c>
      <c r="B4682" s="19" t="s">
        <v>15</v>
      </c>
      <c r="C4682" s="18" t="s">
        <v>210</v>
      </c>
      <c r="D4682" s="18" t="s">
        <v>116</v>
      </c>
      <c r="E4682" s="18" t="s">
        <v>55</v>
      </c>
      <c r="F4682" s="18" t="s">
        <v>1069</v>
      </c>
      <c r="G4682" s="18" t="s">
        <v>2921</v>
      </c>
      <c r="H4682" s="18" t="s">
        <v>8930</v>
      </c>
      <c r="I4682" s="20" t="s">
        <v>9083</v>
      </c>
      <c r="J4682" s="18" t="s">
        <v>58</v>
      </c>
      <c r="K4682" s="18" t="s">
        <v>24</v>
      </c>
      <c r="L4682" s="18" t="s">
        <v>25</v>
      </c>
      <c r="N4682" s="18" t="s">
        <v>26</v>
      </c>
    </row>
    <row r="4683" spans="1:14" ht="15" customHeight="1" x14ac:dyDescent="0.3">
      <c r="A4683" s="18" t="s">
        <v>8824</v>
      </c>
      <c r="B4683" s="19" t="s">
        <v>15</v>
      </c>
      <c r="C4683" s="18" t="s">
        <v>210</v>
      </c>
      <c r="D4683" s="18" t="s">
        <v>116</v>
      </c>
      <c r="E4683" s="18" t="s">
        <v>55</v>
      </c>
      <c r="F4683" s="18" t="s">
        <v>9084</v>
      </c>
      <c r="G4683" s="18" t="s">
        <v>1069</v>
      </c>
      <c r="H4683" s="18" t="s">
        <v>8930</v>
      </c>
      <c r="I4683" s="20" t="s">
        <v>9085</v>
      </c>
      <c r="J4683" s="18" t="s">
        <v>58</v>
      </c>
      <c r="K4683" s="18" t="s">
        <v>24</v>
      </c>
      <c r="L4683" s="18" t="s">
        <v>25</v>
      </c>
      <c r="N4683" s="18" t="s">
        <v>26</v>
      </c>
    </row>
    <row r="4684" spans="1:14" ht="15" customHeight="1" x14ac:dyDescent="0.3">
      <c r="A4684" s="18" t="s">
        <v>8824</v>
      </c>
      <c r="B4684" s="19" t="s">
        <v>15</v>
      </c>
      <c r="C4684" s="18" t="s">
        <v>210</v>
      </c>
      <c r="D4684" s="18" t="s">
        <v>116</v>
      </c>
      <c r="E4684" s="18" t="s">
        <v>55</v>
      </c>
      <c r="F4684" s="18" t="s">
        <v>9086</v>
      </c>
      <c r="G4684" s="18" t="s">
        <v>1069</v>
      </c>
      <c r="H4684" s="18" t="s">
        <v>8930</v>
      </c>
      <c r="I4684" s="20" t="s">
        <v>9087</v>
      </c>
      <c r="J4684" s="18" t="s">
        <v>58</v>
      </c>
      <c r="K4684" s="18" t="s">
        <v>24</v>
      </c>
      <c r="L4684" s="18" t="s">
        <v>25</v>
      </c>
      <c r="N4684" s="18" t="s">
        <v>26</v>
      </c>
    </row>
    <row r="4685" spans="1:14" ht="15" customHeight="1" x14ac:dyDescent="0.3">
      <c r="A4685" s="18" t="s">
        <v>8824</v>
      </c>
      <c r="B4685" s="19" t="s">
        <v>15</v>
      </c>
      <c r="C4685" s="18" t="s">
        <v>210</v>
      </c>
      <c r="D4685" s="18" t="s">
        <v>116</v>
      </c>
      <c r="E4685" s="18" t="s">
        <v>55</v>
      </c>
      <c r="F4685" s="18" t="s">
        <v>9088</v>
      </c>
      <c r="G4685" s="18" t="s">
        <v>1069</v>
      </c>
      <c r="H4685" s="18" t="s">
        <v>8930</v>
      </c>
      <c r="I4685" s="20" t="s">
        <v>9089</v>
      </c>
      <c r="J4685" s="18" t="s">
        <v>58</v>
      </c>
      <c r="K4685" s="18" t="s">
        <v>24</v>
      </c>
      <c r="L4685" s="18" t="s">
        <v>25</v>
      </c>
      <c r="N4685" s="18" t="s">
        <v>26</v>
      </c>
    </row>
    <row r="4686" spans="1:14" ht="15" customHeight="1" x14ac:dyDescent="0.3">
      <c r="A4686" s="18" t="s">
        <v>8824</v>
      </c>
      <c r="B4686" s="19" t="s">
        <v>15</v>
      </c>
      <c r="C4686" s="18" t="s">
        <v>210</v>
      </c>
      <c r="D4686" s="18" t="s">
        <v>116</v>
      </c>
      <c r="E4686" s="18" t="s">
        <v>55</v>
      </c>
      <c r="F4686" s="18" t="s">
        <v>305</v>
      </c>
      <c r="G4686" s="18" t="s">
        <v>7762</v>
      </c>
      <c r="H4686" s="18" t="s">
        <v>8833</v>
      </c>
      <c r="I4686" s="20" t="s">
        <v>9090</v>
      </c>
      <c r="J4686" s="18" t="s">
        <v>58</v>
      </c>
      <c r="K4686" s="18" t="s">
        <v>24</v>
      </c>
      <c r="L4686" s="18" t="s">
        <v>25</v>
      </c>
      <c r="N4686" s="18" t="s">
        <v>26</v>
      </c>
    </row>
    <row r="4687" spans="1:14" ht="15" customHeight="1" x14ac:dyDescent="0.3">
      <c r="A4687" s="18" t="s">
        <v>8824</v>
      </c>
      <c r="B4687" s="19" t="s">
        <v>15</v>
      </c>
      <c r="C4687" s="18" t="s">
        <v>210</v>
      </c>
      <c r="D4687" s="18" t="s">
        <v>116</v>
      </c>
      <c r="E4687" s="18" t="s">
        <v>55</v>
      </c>
      <c r="F4687" s="18" t="s">
        <v>3553</v>
      </c>
      <c r="G4687" s="18" t="s">
        <v>273</v>
      </c>
      <c r="H4687" s="18" t="s">
        <v>8835</v>
      </c>
      <c r="I4687" s="20" t="s">
        <v>9091</v>
      </c>
      <c r="J4687" s="18" t="s">
        <v>58</v>
      </c>
      <c r="K4687" s="18" t="s">
        <v>24</v>
      </c>
      <c r="L4687" s="18" t="s">
        <v>25</v>
      </c>
      <c r="N4687" s="18" t="s">
        <v>26</v>
      </c>
    </row>
    <row r="4688" spans="1:14" ht="15" customHeight="1" x14ac:dyDescent="0.3">
      <c r="A4688" s="18" t="s">
        <v>8824</v>
      </c>
      <c r="B4688" s="19" t="s">
        <v>15</v>
      </c>
      <c r="C4688" s="18" t="s">
        <v>210</v>
      </c>
      <c r="D4688" s="18" t="s">
        <v>116</v>
      </c>
      <c r="E4688" s="18" t="s">
        <v>55</v>
      </c>
      <c r="F4688" s="18" t="s">
        <v>8865</v>
      </c>
      <c r="G4688" s="18" t="s">
        <v>5800</v>
      </c>
      <c r="H4688" s="18" t="s">
        <v>8833</v>
      </c>
      <c r="I4688" s="20" t="s">
        <v>9092</v>
      </c>
      <c r="J4688" s="18" t="s">
        <v>58</v>
      </c>
      <c r="K4688" s="18" t="s">
        <v>24</v>
      </c>
      <c r="L4688" s="18" t="s">
        <v>25</v>
      </c>
      <c r="N4688" s="18" t="s">
        <v>26</v>
      </c>
    </row>
    <row r="4689" spans="1:14" ht="15" customHeight="1" x14ac:dyDescent="0.3">
      <c r="A4689" s="18" t="s">
        <v>8824</v>
      </c>
      <c r="B4689" s="19" t="s">
        <v>15</v>
      </c>
      <c r="C4689" s="18" t="s">
        <v>210</v>
      </c>
      <c r="D4689" s="18" t="s">
        <v>116</v>
      </c>
      <c r="E4689" s="18" t="s">
        <v>55</v>
      </c>
      <c r="F4689" s="18" t="s">
        <v>9093</v>
      </c>
      <c r="G4689" s="18" t="s">
        <v>9094</v>
      </c>
      <c r="H4689" s="18" t="s">
        <v>8833</v>
      </c>
      <c r="I4689" s="20" t="s">
        <v>9095</v>
      </c>
      <c r="J4689" s="18" t="s">
        <v>58</v>
      </c>
      <c r="K4689" s="18" t="s">
        <v>91</v>
      </c>
      <c r="L4689" s="18" t="s">
        <v>25</v>
      </c>
      <c r="N4689" s="18" t="s">
        <v>26</v>
      </c>
    </row>
    <row r="4690" spans="1:14" ht="15" customHeight="1" x14ac:dyDescent="0.3">
      <c r="A4690" s="18" t="s">
        <v>8824</v>
      </c>
      <c r="B4690" s="19" t="s">
        <v>15</v>
      </c>
      <c r="C4690" s="18" t="s">
        <v>210</v>
      </c>
      <c r="D4690" s="18" t="s">
        <v>116</v>
      </c>
      <c r="E4690" s="18" t="s">
        <v>55</v>
      </c>
      <c r="F4690" s="18" t="s">
        <v>7604</v>
      </c>
      <c r="G4690" s="18" t="s">
        <v>1254</v>
      </c>
      <c r="H4690" s="18" t="s">
        <v>8867</v>
      </c>
      <c r="I4690" s="20" t="s">
        <v>9096</v>
      </c>
      <c r="J4690" s="18" t="s">
        <v>58</v>
      </c>
      <c r="K4690" s="18" t="s">
        <v>24</v>
      </c>
      <c r="L4690" s="18" t="s">
        <v>25</v>
      </c>
      <c r="N4690" s="18" t="s">
        <v>26</v>
      </c>
    </row>
    <row r="4691" spans="1:14" ht="15" customHeight="1" x14ac:dyDescent="0.3">
      <c r="A4691" s="18" t="s">
        <v>8824</v>
      </c>
      <c r="B4691" s="19" t="s">
        <v>15</v>
      </c>
      <c r="C4691" s="18" t="s">
        <v>210</v>
      </c>
      <c r="D4691" s="18" t="s">
        <v>116</v>
      </c>
      <c r="E4691" s="18" t="s">
        <v>55</v>
      </c>
      <c r="F4691" s="18" t="s">
        <v>2294</v>
      </c>
      <c r="G4691" s="18" t="s">
        <v>1704</v>
      </c>
      <c r="H4691" s="18" t="s">
        <v>8825</v>
      </c>
      <c r="I4691" s="20" t="s">
        <v>9097</v>
      </c>
      <c r="J4691" s="18" t="s">
        <v>58</v>
      </c>
      <c r="K4691" s="18" t="s">
        <v>24</v>
      </c>
      <c r="L4691" s="18" t="s">
        <v>25</v>
      </c>
      <c r="N4691" s="18" t="s">
        <v>26</v>
      </c>
    </row>
    <row r="4692" spans="1:14" ht="15" customHeight="1" x14ac:dyDescent="0.3">
      <c r="A4692" s="18" t="s">
        <v>8824</v>
      </c>
      <c r="B4692" s="19" t="s">
        <v>15</v>
      </c>
      <c r="C4692" s="18" t="s">
        <v>210</v>
      </c>
      <c r="D4692" s="18" t="s">
        <v>116</v>
      </c>
      <c r="E4692" s="18" t="s">
        <v>55</v>
      </c>
      <c r="F4692" s="18" t="s">
        <v>2124</v>
      </c>
      <c r="G4692" s="18" t="s">
        <v>1704</v>
      </c>
      <c r="H4692" s="18" t="s">
        <v>8825</v>
      </c>
      <c r="I4692" s="20" t="s">
        <v>9098</v>
      </c>
      <c r="J4692" s="18" t="s">
        <v>58</v>
      </c>
      <c r="K4692" s="18" t="s">
        <v>24</v>
      </c>
      <c r="L4692" s="18" t="s">
        <v>25</v>
      </c>
      <c r="N4692" s="18" t="s">
        <v>26</v>
      </c>
    </row>
    <row r="4693" spans="1:14" ht="15" customHeight="1" x14ac:dyDescent="0.3">
      <c r="A4693" s="18" t="s">
        <v>8824</v>
      </c>
      <c r="B4693" s="19" t="s">
        <v>15</v>
      </c>
      <c r="C4693" s="18" t="s">
        <v>210</v>
      </c>
      <c r="D4693" s="18" t="s">
        <v>116</v>
      </c>
      <c r="E4693" s="18" t="s">
        <v>55</v>
      </c>
      <c r="F4693" s="18" t="s">
        <v>8872</v>
      </c>
      <c r="G4693" s="18" t="s">
        <v>1254</v>
      </c>
      <c r="H4693" s="18" t="s">
        <v>8867</v>
      </c>
      <c r="I4693" s="20" t="s">
        <v>9099</v>
      </c>
      <c r="J4693" s="18" t="s">
        <v>58</v>
      </c>
      <c r="K4693" s="18" t="s">
        <v>24</v>
      </c>
      <c r="L4693" s="18" t="s">
        <v>25</v>
      </c>
      <c r="N4693" s="18" t="s">
        <v>26</v>
      </c>
    </row>
    <row r="4694" spans="1:14" ht="15" customHeight="1" x14ac:dyDescent="0.3">
      <c r="A4694" s="18" t="s">
        <v>8824</v>
      </c>
      <c r="B4694" s="19" t="s">
        <v>15</v>
      </c>
      <c r="C4694" s="18" t="s">
        <v>210</v>
      </c>
      <c r="D4694" s="18" t="s">
        <v>116</v>
      </c>
      <c r="E4694" s="18" t="s">
        <v>55</v>
      </c>
      <c r="F4694" s="18" t="s">
        <v>1239</v>
      </c>
      <c r="G4694" s="18" t="s">
        <v>1254</v>
      </c>
      <c r="H4694" s="18" t="s">
        <v>8867</v>
      </c>
      <c r="I4694" s="20" t="s">
        <v>9100</v>
      </c>
      <c r="J4694" s="18" t="s">
        <v>58</v>
      </c>
      <c r="K4694" s="18" t="s">
        <v>24</v>
      </c>
      <c r="L4694" s="18" t="s">
        <v>25</v>
      </c>
      <c r="N4694" s="18" t="s">
        <v>26</v>
      </c>
    </row>
    <row r="4695" spans="1:14" ht="15" customHeight="1" x14ac:dyDescent="0.3">
      <c r="A4695" s="18" t="s">
        <v>8824</v>
      </c>
      <c r="B4695" s="19" t="s">
        <v>15</v>
      </c>
      <c r="C4695" s="18" t="s">
        <v>210</v>
      </c>
      <c r="D4695" s="18" t="s">
        <v>116</v>
      </c>
      <c r="E4695" s="18" t="s">
        <v>55</v>
      </c>
      <c r="F4695" s="18" t="s">
        <v>8875</v>
      </c>
      <c r="G4695" s="18" t="s">
        <v>1009</v>
      </c>
      <c r="H4695" s="18" t="s">
        <v>8159</v>
      </c>
      <c r="I4695" s="20" t="s">
        <v>9101</v>
      </c>
      <c r="J4695" s="18" t="s">
        <v>58</v>
      </c>
      <c r="K4695" s="18" t="s">
        <v>24</v>
      </c>
      <c r="L4695" s="18" t="s">
        <v>25</v>
      </c>
      <c r="N4695" s="18" t="s">
        <v>26</v>
      </c>
    </row>
    <row r="4696" spans="1:14" ht="15" customHeight="1" x14ac:dyDescent="0.3">
      <c r="A4696" s="18" t="s">
        <v>8824</v>
      </c>
      <c r="B4696" s="19" t="s">
        <v>15</v>
      </c>
      <c r="C4696" s="18" t="s">
        <v>210</v>
      </c>
      <c r="D4696" s="18" t="s">
        <v>116</v>
      </c>
      <c r="E4696" s="18" t="s">
        <v>55</v>
      </c>
      <c r="F4696" s="18" t="s">
        <v>221</v>
      </c>
      <c r="G4696" s="18" t="s">
        <v>212</v>
      </c>
      <c r="H4696" s="18" t="s">
        <v>8867</v>
      </c>
      <c r="I4696" s="20" t="s">
        <v>9102</v>
      </c>
      <c r="J4696" s="18" t="s">
        <v>58</v>
      </c>
      <c r="K4696" s="18" t="s">
        <v>24</v>
      </c>
      <c r="L4696" s="18" t="s">
        <v>25</v>
      </c>
      <c r="N4696" s="18" t="s">
        <v>26</v>
      </c>
    </row>
    <row r="4697" spans="1:14" ht="15" customHeight="1" x14ac:dyDescent="0.3">
      <c r="A4697" s="18" t="s">
        <v>8824</v>
      </c>
      <c r="B4697" s="19" t="s">
        <v>15</v>
      </c>
      <c r="C4697" s="18" t="s">
        <v>210</v>
      </c>
      <c r="D4697" s="18" t="s">
        <v>116</v>
      </c>
      <c r="E4697" s="18" t="s">
        <v>55</v>
      </c>
      <c r="F4697" s="18" t="s">
        <v>8878</v>
      </c>
      <c r="G4697" s="18" t="s">
        <v>212</v>
      </c>
      <c r="H4697" s="18" t="s">
        <v>8867</v>
      </c>
      <c r="I4697" s="20" t="s">
        <v>9103</v>
      </c>
      <c r="J4697" s="18" t="s">
        <v>58</v>
      </c>
      <c r="K4697" s="18" t="s">
        <v>24</v>
      </c>
      <c r="L4697" s="18" t="s">
        <v>25</v>
      </c>
      <c r="N4697" s="18" t="s">
        <v>26</v>
      </c>
    </row>
    <row r="4698" spans="1:14" ht="15" customHeight="1" x14ac:dyDescent="0.3">
      <c r="A4698" s="18" t="s">
        <v>8824</v>
      </c>
      <c r="B4698" s="19" t="s">
        <v>15</v>
      </c>
      <c r="C4698" s="18" t="s">
        <v>210</v>
      </c>
      <c r="D4698" s="18" t="s">
        <v>116</v>
      </c>
      <c r="E4698" s="18" t="s">
        <v>55</v>
      </c>
      <c r="F4698" s="18" t="s">
        <v>1244</v>
      </c>
      <c r="G4698" s="18" t="s">
        <v>1204</v>
      </c>
      <c r="H4698" s="18" t="s">
        <v>8867</v>
      </c>
      <c r="I4698" s="20" t="s">
        <v>9104</v>
      </c>
      <c r="J4698" s="18" t="s">
        <v>58</v>
      </c>
      <c r="K4698" s="18" t="s">
        <v>24</v>
      </c>
      <c r="L4698" s="18" t="s">
        <v>25</v>
      </c>
      <c r="N4698" s="18" t="s">
        <v>26</v>
      </c>
    </row>
    <row r="4699" spans="1:14" ht="15" customHeight="1" x14ac:dyDescent="0.3">
      <c r="A4699" s="18" t="s">
        <v>8824</v>
      </c>
      <c r="B4699" s="19" t="s">
        <v>15</v>
      </c>
      <c r="C4699" s="18" t="s">
        <v>210</v>
      </c>
      <c r="D4699" s="18" t="s">
        <v>116</v>
      </c>
      <c r="E4699" s="18" t="s">
        <v>55</v>
      </c>
      <c r="F4699" s="18" t="s">
        <v>8881</v>
      </c>
      <c r="G4699" s="18" t="s">
        <v>1204</v>
      </c>
      <c r="H4699" s="18" t="s">
        <v>8867</v>
      </c>
      <c r="I4699" s="20" t="s">
        <v>9105</v>
      </c>
      <c r="J4699" s="18" t="s">
        <v>58</v>
      </c>
      <c r="K4699" s="18" t="s">
        <v>24</v>
      </c>
      <c r="L4699" s="18" t="s">
        <v>25</v>
      </c>
      <c r="N4699" s="18" t="s">
        <v>26</v>
      </c>
    </row>
    <row r="4700" spans="1:14" ht="15" customHeight="1" x14ac:dyDescent="0.3">
      <c r="A4700" s="18" t="s">
        <v>8824</v>
      </c>
      <c r="B4700" s="19" t="s">
        <v>15</v>
      </c>
      <c r="C4700" s="18" t="s">
        <v>210</v>
      </c>
      <c r="D4700" s="18" t="s">
        <v>116</v>
      </c>
      <c r="E4700" s="18" t="s">
        <v>55</v>
      </c>
      <c r="F4700" s="18" t="s">
        <v>8883</v>
      </c>
      <c r="G4700" s="18" t="s">
        <v>1204</v>
      </c>
      <c r="H4700" s="18" t="s">
        <v>8867</v>
      </c>
      <c r="I4700" s="20" t="s">
        <v>9106</v>
      </c>
      <c r="J4700" s="18" t="s">
        <v>58</v>
      </c>
      <c r="K4700" s="18" t="s">
        <v>24</v>
      </c>
      <c r="L4700" s="18" t="s">
        <v>25</v>
      </c>
      <c r="N4700" s="18" t="s">
        <v>26</v>
      </c>
    </row>
    <row r="4701" spans="1:14" ht="15" customHeight="1" x14ac:dyDescent="0.3">
      <c r="A4701" s="18" t="s">
        <v>8824</v>
      </c>
      <c r="B4701" s="19" t="s">
        <v>15</v>
      </c>
      <c r="C4701" s="18" t="s">
        <v>210</v>
      </c>
      <c r="D4701" s="18" t="s">
        <v>116</v>
      </c>
      <c r="E4701" s="18" t="s">
        <v>55</v>
      </c>
      <c r="F4701" s="18" t="s">
        <v>9107</v>
      </c>
      <c r="G4701" s="18" t="s">
        <v>80</v>
      </c>
      <c r="H4701" s="18" t="s">
        <v>8429</v>
      </c>
      <c r="I4701" s="20" t="s">
        <v>9108</v>
      </c>
      <c r="J4701" s="18" t="s">
        <v>58</v>
      </c>
      <c r="K4701" s="18" t="s">
        <v>24</v>
      </c>
      <c r="L4701" s="18" t="s">
        <v>25</v>
      </c>
      <c r="N4701" s="18" t="s">
        <v>26</v>
      </c>
    </row>
    <row r="4702" spans="1:14" ht="15" customHeight="1" x14ac:dyDescent="0.3">
      <c r="A4702" s="18" t="s">
        <v>8824</v>
      </c>
      <c r="B4702" s="19" t="s">
        <v>15</v>
      </c>
      <c r="C4702" s="18" t="s">
        <v>210</v>
      </c>
      <c r="D4702" s="18" t="s">
        <v>116</v>
      </c>
      <c r="E4702" s="18" t="s">
        <v>55</v>
      </c>
      <c r="F4702" s="18" t="s">
        <v>8885</v>
      </c>
      <c r="G4702" s="18" t="s">
        <v>9109</v>
      </c>
      <c r="H4702" s="18" t="s">
        <v>8825</v>
      </c>
      <c r="I4702" s="20" t="s">
        <v>9110</v>
      </c>
      <c r="J4702" s="18" t="s">
        <v>58</v>
      </c>
      <c r="K4702" s="18" t="s">
        <v>24</v>
      </c>
      <c r="L4702" s="18" t="s">
        <v>25</v>
      </c>
      <c r="N4702" s="18" t="s">
        <v>26</v>
      </c>
    </row>
    <row r="4703" spans="1:14" ht="15" customHeight="1" x14ac:dyDescent="0.3">
      <c r="A4703" s="18" t="s">
        <v>8824</v>
      </c>
      <c r="B4703" s="19" t="s">
        <v>15</v>
      </c>
      <c r="C4703" s="18" t="s">
        <v>210</v>
      </c>
      <c r="D4703" s="18" t="s">
        <v>116</v>
      </c>
      <c r="E4703" s="18" t="s">
        <v>55</v>
      </c>
      <c r="F4703" s="18" t="s">
        <v>7609</v>
      </c>
      <c r="G4703" s="18" t="s">
        <v>3138</v>
      </c>
      <c r="H4703" s="18" t="s">
        <v>8159</v>
      </c>
      <c r="I4703" s="20" t="s">
        <v>9111</v>
      </c>
      <c r="J4703" s="18" t="s">
        <v>58</v>
      </c>
      <c r="K4703" s="18" t="s">
        <v>24</v>
      </c>
      <c r="L4703" s="18" t="s">
        <v>25</v>
      </c>
      <c r="N4703" s="18" t="s">
        <v>26</v>
      </c>
    </row>
    <row r="4704" spans="1:14" ht="15" customHeight="1" x14ac:dyDescent="0.3">
      <c r="A4704" s="18" t="s">
        <v>8824</v>
      </c>
      <c r="B4704" s="19" t="s">
        <v>15</v>
      </c>
      <c r="C4704" s="18" t="s">
        <v>210</v>
      </c>
      <c r="D4704" s="18" t="s">
        <v>116</v>
      </c>
      <c r="E4704" s="18" t="s">
        <v>55</v>
      </c>
      <c r="F4704" s="18" t="s">
        <v>8888</v>
      </c>
      <c r="G4704" s="18" t="s">
        <v>1254</v>
      </c>
      <c r="H4704" s="18" t="s">
        <v>8867</v>
      </c>
      <c r="I4704" s="20" t="s">
        <v>9112</v>
      </c>
      <c r="J4704" s="18" t="s">
        <v>58</v>
      </c>
      <c r="K4704" s="18" t="s">
        <v>24</v>
      </c>
      <c r="L4704" s="18" t="s">
        <v>25</v>
      </c>
      <c r="N4704" s="18" t="s">
        <v>26</v>
      </c>
    </row>
    <row r="4705" spans="1:14" ht="15" customHeight="1" x14ac:dyDescent="0.3">
      <c r="A4705" s="18" t="s">
        <v>8824</v>
      </c>
      <c r="B4705" s="19" t="s">
        <v>15</v>
      </c>
      <c r="C4705" s="18" t="s">
        <v>210</v>
      </c>
      <c r="D4705" s="18" t="s">
        <v>116</v>
      </c>
      <c r="E4705" s="18" t="s">
        <v>55</v>
      </c>
      <c r="F4705" s="18" t="s">
        <v>8890</v>
      </c>
      <c r="G4705" s="18" t="s">
        <v>1254</v>
      </c>
      <c r="H4705" s="18" t="s">
        <v>8159</v>
      </c>
      <c r="I4705" s="20" t="s">
        <v>9113</v>
      </c>
      <c r="J4705" s="18" t="s">
        <v>58</v>
      </c>
      <c r="K4705" s="18" t="s">
        <v>24</v>
      </c>
      <c r="L4705" s="18" t="s">
        <v>25</v>
      </c>
      <c r="N4705" s="18" t="s">
        <v>26</v>
      </c>
    </row>
    <row r="4706" spans="1:14" ht="15" customHeight="1" x14ac:dyDescent="0.3">
      <c r="A4706" s="18" t="s">
        <v>8824</v>
      </c>
      <c r="B4706" s="19" t="s">
        <v>15</v>
      </c>
      <c r="C4706" s="18" t="s">
        <v>210</v>
      </c>
      <c r="D4706" s="18" t="s">
        <v>116</v>
      </c>
      <c r="E4706" s="18" t="s">
        <v>55</v>
      </c>
      <c r="F4706" s="18" t="s">
        <v>8590</v>
      </c>
      <c r="G4706" s="18" t="s">
        <v>2248</v>
      </c>
      <c r="H4706" s="18" t="s">
        <v>8867</v>
      </c>
      <c r="I4706" s="20" t="s">
        <v>9114</v>
      </c>
      <c r="J4706" s="18" t="s">
        <v>58</v>
      </c>
      <c r="K4706" s="18" t="s">
        <v>24</v>
      </c>
      <c r="L4706" s="18" t="s">
        <v>25</v>
      </c>
      <c r="N4706" s="18" t="s">
        <v>26</v>
      </c>
    </row>
    <row r="4707" spans="1:14" ht="15" customHeight="1" x14ac:dyDescent="0.3">
      <c r="A4707" s="18" t="s">
        <v>8824</v>
      </c>
      <c r="B4707" s="19" t="s">
        <v>15</v>
      </c>
      <c r="C4707" s="18" t="s">
        <v>210</v>
      </c>
      <c r="D4707" s="18" t="s">
        <v>116</v>
      </c>
      <c r="E4707" s="18" t="s">
        <v>55</v>
      </c>
      <c r="F4707" s="18" t="s">
        <v>1072</v>
      </c>
      <c r="G4707" s="18" t="s">
        <v>47</v>
      </c>
      <c r="H4707" s="18" t="s">
        <v>8159</v>
      </c>
      <c r="I4707" s="20" t="s">
        <v>9115</v>
      </c>
      <c r="J4707" s="18" t="s">
        <v>58</v>
      </c>
      <c r="K4707" s="18" t="s">
        <v>24</v>
      </c>
      <c r="L4707" s="18" t="s">
        <v>25</v>
      </c>
      <c r="N4707" s="18" t="s">
        <v>26</v>
      </c>
    </row>
    <row r="4708" spans="1:14" ht="15" customHeight="1" x14ac:dyDescent="0.3">
      <c r="A4708" s="18" t="s">
        <v>8824</v>
      </c>
      <c r="B4708" s="19" t="s">
        <v>15</v>
      </c>
      <c r="C4708" s="18" t="s">
        <v>210</v>
      </c>
      <c r="D4708" s="18" t="s">
        <v>116</v>
      </c>
      <c r="E4708" s="18" t="s">
        <v>55</v>
      </c>
      <c r="F4708" s="18" t="s">
        <v>136</v>
      </c>
      <c r="G4708" s="18" t="s">
        <v>47</v>
      </c>
      <c r="H4708" s="18" t="s">
        <v>8867</v>
      </c>
      <c r="I4708" s="20" t="s">
        <v>9116</v>
      </c>
      <c r="J4708" s="18" t="s">
        <v>58</v>
      </c>
      <c r="K4708" s="18" t="s">
        <v>24</v>
      </c>
      <c r="L4708" s="18" t="s">
        <v>25</v>
      </c>
      <c r="N4708" s="18" t="s">
        <v>26</v>
      </c>
    </row>
    <row r="4709" spans="1:14" ht="15" customHeight="1" x14ac:dyDescent="0.3">
      <c r="A4709" s="18" t="s">
        <v>8824</v>
      </c>
      <c r="B4709" s="19" t="s">
        <v>15</v>
      </c>
      <c r="C4709" s="18" t="s">
        <v>210</v>
      </c>
      <c r="D4709" s="18" t="s">
        <v>116</v>
      </c>
      <c r="E4709" s="18" t="s">
        <v>55</v>
      </c>
      <c r="F4709" s="18" t="s">
        <v>34</v>
      </c>
      <c r="G4709" s="18" t="s">
        <v>1254</v>
      </c>
      <c r="H4709" s="18" t="s">
        <v>8867</v>
      </c>
      <c r="I4709" s="20" t="s">
        <v>9117</v>
      </c>
      <c r="J4709" s="18" t="s">
        <v>58</v>
      </c>
      <c r="K4709" s="18" t="s">
        <v>24</v>
      </c>
      <c r="L4709" s="18" t="s">
        <v>25</v>
      </c>
      <c r="N4709" s="18" t="s">
        <v>26</v>
      </c>
    </row>
    <row r="4710" spans="1:14" ht="15" customHeight="1" x14ac:dyDescent="0.3">
      <c r="A4710" s="18" t="s">
        <v>8824</v>
      </c>
      <c r="B4710" s="19" t="s">
        <v>15</v>
      </c>
      <c r="C4710" s="18" t="s">
        <v>210</v>
      </c>
      <c r="D4710" s="18" t="s">
        <v>116</v>
      </c>
      <c r="E4710" s="18" t="s">
        <v>55</v>
      </c>
      <c r="F4710" s="18" t="s">
        <v>8460</v>
      </c>
      <c r="G4710" s="18" t="s">
        <v>1254</v>
      </c>
      <c r="H4710" s="18" t="s">
        <v>8867</v>
      </c>
      <c r="I4710" s="20" t="s">
        <v>9118</v>
      </c>
      <c r="J4710" s="18" t="s">
        <v>58</v>
      </c>
      <c r="K4710" s="18" t="s">
        <v>24</v>
      </c>
      <c r="L4710" s="18" t="s">
        <v>25</v>
      </c>
      <c r="N4710" s="18" t="s">
        <v>26</v>
      </c>
    </row>
    <row r="4711" spans="1:14" ht="15" customHeight="1" x14ac:dyDescent="0.3">
      <c r="A4711" s="18" t="s">
        <v>8824</v>
      </c>
      <c r="B4711" s="19" t="s">
        <v>15</v>
      </c>
      <c r="C4711" s="18" t="s">
        <v>210</v>
      </c>
      <c r="D4711" s="18" t="s">
        <v>116</v>
      </c>
      <c r="E4711" s="18" t="s">
        <v>55</v>
      </c>
      <c r="F4711" s="18" t="s">
        <v>1250</v>
      </c>
      <c r="G4711" s="18" t="s">
        <v>1251</v>
      </c>
      <c r="H4711" s="18" t="s">
        <v>8867</v>
      </c>
      <c r="I4711" s="20" t="s">
        <v>9119</v>
      </c>
      <c r="J4711" s="18" t="s">
        <v>58</v>
      </c>
      <c r="K4711" s="18" t="s">
        <v>24</v>
      </c>
      <c r="L4711" s="18" t="s">
        <v>25</v>
      </c>
      <c r="N4711" s="18" t="s">
        <v>26</v>
      </c>
    </row>
    <row r="4712" spans="1:14" ht="15" customHeight="1" x14ac:dyDescent="0.3">
      <c r="A4712" s="18" t="s">
        <v>8824</v>
      </c>
      <c r="B4712" s="19" t="s">
        <v>15</v>
      </c>
      <c r="C4712" s="18" t="s">
        <v>210</v>
      </c>
      <c r="D4712" s="18" t="s">
        <v>116</v>
      </c>
      <c r="E4712" s="18" t="s">
        <v>55</v>
      </c>
      <c r="F4712" s="18" t="s">
        <v>2302</v>
      </c>
      <c r="G4712" s="18" t="s">
        <v>606</v>
      </c>
      <c r="H4712" s="18" t="s">
        <v>9015</v>
      </c>
      <c r="I4712" s="20" t="s">
        <v>9120</v>
      </c>
      <c r="J4712" s="18" t="s">
        <v>58</v>
      </c>
      <c r="K4712" s="18" t="s">
        <v>24</v>
      </c>
      <c r="L4712" s="18" t="s">
        <v>25</v>
      </c>
      <c r="N4712" s="18" t="s">
        <v>26</v>
      </c>
    </row>
    <row r="4713" spans="1:14" ht="15" customHeight="1" x14ac:dyDescent="0.3">
      <c r="A4713" s="18" t="s">
        <v>8824</v>
      </c>
      <c r="B4713" s="19" t="s">
        <v>15</v>
      </c>
      <c r="C4713" s="18" t="s">
        <v>210</v>
      </c>
      <c r="D4713" s="18" t="s">
        <v>116</v>
      </c>
      <c r="E4713" s="18" t="s">
        <v>55</v>
      </c>
      <c r="F4713" s="18" t="s">
        <v>8901</v>
      </c>
      <c r="G4713" s="18" t="s">
        <v>1204</v>
      </c>
      <c r="H4713" s="18" t="s">
        <v>8159</v>
      </c>
      <c r="I4713" s="20" t="s">
        <v>9121</v>
      </c>
      <c r="J4713" s="18" t="s">
        <v>58</v>
      </c>
      <c r="K4713" s="18" t="s">
        <v>24</v>
      </c>
      <c r="L4713" s="18" t="s">
        <v>25</v>
      </c>
      <c r="N4713" s="18" t="s">
        <v>26</v>
      </c>
    </row>
    <row r="4714" spans="1:14" ht="15" customHeight="1" x14ac:dyDescent="0.3">
      <c r="A4714" s="18" t="s">
        <v>8824</v>
      </c>
      <c r="B4714" s="19" t="s">
        <v>15</v>
      </c>
      <c r="C4714" s="18" t="s">
        <v>210</v>
      </c>
      <c r="D4714" s="18" t="s">
        <v>116</v>
      </c>
      <c r="E4714" s="18" t="s">
        <v>55</v>
      </c>
      <c r="F4714" s="18" t="s">
        <v>37</v>
      </c>
      <c r="G4714" s="18" t="s">
        <v>1254</v>
      </c>
      <c r="H4714" s="18" t="s">
        <v>8867</v>
      </c>
      <c r="I4714" s="20" t="s">
        <v>9122</v>
      </c>
      <c r="J4714" s="18" t="s">
        <v>58</v>
      </c>
      <c r="K4714" s="18" t="s">
        <v>24</v>
      </c>
      <c r="L4714" s="18" t="s">
        <v>25</v>
      </c>
      <c r="N4714" s="18" t="s">
        <v>26</v>
      </c>
    </row>
    <row r="4715" spans="1:14" ht="15" customHeight="1" x14ac:dyDescent="0.3">
      <c r="A4715" s="18" t="s">
        <v>8824</v>
      </c>
      <c r="B4715" s="19" t="s">
        <v>15</v>
      </c>
      <c r="C4715" s="18" t="s">
        <v>210</v>
      </c>
      <c r="D4715" s="18" t="s">
        <v>116</v>
      </c>
      <c r="E4715" s="18" t="s">
        <v>55</v>
      </c>
      <c r="F4715" s="18" t="s">
        <v>9123</v>
      </c>
      <c r="G4715" s="18" t="s">
        <v>1254</v>
      </c>
      <c r="H4715" s="18" t="s">
        <v>8867</v>
      </c>
      <c r="I4715" s="20" t="s">
        <v>9124</v>
      </c>
      <c r="J4715" s="18" t="s">
        <v>73</v>
      </c>
      <c r="K4715" s="18" t="s">
        <v>24</v>
      </c>
      <c r="L4715" s="18" t="s">
        <v>25</v>
      </c>
      <c r="N4715" s="18" t="s">
        <v>26</v>
      </c>
    </row>
    <row r="4716" spans="1:14" ht="15" customHeight="1" x14ac:dyDescent="0.3">
      <c r="A4716" s="18" t="s">
        <v>8824</v>
      </c>
      <c r="B4716" s="19" t="s">
        <v>15</v>
      </c>
      <c r="C4716" s="18" t="s">
        <v>210</v>
      </c>
      <c r="D4716" s="18" t="s">
        <v>116</v>
      </c>
      <c r="E4716" s="18" t="s">
        <v>55</v>
      </c>
      <c r="F4716" s="18" t="s">
        <v>1074</v>
      </c>
      <c r="G4716" s="18" t="s">
        <v>1204</v>
      </c>
      <c r="H4716" s="18" t="s">
        <v>8867</v>
      </c>
      <c r="I4716" s="20" t="s">
        <v>9125</v>
      </c>
      <c r="J4716" s="18" t="s">
        <v>58</v>
      </c>
      <c r="K4716" s="18" t="s">
        <v>24</v>
      </c>
      <c r="L4716" s="18" t="s">
        <v>25</v>
      </c>
      <c r="N4716" s="18" t="s">
        <v>26</v>
      </c>
    </row>
    <row r="4717" spans="1:14" ht="15" customHeight="1" x14ac:dyDescent="0.3">
      <c r="A4717" s="18" t="s">
        <v>8824</v>
      </c>
      <c r="B4717" s="19" t="s">
        <v>15</v>
      </c>
      <c r="C4717" s="18" t="s">
        <v>210</v>
      </c>
      <c r="D4717" s="18" t="s">
        <v>116</v>
      </c>
      <c r="E4717" s="18" t="s">
        <v>55</v>
      </c>
      <c r="F4717" s="18" t="s">
        <v>9126</v>
      </c>
      <c r="G4717" s="18" t="s">
        <v>2047</v>
      </c>
      <c r="H4717" s="18" t="s">
        <v>8825</v>
      </c>
      <c r="I4717" s="20" t="s">
        <v>9127</v>
      </c>
      <c r="J4717" s="18" t="s">
        <v>58</v>
      </c>
      <c r="K4717" s="18" t="s">
        <v>24</v>
      </c>
      <c r="L4717" s="18" t="s">
        <v>25</v>
      </c>
      <c r="N4717" s="18" t="s">
        <v>26</v>
      </c>
    </row>
    <row r="4718" spans="1:14" ht="15" customHeight="1" x14ac:dyDescent="0.3">
      <c r="A4718" s="18" t="s">
        <v>8824</v>
      </c>
      <c r="B4718" s="19" t="s">
        <v>15</v>
      </c>
      <c r="C4718" s="18" t="s">
        <v>210</v>
      </c>
      <c r="D4718" s="18" t="s">
        <v>116</v>
      </c>
      <c r="E4718" s="18" t="s">
        <v>55</v>
      </c>
      <c r="F4718" s="18" t="s">
        <v>2099</v>
      </c>
      <c r="G4718" s="18" t="s">
        <v>2921</v>
      </c>
      <c r="H4718" s="18" t="s">
        <v>8825</v>
      </c>
      <c r="I4718" s="20" t="s">
        <v>9128</v>
      </c>
      <c r="J4718" s="18" t="s">
        <v>58</v>
      </c>
      <c r="K4718" s="18" t="s">
        <v>24</v>
      </c>
      <c r="L4718" s="18" t="s">
        <v>25</v>
      </c>
      <c r="N4718" s="18" t="s">
        <v>26</v>
      </c>
    </row>
    <row r="4719" spans="1:14" ht="15" customHeight="1" x14ac:dyDescent="0.3">
      <c r="A4719" s="18" t="s">
        <v>8824</v>
      </c>
      <c r="B4719" s="19" t="s">
        <v>15</v>
      </c>
      <c r="C4719" s="18" t="s">
        <v>210</v>
      </c>
      <c r="D4719" s="18" t="s">
        <v>116</v>
      </c>
      <c r="E4719" s="18" t="s">
        <v>55</v>
      </c>
      <c r="F4719" s="18" t="s">
        <v>8909</v>
      </c>
      <c r="G4719" s="18" t="s">
        <v>7668</v>
      </c>
      <c r="H4719" s="18" t="s">
        <v>8159</v>
      </c>
      <c r="I4719" s="20" t="s">
        <v>9129</v>
      </c>
      <c r="J4719" s="18" t="s">
        <v>58</v>
      </c>
      <c r="K4719" s="18" t="s">
        <v>24</v>
      </c>
      <c r="L4719" s="18" t="s">
        <v>25</v>
      </c>
      <c r="N4719" s="18" t="s">
        <v>26</v>
      </c>
    </row>
    <row r="4720" spans="1:14" ht="15" customHeight="1" x14ac:dyDescent="0.3">
      <c r="A4720" s="18" t="s">
        <v>8824</v>
      </c>
      <c r="B4720" s="19" t="s">
        <v>15</v>
      </c>
      <c r="C4720" s="18" t="s">
        <v>210</v>
      </c>
      <c r="D4720" s="18" t="s">
        <v>116</v>
      </c>
      <c r="E4720" s="18" t="s">
        <v>55</v>
      </c>
      <c r="F4720" s="18" t="s">
        <v>9130</v>
      </c>
      <c r="G4720" s="18" t="s">
        <v>47</v>
      </c>
      <c r="H4720" s="18" t="s">
        <v>8867</v>
      </c>
      <c r="I4720" s="20" t="s">
        <v>9131</v>
      </c>
      <c r="J4720" s="18" t="s">
        <v>58</v>
      </c>
      <c r="K4720" s="18" t="s">
        <v>24</v>
      </c>
      <c r="L4720" s="18" t="s">
        <v>25</v>
      </c>
      <c r="N4720" s="18" t="s">
        <v>26</v>
      </c>
    </row>
    <row r="4721" spans="1:14" ht="15" customHeight="1" x14ac:dyDescent="0.3">
      <c r="A4721" s="18" t="s">
        <v>8824</v>
      </c>
      <c r="B4721" s="19" t="s">
        <v>15</v>
      </c>
      <c r="C4721" s="18" t="s">
        <v>210</v>
      </c>
      <c r="D4721" s="18" t="s">
        <v>116</v>
      </c>
      <c r="E4721" s="18" t="s">
        <v>55</v>
      </c>
      <c r="F4721" s="18" t="s">
        <v>1253</v>
      </c>
      <c r="G4721" s="18" t="s">
        <v>1254</v>
      </c>
      <c r="H4721" s="18" t="s">
        <v>8867</v>
      </c>
      <c r="I4721" s="20" t="s">
        <v>9132</v>
      </c>
      <c r="J4721" s="18" t="s">
        <v>58</v>
      </c>
      <c r="K4721" s="18" t="s">
        <v>24</v>
      </c>
      <c r="L4721" s="18" t="s">
        <v>25</v>
      </c>
      <c r="N4721" s="18" t="s">
        <v>26</v>
      </c>
    </row>
    <row r="4722" spans="1:14" ht="15" customHeight="1" x14ac:dyDescent="0.3">
      <c r="A4722" s="18" t="s">
        <v>8824</v>
      </c>
      <c r="B4722" s="19" t="s">
        <v>15</v>
      </c>
      <c r="C4722" s="18" t="s">
        <v>210</v>
      </c>
      <c r="D4722" s="18" t="s">
        <v>116</v>
      </c>
      <c r="E4722" s="18" t="s">
        <v>55</v>
      </c>
      <c r="F4722" s="18" t="s">
        <v>9133</v>
      </c>
      <c r="G4722" s="18" t="s">
        <v>1204</v>
      </c>
      <c r="H4722" s="18" t="s">
        <v>8867</v>
      </c>
      <c r="I4722" s="20" t="s">
        <v>9134</v>
      </c>
      <c r="J4722" s="18" t="s">
        <v>58</v>
      </c>
      <c r="K4722" s="18" t="s">
        <v>24</v>
      </c>
      <c r="L4722" s="18" t="s">
        <v>25</v>
      </c>
      <c r="N4722" s="18" t="s">
        <v>26</v>
      </c>
    </row>
    <row r="4723" spans="1:14" ht="15" customHeight="1" x14ac:dyDescent="0.3">
      <c r="A4723" s="18" t="s">
        <v>8824</v>
      </c>
      <c r="B4723" s="19" t="s">
        <v>15</v>
      </c>
      <c r="C4723" s="18" t="s">
        <v>210</v>
      </c>
      <c r="D4723" s="18" t="s">
        <v>116</v>
      </c>
      <c r="E4723" s="18" t="s">
        <v>55</v>
      </c>
      <c r="F4723" s="18" t="s">
        <v>9135</v>
      </c>
      <c r="G4723" s="18" t="s">
        <v>1254</v>
      </c>
      <c r="H4723" s="18" t="s">
        <v>8867</v>
      </c>
      <c r="I4723" s="20" t="s">
        <v>9136</v>
      </c>
      <c r="J4723" s="18" t="s">
        <v>58</v>
      </c>
      <c r="K4723" s="18" t="s">
        <v>24</v>
      </c>
      <c r="L4723" s="18" t="s">
        <v>25</v>
      </c>
      <c r="N4723" s="18" t="s">
        <v>26</v>
      </c>
    </row>
    <row r="4724" spans="1:14" ht="15" customHeight="1" x14ac:dyDescent="0.3">
      <c r="A4724" s="18" t="s">
        <v>8824</v>
      </c>
      <c r="B4724" s="19" t="s">
        <v>15</v>
      </c>
      <c r="C4724" s="18" t="s">
        <v>210</v>
      </c>
      <c r="D4724" s="18" t="s">
        <v>116</v>
      </c>
      <c r="E4724" s="18" t="s">
        <v>55</v>
      </c>
      <c r="F4724" s="18" t="s">
        <v>9137</v>
      </c>
      <c r="G4724" s="18" t="s">
        <v>1204</v>
      </c>
      <c r="H4724" s="18" t="s">
        <v>8867</v>
      </c>
      <c r="I4724" s="20" t="s">
        <v>9138</v>
      </c>
      <c r="J4724" s="18" t="s">
        <v>58</v>
      </c>
      <c r="K4724" s="18" t="s">
        <v>24</v>
      </c>
      <c r="L4724" s="18" t="s">
        <v>25</v>
      </c>
      <c r="N4724" s="18" t="s">
        <v>26</v>
      </c>
    </row>
    <row r="4725" spans="1:14" ht="15" customHeight="1" x14ac:dyDescent="0.3">
      <c r="A4725" s="18" t="s">
        <v>8824</v>
      </c>
      <c r="B4725" s="19" t="s">
        <v>15</v>
      </c>
      <c r="C4725" s="18" t="s">
        <v>210</v>
      </c>
      <c r="D4725" s="18" t="s">
        <v>116</v>
      </c>
      <c r="E4725" s="18" t="s">
        <v>55</v>
      </c>
      <c r="F4725" s="18" t="s">
        <v>7761</v>
      </c>
      <c r="G4725" s="18" t="s">
        <v>7762</v>
      </c>
      <c r="H4725" s="18" t="s">
        <v>8159</v>
      </c>
      <c r="I4725" s="20" t="s">
        <v>9139</v>
      </c>
      <c r="J4725" s="18" t="s">
        <v>58</v>
      </c>
      <c r="K4725" s="18" t="s">
        <v>24</v>
      </c>
      <c r="L4725" s="18" t="s">
        <v>25</v>
      </c>
      <c r="N4725" s="18" t="s">
        <v>26</v>
      </c>
    </row>
    <row r="4726" spans="1:14" ht="15" customHeight="1" x14ac:dyDescent="0.3">
      <c r="A4726" s="18" t="s">
        <v>8824</v>
      </c>
      <c r="B4726" s="19" t="s">
        <v>15</v>
      </c>
      <c r="C4726" s="18" t="s">
        <v>210</v>
      </c>
      <c r="D4726" s="18" t="s">
        <v>116</v>
      </c>
      <c r="E4726" s="18" t="s">
        <v>55</v>
      </c>
      <c r="F4726" s="18" t="s">
        <v>9140</v>
      </c>
      <c r="G4726" s="18" t="s">
        <v>5800</v>
      </c>
      <c r="H4726" s="18" t="s">
        <v>8835</v>
      </c>
      <c r="I4726" s="20" t="s">
        <v>9141</v>
      </c>
      <c r="J4726" s="18" t="s">
        <v>58</v>
      </c>
      <c r="K4726" s="18" t="s">
        <v>24</v>
      </c>
      <c r="L4726" s="18" t="s">
        <v>25</v>
      </c>
      <c r="N4726" s="18" t="s">
        <v>26</v>
      </c>
    </row>
    <row r="4727" spans="1:14" ht="15" customHeight="1" x14ac:dyDescent="0.3">
      <c r="A4727" s="18" t="s">
        <v>8824</v>
      </c>
      <c r="B4727" s="19" t="s">
        <v>15</v>
      </c>
      <c r="C4727" s="18" t="s">
        <v>210</v>
      </c>
      <c r="D4727" s="18" t="s">
        <v>116</v>
      </c>
      <c r="E4727" s="18" t="s">
        <v>55</v>
      </c>
      <c r="F4727" s="18" t="s">
        <v>9142</v>
      </c>
      <c r="G4727" s="18" t="s">
        <v>9143</v>
      </c>
      <c r="H4727" s="18" t="s">
        <v>8159</v>
      </c>
      <c r="I4727" s="20" t="s">
        <v>9144</v>
      </c>
      <c r="J4727" s="18" t="s">
        <v>58</v>
      </c>
      <c r="K4727" s="18" t="s">
        <v>24</v>
      </c>
      <c r="L4727" s="18" t="s">
        <v>25</v>
      </c>
      <c r="N4727" s="18" t="s">
        <v>26</v>
      </c>
    </row>
    <row r="4728" spans="1:14" ht="15" customHeight="1" x14ac:dyDescent="0.3">
      <c r="A4728" s="18" t="s">
        <v>8824</v>
      </c>
      <c r="B4728" s="19" t="s">
        <v>15</v>
      </c>
      <c r="C4728" s="18" t="s">
        <v>210</v>
      </c>
      <c r="D4728" s="18" t="s">
        <v>116</v>
      </c>
      <c r="E4728" s="18" t="s">
        <v>55</v>
      </c>
      <c r="F4728" s="18" t="s">
        <v>9145</v>
      </c>
      <c r="G4728" s="18" t="s">
        <v>9146</v>
      </c>
      <c r="H4728" s="18" t="s">
        <v>8833</v>
      </c>
      <c r="I4728" s="20" t="s">
        <v>9147</v>
      </c>
      <c r="J4728" s="18" t="s">
        <v>58</v>
      </c>
      <c r="K4728" s="18" t="s">
        <v>24</v>
      </c>
      <c r="L4728" s="18" t="s">
        <v>25</v>
      </c>
      <c r="N4728" s="18" t="s">
        <v>26</v>
      </c>
    </row>
    <row r="4729" spans="1:14" ht="15" customHeight="1" x14ac:dyDescent="0.3">
      <c r="A4729" s="18" t="s">
        <v>8824</v>
      </c>
      <c r="B4729" s="19" t="s">
        <v>15</v>
      </c>
      <c r="C4729" s="18" t="s">
        <v>210</v>
      </c>
      <c r="D4729" s="18" t="s">
        <v>116</v>
      </c>
      <c r="E4729" s="18" t="s">
        <v>55</v>
      </c>
      <c r="F4729" s="18" t="s">
        <v>7412</v>
      </c>
      <c r="G4729" s="18" t="s">
        <v>1019</v>
      </c>
      <c r="H4729" s="18" t="s">
        <v>8852</v>
      </c>
      <c r="I4729" s="20" t="s">
        <v>9148</v>
      </c>
      <c r="J4729" s="18" t="s">
        <v>58</v>
      </c>
      <c r="K4729" s="18" t="s">
        <v>24</v>
      </c>
      <c r="L4729" s="18" t="s">
        <v>25</v>
      </c>
      <c r="N4729" s="18" t="s">
        <v>26</v>
      </c>
    </row>
    <row r="4730" spans="1:14" ht="15" customHeight="1" x14ac:dyDescent="0.3">
      <c r="A4730" s="18" t="s">
        <v>8824</v>
      </c>
      <c r="B4730" s="19" t="s">
        <v>15</v>
      </c>
      <c r="C4730" s="18" t="s">
        <v>210</v>
      </c>
      <c r="D4730" s="18" t="s">
        <v>116</v>
      </c>
      <c r="E4730" s="18" t="s">
        <v>55</v>
      </c>
      <c r="F4730" s="18" t="s">
        <v>7764</v>
      </c>
      <c r="G4730" s="18" t="s">
        <v>7765</v>
      </c>
      <c r="H4730" s="18" t="s">
        <v>8420</v>
      </c>
      <c r="I4730" s="20" t="s">
        <v>9149</v>
      </c>
      <c r="J4730" s="18" t="s">
        <v>58</v>
      </c>
      <c r="K4730" s="18" t="s">
        <v>24</v>
      </c>
      <c r="L4730" s="18" t="s">
        <v>25</v>
      </c>
      <c r="N4730" s="18" t="s">
        <v>26</v>
      </c>
    </row>
    <row r="4731" spans="1:14" ht="15" customHeight="1" x14ac:dyDescent="0.3">
      <c r="A4731" s="18" t="s">
        <v>8824</v>
      </c>
      <c r="B4731" s="19" t="s">
        <v>15</v>
      </c>
      <c r="C4731" s="18" t="s">
        <v>210</v>
      </c>
      <c r="D4731" s="18" t="s">
        <v>116</v>
      </c>
      <c r="E4731" s="18" t="s">
        <v>55</v>
      </c>
      <c r="F4731" s="18" t="s">
        <v>8613</v>
      </c>
      <c r="G4731" s="18" t="s">
        <v>9143</v>
      </c>
      <c r="H4731" s="18" t="s">
        <v>8159</v>
      </c>
      <c r="I4731" s="20" t="s">
        <v>9150</v>
      </c>
      <c r="J4731" s="18" t="s">
        <v>58</v>
      </c>
      <c r="K4731" s="18" t="s">
        <v>24</v>
      </c>
      <c r="L4731" s="18" t="s">
        <v>25</v>
      </c>
      <c r="N4731" s="18" t="s">
        <v>26</v>
      </c>
    </row>
    <row r="4732" spans="1:14" ht="15" customHeight="1" x14ac:dyDescent="0.3">
      <c r="A4732" s="18" t="s">
        <v>8824</v>
      </c>
      <c r="B4732" s="19" t="s">
        <v>15</v>
      </c>
      <c r="C4732" s="18" t="s">
        <v>210</v>
      </c>
      <c r="D4732" s="18" t="s">
        <v>116</v>
      </c>
      <c r="E4732" s="18" t="s">
        <v>55</v>
      </c>
      <c r="F4732" s="18" t="s">
        <v>7767</v>
      </c>
      <c r="G4732" s="18" t="s">
        <v>7710</v>
      </c>
      <c r="H4732" s="18" t="s">
        <v>8833</v>
      </c>
      <c r="I4732" s="20" t="s">
        <v>9151</v>
      </c>
      <c r="J4732" s="18" t="s">
        <v>58</v>
      </c>
      <c r="K4732" s="18" t="s">
        <v>24</v>
      </c>
      <c r="L4732" s="18" t="s">
        <v>25</v>
      </c>
      <c r="N4732" s="18" t="s">
        <v>26</v>
      </c>
    </row>
    <row r="4733" spans="1:14" ht="15" customHeight="1" x14ac:dyDescent="0.3">
      <c r="A4733" s="18" t="s">
        <v>8824</v>
      </c>
      <c r="B4733" s="19" t="s">
        <v>15</v>
      </c>
      <c r="C4733" s="18" t="s">
        <v>210</v>
      </c>
      <c r="D4733" s="18" t="s">
        <v>116</v>
      </c>
      <c r="E4733" s="18" t="s">
        <v>55</v>
      </c>
      <c r="F4733" s="18" t="s">
        <v>7770</v>
      </c>
      <c r="G4733" s="18" t="s">
        <v>9152</v>
      </c>
      <c r="H4733" s="18" t="s">
        <v>8420</v>
      </c>
      <c r="I4733" s="20" t="s">
        <v>9153</v>
      </c>
      <c r="J4733" s="18" t="s">
        <v>58</v>
      </c>
      <c r="K4733" s="18" t="s">
        <v>24</v>
      </c>
      <c r="L4733" s="18" t="s">
        <v>25</v>
      </c>
      <c r="N4733" s="18" t="s">
        <v>26</v>
      </c>
    </row>
    <row r="4734" spans="1:14" ht="15" customHeight="1" x14ac:dyDescent="0.3">
      <c r="A4734" s="18" t="s">
        <v>8824</v>
      </c>
      <c r="B4734" s="19" t="s">
        <v>15</v>
      </c>
      <c r="C4734" s="18" t="s">
        <v>210</v>
      </c>
      <c r="D4734" s="18" t="s">
        <v>116</v>
      </c>
      <c r="E4734" s="18" t="s">
        <v>55</v>
      </c>
      <c r="F4734" s="18" t="s">
        <v>7414</v>
      </c>
      <c r="G4734" s="18" t="s">
        <v>9154</v>
      </c>
      <c r="H4734" s="18" t="s">
        <v>8159</v>
      </c>
      <c r="I4734" s="20" t="s">
        <v>9155</v>
      </c>
      <c r="J4734" s="18" t="s">
        <v>58</v>
      </c>
      <c r="K4734" s="18" t="s">
        <v>24</v>
      </c>
      <c r="L4734" s="18" t="s">
        <v>25</v>
      </c>
      <c r="N4734" s="18" t="s">
        <v>26</v>
      </c>
    </row>
    <row r="4735" spans="1:14" ht="15" customHeight="1" x14ac:dyDescent="0.3">
      <c r="A4735" s="18" t="s">
        <v>8824</v>
      </c>
      <c r="B4735" s="19" t="s">
        <v>15</v>
      </c>
      <c r="C4735" s="18" t="s">
        <v>210</v>
      </c>
      <c r="D4735" s="18" t="s">
        <v>116</v>
      </c>
      <c r="E4735" s="18" t="s">
        <v>55</v>
      </c>
      <c r="F4735" s="18" t="s">
        <v>7777</v>
      </c>
      <c r="G4735" s="18" t="s">
        <v>7710</v>
      </c>
      <c r="H4735" s="18" t="s">
        <v>8420</v>
      </c>
      <c r="I4735" s="20" t="s">
        <v>9156</v>
      </c>
      <c r="J4735" s="18" t="s">
        <v>58</v>
      </c>
      <c r="K4735" s="18" t="s">
        <v>24</v>
      </c>
      <c r="L4735" s="18" t="s">
        <v>1369</v>
      </c>
      <c r="N4735" s="18" t="s">
        <v>26</v>
      </c>
    </row>
    <row r="4736" spans="1:14" ht="15" customHeight="1" x14ac:dyDescent="0.3">
      <c r="A4736" s="18" t="s">
        <v>8824</v>
      </c>
      <c r="B4736" s="19" t="s">
        <v>15</v>
      </c>
      <c r="C4736" s="18" t="s">
        <v>210</v>
      </c>
      <c r="D4736" s="18" t="s">
        <v>116</v>
      </c>
      <c r="E4736" s="18" t="s">
        <v>55</v>
      </c>
      <c r="F4736" s="18" t="s">
        <v>9157</v>
      </c>
      <c r="G4736" s="18" t="s">
        <v>3253</v>
      </c>
      <c r="H4736" s="18" t="s">
        <v>8420</v>
      </c>
      <c r="I4736" s="20" t="s">
        <v>9158</v>
      </c>
      <c r="J4736" s="18" t="s">
        <v>58</v>
      </c>
      <c r="K4736" s="18" t="s">
        <v>24</v>
      </c>
      <c r="L4736" s="18" t="s">
        <v>25</v>
      </c>
      <c r="N4736" s="18" t="s">
        <v>26</v>
      </c>
    </row>
    <row r="4737" spans="1:14" ht="15" customHeight="1" x14ac:dyDescent="0.3">
      <c r="A4737" s="18" t="s">
        <v>8824</v>
      </c>
      <c r="B4737" s="19" t="s">
        <v>15</v>
      </c>
      <c r="C4737" s="18" t="s">
        <v>210</v>
      </c>
      <c r="D4737" s="18" t="s">
        <v>116</v>
      </c>
      <c r="E4737" s="18" t="s">
        <v>55</v>
      </c>
      <c r="F4737" s="18" t="s">
        <v>9159</v>
      </c>
      <c r="G4737" s="18" t="s">
        <v>925</v>
      </c>
      <c r="H4737" s="18" t="s">
        <v>8559</v>
      </c>
      <c r="I4737" s="20" t="s">
        <v>9160</v>
      </c>
      <c r="J4737" s="18" t="s">
        <v>58</v>
      </c>
      <c r="K4737" s="18" t="s">
        <v>24</v>
      </c>
      <c r="L4737" s="18" t="s">
        <v>25</v>
      </c>
      <c r="N4737" s="18" t="s">
        <v>26</v>
      </c>
    </row>
    <row r="4738" spans="1:14" ht="15" customHeight="1" x14ac:dyDescent="0.3">
      <c r="A4738" s="18" t="s">
        <v>8824</v>
      </c>
      <c r="B4738" s="19" t="s">
        <v>15</v>
      </c>
      <c r="C4738" s="18" t="s">
        <v>210</v>
      </c>
      <c r="D4738" s="18" t="s">
        <v>116</v>
      </c>
      <c r="E4738" s="18" t="s">
        <v>55</v>
      </c>
      <c r="F4738" s="18" t="s">
        <v>8912</v>
      </c>
      <c r="G4738" s="18" t="s">
        <v>1019</v>
      </c>
      <c r="H4738" s="18" t="s">
        <v>8852</v>
      </c>
      <c r="I4738" s="20" t="s">
        <v>9161</v>
      </c>
      <c r="J4738" s="18" t="s">
        <v>58</v>
      </c>
      <c r="K4738" s="18" t="s">
        <v>24</v>
      </c>
      <c r="L4738" s="18" t="s">
        <v>25</v>
      </c>
      <c r="N4738" s="18" t="s">
        <v>26</v>
      </c>
    </row>
    <row r="4739" spans="1:14" ht="15" customHeight="1" x14ac:dyDescent="0.3">
      <c r="A4739" s="18" t="s">
        <v>8824</v>
      </c>
      <c r="B4739" s="19" t="s">
        <v>15</v>
      </c>
      <c r="C4739" s="18" t="s">
        <v>210</v>
      </c>
      <c r="D4739" s="18" t="s">
        <v>116</v>
      </c>
      <c r="E4739" s="18" t="s">
        <v>55</v>
      </c>
      <c r="F4739" s="18" t="s">
        <v>8914</v>
      </c>
      <c r="G4739" s="18" t="s">
        <v>8851</v>
      </c>
      <c r="H4739" s="18" t="s">
        <v>8835</v>
      </c>
      <c r="I4739" s="20" t="s">
        <v>9162</v>
      </c>
      <c r="J4739" s="18" t="s">
        <v>58</v>
      </c>
      <c r="K4739" s="18" t="s">
        <v>24</v>
      </c>
      <c r="L4739" s="18" t="s">
        <v>25</v>
      </c>
      <c r="N4739" s="18" t="s">
        <v>26</v>
      </c>
    </row>
    <row r="4740" spans="1:14" ht="15" customHeight="1" x14ac:dyDescent="0.3">
      <c r="A4740" s="18" t="s">
        <v>8824</v>
      </c>
      <c r="B4740" s="19" t="s">
        <v>15</v>
      </c>
      <c r="C4740" s="18" t="s">
        <v>210</v>
      </c>
      <c r="D4740" s="18" t="s">
        <v>116</v>
      </c>
      <c r="E4740" s="18" t="s">
        <v>55</v>
      </c>
      <c r="F4740" s="18" t="s">
        <v>9163</v>
      </c>
      <c r="G4740" s="18" t="s">
        <v>88</v>
      </c>
      <c r="H4740" s="18" t="s">
        <v>8159</v>
      </c>
      <c r="I4740" s="20" t="s">
        <v>9164</v>
      </c>
      <c r="J4740" s="18" t="s">
        <v>58</v>
      </c>
      <c r="K4740" s="18" t="s">
        <v>24</v>
      </c>
      <c r="L4740" s="18" t="s">
        <v>25</v>
      </c>
      <c r="N4740" s="18" t="s">
        <v>26</v>
      </c>
    </row>
    <row r="4741" spans="1:14" ht="15" customHeight="1" x14ac:dyDescent="0.3">
      <c r="A4741" s="18" t="s">
        <v>8824</v>
      </c>
      <c r="B4741" s="19" t="s">
        <v>15</v>
      </c>
      <c r="C4741" s="18" t="s">
        <v>210</v>
      </c>
      <c r="D4741" s="18" t="s">
        <v>116</v>
      </c>
      <c r="E4741" s="18" t="s">
        <v>55</v>
      </c>
      <c r="F4741" s="18" t="s">
        <v>9165</v>
      </c>
      <c r="G4741" s="18" t="s">
        <v>1059</v>
      </c>
      <c r="H4741" s="18" t="s">
        <v>8828</v>
      </c>
      <c r="I4741" s="20" t="s">
        <v>9166</v>
      </c>
      <c r="J4741" s="18" t="s">
        <v>58</v>
      </c>
      <c r="K4741" s="18" t="s">
        <v>24</v>
      </c>
      <c r="L4741" s="18" t="s">
        <v>25</v>
      </c>
      <c r="N4741" s="18" t="s">
        <v>26</v>
      </c>
    </row>
    <row r="4742" spans="1:14" ht="15" customHeight="1" x14ac:dyDescent="0.3">
      <c r="A4742" s="18" t="s">
        <v>8824</v>
      </c>
      <c r="B4742" s="19" t="s">
        <v>15</v>
      </c>
      <c r="C4742" s="18" t="s">
        <v>210</v>
      </c>
      <c r="D4742" s="18" t="s">
        <v>116</v>
      </c>
      <c r="E4742" s="18" t="s">
        <v>55</v>
      </c>
      <c r="F4742" s="18" t="s">
        <v>8632</v>
      </c>
      <c r="G4742" s="18" t="s">
        <v>197</v>
      </c>
      <c r="H4742" s="18" t="s">
        <v>8828</v>
      </c>
      <c r="I4742" s="20" t="s">
        <v>9167</v>
      </c>
      <c r="J4742" s="18" t="s">
        <v>58</v>
      </c>
      <c r="K4742" s="18" t="s">
        <v>24</v>
      </c>
      <c r="L4742" s="18" t="s">
        <v>25</v>
      </c>
      <c r="N4742" s="18" t="s">
        <v>26</v>
      </c>
    </row>
    <row r="4743" spans="1:14" ht="15" customHeight="1" x14ac:dyDescent="0.3">
      <c r="A4743" s="18" t="s">
        <v>8824</v>
      </c>
      <c r="B4743" s="19" t="s">
        <v>15</v>
      </c>
      <c r="C4743" s="18" t="s">
        <v>210</v>
      </c>
      <c r="D4743" s="18" t="s">
        <v>116</v>
      </c>
      <c r="E4743" s="18" t="s">
        <v>55</v>
      </c>
      <c r="F4743" s="18" t="s">
        <v>9168</v>
      </c>
      <c r="G4743" s="18" t="s">
        <v>9169</v>
      </c>
      <c r="H4743" s="18" t="s">
        <v>8420</v>
      </c>
      <c r="I4743" s="20" t="s">
        <v>9170</v>
      </c>
      <c r="J4743" s="18" t="s">
        <v>58</v>
      </c>
      <c r="K4743" s="18" t="s">
        <v>24</v>
      </c>
      <c r="L4743" s="18" t="s">
        <v>25</v>
      </c>
      <c r="N4743" s="18" t="s">
        <v>26</v>
      </c>
    </row>
    <row r="4744" spans="1:14" ht="15" customHeight="1" x14ac:dyDescent="0.3">
      <c r="A4744" s="18" t="s">
        <v>8824</v>
      </c>
      <c r="B4744" s="19" t="s">
        <v>15</v>
      </c>
      <c r="C4744" s="18" t="s">
        <v>210</v>
      </c>
      <c r="D4744" s="18" t="s">
        <v>116</v>
      </c>
      <c r="E4744" s="18" t="s">
        <v>55</v>
      </c>
      <c r="F4744" s="18" t="s">
        <v>6537</v>
      </c>
      <c r="G4744" s="18" t="s">
        <v>9171</v>
      </c>
      <c r="H4744" s="18" t="s">
        <v>8420</v>
      </c>
      <c r="I4744" s="20" t="s">
        <v>9172</v>
      </c>
      <c r="J4744" s="18" t="s">
        <v>58</v>
      </c>
      <c r="K4744" s="18" t="s">
        <v>24</v>
      </c>
      <c r="L4744" s="18" t="s">
        <v>25</v>
      </c>
      <c r="N4744" s="18" t="s">
        <v>26</v>
      </c>
    </row>
    <row r="4745" spans="1:14" ht="15" customHeight="1" x14ac:dyDescent="0.3">
      <c r="A4745" s="18" t="s">
        <v>8824</v>
      </c>
      <c r="B4745" s="19" t="s">
        <v>15</v>
      </c>
      <c r="C4745" s="18" t="s">
        <v>210</v>
      </c>
      <c r="D4745" s="18" t="s">
        <v>116</v>
      </c>
      <c r="E4745" s="18" t="s">
        <v>55</v>
      </c>
      <c r="F4745" s="18" t="s">
        <v>9173</v>
      </c>
      <c r="G4745" s="18" t="s">
        <v>9174</v>
      </c>
      <c r="H4745" s="18" t="s">
        <v>8420</v>
      </c>
      <c r="I4745" s="20" t="s">
        <v>9175</v>
      </c>
      <c r="J4745" s="18" t="s">
        <v>58</v>
      </c>
      <c r="K4745" s="18" t="s">
        <v>24</v>
      </c>
      <c r="L4745" s="18" t="s">
        <v>25</v>
      </c>
      <c r="N4745" s="18" t="s">
        <v>26</v>
      </c>
    </row>
    <row r="4746" spans="1:14" ht="15" customHeight="1" x14ac:dyDescent="0.3">
      <c r="A4746" s="18" t="s">
        <v>8824</v>
      </c>
      <c r="B4746" s="19" t="s">
        <v>15</v>
      </c>
      <c r="C4746" s="18" t="s">
        <v>210</v>
      </c>
      <c r="D4746" s="18" t="s">
        <v>116</v>
      </c>
      <c r="E4746" s="18" t="s">
        <v>55</v>
      </c>
      <c r="F4746" s="18" t="s">
        <v>8467</v>
      </c>
      <c r="G4746" s="18" t="s">
        <v>9176</v>
      </c>
      <c r="H4746" s="18" t="s">
        <v>8420</v>
      </c>
      <c r="I4746" s="20" t="s">
        <v>9177</v>
      </c>
      <c r="J4746" s="18" t="s">
        <v>58</v>
      </c>
      <c r="K4746" s="18" t="s">
        <v>24</v>
      </c>
      <c r="L4746" s="18" t="s">
        <v>25</v>
      </c>
      <c r="N4746" s="18" t="s">
        <v>26</v>
      </c>
    </row>
    <row r="4747" spans="1:14" ht="15" customHeight="1" x14ac:dyDescent="0.3">
      <c r="A4747" s="18" t="s">
        <v>8824</v>
      </c>
      <c r="B4747" s="19" t="s">
        <v>15</v>
      </c>
      <c r="C4747" s="18" t="s">
        <v>210</v>
      </c>
      <c r="D4747" s="18" t="s">
        <v>116</v>
      </c>
      <c r="E4747" s="18" t="s">
        <v>55</v>
      </c>
      <c r="F4747" s="18" t="s">
        <v>8922</v>
      </c>
      <c r="G4747" s="18" t="s">
        <v>9178</v>
      </c>
      <c r="H4747" s="18" t="s">
        <v>8420</v>
      </c>
      <c r="I4747" s="20" t="s">
        <v>9179</v>
      </c>
      <c r="J4747" s="18" t="s">
        <v>58</v>
      </c>
      <c r="K4747" s="18" t="s">
        <v>24</v>
      </c>
      <c r="L4747" s="18" t="s">
        <v>25</v>
      </c>
      <c r="N4747" s="18" t="s">
        <v>26</v>
      </c>
    </row>
    <row r="4748" spans="1:14" ht="15" customHeight="1" x14ac:dyDescent="0.3">
      <c r="A4748" s="18" t="s">
        <v>8824</v>
      </c>
      <c r="B4748" s="19" t="s">
        <v>15</v>
      </c>
      <c r="C4748" s="18" t="s">
        <v>210</v>
      </c>
      <c r="D4748" s="18" t="s">
        <v>116</v>
      </c>
      <c r="E4748" s="18" t="s">
        <v>55</v>
      </c>
      <c r="F4748" s="18" t="s">
        <v>9180</v>
      </c>
      <c r="G4748" s="18" t="s">
        <v>8847</v>
      </c>
      <c r="H4748" s="18" t="s">
        <v>8420</v>
      </c>
      <c r="I4748" s="20" t="s">
        <v>9181</v>
      </c>
      <c r="J4748" s="18" t="s">
        <v>58</v>
      </c>
      <c r="K4748" s="18" t="s">
        <v>24</v>
      </c>
      <c r="L4748" s="18" t="s">
        <v>25</v>
      </c>
      <c r="N4748" s="18" t="s">
        <v>26</v>
      </c>
    </row>
    <row r="4749" spans="1:14" ht="15" customHeight="1" x14ac:dyDescent="0.3">
      <c r="A4749" s="18" t="s">
        <v>8824</v>
      </c>
      <c r="B4749" s="19" t="s">
        <v>15</v>
      </c>
      <c r="C4749" s="18" t="s">
        <v>210</v>
      </c>
      <c r="D4749" s="18" t="s">
        <v>116</v>
      </c>
      <c r="E4749" s="18" t="s">
        <v>55</v>
      </c>
      <c r="F4749" s="18" t="s">
        <v>9182</v>
      </c>
      <c r="G4749" s="18" t="s">
        <v>2245</v>
      </c>
      <c r="H4749" s="18" t="s">
        <v>8420</v>
      </c>
      <c r="I4749" s="20" t="s">
        <v>9183</v>
      </c>
      <c r="J4749" s="18" t="s">
        <v>58</v>
      </c>
      <c r="K4749" s="18" t="s">
        <v>24</v>
      </c>
      <c r="L4749" s="18" t="s">
        <v>25</v>
      </c>
      <c r="N4749" s="18" t="s">
        <v>26</v>
      </c>
    </row>
    <row r="4750" spans="1:14" ht="15" customHeight="1" x14ac:dyDescent="0.3">
      <c r="A4750" s="18" t="s">
        <v>8824</v>
      </c>
      <c r="B4750" s="19" t="s">
        <v>15</v>
      </c>
      <c r="C4750" s="18" t="s">
        <v>210</v>
      </c>
      <c r="D4750" s="18" t="s">
        <v>116</v>
      </c>
      <c r="E4750" s="18" t="s">
        <v>55</v>
      </c>
      <c r="F4750" s="18" t="s">
        <v>2384</v>
      </c>
      <c r="G4750" s="18" t="s">
        <v>1019</v>
      </c>
      <c r="H4750" s="18" t="s">
        <v>8852</v>
      </c>
      <c r="I4750" s="20" t="s">
        <v>9184</v>
      </c>
      <c r="J4750" s="18" t="s">
        <v>58</v>
      </c>
      <c r="K4750" s="18" t="s">
        <v>24</v>
      </c>
      <c r="L4750" s="18" t="s">
        <v>25</v>
      </c>
      <c r="N4750" s="18" t="s">
        <v>26</v>
      </c>
    </row>
    <row r="4751" spans="1:14" ht="15" customHeight="1" x14ac:dyDescent="0.3">
      <c r="A4751" s="18" t="s">
        <v>8824</v>
      </c>
      <c r="B4751" s="19" t="s">
        <v>15</v>
      </c>
      <c r="C4751" s="18" t="s">
        <v>210</v>
      </c>
      <c r="D4751" s="18" t="s">
        <v>116</v>
      </c>
      <c r="E4751" s="18" t="s">
        <v>55</v>
      </c>
      <c r="F4751" s="18" t="s">
        <v>9185</v>
      </c>
      <c r="G4751" s="18" t="s">
        <v>1055</v>
      </c>
      <c r="H4751" s="18" t="s">
        <v>8828</v>
      </c>
      <c r="I4751" s="20" t="s">
        <v>9186</v>
      </c>
      <c r="J4751" s="18" t="s">
        <v>58</v>
      </c>
      <c r="K4751" s="18" t="s">
        <v>24</v>
      </c>
      <c r="L4751" s="18" t="s">
        <v>25</v>
      </c>
      <c r="N4751" s="18" t="s">
        <v>26</v>
      </c>
    </row>
    <row r="4752" spans="1:14" ht="15" customHeight="1" x14ac:dyDescent="0.3">
      <c r="A4752" s="18" t="s">
        <v>8824</v>
      </c>
      <c r="B4752" s="19" t="s">
        <v>15</v>
      </c>
      <c r="C4752" s="18" t="s">
        <v>210</v>
      </c>
      <c r="D4752" s="18" t="s">
        <v>116</v>
      </c>
      <c r="E4752" s="18" t="s">
        <v>55</v>
      </c>
      <c r="F4752" s="18" t="s">
        <v>6432</v>
      </c>
      <c r="G4752" s="18" t="s">
        <v>6432</v>
      </c>
      <c r="H4752" s="18" t="s">
        <v>8420</v>
      </c>
      <c r="I4752" s="20" t="s">
        <v>9187</v>
      </c>
      <c r="J4752" s="18" t="s">
        <v>58</v>
      </c>
      <c r="K4752" s="18" t="s">
        <v>24</v>
      </c>
      <c r="L4752" s="18" t="s">
        <v>25</v>
      </c>
      <c r="N4752" s="18" t="s">
        <v>26</v>
      </c>
    </row>
    <row r="4753" spans="1:14" ht="15" customHeight="1" x14ac:dyDescent="0.3">
      <c r="A4753" s="18" t="s">
        <v>8824</v>
      </c>
      <c r="B4753" s="19" t="s">
        <v>15</v>
      </c>
      <c r="C4753" s="18" t="s">
        <v>210</v>
      </c>
      <c r="D4753" s="18" t="s">
        <v>116</v>
      </c>
      <c r="E4753" s="18" t="s">
        <v>55</v>
      </c>
      <c r="F4753" s="18" t="s">
        <v>5050</v>
      </c>
      <c r="G4753" s="18" t="s">
        <v>1069</v>
      </c>
      <c r="H4753" s="18" t="s">
        <v>8930</v>
      </c>
      <c r="I4753" s="20" t="s">
        <v>9188</v>
      </c>
      <c r="J4753" s="18" t="s">
        <v>58</v>
      </c>
      <c r="K4753" s="18" t="s">
        <v>24</v>
      </c>
      <c r="L4753" s="18" t="s">
        <v>25</v>
      </c>
      <c r="N4753" s="18" t="s">
        <v>26</v>
      </c>
    </row>
    <row r="4754" spans="1:14" ht="15" customHeight="1" x14ac:dyDescent="0.3">
      <c r="A4754" s="18" t="s">
        <v>8824</v>
      </c>
      <c r="B4754" s="19" t="s">
        <v>15</v>
      </c>
      <c r="C4754" s="18" t="s">
        <v>210</v>
      </c>
      <c r="D4754" s="18" t="s">
        <v>116</v>
      </c>
      <c r="E4754" s="18" t="s">
        <v>55</v>
      </c>
      <c r="F4754" s="18" t="s">
        <v>9189</v>
      </c>
      <c r="G4754" s="18" t="s">
        <v>1019</v>
      </c>
      <c r="H4754" s="18" t="s">
        <v>8852</v>
      </c>
      <c r="I4754" s="20" t="s">
        <v>9190</v>
      </c>
      <c r="J4754" s="18" t="s">
        <v>58</v>
      </c>
      <c r="K4754" s="18" t="s">
        <v>24</v>
      </c>
      <c r="L4754" s="18" t="s">
        <v>25</v>
      </c>
      <c r="N4754" s="18" t="s">
        <v>26</v>
      </c>
    </row>
    <row r="4755" spans="1:14" ht="15" customHeight="1" x14ac:dyDescent="0.3">
      <c r="A4755" s="18" t="s">
        <v>8824</v>
      </c>
      <c r="B4755" s="19" t="s">
        <v>15</v>
      </c>
      <c r="C4755" s="18" t="s">
        <v>210</v>
      </c>
      <c r="D4755" s="18" t="s">
        <v>116</v>
      </c>
      <c r="E4755" s="18" t="s">
        <v>55</v>
      </c>
      <c r="F4755" s="18" t="s">
        <v>8654</v>
      </c>
      <c r="G4755" s="18" t="s">
        <v>3138</v>
      </c>
      <c r="H4755" s="18" t="s">
        <v>8159</v>
      </c>
      <c r="I4755" s="20" t="s">
        <v>9191</v>
      </c>
      <c r="J4755" s="18" t="s">
        <v>58</v>
      </c>
      <c r="K4755" s="18" t="s">
        <v>24</v>
      </c>
      <c r="L4755" s="18" t="s">
        <v>25</v>
      </c>
      <c r="N4755" s="18" t="s">
        <v>26</v>
      </c>
    </row>
    <row r="4756" spans="1:14" ht="15" customHeight="1" x14ac:dyDescent="0.3">
      <c r="A4756" s="18" t="s">
        <v>8824</v>
      </c>
      <c r="B4756" s="19" t="s">
        <v>15</v>
      </c>
      <c r="C4756" s="18" t="s">
        <v>210</v>
      </c>
      <c r="D4756" s="18" t="s">
        <v>116</v>
      </c>
      <c r="E4756" s="18" t="s">
        <v>55</v>
      </c>
      <c r="F4756" s="18" t="s">
        <v>9192</v>
      </c>
      <c r="G4756" s="18" t="s">
        <v>3138</v>
      </c>
      <c r="H4756" s="18" t="s">
        <v>8159</v>
      </c>
      <c r="I4756" s="20" t="s">
        <v>9193</v>
      </c>
      <c r="J4756" s="18" t="s">
        <v>58</v>
      </c>
      <c r="K4756" s="18" t="s">
        <v>24</v>
      </c>
      <c r="L4756" s="18" t="s">
        <v>25</v>
      </c>
      <c r="N4756" s="18" t="s">
        <v>26</v>
      </c>
    </row>
    <row r="4757" spans="1:14" ht="15" customHeight="1" x14ac:dyDescent="0.3">
      <c r="A4757" s="18" t="s">
        <v>8824</v>
      </c>
      <c r="B4757" s="19" t="s">
        <v>15</v>
      </c>
      <c r="C4757" s="18" t="s">
        <v>210</v>
      </c>
      <c r="D4757" s="18" t="s">
        <v>116</v>
      </c>
      <c r="E4757" s="18" t="s">
        <v>55</v>
      </c>
      <c r="F4757" s="18" t="s">
        <v>9194</v>
      </c>
      <c r="G4757" s="18" t="s">
        <v>1211</v>
      </c>
      <c r="H4757" s="18" t="s">
        <v>8833</v>
      </c>
      <c r="I4757" s="20" t="s">
        <v>9195</v>
      </c>
      <c r="J4757" s="18" t="s">
        <v>58</v>
      </c>
      <c r="K4757" s="18" t="s">
        <v>24</v>
      </c>
      <c r="L4757" s="18" t="s">
        <v>25</v>
      </c>
      <c r="N4757" s="18" t="s">
        <v>26</v>
      </c>
    </row>
    <row r="4758" spans="1:14" ht="15" customHeight="1" x14ac:dyDescent="0.3">
      <c r="A4758" s="18" t="s">
        <v>8824</v>
      </c>
      <c r="B4758" s="19" t="s">
        <v>15</v>
      </c>
      <c r="C4758" s="18" t="s">
        <v>210</v>
      </c>
      <c r="D4758" s="18" t="s">
        <v>116</v>
      </c>
      <c r="E4758" s="18" t="s">
        <v>55</v>
      </c>
      <c r="F4758" s="18" t="s">
        <v>9196</v>
      </c>
      <c r="G4758" s="18" t="s">
        <v>2921</v>
      </c>
      <c r="H4758" s="18" t="s">
        <v>8833</v>
      </c>
      <c r="I4758" s="20" t="s">
        <v>9197</v>
      </c>
      <c r="J4758" s="18" t="s">
        <v>58</v>
      </c>
      <c r="K4758" s="18" t="s">
        <v>24</v>
      </c>
      <c r="L4758" s="18" t="s">
        <v>25</v>
      </c>
      <c r="N4758" s="18" t="s">
        <v>26</v>
      </c>
    </row>
    <row r="4759" spans="1:14" ht="15" customHeight="1" x14ac:dyDescent="0.3">
      <c r="A4759" s="18" t="s">
        <v>8824</v>
      </c>
      <c r="B4759" s="19" t="s">
        <v>15</v>
      </c>
      <c r="C4759" s="18" t="s">
        <v>210</v>
      </c>
      <c r="D4759" s="18" t="s">
        <v>116</v>
      </c>
      <c r="E4759" s="18" t="s">
        <v>55</v>
      </c>
      <c r="F4759" s="18" t="s">
        <v>8476</v>
      </c>
      <c r="G4759" s="18" t="s">
        <v>9198</v>
      </c>
      <c r="H4759" s="18" t="s">
        <v>8159</v>
      </c>
      <c r="I4759" s="20" t="s">
        <v>9199</v>
      </c>
      <c r="J4759" s="18" t="s">
        <v>58</v>
      </c>
      <c r="K4759" s="18" t="s">
        <v>24</v>
      </c>
      <c r="L4759" s="18" t="s">
        <v>25</v>
      </c>
      <c r="N4759" s="18" t="s">
        <v>26</v>
      </c>
    </row>
    <row r="4760" spans="1:14" ht="15" customHeight="1" x14ac:dyDescent="0.3">
      <c r="A4760" s="18" t="s">
        <v>8824</v>
      </c>
      <c r="B4760" s="19" t="s">
        <v>15</v>
      </c>
      <c r="C4760" s="18" t="s">
        <v>210</v>
      </c>
      <c r="D4760" s="18" t="s">
        <v>116</v>
      </c>
      <c r="E4760" s="18" t="s">
        <v>55</v>
      </c>
      <c r="F4760" s="18" t="s">
        <v>2610</v>
      </c>
      <c r="G4760" s="18" t="s">
        <v>263</v>
      </c>
      <c r="H4760" s="18" t="s">
        <v>8828</v>
      </c>
      <c r="I4760" s="20" t="s">
        <v>9200</v>
      </c>
      <c r="J4760" s="18" t="s">
        <v>58</v>
      </c>
      <c r="K4760" s="18" t="s">
        <v>24</v>
      </c>
      <c r="L4760" s="18" t="s">
        <v>25</v>
      </c>
      <c r="N4760" s="18" t="s">
        <v>26</v>
      </c>
    </row>
    <row r="4761" spans="1:14" ht="15" customHeight="1" x14ac:dyDescent="0.3">
      <c r="A4761" s="18" t="s">
        <v>8824</v>
      </c>
      <c r="B4761" s="19" t="s">
        <v>15</v>
      </c>
      <c r="C4761" s="18" t="s">
        <v>210</v>
      </c>
      <c r="D4761" s="18" t="s">
        <v>116</v>
      </c>
      <c r="E4761" s="18" t="s">
        <v>55</v>
      </c>
      <c r="F4761" s="18" t="s">
        <v>40</v>
      </c>
      <c r="G4761" s="18" t="s">
        <v>41</v>
      </c>
      <c r="H4761" s="18" t="s">
        <v>8930</v>
      </c>
      <c r="I4761" s="20" t="s">
        <v>9201</v>
      </c>
      <c r="J4761" s="18" t="s">
        <v>58</v>
      </c>
      <c r="K4761" s="18" t="s">
        <v>24</v>
      </c>
      <c r="L4761" s="18" t="s">
        <v>25</v>
      </c>
      <c r="N4761" s="18" t="s">
        <v>26</v>
      </c>
    </row>
    <row r="4762" spans="1:14" ht="15" customHeight="1" x14ac:dyDescent="0.3">
      <c r="A4762" s="18" t="s">
        <v>8824</v>
      </c>
      <c r="B4762" s="19" t="s">
        <v>15</v>
      </c>
      <c r="C4762" s="18" t="s">
        <v>210</v>
      </c>
      <c r="D4762" s="18" t="s">
        <v>116</v>
      </c>
      <c r="E4762" s="18" t="s">
        <v>55</v>
      </c>
      <c r="F4762" s="18" t="s">
        <v>9202</v>
      </c>
      <c r="G4762" s="18" t="s">
        <v>41</v>
      </c>
      <c r="H4762" s="18" t="s">
        <v>8867</v>
      </c>
      <c r="I4762" s="20" t="s">
        <v>9203</v>
      </c>
      <c r="J4762" s="18" t="s">
        <v>58</v>
      </c>
      <c r="K4762" s="18" t="s">
        <v>24</v>
      </c>
      <c r="L4762" s="18" t="s">
        <v>25</v>
      </c>
      <c r="M4762" s="18" t="s">
        <v>39</v>
      </c>
      <c r="N4762" s="18" t="s">
        <v>26</v>
      </c>
    </row>
    <row r="4763" spans="1:14" ht="15" customHeight="1" x14ac:dyDescent="0.3">
      <c r="A4763" s="18" t="s">
        <v>8824</v>
      </c>
      <c r="B4763" s="19" t="s">
        <v>15</v>
      </c>
      <c r="C4763" s="18" t="s">
        <v>210</v>
      </c>
      <c r="D4763" s="18" t="s">
        <v>116</v>
      </c>
      <c r="E4763" s="18" t="s">
        <v>55</v>
      </c>
      <c r="F4763" s="18" t="s">
        <v>9204</v>
      </c>
      <c r="G4763" s="18" t="s">
        <v>41</v>
      </c>
      <c r="H4763" s="18" t="s">
        <v>8930</v>
      </c>
      <c r="I4763" s="20" t="s">
        <v>9205</v>
      </c>
      <c r="J4763" s="18" t="s">
        <v>58</v>
      </c>
      <c r="K4763" s="18" t="s">
        <v>24</v>
      </c>
      <c r="L4763" s="18" t="s">
        <v>25</v>
      </c>
      <c r="N4763" s="18" t="s">
        <v>26</v>
      </c>
    </row>
    <row r="4764" spans="1:14" ht="15" customHeight="1" x14ac:dyDescent="0.3">
      <c r="A4764" s="18" t="s">
        <v>8824</v>
      </c>
      <c r="B4764" s="19" t="s">
        <v>15</v>
      </c>
      <c r="C4764" s="18" t="s">
        <v>210</v>
      </c>
      <c r="D4764" s="18" t="s">
        <v>116</v>
      </c>
      <c r="E4764" s="18" t="s">
        <v>55</v>
      </c>
      <c r="F4764" s="18" t="s">
        <v>9206</v>
      </c>
      <c r="G4764" s="18" t="s">
        <v>2921</v>
      </c>
      <c r="H4764" s="18" t="s">
        <v>8825</v>
      </c>
      <c r="I4764" s="20" t="s">
        <v>9207</v>
      </c>
      <c r="J4764" s="18" t="s">
        <v>58</v>
      </c>
      <c r="K4764" s="18" t="s">
        <v>24</v>
      </c>
      <c r="L4764" s="18" t="s">
        <v>25</v>
      </c>
      <c r="N4764" s="18" t="s">
        <v>26</v>
      </c>
    </row>
    <row r="4765" spans="1:14" ht="15" customHeight="1" x14ac:dyDescent="0.3">
      <c r="A4765" s="18" t="s">
        <v>8824</v>
      </c>
      <c r="B4765" s="19" t="s">
        <v>15</v>
      </c>
      <c r="C4765" s="18" t="s">
        <v>210</v>
      </c>
      <c r="D4765" s="18" t="s">
        <v>116</v>
      </c>
      <c r="E4765" s="18" t="s">
        <v>55</v>
      </c>
      <c r="F4765" s="18" t="s">
        <v>9208</v>
      </c>
      <c r="G4765" s="18" t="s">
        <v>41</v>
      </c>
      <c r="H4765" s="18" t="s">
        <v>8420</v>
      </c>
      <c r="I4765" s="20" t="s">
        <v>9209</v>
      </c>
      <c r="J4765" s="18" t="s">
        <v>58</v>
      </c>
      <c r="K4765" s="18" t="s">
        <v>24</v>
      </c>
      <c r="L4765" s="18" t="s">
        <v>25</v>
      </c>
      <c r="N4765" s="18" t="s">
        <v>26</v>
      </c>
    </row>
    <row r="4766" spans="1:14" ht="15" customHeight="1" x14ac:dyDescent="0.3">
      <c r="A4766" s="18" t="s">
        <v>8824</v>
      </c>
      <c r="B4766" s="19" t="s">
        <v>15</v>
      </c>
      <c r="C4766" s="18" t="s">
        <v>210</v>
      </c>
      <c r="D4766" s="18" t="s">
        <v>116</v>
      </c>
      <c r="E4766" s="18" t="s">
        <v>55</v>
      </c>
      <c r="F4766" s="18" t="s">
        <v>1088</v>
      </c>
      <c r="G4766" s="18" t="s">
        <v>41</v>
      </c>
      <c r="H4766" s="18" t="s">
        <v>8852</v>
      </c>
      <c r="I4766" s="20" t="s">
        <v>9210</v>
      </c>
      <c r="J4766" s="18" t="s">
        <v>58</v>
      </c>
      <c r="K4766" s="18" t="s">
        <v>24</v>
      </c>
      <c r="L4766" s="18" t="s">
        <v>25</v>
      </c>
      <c r="N4766" s="18" t="s">
        <v>26</v>
      </c>
    </row>
    <row r="4767" spans="1:14" ht="15" customHeight="1" x14ac:dyDescent="0.3">
      <c r="A4767" s="18" t="s">
        <v>8824</v>
      </c>
      <c r="B4767" s="19" t="s">
        <v>15</v>
      </c>
      <c r="C4767" s="18" t="s">
        <v>210</v>
      </c>
      <c r="D4767" s="18" t="s">
        <v>116</v>
      </c>
      <c r="E4767" s="18" t="s">
        <v>55</v>
      </c>
      <c r="F4767" s="18" t="s">
        <v>1927</v>
      </c>
      <c r="G4767" s="18" t="s">
        <v>47</v>
      </c>
      <c r="H4767" s="18" t="s">
        <v>8930</v>
      </c>
      <c r="I4767" s="20" t="s">
        <v>9211</v>
      </c>
      <c r="J4767" s="18" t="s">
        <v>58</v>
      </c>
      <c r="K4767" s="18" t="s">
        <v>24</v>
      </c>
      <c r="L4767" s="18" t="s">
        <v>25</v>
      </c>
      <c r="N4767" s="18" t="s">
        <v>26</v>
      </c>
    </row>
    <row r="4768" spans="1:14" ht="15" customHeight="1" x14ac:dyDescent="0.3">
      <c r="A4768" s="18" t="s">
        <v>8824</v>
      </c>
      <c r="B4768" s="19" t="s">
        <v>15</v>
      </c>
      <c r="C4768" s="18" t="s">
        <v>210</v>
      </c>
      <c r="D4768" s="18" t="s">
        <v>116</v>
      </c>
      <c r="E4768" s="18" t="s">
        <v>55</v>
      </c>
      <c r="F4768" s="18" t="s">
        <v>3997</v>
      </c>
      <c r="G4768" s="18" t="s">
        <v>1019</v>
      </c>
      <c r="H4768" s="18" t="s">
        <v>8852</v>
      </c>
      <c r="I4768" s="20" t="s">
        <v>9212</v>
      </c>
      <c r="J4768" s="18" t="s">
        <v>58</v>
      </c>
      <c r="K4768" s="18" t="s">
        <v>24</v>
      </c>
      <c r="L4768" s="18" t="s">
        <v>25</v>
      </c>
      <c r="N4768" s="18" t="s">
        <v>26</v>
      </c>
    </row>
    <row r="4769" spans="1:14" ht="15" customHeight="1" x14ac:dyDescent="0.3">
      <c r="A4769" s="18" t="s">
        <v>8824</v>
      </c>
      <c r="B4769" s="19" t="s">
        <v>15</v>
      </c>
      <c r="C4769" s="18" t="s">
        <v>210</v>
      </c>
      <c r="D4769" s="18" t="s">
        <v>116</v>
      </c>
      <c r="E4769" s="18" t="s">
        <v>55</v>
      </c>
      <c r="F4769" s="18" t="s">
        <v>9213</v>
      </c>
      <c r="G4769" s="18" t="s">
        <v>173</v>
      </c>
      <c r="H4769" s="18" t="s">
        <v>8833</v>
      </c>
      <c r="I4769" s="20" t="s">
        <v>9214</v>
      </c>
      <c r="J4769" s="18" t="s">
        <v>58</v>
      </c>
      <c r="K4769" s="18" t="s">
        <v>24</v>
      </c>
      <c r="L4769" s="18" t="s">
        <v>25</v>
      </c>
      <c r="M4769" s="18" t="s">
        <v>39</v>
      </c>
      <c r="N4769" s="18" t="s">
        <v>26</v>
      </c>
    </row>
    <row r="4770" spans="1:14" ht="15" customHeight="1" x14ac:dyDescent="0.3">
      <c r="A4770" s="18" t="s">
        <v>8824</v>
      </c>
      <c r="B4770" s="19" t="s">
        <v>15</v>
      </c>
      <c r="C4770" s="18" t="s">
        <v>210</v>
      </c>
      <c r="D4770" s="18" t="s">
        <v>116</v>
      </c>
      <c r="E4770" s="18" t="s">
        <v>55</v>
      </c>
      <c r="F4770" s="18" t="s">
        <v>9215</v>
      </c>
      <c r="G4770" s="18" t="s">
        <v>41</v>
      </c>
      <c r="H4770" s="18" t="s">
        <v>8867</v>
      </c>
      <c r="I4770" s="20" t="s">
        <v>9216</v>
      </c>
      <c r="J4770" s="18" t="s">
        <v>58</v>
      </c>
      <c r="K4770" s="18" t="s">
        <v>24</v>
      </c>
      <c r="L4770" s="18" t="s">
        <v>25</v>
      </c>
      <c r="M4770" s="18" t="s">
        <v>39</v>
      </c>
      <c r="N4770" s="18" t="s">
        <v>26</v>
      </c>
    </row>
    <row r="4771" spans="1:14" ht="15" customHeight="1" x14ac:dyDescent="0.3">
      <c r="A4771" s="18" t="s">
        <v>8824</v>
      </c>
      <c r="B4771" s="19" t="s">
        <v>15</v>
      </c>
      <c r="C4771" s="18" t="s">
        <v>210</v>
      </c>
      <c r="D4771" s="18" t="s">
        <v>116</v>
      </c>
      <c r="E4771" s="18" t="s">
        <v>55</v>
      </c>
      <c r="F4771" s="18" t="s">
        <v>9217</v>
      </c>
      <c r="G4771" s="18" t="s">
        <v>2921</v>
      </c>
      <c r="H4771" s="18" t="s">
        <v>8825</v>
      </c>
      <c r="I4771" s="20" t="s">
        <v>9218</v>
      </c>
      <c r="J4771" s="18" t="s">
        <v>58</v>
      </c>
      <c r="K4771" s="18" t="s">
        <v>24</v>
      </c>
      <c r="L4771" s="18" t="s">
        <v>25</v>
      </c>
      <c r="N4771" s="18" t="s">
        <v>26</v>
      </c>
    </row>
    <row r="4772" spans="1:14" ht="15" customHeight="1" x14ac:dyDescent="0.3">
      <c r="A4772" s="18" t="s">
        <v>8824</v>
      </c>
      <c r="B4772" s="19" t="s">
        <v>15</v>
      </c>
      <c r="C4772" s="18" t="s">
        <v>210</v>
      </c>
      <c r="D4772" s="18" t="s">
        <v>116</v>
      </c>
      <c r="E4772" s="18" t="s">
        <v>55</v>
      </c>
      <c r="F4772" s="18" t="s">
        <v>9219</v>
      </c>
      <c r="G4772" s="18" t="s">
        <v>2921</v>
      </c>
      <c r="H4772" s="18" t="s">
        <v>8828</v>
      </c>
      <c r="I4772" s="20" t="s">
        <v>9220</v>
      </c>
      <c r="J4772" s="18" t="s">
        <v>58</v>
      </c>
      <c r="K4772" s="18" t="s">
        <v>24</v>
      </c>
      <c r="L4772" s="18" t="s">
        <v>25</v>
      </c>
      <c r="N4772" s="18" t="s">
        <v>26</v>
      </c>
    </row>
    <row r="4773" spans="1:14" ht="15" customHeight="1" x14ac:dyDescent="0.3">
      <c r="A4773" s="18" t="s">
        <v>8824</v>
      </c>
      <c r="B4773" s="19" t="s">
        <v>15</v>
      </c>
      <c r="C4773" s="18" t="s">
        <v>210</v>
      </c>
      <c r="D4773" s="18" t="s">
        <v>116</v>
      </c>
      <c r="E4773" s="18" t="s">
        <v>55</v>
      </c>
      <c r="F4773" s="18" t="s">
        <v>9221</v>
      </c>
      <c r="G4773" s="18" t="s">
        <v>1019</v>
      </c>
      <c r="H4773" s="18" t="s">
        <v>8852</v>
      </c>
      <c r="I4773" s="20" t="s">
        <v>9222</v>
      </c>
      <c r="J4773" s="18" t="s">
        <v>58</v>
      </c>
      <c r="K4773" s="18" t="s">
        <v>24</v>
      </c>
      <c r="L4773" s="18" t="s">
        <v>25</v>
      </c>
      <c r="N4773" s="18" t="s">
        <v>26</v>
      </c>
    </row>
    <row r="4774" spans="1:14" ht="15" customHeight="1" x14ac:dyDescent="0.3">
      <c r="A4774" s="18" t="s">
        <v>8824</v>
      </c>
      <c r="B4774" s="19" t="s">
        <v>15</v>
      </c>
      <c r="C4774" s="18" t="s">
        <v>210</v>
      </c>
      <c r="D4774" s="18" t="s">
        <v>116</v>
      </c>
      <c r="E4774" s="18" t="s">
        <v>55</v>
      </c>
      <c r="F4774" s="18" t="s">
        <v>3799</v>
      </c>
      <c r="G4774" s="18" t="s">
        <v>429</v>
      </c>
      <c r="H4774" s="18" t="s">
        <v>8939</v>
      </c>
      <c r="I4774" s="20" t="s">
        <v>9223</v>
      </c>
      <c r="J4774" s="18" t="s">
        <v>58</v>
      </c>
      <c r="K4774" s="18" t="s">
        <v>24</v>
      </c>
      <c r="L4774" s="18" t="s">
        <v>25</v>
      </c>
      <c r="N4774" s="18" t="s">
        <v>26</v>
      </c>
    </row>
    <row r="4775" spans="1:14" ht="15" customHeight="1" x14ac:dyDescent="0.3">
      <c r="A4775" s="18" t="s">
        <v>8824</v>
      </c>
      <c r="B4775" s="19" t="s">
        <v>15</v>
      </c>
      <c r="C4775" s="18" t="s">
        <v>210</v>
      </c>
      <c r="D4775" s="18" t="s">
        <v>116</v>
      </c>
      <c r="E4775" s="18" t="s">
        <v>55</v>
      </c>
      <c r="F4775" s="18" t="s">
        <v>6250</v>
      </c>
      <c r="G4775" s="18" t="s">
        <v>197</v>
      </c>
      <c r="H4775" s="18" t="s">
        <v>8420</v>
      </c>
      <c r="I4775" s="20" t="s">
        <v>9224</v>
      </c>
      <c r="J4775" s="18" t="s">
        <v>58</v>
      </c>
      <c r="K4775" s="18" t="s">
        <v>24</v>
      </c>
      <c r="L4775" s="18" t="s">
        <v>25</v>
      </c>
      <c r="N4775" s="18" t="s">
        <v>26</v>
      </c>
    </row>
    <row r="4776" spans="1:14" ht="15" customHeight="1" x14ac:dyDescent="0.3">
      <c r="A4776" s="18" t="s">
        <v>8824</v>
      </c>
      <c r="B4776" s="19" t="s">
        <v>15</v>
      </c>
      <c r="C4776" s="18" t="s">
        <v>210</v>
      </c>
      <c r="D4776" s="18" t="s">
        <v>116</v>
      </c>
      <c r="E4776" s="18" t="s">
        <v>55</v>
      </c>
      <c r="F4776" s="18" t="s">
        <v>9225</v>
      </c>
      <c r="G4776" s="18" t="s">
        <v>197</v>
      </c>
      <c r="H4776" s="18" t="s">
        <v>8420</v>
      </c>
      <c r="I4776" s="20" t="s">
        <v>9226</v>
      </c>
      <c r="J4776" s="18" t="s">
        <v>58</v>
      </c>
      <c r="K4776" s="18" t="s">
        <v>24</v>
      </c>
      <c r="L4776" s="18" t="s">
        <v>25</v>
      </c>
      <c r="N4776" s="18" t="s">
        <v>26</v>
      </c>
    </row>
    <row r="4777" spans="1:14" ht="15" customHeight="1" x14ac:dyDescent="0.3">
      <c r="A4777" s="18" t="s">
        <v>8824</v>
      </c>
      <c r="B4777" s="19" t="s">
        <v>15</v>
      </c>
      <c r="C4777" s="18" t="s">
        <v>210</v>
      </c>
      <c r="D4777" s="18" t="s">
        <v>116</v>
      </c>
      <c r="E4777" s="18" t="s">
        <v>55</v>
      </c>
      <c r="F4777" s="18" t="s">
        <v>8682</v>
      </c>
      <c r="G4777" s="18" t="s">
        <v>197</v>
      </c>
      <c r="H4777" s="18" t="s">
        <v>8420</v>
      </c>
      <c r="I4777" s="20" t="s">
        <v>9227</v>
      </c>
      <c r="J4777" s="18" t="s">
        <v>58</v>
      </c>
      <c r="K4777" s="18" t="s">
        <v>24</v>
      </c>
      <c r="L4777" s="18" t="s">
        <v>25</v>
      </c>
      <c r="N4777" s="18" t="s">
        <v>26</v>
      </c>
    </row>
    <row r="4778" spans="1:14" ht="15" customHeight="1" x14ac:dyDescent="0.3">
      <c r="A4778" s="18" t="s">
        <v>8824</v>
      </c>
      <c r="B4778" s="19" t="s">
        <v>15</v>
      </c>
      <c r="C4778" s="18" t="s">
        <v>210</v>
      </c>
      <c r="D4778" s="18" t="s">
        <v>116</v>
      </c>
      <c r="E4778" s="18" t="s">
        <v>55</v>
      </c>
      <c r="F4778" s="18" t="s">
        <v>9228</v>
      </c>
      <c r="G4778" s="18" t="s">
        <v>197</v>
      </c>
      <c r="H4778" s="18" t="s">
        <v>8420</v>
      </c>
      <c r="I4778" s="20" t="s">
        <v>9229</v>
      </c>
      <c r="J4778" s="18" t="s">
        <v>58</v>
      </c>
      <c r="K4778" s="18" t="s">
        <v>24</v>
      </c>
      <c r="L4778" s="18" t="s">
        <v>25</v>
      </c>
      <c r="N4778" s="18" t="s">
        <v>26</v>
      </c>
    </row>
    <row r="4779" spans="1:14" ht="15" customHeight="1" x14ac:dyDescent="0.3">
      <c r="A4779" s="18" t="s">
        <v>8824</v>
      </c>
      <c r="B4779" s="19" t="s">
        <v>15</v>
      </c>
      <c r="C4779" s="18" t="s">
        <v>210</v>
      </c>
      <c r="D4779" s="18" t="s">
        <v>116</v>
      </c>
      <c r="E4779" s="18" t="s">
        <v>55</v>
      </c>
      <c r="F4779" s="18" t="s">
        <v>9230</v>
      </c>
      <c r="G4779" s="18" t="s">
        <v>197</v>
      </c>
      <c r="H4779" s="18" t="s">
        <v>8420</v>
      </c>
      <c r="I4779" s="20" t="s">
        <v>9231</v>
      </c>
      <c r="J4779" s="18" t="s">
        <v>58</v>
      </c>
      <c r="K4779" s="18" t="s">
        <v>24</v>
      </c>
      <c r="L4779" s="18" t="s">
        <v>25</v>
      </c>
      <c r="N4779" s="18" t="s">
        <v>26</v>
      </c>
    </row>
    <row r="4780" spans="1:14" ht="15" customHeight="1" x14ac:dyDescent="0.3">
      <c r="A4780" s="18" t="s">
        <v>8824</v>
      </c>
      <c r="B4780" s="19" t="s">
        <v>15</v>
      </c>
      <c r="C4780" s="18" t="s">
        <v>210</v>
      </c>
      <c r="D4780" s="18" t="s">
        <v>116</v>
      </c>
      <c r="E4780" s="18" t="s">
        <v>55</v>
      </c>
      <c r="F4780" s="18" t="s">
        <v>9232</v>
      </c>
      <c r="G4780" s="18" t="s">
        <v>6432</v>
      </c>
      <c r="H4780" s="18" t="s">
        <v>8159</v>
      </c>
      <c r="I4780" s="20" t="s">
        <v>9233</v>
      </c>
      <c r="J4780" s="18" t="s">
        <v>58</v>
      </c>
      <c r="K4780" s="18" t="s">
        <v>24</v>
      </c>
      <c r="L4780" s="18" t="s">
        <v>25</v>
      </c>
      <c r="N4780" s="18" t="s">
        <v>26</v>
      </c>
    </row>
    <row r="4781" spans="1:14" ht="15" customHeight="1" x14ac:dyDescent="0.3">
      <c r="A4781" s="18" t="s">
        <v>8824</v>
      </c>
      <c r="B4781" s="19" t="s">
        <v>15</v>
      </c>
      <c r="C4781" s="18" t="s">
        <v>210</v>
      </c>
      <c r="D4781" s="18" t="s">
        <v>116</v>
      </c>
      <c r="E4781" s="18" t="s">
        <v>55</v>
      </c>
      <c r="F4781" s="18" t="s">
        <v>9234</v>
      </c>
      <c r="G4781" s="18" t="s">
        <v>423</v>
      </c>
      <c r="H4781" s="18" t="s">
        <v>8559</v>
      </c>
      <c r="I4781" s="20" t="s">
        <v>9235</v>
      </c>
      <c r="J4781" s="18" t="s">
        <v>58</v>
      </c>
      <c r="K4781" s="18" t="s">
        <v>24</v>
      </c>
      <c r="L4781" s="18" t="s">
        <v>25</v>
      </c>
      <c r="N4781" s="18" t="s">
        <v>26</v>
      </c>
    </row>
    <row r="4782" spans="1:14" ht="15" customHeight="1" x14ac:dyDescent="0.3">
      <c r="A4782" s="18" t="s">
        <v>8824</v>
      </c>
      <c r="B4782" s="19" t="s">
        <v>15</v>
      </c>
      <c r="C4782" s="18" t="s">
        <v>210</v>
      </c>
      <c r="D4782" s="18" t="s">
        <v>116</v>
      </c>
      <c r="E4782" s="18" t="s">
        <v>55</v>
      </c>
      <c r="F4782" s="18" t="s">
        <v>6295</v>
      </c>
      <c r="G4782" s="18" t="s">
        <v>47</v>
      </c>
      <c r="H4782" s="18" t="s">
        <v>8867</v>
      </c>
      <c r="I4782" s="20" t="s">
        <v>9236</v>
      </c>
      <c r="J4782" s="18" t="s">
        <v>58</v>
      </c>
      <c r="K4782" s="18" t="s">
        <v>24</v>
      </c>
      <c r="L4782" s="18" t="s">
        <v>25</v>
      </c>
      <c r="N4782" s="18" t="s">
        <v>26</v>
      </c>
    </row>
    <row r="4783" spans="1:14" ht="15" customHeight="1" x14ac:dyDescent="0.3">
      <c r="A4783" s="18" t="s">
        <v>8824</v>
      </c>
      <c r="B4783" s="19" t="s">
        <v>15</v>
      </c>
      <c r="C4783" s="18" t="s">
        <v>210</v>
      </c>
      <c r="D4783" s="18" t="s">
        <v>116</v>
      </c>
      <c r="E4783" s="18" t="s">
        <v>55</v>
      </c>
      <c r="F4783" s="18" t="s">
        <v>1587</v>
      </c>
      <c r="G4783" s="18" t="s">
        <v>47</v>
      </c>
      <c r="H4783" s="18" t="s">
        <v>8159</v>
      </c>
      <c r="I4783" s="20" t="s">
        <v>9237</v>
      </c>
      <c r="J4783" s="18" t="s">
        <v>58</v>
      </c>
      <c r="K4783" s="18" t="s">
        <v>24</v>
      </c>
      <c r="L4783" s="18" t="s">
        <v>25</v>
      </c>
      <c r="N4783" s="18" t="s">
        <v>26</v>
      </c>
    </row>
    <row r="4784" spans="1:14" ht="15" customHeight="1" x14ac:dyDescent="0.3">
      <c r="A4784" s="18" t="s">
        <v>8824</v>
      </c>
      <c r="B4784" s="19" t="s">
        <v>15</v>
      </c>
      <c r="C4784" s="18" t="s">
        <v>210</v>
      </c>
      <c r="D4784" s="18" t="s">
        <v>116</v>
      </c>
      <c r="E4784" s="18" t="s">
        <v>55</v>
      </c>
      <c r="F4784" s="18" t="s">
        <v>9238</v>
      </c>
      <c r="G4784" s="18" t="s">
        <v>7647</v>
      </c>
      <c r="H4784" s="18" t="s">
        <v>8159</v>
      </c>
      <c r="I4784" s="20" t="s">
        <v>9239</v>
      </c>
      <c r="J4784" s="18" t="s">
        <v>58</v>
      </c>
      <c r="K4784" s="18" t="s">
        <v>24</v>
      </c>
      <c r="L4784" s="18" t="s">
        <v>25</v>
      </c>
      <c r="N4784" s="18" t="s">
        <v>26</v>
      </c>
    </row>
    <row r="4785" spans="1:14" ht="15" customHeight="1" x14ac:dyDescent="0.3">
      <c r="A4785" s="18" t="s">
        <v>8824</v>
      </c>
      <c r="B4785" s="19" t="s">
        <v>15</v>
      </c>
      <c r="C4785" s="18" t="s">
        <v>210</v>
      </c>
      <c r="D4785" s="18" t="s">
        <v>116</v>
      </c>
      <c r="E4785" s="18" t="s">
        <v>55</v>
      </c>
      <c r="F4785" s="18" t="s">
        <v>9240</v>
      </c>
      <c r="G4785" s="18" t="s">
        <v>7647</v>
      </c>
      <c r="H4785" s="18" t="s">
        <v>8159</v>
      </c>
      <c r="I4785" s="20" t="s">
        <v>9241</v>
      </c>
      <c r="J4785" s="18" t="s">
        <v>58</v>
      </c>
      <c r="K4785" s="18" t="s">
        <v>24</v>
      </c>
      <c r="L4785" s="18" t="s">
        <v>25</v>
      </c>
      <c r="N4785" s="18" t="s">
        <v>26</v>
      </c>
    </row>
    <row r="4786" spans="1:14" ht="15" customHeight="1" x14ac:dyDescent="0.3">
      <c r="A4786" s="18" t="s">
        <v>8824</v>
      </c>
      <c r="B4786" s="19" t="s">
        <v>15</v>
      </c>
      <c r="C4786" s="18" t="s">
        <v>210</v>
      </c>
      <c r="D4786" s="18" t="s">
        <v>116</v>
      </c>
      <c r="E4786" s="18" t="s">
        <v>55</v>
      </c>
      <c r="F4786" s="18" t="s">
        <v>9242</v>
      </c>
      <c r="G4786" s="18" t="s">
        <v>6250</v>
      </c>
      <c r="H4786" s="18" t="s">
        <v>8416</v>
      </c>
      <c r="I4786" s="20" t="s">
        <v>9243</v>
      </c>
      <c r="J4786" s="18" t="s">
        <v>58</v>
      </c>
      <c r="K4786" s="18" t="s">
        <v>24</v>
      </c>
      <c r="L4786" s="18" t="s">
        <v>25</v>
      </c>
      <c r="N4786" s="18" t="s">
        <v>26</v>
      </c>
    </row>
    <row r="4787" spans="1:14" ht="15" customHeight="1" x14ac:dyDescent="0.3">
      <c r="A4787" s="18" t="s">
        <v>8824</v>
      </c>
      <c r="B4787" s="19" t="s">
        <v>15</v>
      </c>
      <c r="C4787" s="18" t="s">
        <v>210</v>
      </c>
      <c r="D4787" s="18" t="s">
        <v>116</v>
      </c>
      <c r="E4787" s="18" t="s">
        <v>55</v>
      </c>
      <c r="F4787" s="18" t="s">
        <v>9244</v>
      </c>
      <c r="G4787" s="18" t="s">
        <v>80</v>
      </c>
      <c r="H4787" s="18" t="s">
        <v>8429</v>
      </c>
      <c r="I4787" s="20" t="s">
        <v>9245</v>
      </c>
      <c r="J4787" s="18" t="s">
        <v>58</v>
      </c>
      <c r="K4787" s="18" t="s">
        <v>24</v>
      </c>
      <c r="L4787" s="18" t="s">
        <v>25</v>
      </c>
      <c r="M4787" s="18" t="s">
        <v>39</v>
      </c>
      <c r="N4787" s="18" t="s">
        <v>26</v>
      </c>
    </row>
    <row r="4788" spans="1:14" ht="15" customHeight="1" x14ac:dyDescent="0.3">
      <c r="A4788" s="18" t="s">
        <v>8824</v>
      </c>
      <c r="B4788" s="19" t="s">
        <v>15</v>
      </c>
      <c r="C4788" s="18" t="s">
        <v>210</v>
      </c>
      <c r="D4788" s="18" t="s">
        <v>116</v>
      </c>
      <c r="E4788" s="18" t="s">
        <v>55</v>
      </c>
      <c r="F4788" s="18" t="s">
        <v>7855</v>
      </c>
      <c r="G4788" s="18" t="s">
        <v>423</v>
      </c>
      <c r="H4788" s="18" t="s">
        <v>8559</v>
      </c>
      <c r="I4788" s="20" t="s">
        <v>9246</v>
      </c>
      <c r="J4788" s="18" t="s">
        <v>58</v>
      </c>
      <c r="K4788" s="18" t="s">
        <v>24</v>
      </c>
      <c r="L4788" s="18" t="s">
        <v>25</v>
      </c>
      <c r="N4788" s="18" t="s">
        <v>26</v>
      </c>
    </row>
    <row r="4789" spans="1:14" ht="15" customHeight="1" x14ac:dyDescent="0.3">
      <c r="A4789" s="18" t="s">
        <v>8824</v>
      </c>
      <c r="B4789" s="19" t="s">
        <v>15</v>
      </c>
      <c r="C4789" s="18" t="s">
        <v>210</v>
      </c>
      <c r="D4789" s="18" t="s">
        <v>116</v>
      </c>
      <c r="E4789" s="18" t="s">
        <v>55</v>
      </c>
      <c r="F4789" s="18" t="s">
        <v>9247</v>
      </c>
      <c r="G4789" s="18" t="s">
        <v>423</v>
      </c>
      <c r="H4789" s="18" t="s">
        <v>8559</v>
      </c>
      <c r="I4789" s="20" t="s">
        <v>9248</v>
      </c>
      <c r="J4789" s="18" t="s">
        <v>58</v>
      </c>
      <c r="K4789" s="18" t="s">
        <v>24</v>
      </c>
      <c r="L4789" s="18" t="s">
        <v>25</v>
      </c>
      <c r="N4789" s="18" t="s">
        <v>26</v>
      </c>
    </row>
    <row r="4790" spans="1:14" ht="15" customHeight="1" x14ac:dyDescent="0.3">
      <c r="A4790" s="18" t="s">
        <v>8824</v>
      </c>
      <c r="B4790" s="19" t="s">
        <v>15</v>
      </c>
      <c r="C4790" s="18" t="s">
        <v>210</v>
      </c>
      <c r="D4790" s="18" t="s">
        <v>116</v>
      </c>
      <c r="E4790" s="18" t="s">
        <v>55</v>
      </c>
      <c r="F4790" s="18" t="s">
        <v>9249</v>
      </c>
      <c r="G4790" s="18" t="s">
        <v>305</v>
      </c>
      <c r="H4790" s="18" t="s">
        <v>9250</v>
      </c>
      <c r="I4790" s="20" t="s">
        <v>9251</v>
      </c>
      <c r="J4790" s="18" t="s">
        <v>58</v>
      </c>
      <c r="K4790" s="18" t="s">
        <v>24</v>
      </c>
      <c r="L4790" s="18" t="s">
        <v>25</v>
      </c>
      <c r="N4790" s="18" t="s">
        <v>26</v>
      </c>
    </row>
    <row r="4791" spans="1:14" ht="15" customHeight="1" x14ac:dyDescent="0.3">
      <c r="A4791" s="18" t="s">
        <v>8824</v>
      </c>
      <c r="B4791" s="19" t="s">
        <v>15</v>
      </c>
      <c r="C4791" s="18" t="s">
        <v>210</v>
      </c>
      <c r="D4791" s="18" t="s">
        <v>116</v>
      </c>
      <c r="E4791" s="18" t="s">
        <v>55</v>
      </c>
      <c r="F4791" s="18" t="s">
        <v>9252</v>
      </c>
      <c r="G4791" s="18" t="s">
        <v>7668</v>
      </c>
      <c r="H4791" s="18" t="s">
        <v>8930</v>
      </c>
      <c r="I4791" s="20" t="s">
        <v>9253</v>
      </c>
      <c r="J4791" s="18" t="s">
        <v>58</v>
      </c>
      <c r="K4791" s="18" t="s">
        <v>24</v>
      </c>
      <c r="L4791" s="18" t="s">
        <v>25</v>
      </c>
      <c r="N4791" s="18" t="s">
        <v>26</v>
      </c>
    </row>
    <row r="4792" spans="1:14" ht="15" customHeight="1" x14ac:dyDescent="0.3">
      <c r="A4792" s="18" t="s">
        <v>8824</v>
      </c>
      <c r="B4792" s="19" t="s">
        <v>15</v>
      </c>
      <c r="C4792" s="18" t="s">
        <v>210</v>
      </c>
      <c r="D4792" s="18" t="s">
        <v>116</v>
      </c>
      <c r="E4792" s="18" t="s">
        <v>55</v>
      </c>
      <c r="F4792" s="18" t="s">
        <v>9254</v>
      </c>
      <c r="G4792" s="18" t="s">
        <v>8847</v>
      </c>
      <c r="H4792" s="18" t="s">
        <v>8420</v>
      </c>
      <c r="I4792" s="20" t="s">
        <v>9255</v>
      </c>
      <c r="J4792" s="18" t="s">
        <v>58</v>
      </c>
      <c r="K4792" s="18" t="s">
        <v>24</v>
      </c>
      <c r="L4792" s="18" t="s">
        <v>25</v>
      </c>
      <c r="N4792" s="18" t="s">
        <v>26</v>
      </c>
    </row>
    <row r="4793" spans="1:14" ht="15" customHeight="1" x14ac:dyDescent="0.3">
      <c r="A4793" s="18" t="s">
        <v>8824</v>
      </c>
      <c r="B4793" s="19" t="s">
        <v>15</v>
      </c>
      <c r="C4793" s="18" t="s">
        <v>210</v>
      </c>
      <c r="D4793" s="18" t="s">
        <v>116</v>
      </c>
      <c r="E4793" s="18" t="s">
        <v>55</v>
      </c>
      <c r="F4793" s="18" t="s">
        <v>9256</v>
      </c>
      <c r="G4793" s="18" t="s">
        <v>9257</v>
      </c>
      <c r="H4793" s="18" t="s">
        <v>8420</v>
      </c>
      <c r="I4793" s="20" t="s">
        <v>9258</v>
      </c>
      <c r="J4793" s="18" t="s">
        <v>58</v>
      </c>
      <c r="K4793" s="18" t="s">
        <v>24</v>
      </c>
      <c r="L4793" s="18" t="s">
        <v>25</v>
      </c>
      <c r="N4793" s="18" t="s">
        <v>26</v>
      </c>
    </row>
    <row r="4794" spans="1:14" ht="15" customHeight="1" x14ac:dyDescent="0.3">
      <c r="A4794" s="18" t="s">
        <v>8824</v>
      </c>
      <c r="B4794" s="19" t="s">
        <v>15</v>
      </c>
      <c r="C4794" s="18" t="s">
        <v>210</v>
      </c>
      <c r="D4794" s="18" t="s">
        <v>116</v>
      </c>
      <c r="E4794" s="18" t="s">
        <v>55</v>
      </c>
      <c r="F4794" s="18" t="s">
        <v>9259</v>
      </c>
      <c r="G4794" s="18" t="s">
        <v>8847</v>
      </c>
      <c r="H4794" s="18" t="s">
        <v>8420</v>
      </c>
      <c r="I4794" s="20" t="s">
        <v>9260</v>
      </c>
      <c r="J4794" s="18" t="s">
        <v>58</v>
      </c>
      <c r="K4794" s="18" t="s">
        <v>24</v>
      </c>
      <c r="L4794" s="18" t="s">
        <v>25</v>
      </c>
      <c r="N4794" s="18" t="s">
        <v>26</v>
      </c>
    </row>
    <row r="4795" spans="1:14" ht="15" customHeight="1" x14ac:dyDescent="0.3">
      <c r="A4795" s="18" t="s">
        <v>8824</v>
      </c>
      <c r="B4795" s="19" t="s">
        <v>15</v>
      </c>
      <c r="C4795" s="18" t="s">
        <v>210</v>
      </c>
      <c r="D4795" s="18" t="s">
        <v>116</v>
      </c>
      <c r="E4795" s="18" t="s">
        <v>55</v>
      </c>
      <c r="F4795" s="18" t="s">
        <v>1832</v>
      </c>
      <c r="G4795" s="18" t="s">
        <v>219</v>
      </c>
      <c r="H4795" s="18" t="s">
        <v>8930</v>
      </c>
      <c r="I4795" s="20" t="s">
        <v>9261</v>
      </c>
      <c r="J4795" s="18" t="s">
        <v>58</v>
      </c>
      <c r="K4795" s="18" t="s">
        <v>24</v>
      </c>
      <c r="L4795" s="18" t="s">
        <v>25</v>
      </c>
      <c r="N4795" s="18" t="s">
        <v>26</v>
      </c>
    </row>
    <row r="4796" spans="1:14" ht="15" customHeight="1" x14ac:dyDescent="0.3">
      <c r="A4796" s="18" t="s">
        <v>8824</v>
      </c>
      <c r="B4796" s="19" t="s">
        <v>15</v>
      </c>
      <c r="C4796" s="18" t="s">
        <v>210</v>
      </c>
      <c r="D4796" s="18" t="s">
        <v>116</v>
      </c>
      <c r="E4796" s="18" t="s">
        <v>55</v>
      </c>
      <c r="F4796" s="18" t="s">
        <v>1095</v>
      </c>
      <c r="G4796" s="18" t="s">
        <v>1095</v>
      </c>
      <c r="H4796" s="18" t="s">
        <v>8159</v>
      </c>
      <c r="I4796" s="20" t="s">
        <v>9262</v>
      </c>
      <c r="J4796" s="18" t="s">
        <v>58</v>
      </c>
      <c r="K4796" s="18" t="s">
        <v>24</v>
      </c>
      <c r="L4796" s="18" t="s">
        <v>25</v>
      </c>
      <c r="N4796" s="18" t="s">
        <v>26</v>
      </c>
    </row>
    <row r="4797" spans="1:14" ht="15" customHeight="1" x14ac:dyDescent="0.3">
      <c r="A4797" s="18" t="s">
        <v>8824</v>
      </c>
      <c r="B4797" s="19" t="s">
        <v>15</v>
      </c>
      <c r="C4797" s="18" t="s">
        <v>210</v>
      </c>
      <c r="D4797" s="18" t="s">
        <v>116</v>
      </c>
      <c r="E4797" s="18" t="s">
        <v>55</v>
      </c>
      <c r="F4797" s="18" t="s">
        <v>8947</v>
      </c>
      <c r="G4797" s="18" t="s">
        <v>1095</v>
      </c>
      <c r="H4797" s="18" t="s">
        <v>8867</v>
      </c>
      <c r="I4797" s="20" t="s">
        <v>9263</v>
      </c>
      <c r="J4797" s="18" t="s">
        <v>58</v>
      </c>
      <c r="K4797" s="18" t="s">
        <v>24</v>
      </c>
      <c r="L4797" s="18" t="s">
        <v>25</v>
      </c>
      <c r="N4797" s="18" t="s">
        <v>26</v>
      </c>
    </row>
    <row r="4798" spans="1:14" ht="15" customHeight="1" x14ac:dyDescent="0.3">
      <c r="A4798" s="18" t="s">
        <v>8824</v>
      </c>
      <c r="B4798" s="19" t="s">
        <v>15</v>
      </c>
      <c r="C4798" s="18" t="s">
        <v>210</v>
      </c>
      <c r="D4798" s="18" t="s">
        <v>116</v>
      </c>
      <c r="E4798" s="18" t="s">
        <v>55</v>
      </c>
      <c r="F4798" s="18" t="s">
        <v>9264</v>
      </c>
      <c r="G4798" s="18" t="s">
        <v>1095</v>
      </c>
      <c r="H4798" s="18" t="s">
        <v>8159</v>
      </c>
      <c r="I4798" s="20" t="s">
        <v>9265</v>
      </c>
      <c r="J4798" s="18" t="s">
        <v>58</v>
      </c>
      <c r="K4798" s="18" t="s">
        <v>24</v>
      </c>
      <c r="L4798" s="18" t="s">
        <v>25</v>
      </c>
      <c r="N4798" s="18" t="s">
        <v>26</v>
      </c>
    </row>
    <row r="4799" spans="1:14" ht="15" customHeight="1" x14ac:dyDescent="0.3">
      <c r="A4799" s="18" t="s">
        <v>8824</v>
      </c>
      <c r="B4799" s="19" t="s">
        <v>15</v>
      </c>
      <c r="C4799" s="18" t="s">
        <v>210</v>
      </c>
      <c r="D4799" s="18" t="s">
        <v>116</v>
      </c>
      <c r="E4799" s="18" t="s">
        <v>55</v>
      </c>
      <c r="F4799" s="18" t="s">
        <v>9266</v>
      </c>
      <c r="G4799" s="18" t="s">
        <v>1095</v>
      </c>
      <c r="H4799" s="18" t="s">
        <v>8159</v>
      </c>
      <c r="I4799" s="20" t="s">
        <v>9267</v>
      </c>
      <c r="J4799" s="18" t="s">
        <v>58</v>
      </c>
      <c r="K4799" s="18" t="s">
        <v>24</v>
      </c>
      <c r="L4799" s="18" t="s">
        <v>25</v>
      </c>
      <c r="N4799" s="18" t="s">
        <v>26</v>
      </c>
    </row>
    <row r="4800" spans="1:14" ht="15" customHeight="1" x14ac:dyDescent="0.3">
      <c r="A4800" s="18" t="s">
        <v>8824</v>
      </c>
      <c r="B4800" s="19" t="s">
        <v>15</v>
      </c>
      <c r="C4800" s="18" t="s">
        <v>210</v>
      </c>
      <c r="D4800" s="18" t="s">
        <v>116</v>
      </c>
      <c r="E4800" s="18" t="s">
        <v>55</v>
      </c>
      <c r="F4800" s="18" t="s">
        <v>9268</v>
      </c>
      <c r="G4800" s="18" t="s">
        <v>423</v>
      </c>
      <c r="H4800" s="18" t="s">
        <v>8559</v>
      </c>
      <c r="I4800" s="20" t="s">
        <v>9269</v>
      </c>
      <c r="J4800" s="18" t="s">
        <v>73</v>
      </c>
      <c r="K4800" s="18" t="s">
        <v>24</v>
      </c>
      <c r="L4800" s="18" t="s">
        <v>25</v>
      </c>
      <c r="N4800" s="18" t="s">
        <v>26</v>
      </c>
    </row>
    <row r="4801" spans="1:14" ht="15" customHeight="1" x14ac:dyDescent="0.3">
      <c r="A4801" s="18" t="s">
        <v>8824</v>
      </c>
      <c r="B4801" s="19" t="s">
        <v>15</v>
      </c>
      <c r="C4801" s="18" t="s">
        <v>210</v>
      </c>
      <c r="D4801" s="18" t="s">
        <v>116</v>
      </c>
      <c r="E4801" s="18" t="s">
        <v>55</v>
      </c>
      <c r="F4801" s="18" t="s">
        <v>9270</v>
      </c>
      <c r="G4801" s="18" t="s">
        <v>423</v>
      </c>
      <c r="H4801" s="18" t="s">
        <v>8559</v>
      </c>
      <c r="I4801" s="20" t="s">
        <v>9271</v>
      </c>
      <c r="J4801" s="18" t="s">
        <v>73</v>
      </c>
      <c r="K4801" s="18" t="s">
        <v>24</v>
      </c>
      <c r="L4801" s="18" t="s">
        <v>25</v>
      </c>
      <c r="N4801" s="18" t="s">
        <v>26</v>
      </c>
    </row>
    <row r="4802" spans="1:14" ht="15" customHeight="1" x14ac:dyDescent="0.3">
      <c r="A4802" s="18" t="s">
        <v>8824</v>
      </c>
      <c r="B4802" s="19" t="s">
        <v>15</v>
      </c>
      <c r="C4802" s="18" t="s">
        <v>210</v>
      </c>
      <c r="D4802" s="18" t="s">
        <v>116</v>
      </c>
      <c r="E4802" s="18" t="s">
        <v>55</v>
      </c>
      <c r="F4802" s="18" t="s">
        <v>9272</v>
      </c>
      <c r="G4802" s="18" t="s">
        <v>423</v>
      </c>
      <c r="H4802" s="18" t="s">
        <v>8559</v>
      </c>
      <c r="I4802" s="20" t="s">
        <v>9273</v>
      </c>
      <c r="J4802" s="18" t="s">
        <v>58</v>
      </c>
      <c r="K4802" s="18" t="s">
        <v>24</v>
      </c>
      <c r="L4802" s="18" t="s">
        <v>25</v>
      </c>
      <c r="N4802" s="18" t="s">
        <v>26</v>
      </c>
    </row>
    <row r="4803" spans="1:14" ht="15" customHeight="1" x14ac:dyDescent="0.3">
      <c r="A4803" s="18" t="s">
        <v>8824</v>
      </c>
      <c r="B4803" s="19" t="s">
        <v>15</v>
      </c>
      <c r="C4803" s="18" t="s">
        <v>210</v>
      </c>
      <c r="D4803" s="18" t="s">
        <v>116</v>
      </c>
      <c r="E4803" s="18" t="s">
        <v>55</v>
      </c>
      <c r="F4803" s="18" t="s">
        <v>9274</v>
      </c>
      <c r="G4803" s="18" t="s">
        <v>423</v>
      </c>
      <c r="H4803" s="18" t="s">
        <v>8559</v>
      </c>
      <c r="I4803" s="20" t="s">
        <v>9275</v>
      </c>
      <c r="J4803" s="18" t="s">
        <v>58</v>
      </c>
      <c r="K4803" s="18" t="s">
        <v>24</v>
      </c>
      <c r="L4803" s="18" t="s">
        <v>25</v>
      </c>
      <c r="N4803" s="18" t="s">
        <v>26</v>
      </c>
    </row>
    <row r="4804" spans="1:14" ht="15" customHeight="1" x14ac:dyDescent="0.3">
      <c r="A4804" s="18" t="s">
        <v>8824</v>
      </c>
      <c r="B4804" s="19" t="s">
        <v>15</v>
      </c>
      <c r="C4804" s="18" t="s">
        <v>210</v>
      </c>
      <c r="D4804" s="18" t="s">
        <v>116</v>
      </c>
      <c r="E4804" s="18" t="s">
        <v>55</v>
      </c>
      <c r="F4804" s="18" t="s">
        <v>9276</v>
      </c>
      <c r="G4804" s="18" t="s">
        <v>41</v>
      </c>
      <c r="H4804" s="18" t="s">
        <v>8420</v>
      </c>
      <c r="I4804" s="20" t="s">
        <v>9277</v>
      </c>
      <c r="J4804" s="18" t="s">
        <v>58</v>
      </c>
      <c r="K4804" s="18" t="s">
        <v>24</v>
      </c>
      <c r="L4804" s="18" t="s">
        <v>25</v>
      </c>
      <c r="N4804" s="18" t="s">
        <v>26</v>
      </c>
    </row>
    <row r="4805" spans="1:14" ht="15" customHeight="1" x14ac:dyDescent="0.3">
      <c r="A4805" s="18" t="s">
        <v>8824</v>
      </c>
      <c r="B4805" s="19" t="s">
        <v>15</v>
      </c>
      <c r="C4805" s="18" t="s">
        <v>210</v>
      </c>
      <c r="D4805" s="18" t="s">
        <v>116</v>
      </c>
      <c r="E4805" s="18" t="s">
        <v>55</v>
      </c>
      <c r="F4805" s="18" t="s">
        <v>6451</v>
      </c>
      <c r="G4805" s="18" t="s">
        <v>606</v>
      </c>
      <c r="H4805" s="18" t="s">
        <v>8159</v>
      </c>
      <c r="I4805" s="20" t="s">
        <v>9278</v>
      </c>
      <c r="J4805" s="18" t="s">
        <v>58</v>
      </c>
      <c r="K4805" s="18" t="s">
        <v>24</v>
      </c>
      <c r="L4805" s="18" t="s">
        <v>25</v>
      </c>
      <c r="N4805" s="18" t="s">
        <v>26</v>
      </c>
    </row>
    <row r="4806" spans="1:14" ht="15" customHeight="1" x14ac:dyDescent="0.3">
      <c r="A4806" s="18" t="s">
        <v>8824</v>
      </c>
      <c r="B4806" s="19" t="s">
        <v>15</v>
      </c>
      <c r="C4806" s="18" t="s">
        <v>210</v>
      </c>
      <c r="D4806" s="18" t="s">
        <v>116</v>
      </c>
      <c r="E4806" s="18" t="s">
        <v>55</v>
      </c>
      <c r="F4806" s="18" t="s">
        <v>6613</v>
      </c>
      <c r="G4806" s="18" t="s">
        <v>606</v>
      </c>
      <c r="H4806" s="18" t="s">
        <v>8159</v>
      </c>
      <c r="I4806" s="20" t="s">
        <v>9279</v>
      </c>
      <c r="J4806" s="18" t="s">
        <v>58</v>
      </c>
      <c r="K4806" s="18" t="s">
        <v>24</v>
      </c>
      <c r="L4806" s="18" t="s">
        <v>25</v>
      </c>
      <c r="N4806" s="18" t="s">
        <v>26</v>
      </c>
    </row>
    <row r="4807" spans="1:14" ht="15" customHeight="1" x14ac:dyDescent="0.3">
      <c r="A4807" s="18" t="s">
        <v>8824</v>
      </c>
      <c r="B4807" s="19" t="s">
        <v>15</v>
      </c>
      <c r="C4807" s="18" t="s">
        <v>210</v>
      </c>
      <c r="D4807" s="18" t="s">
        <v>116</v>
      </c>
      <c r="E4807" s="18" t="s">
        <v>55</v>
      </c>
      <c r="F4807" s="18" t="s">
        <v>9280</v>
      </c>
      <c r="G4807" s="18" t="s">
        <v>606</v>
      </c>
      <c r="H4807" s="18" t="s">
        <v>8559</v>
      </c>
      <c r="I4807" s="20" t="s">
        <v>9281</v>
      </c>
      <c r="J4807" s="18" t="s">
        <v>58</v>
      </c>
      <c r="K4807" s="18" t="s">
        <v>24</v>
      </c>
      <c r="L4807" s="18" t="s">
        <v>25</v>
      </c>
      <c r="M4807" s="18" t="s">
        <v>39</v>
      </c>
      <c r="N4807" s="18" t="s">
        <v>26</v>
      </c>
    </row>
    <row r="4808" spans="1:14" ht="15" customHeight="1" x14ac:dyDescent="0.3">
      <c r="A4808" s="18" t="s">
        <v>8824</v>
      </c>
      <c r="B4808" s="19" t="s">
        <v>15</v>
      </c>
      <c r="C4808" s="18" t="s">
        <v>210</v>
      </c>
      <c r="D4808" s="18" t="s">
        <v>116</v>
      </c>
      <c r="E4808" s="18" t="s">
        <v>55</v>
      </c>
      <c r="F4808" s="18" t="s">
        <v>9282</v>
      </c>
      <c r="G4808" s="18" t="s">
        <v>913</v>
      </c>
      <c r="H4808" s="18" t="s">
        <v>9015</v>
      </c>
      <c r="I4808" s="20" t="s">
        <v>9283</v>
      </c>
      <c r="J4808" s="18" t="s">
        <v>199</v>
      </c>
      <c r="K4808" s="18" t="s">
        <v>24</v>
      </c>
      <c r="L4808" s="18" t="s">
        <v>25</v>
      </c>
      <c r="N4808" s="18" t="s">
        <v>26</v>
      </c>
    </row>
    <row r="4809" spans="1:14" ht="15" customHeight="1" x14ac:dyDescent="0.3">
      <c r="A4809" s="18" t="s">
        <v>8824</v>
      </c>
      <c r="B4809" s="19" t="s">
        <v>15</v>
      </c>
      <c r="C4809" s="18" t="s">
        <v>210</v>
      </c>
      <c r="D4809" s="18" t="s">
        <v>116</v>
      </c>
      <c r="E4809" s="18" t="s">
        <v>55</v>
      </c>
      <c r="F4809" s="18" t="s">
        <v>9284</v>
      </c>
      <c r="G4809" s="18" t="s">
        <v>197</v>
      </c>
      <c r="H4809" s="18" t="s">
        <v>8835</v>
      </c>
      <c r="I4809" s="20" t="s">
        <v>9285</v>
      </c>
      <c r="J4809" s="18" t="s">
        <v>58</v>
      </c>
      <c r="K4809" s="18" t="s">
        <v>24</v>
      </c>
      <c r="L4809" s="18" t="s">
        <v>25</v>
      </c>
      <c r="N4809" s="18" t="s">
        <v>26</v>
      </c>
    </row>
    <row r="4810" spans="1:14" ht="15" customHeight="1" x14ac:dyDescent="0.3">
      <c r="A4810" s="18" t="s">
        <v>8824</v>
      </c>
      <c r="B4810" s="19" t="s">
        <v>15</v>
      </c>
      <c r="C4810" s="18" t="s">
        <v>210</v>
      </c>
      <c r="D4810" s="18" t="s">
        <v>116</v>
      </c>
      <c r="E4810" s="18" t="s">
        <v>55</v>
      </c>
      <c r="F4810" s="18" t="s">
        <v>9286</v>
      </c>
      <c r="G4810" s="18" t="s">
        <v>1069</v>
      </c>
      <c r="H4810" s="18" t="s">
        <v>9287</v>
      </c>
      <c r="I4810" s="20" t="s">
        <v>9288</v>
      </c>
      <c r="J4810" s="18" t="s">
        <v>58</v>
      </c>
      <c r="K4810" s="18" t="s">
        <v>24</v>
      </c>
      <c r="L4810" s="18" t="s">
        <v>25</v>
      </c>
      <c r="N4810" s="18" t="s">
        <v>26</v>
      </c>
    </row>
    <row r="4811" spans="1:14" ht="15" customHeight="1" x14ac:dyDescent="0.3">
      <c r="A4811" s="18" t="s">
        <v>8824</v>
      </c>
      <c r="B4811" s="19" t="s">
        <v>15</v>
      </c>
      <c r="C4811" s="18" t="s">
        <v>210</v>
      </c>
      <c r="D4811" s="18" t="s">
        <v>116</v>
      </c>
      <c r="E4811" s="18" t="s">
        <v>55</v>
      </c>
      <c r="F4811" s="18" t="s">
        <v>9289</v>
      </c>
      <c r="G4811" s="18" t="s">
        <v>9290</v>
      </c>
      <c r="H4811" s="18" t="s">
        <v>8159</v>
      </c>
      <c r="I4811" s="20" t="s">
        <v>9291</v>
      </c>
      <c r="J4811" s="18" t="s">
        <v>58</v>
      </c>
      <c r="K4811" s="18" t="s">
        <v>24</v>
      </c>
      <c r="L4811" s="18" t="s">
        <v>25</v>
      </c>
      <c r="N4811" s="18" t="s">
        <v>26</v>
      </c>
    </row>
    <row r="4812" spans="1:14" ht="15" customHeight="1" x14ac:dyDescent="0.3">
      <c r="A4812" s="18" t="s">
        <v>8824</v>
      </c>
      <c r="B4812" s="19" t="s">
        <v>15</v>
      </c>
      <c r="C4812" s="18" t="s">
        <v>210</v>
      </c>
      <c r="D4812" s="18" t="s">
        <v>116</v>
      </c>
      <c r="E4812" s="18" t="s">
        <v>55</v>
      </c>
      <c r="F4812" s="18" t="s">
        <v>9292</v>
      </c>
      <c r="G4812" s="18" t="s">
        <v>606</v>
      </c>
      <c r="H4812" s="18" t="s">
        <v>8559</v>
      </c>
      <c r="I4812" s="20" t="s">
        <v>9293</v>
      </c>
      <c r="J4812" s="18" t="s">
        <v>58</v>
      </c>
      <c r="K4812" s="18" t="s">
        <v>24</v>
      </c>
      <c r="L4812" s="18" t="s">
        <v>25</v>
      </c>
      <c r="N4812" s="18" t="s">
        <v>26</v>
      </c>
    </row>
    <row r="4813" spans="1:14" ht="15" customHeight="1" x14ac:dyDescent="0.3">
      <c r="A4813" s="18" t="s">
        <v>8824</v>
      </c>
      <c r="B4813" s="19" t="s">
        <v>15</v>
      </c>
      <c r="C4813" s="18" t="s">
        <v>210</v>
      </c>
      <c r="D4813" s="18" t="s">
        <v>116</v>
      </c>
      <c r="E4813" s="18" t="s">
        <v>55</v>
      </c>
      <c r="F4813" s="18" t="s">
        <v>8714</v>
      </c>
      <c r="G4813" s="18" t="s">
        <v>197</v>
      </c>
      <c r="H4813" s="18" t="s">
        <v>8958</v>
      </c>
      <c r="I4813" s="20" t="s">
        <v>9294</v>
      </c>
      <c r="J4813" s="18" t="s">
        <v>58</v>
      </c>
      <c r="K4813" s="18" t="s">
        <v>24</v>
      </c>
      <c r="L4813" s="18" t="s">
        <v>25</v>
      </c>
      <c r="M4813" s="18" t="s">
        <v>39</v>
      </c>
      <c r="N4813" s="18" t="s">
        <v>26</v>
      </c>
    </row>
    <row r="4814" spans="1:14" ht="15" customHeight="1" x14ac:dyDescent="0.3">
      <c r="A4814" s="18" t="s">
        <v>8824</v>
      </c>
      <c r="B4814" s="19" t="s">
        <v>15</v>
      </c>
      <c r="C4814" s="18" t="s">
        <v>210</v>
      </c>
      <c r="D4814" s="18" t="s">
        <v>116</v>
      </c>
      <c r="E4814" s="18" t="s">
        <v>55</v>
      </c>
      <c r="F4814" s="18" t="s">
        <v>651</v>
      </c>
      <c r="G4814" s="18" t="s">
        <v>19</v>
      </c>
      <c r="H4814" s="18" t="s">
        <v>8559</v>
      </c>
      <c r="I4814" s="20" t="s">
        <v>9295</v>
      </c>
      <c r="J4814" s="18" t="s">
        <v>73</v>
      </c>
      <c r="K4814" s="18" t="s">
        <v>24</v>
      </c>
      <c r="L4814" s="18" t="s">
        <v>25</v>
      </c>
      <c r="N4814" s="18" t="s">
        <v>26</v>
      </c>
    </row>
    <row r="4815" spans="1:14" ht="15" customHeight="1" x14ac:dyDescent="0.3">
      <c r="A4815" s="18" t="s">
        <v>8824</v>
      </c>
      <c r="B4815" s="19" t="s">
        <v>15</v>
      </c>
      <c r="C4815" s="18" t="s">
        <v>210</v>
      </c>
      <c r="D4815" s="18" t="s">
        <v>116</v>
      </c>
      <c r="E4815" s="18" t="s">
        <v>55</v>
      </c>
      <c r="F4815" s="18" t="s">
        <v>9296</v>
      </c>
      <c r="G4815" s="18" t="s">
        <v>606</v>
      </c>
      <c r="H4815" s="18" t="s">
        <v>8559</v>
      </c>
      <c r="I4815" s="20" t="s">
        <v>9297</v>
      </c>
      <c r="J4815" s="18" t="s">
        <v>58</v>
      </c>
      <c r="K4815" s="18" t="s">
        <v>24</v>
      </c>
      <c r="L4815" s="18" t="s">
        <v>25</v>
      </c>
      <c r="N4815" s="18" t="s">
        <v>26</v>
      </c>
    </row>
    <row r="4816" spans="1:14" ht="15" customHeight="1" x14ac:dyDescent="0.3">
      <c r="A4816" s="18" t="s">
        <v>8824</v>
      </c>
      <c r="B4816" s="19" t="s">
        <v>15</v>
      </c>
      <c r="C4816" s="18" t="s">
        <v>210</v>
      </c>
      <c r="D4816" s="18" t="s">
        <v>116</v>
      </c>
      <c r="E4816" s="18" t="s">
        <v>55</v>
      </c>
      <c r="F4816" s="18" t="s">
        <v>9298</v>
      </c>
      <c r="G4816" s="18" t="s">
        <v>173</v>
      </c>
      <c r="H4816" s="18" t="s">
        <v>8856</v>
      </c>
      <c r="I4816" s="20" t="s">
        <v>9299</v>
      </c>
      <c r="J4816" s="18" t="s">
        <v>58</v>
      </c>
      <c r="K4816" s="18" t="s">
        <v>24</v>
      </c>
      <c r="L4816" s="18" t="s">
        <v>25</v>
      </c>
      <c r="N4816" s="18" t="s">
        <v>26</v>
      </c>
    </row>
    <row r="4817" spans="1:14" ht="15" customHeight="1" x14ac:dyDescent="0.3">
      <c r="A4817" s="18" t="s">
        <v>8824</v>
      </c>
      <c r="B4817" s="19" t="s">
        <v>15</v>
      </c>
      <c r="C4817" s="18" t="s">
        <v>210</v>
      </c>
      <c r="D4817" s="18" t="s">
        <v>116</v>
      </c>
      <c r="E4817" s="18" t="s">
        <v>55</v>
      </c>
      <c r="F4817" s="18" t="s">
        <v>8953</v>
      </c>
      <c r="G4817" s="18" t="s">
        <v>8851</v>
      </c>
      <c r="H4817" s="18" t="s">
        <v>8835</v>
      </c>
      <c r="I4817" s="20" t="s">
        <v>9300</v>
      </c>
      <c r="J4817" s="18" t="s">
        <v>58</v>
      </c>
      <c r="K4817" s="18" t="s">
        <v>24</v>
      </c>
      <c r="L4817" s="18" t="s">
        <v>25</v>
      </c>
      <c r="N4817" s="18" t="s">
        <v>26</v>
      </c>
    </row>
    <row r="4818" spans="1:14" ht="15" customHeight="1" x14ac:dyDescent="0.3">
      <c r="A4818" s="18" t="s">
        <v>8824</v>
      </c>
      <c r="B4818" s="19" t="s">
        <v>15</v>
      </c>
      <c r="C4818" s="18" t="s">
        <v>210</v>
      </c>
      <c r="D4818" s="18" t="s">
        <v>116</v>
      </c>
      <c r="E4818" s="18" t="s">
        <v>55</v>
      </c>
      <c r="F4818" s="18" t="s">
        <v>9301</v>
      </c>
      <c r="G4818" s="18" t="s">
        <v>263</v>
      </c>
      <c r="H4818" s="18" t="s">
        <v>8828</v>
      </c>
      <c r="I4818" s="20" t="s">
        <v>9302</v>
      </c>
      <c r="J4818" s="18" t="s">
        <v>58</v>
      </c>
      <c r="K4818" s="18" t="s">
        <v>24</v>
      </c>
      <c r="L4818" s="18" t="s">
        <v>25</v>
      </c>
      <c r="N4818" s="18" t="s">
        <v>26</v>
      </c>
    </row>
    <row r="4819" spans="1:14" ht="15" customHeight="1" x14ac:dyDescent="0.3">
      <c r="A4819" s="18" t="s">
        <v>8824</v>
      </c>
      <c r="B4819" s="19" t="s">
        <v>15</v>
      </c>
      <c r="C4819" s="18" t="s">
        <v>210</v>
      </c>
      <c r="D4819" s="18" t="s">
        <v>116</v>
      </c>
      <c r="E4819" s="18" t="s">
        <v>55</v>
      </c>
      <c r="F4819" s="18" t="s">
        <v>9303</v>
      </c>
      <c r="G4819" s="18" t="s">
        <v>41</v>
      </c>
      <c r="H4819" s="18" t="s">
        <v>8828</v>
      </c>
      <c r="I4819" s="20" t="s">
        <v>9304</v>
      </c>
      <c r="J4819" s="18" t="s">
        <v>58</v>
      </c>
      <c r="K4819" s="18" t="s">
        <v>24</v>
      </c>
      <c r="L4819" s="18" t="s">
        <v>25</v>
      </c>
      <c r="N4819" s="18" t="s">
        <v>26</v>
      </c>
    </row>
    <row r="4820" spans="1:14" ht="15" customHeight="1" x14ac:dyDescent="0.3">
      <c r="A4820" s="18" t="s">
        <v>8824</v>
      </c>
      <c r="B4820" s="19" t="s">
        <v>15</v>
      </c>
      <c r="C4820" s="18" t="s">
        <v>210</v>
      </c>
      <c r="D4820" s="18" t="s">
        <v>116</v>
      </c>
      <c r="E4820" s="18" t="s">
        <v>55</v>
      </c>
      <c r="F4820" s="18" t="s">
        <v>9305</v>
      </c>
      <c r="G4820" s="18" t="s">
        <v>41</v>
      </c>
      <c r="H4820" s="18" t="s">
        <v>8828</v>
      </c>
      <c r="I4820" s="20" t="s">
        <v>9306</v>
      </c>
      <c r="J4820" s="18" t="s">
        <v>58</v>
      </c>
      <c r="K4820" s="18" t="s">
        <v>24</v>
      </c>
      <c r="L4820" s="18" t="s">
        <v>25</v>
      </c>
      <c r="N4820" s="18" t="s">
        <v>26</v>
      </c>
    </row>
    <row r="4821" spans="1:14" ht="15" customHeight="1" x14ac:dyDescent="0.3">
      <c r="A4821" s="18" t="s">
        <v>8824</v>
      </c>
      <c r="B4821" s="19" t="s">
        <v>15</v>
      </c>
      <c r="C4821" s="18" t="s">
        <v>210</v>
      </c>
      <c r="D4821" s="18" t="s">
        <v>116</v>
      </c>
      <c r="E4821" s="18" t="s">
        <v>55</v>
      </c>
      <c r="F4821" s="18" t="s">
        <v>9307</v>
      </c>
      <c r="G4821" s="18" t="s">
        <v>9308</v>
      </c>
      <c r="H4821" s="18" t="s">
        <v>8420</v>
      </c>
      <c r="I4821" s="20" t="s">
        <v>9309</v>
      </c>
      <c r="J4821" s="18" t="s">
        <v>58</v>
      </c>
      <c r="K4821" s="18" t="s">
        <v>24</v>
      </c>
      <c r="L4821" s="18" t="s">
        <v>25</v>
      </c>
      <c r="N4821" s="18" t="s">
        <v>26</v>
      </c>
    </row>
    <row r="4822" spans="1:14" ht="15" customHeight="1" x14ac:dyDescent="0.3">
      <c r="A4822" s="18" t="s">
        <v>8824</v>
      </c>
      <c r="B4822" s="19" t="s">
        <v>15</v>
      </c>
      <c r="C4822" s="18" t="s">
        <v>210</v>
      </c>
      <c r="D4822" s="18" t="s">
        <v>116</v>
      </c>
      <c r="E4822" s="18" t="s">
        <v>55</v>
      </c>
      <c r="F4822" s="18" t="s">
        <v>9310</v>
      </c>
      <c r="G4822" s="18" t="s">
        <v>3138</v>
      </c>
      <c r="H4822" s="18" t="s">
        <v>8867</v>
      </c>
      <c r="I4822" s="20" t="s">
        <v>9311</v>
      </c>
      <c r="J4822" s="18" t="s">
        <v>58</v>
      </c>
      <c r="K4822" s="18" t="s">
        <v>24</v>
      </c>
      <c r="L4822" s="18" t="s">
        <v>25</v>
      </c>
      <c r="N4822" s="18" t="s">
        <v>26</v>
      </c>
    </row>
    <row r="4823" spans="1:14" ht="15" customHeight="1" x14ac:dyDescent="0.3">
      <c r="A4823" s="18" t="s">
        <v>8824</v>
      </c>
      <c r="B4823" s="19" t="s">
        <v>15</v>
      </c>
      <c r="C4823" s="18" t="s">
        <v>210</v>
      </c>
      <c r="D4823" s="18" t="s">
        <v>116</v>
      </c>
      <c r="E4823" s="18" t="s">
        <v>55</v>
      </c>
      <c r="F4823" s="18" t="s">
        <v>9312</v>
      </c>
      <c r="G4823" s="18" t="s">
        <v>28</v>
      </c>
      <c r="H4823" s="18" t="s">
        <v>8835</v>
      </c>
      <c r="I4823" s="20" t="s">
        <v>9313</v>
      </c>
      <c r="J4823" s="18" t="s">
        <v>58</v>
      </c>
      <c r="K4823" s="18" t="s">
        <v>24</v>
      </c>
      <c r="L4823" s="18" t="s">
        <v>25</v>
      </c>
      <c r="N4823" s="18" t="s">
        <v>26</v>
      </c>
    </row>
    <row r="4824" spans="1:14" ht="15" customHeight="1" x14ac:dyDescent="0.3">
      <c r="A4824" s="18" t="s">
        <v>8824</v>
      </c>
      <c r="B4824" s="19" t="s">
        <v>15</v>
      </c>
      <c r="C4824" s="18" t="s">
        <v>210</v>
      </c>
      <c r="D4824" s="18" t="s">
        <v>116</v>
      </c>
      <c r="E4824" s="18" t="s">
        <v>55</v>
      </c>
      <c r="F4824" s="18" t="s">
        <v>655</v>
      </c>
      <c r="G4824" s="18" t="s">
        <v>340</v>
      </c>
      <c r="H4824" s="18" t="s">
        <v>8958</v>
      </c>
      <c r="I4824" s="20" t="s">
        <v>9314</v>
      </c>
      <c r="J4824" s="18" t="s">
        <v>58</v>
      </c>
      <c r="K4824" s="18" t="s">
        <v>24</v>
      </c>
      <c r="L4824" s="18" t="s">
        <v>25</v>
      </c>
      <c r="N4824" s="18" t="s">
        <v>26</v>
      </c>
    </row>
    <row r="4825" spans="1:14" ht="15" customHeight="1" x14ac:dyDescent="0.3">
      <c r="A4825" s="18" t="s">
        <v>8824</v>
      </c>
      <c r="B4825" s="19" t="s">
        <v>15</v>
      </c>
      <c r="C4825" s="18" t="s">
        <v>210</v>
      </c>
      <c r="D4825" s="18" t="s">
        <v>116</v>
      </c>
      <c r="E4825" s="18" t="s">
        <v>55</v>
      </c>
      <c r="F4825" s="18" t="s">
        <v>9315</v>
      </c>
      <c r="G4825" s="18" t="s">
        <v>340</v>
      </c>
      <c r="H4825" s="18" t="s">
        <v>8958</v>
      </c>
      <c r="I4825" s="20" t="s">
        <v>9316</v>
      </c>
      <c r="J4825" s="18" t="s">
        <v>58</v>
      </c>
      <c r="K4825" s="18" t="s">
        <v>24</v>
      </c>
      <c r="L4825" s="18" t="s">
        <v>25</v>
      </c>
      <c r="N4825" s="18" t="s">
        <v>26</v>
      </c>
    </row>
    <row r="4826" spans="1:14" ht="15" customHeight="1" x14ac:dyDescent="0.3">
      <c r="A4826" s="18" t="s">
        <v>8824</v>
      </c>
      <c r="B4826" s="19" t="s">
        <v>15</v>
      </c>
      <c r="C4826" s="18" t="s">
        <v>210</v>
      </c>
      <c r="D4826" s="18" t="s">
        <v>116</v>
      </c>
      <c r="E4826" s="18" t="s">
        <v>55</v>
      </c>
      <c r="F4826" s="18" t="s">
        <v>9317</v>
      </c>
      <c r="G4826" s="18" t="s">
        <v>340</v>
      </c>
      <c r="H4826" s="18" t="s">
        <v>8958</v>
      </c>
      <c r="I4826" s="20" t="s">
        <v>9318</v>
      </c>
      <c r="J4826" s="18" t="s">
        <v>58</v>
      </c>
      <c r="K4826" s="18" t="s">
        <v>24</v>
      </c>
      <c r="L4826" s="18" t="s">
        <v>25</v>
      </c>
      <c r="N4826" s="18" t="s">
        <v>26</v>
      </c>
    </row>
    <row r="4827" spans="1:14" ht="15" customHeight="1" x14ac:dyDescent="0.3">
      <c r="A4827" s="18" t="s">
        <v>8824</v>
      </c>
      <c r="B4827" s="19" t="s">
        <v>15</v>
      </c>
      <c r="C4827" s="18" t="s">
        <v>210</v>
      </c>
      <c r="D4827" s="18" t="s">
        <v>116</v>
      </c>
      <c r="E4827" s="18" t="s">
        <v>55</v>
      </c>
      <c r="F4827" s="18" t="s">
        <v>9319</v>
      </c>
      <c r="G4827" s="18" t="s">
        <v>1019</v>
      </c>
      <c r="H4827" s="18" t="s">
        <v>8852</v>
      </c>
      <c r="I4827" s="20" t="s">
        <v>9320</v>
      </c>
      <c r="J4827" s="18" t="s">
        <v>58</v>
      </c>
      <c r="K4827" s="18" t="s">
        <v>24</v>
      </c>
      <c r="L4827" s="18" t="s">
        <v>25</v>
      </c>
      <c r="N4827" s="18" t="s">
        <v>26</v>
      </c>
    </row>
    <row r="4828" spans="1:14" ht="15" customHeight="1" x14ac:dyDescent="0.3">
      <c r="A4828" s="18" t="s">
        <v>8824</v>
      </c>
      <c r="B4828" s="19" t="s">
        <v>15</v>
      </c>
      <c r="C4828" s="18" t="s">
        <v>210</v>
      </c>
      <c r="D4828" s="18" t="s">
        <v>116</v>
      </c>
      <c r="E4828" s="18" t="s">
        <v>55</v>
      </c>
      <c r="F4828" s="18" t="s">
        <v>9321</v>
      </c>
      <c r="G4828" s="18" t="s">
        <v>340</v>
      </c>
      <c r="H4828" s="18" t="s">
        <v>8958</v>
      </c>
      <c r="I4828" s="20" t="s">
        <v>9322</v>
      </c>
      <c r="J4828" s="18" t="s">
        <v>58</v>
      </c>
      <c r="K4828" s="18" t="s">
        <v>24</v>
      </c>
      <c r="L4828" s="18" t="s">
        <v>25</v>
      </c>
      <c r="N4828" s="18" t="s">
        <v>26</v>
      </c>
    </row>
    <row r="4829" spans="1:14" ht="15" customHeight="1" x14ac:dyDescent="0.3">
      <c r="A4829" s="18" t="s">
        <v>8824</v>
      </c>
      <c r="B4829" s="19" t="s">
        <v>15</v>
      </c>
      <c r="C4829" s="18" t="s">
        <v>210</v>
      </c>
      <c r="D4829" s="18" t="s">
        <v>116</v>
      </c>
      <c r="E4829" s="18" t="s">
        <v>55</v>
      </c>
      <c r="F4829" s="18" t="s">
        <v>9323</v>
      </c>
      <c r="G4829" s="18" t="s">
        <v>28</v>
      </c>
      <c r="H4829" s="18" t="s">
        <v>8958</v>
      </c>
      <c r="I4829" s="20" t="s">
        <v>9324</v>
      </c>
      <c r="J4829" s="18" t="s">
        <v>58</v>
      </c>
      <c r="K4829" s="18" t="s">
        <v>24</v>
      </c>
      <c r="L4829" s="18" t="s">
        <v>25</v>
      </c>
      <c r="N4829" s="18" t="s">
        <v>26</v>
      </c>
    </row>
    <row r="4830" spans="1:14" ht="15" customHeight="1" x14ac:dyDescent="0.3">
      <c r="A4830" s="18" t="s">
        <v>8824</v>
      </c>
      <c r="B4830" s="19" t="s">
        <v>15</v>
      </c>
      <c r="C4830" s="18" t="s">
        <v>210</v>
      </c>
      <c r="D4830" s="18" t="s">
        <v>116</v>
      </c>
      <c r="E4830" s="18" t="s">
        <v>55</v>
      </c>
      <c r="F4830" s="18" t="s">
        <v>9325</v>
      </c>
      <c r="G4830" s="18" t="s">
        <v>8847</v>
      </c>
      <c r="H4830" s="18" t="s">
        <v>8958</v>
      </c>
      <c r="I4830" s="20" t="s">
        <v>9326</v>
      </c>
      <c r="J4830" s="18" t="s">
        <v>58</v>
      </c>
      <c r="K4830" s="18" t="s">
        <v>24</v>
      </c>
      <c r="L4830" s="18" t="s">
        <v>25</v>
      </c>
      <c r="N4830" s="18" t="s">
        <v>26</v>
      </c>
    </row>
    <row r="4831" spans="1:14" ht="15" customHeight="1" x14ac:dyDescent="0.3">
      <c r="A4831" s="18" t="s">
        <v>8824</v>
      </c>
      <c r="B4831" s="19" t="s">
        <v>15</v>
      </c>
      <c r="C4831" s="18" t="s">
        <v>210</v>
      </c>
      <c r="D4831" s="18" t="s">
        <v>116</v>
      </c>
      <c r="E4831" s="18" t="s">
        <v>55</v>
      </c>
      <c r="F4831" s="18" t="s">
        <v>9327</v>
      </c>
      <c r="G4831" s="18" t="s">
        <v>19</v>
      </c>
      <c r="H4831" s="18" t="s">
        <v>8429</v>
      </c>
      <c r="I4831" s="20" t="s">
        <v>9328</v>
      </c>
      <c r="J4831" s="18" t="s">
        <v>58</v>
      </c>
      <c r="K4831" s="18" t="s">
        <v>24</v>
      </c>
      <c r="L4831" s="18" t="s">
        <v>25</v>
      </c>
      <c r="N4831" s="18" t="s">
        <v>26</v>
      </c>
    </row>
    <row r="4832" spans="1:14" ht="15" customHeight="1" x14ac:dyDescent="0.3">
      <c r="A4832" s="18" t="s">
        <v>8824</v>
      </c>
      <c r="B4832" s="19" t="s">
        <v>15</v>
      </c>
      <c r="C4832" s="18" t="s">
        <v>210</v>
      </c>
      <c r="D4832" s="18" t="s">
        <v>116</v>
      </c>
      <c r="E4832" s="18" t="s">
        <v>55</v>
      </c>
      <c r="F4832" s="18" t="s">
        <v>7647</v>
      </c>
      <c r="G4832" s="18" t="s">
        <v>7647</v>
      </c>
      <c r="H4832" s="18" t="s">
        <v>8159</v>
      </c>
      <c r="I4832" s="20" t="s">
        <v>9329</v>
      </c>
      <c r="J4832" s="18" t="s">
        <v>58</v>
      </c>
      <c r="K4832" s="18" t="s">
        <v>24</v>
      </c>
      <c r="L4832" s="18" t="s">
        <v>25</v>
      </c>
      <c r="N4832" s="18" t="s">
        <v>26</v>
      </c>
    </row>
    <row r="4833" spans="1:14" ht="15" customHeight="1" x14ac:dyDescent="0.3">
      <c r="A4833" s="18" t="s">
        <v>8824</v>
      </c>
      <c r="B4833" s="19" t="s">
        <v>15</v>
      </c>
      <c r="C4833" s="18" t="s">
        <v>210</v>
      </c>
      <c r="D4833" s="18" t="s">
        <v>116</v>
      </c>
      <c r="E4833" s="18" t="s">
        <v>55</v>
      </c>
      <c r="F4833" s="18" t="s">
        <v>9330</v>
      </c>
      <c r="G4833" s="18" t="s">
        <v>80</v>
      </c>
      <c r="H4833" s="18" t="s">
        <v>8429</v>
      </c>
      <c r="I4833" s="20" t="s">
        <v>9331</v>
      </c>
      <c r="J4833" s="18" t="s">
        <v>58</v>
      </c>
      <c r="K4833" s="18" t="s">
        <v>24</v>
      </c>
      <c r="L4833" s="18" t="s">
        <v>25</v>
      </c>
      <c r="N4833" s="18" t="s">
        <v>26</v>
      </c>
    </row>
    <row r="4834" spans="1:14" ht="15" customHeight="1" x14ac:dyDescent="0.3">
      <c r="A4834" s="18" t="s">
        <v>8824</v>
      </c>
      <c r="B4834" s="19" t="s">
        <v>15</v>
      </c>
      <c r="C4834" s="18" t="s">
        <v>210</v>
      </c>
      <c r="D4834" s="18" t="s">
        <v>116</v>
      </c>
      <c r="E4834" s="18" t="s">
        <v>55</v>
      </c>
      <c r="F4834" s="18" t="s">
        <v>9332</v>
      </c>
      <c r="G4834" s="18" t="s">
        <v>423</v>
      </c>
      <c r="H4834" s="18" t="s">
        <v>8559</v>
      </c>
      <c r="I4834" s="20" t="s">
        <v>9333</v>
      </c>
      <c r="J4834" s="18" t="s">
        <v>58</v>
      </c>
      <c r="K4834" s="18" t="s">
        <v>24</v>
      </c>
      <c r="L4834" s="18" t="s">
        <v>25</v>
      </c>
      <c r="N4834" s="18" t="s">
        <v>26</v>
      </c>
    </row>
    <row r="4835" spans="1:14" ht="15" customHeight="1" x14ac:dyDescent="0.3">
      <c r="A4835" s="18" t="s">
        <v>8824</v>
      </c>
      <c r="B4835" s="19" t="s">
        <v>15</v>
      </c>
      <c r="C4835" s="18" t="s">
        <v>210</v>
      </c>
      <c r="D4835" s="18" t="s">
        <v>116</v>
      </c>
      <c r="E4835" s="18" t="s">
        <v>55</v>
      </c>
      <c r="F4835" s="18" t="s">
        <v>8963</v>
      </c>
      <c r="G4835" s="18" t="s">
        <v>1019</v>
      </c>
      <c r="H4835" s="18" t="s">
        <v>8852</v>
      </c>
      <c r="I4835" s="20" t="s">
        <v>9334</v>
      </c>
      <c r="J4835" s="18" t="s">
        <v>58</v>
      </c>
      <c r="K4835" s="18" t="s">
        <v>24</v>
      </c>
      <c r="L4835" s="18" t="s">
        <v>25</v>
      </c>
      <c r="N4835" s="18" t="s">
        <v>26</v>
      </c>
    </row>
    <row r="4836" spans="1:14" ht="15" customHeight="1" x14ac:dyDescent="0.3">
      <c r="A4836" s="18" t="s">
        <v>8824</v>
      </c>
      <c r="B4836" s="19" t="s">
        <v>15</v>
      </c>
      <c r="C4836" s="18" t="s">
        <v>210</v>
      </c>
      <c r="D4836" s="18" t="s">
        <v>116</v>
      </c>
      <c r="E4836" s="18" t="s">
        <v>55</v>
      </c>
      <c r="F4836" s="18" t="s">
        <v>9335</v>
      </c>
      <c r="G4836" s="18" t="s">
        <v>80</v>
      </c>
      <c r="H4836" s="18" t="s">
        <v>8429</v>
      </c>
      <c r="I4836" s="20" t="s">
        <v>9336</v>
      </c>
      <c r="J4836" s="18" t="s">
        <v>58</v>
      </c>
      <c r="K4836" s="18" t="s">
        <v>24</v>
      </c>
      <c r="L4836" s="18" t="s">
        <v>25</v>
      </c>
      <c r="N4836" s="18" t="s">
        <v>26</v>
      </c>
    </row>
    <row r="4837" spans="1:14" ht="15" customHeight="1" x14ac:dyDescent="0.3">
      <c r="A4837" s="18" t="s">
        <v>8824</v>
      </c>
      <c r="B4837" s="19" t="s">
        <v>15</v>
      </c>
      <c r="C4837" s="18" t="s">
        <v>210</v>
      </c>
      <c r="D4837" s="18" t="s">
        <v>116</v>
      </c>
      <c r="E4837" s="18" t="s">
        <v>55</v>
      </c>
      <c r="F4837" s="18" t="s">
        <v>6339</v>
      </c>
      <c r="G4837" s="18" t="s">
        <v>1059</v>
      </c>
      <c r="H4837" s="18" t="s">
        <v>8828</v>
      </c>
      <c r="I4837" s="20" t="s">
        <v>9337</v>
      </c>
      <c r="J4837" s="18" t="s">
        <v>58</v>
      </c>
      <c r="K4837" s="18" t="s">
        <v>24</v>
      </c>
      <c r="L4837" s="18" t="s">
        <v>25</v>
      </c>
      <c r="N4837" s="18" t="s">
        <v>26</v>
      </c>
    </row>
    <row r="4838" spans="1:14" ht="15" customHeight="1" x14ac:dyDescent="0.3">
      <c r="A4838" s="18" t="s">
        <v>8824</v>
      </c>
      <c r="B4838" s="19" t="s">
        <v>15</v>
      </c>
      <c r="C4838" s="18" t="s">
        <v>210</v>
      </c>
      <c r="D4838" s="18" t="s">
        <v>116</v>
      </c>
      <c r="E4838" s="18" t="s">
        <v>55</v>
      </c>
      <c r="F4838" s="18" t="s">
        <v>9338</v>
      </c>
      <c r="G4838" s="18" t="s">
        <v>1019</v>
      </c>
      <c r="H4838" s="18" t="s">
        <v>8852</v>
      </c>
      <c r="I4838" s="20" t="s">
        <v>9339</v>
      </c>
      <c r="J4838" s="18" t="s">
        <v>58</v>
      </c>
      <c r="K4838" s="18" t="s">
        <v>24</v>
      </c>
      <c r="L4838" s="18" t="s">
        <v>25</v>
      </c>
      <c r="N4838" s="18" t="s">
        <v>26</v>
      </c>
    </row>
    <row r="4839" spans="1:14" ht="15" customHeight="1" x14ac:dyDescent="0.3">
      <c r="A4839" s="18" t="s">
        <v>8824</v>
      </c>
      <c r="B4839" s="19" t="s">
        <v>15</v>
      </c>
      <c r="C4839" s="18" t="s">
        <v>210</v>
      </c>
      <c r="D4839" s="18" t="s">
        <v>116</v>
      </c>
      <c r="E4839" s="18" t="s">
        <v>55</v>
      </c>
      <c r="F4839" s="18" t="s">
        <v>9340</v>
      </c>
      <c r="G4839" s="18" t="s">
        <v>1009</v>
      </c>
      <c r="H4839" s="18" t="s">
        <v>8159</v>
      </c>
      <c r="I4839" s="20" t="s">
        <v>9341</v>
      </c>
      <c r="J4839" s="18" t="s">
        <v>58</v>
      </c>
      <c r="K4839" s="18" t="s">
        <v>24</v>
      </c>
      <c r="L4839" s="18" t="s">
        <v>25</v>
      </c>
      <c r="N4839" s="18" t="s">
        <v>26</v>
      </c>
    </row>
    <row r="4840" spans="1:14" ht="15" customHeight="1" x14ac:dyDescent="0.3">
      <c r="A4840" s="18" t="s">
        <v>8824</v>
      </c>
      <c r="B4840" s="19" t="s">
        <v>15</v>
      </c>
      <c r="C4840" s="18" t="s">
        <v>210</v>
      </c>
      <c r="D4840" s="18" t="s">
        <v>116</v>
      </c>
      <c r="E4840" s="18" t="s">
        <v>55</v>
      </c>
      <c r="F4840" s="18" t="s">
        <v>8764</v>
      </c>
      <c r="G4840" s="18" t="s">
        <v>212</v>
      </c>
      <c r="H4840" s="18" t="s">
        <v>8867</v>
      </c>
      <c r="I4840" s="20" t="s">
        <v>9342</v>
      </c>
      <c r="J4840" s="18" t="s">
        <v>58</v>
      </c>
      <c r="K4840" s="18" t="s">
        <v>24</v>
      </c>
      <c r="L4840" s="18" t="s">
        <v>25</v>
      </c>
      <c r="N4840" s="18" t="s">
        <v>26</v>
      </c>
    </row>
    <row r="4841" spans="1:14" ht="15" customHeight="1" x14ac:dyDescent="0.3">
      <c r="A4841" s="18" t="s">
        <v>8824</v>
      </c>
      <c r="B4841" s="19" t="s">
        <v>15</v>
      </c>
      <c r="C4841" s="18" t="s">
        <v>210</v>
      </c>
      <c r="D4841" s="18" t="s">
        <v>116</v>
      </c>
      <c r="E4841" s="18" t="s">
        <v>55</v>
      </c>
      <c r="F4841" s="18" t="s">
        <v>8769</v>
      </c>
      <c r="G4841" s="18" t="s">
        <v>19</v>
      </c>
      <c r="H4841" s="18" t="s">
        <v>9015</v>
      </c>
      <c r="I4841" s="20" t="s">
        <v>9343</v>
      </c>
      <c r="J4841" s="18" t="s">
        <v>58</v>
      </c>
      <c r="K4841" s="18" t="s">
        <v>24</v>
      </c>
      <c r="L4841" s="18" t="s">
        <v>25</v>
      </c>
      <c r="N4841" s="18" t="s">
        <v>26</v>
      </c>
    </row>
    <row r="4842" spans="1:14" ht="15" customHeight="1" x14ac:dyDescent="0.3">
      <c r="A4842" s="18" t="s">
        <v>8824</v>
      </c>
      <c r="B4842" s="19" t="s">
        <v>15</v>
      </c>
      <c r="C4842" s="18" t="s">
        <v>210</v>
      </c>
      <c r="D4842" s="18" t="s">
        <v>116</v>
      </c>
      <c r="E4842" s="18" t="s">
        <v>55</v>
      </c>
      <c r="F4842" s="18" t="s">
        <v>8771</v>
      </c>
      <c r="G4842" s="18" t="s">
        <v>47</v>
      </c>
      <c r="H4842" s="18" t="s">
        <v>8159</v>
      </c>
      <c r="I4842" s="20" t="s">
        <v>9344</v>
      </c>
      <c r="J4842" s="18" t="s">
        <v>58</v>
      </c>
      <c r="K4842" s="18" t="s">
        <v>24</v>
      </c>
      <c r="L4842" s="18" t="s">
        <v>25</v>
      </c>
      <c r="N4842" s="18" t="s">
        <v>26</v>
      </c>
    </row>
    <row r="4843" spans="1:14" ht="15" customHeight="1" x14ac:dyDescent="0.3">
      <c r="A4843" s="18" t="s">
        <v>8824</v>
      </c>
      <c r="B4843" s="19" t="s">
        <v>15</v>
      </c>
      <c r="C4843" s="18" t="s">
        <v>210</v>
      </c>
      <c r="D4843" s="18" t="s">
        <v>116</v>
      </c>
      <c r="E4843" s="18" t="s">
        <v>55</v>
      </c>
      <c r="F4843" s="18" t="s">
        <v>9345</v>
      </c>
      <c r="G4843" s="18" t="s">
        <v>1587</v>
      </c>
      <c r="H4843" s="18" t="s">
        <v>8416</v>
      </c>
      <c r="I4843" s="20" t="s">
        <v>9346</v>
      </c>
      <c r="J4843" s="18" t="s">
        <v>58</v>
      </c>
      <c r="K4843" s="18" t="s">
        <v>24</v>
      </c>
      <c r="L4843" s="18" t="s">
        <v>25</v>
      </c>
      <c r="N4843" s="18" t="s">
        <v>26</v>
      </c>
    </row>
    <row r="4844" spans="1:14" ht="15" customHeight="1" x14ac:dyDescent="0.3">
      <c r="A4844" s="18" t="s">
        <v>8824</v>
      </c>
      <c r="B4844" s="19" t="s">
        <v>15</v>
      </c>
      <c r="C4844" s="18" t="s">
        <v>210</v>
      </c>
      <c r="D4844" s="18" t="s">
        <v>116</v>
      </c>
      <c r="E4844" s="18" t="s">
        <v>55</v>
      </c>
      <c r="F4844" s="18" t="s">
        <v>9347</v>
      </c>
      <c r="G4844" s="18" t="s">
        <v>263</v>
      </c>
      <c r="H4844" s="18" t="s">
        <v>8828</v>
      </c>
      <c r="I4844" s="20" t="s">
        <v>9348</v>
      </c>
      <c r="J4844" s="18" t="s">
        <v>58</v>
      </c>
      <c r="K4844" s="18" t="s">
        <v>24</v>
      </c>
      <c r="L4844" s="18" t="s">
        <v>25</v>
      </c>
      <c r="N4844" s="18" t="s">
        <v>26</v>
      </c>
    </row>
    <row r="4845" spans="1:14" ht="15" customHeight="1" x14ac:dyDescent="0.3">
      <c r="A4845" s="18" t="s">
        <v>8824</v>
      </c>
      <c r="B4845" s="19" t="s">
        <v>15</v>
      </c>
      <c r="C4845" s="18" t="s">
        <v>210</v>
      </c>
      <c r="D4845" s="18" t="s">
        <v>116</v>
      </c>
      <c r="E4845" s="18" t="s">
        <v>55</v>
      </c>
      <c r="F4845" s="18" t="s">
        <v>9349</v>
      </c>
      <c r="G4845" s="18" t="s">
        <v>263</v>
      </c>
      <c r="H4845" s="18" t="s">
        <v>8828</v>
      </c>
      <c r="I4845" s="20" t="s">
        <v>9350</v>
      </c>
      <c r="J4845" s="18" t="s">
        <v>58</v>
      </c>
      <c r="K4845" s="18" t="s">
        <v>24</v>
      </c>
      <c r="L4845" s="18" t="s">
        <v>25</v>
      </c>
      <c r="N4845" s="18" t="s">
        <v>26</v>
      </c>
    </row>
    <row r="4846" spans="1:14" ht="15" customHeight="1" x14ac:dyDescent="0.3">
      <c r="A4846" s="18" t="s">
        <v>8824</v>
      </c>
      <c r="B4846" s="19" t="s">
        <v>15</v>
      </c>
      <c r="C4846" s="18" t="s">
        <v>210</v>
      </c>
      <c r="D4846" s="18" t="s">
        <v>116</v>
      </c>
      <c r="E4846" s="18" t="s">
        <v>55</v>
      </c>
      <c r="F4846" s="18" t="s">
        <v>9351</v>
      </c>
      <c r="G4846" s="18" t="s">
        <v>1069</v>
      </c>
      <c r="H4846" s="18" t="s">
        <v>8825</v>
      </c>
      <c r="I4846" s="20" t="s">
        <v>9352</v>
      </c>
      <c r="J4846" s="18" t="s">
        <v>58</v>
      </c>
      <c r="K4846" s="18" t="s">
        <v>24</v>
      </c>
      <c r="L4846" s="18" t="s">
        <v>25</v>
      </c>
      <c r="N4846" s="18" t="s">
        <v>26</v>
      </c>
    </row>
    <row r="4847" spans="1:14" ht="15" customHeight="1" x14ac:dyDescent="0.3">
      <c r="A4847" s="18" t="s">
        <v>8824</v>
      </c>
      <c r="B4847" s="19" t="s">
        <v>15</v>
      </c>
      <c r="C4847" s="18" t="s">
        <v>210</v>
      </c>
      <c r="D4847" s="18" t="s">
        <v>116</v>
      </c>
      <c r="E4847" s="18" t="s">
        <v>55</v>
      </c>
      <c r="F4847" s="18" t="s">
        <v>9353</v>
      </c>
      <c r="G4847" s="18" t="s">
        <v>1587</v>
      </c>
      <c r="H4847" s="18" t="s">
        <v>8159</v>
      </c>
      <c r="I4847" s="20" t="s">
        <v>9354</v>
      </c>
      <c r="J4847" s="18" t="s">
        <v>58</v>
      </c>
      <c r="K4847" s="18" t="s">
        <v>24</v>
      </c>
      <c r="L4847" s="18" t="s">
        <v>25</v>
      </c>
      <c r="N4847" s="18" t="s">
        <v>26</v>
      </c>
    </row>
    <row r="4848" spans="1:14" ht="15" customHeight="1" x14ac:dyDescent="0.3">
      <c r="A4848" s="18" t="s">
        <v>8824</v>
      </c>
      <c r="B4848" s="19" t="s">
        <v>15</v>
      </c>
      <c r="C4848" s="18" t="s">
        <v>210</v>
      </c>
      <c r="D4848" s="18" t="s">
        <v>116</v>
      </c>
      <c r="E4848" s="18" t="s">
        <v>55</v>
      </c>
      <c r="F4848" s="18" t="s">
        <v>9355</v>
      </c>
      <c r="G4848" s="18" t="s">
        <v>1211</v>
      </c>
      <c r="H4848" s="18" t="s">
        <v>8833</v>
      </c>
      <c r="I4848" s="20" t="s">
        <v>9356</v>
      </c>
      <c r="J4848" s="18" t="s">
        <v>58</v>
      </c>
      <c r="K4848" s="18" t="s">
        <v>24</v>
      </c>
      <c r="L4848" s="18" t="s">
        <v>25</v>
      </c>
      <c r="N4848" s="18" t="s">
        <v>26</v>
      </c>
    </row>
    <row r="4849" spans="1:14" ht="15" customHeight="1" x14ac:dyDescent="0.3">
      <c r="A4849" s="18" t="s">
        <v>8824</v>
      </c>
      <c r="B4849" s="19" t="s">
        <v>15</v>
      </c>
      <c r="C4849" s="18" t="s">
        <v>210</v>
      </c>
      <c r="D4849" s="18" t="s">
        <v>116</v>
      </c>
      <c r="E4849" s="18" t="s">
        <v>55</v>
      </c>
      <c r="F4849" s="18" t="s">
        <v>9357</v>
      </c>
      <c r="G4849" s="18" t="s">
        <v>51</v>
      </c>
      <c r="H4849" s="18" t="s">
        <v>8867</v>
      </c>
      <c r="I4849" s="20" t="s">
        <v>9358</v>
      </c>
      <c r="J4849" s="18" t="s">
        <v>58</v>
      </c>
      <c r="K4849" s="18" t="s">
        <v>24</v>
      </c>
      <c r="L4849" s="18" t="s">
        <v>25</v>
      </c>
      <c r="N4849" s="18" t="s">
        <v>26</v>
      </c>
    </row>
    <row r="4850" spans="1:14" ht="15" customHeight="1" x14ac:dyDescent="0.3">
      <c r="A4850" s="18" t="s">
        <v>8824</v>
      </c>
      <c r="B4850" s="19" t="s">
        <v>15</v>
      </c>
      <c r="C4850" s="18" t="s">
        <v>210</v>
      </c>
      <c r="D4850" s="18" t="s">
        <v>116</v>
      </c>
      <c r="E4850" s="18" t="s">
        <v>55</v>
      </c>
      <c r="F4850" s="18" t="s">
        <v>9359</v>
      </c>
      <c r="G4850" s="18" t="s">
        <v>1055</v>
      </c>
      <c r="H4850" s="18" t="s">
        <v>8828</v>
      </c>
      <c r="I4850" s="20" t="s">
        <v>9360</v>
      </c>
      <c r="J4850" s="18" t="s">
        <v>58</v>
      </c>
      <c r="K4850" s="18" t="s">
        <v>24</v>
      </c>
      <c r="L4850" s="18" t="s">
        <v>25</v>
      </c>
      <c r="N4850" s="18" t="s">
        <v>26</v>
      </c>
    </row>
    <row r="4851" spans="1:14" ht="15" customHeight="1" x14ac:dyDescent="0.3">
      <c r="A4851" s="18" t="s">
        <v>8824</v>
      </c>
      <c r="B4851" s="19" t="s">
        <v>15</v>
      </c>
      <c r="C4851" s="18" t="s">
        <v>210</v>
      </c>
      <c r="D4851" s="18" t="s">
        <v>116</v>
      </c>
      <c r="E4851" s="18" t="s">
        <v>55</v>
      </c>
      <c r="F4851" s="18" t="s">
        <v>1104</v>
      </c>
      <c r="G4851" s="18" t="s">
        <v>1055</v>
      </c>
      <c r="H4851" s="18" t="s">
        <v>8828</v>
      </c>
      <c r="I4851" s="20" t="s">
        <v>9361</v>
      </c>
      <c r="J4851" s="18" t="s">
        <v>58</v>
      </c>
      <c r="K4851" s="18" t="s">
        <v>24</v>
      </c>
      <c r="L4851" s="18" t="s">
        <v>25</v>
      </c>
      <c r="N4851" s="18" t="s">
        <v>26</v>
      </c>
    </row>
    <row r="4852" spans="1:14" ht="15" customHeight="1" x14ac:dyDescent="0.3">
      <c r="A4852" s="18" t="s">
        <v>8824</v>
      </c>
      <c r="B4852" s="19" t="s">
        <v>15</v>
      </c>
      <c r="C4852" s="18" t="s">
        <v>210</v>
      </c>
      <c r="D4852" s="18" t="s">
        <v>116</v>
      </c>
      <c r="E4852" s="18" t="s">
        <v>55</v>
      </c>
      <c r="F4852" s="18" t="s">
        <v>9362</v>
      </c>
      <c r="G4852" s="18" t="s">
        <v>1055</v>
      </c>
      <c r="H4852" s="18" t="s">
        <v>8828</v>
      </c>
      <c r="I4852" s="20" t="s">
        <v>9363</v>
      </c>
      <c r="J4852" s="18" t="s">
        <v>58</v>
      </c>
      <c r="K4852" s="18" t="s">
        <v>24</v>
      </c>
      <c r="L4852" s="18" t="s">
        <v>25</v>
      </c>
      <c r="N4852" s="18" t="s">
        <v>26</v>
      </c>
    </row>
    <row r="4853" spans="1:14" ht="15" customHeight="1" x14ac:dyDescent="0.3">
      <c r="A4853" s="18" t="s">
        <v>8824</v>
      </c>
      <c r="B4853" s="19" t="s">
        <v>15</v>
      </c>
      <c r="C4853" s="18" t="s">
        <v>210</v>
      </c>
      <c r="D4853" s="18" t="s">
        <v>116</v>
      </c>
      <c r="E4853" s="18" t="s">
        <v>55</v>
      </c>
      <c r="F4853" s="18" t="s">
        <v>9364</v>
      </c>
      <c r="G4853" s="18" t="s">
        <v>7668</v>
      </c>
      <c r="H4853" s="18" t="s">
        <v>8159</v>
      </c>
      <c r="I4853" s="20" t="s">
        <v>9365</v>
      </c>
      <c r="J4853" s="18" t="s">
        <v>58</v>
      </c>
      <c r="K4853" s="18" t="s">
        <v>24</v>
      </c>
      <c r="L4853" s="18" t="s">
        <v>25</v>
      </c>
      <c r="N4853" s="18" t="s">
        <v>26</v>
      </c>
    </row>
    <row r="4854" spans="1:14" ht="15" customHeight="1" x14ac:dyDescent="0.3">
      <c r="A4854" s="18" t="s">
        <v>8824</v>
      </c>
      <c r="B4854" s="19" t="s">
        <v>15</v>
      </c>
      <c r="C4854" s="18" t="s">
        <v>210</v>
      </c>
      <c r="D4854" s="18" t="s">
        <v>116</v>
      </c>
      <c r="E4854" s="18" t="s">
        <v>55</v>
      </c>
      <c r="F4854" s="18" t="s">
        <v>9366</v>
      </c>
      <c r="G4854" s="18" t="s">
        <v>8847</v>
      </c>
      <c r="H4854" s="18" t="s">
        <v>8420</v>
      </c>
      <c r="I4854" s="20" t="s">
        <v>9367</v>
      </c>
      <c r="J4854" s="18" t="s">
        <v>58</v>
      </c>
      <c r="K4854" s="18" t="s">
        <v>24</v>
      </c>
      <c r="L4854" s="18" t="s">
        <v>25</v>
      </c>
      <c r="N4854" s="18" t="s">
        <v>26</v>
      </c>
    </row>
    <row r="4855" spans="1:14" ht="15" customHeight="1" x14ac:dyDescent="0.3">
      <c r="A4855" s="18" t="s">
        <v>8824</v>
      </c>
      <c r="B4855" s="19" t="s">
        <v>15</v>
      </c>
      <c r="C4855" s="18" t="s">
        <v>210</v>
      </c>
      <c r="D4855" s="18" t="s">
        <v>116</v>
      </c>
      <c r="E4855" s="18" t="s">
        <v>55</v>
      </c>
      <c r="F4855" s="18" t="s">
        <v>2434</v>
      </c>
      <c r="G4855" s="18" t="s">
        <v>8847</v>
      </c>
      <c r="H4855" s="18" t="s">
        <v>8420</v>
      </c>
      <c r="I4855" s="20" t="s">
        <v>9368</v>
      </c>
      <c r="J4855" s="18" t="s">
        <v>58</v>
      </c>
      <c r="K4855" s="18" t="s">
        <v>24</v>
      </c>
      <c r="L4855" s="18" t="s">
        <v>25</v>
      </c>
      <c r="N4855" s="18" t="s">
        <v>26</v>
      </c>
    </row>
    <row r="4856" spans="1:14" ht="15" customHeight="1" x14ac:dyDescent="0.3">
      <c r="A4856" s="18" t="s">
        <v>8824</v>
      </c>
      <c r="B4856" s="19" t="s">
        <v>15</v>
      </c>
      <c r="C4856" s="18" t="s">
        <v>210</v>
      </c>
      <c r="D4856" s="18" t="s">
        <v>116</v>
      </c>
      <c r="E4856" s="18" t="s">
        <v>55</v>
      </c>
      <c r="F4856" s="18" t="s">
        <v>9369</v>
      </c>
      <c r="G4856" s="18" t="s">
        <v>41</v>
      </c>
      <c r="H4856" s="18" t="s">
        <v>9370</v>
      </c>
      <c r="I4856" s="20" t="s">
        <v>9371</v>
      </c>
      <c r="J4856" s="18" t="s">
        <v>58</v>
      </c>
      <c r="K4856" s="18" t="s">
        <v>24</v>
      </c>
      <c r="L4856" s="18" t="s">
        <v>25</v>
      </c>
      <c r="N4856" s="18" t="s">
        <v>26</v>
      </c>
    </row>
    <row r="4857" spans="1:14" ht="15" customHeight="1" x14ac:dyDescent="0.3">
      <c r="A4857" s="18" t="s">
        <v>8824</v>
      </c>
      <c r="B4857" s="19" t="s">
        <v>15</v>
      </c>
      <c r="C4857" s="18" t="s">
        <v>210</v>
      </c>
      <c r="D4857" s="18" t="s">
        <v>116</v>
      </c>
      <c r="E4857" s="18" t="s">
        <v>55</v>
      </c>
      <c r="F4857" s="18" t="s">
        <v>1653</v>
      </c>
      <c r="G4857" s="18" t="s">
        <v>1019</v>
      </c>
      <c r="H4857" s="18" t="s">
        <v>8852</v>
      </c>
      <c r="I4857" s="20" t="s">
        <v>9372</v>
      </c>
      <c r="J4857" s="18" t="s">
        <v>58</v>
      </c>
      <c r="K4857" s="18" t="s">
        <v>24</v>
      </c>
      <c r="L4857" s="18" t="s">
        <v>25</v>
      </c>
      <c r="N4857" s="18" t="s">
        <v>26</v>
      </c>
    </row>
    <row r="4858" spans="1:14" ht="15" customHeight="1" x14ac:dyDescent="0.3">
      <c r="A4858" s="18" t="s">
        <v>8824</v>
      </c>
      <c r="B4858" s="19" t="s">
        <v>15</v>
      </c>
      <c r="C4858" s="18" t="s">
        <v>210</v>
      </c>
      <c r="D4858" s="18" t="s">
        <v>116</v>
      </c>
      <c r="E4858" s="18" t="s">
        <v>55</v>
      </c>
      <c r="F4858" s="18" t="s">
        <v>9373</v>
      </c>
      <c r="G4858" s="18" t="s">
        <v>1019</v>
      </c>
      <c r="H4858" s="18" t="s">
        <v>8852</v>
      </c>
      <c r="I4858" s="20" t="s">
        <v>9374</v>
      </c>
      <c r="J4858" s="18" t="s">
        <v>58</v>
      </c>
      <c r="K4858" s="18" t="s">
        <v>24</v>
      </c>
      <c r="L4858" s="18" t="s">
        <v>25</v>
      </c>
      <c r="N4858" s="18" t="s">
        <v>26</v>
      </c>
    </row>
    <row r="4859" spans="1:14" ht="15" customHeight="1" x14ac:dyDescent="0.3">
      <c r="A4859" s="18" t="s">
        <v>8824</v>
      </c>
      <c r="B4859" s="19" t="s">
        <v>15</v>
      </c>
      <c r="C4859" s="18" t="s">
        <v>210</v>
      </c>
      <c r="D4859" s="18" t="s">
        <v>116</v>
      </c>
      <c r="E4859" s="18" t="s">
        <v>55</v>
      </c>
      <c r="F4859" s="18" t="s">
        <v>9375</v>
      </c>
      <c r="G4859" s="18" t="s">
        <v>340</v>
      </c>
      <c r="H4859" s="18" t="s">
        <v>8852</v>
      </c>
      <c r="I4859" s="20" t="s">
        <v>9376</v>
      </c>
      <c r="J4859" s="18" t="s">
        <v>58</v>
      </c>
      <c r="K4859" s="18" t="s">
        <v>24</v>
      </c>
      <c r="L4859" s="18" t="s">
        <v>25</v>
      </c>
      <c r="N4859" s="18" t="s">
        <v>26</v>
      </c>
    </row>
    <row r="4860" spans="1:14" ht="15" customHeight="1" x14ac:dyDescent="0.3">
      <c r="A4860" s="18" t="s">
        <v>8824</v>
      </c>
      <c r="B4860" s="19" t="s">
        <v>15</v>
      </c>
      <c r="C4860" s="18" t="s">
        <v>210</v>
      </c>
      <c r="D4860" s="18" t="s">
        <v>116</v>
      </c>
      <c r="E4860" s="18" t="s">
        <v>55</v>
      </c>
      <c r="F4860" s="18" t="s">
        <v>9377</v>
      </c>
      <c r="G4860" s="18" t="s">
        <v>537</v>
      </c>
      <c r="H4860" s="18" t="s">
        <v>8420</v>
      </c>
      <c r="I4860" s="20" t="s">
        <v>9378</v>
      </c>
      <c r="J4860" s="18" t="s">
        <v>58</v>
      </c>
      <c r="K4860" s="18" t="s">
        <v>24</v>
      </c>
      <c r="L4860" s="18" t="s">
        <v>25</v>
      </c>
      <c r="N4860" s="18" t="s">
        <v>26</v>
      </c>
    </row>
    <row r="4861" spans="1:14" ht="15" customHeight="1" x14ac:dyDescent="0.3">
      <c r="A4861" s="18" t="s">
        <v>8824</v>
      </c>
      <c r="B4861" s="19" t="s">
        <v>15</v>
      </c>
      <c r="C4861" s="18" t="s">
        <v>210</v>
      </c>
      <c r="D4861" s="18" t="s">
        <v>116</v>
      </c>
      <c r="E4861" s="18" t="s">
        <v>55</v>
      </c>
      <c r="F4861" s="18" t="s">
        <v>9379</v>
      </c>
      <c r="G4861" s="18" t="s">
        <v>2248</v>
      </c>
      <c r="H4861" s="18" t="s">
        <v>8867</v>
      </c>
      <c r="I4861" s="20" t="s">
        <v>9380</v>
      </c>
      <c r="J4861" s="18" t="s">
        <v>58</v>
      </c>
      <c r="K4861" s="18" t="s">
        <v>24</v>
      </c>
      <c r="L4861" s="18" t="s">
        <v>25</v>
      </c>
      <c r="N4861" s="18" t="s">
        <v>26</v>
      </c>
    </row>
    <row r="4862" spans="1:14" ht="15" customHeight="1" x14ac:dyDescent="0.3">
      <c r="A4862" s="18" t="s">
        <v>8824</v>
      </c>
      <c r="B4862" s="19" t="s">
        <v>15</v>
      </c>
      <c r="C4862" s="18" t="s">
        <v>210</v>
      </c>
      <c r="D4862" s="18" t="s">
        <v>116</v>
      </c>
      <c r="E4862" s="18" t="s">
        <v>171</v>
      </c>
      <c r="F4862" s="18" t="s">
        <v>172</v>
      </c>
      <c r="G4862" s="18" t="s">
        <v>173</v>
      </c>
      <c r="H4862" s="18" t="s">
        <v>8856</v>
      </c>
      <c r="I4862" s="20" t="s">
        <v>9381</v>
      </c>
      <c r="J4862" s="18" t="s">
        <v>175</v>
      </c>
      <c r="K4862" s="18" t="s">
        <v>24</v>
      </c>
      <c r="L4862" s="18" t="s">
        <v>25</v>
      </c>
      <c r="N4862" s="18" t="s">
        <v>26</v>
      </c>
    </row>
    <row r="4863" spans="1:14" ht="15" customHeight="1" x14ac:dyDescent="0.3">
      <c r="A4863" s="18" t="s">
        <v>8824</v>
      </c>
      <c r="B4863" s="19" t="s">
        <v>15</v>
      </c>
      <c r="C4863" s="18" t="s">
        <v>210</v>
      </c>
      <c r="D4863" s="18" t="s">
        <v>116</v>
      </c>
      <c r="E4863" s="18" t="s">
        <v>171</v>
      </c>
      <c r="F4863" s="18" t="s">
        <v>9382</v>
      </c>
      <c r="G4863" s="18" t="s">
        <v>173</v>
      </c>
      <c r="H4863" s="18" t="s">
        <v>8856</v>
      </c>
      <c r="I4863" s="20" t="s">
        <v>9383</v>
      </c>
      <c r="J4863" s="18" t="s">
        <v>175</v>
      </c>
      <c r="K4863" s="18" t="s">
        <v>24</v>
      </c>
      <c r="L4863" s="18" t="s">
        <v>25</v>
      </c>
      <c r="M4863" s="18" t="s">
        <v>39</v>
      </c>
      <c r="N4863" s="18" t="s">
        <v>26</v>
      </c>
    </row>
    <row r="4864" spans="1:14" ht="15" customHeight="1" x14ac:dyDescent="0.3">
      <c r="A4864" s="18" t="s">
        <v>8824</v>
      </c>
      <c r="B4864" s="19" t="s">
        <v>15</v>
      </c>
      <c r="C4864" s="18" t="s">
        <v>210</v>
      </c>
      <c r="D4864" s="18" t="s">
        <v>116</v>
      </c>
      <c r="E4864" s="18" t="s">
        <v>171</v>
      </c>
      <c r="F4864" s="18" t="s">
        <v>80</v>
      </c>
      <c r="G4864" s="18" t="s">
        <v>80</v>
      </c>
      <c r="H4864" s="18" t="s">
        <v>8429</v>
      </c>
      <c r="I4864" s="20" t="s">
        <v>9384</v>
      </c>
      <c r="J4864" s="18" t="s">
        <v>175</v>
      </c>
      <c r="K4864" s="18" t="s">
        <v>24</v>
      </c>
      <c r="L4864" s="18" t="s">
        <v>25</v>
      </c>
      <c r="N4864" s="18" t="s">
        <v>26</v>
      </c>
    </row>
    <row r="4865" spans="1:14" ht="15" customHeight="1" x14ac:dyDescent="0.3">
      <c r="A4865" s="18" t="s">
        <v>8824</v>
      </c>
      <c r="B4865" s="19" t="s">
        <v>15</v>
      </c>
      <c r="C4865" s="18" t="s">
        <v>210</v>
      </c>
      <c r="D4865" s="18" t="s">
        <v>116</v>
      </c>
      <c r="E4865" s="18" t="s">
        <v>171</v>
      </c>
      <c r="F4865" s="18" t="s">
        <v>7604</v>
      </c>
      <c r="G4865" s="18" t="s">
        <v>1254</v>
      </c>
      <c r="H4865" s="18" t="s">
        <v>8867</v>
      </c>
      <c r="I4865" s="20" t="s">
        <v>9385</v>
      </c>
      <c r="J4865" s="18" t="s">
        <v>175</v>
      </c>
      <c r="K4865" s="18" t="s">
        <v>24</v>
      </c>
      <c r="L4865" s="18" t="s">
        <v>25</v>
      </c>
      <c r="M4865" s="18" t="s">
        <v>39</v>
      </c>
      <c r="N4865" s="18" t="s">
        <v>26</v>
      </c>
    </row>
    <row r="4866" spans="1:14" ht="15" customHeight="1" x14ac:dyDescent="0.3">
      <c r="A4866" s="18" t="s">
        <v>8824</v>
      </c>
      <c r="B4866" s="19" t="s">
        <v>15</v>
      </c>
      <c r="C4866" s="18" t="s">
        <v>210</v>
      </c>
      <c r="D4866" s="18" t="s">
        <v>116</v>
      </c>
      <c r="E4866" s="18" t="s">
        <v>171</v>
      </c>
      <c r="F4866" s="18" t="s">
        <v>8872</v>
      </c>
      <c r="G4866" s="18" t="s">
        <v>1254</v>
      </c>
      <c r="H4866" s="18" t="s">
        <v>8867</v>
      </c>
      <c r="I4866" s="20" t="s">
        <v>9386</v>
      </c>
      <c r="J4866" s="18" t="s">
        <v>175</v>
      </c>
      <c r="K4866" s="18" t="s">
        <v>24</v>
      </c>
      <c r="L4866" s="18" t="s">
        <v>25</v>
      </c>
      <c r="M4866" s="18" t="s">
        <v>39</v>
      </c>
      <c r="N4866" s="18" t="s">
        <v>26</v>
      </c>
    </row>
    <row r="4867" spans="1:14" ht="15" customHeight="1" x14ac:dyDescent="0.3">
      <c r="A4867" s="18" t="s">
        <v>8824</v>
      </c>
      <c r="B4867" s="19" t="s">
        <v>15</v>
      </c>
      <c r="C4867" s="18" t="s">
        <v>210</v>
      </c>
      <c r="D4867" s="18" t="s">
        <v>116</v>
      </c>
      <c r="E4867" s="18" t="s">
        <v>171</v>
      </c>
      <c r="F4867" s="18" t="s">
        <v>1239</v>
      </c>
      <c r="G4867" s="18" t="s">
        <v>1254</v>
      </c>
      <c r="H4867" s="18" t="s">
        <v>8867</v>
      </c>
      <c r="I4867" s="20" t="s">
        <v>9387</v>
      </c>
      <c r="J4867" s="18" t="s">
        <v>175</v>
      </c>
      <c r="K4867" s="18" t="s">
        <v>24</v>
      </c>
      <c r="L4867" s="18" t="s">
        <v>25</v>
      </c>
      <c r="M4867" s="18" t="s">
        <v>39</v>
      </c>
      <c r="N4867" s="18" t="s">
        <v>26</v>
      </c>
    </row>
    <row r="4868" spans="1:14" ht="15" customHeight="1" x14ac:dyDescent="0.3">
      <c r="A4868" s="18" t="s">
        <v>8824</v>
      </c>
      <c r="B4868" s="19" t="s">
        <v>15</v>
      </c>
      <c r="C4868" s="18" t="s">
        <v>210</v>
      </c>
      <c r="D4868" s="18" t="s">
        <v>116</v>
      </c>
      <c r="E4868" s="18" t="s">
        <v>171</v>
      </c>
      <c r="F4868" s="18" t="s">
        <v>8875</v>
      </c>
      <c r="G4868" s="18" t="s">
        <v>63</v>
      </c>
      <c r="H4868" s="18" t="s">
        <v>8159</v>
      </c>
      <c r="I4868" s="20" t="s">
        <v>9388</v>
      </c>
      <c r="J4868" s="18" t="s">
        <v>175</v>
      </c>
      <c r="K4868" s="18" t="s">
        <v>24</v>
      </c>
      <c r="L4868" s="18" t="s">
        <v>25</v>
      </c>
      <c r="M4868" s="18" t="s">
        <v>39</v>
      </c>
      <c r="N4868" s="18" t="s">
        <v>26</v>
      </c>
    </row>
    <row r="4869" spans="1:14" ht="15" customHeight="1" x14ac:dyDescent="0.3">
      <c r="A4869" s="18" t="s">
        <v>8824</v>
      </c>
      <c r="B4869" s="19" t="s">
        <v>15</v>
      </c>
      <c r="C4869" s="18" t="s">
        <v>210</v>
      </c>
      <c r="D4869" s="18" t="s">
        <v>116</v>
      </c>
      <c r="E4869" s="18" t="s">
        <v>171</v>
      </c>
      <c r="F4869" s="18" t="s">
        <v>221</v>
      </c>
      <c r="G4869" s="18" t="s">
        <v>212</v>
      </c>
      <c r="H4869" s="18" t="s">
        <v>8867</v>
      </c>
      <c r="I4869" s="20" t="s">
        <v>9389</v>
      </c>
      <c r="J4869" s="18" t="s">
        <v>175</v>
      </c>
      <c r="K4869" s="18" t="s">
        <v>24</v>
      </c>
      <c r="L4869" s="18" t="s">
        <v>25</v>
      </c>
      <c r="M4869" s="18" t="s">
        <v>39</v>
      </c>
      <c r="N4869" s="18" t="s">
        <v>26</v>
      </c>
    </row>
    <row r="4870" spans="1:14" ht="15" customHeight="1" x14ac:dyDescent="0.3">
      <c r="A4870" s="18" t="s">
        <v>8824</v>
      </c>
      <c r="B4870" s="19" t="s">
        <v>15</v>
      </c>
      <c r="C4870" s="18" t="s">
        <v>210</v>
      </c>
      <c r="D4870" s="18" t="s">
        <v>116</v>
      </c>
      <c r="E4870" s="18" t="s">
        <v>171</v>
      </c>
      <c r="F4870" s="18" t="s">
        <v>1244</v>
      </c>
      <c r="G4870" s="18" t="s">
        <v>1204</v>
      </c>
      <c r="H4870" s="18" t="s">
        <v>8867</v>
      </c>
      <c r="I4870" s="20" t="s">
        <v>9390</v>
      </c>
      <c r="J4870" s="18" t="s">
        <v>175</v>
      </c>
      <c r="K4870" s="18" t="s">
        <v>24</v>
      </c>
      <c r="L4870" s="18" t="s">
        <v>25</v>
      </c>
      <c r="M4870" s="18" t="s">
        <v>39</v>
      </c>
      <c r="N4870" s="18" t="s">
        <v>26</v>
      </c>
    </row>
    <row r="4871" spans="1:14" ht="15" customHeight="1" x14ac:dyDescent="0.3">
      <c r="A4871" s="18" t="s">
        <v>8824</v>
      </c>
      <c r="B4871" s="19" t="s">
        <v>15</v>
      </c>
      <c r="C4871" s="18" t="s">
        <v>210</v>
      </c>
      <c r="D4871" s="18" t="s">
        <v>116</v>
      </c>
      <c r="E4871" s="18" t="s">
        <v>171</v>
      </c>
      <c r="F4871" s="18" t="s">
        <v>7609</v>
      </c>
      <c r="G4871" s="18" t="s">
        <v>3138</v>
      </c>
      <c r="H4871" s="18" t="s">
        <v>8159</v>
      </c>
      <c r="I4871" s="20" t="s">
        <v>9391</v>
      </c>
      <c r="J4871" s="18" t="s">
        <v>175</v>
      </c>
      <c r="K4871" s="18" t="s">
        <v>24</v>
      </c>
      <c r="L4871" s="18" t="s">
        <v>25</v>
      </c>
      <c r="M4871" s="18" t="s">
        <v>39</v>
      </c>
      <c r="N4871" s="18" t="s">
        <v>26</v>
      </c>
    </row>
    <row r="4872" spans="1:14" ht="15" customHeight="1" x14ac:dyDescent="0.3">
      <c r="A4872" s="18" t="s">
        <v>8824</v>
      </c>
      <c r="B4872" s="19" t="s">
        <v>15</v>
      </c>
      <c r="C4872" s="18" t="s">
        <v>210</v>
      </c>
      <c r="D4872" s="18" t="s">
        <v>116</v>
      </c>
      <c r="E4872" s="18" t="s">
        <v>171</v>
      </c>
      <c r="F4872" s="18" t="s">
        <v>8888</v>
      </c>
      <c r="G4872" s="18" t="s">
        <v>1254</v>
      </c>
      <c r="H4872" s="18" t="s">
        <v>8867</v>
      </c>
      <c r="I4872" s="20" t="s">
        <v>9392</v>
      </c>
      <c r="J4872" s="18" t="s">
        <v>175</v>
      </c>
      <c r="K4872" s="18" t="s">
        <v>24</v>
      </c>
      <c r="L4872" s="18" t="s">
        <v>25</v>
      </c>
      <c r="M4872" s="18" t="s">
        <v>39</v>
      </c>
      <c r="N4872" s="18" t="s">
        <v>26</v>
      </c>
    </row>
    <row r="4873" spans="1:14" ht="15" customHeight="1" x14ac:dyDescent="0.3">
      <c r="A4873" s="18" t="s">
        <v>8824</v>
      </c>
      <c r="B4873" s="19" t="s">
        <v>15</v>
      </c>
      <c r="C4873" s="18" t="s">
        <v>210</v>
      </c>
      <c r="D4873" s="18" t="s">
        <v>116</v>
      </c>
      <c r="E4873" s="18" t="s">
        <v>171</v>
      </c>
      <c r="F4873" s="18" t="s">
        <v>34</v>
      </c>
      <c r="G4873" s="18" t="s">
        <v>1254</v>
      </c>
      <c r="H4873" s="18" t="s">
        <v>8867</v>
      </c>
      <c r="I4873" s="20" t="s">
        <v>9393</v>
      </c>
      <c r="J4873" s="18" t="s">
        <v>175</v>
      </c>
      <c r="K4873" s="18" t="s">
        <v>24</v>
      </c>
      <c r="L4873" s="18" t="s">
        <v>25</v>
      </c>
      <c r="M4873" s="18" t="s">
        <v>39</v>
      </c>
      <c r="N4873" s="18" t="s">
        <v>26</v>
      </c>
    </row>
    <row r="4874" spans="1:14" ht="15" customHeight="1" x14ac:dyDescent="0.3">
      <c r="A4874" s="18" t="s">
        <v>8824</v>
      </c>
      <c r="B4874" s="19" t="s">
        <v>15</v>
      </c>
      <c r="C4874" s="18" t="s">
        <v>210</v>
      </c>
      <c r="D4874" s="18" t="s">
        <v>116</v>
      </c>
      <c r="E4874" s="18" t="s">
        <v>171</v>
      </c>
      <c r="F4874" s="18" t="s">
        <v>1250</v>
      </c>
      <c r="G4874" s="18" t="s">
        <v>8898</v>
      </c>
      <c r="H4874" s="18" t="s">
        <v>8867</v>
      </c>
      <c r="I4874" s="20" t="s">
        <v>9394</v>
      </c>
      <c r="J4874" s="18" t="s">
        <v>175</v>
      </c>
      <c r="K4874" s="18" t="s">
        <v>24</v>
      </c>
      <c r="L4874" s="18" t="s">
        <v>25</v>
      </c>
      <c r="M4874" s="18" t="s">
        <v>39</v>
      </c>
      <c r="N4874" s="18" t="s">
        <v>26</v>
      </c>
    </row>
    <row r="4875" spans="1:14" ht="15" customHeight="1" x14ac:dyDescent="0.3">
      <c r="A4875" s="18" t="s">
        <v>8824</v>
      </c>
      <c r="B4875" s="19" t="s">
        <v>15</v>
      </c>
      <c r="C4875" s="18" t="s">
        <v>210</v>
      </c>
      <c r="D4875" s="18" t="s">
        <v>116</v>
      </c>
      <c r="E4875" s="18" t="s">
        <v>171</v>
      </c>
      <c r="F4875" s="18" t="s">
        <v>3170</v>
      </c>
      <c r="G4875" s="18" t="s">
        <v>1204</v>
      </c>
      <c r="H4875" s="18" t="s">
        <v>8159</v>
      </c>
      <c r="I4875" s="20" t="s">
        <v>9395</v>
      </c>
      <c r="J4875" s="18" t="s">
        <v>175</v>
      </c>
      <c r="K4875" s="18" t="s">
        <v>24</v>
      </c>
      <c r="L4875" s="18" t="s">
        <v>25</v>
      </c>
      <c r="M4875" s="18" t="s">
        <v>39</v>
      </c>
      <c r="N4875" s="18" t="s">
        <v>26</v>
      </c>
    </row>
    <row r="4876" spans="1:14" ht="15" customHeight="1" x14ac:dyDescent="0.3">
      <c r="A4876" s="18" t="s">
        <v>8824</v>
      </c>
      <c r="B4876" s="19" t="s">
        <v>15</v>
      </c>
      <c r="C4876" s="18" t="s">
        <v>210</v>
      </c>
      <c r="D4876" s="18" t="s">
        <v>116</v>
      </c>
      <c r="E4876" s="18" t="s">
        <v>171</v>
      </c>
      <c r="F4876" s="18" t="s">
        <v>37</v>
      </c>
      <c r="G4876" s="18" t="s">
        <v>1254</v>
      </c>
      <c r="H4876" s="18" t="s">
        <v>8867</v>
      </c>
      <c r="I4876" s="20" t="s">
        <v>9396</v>
      </c>
      <c r="J4876" s="18" t="s">
        <v>175</v>
      </c>
      <c r="K4876" s="18" t="s">
        <v>24</v>
      </c>
      <c r="L4876" s="18" t="s">
        <v>25</v>
      </c>
      <c r="M4876" s="18" t="s">
        <v>39</v>
      </c>
      <c r="N4876" s="18" t="s">
        <v>26</v>
      </c>
    </row>
    <row r="4877" spans="1:14" ht="15" customHeight="1" x14ac:dyDescent="0.3">
      <c r="A4877" s="18" t="s">
        <v>8824</v>
      </c>
      <c r="B4877" s="19" t="s">
        <v>15</v>
      </c>
      <c r="C4877" s="18" t="s">
        <v>210</v>
      </c>
      <c r="D4877" s="18" t="s">
        <v>116</v>
      </c>
      <c r="E4877" s="18" t="s">
        <v>171</v>
      </c>
      <c r="F4877" s="18" t="s">
        <v>2099</v>
      </c>
      <c r="G4877" s="18" t="s">
        <v>7668</v>
      </c>
      <c r="H4877" s="18" t="s">
        <v>8867</v>
      </c>
      <c r="I4877" s="20" t="s">
        <v>9397</v>
      </c>
      <c r="J4877" s="18" t="s">
        <v>175</v>
      </c>
      <c r="K4877" s="18" t="s">
        <v>24</v>
      </c>
      <c r="L4877" s="18" t="s">
        <v>25</v>
      </c>
      <c r="M4877" s="18" t="s">
        <v>39</v>
      </c>
      <c r="N4877" s="18" t="s">
        <v>26</v>
      </c>
    </row>
    <row r="4878" spans="1:14" ht="15" customHeight="1" x14ac:dyDescent="0.3">
      <c r="A4878" s="18" t="s">
        <v>8824</v>
      </c>
      <c r="B4878" s="19" t="s">
        <v>15</v>
      </c>
      <c r="C4878" s="18" t="s">
        <v>210</v>
      </c>
      <c r="D4878" s="18" t="s">
        <v>116</v>
      </c>
      <c r="E4878" s="18" t="s">
        <v>171</v>
      </c>
      <c r="F4878" s="18" t="s">
        <v>423</v>
      </c>
      <c r="G4878" s="18" t="s">
        <v>423</v>
      </c>
      <c r="H4878" s="18" t="s">
        <v>8559</v>
      </c>
      <c r="I4878" s="20" t="s">
        <v>9398</v>
      </c>
      <c r="J4878" s="18" t="s">
        <v>175</v>
      </c>
      <c r="K4878" s="18" t="s">
        <v>24</v>
      </c>
      <c r="L4878" s="18" t="s">
        <v>25</v>
      </c>
      <c r="N4878" s="18" t="s">
        <v>26</v>
      </c>
    </row>
    <row r="4879" spans="1:14" ht="15" customHeight="1" x14ac:dyDescent="0.3">
      <c r="A4879" s="18" t="s">
        <v>8824</v>
      </c>
      <c r="B4879" s="19" t="s">
        <v>15</v>
      </c>
      <c r="C4879" s="18" t="s">
        <v>210</v>
      </c>
      <c r="D4879" s="18" t="s">
        <v>116</v>
      </c>
      <c r="E4879" s="18" t="s">
        <v>171</v>
      </c>
      <c r="F4879" s="18" t="s">
        <v>667</v>
      </c>
      <c r="G4879" s="18" t="s">
        <v>667</v>
      </c>
      <c r="H4879" s="18" t="s">
        <v>8939</v>
      </c>
      <c r="I4879" s="20" t="s">
        <v>9399</v>
      </c>
      <c r="J4879" s="18" t="s">
        <v>175</v>
      </c>
      <c r="K4879" s="18" t="s">
        <v>24</v>
      </c>
      <c r="L4879" s="18" t="s">
        <v>25</v>
      </c>
      <c r="N4879" s="18" t="s">
        <v>26</v>
      </c>
    </row>
    <row r="4880" spans="1:14" ht="15" customHeight="1" x14ac:dyDescent="0.3">
      <c r="A4880" s="18" t="s">
        <v>8824</v>
      </c>
      <c r="B4880" s="19" t="s">
        <v>15</v>
      </c>
      <c r="C4880" s="18" t="s">
        <v>210</v>
      </c>
      <c r="D4880" s="18" t="s">
        <v>116</v>
      </c>
      <c r="E4880" s="18" t="s">
        <v>171</v>
      </c>
      <c r="F4880" s="18" t="s">
        <v>625</v>
      </c>
      <c r="G4880" s="18" t="s">
        <v>1704</v>
      </c>
      <c r="H4880" s="18" t="s">
        <v>9015</v>
      </c>
      <c r="I4880" s="20" t="s">
        <v>9400</v>
      </c>
      <c r="J4880" s="18" t="s">
        <v>7452</v>
      </c>
      <c r="K4880" s="18" t="s">
        <v>24</v>
      </c>
      <c r="L4880" s="18" t="s">
        <v>25</v>
      </c>
      <c r="N4880" s="18" t="s">
        <v>26</v>
      </c>
    </row>
    <row r="4881" spans="1:14" ht="15" customHeight="1" x14ac:dyDescent="0.3">
      <c r="A4881" s="18" t="s">
        <v>8824</v>
      </c>
      <c r="B4881" s="19" t="s">
        <v>15</v>
      </c>
      <c r="C4881" s="18" t="s">
        <v>210</v>
      </c>
      <c r="D4881" s="18" t="s">
        <v>116</v>
      </c>
      <c r="E4881" s="18" t="s">
        <v>171</v>
      </c>
      <c r="F4881" s="18" t="s">
        <v>340</v>
      </c>
      <c r="G4881" s="18" t="s">
        <v>340</v>
      </c>
      <c r="H4881" s="18" t="s">
        <v>8958</v>
      </c>
      <c r="I4881" s="20" t="s">
        <v>9401</v>
      </c>
      <c r="J4881" s="18" t="s">
        <v>175</v>
      </c>
      <c r="K4881" s="18" t="s">
        <v>24</v>
      </c>
      <c r="L4881" s="18" t="s">
        <v>25</v>
      </c>
      <c r="N4881" s="18" t="s">
        <v>26</v>
      </c>
    </row>
    <row r="4882" spans="1:14" ht="15" customHeight="1" x14ac:dyDescent="0.3">
      <c r="A4882" s="18" t="s">
        <v>8824</v>
      </c>
      <c r="B4882" s="19" t="s">
        <v>15</v>
      </c>
      <c r="C4882" s="18" t="s">
        <v>210</v>
      </c>
      <c r="D4882" s="18" t="s">
        <v>116</v>
      </c>
      <c r="E4882" s="18" t="s">
        <v>74</v>
      </c>
      <c r="F4882" s="18" t="s">
        <v>9402</v>
      </c>
      <c r="G4882" s="18" t="s">
        <v>219</v>
      </c>
      <c r="H4882" s="18" t="s">
        <v>8429</v>
      </c>
      <c r="I4882" s="20" t="s">
        <v>9403</v>
      </c>
      <c r="J4882" s="18" t="s">
        <v>199</v>
      </c>
      <c r="K4882" s="18" t="s">
        <v>24</v>
      </c>
      <c r="L4882" s="18" t="s">
        <v>25</v>
      </c>
      <c r="N4882" s="18" t="s">
        <v>26</v>
      </c>
    </row>
    <row r="4883" spans="1:14" ht="15" customHeight="1" x14ac:dyDescent="0.3">
      <c r="A4883" s="18" t="s">
        <v>8824</v>
      </c>
      <c r="B4883" s="19" t="s">
        <v>15</v>
      </c>
      <c r="C4883" s="18" t="s">
        <v>210</v>
      </c>
      <c r="D4883" s="18" t="s">
        <v>116</v>
      </c>
      <c r="E4883" s="18" t="s">
        <v>74</v>
      </c>
      <c r="F4883" s="18" t="s">
        <v>9404</v>
      </c>
      <c r="G4883" s="18" t="s">
        <v>41</v>
      </c>
      <c r="H4883" s="18" t="s">
        <v>9405</v>
      </c>
      <c r="I4883" s="20" t="s">
        <v>9406</v>
      </c>
      <c r="J4883" s="18" t="s">
        <v>199</v>
      </c>
      <c r="K4883" s="18" t="s">
        <v>24</v>
      </c>
      <c r="L4883" s="18" t="s">
        <v>25</v>
      </c>
      <c r="N4883" s="18" t="s">
        <v>26</v>
      </c>
    </row>
    <row r="4884" spans="1:14" ht="15" customHeight="1" x14ac:dyDescent="0.3">
      <c r="A4884" s="18" t="s">
        <v>8824</v>
      </c>
      <c r="B4884" s="19" t="s">
        <v>15</v>
      </c>
      <c r="C4884" s="18" t="s">
        <v>210</v>
      </c>
      <c r="D4884" s="18" t="s">
        <v>116</v>
      </c>
      <c r="E4884" s="18" t="s">
        <v>74</v>
      </c>
      <c r="F4884" s="18" t="s">
        <v>9407</v>
      </c>
      <c r="G4884" s="18" t="s">
        <v>2921</v>
      </c>
      <c r="H4884" s="18" t="s">
        <v>9250</v>
      </c>
      <c r="I4884" s="20" t="s">
        <v>9408</v>
      </c>
      <c r="J4884" s="18" t="s">
        <v>199</v>
      </c>
      <c r="K4884" s="18" t="s">
        <v>24</v>
      </c>
      <c r="L4884" s="18" t="s">
        <v>25</v>
      </c>
      <c r="N4884" s="18" t="s">
        <v>26</v>
      </c>
    </row>
    <row r="4885" spans="1:14" ht="15" customHeight="1" x14ac:dyDescent="0.3">
      <c r="A4885" s="18" t="s">
        <v>8824</v>
      </c>
      <c r="B4885" s="19" t="s">
        <v>15</v>
      </c>
      <c r="C4885" s="18" t="s">
        <v>210</v>
      </c>
      <c r="D4885" s="18" t="s">
        <v>116</v>
      </c>
      <c r="E4885" s="18" t="s">
        <v>74</v>
      </c>
      <c r="F4885" s="18" t="s">
        <v>2817</v>
      </c>
      <c r="G4885" s="18" t="s">
        <v>564</v>
      </c>
      <c r="H4885" s="18" t="s">
        <v>9409</v>
      </c>
      <c r="I4885" s="20" t="s">
        <v>9410</v>
      </c>
      <c r="J4885" s="18" t="s">
        <v>9411</v>
      </c>
      <c r="K4885" s="18" t="s">
        <v>24</v>
      </c>
      <c r="L4885" s="18" t="s">
        <v>25</v>
      </c>
      <c r="N4885" s="18" t="s">
        <v>26</v>
      </c>
    </row>
    <row r="4886" spans="1:14" ht="15" customHeight="1" x14ac:dyDescent="0.3">
      <c r="A4886" s="18" t="s">
        <v>8824</v>
      </c>
      <c r="B4886" s="19" t="s">
        <v>15</v>
      </c>
      <c r="C4886" s="18" t="s">
        <v>210</v>
      </c>
      <c r="D4886" s="18" t="s">
        <v>116</v>
      </c>
      <c r="E4886" s="18" t="s">
        <v>74</v>
      </c>
      <c r="F4886" s="18" t="s">
        <v>9412</v>
      </c>
      <c r="G4886" s="18" t="s">
        <v>340</v>
      </c>
      <c r="H4886" s="18" t="s">
        <v>8958</v>
      </c>
      <c r="I4886" s="20" t="s">
        <v>9413</v>
      </c>
      <c r="J4886" s="18" t="s">
        <v>199</v>
      </c>
      <c r="K4886" s="18" t="s">
        <v>24</v>
      </c>
      <c r="L4886" s="18" t="s">
        <v>25</v>
      </c>
      <c r="N4886" s="18" t="s">
        <v>26</v>
      </c>
    </row>
    <row r="4887" spans="1:14" ht="15" customHeight="1" x14ac:dyDescent="0.3">
      <c r="A4887" s="18" t="s">
        <v>8824</v>
      </c>
      <c r="B4887" s="19" t="s">
        <v>15</v>
      </c>
      <c r="C4887" s="18" t="s">
        <v>210</v>
      </c>
      <c r="D4887" s="18" t="s">
        <v>116</v>
      </c>
      <c r="E4887" s="18" t="s">
        <v>74</v>
      </c>
      <c r="F4887" s="18" t="s">
        <v>9414</v>
      </c>
      <c r="G4887" s="18" t="s">
        <v>47</v>
      </c>
      <c r="H4887" s="18" t="s">
        <v>9409</v>
      </c>
      <c r="I4887" s="20" t="s">
        <v>9415</v>
      </c>
      <c r="J4887" s="18" t="s">
        <v>9416</v>
      </c>
      <c r="K4887" s="18" t="s">
        <v>293</v>
      </c>
      <c r="L4887" s="18" t="s">
        <v>25</v>
      </c>
      <c r="N4887" s="18" t="s">
        <v>26</v>
      </c>
    </row>
    <row r="4888" spans="1:14" ht="15" customHeight="1" x14ac:dyDescent="0.3">
      <c r="A4888" s="18" t="s">
        <v>8824</v>
      </c>
      <c r="B4888" s="19" t="s">
        <v>15</v>
      </c>
      <c r="C4888" s="18" t="s">
        <v>210</v>
      </c>
      <c r="D4888" s="18" t="s">
        <v>116</v>
      </c>
      <c r="E4888" s="18" t="s">
        <v>74</v>
      </c>
      <c r="F4888" s="18" t="s">
        <v>9417</v>
      </c>
      <c r="G4888" s="18" t="s">
        <v>165</v>
      </c>
      <c r="H4888" s="18" t="s">
        <v>8835</v>
      </c>
      <c r="I4888" s="20" t="s">
        <v>9418</v>
      </c>
      <c r="J4888" s="18" t="s">
        <v>199</v>
      </c>
      <c r="K4888" s="18" t="s">
        <v>24</v>
      </c>
      <c r="L4888" s="18" t="s">
        <v>25</v>
      </c>
      <c r="N4888" s="18" t="s">
        <v>26</v>
      </c>
    </row>
    <row r="4889" spans="1:14" ht="15" customHeight="1" x14ac:dyDescent="0.3">
      <c r="A4889" s="18" t="s">
        <v>8824</v>
      </c>
      <c r="B4889" s="19" t="s">
        <v>15</v>
      </c>
      <c r="C4889" s="18" t="s">
        <v>210</v>
      </c>
      <c r="D4889" s="18" t="s">
        <v>116</v>
      </c>
      <c r="E4889" s="18" t="s">
        <v>74</v>
      </c>
      <c r="F4889" s="18" t="s">
        <v>9419</v>
      </c>
      <c r="G4889" s="18" t="s">
        <v>165</v>
      </c>
      <c r="H4889" s="18" t="s">
        <v>8835</v>
      </c>
      <c r="I4889" s="20" t="s">
        <v>9420</v>
      </c>
      <c r="J4889" s="18" t="s">
        <v>199</v>
      </c>
      <c r="K4889" s="18" t="s">
        <v>24</v>
      </c>
      <c r="L4889" s="18" t="s">
        <v>25</v>
      </c>
      <c r="N4889" s="18" t="s">
        <v>26</v>
      </c>
    </row>
    <row r="4890" spans="1:14" ht="15" customHeight="1" x14ac:dyDescent="0.3">
      <c r="A4890" s="18" t="s">
        <v>8824</v>
      </c>
      <c r="B4890" s="19" t="s">
        <v>15</v>
      </c>
      <c r="C4890" s="18" t="s">
        <v>210</v>
      </c>
      <c r="D4890" s="18" t="s">
        <v>116</v>
      </c>
      <c r="E4890" s="18" t="s">
        <v>74</v>
      </c>
      <c r="F4890" s="18" t="s">
        <v>9421</v>
      </c>
      <c r="G4890" s="18" t="s">
        <v>47</v>
      </c>
      <c r="H4890" s="18" t="s">
        <v>9409</v>
      </c>
      <c r="I4890" s="20" t="s">
        <v>9422</v>
      </c>
      <c r="J4890" s="18" t="s">
        <v>9423</v>
      </c>
      <c r="K4890" s="18" t="s">
        <v>293</v>
      </c>
      <c r="L4890" s="18" t="s">
        <v>25</v>
      </c>
      <c r="N4890" s="18" t="s">
        <v>26</v>
      </c>
    </row>
    <row r="4891" spans="1:14" ht="15" customHeight="1" x14ac:dyDescent="0.3">
      <c r="A4891" s="18" t="s">
        <v>8824</v>
      </c>
      <c r="B4891" s="19" t="s">
        <v>15</v>
      </c>
      <c r="C4891" s="18" t="s">
        <v>210</v>
      </c>
      <c r="D4891" s="18" t="s">
        <v>116</v>
      </c>
      <c r="E4891" s="18" t="s">
        <v>74</v>
      </c>
      <c r="F4891" s="18" t="s">
        <v>9424</v>
      </c>
      <c r="G4891" s="18" t="s">
        <v>85</v>
      </c>
      <c r="H4891" s="18" t="s">
        <v>9409</v>
      </c>
      <c r="I4891" s="20" t="s">
        <v>9425</v>
      </c>
      <c r="J4891" s="18" t="s">
        <v>9426</v>
      </c>
      <c r="K4891" s="18" t="s">
        <v>293</v>
      </c>
      <c r="L4891" s="18" t="s">
        <v>25</v>
      </c>
      <c r="N4891" s="18" t="s">
        <v>26</v>
      </c>
    </row>
    <row r="4892" spans="1:14" ht="15" customHeight="1" x14ac:dyDescent="0.3">
      <c r="A4892" s="18" t="s">
        <v>8824</v>
      </c>
      <c r="B4892" s="19" t="s">
        <v>15</v>
      </c>
      <c r="C4892" s="18" t="s">
        <v>210</v>
      </c>
      <c r="D4892" s="18" t="s">
        <v>116</v>
      </c>
      <c r="E4892" s="18" t="s">
        <v>74</v>
      </c>
      <c r="F4892" s="18" t="s">
        <v>9427</v>
      </c>
      <c r="G4892" s="18" t="s">
        <v>76</v>
      </c>
      <c r="H4892" s="18" t="s">
        <v>8939</v>
      </c>
      <c r="I4892" s="20" t="s">
        <v>9428</v>
      </c>
      <c r="J4892" s="18" t="s">
        <v>199</v>
      </c>
      <c r="K4892" s="18" t="s">
        <v>293</v>
      </c>
      <c r="L4892" s="18" t="s">
        <v>25</v>
      </c>
      <c r="N4892" s="18" t="s">
        <v>26</v>
      </c>
    </row>
    <row r="4893" spans="1:14" ht="15" customHeight="1" x14ac:dyDescent="0.3">
      <c r="A4893" s="18" t="s">
        <v>8824</v>
      </c>
      <c r="B4893" s="19" t="s">
        <v>15</v>
      </c>
      <c r="C4893" s="18" t="s">
        <v>210</v>
      </c>
      <c r="D4893" s="18" t="s">
        <v>116</v>
      </c>
      <c r="E4893" s="18" t="s">
        <v>74</v>
      </c>
      <c r="F4893" s="18" t="s">
        <v>9429</v>
      </c>
      <c r="G4893" s="18" t="s">
        <v>606</v>
      </c>
      <c r="H4893" s="18" t="s">
        <v>8429</v>
      </c>
      <c r="I4893" s="20" t="s">
        <v>9430</v>
      </c>
      <c r="J4893" s="18" t="s">
        <v>199</v>
      </c>
      <c r="K4893" s="18" t="s">
        <v>24</v>
      </c>
      <c r="L4893" s="18" t="s">
        <v>25</v>
      </c>
      <c r="N4893" s="18" t="s">
        <v>26</v>
      </c>
    </row>
    <row r="4894" spans="1:14" ht="15" customHeight="1" x14ac:dyDescent="0.3">
      <c r="A4894" s="18" t="s">
        <v>8824</v>
      </c>
      <c r="B4894" s="19" t="s">
        <v>15</v>
      </c>
      <c r="C4894" s="18" t="s">
        <v>210</v>
      </c>
      <c r="D4894" s="18" t="s">
        <v>116</v>
      </c>
      <c r="E4894" s="18" t="s">
        <v>74</v>
      </c>
      <c r="F4894" s="18" t="s">
        <v>9431</v>
      </c>
      <c r="G4894" s="18" t="s">
        <v>173</v>
      </c>
      <c r="H4894" s="18" t="s">
        <v>8856</v>
      </c>
      <c r="I4894" s="20" t="s">
        <v>9432</v>
      </c>
      <c r="J4894" s="18" t="s">
        <v>199</v>
      </c>
      <c r="K4894" s="18" t="s">
        <v>24</v>
      </c>
      <c r="L4894" s="18" t="s">
        <v>25</v>
      </c>
      <c r="N4894" s="18" t="s">
        <v>26</v>
      </c>
    </row>
    <row r="4895" spans="1:14" ht="15" customHeight="1" x14ac:dyDescent="0.3">
      <c r="A4895" s="18" t="s">
        <v>8824</v>
      </c>
      <c r="B4895" s="19" t="s">
        <v>15</v>
      </c>
      <c r="C4895" s="18" t="s">
        <v>210</v>
      </c>
      <c r="D4895" s="18" t="s">
        <v>116</v>
      </c>
      <c r="E4895" s="18" t="s">
        <v>74</v>
      </c>
      <c r="F4895" s="18" t="s">
        <v>7380</v>
      </c>
      <c r="G4895" s="18" t="s">
        <v>920</v>
      </c>
      <c r="H4895" s="18" t="s">
        <v>625</v>
      </c>
      <c r="I4895" s="20" t="s">
        <v>9433</v>
      </c>
      <c r="J4895" s="18" t="s">
        <v>307</v>
      </c>
      <c r="K4895" s="18" t="s">
        <v>24</v>
      </c>
      <c r="L4895" s="18" t="s">
        <v>25</v>
      </c>
      <c r="N4895" s="18" t="s">
        <v>26</v>
      </c>
    </row>
    <row r="4896" spans="1:14" ht="15" customHeight="1" x14ac:dyDescent="0.3">
      <c r="A4896" s="18" t="s">
        <v>8824</v>
      </c>
      <c r="B4896" s="19" t="s">
        <v>15</v>
      </c>
      <c r="C4896" s="18" t="s">
        <v>210</v>
      </c>
      <c r="D4896" s="18" t="s">
        <v>116</v>
      </c>
      <c r="E4896" s="18" t="s">
        <v>74</v>
      </c>
      <c r="F4896" s="18" t="s">
        <v>9434</v>
      </c>
      <c r="G4896" s="18" t="s">
        <v>606</v>
      </c>
      <c r="H4896" s="18" t="s">
        <v>8429</v>
      </c>
      <c r="I4896" s="20" t="s">
        <v>9435</v>
      </c>
      <c r="J4896" s="18" t="s">
        <v>199</v>
      </c>
      <c r="K4896" s="18" t="s">
        <v>24</v>
      </c>
      <c r="L4896" s="18" t="s">
        <v>25</v>
      </c>
      <c r="N4896" s="18" t="s">
        <v>26</v>
      </c>
    </row>
    <row r="4897" spans="1:14" ht="15" customHeight="1" x14ac:dyDescent="0.3">
      <c r="A4897" s="18" t="s">
        <v>8824</v>
      </c>
      <c r="B4897" s="19" t="s">
        <v>15</v>
      </c>
      <c r="C4897" s="18" t="s">
        <v>210</v>
      </c>
      <c r="D4897" s="18" t="s">
        <v>116</v>
      </c>
      <c r="E4897" s="18" t="s">
        <v>74</v>
      </c>
      <c r="F4897" s="18" t="s">
        <v>9436</v>
      </c>
      <c r="G4897" s="18" t="s">
        <v>76</v>
      </c>
      <c r="H4897" s="18" t="s">
        <v>8939</v>
      </c>
      <c r="I4897" s="20" t="s">
        <v>9437</v>
      </c>
      <c r="J4897" s="18" t="s">
        <v>199</v>
      </c>
      <c r="K4897" s="18" t="s">
        <v>24</v>
      </c>
      <c r="L4897" s="18" t="s">
        <v>25</v>
      </c>
      <c r="N4897" s="18" t="s">
        <v>26</v>
      </c>
    </row>
    <row r="4898" spans="1:14" ht="15" customHeight="1" x14ac:dyDescent="0.3">
      <c r="A4898" s="18" t="s">
        <v>8824</v>
      </c>
      <c r="B4898" s="19" t="s">
        <v>15</v>
      </c>
      <c r="C4898" s="18" t="s">
        <v>210</v>
      </c>
      <c r="D4898" s="18" t="s">
        <v>116</v>
      </c>
      <c r="E4898" s="18" t="s">
        <v>74</v>
      </c>
      <c r="F4898" s="18" t="s">
        <v>7400</v>
      </c>
      <c r="G4898" s="18" t="s">
        <v>920</v>
      </c>
      <c r="H4898" s="18" t="s">
        <v>625</v>
      </c>
      <c r="I4898" s="20" t="s">
        <v>9438</v>
      </c>
      <c r="J4898" s="18" t="s">
        <v>307</v>
      </c>
      <c r="K4898" s="18" t="s">
        <v>24</v>
      </c>
      <c r="L4898" s="18" t="s">
        <v>25</v>
      </c>
      <c r="N4898" s="18" t="s">
        <v>26</v>
      </c>
    </row>
    <row r="4899" spans="1:14" ht="15" customHeight="1" x14ac:dyDescent="0.3">
      <c r="A4899" s="18" t="s">
        <v>8824</v>
      </c>
      <c r="B4899" s="19" t="s">
        <v>15</v>
      </c>
      <c r="C4899" s="18" t="s">
        <v>210</v>
      </c>
      <c r="D4899" s="18" t="s">
        <v>116</v>
      </c>
      <c r="E4899" s="18" t="s">
        <v>74</v>
      </c>
      <c r="F4899" s="18" t="s">
        <v>9439</v>
      </c>
      <c r="G4899" s="18" t="s">
        <v>76</v>
      </c>
      <c r="H4899" s="18" t="s">
        <v>8559</v>
      </c>
      <c r="I4899" s="20" t="s">
        <v>9440</v>
      </c>
      <c r="J4899" s="18" t="s">
        <v>199</v>
      </c>
      <c r="K4899" s="18" t="s">
        <v>24</v>
      </c>
      <c r="L4899" s="18" t="s">
        <v>25</v>
      </c>
      <c r="N4899" s="18" t="s">
        <v>26</v>
      </c>
    </row>
    <row r="4900" spans="1:14" ht="15" customHeight="1" x14ac:dyDescent="0.3">
      <c r="A4900" s="18" t="s">
        <v>8824</v>
      </c>
      <c r="B4900" s="19" t="s">
        <v>15</v>
      </c>
      <c r="C4900" s="18" t="s">
        <v>210</v>
      </c>
      <c r="D4900" s="18" t="s">
        <v>116</v>
      </c>
      <c r="E4900" s="18" t="s">
        <v>74</v>
      </c>
      <c r="F4900" s="18" t="s">
        <v>9441</v>
      </c>
      <c r="G4900" s="18" t="s">
        <v>340</v>
      </c>
      <c r="H4900" s="18" t="s">
        <v>8958</v>
      </c>
      <c r="I4900" s="20" t="s">
        <v>9442</v>
      </c>
      <c r="J4900" s="18" t="s">
        <v>199</v>
      </c>
      <c r="K4900" s="18" t="s">
        <v>24</v>
      </c>
      <c r="L4900" s="18" t="s">
        <v>25</v>
      </c>
      <c r="N4900" s="18" t="s">
        <v>26</v>
      </c>
    </row>
    <row r="4901" spans="1:14" ht="15" customHeight="1" x14ac:dyDescent="0.3">
      <c r="A4901" s="18" t="s">
        <v>8824</v>
      </c>
      <c r="B4901" s="19" t="s">
        <v>15</v>
      </c>
      <c r="C4901" s="18" t="s">
        <v>210</v>
      </c>
      <c r="D4901" s="18" t="s">
        <v>116</v>
      </c>
      <c r="E4901" s="18" t="s">
        <v>74</v>
      </c>
      <c r="F4901" s="18" t="s">
        <v>9443</v>
      </c>
      <c r="G4901" s="18" t="s">
        <v>207</v>
      </c>
      <c r="H4901" s="18" t="s">
        <v>9405</v>
      </c>
      <c r="I4901" s="20" t="s">
        <v>9444</v>
      </c>
      <c r="J4901" s="18" t="s">
        <v>199</v>
      </c>
      <c r="K4901" s="18" t="s">
        <v>24</v>
      </c>
      <c r="L4901" s="18" t="s">
        <v>25</v>
      </c>
      <c r="N4901" s="18" t="s">
        <v>26</v>
      </c>
    </row>
    <row r="4902" spans="1:14" ht="15" customHeight="1" x14ac:dyDescent="0.3">
      <c r="A4902" s="18" t="s">
        <v>8824</v>
      </c>
      <c r="B4902" s="19" t="s">
        <v>15</v>
      </c>
      <c r="C4902" s="18" t="s">
        <v>210</v>
      </c>
      <c r="D4902" s="18" t="s">
        <v>116</v>
      </c>
      <c r="E4902" s="18" t="s">
        <v>74</v>
      </c>
      <c r="F4902" s="18" t="s">
        <v>9445</v>
      </c>
      <c r="G4902" s="18" t="s">
        <v>207</v>
      </c>
      <c r="H4902" s="18" t="s">
        <v>9405</v>
      </c>
      <c r="I4902" s="20" t="s">
        <v>9446</v>
      </c>
      <c r="J4902" s="18" t="s">
        <v>199</v>
      </c>
      <c r="K4902" s="18" t="s">
        <v>24</v>
      </c>
      <c r="L4902" s="18" t="s">
        <v>25</v>
      </c>
      <c r="N4902" s="18" t="s">
        <v>26</v>
      </c>
    </row>
    <row r="4903" spans="1:14" ht="15" customHeight="1" x14ac:dyDescent="0.3">
      <c r="A4903" s="18" t="s">
        <v>8824</v>
      </c>
      <c r="B4903" s="19" t="s">
        <v>15</v>
      </c>
      <c r="C4903" s="18" t="s">
        <v>210</v>
      </c>
      <c r="D4903" s="18" t="s">
        <v>116</v>
      </c>
      <c r="E4903" s="18" t="s">
        <v>74</v>
      </c>
      <c r="F4903" s="18" t="s">
        <v>9447</v>
      </c>
      <c r="G4903" s="18" t="s">
        <v>433</v>
      </c>
      <c r="H4903" s="18" t="s">
        <v>8559</v>
      </c>
      <c r="I4903" s="20" t="s">
        <v>9448</v>
      </c>
      <c r="J4903" s="18" t="s">
        <v>199</v>
      </c>
      <c r="K4903" s="18" t="s">
        <v>24</v>
      </c>
      <c r="L4903" s="18" t="s">
        <v>25</v>
      </c>
      <c r="N4903" s="18" t="s">
        <v>26</v>
      </c>
    </row>
    <row r="4904" spans="1:14" ht="15" customHeight="1" x14ac:dyDescent="0.3">
      <c r="A4904" s="18" t="s">
        <v>8824</v>
      </c>
      <c r="B4904" s="19" t="s">
        <v>15</v>
      </c>
      <c r="C4904" s="18" t="s">
        <v>210</v>
      </c>
      <c r="D4904" s="18" t="s">
        <v>116</v>
      </c>
      <c r="E4904" s="18" t="s">
        <v>74</v>
      </c>
      <c r="F4904" s="18" t="s">
        <v>1629</v>
      </c>
      <c r="G4904" s="18" t="s">
        <v>219</v>
      </c>
      <c r="H4904" s="18" t="s">
        <v>9409</v>
      </c>
      <c r="I4904" s="20" t="s">
        <v>9449</v>
      </c>
      <c r="J4904" s="18" t="s">
        <v>9450</v>
      </c>
      <c r="K4904" s="18" t="s">
        <v>24</v>
      </c>
      <c r="L4904" s="18" t="s">
        <v>25</v>
      </c>
      <c r="N4904" s="18" t="s">
        <v>26</v>
      </c>
    </row>
    <row r="4905" spans="1:14" ht="15" customHeight="1" x14ac:dyDescent="0.3">
      <c r="A4905" s="18" t="s">
        <v>8824</v>
      </c>
      <c r="B4905" s="19" t="s">
        <v>15</v>
      </c>
      <c r="C4905" s="18" t="s">
        <v>210</v>
      </c>
      <c r="D4905" s="18" t="s">
        <v>116</v>
      </c>
      <c r="E4905" s="18" t="s">
        <v>74</v>
      </c>
      <c r="F4905" s="18" t="s">
        <v>85</v>
      </c>
      <c r="G4905" s="18" t="s">
        <v>85</v>
      </c>
      <c r="H4905" s="18" t="s">
        <v>9409</v>
      </c>
      <c r="I4905" s="20" t="s">
        <v>9451</v>
      </c>
      <c r="J4905" s="18" t="s">
        <v>9452</v>
      </c>
      <c r="K4905" s="18" t="s">
        <v>293</v>
      </c>
      <c r="L4905" s="18" t="s">
        <v>25</v>
      </c>
      <c r="N4905" s="18" t="s">
        <v>26</v>
      </c>
    </row>
    <row r="4906" spans="1:14" ht="15" customHeight="1" x14ac:dyDescent="0.3">
      <c r="A4906" s="18" t="s">
        <v>8824</v>
      </c>
      <c r="B4906" s="19" t="s">
        <v>15</v>
      </c>
      <c r="C4906" s="18" t="s">
        <v>210</v>
      </c>
      <c r="D4906" s="18" t="s">
        <v>116</v>
      </c>
      <c r="E4906" s="18" t="s">
        <v>74</v>
      </c>
      <c r="F4906" s="18" t="s">
        <v>2765</v>
      </c>
      <c r="G4906" s="18" t="s">
        <v>85</v>
      </c>
      <c r="H4906" s="18" t="s">
        <v>9405</v>
      </c>
      <c r="I4906" s="20" t="s">
        <v>9453</v>
      </c>
      <c r="J4906" s="18" t="s">
        <v>199</v>
      </c>
      <c r="K4906" s="18" t="s">
        <v>24</v>
      </c>
      <c r="L4906" s="18" t="s">
        <v>25</v>
      </c>
      <c r="N4906" s="18" t="s">
        <v>26</v>
      </c>
    </row>
    <row r="4907" spans="1:14" ht="15" customHeight="1" x14ac:dyDescent="0.3">
      <c r="A4907" s="18" t="s">
        <v>8824</v>
      </c>
      <c r="B4907" s="19" t="s">
        <v>15</v>
      </c>
      <c r="C4907" s="18" t="s">
        <v>210</v>
      </c>
      <c r="D4907" s="18" t="s">
        <v>116</v>
      </c>
      <c r="E4907" s="18" t="s">
        <v>74</v>
      </c>
      <c r="F4907" s="18" t="s">
        <v>5131</v>
      </c>
      <c r="G4907" s="18" t="s">
        <v>619</v>
      </c>
      <c r="H4907" s="18" t="s">
        <v>9405</v>
      </c>
      <c r="I4907" s="20" t="s">
        <v>9454</v>
      </c>
      <c r="J4907" s="18" t="s">
        <v>199</v>
      </c>
      <c r="K4907" s="18" t="s">
        <v>24</v>
      </c>
      <c r="L4907" s="18" t="s">
        <v>25</v>
      </c>
      <c r="N4907" s="18" t="s">
        <v>26</v>
      </c>
    </row>
    <row r="4908" spans="1:14" ht="15" customHeight="1" x14ac:dyDescent="0.3">
      <c r="A4908" s="18" t="s">
        <v>8824</v>
      </c>
      <c r="B4908" s="19" t="s">
        <v>15</v>
      </c>
      <c r="C4908" s="18" t="s">
        <v>210</v>
      </c>
      <c r="D4908" s="18" t="s">
        <v>116</v>
      </c>
      <c r="E4908" s="18" t="s">
        <v>74</v>
      </c>
      <c r="F4908" s="18" t="s">
        <v>9455</v>
      </c>
      <c r="G4908" s="18" t="s">
        <v>85</v>
      </c>
      <c r="H4908" s="18" t="s">
        <v>9409</v>
      </c>
      <c r="I4908" s="20" t="s">
        <v>9456</v>
      </c>
      <c r="J4908" s="18" t="s">
        <v>9457</v>
      </c>
      <c r="K4908" s="18" t="s">
        <v>293</v>
      </c>
      <c r="L4908" s="18" t="s">
        <v>25</v>
      </c>
      <c r="N4908" s="18" t="s">
        <v>26</v>
      </c>
    </row>
    <row r="4909" spans="1:14" ht="15" customHeight="1" x14ac:dyDescent="0.3">
      <c r="A4909" s="18" t="s">
        <v>8824</v>
      </c>
      <c r="B4909" s="19" t="s">
        <v>15</v>
      </c>
      <c r="C4909" s="18" t="s">
        <v>210</v>
      </c>
      <c r="D4909" s="18" t="s">
        <v>116</v>
      </c>
      <c r="E4909" s="18" t="s">
        <v>74</v>
      </c>
      <c r="F4909" s="18" t="s">
        <v>9458</v>
      </c>
      <c r="G4909" s="18" t="s">
        <v>1059</v>
      </c>
      <c r="H4909" s="18" t="s">
        <v>9405</v>
      </c>
      <c r="I4909" s="20" t="s">
        <v>9459</v>
      </c>
      <c r="J4909" s="18" t="s">
        <v>199</v>
      </c>
      <c r="K4909" s="18" t="s">
        <v>24</v>
      </c>
      <c r="L4909" s="18" t="s">
        <v>25</v>
      </c>
      <c r="N4909" s="18" t="s">
        <v>26</v>
      </c>
    </row>
    <row r="4910" spans="1:14" ht="15" customHeight="1" x14ac:dyDescent="0.3">
      <c r="A4910" s="18" t="s">
        <v>8824</v>
      </c>
      <c r="B4910" s="19" t="s">
        <v>15</v>
      </c>
      <c r="C4910" s="18" t="s">
        <v>210</v>
      </c>
      <c r="D4910" s="18" t="s">
        <v>116</v>
      </c>
      <c r="E4910" s="18" t="s">
        <v>74</v>
      </c>
      <c r="F4910" s="18" t="s">
        <v>9460</v>
      </c>
      <c r="G4910" s="18" t="s">
        <v>80</v>
      </c>
      <c r="H4910" s="18" t="s">
        <v>8429</v>
      </c>
      <c r="I4910" s="20" t="s">
        <v>9461</v>
      </c>
      <c r="J4910" s="18" t="s">
        <v>199</v>
      </c>
      <c r="K4910" s="18" t="s">
        <v>24</v>
      </c>
      <c r="L4910" s="18" t="s">
        <v>25</v>
      </c>
      <c r="N4910" s="18" t="s">
        <v>26</v>
      </c>
    </row>
    <row r="4911" spans="1:14" ht="15" customHeight="1" x14ac:dyDescent="0.3">
      <c r="A4911" s="18" t="s">
        <v>8824</v>
      </c>
      <c r="B4911" s="19" t="s">
        <v>15</v>
      </c>
      <c r="C4911" s="18" t="s">
        <v>210</v>
      </c>
      <c r="D4911" s="18" t="s">
        <v>116</v>
      </c>
      <c r="E4911" s="18" t="s">
        <v>74</v>
      </c>
      <c r="F4911" s="18" t="s">
        <v>9462</v>
      </c>
      <c r="G4911" s="18" t="s">
        <v>80</v>
      </c>
      <c r="H4911" s="18" t="s">
        <v>8429</v>
      </c>
      <c r="I4911" s="20" t="s">
        <v>9463</v>
      </c>
      <c r="J4911" s="18" t="s">
        <v>199</v>
      </c>
      <c r="K4911" s="18" t="s">
        <v>24</v>
      </c>
      <c r="L4911" s="18" t="s">
        <v>25</v>
      </c>
      <c r="N4911" s="18" t="s">
        <v>26</v>
      </c>
    </row>
    <row r="4912" spans="1:14" ht="15" customHeight="1" x14ac:dyDescent="0.3">
      <c r="A4912" s="18" t="s">
        <v>8824</v>
      </c>
      <c r="B4912" s="19" t="s">
        <v>15</v>
      </c>
      <c r="C4912" s="18" t="s">
        <v>210</v>
      </c>
      <c r="D4912" s="18" t="s">
        <v>116</v>
      </c>
      <c r="E4912" s="18" t="s">
        <v>74</v>
      </c>
      <c r="F4912" s="18" t="s">
        <v>9464</v>
      </c>
      <c r="G4912" s="18" t="s">
        <v>619</v>
      </c>
      <c r="H4912" s="18" t="s">
        <v>9405</v>
      </c>
      <c r="I4912" s="20" t="s">
        <v>9465</v>
      </c>
      <c r="J4912" s="18" t="s">
        <v>199</v>
      </c>
      <c r="K4912" s="18" t="s">
        <v>24</v>
      </c>
      <c r="L4912" s="18" t="s">
        <v>25</v>
      </c>
      <c r="N4912" s="18" t="s">
        <v>26</v>
      </c>
    </row>
    <row r="4913" spans="1:14" ht="15" customHeight="1" x14ac:dyDescent="0.3">
      <c r="A4913" s="18" t="s">
        <v>8824</v>
      </c>
      <c r="B4913" s="19" t="s">
        <v>15</v>
      </c>
      <c r="C4913" s="18" t="s">
        <v>210</v>
      </c>
      <c r="D4913" s="18" t="s">
        <v>116</v>
      </c>
      <c r="E4913" s="18" t="s">
        <v>74</v>
      </c>
      <c r="F4913" s="18" t="s">
        <v>9466</v>
      </c>
      <c r="G4913" s="18" t="s">
        <v>2921</v>
      </c>
      <c r="H4913" s="18" t="s">
        <v>9405</v>
      </c>
      <c r="I4913" s="20" t="s">
        <v>9467</v>
      </c>
      <c r="J4913" s="18" t="s">
        <v>199</v>
      </c>
      <c r="K4913" s="18" t="s">
        <v>24</v>
      </c>
      <c r="L4913" s="18" t="s">
        <v>25</v>
      </c>
      <c r="N4913" s="18" t="s">
        <v>26</v>
      </c>
    </row>
    <row r="4914" spans="1:14" ht="15" customHeight="1" x14ac:dyDescent="0.3">
      <c r="A4914" s="18" t="s">
        <v>8824</v>
      </c>
      <c r="B4914" s="19" t="s">
        <v>15</v>
      </c>
      <c r="C4914" s="18" t="s">
        <v>210</v>
      </c>
      <c r="D4914" s="18" t="s">
        <v>116</v>
      </c>
      <c r="E4914" s="18" t="s">
        <v>74</v>
      </c>
      <c r="F4914" s="18" t="s">
        <v>9468</v>
      </c>
      <c r="G4914" s="18" t="s">
        <v>429</v>
      </c>
      <c r="H4914" s="18" t="s">
        <v>8939</v>
      </c>
      <c r="I4914" s="20" t="s">
        <v>9469</v>
      </c>
      <c r="J4914" s="18" t="s">
        <v>199</v>
      </c>
      <c r="K4914" s="18" t="s">
        <v>293</v>
      </c>
      <c r="L4914" s="18" t="s">
        <v>25</v>
      </c>
      <c r="N4914" s="18" t="s">
        <v>26</v>
      </c>
    </row>
    <row r="4915" spans="1:14" ht="15" customHeight="1" x14ac:dyDescent="0.3">
      <c r="A4915" s="18" t="s">
        <v>8824</v>
      </c>
      <c r="B4915" s="19" t="s">
        <v>15</v>
      </c>
      <c r="C4915" s="18" t="s">
        <v>210</v>
      </c>
      <c r="D4915" s="18" t="s">
        <v>116</v>
      </c>
      <c r="E4915" s="18" t="s">
        <v>74</v>
      </c>
      <c r="F4915" s="18" t="s">
        <v>9470</v>
      </c>
      <c r="G4915" s="18" t="s">
        <v>76</v>
      </c>
      <c r="H4915" s="18" t="s">
        <v>8939</v>
      </c>
      <c r="I4915" s="20" t="s">
        <v>9471</v>
      </c>
      <c r="J4915" s="18" t="s">
        <v>199</v>
      </c>
      <c r="K4915" s="18" t="s">
        <v>293</v>
      </c>
      <c r="L4915" s="18" t="s">
        <v>25</v>
      </c>
      <c r="N4915" s="18" t="s">
        <v>26</v>
      </c>
    </row>
    <row r="4916" spans="1:14" ht="15" customHeight="1" x14ac:dyDescent="0.3">
      <c r="A4916" s="18" t="s">
        <v>8824</v>
      </c>
      <c r="B4916" s="19" t="s">
        <v>15</v>
      </c>
      <c r="C4916" s="18" t="s">
        <v>210</v>
      </c>
      <c r="D4916" s="18" t="s">
        <v>116</v>
      </c>
      <c r="E4916" s="18" t="s">
        <v>74</v>
      </c>
      <c r="F4916" s="18" t="s">
        <v>9472</v>
      </c>
      <c r="G4916" s="18" t="s">
        <v>429</v>
      </c>
      <c r="H4916" s="18" t="s">
        <v>8939</v>
      </c>
      <c r="I4916" s="20" t="s">
        <v>9473</v>
      </c>
      <c r="J4916" s="18" t="s">
        <v>199</v>
      </c>
      <c r="K4916" s="18" t="s">
        <v>293</v>
      </c>
      <c r="L4916" s="18" t="s">
        <v>25</v>
      </c>
      <c r="N4916" s="18" t="s">
        <v>26</v>
      </c>
    </row>
    <row r="4917" spans="1:14" ht="15" customHeight="1" x14ac:dyDescent="0.3">
      <c r="A4917" s="18" t="s">
        <v>8824</v>
      </c>
      <c r="B4917" s="19" t="s">
        <v>15</v>
      </c>
      <c r="C4917" s="18" t="s">
        <v>210</v>
      </c>
      <c r="D4917" s="18" t="s">
        <v>116</v>
      </c>
      <c r="E4917" s="18" t="s">
        <v>74</v>
      </c>
      <c r="F4917" s="18" t="s">
        <v>9474</v>
      </c>
      <c r="G4917" s="18" t="s">
        <v>80</v>
      </c>
      <c r="H4917" s="18" t="s">
        <v>8429</v>
      </c>
      <c r="I4917" s="20" t="s">
        <v>9475</v>
      </c>
      <c r="J4917" s="18" t="s">
        <v>199</v>
      </c>
      <c r="K4917" s="18" t="s">
        <v>24</v>
      </c>
      <c r="L4917" s="18" t="s">
        <v>25</v>
      </c>
      <c r="N4917" s="18" t="s">
        <v>26</v>
      </c>
    </row>
    <row r="4918" spans="1:14" ht="15" customHeight="1" x14ac:dyDescent="0.3">
      <c r="A4918" s="18" t="s">
        <v>8824</v>
      </c>
      <c r="B4918" s="19" t="s">
        <v>15</v>
      </c>
      <c r="C4918" s="18" t="s">
        <v>210</v>
      </c>
      <c r="D4918" s="18" t="s">
        <v>116</v>
      </c>
      <c r="E4918" s="18" t="s">
        <v>74</v>
      </c>
      <c r="F4918" s="18" t="s">
        <v>9476</v>
      </c>
      <c r="G4918" s="18" t="s">
        <v>197</v>
      </c>
      <c r="H4918" s="18" t="s">
        <v>8420</v>
      </c>
      <c r="I4918" s="20" t="s">
        <v>9477</v>
      </c>
      <c r="J4918" s="18" t="s">
        <v>199</v>
      </c>
      <c r="K4918" s="18" t="s">
        <v>24</v>
      </c>
      <c r="L4918" s="18" t="s">
        <v>25</v>
      </c>
      <c r="N4918" s="18" t="s">
        <v>26</v>
      </c>
    </row>
    <row r="4919" spans="1:14" ht="15" customHeight="1" x14ac:dyDescent="0.3">
      <c r="A4919" s="18" t="s">
        <v>8824</v>
      </c>
      <c r="B4919" s="19" t="s">
        <v>15</v>
      </c>
      <c r="C4919" s="18" t="s">
        <v>210</v>
      </c>
      <c r="D4919" s="18" t="s">
        <v>116</v>
      </c>
      <c r="E4919" s="18" t="s">
        <v>74</v>
      </c>
      <c r="F4919" s="18" t="s">
        <v>9478</v>
      </c>
      <c r="G4919" s="18" t="s">
        <v>298</v>
      </c>
      <c r="H4919" s="18" t="s">
        <v>8420</v>
      </c>
      <c r="I4919" s="20" t="s">
        <v>9479</v>
      </c>
      <c r="J4919" s="18" t="s">
        <v>199</v>
      </c>
      <c r="K4919" s="18" t="s">
        <v>24</v>
      </c>
      <c r="L4919" s="18" t="s">
        <v>25</v>
      </c>
      <c r="N4919" s="18" t="s">
        <v>26</v>
      </c>
    </row>
    <row r="4920" spans="1:14" ht="15" customHeight="1" x14ac:dyDescent="0.3">
      <c r="A4920" s="18" t="s">
        <v>8824</v>
      </c>
      <c r="B4920" s="19" t="s">
        <v>15</v>
      </c>
      <c r="C4920" s="18" t="s">
        <v>210</v>
      </c>
      <c r="D4920" s="18" t="s">
        <v>116</v>
      </c>
      <c r="E4920" s="18" t="s">
        <v>74</v>
      </c>
      <c r="F4920" s="18" t="s">
        <v>9480</v>
      </c>
      <c r="G4920" s="18" t="s">
        <v>273</v>
      </c>
      <c r="H4920" s="18" t="s">
        <v>8159</v>
      </c>
      <c r="I4920" s="20" t="s">
        <v>9481</v>
      </c>
      <c r="J4920" s="18" t="s">
        <v>199</v>
      </c>
      <c r="K4920" s="18" t="s">
        <v>24</v>
      </c>
      <c r="L4920" s="18" t="s">
        <v>25</v>
      </c>
      <c r="N4920" s="18" t="s">
        <v>26</v>
      </c>
    </row>
    <row r="4921" spans="1:14" ht="15" customHeight="1" x14ac:dyDescent="0.3">
      <c r="A4921" s="18" t="s">
        <v>8824</v>
      </c>
      <c r="B4921" s="19" t="s">
        <v>15</v>
      </c>
      <c r="C4921" s="18" t="s">
        <v>210</v>
      </c>
      <c r="D4921" s="18" t="s">
        <v>116</v>
      </c>
      <c r="E4921" s="18" t="s">
        <v>74</v>
      </c>
      <c r="F4921" s="18" t="s">
        <v>9482</v>
      </c>
      <c r="G4921" s="18" t="s">
        <v>273</v>
      </c>
      <c r="H4921" s="18" t="s">
        <v>8159</v>
      </c>
      <c r="I4921" s="20" t="s">
        <v>9483</v>
      </c>
      <c r="J4921" s="18" t="s">
        <v>199</v>
      </c>
      <c r="K4921" s="18" t="s">
        <v>24</v>
      </c>
      <c r="L4921" s="18" t="s">
        <v>25</v>
      </c>
      <c r="N4921" s="18" t="s">
        <v>26</v>
      </c>
    </row>
    <row r="4922" spans="1:14" ht="15" customHeight="1" x14ac:dyDescent="0.3">
      <c r="A4922" s="18" t="s">
        <v>8824</v>
      </c>
      <c r="B4922" s="19" t="s">
        <v>15</v>
      </c>
      <c r="C4922" s="18" t="s">
        <v>210</v>
      </c>
      <c r="D4922" s="18" t="s">
        <v>116</v>
      </c>
      <c r="E4922" s="18" t="s">
        <v>74</v>
      </c>
      <c r="F4922" s="18" t="s">
        <v>9484</v>
      </c>
      <c r="G4922" s="18" t="s">
        <v>273</v>
      </c>
      <c r="H4922" s="18" t="s">
        <v>8159</v>
      </c>
      <c r="I4922" s="20" t="s">
        <v>9485</v>
      </c>
      <c r="J4922" s="18" t="s">
        <v>394</v>
      </c>
      <c r="K4922" s="18" t="s">
        <v>24</v>
      </c>
      <c r="L4922" s="18" t="s">
        <v>25</v>
      </c>
      <c r="N4922" s="18" t="s">
        <v>26</v>
      </c>
    </row>
    <row r="4923" spans="1:14" ht="15" customHeight="1" x14ac:dyDescent="0.3">
      <c r="A4923" s="18" t="s">
        <v>8824</v>
      </c>
      <c r="B4923" s="19" t="s">
        <v>15</v>
      </c>
      <c r="C4923" s="18" t="s">
        <v>210</v>
      </c>
      <c r="D4923" s="18" t="s">
        <v>116</v>
      </c>
      <c r="E4923" s="18" t="s">
        <v>74</v>
      </c>
      <c r="F4923" s="18" t="s">
        <v>9486</v>
      </c>
      <c r="G4923" s="18" t="s">
        <v>197</v>
      </c>
      <c r="H4923" s="18" t="s">
        <v>8420</v>
      </c>
      <c r="I4923" s="20" t="s">
        <v>9487</v>
      </c>
      <c r="J4923" s="18" t="s">
        <v>199</v>
      </c>
      <c r="K4923" s="18" t="s">
        <v>24</v>
      </c>
      <c r="L4923" s="18" t="s">
        <v>25</v>
      </c>
      <c r="N4923" s="18" t="s">
        <v>26</v>
      </c>
    </row>
    <row r="4924" spans="1:14" ht="15" customHeight="1" x14ac:dyDescent="0.3">
      <c r="A4924" s="18" t="s">
        <v>8824</v>
      </c>
      <c r="B4924" s="19" t="s">
        <v>15</v>
      </c>
      <c r="C4924" s="18" t="s">
        <v>210</v>
      </c>
      <c r="D4924" s="18" t="s">
        <v>116</v>
      </c>
      <c r="E4924" s="18" t="s">
        <v>74</v>
      </c>
      <c r="F4924" s="18" t="s">
        <v>9488</v>
      </c>
      <c r="G4924" s="18" t="s">
        <v>76</v>
      </c>
      <c r="H4924" s="18" t="s">
        <v>8939</v>
      </c>
      <c r="I4924" s="20" t="s">
        <v>9489</v>
      </c>
      <c r="J4924" s="18" t="s">
        <v>199</v>
      </c>
      <c r="K4924" s="18" t="s">
        <v>24</v>
      </c>
      <c r="L4924" s="18" t="s">
        <v>25</v>
      </c>
      <c r="N4924" s="18" t="s">
        <v>26</v>
      </c>
    </row>
    <row r="4925" spans="1:14" ht="15" customHeight="1" x14ac:dyDescent="0.3">
      <c r="A4925" s="18" t="s">
        <v>8824</v>
      </c>
      <c r="B4925" s="19" t="s">
        <v>15</v>
      </c>
      <c r="C4925" s="18" t="s">
        <v>210</v>
      </c>
      <c r="D4925" s="18" t="s">
        <v>116</v>
      </c>
      <c r="E4925" s="18" t="s">
        <v>74</v>
      </c>
      <c r="F4925" s="18" t="s">
        <v>9490</v>
      </c>
      <c r="G4925" s="18" t="s">
        <v>76</v>
      </c>
      <c r="H4925" s="18" t="s">
        <v>8939</v>
      </c>
      <c r="I4925" s="20" t="s">
        <v>9491</v>
      </c>
      <c r="J4925" s="18" t="s">
        <v>199</v>
      </c>
      <c r="K4925" s="18" t="s">
        <v>24</v>
      </c>
      <c r="L4925" s="18" t="s">
        <v>25</v>
      </c>
      <c r="N4925" s="18" t="s">
        <v>26</v>
      </c>
    </row>
    <row r="4926" spans="1:14" ht="15" customHeight="1" x14ac:dyDescent="0.3">
      <c r="A4926" s="18" t="s">
        <v>8824</v>
      </c>
      <c r="B4926" s="19" t="s">
        <v>15</v>
      </c>
      <c r="C4926" s="18" t="s">
        <v>210</v>
      </c>
      <c r="D4926" s="18" t="s">
        <v>116</v>
      </c>
      <c r="E4926" s="18" t="s">
        <v>74</v>
      </c>
      <c r="F4926" s="18" t="s">
        <v>9492</v>
      </c>
      <c r="G4926" s="18" t="s">
        <v>76</v>
      </c>
      <c r="H4926" s="18" t="s">
        <v>8939</v>
      </c>
      <c r="I4926" s="20" t="s">
        <v>9493</v>
      </c>
      <c r="J4926" s="18" t="s">
        <v>199</v>
      </c>
      <c r="K4926" s="18" t="s">
        <v>24</v>
      </c>
      <c r="L4926" s="18" t="s">
        <v>25</v>
      </c>
      <c r="N4926" s="18" t="s">
        <v>26</v>
      </c>
    </row>
    <row r="4927" spans="1:14" ht="15" customHeight="1" x14ac:dyDescent="0.3">
      <c r="A4927" s="18" t="s">
        <v>8824</v>
      </c>
      <c r="B4927" s="19" t="s">
        <v>15</v>
      </c>
      <c r="C4927" s="18" t="s">
        <v>210</v>
      </c>
      <c r="D4927" s="18" t="s">
        <v>116</v>
      </c>
      <c r="E4927" s="18" t="s">
        <v>74</v>
      </c>
      <c r="F4927" s="18" t="s">
        <v>9494</v>
      </c>
      <c r="G4927" s="18" t="s">
        <v>76</v>
      </c>
      <c r="H4927" s="18" t="s">
        <v>8939</v>
      </c>
      <c r="I4927" s="20" t="s">
        <v>9495</v>
      </c>
      <c r="J4927" s="18" t="s">
        <v>199</v>
      </c>
      <c r="K4927" s="18" t="s">
        <v>24</v>
      </c>
      <c r="L4927" s="18" t="s">
        <v>25</v>
      </c>
      <c r="N4927" s="18" t="s">
        <v>26</v>
      </c>
    </row>
    <row r="4928" spans="1:14" ht="15" customHeight="1" x14ac:dyDescent="0.3">
      <c r="A4928" s="18" t="s">
        <v>8824</v>
      </c>
      <c r="B4928" s="19" t="s">
        <v>15</v>
      </c>
      <c r="C4928" s="18" t="s">
        <v>210</v>
      </c>
      <c r="D4928" s="18" t="s">
        <v>116</v>
      </c>
      <c r="E4928" s="18" t="s">
        <v>74</v>
      </c>
      <c r="F4928" s="18" t="s">
        <v>9496</v>
      </c>
      <c r="G4928" s="18" t="s">
        <v>76</v>
      </c>
      <c r="H4928" s="18" t="s">
        <v>8939</v>
      </c>
      <c r="I4928" s="20" t="s">
        <v>9497</v>
      </c>
      <c r="J4928" s="18" t="s">
        <v>199</v>
      </c>
      <c r="K4928" s="18" t="s">
        <v>24</v>
      </c>
      <c r="L4928" s="18" t="s">
        <v>25</v>
      </c>
      <c r="N4928" s="18" t="s">
        <v>26</v>
      </c>
    </row>
    <row r="4929" spans="1:14" ht="15" customHeight="1" x14ac:dyDescent="0.3">
      <c r="A4929" s="18" t="s">
        <v>8824</v>
      </c>
      <c r="B4929" s="19" t="s">
        <v>15</v>
      </c>
      <c r="C4929" s="18" t="s">
        <v>210</v>
      </c>
      <c r="D4929" s="18" t="s">
        <v>116</v>
      </c>
      <c r="E4929" s="18" t="s">
        <v>74</v>
      </c>
      <c r="F4929" s="18" t="s">
        <v>9498</v>
      </c>
      <c r="G4929" s="18" t="s">
        <v>76</v>
      </c>
      <c r="H4929" s="18" t="s">
        <v>8939</v>
      </c>
      <c r="I4929" s="20" t="s">
        <v>9499</v>
      </c>
      <c r="J4929" s="18" t="s">
        <v>199</v>
      </c>
      <c r="K4929" s="18" t="s">
        <v>24</v>
      </c>
      <c r="L4929" s="18" t="s">
        <v>25</v>
      </c>
      <c r="N4929" s="18" t="s">
        <v>26</v>
      </c>
    </row>
    <row r="4930" spans="1:14" ht="15" customHeight="1" x14ac:dyDescent="0.3">
      <c r="A4930" s="18" t="s">
        <v>8824</v>
      </c>
      <c r="B4930" s="19" t="s">
        <v>15</v>
      </c>
      <c r="C4930" s="18" t="s">
        <v>210</v>
      </c>
      <c r="D4930" s="18" t="s">
        <v>116</v>
      </c>
      <c r="E4930" s="18" t="s">
        <v>74</v>
      </c>
      <c r="F4930" s="18" t="s">
        <v>9500</v>
      </c>
      <c r="G4930" s="18" t="s">
        <v>76</v>
      </c>
      <c r="H4930" s="18" t="s">
        <v>8939</v>
      </c>
      <c r="I4930" s="20" t="s">
        <v>9501</v>
      </c>
      <c r="J4930" s="18" t="s">
        <v>199</v>
      </c>
      <c r="K4930" s="18" t="s">
        <v>24</v>
      </c>
      <c r="L4930" s="18" t="s">
        <v>25</v>
      </c>
      <c r="N4930" s="18" t="s">
        <v>26</v>
      </c>
    </row>
    <row r="4931" spans="1:14" ht="15" customHeight="1" x14ac:dyDescent="0.3">
      <c r="A4931" s="18" t="s">
        <v>8824</v>
      </c>
      <c r="B4931" s="19" t="s">
        <v>15</v>
      </c>
      <c r="C4931" s="18" t="s">
        <v>210</v>
      </c>
      <c r="D4931" s="18" t="s">
        <v>116</v>
      </c>
      <c r="E4931" s="18" t="s">
        <v>74</v>
      </c>
      <c r="F4931" s="18" t="s">
        <v>9502</v>
      </c>
      <c r="G4931" s="18" t="s">
        <v>88</v>
      </c>
      <c r="H4931" s="18" t="s">
        <v>9409</v>
      </c>
      <c r="I4931" s="20" t="s">
        <v>9503</v>
      </c>
      <c r="J4931" s="18" t="s">
        <v>9504</v>
      </c>
      <c r="K4931" s="18" t="s">
        <v>24</v>
      </c>
      <c r="L4931" s="18" t="s">
        <v>25</v>
      </c>
      <c r="N4931" s="18" t="s">
        <v>26</v>
      </c>
    </row>
    <row r="4932" spans="1:14" ht="15" customHeight="1" x14ac:dyDescent="0.3">
      <c r="A4932" s="18" t="s">
        <v>8824</v>
      </c>
      <c r="B4932" s="19" t="s">
        <v>15</v>
      </c>
      <c r="C4932" s="18" t="s">
        <v>210</v>
      </c>
      <c r="D4932" s="18" t="s">
        <v>116</v>
      </c>
      <c r="E4932" s="18" t="s">
        <v>74</v>
      </c>
      <c r="F4932" s="18" t="s">
        <v>9505</v>
      </c>
      <c r="G4932" s="18" t="s">
        <v>88</v>
      </c>
      <c r="H4932" s="18" t="s">
        <v>9409</v>
      </c>
      <c r="I4932" s="20" t="s">
        <v>9506</v>
      </c>
      <c r="J4932" s="18" t="s">
        <v>9507</v>
      </c>
      <c r="K4932" s="18" t="s">
        <v>293</v>
      </c>
      <c r="L4932" s="18" t="s">
        <v>25</v>
      </c>
      <c r="N4932" s="18" t="s">
        <v>26</v>
      </c>
    </row>
    <row r="4933" spans="1:14" ht="15" customHeight="1" x14ac:dyDescent="0.3">
      <c r="A4933" s="18" t="s">
        <v>8824</v>
      </c>
      <c r="B4933" s="19" t="s">
        <v>15</v>
      </c>
      <c r="C4933" s="18" t="s">
        <v>210</v>
      </c>
      <c r="D4933" s="18" t="s">
        <v>116</v>
      </c>
      <c r="E4933" s="18" t="s">
        <v>74</v>
      </c>
      <c r="F4933" s="18" t="s">
        <v>9508</v>
      </c>
      <c r="G4933" s="18" t="s">
        <v>273</v>
      </c>
      <c r="H4933" s="18" t="s">
        <v>8939</v>
      </c>
      <c r="I4933" s="20" t="s">
        <v>9509</v>
      </c>
      <c r="J4933" s="18" t="s">
        <v>199</v>
      </c>
      <c r="K4933" s="18" t="s">
        <v>24</v>
      </c>
      <c r="L4933" s="18" t="s">
        <v>25</v>
      </c>
      <c r="N4933" s="18" t="s">
        <v>26</v>
      </c>
    </row>
    <row r="4934" spans="1:14" ht="15" customHeight="1" x14ac:dyDescent="0.3">
      <c r="A4934" s="18" t="s">
        <v>8824</v>
      </c>
      <c r="B4934" s="19" t="s">
        <v>15</v>
      </c>
      <c r="C4934" s="18" t="s">
        <v>210</v>
      </c>
      <c r="D4934" s="18" t="s">
        <v>116</v>
      </c>
      <c r="E4934" s="18" t="s">
        <v>74</v>
      </c>
      <c r="F4934" s="18" t="s">
        <v>9510</v>
      </c>
      <c r="G4934" s="18" t="s">
        <v>28</v>
      </c>
      <c r="H4934" s="18" t="s">
        <v>8835</v>
      </c>
      <c r="I4934" s="20" t="s">
        <v>9511</v>
      </c>
      <c r="J4934" s="18" t="s">
        <v>199</v>
      </c>
      <c r="K4934" s="18" t="s">
        <v>24</v>
      </c>
      <c r="L4934" s="18" t="s">
        <v>25</v>
      </c>
      <c r="N4934" s="18" t="s">
        <v>26</v>
      </c>
    </row>
    <row r="4935" spans="1:14" ht="15" customHeight="1" x14ac:dyDescent="0.3">
      <c r="A4935" s="18" t="s">
        <v>8824</v>
      </c>
      <c r="B4935" s="19" t="s">
        <v>15</v>
      </c>
      <c r="C4935" s="18" t="s">
        <v>210</v>
      </c>
      <c r="D4935" s="18" t="s">
        <v>116</v>
      </c>
      <c r="E4935" s="18" t="s">
        <v>74</v>
      </c>
      <c r="F4935" s="18" t="s">
        <v>2932</v>
      </c>
      <c r="G4935" s="18" t="s">
        <v>1019</v>
      </c>
      <c r="H4935" s="18" t="s">
        <v>8852</v>
      </c>
      <c r="I4935" s="20" t="s">
        <v>9512</v>
      </c>
      <c r="J4935" s="18" t="s">
        <v>199</v>
      </c>
      <c r="K4935" s="18" t="s">
        <v>24</v>
      </c>
      <c r="L4935" s="18" t="s">
        <v>25</v>
      </c>
      <c r="N4935" s="18" t="s">
        <v>26</v>
      </c>
    </row>
    <row r="4936" spans="1:14" ht="15" customHeight="1" x14ac:dyDescent="0.3">
      <c r="A4936" s="18" t="s">
        <v>8824</v>
      </c>
      <c r="B4936" s="19" t="s">
        <v>15</v>
      </c>
      <c r="C4936" s="18" t="s">
        <v>210</v>
      </c>
      <c r="D4936" s="18" t="s">
        <v>116</v>
      </c>
      <c r="E4936" s="18" t="s">
        <v>74</v>
      </c>
      <c r="F4936" s="18" t="s">
        <v>9513</v>
      </c>
      <c r="G4936" s="18" t="s">
        <v>1753</v>
      </c>
      <c r="H4936" s="18" t="s">
        <v>9514</v>
      </c>
      <c r="I4936" s="20" t="s">
        <v>9515</v>
      </c>
      <c r="J4936" s="18" t="s">
        <v>199</v>
      </c>
      <c r="K4936" s="18" t="s">
        <v>24</v>
      </c>
      <c r="L4936" s="18" t="s">
        <v>25</v>
      </c>
      <c r="N4936" s="18" t="s">
        <v>26</v>
      </c>
    </row>
    <row r="4937" spans="1:14" ht="15" customHeight="1" x14ac:dyDescent="0.3">
      <c r="A4937" s="18" t="s">
        <v>8824</v>
      </c>
      <c r="B4937" s="19" t="s">
        <v>15</v>
      </c>
      <c r="C4937" s="18" t="s">
        <v>210</v>
      </c>
      <c r="D4937" s="18" t="s">
        <v>116</v>
      </c>
      <c r="E4937" s="18" t="s">
        <v>74</v>
      </c>
      <c r="F4937" s="18" t="s">
        <v>9516</v>
      </c>
      <c r="G4937" s="18" t="s">
        <v>28</v>
      </c>
      <c r="H4937" s="18" t="s">
        <v>8835</v>
      </c>
      <c r="I4937" s="20" t="s">
        <v>9517</v>
      </c>
      <c r="J4937" s="18" t="s">
        <v>199</v>
      </c>
      <c r="K4937" s="18" t="s">
        <v>24</v>
      </c>
      <c r="L4937" s="18" t="s">
        <v>25</v>
      </c>
      <c r="N4937" s="18" t="s">
        <v>26</v>
      </c>
    </row>
    <row r="4938" spans="1:14" ht="15" customHeight="1" x14ac:dyDescent="0.3">
      <c r="A4938" s="18" t="s">
        <v>8824</v>
      </c>
      <c r="B4938" s="19" t="s">
        <v>15</v>
      </c>
      <c r="C4938" s="18" t="s">
        <v>210</v>
      </c>
      <c r="D4938" s="18" t="s">
        <v>116</v>
      </c>
      <c r="E4938" s="18" t="s">
        <v>74</v>
      </c>
      <c r="F4938" s="18" t="s">
        <v>9518</v>
      </c>
      <c r="G4938" s="18" t="s">
        <v>619</v>
      </c>
      <c r="H4938" s="18" t="s">
        <v>8416</v>
      </c>
      <c r="I4938" s="20" t="s">
        <v>9519</v>
      </c>
      <c r="J4938" s="18" t="s">
        <v>7177</v>
      </c>
      <c r="K4938" s="18" t="s">
        <v>24</v>
      </c>
      <c r="L4938" s="18" t="s">
        <v>25</v>
      </c>
      <c r="N4938" s="18" t="s">
        <v>26</v>
      </c>
    </row>
    <row r="4939" spans="1:14" ht="15" customHeight="1" x14ac:dyDescent="0.3">
      <c r="A4939" s="18" t="s">
        <v>8824</v>
      </c>
      <c r="B4939" s="19" t="s">
        <v>15</v>
      </c>
      <c r="C4939" s="18" t="s">
        <v>210</v>
      </c>
      <c r="D4939" s="18" t="s">
        <v>116</v>
      </c>
      <c r="E4939" s="18" t="s">
        <v>74</v>
      </c>
      <c r="F4939" s="18" t="s">
        <v>9520</v>
      </c>
      <c r="G4939" s="18" t="s">
        <v>619</v>
      </c>
      <c r="H4939" s="18" t="s">
        <v>8416</v>
      </c>
      <c r="I4939" s="20" t="s">
        <v>9521</v>
      </c>
      <c r="J4939" s="18" t="s">
        <v>7182</v>
      </c>
      <c r="K4939" s="18" t="s">
        <v>24</v>
      </c>
      <c r="L4939" s="18" t="s">
        <v>25</v>
      </c>
      <c r="N4939" s="18" t="s">
        <v>26</v>
      </c>
    </row>
    <row r="4940" spans="1:14" ht="15" customHeight="1" x14ac:dyDescent="0.3">
      <c r="A4940" s="18" t="s">
        <v>8824</v>
      </c>
      <c r="B4940" s="19" t="s">
        <v>15</v>
      </c>
      <c r="C4940" s="18" t="s">
        <v>210</v>
      </c>
      <c r="D4940" s="18" t="s">
        <v>116</v>
      </c>
      <c r="E4940" s="18" t="s">
        <v>74</v>
      </c>
      <c r="F4940" s="18" t="s">
        <v>9522</v>
      </c>
      <c r="G4940" s="18" t="s">
        <v>151</v>
      </c>
      <c r="H4940" s="18" t="s">
        <v>8835</v>
      </c>
      <c r="I4940" s="20" t="s">
        <v>9523</v>
      </c>
      <c r="J4940" s="18" t="s">
        <v>199</v>
      </c>
      <c r="K4940" s="18" t="s">
        <v>24</v>
      </c>
      <c r="L4940" s="18" t="s">
        <v>25</v>
      </c>
      <c r="N4940" s="18" t="s">
        <v>26</v>
      </c>
    </row>
    <row r="4941" spans="1:14" ht="15" customHeight="1" x14ac:dyDescent="0.3">
      <c r="A4941" s="18" t="s">
        <v>8824</v>
      </c>
      <c r="B4941" s="19" t="s">
        <v>15</v>
      </c>
      <c r="C4941" s="18" t="s">
        <v>210</v>
      </c>
      <c r="D4941" s="18" t="s">
        <v>116</v>
      </c>
      <c r="E4941" s="18" t="s">
        <v>74</v>
      </c>
      <c r="F4941" s="18" t="s">
        <v>9524</v>
      </c>
      <c r="G4941" s="18" t="s">
        <v>423</v>
      </c>
      <c r="H4941" s="18" t="s">
        <v>8559</v>
      </c>
      <c r="I4941" s="20" t="s">
        <v>9525</v>
      </c>
      <c r="J4941" s="18" t="s">
        <v>199</v>
      </c>
      <c r="K4941" s="18" t="s">
        <v>24</v>
      </c>
      <c r="L4941" s="18" t="s">
        <v>25</v>
      </c>
      <c r="N4941" s="18" t="s">
        <v>26</v>
      </c>
    </row>
    <row r="4942" spans="1:14" ht="15" customHeight="1" x14ac:dyDescent="0.3">
      <c r="A4942" s="18" t="s">
        <v>8824</v>
      </c>
      <c r="B4942" s="19" t="s">
        <v>15</v>
      </c>
      <c r="C4942" s="18" t="s">
        <v>210</v>
      </c>
      <c r="D4942" s="18" t="s">
        <v>116</v>
      </c>
      <c r="E4942" s="18" t="s">
        <v>74</v>
      </c>
      <c r="F4942" s="18" t="s">
        <v>2593</v>
      </c>
      <c r="G4942" s="18" t="s">
        <v>273</v>
      </c>
      <c r="H4942" s="18" t="s">
        <v>8852</v>
      </c>
      <c r="I4942" s="20" t="s">
        <v>9526</v>
      </c>
      <c r="J4942" s="18" t="s">
        <v>199</v>
      </c>
      <c r="K4942" s="18" t="s">
        <v>24</v>
      </c>
      <c r="L4942" s="18" t="s">
        <v>25</v>
      </c>
      <c r="N4942" s="18" t="s">
        <v>26</v>
      </c>
    </row>
    <row r="4943" spans="1:14" ht="15" customHeight="1" x14ac:dyDescent="0.3">
      <c r="A4943" s="18" t="s">
        <v>8824</v>
      </c>
      <c r="B4943" s="19" t="s">
        <v>15</v>
      </c>
      <c r="C4943" s="18" t="s">
        <v>210</v>
      </c>
      <c r="D4943" s="18" t="s">
        <v>116</v>
      </c>
      <c r="E4943" s="18" t="s">
        <v>74</v>
      </c>
      <c r="F4943" s="18" t="s">
        <v>4005</v>
      </c>
      <c r="G4943" s="18" t="s">
        <v>273</v>
      </c>
      <c r="H4943" s="18" t="s">
        <v>8833</v>
      </c>
      <c r="I4943" s="20" t="s">
        <v>9527</v>
      </c>
      <c r="J4943" s="18" t="s">
        <v>199</v>
      </c>
      <c r="K4943" s="18" t="s">
        <v>24</v>
      </c>
      <c r="L4943" s="18" t="s">
        <v>25</v>
      </c>
      <c r="N4943" s="18" t="s">
        <v>26</v>
      </c>
    </row>
    <row r="4944" spans="1:14" ht="15" customHeight="1" x14ac:dyDescent="0.3">
      <c r="A4944" s="18" t="s">
        <v>8824</v>
      </c>
      <c r="B4944" s="19" t="s">
        <v>15</v>
      </c>
      <c r="C4944" s="18" t="s">
        <v>210</v>
      </c>
      <c r="D4944" s="18" t="s">
        <v>116</v>
      </c>
      <c r="E4944" s="18" t="s">
        <v>74</v>
      </c>
      <c r="F4944" s="18" t="s">
        <v>932</v>
      </c>
      <c r="G4944" s="18" t="s">
        <v>920</v>
      </c>
      <c r="H4944" s="18" t="s">
        <v>9528</v>
      </c>
      <c r="I4944" s="20" t="s">
        <v>9529</v>
      </c>
      <c r="J4944" s="18" t="s">
        <v>9530</v>
      </c>
      <c r="K4944" s="18" t="s">
        <v>24</v>
      </c>
      <c r="L4944" s="18" t="s">
        <v>25</v>
      </c>
      <c r="N4944" s="18" t="s">
        <v>26</v>
      </c>
    </row>
    <row r="4945" spans="1:14" ht="15" customHeight="1" x14ac:dyDescent="0.3">
      <c r="A4945" s="18" t="s">
        <v>8824</v>
      </c>
      <c r="B4945" s="19" t="s">
        <v>15</v>
      </c>
      <c r="C4945" s="18" t="s">
        <v>210</v>
      </c>
      <c r="D4945" s="18" t="s">
        <v>116</v>
      </c>
      <c r="E4945" s="18" t="s">
        <v>74</v>
      </c>
      <c r="F4945" s="18" t="s">
        <v>9531</v>
      </c>
      <c r="G4945" s="18" t="s">
        <v>340</v>
      </c>
      <c r="H4945" s="18" t="s">
        <v>8852</v>
      </c>
      <c r="I4945" s="20" t="s">
        <v>9532</v>
      </c>
      <c r="J4945" s="18" t="s">
        <v>199</v>
      </c>
      <c r="K4945" s="18" t="s">
        <v>24</v>
      </c>
      <c r="L4945" s="18" t="s">
        <v>25</v>
      </c>
      <c r="N4945" s="18" t="s">
        <v>26</v>
      </c>
    </row>
    <row r="4946" spans="1:14" ht="15" customHeight="1" x14ac:dyDescent="0.3">
      <c r="A4946" s="18" t="s">
        <v>8824</v>
      </c>
      <c r="B4946" s="19" t="s">
        <v>15</v>
      </c>
      <c r="C4946" s="18" t="s">
        <v>210</v>
      </c>
      <c r="D4946" s="18" t="s">
        <v>116</v>
      </c>
      <c r="E4946" s="18" t="s">
        <v>74</v>
      </c>
      <c r="F4946" s="18" t="s">
        <v>9533</v>
      </c>
      <c r="G4946" s="18" t="s">
        <v>273</v>
      </c>
      <c r="H4946" s="18" t="s">
        <v>8958</v>
      </c>
      <c r="I4946" s="20" t="s">
        <v>9534</v>
      </c>
      <c r="J4946" s="18" t="s">
        <v>199</v>
      </c>
      <c r="K4946" s="18" t="s">
        <v>24</v>
      </c>
      <c r="L4946" s="18" t="s">
        <v>25</v>
      </c>
      <c r="N4946" s="18" t="s">
        <v>26</v>
      </c>
    </row>
    <row r="4947" spans="1:14" ht="15" customHeight="1" x14ac:dyDescent="0.3">
      <c r="A4947" s="18" t="s">
        <v>8824</v>
      </c>
      <c r="B4947" s="19" t="s">
        <v>15</v>
      </c>
      <c r="C4947" s="18" t="s">
        <v>210</v>
      </c>
      <c r="D4947" s="18" t="s">
        <v>116</v>
      </c>
      <c r="E4947" s="18" t="s">
        <v>74</v>
      </c>
      <c r="F4947" s="18" t="s">
        <v>9535</v>
      </c>
      <c r="G4947" s="18" t="s">
        <v>47</v>
      </c>
      <c r="H4947" s="18" t="s">
        <v>8852</v>
      </c>
      <c r="I4947" s="20" t="s">
        <v>9536</v>
      </c>
      <c r="J4947" s="18" t="s">
        <v>199</v>
      </c>
      <c r="K4947" s="18" t="s">
        <v>24</v>
      </c>
      <c r="L4947" s="18" t="s">
        <v>25</v>
      </c>
      <c r="N4947" s="18" t="s">
        <v>26</v>
      </c>
    </row>
    <row r="4948" spans="1:14" ht="15" customHeight="1" x14ac:dyDescent="0.3">
      <c r="A4948" s="18" t="s">
        <v>8824</v>
      </c>
      <c r="B4948" s="19" t="s">
        <v>15</v>
      </c>
      <c r="C4948" s="18" t="s">
        <v>210</v>
      </c>
      <c r="D4948" s="18" t="s">
        <v>116</v>
      </c>
      <c r="E4948" s="18" t="s">
        <v>74</v>
      </c>
      <c r="F4948" s="18" t="s">
        <v>9537</v>
      </c>
      <c r="G4948" s="18" t="s">
        <v>1069</v>
      </c>
      <c r="H4948" s="18" t="s">
        <v>9250</v>
      </c>
      <c r="I4948" s="20" t="s">
        <v>9538</v>
      </c>
      <c r="J4948" s="18" t="s">
        <v>199</v>
      </c>
      <c r="K4948" s="18" t="s">
        <v>24</v>
      </c>
      <c r="L4948" s="18" t="s">
        <v>25</v>
      </c>
      <c r="N4948" s="18" t="s">
        <v>26</v>
      </c>
    </row>
    <row r="4949" spans="1:14" ht="15" customHeight="1" x14ac:dyDescent="0.3">
      <c r="A4949" s="18" t="s">
        <v>8824</v>
      </c>
      <c r="B4949" s="19" t="s">
        <v>15</v>
      </c>
      <c r="C4949" s="18" t="s">
        <v>210</v>
      </c>
      <c r="D4949" s="18" t="s">
        <v>116</v>
      </c>
      <c r="E4949" s="18" t="s">
        <v>74</v>
      </c>
      <c r="F4949" s="18" t="s">
        <v>9539</v>
      </c>
      <c r="G4949" s="18" t="s">
        <v>1069</v>
      </c>
      <c r="H4949" s="18" t="s">
        <v>9405</v>
      </c>
      <c r="I4949" s="20" t="s">
        <v>9540</v>
      </c>
      <c r="J4949" s="18" t="s">
        <v>199</v>
      </c>
      <c r="K4949" s="18" t="s">
        <v>24</v>
      </c>
      <c r="L4949" s="18" t="s">
        <v>25</v>
      </c>
      <c r="N4949" s="18" t="s">
        <v>26</v>
      </c>
    </row>
    <row r="4950" spans="1:14" ht="15" customHeight="1" x14ac:dyDescent="0.3">
      <c r="A4950" s="18" t="s">
        <v>8824</v>
      </c>
      <c r="B4950" s="19" t="s">
        <v>15</v>
      </c>
      <c r="C4950" s="18" t="s">
        <v>210</v>
      </c>
      <c r="D4950" s="18" t="s">
        <v>116</v>
      </c>
      <c r="E4950" s="18" t="s">
        <v>74</v>
      </c>
      <c r="F4950" s="18" t="s">
        <v>1961</v>
      </c>
      <c r="G4950" s="18" t="s">
        <v>41</v>
      </c>
      <c r="H4950" s="18" t="s">
        <v>9409</v>
      </c>
      <c r="I4950" s="20" t="s">
        <v>9541</v>
      </c>
      <c r="J4950" s="18" t="s">
        <v>9542</v>
      </c>
      <c r="K4950" s="18" t="s">
        <v>24</v>
      </c>
      <c r="L4950" s="18" t="s">
        <v>25</v>
      </c>
      <c r="N4950" s="18" t="s">
        <v>26</v>
      </c>
    </row>
    <row r="4951" spans="1:14" ht="15" customHeight="1" x14ac:dyDescent="0.3">
      <c r="A4951" s="18" t="s">
        <v>8824</v>
      </c>
      <c r="B4951" s="19" t="s">
        <v>15</v>
      </c>
      <c r="C4951" s="18" t="s">
        <v>210</v>
      </c>
      <c r="D4951" s="18" t="s">
        <v>116</v>
      </c>
      <c r="E4951" s="18" t="s">
        <v>74</v>
      </c>
      <c r="F4951" s="18" t="s">
        <v>9543</v>
      </c>
      <c r="G4951" s="18" t="s">
        <v>4597</v>
      </c>
      <c r="H4951" s="18" t="s">
        <v>9409</v>
      </c>
      <c r="I4951" s="20" t="s">
        <v>9544</v>
      </c>
      <c r="J4951" s="18" t="s">
        <v>9545</v>
      </c>
      <c r="K4951" s="18" t="s">
        <v>293</v>
      </c>
      <c r="L4951" s="18" t="s">
        <v>25</v>
      </c>
      <c r="N4951" s="18" t="s">
        <v>26</v>
      </c>
    </row>
    <row r="4952" spans="1:14" ht="15" customHeight="1" x14ac:dyDescent="0.3">
      <c r="A4952" s="18" t="s">
        <v>8824</v>
      </c>
      <c r="B4952" s="19" t="s">
        <v>15</v>
      </c>
      <c r="C4952" s="18" t="s">
        <v>210</v>
      </c>
      <c r="D4952" s="18" t="s">
        <v>116</v>
      </c>
      <c r="E4952" s="18" t="s">
        <v>74</v>
      </c>
      <c r="F4952" s="18" t="s">
        <v>9546</v>
      </c>
      <c r="G4952" s="18" t="s">
        <v>41</v>
      </c>
      <c r="H4952" s="18" t="s">
        <v>9409</v>
      </c>
      <c r="I4952" s="20" t="s">
        <v>9547</v>
      </c>
      <c r="J4952" s="18" t="s">
        <v>9548</v>
      </c>
      <c r="K4952" s="18" t="s">
        <v>24</v>
      </c>
      <c r="L4952" s="18" t="s">
        <v>25</v>
      </c>
      <c r="N4952" s="18" t="s">
        <v>26</v>
      </c>
    </row>
    <row r="4953" spans="1:14" ht="15" customHeight="1" x14ac:dyDescent="0.3">
      <c r="A4953" s="18" t="s">
        <v>8824</v>
      </c>
      <c r="B4953" s="19" t="s">
        <v>15</v>
      </c>
      <c r="C4953" s="18" t="s">
        <v>210</v>
      </c>
      <c r="D4953" s="18" t="s">
        <v>116</v>
      </c>
      <c r="E4953" s="18" t="s">
        <v>74</v>
      </c>
      <c r="F4953" s="18" t="s">
        <v>9549</v>
      </c>
      <c r="G4953" s="18" t="s">
        <v>41</v>
      </c>
      <c r="H4953" s="18" t="s">
        <v>9409</v>
      </c>
      <c r="I4953" s="20" t="s">
        <v>9550</v>
      </c>
      <c r="J4953" s="18" t="s">
        <v>9551</v>
      </c>
      <c r="K4953" s="18" t="s">
        <v>293</v>
      </c>
      <c r="L4953" s="18" t="s">
        <v>25</v>
      </c>
      <c r="N4953" s="18" t="s">
        <v>26</v>
      </c>
    </row>
    <row r="4954" spans="1:14" ht="15" customHeight="1" x14ac:dyDescent="0.3">
      <c r="A4954" s="18" t="s">
        <v>8824</v>
      </c>
      <c r="B4954" s="19" t="s">
        <v>15</v>
      </c>
      <c r="C4954" s="18" t="s">
        <v>210</v>
      </c>
      <c r="D4954" s="18" t="s">
        <v>116</v>
      </c>
      <c r="E4954" s="18" t="s">
        <v>74</v>
      </c>
      <c r="F4954" s="18" t="s">
        <v>1459</v>
      </c>
      <c r="G4954" s="18" t="s">
        <v>41</v>
      </c>
      <c r="H4954" s="18" t="s">
        <v>9409</v>
      </c>
      <c r="I4954" s="20" t="s">
        <v>9552</v>
      </c>
      <c r="J4954" s="18" t="s">
        <v>9553</v>
      </c>
      <c r="K4954" s="18" t="s">
        <v>24</v>
      </c>
      <c r="L4954" s="18" t="s">
        <v>25</v>
      </c>
      <c r="N4954" s="18" t="s">
        <v>26</v>
      </c>
    </row>
    <row r="4955" spans="1:14" ht="15" customHeight="1" x14ac:dyDescent="0.3">
      <c r="A4955" s="18" t="s">
        <v>8824</v>
      </c>
      <c r="B4955" s="19" t="s">
        <v>15</v>
      </c>
      <c r="C4955" s="18" t="s">
        <v>210</v>
      </c>
      <c r="D4955" s="18" t="s">
        <v>116</v>
      </c>
      <c r="E4955" s="18" t="s">
        <v>74</v>
      </c>
      <c r="F4955" s="18" t="s">
        <v>1088</v>
      </c>
      <c r="G4955" s="18" t="s">
        <v>41</v>
      </c>
      <c r="H4955" s="18" t="s">
        <v>9405</v>
      </c>
      <c r="I4955" s="20" t="s">
        <v>9554</v>
      </c>
      <c r="J4955" s="18" t="s">
        <v>199</v>
      </c>
      <c r="K4955" s="18" t="s">
        <v>24</v>
      </c>
      <c r="L4955" s="18" t="s">
        <v>25</v>
      </c>
      <c r="N4955" s="18" t="s">
        <v>26</v>
      </c>
    </row>
    <row r="4956" spans="1:14" ht="15" customHeight="1" x14ac:dyDescent="0.3">
      <c r="A4956" s="18" t="s">
        <v>8824</v>
      </c>
      <c r="B4956" s="19" t="s">
        <v>15</v>
      </c>
      <c r="C4956" s="18" t="s">
        <v>210</v>
      </c>
      <c r="D4956" s="18" t="s">
        <v>116</v>
      </c>
      <c r="E4956" s="18" t="s">
        <v>74</v>
      </c>
      <c r="F4956" s="18" t="s">
        <v>9555</v>
      </c>
      <c r="G4956" s="18" t="s">
        <v>433</v>
      </c>
      <c r="H4956" s="18" t="s">
        <v>9409</v>
      </c>
      <c r="I4956" s="20" t="s">
        <v>9556</v>
      </c>
      <c r="J4956" s="18" t="s">
        <v>9557</v>
      </c>
      <c r="K4956" s="18" t="s">
        <v>293</v>
      </c>
      <c r="L4956" s="18" t="s">
        <v>25</v>
      </c>
      <c r="N4956" s="18" t="s">
        <v>26</v>
      </c>
    </row>
    <row r="4957" spans="1:14" ht="15" customHeight="1" x14ac:dyDescent="0.3">
      <c r="A4957" s="18" t="s">
        <v>8824</v>
      </c>
      <c r="B4957" s="19" t="s">
        <v>15</v>
      </c>
      <c r="C4957" s="18" t="s">
        <v>210</v>
      </c>
      <c r="D4957" s="18" t="s">
        <v>116</v>
      </c>
      <c r="E4957" s="18" t="s">
        <v>74</v>
      </c>
      <c r="F4957" s="18" t="s">
        <v>2228</v>
      </c>
      <c r="G4957" s="18" t="s">
        <v>536</v>
      </c>
      <c r="H4957" s="18" t="s">
        <v>9409</v>
      </c>
      <c r="I4957" s="20" t="s">
        <v>9558</v>
      </c>
      <c r="J4957" s="18" t="s">
        <v>9559</v>
      </c>
      <c r="K4957" s="18" t="s">
        <v>293</v>
      </c>
      <c r="L4957" s="18" t="s">
        <v>25</v>
      </c>
      <c r="N4957" s="18" t="s">
        <v>26</v>
      </c>
    </row>
    <row r="4958" spans="1:14" ht="15" customHeight="1" x14ac:dyDescent="0.3">
      <c r="A4958" s="18" t="s">
        <v>8824</v>
      </c>
      <c r="B4958" s="19" t="s">
        <v>15</v>
      </c>
      <c r="C4958" s="18" t="s">
        <v>210</v>
      </c>
      <c r="D4958" s="18" t="s">
        <v>116</v>
      </c>
      <c r="E4958" s="18" t="s">
        <v>74</v>
      </c>
      <c r="F4958" s="18" t="s">
        <v>9215</v>
      </c>
      <c r="G4958" s="18" t="s">
        <v>41</v>
      </c>
      <c r="H4958" s="18" t="s">
        <v>9409</v>
      </c>
      <c r="I4958" s="20" t="s">
        <v>9560</v>
      </c>
      <c r="J4958" s="18" t="s">
        <v>9561</v>
      </c>
      <c r="K4958" s="18" t="s">
        <v>24</v>
      </c>
      <c r="L4958" s="18" t="s">
        <v>25</v>
      </c>
      <c r="N4958" s="18" t="s">
        <v>26</v>
      </c>
    </row>
    <row r="4959" spans="1:14" ht="15" customHeight="1" x14ac:dyDescent="0.3">
      <c r="A4959" s="18" t="s">
        <v>8824</v>
      </c>
      <c r="B4959" s="19" t="s">
        <v>15</v>
      </c>
      <c r="C4959" s="18" t="s">
        <v>210</v>
      </c>
      <c r="D4959" s="18" t="s">
        <v>116</v>
      </c>
      <c r="E4959" s="18" t="s">
        <v>74</v>
      </c>
      <c r="F4959" s="18" t="s">
        <v>9562</v>
      </c>
      <c r="G4959" s="18" t="s">
        <v>1059</v>
      </c>
      <c r="H4959" s="18" t="s">
        <v>9409</v>
      </c>
      <c r="I4959" s="20" t="s">
        <v>9563</v>
      </c>
      <c r="J4959" s="18" t="s">
        <v>9564</v>
      </c>
      <c r="K4959" s="18" t="s">
        <v>293</v>
      </c>
      <c r="L4959" s="18" t="s">
        <v>25</v>
      </c>
      <c r="N4959" s="18" t="s">
        <v>26</v>
      </c>
    </row>
    <row r="4960" spans="1:14" ht="15" customHeight="1" x14ac:dyDescent="0.3">
      <c r="A4960" s="18" t="s">
        <v>8824</v>
      </c>
      <c r="B4960" s="19" t="s">
        <v>15</v>
      </c>
      <c r="C4960" s="18" t="s">
        <v>210</v>
      </c>
      <c r="D4960" s="18" t="s">
        <v>116</v>
      </c>
      <c r="E4960" s="18" t="s">
        <v>74</v>
      </c>
      <c r="F4960" s="18" t="s">
        <v>9565</v>
      </c>
      <c r="G4960" s="18" t="s">
        <v>1019</v>
      </c>
      <c r="H4960" s="18" t="s">
        <v>8852</v>
      </c>
      <c r="I4960" s="20" t="s">
        <v>9566</v>
      </c>
      <c r="J4960" s="18" t="s">
        <v>199</v>
      </c>
      <c r="K4960" s="18" t="s">
        <v>24</v>
      </c>
      <c r="L4960" s="18" t="s">
        <v>25</v>
      </c>
      <c r="N4960" s="18" t="s">
        <v>26</v>
      </c>
    </row>
    <row r="4961" spans="1:14" ht="15" customHeight="1" x14ac:dyDescent="0.3">
      <c r="A4961" s="18" t="s">
        <v>8824</v>
      </c>
      <c r="B4961" s="19" t="s">
        <v>15</v>
      </c>
      <c r="C4961" s="18" t="s">
        <v>210</v>
      </c>
      <c r="D4961" s="18" t="s">
        <v>116</v>
      </c>
      <c r="E4961" s="18" t="s">
        <v>74</v>
      </c>
      <c r="F4961" s="18" t="s">
        <v>9567</v>
      </c>
      <c r="G4961" s="18" t="s">
        <v>429</v>
      </c>
      <c r="H4961" s="18" t="s">
        <v>8939</v>
      </c>
      <c r="I4961" s="20" t="s">
        <v>9568</v>
      </c>
      <c r="J4961" s="18" t="s">
        <v>199</v>
      </c>
      <c r="K4961" s="18" t="s">
        <v>24</v>
      </c>
      <c r="L4961" s="18" t="s">
        <v>25</v>
      </c>
      <c r="N4961" s="18" t="s">
        <v>26</v>
      </c>
    </row>
    <row r="4962" spans="1:14" ht="15" customHeight="1" x14ac:dyDescent="0.3">
      <c r="A4962" s="18" t="s">
        <v>8824</v>
      </c>
      <c r="B4962" s="19" t="s">
        <v>15</v>
      </c>
      <c r="C4962" s="18" t="s">
        <v>210</v>
      </c>
      <c r="D4962" s="18" t="s">
        <v>116</v>
      </c>
      <c r="E4962" s="18" t="s">
        <v>74</v>
      </c>
      <c r="F4962" s="18" t="s">
        <v>9569</v>
      </c>
      <c r="G4962" s="18" t="s">
        <v>2921</v>
      </c>
      <c r="H4962" s="18" t="s">
        <v>9405</v>
      </c>
      <c r="I4962" s="20" t="s">
        <v>9570</v>
      </c>
      <c r="J4962" s="18" t="s">
        <v>199</v>
      </c>
      <c r="K4962" s="18" t="s">
        <v>24</v>
      </c>
      <c r="L4962" s="18" t="s">
        <v>25</v>
      </c>
      <c r="N4962" s="18" t="s">
        <v>26</v>
      </c>
    </row>
    <row r="4963" spans="1:14" ht="15" customHeight="1" x14ac:dyDescent="0.3">
      <c r="A4963" s="18" t="s">
        <v>8824</v>
      </c>
      <c r="B4963" s="19" t="s">
        <v>15</v>
      </c>
      <c r="C4963" s="18" t="s">
        <v>210</v>
      </c>
      <c r="D4963" s="18" t="s">
        <v>116</v>
      </c>
      <c r="E4963" s="18" t="s">
        <v>74</v>
      </c>
      <c r="F4963" s="18" t="s">
        <v>9571</v>
      </c>
      <c r="G4963" s="18" t="s">
        <v>28</v>
      </c>
      <c r="H4963" s="18" t="s">
        <v>8835</v>
      </c>
      <c r="I4963" s="20" t="s">
        <v>9572</v>
      </c>
      <c r="J4963" s="18" t="s">
        <v>199</v>
      </c>
      <c r="K4963" s="18" t="s">
        <v>24</v>
      </c>
      <c r="L4963" s="18" t="s">
        <v>25</v>
      </c>
      <c r="N4963" s="18" t="s">
        <v>26</v>
      </c>
    </row>
    <row r="4964" spans="1:14" ht="15" customHeight="1" x14ac:dyDescent="0.3">
      <c r="A4964" s="18" t="s">
        <v>8824</v>
      </c>
      <c r="B4964" s="19" t="s">
        <v>15</v>
      </c>
      <c r="C4964" s="18" t="s">
        <v>210</v>
      </c>
      <c r="D4964" s="18" t="s">
        <v>116</v>
      </c>
      <c r="E4964" s="18" t="s">
        <v>74</v>
      </c>
      <c r="F4964" s="18" t="s">
        <v>9573</v>
      </c>
      <c r="G4964" s="18" t="s">
        <v>28</v>
      </c>
      <c r="H4964" s="18" t="s">
        <v>8835</v>
      </c>
      <c r="I4964" s="20" t="s">
        <v>9574</v>
      </c>
      <c r="J4964" s="18" t="s">
        <v>199</v>
      </c>
      <c r="K4964" s="18" t="s">
        <v>24</v>
      </c>
      <c r="L4964" s="18" t="s">
        <v>25</v>
      </c>
      <c r="N4964" s="18" t="s">
        <v>26</v>
      </c>
    </row>
    <row r="4965" spans="1:14" ht="15" customHeight="1" x14ac:dyDescent="0.3">
      <c r="A4965" s="18" t="s">
        <v>8824</v>
      </c>
      <c r="B4965" s="19" t="s">
        <v>15</v>
      </c>
      <c r="C4965" s="18" t="s">
        <v>210</v>
      </c>
      <c r="D4965" s="18" t="s">
        <v>116</v>
      </c>
      <c r="E4965" s="18" t="s">
        <v>74</v>
      </c>
      <c r="F4965" s="18" t="s">
        <v>9575</v>
      </c>
      <c r="G4965" s="18" t="s">
        <v>920</v>
      </c>
      <c r="H4965" s="18" t="s">
        <v>625</v>
      </c>
      <c r="I4965" s="20" t="s">
        <v>9576</v>
      </c>
      <c r="J4965" s="18" t="s">
        <v>307</v>
      </c>
      <c r="K4965" s="18" t="s">
        <v>24</v>
      </c>
      <c r="L4965" s="18" t="s">
        <v>25</v>
      </c>
      <c r="N4965" s="18" t="s">
        <v>26</v>
      </c>
    </row>
    <row r="4966" spans="1:14" ht="15" customHeight="1" x14ac:dyDescent="0.3">
      <c r="A4966" s="18" t="s">
        <v>8824</v>
      </c>
      <c r="B4966" s="19" t="s">
        <v>15</v>
      </c>
      <c r="C4966" s="18" t="s">
        <v>210</v>
      </c>
      <c r="D4966" s="18" t="s">
        <v>116</v>
      </c>
      <c r="E4966" s="18" t="s">
        <v>74</v>
      </c>
      <c r="F4966" s="18" t="s">
        <v>9577</v>
      </c>
      <c r="G4966" s="18" t="s">
        <v>273</v>
      </c>
      <c r="H4966" s="18" t="s">
        <v>8852</v>
      </c>
      <c r="I4966" s="20" t="s">
        <v>9578</v>
      </c>
      <c r="J4966" s="18" t="s">
        <v>199</v>
      </c>
      <c r="K4966" s="18" t="s">
        <v>24</v>
      </c>
      <c r="L4966" s="18" t="s">
        <v>25</v>
      </c>
      <c r="N4966" s="18" t="s">
        <v>26</v>
      </c>
    </row>
    <row r="4967" spans="1:14" ht="15" customHeight="1" x14ac:dyDescent="0.3">
      <c r="A4967" s="18" t="s">
        <v>8824</v>
      </c>
      <c r="B4967" s="19" t="s">
        <v>15</v>
      </c>
      <c r="C4967" s="18" t="s">
        <v>210</v>
      </c>
      <c r="D4967" s="18" t="s">
        <v>116</v>
      </c>
      <c r="E4967" s="18" t="s">
        <v>74</v>
      </c>
      <c r="F4967" s="18" t="s">
        <v>9579</v>
      </c>
      <c r="G4967" s="18" t="s">
        <v>173</v>
      </c>
      <c r="H4967" s="18" t="s">
        <v>8856</v>
      </c>
      <c r="I4967" s="20" t="s">
        <v>9580</v>
      </c>
      <c r="J4967" s="18" t="s">
        <v>199</v>
      </c>
      <c r="K4967" s="18" t="s">
        <v>24</v>
      </c>
      <c r="L4967" s="18" t="s">
        <v>25</v>
      </c>
      <c r="N4967" s="18" t="s">
        <v>26</v>
      </c>
    </row>
    <row r="4968" spans="1:14" ht="15" customHeight="1" x14ac:dyDescent="0.3">
      <c r="A4968" s="18" t="s">
        <v>8824</v>
      </c>
      <c r="B4968" s="19" t="s">
        <v>15</v>
      </c>
      <c r="C4968" s="18" t="s">
        <v>210</v>
      </c>
      <c r="D4968" s="18" t="s">
        <v>116</v>
      </c>
      <c r="E4968" s="18" t="s">
        <v>74</v>
      </c>
      <c r="F4968" s="18" t="s">
        <v>9581</v>
      </c>
      <c r="G4968" s="18" t="s">
        <v>1069</v>
      </c>
      <c r="H4968" s="18" t="s">
        <v>8856</v>
      </c>
      <c r="I4968" s="20" t="s">
        <v>9582</v>
      </c>
      <c r="J4968" s="18" t="s">
        <v>199</v>
      </c>
      <c r="K4968" s="18" t="s">
        <v>24</v>
      </c>
      <c r="L4968" s="18" t="s">
        <v>25</v>
      </c>
      <c r="N4968" s="18" t="s">
        <v>26</v>
      </c>
    </row>
    <row r="4969" spans="1:14" ht="15" customHeight="1" x14ac:dyDescent="0.3">
      <c r="A4969" s="18" t="s">
        <v>8824</v>
      </c>
      <c r="B4969" s="19" t="s">
        <v>15</v>
      </c>
      <c r="C4969" s="18" t="s">
        <v>210</v>
      </c>
      <c r="D4969" s="18" t="s">
        <v>116</v>
      </c>
      <c r="E4969" s="18" t="s">
        <v>74</v>
      </c>
      <c r="F4969" s="18" t="s">
        <v>9583</v>
      </c>
      <c r="G4969" s="18" t="s">
        <v>1059</v>
      </c>
      <c r="H4969" s="18" t="s">
        <v>9405</v>
      </c>
      <c r="I4969" s="20" t="s">
        <v>9584</v>
      </c>
      <c r="J4969" s="18" t="s">
        <v>199</v>
      </c>
      <c r="K4969" s="18" t="s">
        <v>24</v>
      </c>
      <c r="L4969" s="18" t="s">
        <v>25</v>
      </c>
      <c r="N4969" s="18" t="s">
        <v>26</v>
      </c>
    </row>
    <row r="4970" spans="1:14" ht="15" customHeight="1" x14ac:dyDescent="0.3">
      <c r="A4970" s="18" t="s">
        <v>8824</v>
      </c>
      <c r="B4970" s="19" t="s">
        <v>15</v>
      </c>
      <c r="C4970" s="18" t="s">
        <v>210</v>
      </c>
      <c r="D4970" s="18" t="s">
        <v>116</v>
      </c>
      <c r="E4970" s="18" t="s">
        <v>74</v>
      </c>
      <c r="F4970" s="18" t="s">
        <v>9585</v>
      </c>
      <c r="G4970" s="18" t="s">
        <v>173</v>
      </c>
      <c r="H4970" s="18" t="s">
        <v>8856</v>
      </c>
      <c r="I4970" s="20" t="s">
        <v>9586</v>
      </c>
      <c r="J4970" s="18" t="s">
        <v>199</v>
      </c>
      <c r="K4970" s="18" t="s">
        <v>24</v>
      </c>
      <c r="L4970" s="18" t="s">
        <v>25</v>
      </c>
      <c r="N4970" s="18" t="s">
        <v>26</v>
      </c>
    </row>
    <row r="4971" spans="1:14" ht="15" customHeight="1" x14ac:dyDescent="0.3">
      <c r="A4971" s="18" t="s">
        <v>8824</v>
      </c>
      <c r="B4971" s="19" t="s">
        <v>15</v>
      </c>
      <c r="C4971" s="18" t="s">
        <v>210</v>
      </c>
      <c r="D4971" s="18" t="s">
        <v>116</v>
      </c>
      <c r="E4971" s="18" t="s">
        <v>74</v>
      </c>
      <c r="F4971" s="18" t="s">
        <v>9587</v>
      </c>
      <c r="G4971" s="18" t="s">
        <v>1340</v>
      </c>
      <c r="H4971" s="18" t="s">
        <v>9405</v>
      </c>
      <c r="I4971" s="20" t="s">
        <v>9588</v>
      </c>
      <c r="J4971" s="18" t="s">
        <v>199</v>
      </c>
      <c r="K4971" s="18" t="s">
        <v>24</v>
      </c>
      <c r="L4971" s="18" t="s">
        <v>25</v>
      </c>
      <c r="N4971" s="18" t="s">
        <v>26</v>
      </c>
    </row>
    <row r="4972" spans="1:14" ht="15" customHeight="1" x14ac:dyDescent="0.3">
      <c r="A4972" s="18" t="s">
        <v>8824</v>
      </c>
      <c r="B4972" s="19" t="s">
        <v>15</v>
      </c>
      <c r="C4972" s="18" t="s">
        <v>210</v>
      </c>
      <c r="D4972" s="18" t="s">
        <v>116</v>
      </c>
      <c r="E4972" s="18" t="s">
        <v>74</v>
      </c>
      <c r="F4972" s="18" t="s">
        <v>9589</v>
      </c>
      <c r="G4972" s="18" t="s">
        <v>1069</v>
      </c>
      <c r="H4972" s="18" t="s">
        <v>8958</v>
      </c>
      <c r="I4972" s="20" t="s">
        <v>9590</v>
      </c>
      <c r="J4972" s="18" t="s">
        <v>199</v>
      </c>
      <c r="K4972" s="18" t="s">
        <v>24</v>
      </c>
      <c r="L4972" s="18" t="s">
        <v>25</v>
      </c>
      <c r="N4972" s="18" t="s">
        <v>26</v>
      </c>
    </row>
    <row r="4973" spans="1:14" ht="15" customHeight="1" x14ac:dyDescent="0.3">
      <c r="A4973" s="18" t="s">
        <v>8824</v>
      </c>
      <c r="B4973" s="19" t="s">
        <v>15</v>
      </c>
      <c r="C4973" s="18" t="s">
        <v>210</v>
      </c>
      <c r="D4973" s="18" t="s">
        <v>116</v>
      </c>
      <c r="E4973" s="18" t="s">
        <v>74</v>
      </c>
      <c r="F4973" s="18" t="s">
        <v>9591</v>
      </c>
      <c r="G4973" s="18" t="s">
        <v>1019</v>
      </c>
      <c r="H4973" s="18" t="s">
        <v>8852</v>
      </c>
      <c r="I4973" s="20" t="s">
        <v>9592</v>
      </c>
      <c r="J4973" s="18" t="s">
        <v>199</v>
      </c>
      <c r="K4973" s="18" t="s">
        <v>24</v>
      </c>
      <c r="L4973" s="18" t="s">
        <v>25</v>
      </c>
      <c r="N4973" s="18" t="s">
        <v>26</v>
      </c>
    </row>
    <row r="4974" spans="1:14" ht="15" customHeight="1" x14ac:dyDescent="0.3">
      <c r="A4974" s="18" t="s">
        <v>8824</v>
      </c>
      <c r="B4974" s="19" t="s">
        <v>15</v>
      </c>
      <c r="C4974" s="18" t="s">
        <v>210</v>
      </c>
      <c r="D4974" s="18" t="s">
        <v>116</v>
      </c>
      <c r="E4974" s="18" t="s">
        <v>74</v>
      </c>
      <c r="F4974" s="18" t="s">
        <v>9593</v>
      </c>
      <c r="G4974" s="18" t="s">
        <v>207</v>
      </c>
      <c r="H4974" s="18" t="s">
        <v>9409</v>
      </c>
      <c r="I4974" s="20" t="s">
        <v>9594</v>
      </c>
      <c r="J4974" s="18" t="s">
        <v>9595</v>
      </c>
      <c r="K4974" s="18" t="s">
        <v>24</v>
      </c>
      <c r="L4974" s="18" t="s">
        <v>25</v>
      </c>
      <c r="N4974" s="18" t="s">
        <v>26</v>
      </c>
    </row>
    <row r="4975" spans="1:14" ht="15" customHeight="1" x14ac:dyDescent="0.3">
      <c r="A4975" s="18" t="s">
        <v>8824</v>
      </c>
      <c r="B4975" s="19" t="s">
        <v>15</v>
      </c>
      <c r="C4975" s="18" t="s">
        <v>210</v>
      </c>
      <c r="D4975" s="18" t="s">
        <v>116</v>
      </c>
      <c r="E4975" s="18" t="s">
        <v>74</v>
      </c>
      <c r="F4975" s="18" t="s">
        <v>1189</v>
      </c>
      <c r="G4975" s="18" t="s">
        <v>207</v>
      </c>
      <c r="H4975" s="18" t="s">
        <v>9409</v>
      </c>
      <c r="I4975" s="20" t="s">
        <v>9596</v>
      </c>
      <c r="J4975" s="18" t="s">
        <v>9597</v>
      </c>
      <c r="K4975" s="18" t="s">
        <v>24</v>
      </c>
      <c r="L4975" s="18" t="s">
        <v>25</v>
      </c>
      <c r="N4975" s="18" t="s">
        <v>26</v>
      </c>
    </row>
    <row r="4976" spans="1:14" ht="15" customHeight="1" x14ac:dyDescent="0.3">
      <c r="A4976" s="18" t="s">
        <v>8824</v>
      </c>
      <c r="B4976" s="19" t="s">
        <v>15</v>
      </c>
      <c r="C4976" s="18" t="s">
        <v>210</v>
      </c>
      <c r="D4976" s="18" t="s">
        <v>116</v>
      </c>
      <c r="E4976" s="18" t="s">
        <v>74</v>
      </c>
      <c r="F4976" s="18" t="s">
        <v>6151</v>
      </c>
      <c r="G4976" s="18" t="s">
        <v>340</v>
      </c>
      <c r="H4976" s="18" t="s">
        <v>8958</v>
      </c>
      <c r="I4976" s="20" t="s">
        <v>9598</v>
      </c>
      <c r="J4976" s="18" t="s">
        <v>199</v>
      </c>
      <c r="K4976" s="18" t="s">
        <v>24</v>
      </c>
      <c r="L4976" s="18" t="s">
        <v>25</v>
      </c>
      <c r="N4976" s="18" t="s">
        <v>26</v>
      </c>
    </row>
    <row r="4977" spans="1:14" ht="15" customHeight="1" x14ac:dyDescent="0.3">
      <c r="A4977" s="18" t="s">
        <v>8824</v>
      </c>
      <c r="B4977" s="19" t="s">
        <v>15</v>
      </c>
      <c r="C4977" s="18" t="s">
        <v>210</v>
      </c>
      <c r="D4977" s="18" t="s">
        <v>116</v>
      </c>
      <c r="E4977" s="18" t="s">
        <v>74</v>
      </c>
      <c r="F4977" s="18" t="s">
        <v>9599</v>
      </c>
      <c r="G4977" s="18" t="s">
        <v>76</v>
      </c>
      <c r="H4977" s="18" t="s">
        <v>8559</v>
      </c>
      <c r="I4977" s="20" t="s">
        <v>9600</v>
      </c>
      <c r="J4977" s="18" t="s">
        <v>199</v>
      </c>
      <c r="K4977" s="18" t="s">
        <v>24</v>
      </c>
      <c r="L4977" s="18" t="s">
        <v>25</v>
      </c>
      <c r="N4977" s="18" t="s">
        <v>26</v>
      </c>
    </row>
    <row r="4978" spans="1:14" ht="15" customHeight="1" x14ac:dyDescent="0.3">
      <c r="A4978" s="18" t="s">
        <v>8824</v>
      </c>
      <c r="B4978" s="19" t="s">
        <v>15</v>
      </c>
      <c r="C4978" s="18" t="s">
        <v>210</v>
      </c>
      <c r="D4978" s="18" t="s">
        <v>116</v>
      </c>
      <c r="E4978" s="18" t="s">
        <v>74</v>
      </c>
      <c r="F4978" s="18" t="s">
        <v>9601</v>
      </c>
      <c r="G4978" s="18" t="s">
        <v>423</v>
      </c>
      <c r="H4978" s="18" t="s">
        <v>8559</v>
      </c>
      <c r="I4978" s="20" t="s">
        <v>9602</v>
      </c>
      <c r="J4978" s="18" t="s">
        <v>199</v>
      </c>
      <c r="K4978" s="18" t="s">
        <v>24</v>
      </c>
      <c r="L4978" s="18" t="s">
        <v>25</v>
      </c>
      <c r="N4978" s="18" t="s">
        <v>26</v>
      </c>
    </row>
    <row r="4979" spans="1:14" ht="15" customHeight="1" x14ac:dyDescent="0.3">
      <c r="A4979" s="18" t="s">
        <v>8824</v>
      </c>
      <c r="B4979" s="19" t="s">
        <v>15</v>
      </c>
      <c r="C4979" s="18" t="s">
        <v>210</v>
      </c>
      <c r="D4979" s="18" t="s">
        <v>116</v>
      </c>
      <c r="E4979" s="18" t="s">
        <v>74</v>
      </c>
      <c r="F4979" s="18" t="s">
        <v>9603</v>
      </c>
      <c r="G4979" s="18" t="s">
        <v>920</v>
      </c>
      <c r="H4979" s="18" t="s">
        <v>625</v>
      </c>
      <c r="I4979" s="20" t="s">
        <v>9604</v>
      </c>
      <c r="J4979" s="18" t="s">
        <v>307</v>
      </c>
      <c r="K4979" s="18" t="s">
        <v>24</v>
      </c>
      <c r="L4979" s="18" t="s">
        <v>25</v>
      </c>
      <c r="N4979" s="18" t="s">
        <v>26</v>
      </c>
    </row>
    <row r="4980" spans="1:14" ht="15" customHeight="1" x14ac:dyDescent="0.3">
      <c r="A4980" s="18" t="s">
        <v>8824</v>
      </c>
      <c r="B4980" s="19" t="s">
        <v>15</v>
      </c>
      <c r="C4980" s="18" t="s">
        <v>210</v>
      </c>
      <c r="D4980" s="18" t="s">
        <v>116</v>
      </c>
      <c r="E4980" s="18" t="s">
        <v>74</v>
      </c>
      <c r="F4980" s="18" t="s">
        <v>9605</v>
      </c>
      <c r="G4980" s="18" t="s">
        <v>273</v>
      </c>
      <c r="H4980" s="18" t="s">
        <v>9250</v>
      </c>
      <c r="I4980" s="20" t="s">
        <v>9606</v>
      </c>
      <c r="J4980" s="18" t="s">
        <v>199</v>
      </c>
      <c r="K4980" s="18" t="s">
        <v>24</v>
      </c>
      <c r="L4980" s="18" t="s">
        <v>25</v>
      </c>
      <c r="N4980" s="18" t="s">
        <v>26</v>
      </c>
    </row>
    <row r="4981" spans="1:14" ht="15" customHeight="1" x14ac:dyDescent="0.3">
      <c r="A4981" s="18" t="s">
        <v>8824</v>
      </c>
      <c r="B4981" s="19" t="s">
        <v>15</v>
      </c>
      <c r="C4981" s="18" t="s">
        <v>210</v>
      </c>
      <c r="D4981" s="18" t="s">
        <v>116</v>
      </c>
      <c r="E4981" s="18" t="s">
        <v>74</v>
      </c>
      <c r="F4981" s="18" t="s">
        <v>9607</v>
      </c>
      <c r="G4981" s="18" t="s">
        <v>273</v>
      </c>
      <c r="H4981" s="18" t="s">
        <v>8429</v>
      </c>
      <c r="I4981" s="20" t="s">
        <v>9608</v>
      </c>
      <c r="J4981" s="18" t="s">
        <v>199</v>
      </c>
      <c r="K4981" s="18" t="s">
        <v>24</v>
      </c>
      <c r="L4981" s="18" t="s">
        <v>25</v>
      </c>
      <c r="N4981" s="18" t="s">
        <v>26</v>
      </c>
    </row>
    <row r="4982" spans="1:14" ht="15" customHeight="1" x14ac:dyDescent="0.3">
      <c r="A4982" s="18" t="s">
        <v>8824</v>
      </c>
      <c r="B4982" s="19" t="s">
        <v>15</v>
      </c>
      <c r="C4982" s="18" t="s">
        <v>210</v>
      </c>
      <c r="D4982" s="18" t="s">
        <v>116</v>
      </c>
      <c r="E4982" s="18" t="s">
        <v>74</v>
      </c>
      <c r="F4982" s="18" t="s">
        <v>9296</v>
      </c>
      <c r="G4982" s="18" t="s">
        <v>606</v>
      </c>
      <c r="H4982" s="18" t="s">
        <v>8559</v>
      </c>
      <c r="I4982" s="20" t="s">
        <v>9609</v>
      </c>
      <c r="J4982" s="18" t="s">
        <v>199</v>
      </c>
      <c r="K4982" s="18" t="s">
        <v>24</v>
      </c>
      <c r="L4982" s="18" t="s">
        <v>25</v>
      </c>
      <c r="N4982" s="18" t="s">
        <v>26</v>
      </c>
    </row>
    <row r="4983" spans="1:14" ht="15" customHeight="1" x14ac:dyDescent="0.3">
      <c r="A4983" s="18" t="s">
        <v>8824</v>
      </c>
      <c r="B4983" s="19" t="s">
        <v>15</v>
      </c>
      <c r="C4983" s="18" t="s">
        <v>210</v>
      </c>
      <c r="D4983" s="18" t="s">
        <v>116</v>
      </c>
      <c r="E4983" s="18" t="s">
        <v>74</v>
      </c>
      <c r="F4983" s="18" t="s">
        <v>9610</v>
      </c>
      <c r="G4983" s="18" t="s">
        <v>273</v>
      </c>
      <c r="H4983" s="18" t="s">
        <v>8833</v>
      </c>
      <c r="I4983" s="20" t="s">
        <v>9611</v>
      </c>
      <c r="J4983" s="18" t="s">
        <v>199</v>
      </c>
      <c r="K4983" s="18" t="s">
        <v>24</v>
      </c>
      <c r="L4983" s="18" t="s">
        <v>25</v>
      </c>
      <c r="N4983" s="18" t="s">
        <v>26</v>
      </c>
    </row>
    <row r="4984" spans="1:14" ht="15" customHeight="1" x14ac:dyDescent="0.3">
      <c r="A4984" s="18" t="s">
        <v>8824</v>
      </c>
      <c r="B4984" s="19" t="s">
        <v>15</v>
      </c>
      <c r="C4984" s="18" t="s">
        <v>210</v>
      </c>
      <c r="D4984" s="18" t="s">
        <v>116</v>
      </c>
      <c r="E4984" s="18" t="s">
        <v>74</v>
      </c>
      <c r="F4984" s="18" t="s">
        <v>9612</v>
      </c>
      <c r="G4984" s="18" t="s">
        <v>80</v>
      </c>
      <c r="H4984" s="18" t="s">
        <v>9409</v>
      </c>
      <c r="I4984" s="20" t="s">
        <v>9613</v>
      </c>
      <c r="J4984" s="18" t="s">
        <v>9614</v>
      </c>
      <c r="K4984" s="18" t="s">
        <v>24</v>
      </c>
      <c r="L4984" s="18" t="s">
        <v>25</v>
      </c>
      <c r="N4984" s="18" t="s">
        <v>26</v>
      </c>
    </row>
    <row r="4985" spans="1:14" ht="15" customHeight="1" x14ac:dyDescent="0.3">
      <c r="A4985" s="18" t="s">
        <v>8824</v>
      </c>
      <c r="B4985" s="19" t="s">
        <v>15</v>
      </c>
      <c r="C4985" s="18" t="s">
        <v>210</v>
      </c>
      <c r="D4985" s="18" t="s">
        <v>116</v>
      </c>
      <c r="E4985" s="18" t="s">
        <v>74</v>
      </c>
      <c r="F4985" s="18" t="s">
        <v>9615</v>
      </c>
      <c r="G4985" s="18" t="s">
        <v>1019</v>
      </c>
      <c r="H4985" s="18" t="s">
        <v>8852</v>
      </c>
      <c r="I4985" s="20" t="s">
        <v>9616</v>
      </c>
      <c r="J4985" s="18" t="s">
        <v>199</v>
      </c>
      <c r="K4985" s="18" t="s">
        <v>24</v>
      </c>
      <c r="L4985" s="18" t="s">
        <v>25</v>
      </c>
      <c r="N4985" s="18" t="s">
        <v>26</v>
      </c>
    </row>
    <row r="4986" spans="1:14" ht="15" customHeight="1" x14ac:dyDescent="0.3">
      <c r="A4986" s="18" t="s">
        <v>8824</v>
      </c>
      <c r="B4986" s="19" t="s">
        <v>15</v>
      </c>
      <c r="C4986" s="18" t="s">
        <v>210</v>
      </c>
      <c r="D4986" s="18" t="s">
        <v>116</v>
      </c>
      <c r="E4986" s="18" t="s">
        <v>74</v>
      </c>
      <c r="F4986" s="18" t="s">
        <v>9617</v>
      </c>
      <c r="G4986" s="18" t="s">
        <v>273</v>
      </c>
      <c r="H4986" s="18" t="s">
        <v>8958</v>
      </c>
      <c r="I4986" s="20" t="s">
        <v>9618</v>
      </c>
      <c r="J4986" s="18" t="s">
        <v>199</v>
      </c>
      <c r="K4986" s="18" t="s">
        <v>24</v>
      </c>
      <c r="L4986" s="18" t="s">
        <v>25</v>
      </c>
      <c r="N4986" s="18" t="s">
        <v>26</v>
      </c>
    </row>
    <row r="4987" spans="1:14" ht="15" customHeight="1" x14ac:dyDescent="0.3">
      <c r="A4987" s="18" t="s">
        <v>8824</v>
      </c>
      <c r="B4987" s="19" t="s">
        <v>15</v>
      </c>
      <c r="C4987" s="18" t="s">
        <v>210</v>
      </c>
      <c r="D4987" s="18" t="s">
        <v>116</v>
      </c>
      <c r="E4987" s="18" t="s">
        <v>74</v>
      </c>
      <c r="F4987" s="18" t="s">
        <v>9619</v>
      </c>
      <c r="G4987" s="18" t="s">
        <v>47</v>
      </c>
      <c r="H4987" s="18" t="s">
        <v>9409</v>
      </c>
      <c r="I4987" s="20" t="s">
        <v>9620</v>
      </c>
      <c r="J4987" s="18" t="s">
        <v>9621</v>
      </c>
      <c r="K4987" s="18" t="s">
        <v>293</v>
      </c>
      <c r="L4987" s="18" t="s">
        <v>25</v>
      </c>
      <c r="N4987" s="18" t="s">
        <v>26</v>
      </c>
    </row>
    <row r="4988" spans="1:14" ht="15" customHeight="1" x14ac:dyDescent="0.3">
      <c r="A4988" s="18" t="s">
        <v>8824</v>
      </c>
      <c r="B4988" s="19" t="s">
        <v>15</v>
      </c>
      <c r="C4988" s="18" t="s">
        <v>210</v>
      </c>
      <c r="D4988" s="18" t="s">
        <v>116</v>
      </c>
      <c r="E4988" s="18" t="s">
        <v>74</v>
      </c>
      <c r="F4988" s="18" t="s">
        <v>9622</v>
      </c>
      <c r="G4988" s="18" t="s">
        <v>173</v>
      </c>
      <c r="H4988" s="18" t="s">
        <v>8856</v>
      </c>
      <c r="I4988" s="20" t="s">
        <v>9623</v>
      </c>
      <c r="J4988" s="18" t="s">
        <v>199</v>
      </c>
      <c r="K4988" s="18" t="s">
        <v>24</v>
      </c>
      <c r="L4988" s="18" t="s">
        <v>25</v>
      </c>
      <c r="N4988" s="18" t="s">
        <v>26</v>
      </c>
    </row>
    <row r="4989" spans="1:14" ht="15" customHeight="1" x14ac:dyDescent="0.3">
      <c r="A4989" s="18" t="s">
        <v>8824</v>
      </c>
      <c r="B4989" s="19" t="s">
        <v>15</v>
      </c>
      <c r="C4989" s="18" t="s">
        <v>210</v>
      </c>
      <c r="D4989" s="18" t="s">
        <v>116</v>
      </c>
      <c r="E4989" s="18" t="s">
        <v>74</v>
      </c>
      <c r="F4989" s="18" t="s">
        <v>9624</v>
      </c>
      <c r="G4989" s="18" t="s">
        <v>273</v>
      </c>
      <c r="H4989" s="18" t="s">
        <v>8852</v>
      </c>
      <c r="I4989" s="20" t="s">
        <v>9625</v>
      </c>
      <c r="J4989" s="18" t="s">
        <v>199</v>
      </c>
      <c r="K4989" s="18" t="s">
        <v>24</v>
      </c>
      <c r="L4989" s="18" t="s">
        <v>25</v>
      </c>
      <c r="N4989" s="18" t="s">
        <v>26</v>
      </c>
    </row>
    <row r="4990" spans="1:14" ht="15" customHeight="1" x14ac:dyDescent="0.3">
      <c r="A4990" s="18" t="s">
        <v>8824</v>
      </c>
      <c r="B4990" s="19" t="s">
        <v>15</v>
      </c>
      <c r="C4990" s="18" t="s">
        <v>210</v>
      </c>
      <c r="D4990" s="18" t="s">
        <v>116</v>
      </c>
      <c r="E4990" s="18" t="s">
        <v>74</v>
      </c>
      <c r="F4990" s="18" t="s">
        <v>9626</v>
      </c>
      <c r="G4990" s="18" t="s">
        <v>273</v>
      </c>
      <c r="H4990" s="18" t="s">
        <v>8958</v>
      </c>
      <c r="I4990" s="20" t="s">
        <v>9627</v>
      </c>
      <c r="J4990" s="18" t="s">
        <v>199</v>
      </c>
      <c r="K4990" s="18" t="s">
        <v>24</v>
      </c>
      <c r="L4990" s="18" t="s">
        <v>25</v>
      </c>
      <c r="N4990" s="18" t="s">
        <v>26</v>
      </c>
    </row>
    <row r="4991" spans="1:14" ht="15" customHeight="1" x14ac:dyDescent="0.3">
      <c r="A4991" s="18" t="s">
        <v>8824</v>
      </c>
      <c r="B4991" s="19" t="s">
        <v>15</v>
      </c>
      <c r="C4991" s="18" t="s">
        <v>210</v>
      </c>
      <c r="D4991" s="18" t="s">
        <v>116</v>
      </c>
      <c r="E4991" s="18" t="s">
        <v>74</v>
      </c>
      <c r="F4991" s="18" t="s">
        <v>9628</v>
      </c>
      <c r="G4991" s="18" t="s">
        <v>340</v>
      </c>
      <c r="H4991" s="18" t="s">
        <v>8958</v>
      </c>
      <c r="I4991" s="20" t="s">
        <v>9629</v>
      </c>
      <c r="J4991" s="18" t="s">
        <v>199</v>
      </c>
      <c r="K4991" s="18" t="s">
        <v>24</v>
      </c>
      <c r="L4991" s="18" t="s">
        <v>25</v>
      </c>
      <c r="N4991" s="18" t="s">
        <v>26</v>
      </c>
    </row>
    <row r="4992" spans="1:14" ht="15" customHeight="1" x14ac:dyDescent="0.3">
      <c r="A4992" s="18" t="s">
        <v>8824</v>
      </c>
      <c r="B4992" s="19" t="s">
        <v>15</v>
      </c>
      <c r="C4992" s="18" t="s">
        <v>210</v>
      </c>
      <c r="D4992" s="18" t="s">
        <v>116</v>
      </c>
      <c r="E4992" s="18" t="s">
        <v>74</v>
      </c>
      <c r="F4992" s="18" t="s">
        <v>9630</v>
      </c>
      <c r="G4992" s="18" t="s">
        <v>340</v>
      </c>
      <c r="H4992" s="18" t="s">
        <v>8958</v>
      </c>
      <c r="I4992" s="20" t="s">
        <v>9631</v>
      </c>
      <c r="J4992" s="18" t="s">
        <v>199</v>
      </c>
      <c r="K4992" s="18" t="s">
        <v>24</v>
      </c>
      <c r="L4992" s="18" t="s">
        <v>25</v>
      </c>
      <c r="N4992" s="18" t="s">
        <v>26</v>
      </c>
    </row>
    <row r="4993" spans="1:14" ht="15" customHeight="1" x14ac:dyDescent="0.3">
      <c r="A4993" s="18" t="s">
        <v>8824</v>
      </c>
      <c r="B4993" s="19" t="s">
        <v>15</v>
      </c>
      <c r="C4993" s="18" t="s">
        <v>210</v>
      </c>
      <c r="D4993" s="18" t="s">
        <v>116</v>
      </c>
      <c r="E4993" s="18" t="s">
        <v>74</v>
      </c>
      <c r="F4993" s="18" t="s">
        <v>9632</v>
      </c>
      <c r="G4993" s="18" t="s">
        <v>340</v>
      </c>
      <c r="H4993" s="18" t="s">
        <v>8958</v>
      </c>
      <c r="I4993" s="20" t="s">
        <v>9633</v>
      </c>
      <c r="J4993" s="18" t="s">
        <v>199</v>
      </c>
      <c r="K4993" s="18" t="s">
        <v>24</v>
      </c>
      <c r="L4993" s="18" t="s">
        <v>25</v>
      </c>
      <c r="N4993" s="18" t="s">
        <v>26</v>
      </c>
    </row>
    <row r="4994" spans="1:14" ht="15" customHeight="1" x14ac:dyDescent="0.3">
      <c r="A4994" s="18" t="s">
        <v>8824</v>
      </c>
      <c r="B4994" s="19" t="s">
        <v>15</v>
      </c>
      <c r="C4994" s="18" t="s">
        <v>210</v>
      </c>
      <c r="D4994" s="18" t="s">
        <v>116</v>
      </c>
      <c r="E4994" s="18" t="s">
        <v>74</v>
      </c>
      <c r="F4994" s="18" t="s">
        <v>9634</v>
      </c>
      <c r="G4994" s="18" t="s">
        <v>47</v>
      </c>
      <c r="H4994" s="18" t="s">
        <v>8416</v>
      </c>
      <c r="I4994" s="20" t="s">
        <v>9635</v>
      </c>
      <c r="J4994" s="18" t="s">
        <v>199</v>
      </c>
      <c r="K4994" s="18" t="s">
        <v>24</v>
      </c>
      <c r="L4994" s="18" t="s">
        <v>25</v>
      </c>
      <c r="N4994" s="18" t="s">
        <v>26</v>
      </c>
    </row>
    <row r="4995" spans="1:14" ht="15" customHeight="1" x14ac:dyDescent="0.3">
      <c r="A4995" s="18" t="s">
        <v>8824</v>
      </c>
      <c r="B4995" s="19" t="s">
        <v>15</v>
      </c>
      <c r="C4995" s="18" t="s">
        <v>210</v>
      </c>
      <c r="D4995" s="18" t="s">
        <v>116</v>
      </c>
      <c r="E4995" s="18" t="s">
        <v>74</v>
      </c>
      <c r="F4995" s="18" t="s">
        <v>9636</v>
      </c>
      <c r="G4995" s="18" t="s">
        <v>619</v>
      </c>
      <c r="H4995" s="18" t="s">
        <v>8416</v>
      </c>
      <c r="I4995" s="20" t="s">
        <v>9637</v>
      </c>
      <c r="J4995" s="18" t="s">
        <v>199</v>
      </c>
      <c r="K4995" s="18" t="s">
        <v>24</v>
      </c>
      <c r="L4995" s="18" t="s">
        <v>25</v>
      </c>
      <c r="N4995" s="18" t="s">
        <v>26</v>
      </c>
    </row>
    <row r="4996" spans="1:14" ht="15" customHeight="1" x14ac:dyDescent="0.3">
      <c r="A4996" s="18" t="s">
        <v>8824</v>
      </c>
      <c r="B4996" s="19" t="s">
        <v>15</v>
      </c>
      <c r="C4996" s="18" t="s">
        <v>210</v>
      </c>
      <c r="D4996" s="18" t="s">
        <v>116</v>
      </c>
      <c r="E4996" s="18" t="s">
        <v>74</v>
      </c>
      <c r="F4996" s="18" t="s">
        <v>9638</v>
      </c>
      <c r="G4996" s="18" t="s">
        <v>619</v>
      </c>
      <c r="H4996" s="18" t="s">
        <v>8416</v>
      </c>
      <c r="I4996" s="20" t="s">
        <v>9639</v>
      </c>
      <c r="J4996" s="18" t="s">
        <v>199</v>
      </c>
      <c r="K4996" s="18" t="s">
        <v>24</v>
      </c>
      <c r="L4996" s="18" t="s">
        <v>25</v>
      </c>
      <c r="N4996" s="18" t="s">
        <v>26</v>
      </c>
    </row>
    <row r="4997" spans="1:14" ht="15" customHeight="1" x14ac:dyDescent="0.3">
      <c r="A4997" s="18" t="s">
        <v>8824</v>
      </c>
      <c r="B4997" s="19" t="s">
        <v>15</v>
      </c>
      <c r="C4997" s="18" t="s">
        <v>210</v>
      </c>
      <c r="D4997" s="18" t="s">
        <v>116</v>
      </c>
      <c r="E4997" s="18" t="s">
        <v>74</v>
      </c>
      <c r="F4997" s="18" t="s">
        <v>9640</v>
      </c>
      <c r="G4997" s="18" t="s">
        <v>619</v>
      </c>
      <c r="H4997" s="18" t="s">
        <v>8416</v>
      </c>
      <c r="I4997" s="20" t="s">
        <v>9641</v>
      </c>
      <c r="J4997" s="18" t="s">
        <v>199</v>
      </c>
      <c r="K4997" s="18" t="s">
        <v>24</v>
      </c>
      <c r="L4997" s="18" t="s">
        <v>25</v>
      </c>
      <c r="N4997" s="18" t="s">
        <v>26</v>
      </c>
    </row>
    <row r="4998" spans="1:14" ht="15" customHeight="1" x14ac:dyDescent="0.3">
      <c r="A4998" s="18" t="s">
        <v>8824</v>
      </c>
      <c r="B4998" s="19" t="s">
        <v>15</v>
      </c>
      <c r="C4998" s="18" t="s">
        <v>210</v>
      </c>
      <c r="D4998" s="18" t="s">
        <v>116</v>
      </c>
      <c r="E4998" s="18" t="s">
        <v>74</v>
      </c>
      <c r="F4998" s="18" t="s">
        <v>9642</v>
      </c>
      <c r="G4998" s="18" t="s">
        <v>619</v>
      </c>
      <c r="H4998" s="18" t="s">
        <v>8416</v>
      </c>
      <c r="I4998" s="20" t="s">
        <v>9643</v>
      </c>
      <c r="J4998" s="18" t="s">
        <v>199</v>
      </c>
      <c r="K4998" s="18" t="s">
        <v>24</v>
      </c>
      <c r="L4998" s="18" t="s">
        <v>25</v>
      </c>
      <c r="N4998" s="18" t="s">
        <v>26</v>
      </c>
    </row>
    <row r="4999" spans="1:14" ht="15" customHeight="1" x14ac:dyDescent="0.3">
      <c r="A4999" s="18" t="s">
        <v>8824</v>
      </c>
      <c r="B4999" s="19" t="s">
        <v>15</v>
      </c>
      <c r="C4999" s="18" t="s">
        <v>210</v>
      </c>
      <c r="D4999" s="18" t="s">
        <v>116</v>
      </c>
      <c r="E4999" s="18" t="s">
        <v>74</v>
      </c>
      <c r="F4999" s="18" t="s">
        <v>9644</v>
      </c>
      <c r="G4999" s="18" t="s">
        <v>212</v>
      </c>
      <c r="H4999" s="18" t="s">
        <v>8856</v>
      </c>
      <c r="I4999" s="20" t="s">
        <v>9645</v>
      </c>
      <c r="J4999" s="18" t="s">
        <v>199</v>
      </c>
      <c r="K4999" s="18" t="s">
        <v>24</v>
      </c>
      <c r="L4999" s="18" t="s">
        <v>25</v>
      </c>
      <c r="N4999" s="18" t="s">
        <v>26</v>
      </c>
    </row>
    <row r="5000" spans="1:14" ht="15" customHeight="1" x14ac:dyDescent="0.3">
      <c r="A5000" s="18" t="s">
        <v>8824</v>
      </c>
      <c r="B5000" s="19" t="s">
        <v>15</v>
      </c>
      <c r="C5000" s="18" t="s">
        <v>210</v>
      </c>
      <c r="D5000" s="18" t="s">
        <v>116</v>
      </c>
      <c r="E5000" s="18" t="s">
        <v>74</v>
      </c>
      <c r="F5000" s="18" t="s">
        <v>9646</v>
      </c>
      <c r="G5000" s="18" t="s">
        <v>1059</v>
      </c>
      <c r="H5000" s="18" t="s">
        <v>8416</v>
      </c>
      <c r="I5000" s="20" t="s">
        <v>9647</v>
      </c>
      <c r="J5000" s="18" t="s">
        <v>7177</v>
      </c>
      <c r="K5000" s="18" t="s">
        <v>24</v>
      </c>
      <c r="L5000" s="18" t="s">
        <v>25</v>
      </c>
      <c r="N5000" s="18" t="s">
        <v>26</v>
      </c>
    </row>
    <row r="5001" spans="1:14" ht="15" customHeight="1" x14ac:dyDescent="0.3">
      <c r="A5001" s="18" t="s">
        <v>8824</v>
      </c>
      <c r="B5001" s="19" t="s">
        <v>15</v>
      </c>
      <c r="C5001" s="18" t="s">
        <v>210</v>
      </c>
      <c r="D5001" s="18" t="s">
        <v>116</v>
      </c>
      <c r="E5001" s="18" t="s">
        <v>74</v>
      </c>
      <c r="F5001" s="18" t="s">
        <v>9648</v>
      </c>
      <c r="G5001" s="18" t="s">
        <v>273</v>
      </c>
      <c r="H5001" s="18" t="s">
        <v>8833</v>
      </c>
      <c r="I5001" s="20" t="s">
        <v>9649</v>
      </c>
      <c r="J5001" s="18" t="s">
        <v>199</v>
      </c>
      <c r="K5001" s="18" t="s">
        <v>24</v>
      </c>
      <c r="L5001" s="18" t="s">
        <v>25</v>
      </c>
      <c r="N5001" s="18" t="s">
        <v>26</v>
      </c>
    </row>
    <row r="5002" spans="1:14" ht="15" customHeight="1" x14ac:dyDescent="0.3">
      <c r="A5002" s="18" t="s">
        <v>8824</v>
      </c>
      <c r="B5002" s="19" t="s">
        <v>15</v>
      </c>
      <c r="C5002" s="18" t="s">
        <v>210</v>
      </c>
      <c r="D5002" s="18" t="s">
        <v>116</v>
      </c>
      <c r="E5002" s="18" t="s">
        <v>74</v>
      </c>
      <c r="F5002" s="18" t="s">
        <v>9650</v>
      </c>
      <c r="G5002" s="18" t="s">
        <v>207</v>
      </c>
      <c r="H5002" s="18" t="s">
        <v>9409</v>
      </c>
      <c r="I5002" s="20" t="s">
        <v>9651</v>
      </c>
      <c r="J5002" s="18" t="s">
        <v>9652</v>
      </c>
      <c r="K5002" s="18" t="s">
        <v>293</v>
      </c>
      <c r="L5002" s="18" t="s">
        <v>25</v>
      </c>
      <c r="N5002" s="18" t="s">
        <v>26</v>
      </c>
    </row>
    <row r="5003" spans="1:14" ht="15" customHeight="1" x14ac:dyDescent="0.3">
      <c r="A5003" s="18" t="s">
        <v>8824</v>
      </c>
      <c r="B5003" s="19" t="s">
        <v>15</v>
      </c>
      <c r="C5003" s="18" t="s">
        <v>210</v>
      </c>
      <c r="D5003" s="18" t="s">
        <v>116</v>
      </c>
      <c r="E5003" s="18" t="s">
        <v>74</v>
      </c>
      <c r="F5003" s="18" t="s">
        <v>9653</v>
      </c>
      <c r="G5003" s="18" t="s">
        <v>340</v>
      </c>
      <c r="H5003" s="18" t="s">
        <v>8958</v>
      </c>
      <c r="I5003" s="20" t="s">
        <v>9654</v>
      </c>
      <c r="J5003" s="18" t="s">
        <v>199</v>
      </c>
      <c r="K5003" s="18" t="s">
        <v>24</v>
      </c>
      <c r="L5003" s="18" t="s">
        <v>25</v>
      </c>
      <c r="N5003" s="18" t="s">
        <v>26</v>
      </c>
    </row>
    <row r="5004" spans="1:14" ht="15" customHeight="1" x14ac:dyDescent="0.3">
      <c r="A5004" s="18" t="s">
        <v>8824</v>
      </c>
      <c r="B5004" s="19" t="s">
        <v>15</v>
      </c>
      <c r="C5004" s="18" t="s">
        <v>210</v>
      </c>
      <c r="D5004" s="18" t="s">
        <v>116</v>
      </c>
      <c r="E5004" s="18" t="s">
        <v>74</v>
      </c>
      <c r="F5004" s="18" t="s">
        <v>9655</v>
      </c>
      <c r="G5004" s="18" t="s">
        <v>263</v>
      </c>
      <c r="H5004" s="18" t="s">
        <v>9405</v>
      </c>
      <c r="I5004" s="20" t="s">
        <v>9656</v>
      </c>
      <c r="J5004" s="18" t="s">
        <v>199</v>
      </c>
      <c r="K5004" s="18" t="s">
        <v>24</v>
      </c>
      <c r="L5004" s="18" t="s">
        <v>25</v>
      </c>
      <c r="N5004" s="18" t="s">
        <v>26</v>
      </c>
    </row>
    <row r="5005" spans="1:14" ht="15" customHeight="1" x14ac:dyDescent="0.3">
      <c r="A5005" s="18" t="s">
        <v>8824</v>
      </c>
      <c r="B5005" s="19" t="s">
        <v>15</v>
      </c>
      <c r="C5005" s="18" t="s">
        <v>210</v>
      </c>
      <c r="D5005" s="18" t="s">
        <v>116</v>
      </c>
      <c r="E5005" s="18" t="s">
        <v>74</v>
      </c>
      <c r="F5005" s="18" t="s">
        <v>9657</v>
      </c>
      <c r="G5005" s="18" t="s">
        <v>173</v>
      </c>
      <c r="H5005" s="18" t="s">
        <v>8856</v>
      </c>
      <c r="I5005" s="20" t="s">
        <v>9658</v>
      </c>
      <c r="J5005" s="18" t="s">
        <v>199</v>
      </c>
      <c r="K5005" s="18" t="s">
        <v>24</v>
      </c>
      <c r="L5005" s="18" t="s">
        <v>25</v>
      </c>
      <c r="N5005" s="18" t="s">
        <v>26</v>
      </c>
    </row>
    <row r="5006" spans="1:14" ht="15" customHeight="1" x14ac:dyDescent="0.3">
      <c r="A5006" s="18" t="s">
        <v>8824</v>
      </c>
      <c r="B5006" s="19" t="s">
        <v>15</v>
      </c>
      <c r="C5006" s="18" t="s">
        <v>210</v>
      </c>
      <c r="D5006" s="18" t="s">
        <v>116</v>
      </c>
      <c r="E5006" s="18" t="s">
        <v>74</v>
      </c>
      <c r="F5006" s="18" t="s">
        <v>9659</v>
      </c>
      <c r="G5006" s="18" t="s">
        <v>41</v>
      </c>
      <c r="H5006" s="18" t="s">
        <v>9409</v>
      </c>
      <c r="I5006" s="20" t="s">
        <v>9660</v>
      </c>
      <c r="J5006" s="18" t="s">
        <v>9661</v>
      </c>
      <c r="K5006" s="18" t="s">
        <v>293</v>
      </c>
      <c r="L5006" s="18" t="s">
        <v>25</v>
      </c>
      <c r="N5006" s="18" t="s">
        <v>26</v>
      </c>
    </row>
    <row r="5007" spans="1:14" ht="15" customHeight="1" x14ac:dyDescent="0.3">
      <c r="A5007" s="18" t="s">
        <v>8824</v>
      </c>
      <c r="B5007" s="19" t="s">
        <v>15</v>
      </c>
      <c r="C5007" s="18" t="s">
        <v>210</v>
      </c>
      <c r="D5007" s="18" t="s">
        <v>116</v>
      </c>
      <c r="E5007" s="18" t="s">
        <v>74</v>
      </c>
      <c r="F5007" s="18" t="s">
        <v>5176</v>
      </c>
      <c r="G5007" s="18" t="s">
        <v>1019</v>
      </c>
      <c r="H5007" s="18" t="s">
        <v>8852</v>
      </c>
      <c r="I5007" s="20" t="s">
        <v>9662</v>
      </c>
      <c r="J5007" s="18" t="s">
        <v>935</v>
      </c>
      <c r="K5007" s="18" t="s">
        <v>24</v>
      </c>
      <c r="L5007" s="18" t="s">
        <v>25</v>
      </c>
      <c r="N5007" s="18" t="s">
        <v>26</v>
      </c>
    </row>
    <row r="5008" spans="1:14" ht="15" customHeight="1" x14ac:dyDescent="0.3">
      <c r="A5008" s="18" t="s">
        <v>8824</v>
      </c>
      <c r="B5008" s="19" t="s">
        <v>15</v>
      </c>
      <c r="C5008" s="18" t="s">
        <v>210</v>
      </c>
      <c r="D5008" s="18" t="s">
        <v>116</v>
      </c>
      <c r="E5008" s="18" t="s">
        <v>74</v>
      </c>
      <c r="F5008" s="18" t="s">
        <v>9663</v>
      </c>
      <c r="G5008" s="18" t="s">
        <v>429</v>
      </c>
      <c r="H5008" s="18" t="s">
        <v>8939</v>
      </c>
      <c r="I5008" s="20" t="s">
        <v>9664</v>
      </c>
      <c r="J5008" s="18" t="s">
        <v>199</v>
      </c>
      <c r="K5008" s="18" t="s">
        <v>24</v>
      </c>
      <c r="L5008" s="18" t="s">
        <v>25</v>
      </c>
      <c r="N5008" s="18" t="s">
        <v>26</v>
      </c>
    </row>
    <row r="5009" spans="1:14" ht="15" customHeight="1" x14ac:dyDescent="0.3">
      <c r="A5009" s="18" t="s">
        <v>8824</v>
      </c>
      <c r="B5009" s="19" t="s">
        <v>15</v>
      </c>
      <c r="C5009" s="18" t="s">
        <v>210</v>
      </c>
      <c r="D5009" s="18" t="s">
        <v>116</v>
      </c>
      <c r="E5009" s="18" t="s">
        <v>74</v>
      </c>
      <c r="F5009" s="18" t="s">
        <v>9665</v>
      </c>
      <c r="G5009" s="18" t="s">
        <v>1019</v>
      </c>
      <c r="H5009" s="18" t="s">
        <v>8852</v>
      </c>
      <c r="I5009" s="20" t="s">
        <v>9666</v>
      </c>
      <c r="J5009" s="18" t="s">
        <v>199</v>
      </c>
      <c r="K5009" s="18" t="s">
        <v>24</v>
      </c>
      <c r="L5009" s="18" t="s">
        <v>25</v>
      </c>
      <c r="N5009" s="18" t="s">
        <v>26</v>
      </c>
    </row>
    <row r="5010" spans="1:14" ht="15" customHeight="1" x14ac:dyDescent="0.3">
      <c r="A5010" s="18" t="s">
        <v>8824</v>
      </c>
      <c r="B5010" s="19" t="s">
        <v>15</v>
      </c>
      <c r="C5010" s="18" t="s">
        <v>210</v>
      </c>
      <c r="D5010" s="18" t="s">
        <v>116</v>
      </c>
      <c r="E5010" s="18" t="s">
        <v>74</v>
      </c>
      <c r="F5010" s="18" t="s">
        <v>9667</v>
      </c>
      <c r="G5010" s="18" t="s">
        <v>28</v>
      </c>
      <c r="H5010" s="18" t="s">
        <v>8835</v>
      </c>
      <c r="I5010" s="20" t="s">
        <v>9668</v>
      </c>
      <c r="J5010" s="18" t="s">
        <v>199</v>
      </c>
      <c r="K5010" s="18" t="s">
        <v>24</v>
      </c>
      <c r="L5010" s="18" t="s">
        <v>25</v>
      </c>
      <c r="N5010" s="18" t="s">
        <v>26</v>
      </c>
    </row>
    <row r="5011" spans="1:14" ht="15" customHeight="1" x14ac:dyDescent="0.3">
      <c r="A5011" s="18" t="s">
        <v>9669</v>
      </c>
      <c r="B5011" s="19" t="s">
        <v>15</v>
      </c>
      <c r="C5011" s="18" t="s">
        <v>9670</v>
      </c>
      <c r="D5011" s="18" t="s">
        <v>116</v>
      </c>
      <c r="E5011" s="18" t="s">
        <v>117</v>
      </c>
      <c r="F5011" s="18" t="s">
        <v>572</v>
      </c>
      <c r="G5011" s="18" t="s">
        <v>263</v>
      </c>
      <c r="H5011" s="18" t="s">
        <v>2140</v>
      </c>
      <c r="I5011" s="20" t="s">
        <v>9671</v>
      </c>
      <c r="J5011" s="18" t="s">
        <v>58</v>
      </c>
      <c r="K5011" s="18" t="s">
        <v>24</v>
      </c>
      <c r="L5011" s="18" t="s">
        <v>25</v>
      </c>
      <c r="N5011" s="18" t="s">
        <v>154</v>
      </c>
    </row>
    <row r="5012" spans="1:14" ht="15" customHeight="1" x14ac:dyDescent="0.3">
      <c r="A5012" s="18" t="s">
        <v>9669</v>
      </c>
      <c r="B5012" s="19" t="s">
        <v>15</v>
      </c>
      <c r="C5012" s="18" t="s">
        <v>9670</v>
      </c>
      <c r="D5012" s="18" t="s">
        <v>116</v>
      </c>
      <c r="E5012" s="18" t="s">
        <v>117</v>
      </c>
      <c r="F5012" s="18" t="s">
        <v>868</v>
      </c>
      <c r="G5012" s="18" t="s">
        <v>270</v>
      </c>
      <c r="H5012" s="18" t="s">
        <v>2140</v>
      </c>
      <c r="I5012" s="20" t="s">
        <v>9672</v>
      </c>
      <c r="J5012" s="18" t="s">
        <v>58</v>
      </c>
      <c r="K5012" s="18" t="s">
        <v>24</v>
      </c>
      <c r="L5012" s="18" t="s">
        <v>25</v>
      </c>
      <c r="N5012" s="18" t="s">
        <v>154</v>
      </c>
    </row>
    <row r="5013" spans="1:14" ht="15" customHeight="1" x14ac:dyDescent="0.3">
      <c r="A5013" s="18" t="s">
        <v>9669</v>
      </c>
      <c r="B5013" s="19" t="s">
        <v>15</v>
      </c>
      <c r="C5013" s="18" t="s">
        <v>9670</v>
      </c>
      <c r="D5013" s="18" t="s">
        <v>116</v>
      </c>
      <c r="E5013" s="18" t="s">
        <v>117</v>
      </c>
      <c r="F5013" s="18" t="s">
        <v>575</v>
      </c>
      <c r="G5013" s="18" t="s">
        <v>263</v>
      </c>
      <c r="H5013" s="18" t="s">
        <v>2140</v>
      </c>
      <c r="I5013" s="20" t="s">
        <v>9673</v>
      </c>
      <c r="J5013" s="18" t="s">
        <v>58</v>
      </c>
      <c r="K5013" s="18" t="s">
        <v>24</v>
      </c>
      <c r="L5013" s="18" t="s">
        <v>25</v>
      </c>
      <c r="N5013" s="18" t="s">
        <v>154</v>
      </c>
    </row>
    <row r="5014" spans="1:14" ht="15" customHeight="1" x14ac:dyDescent="0.3">
      <c r="A5014" s="18" t="s">
        <v>9669</v>
      </c>
      <c r="B5014" s="19" t="s">
        <v>15</v>
      </c>
      <c r="C5014" s="18" t="s">
        <v>9670</v>
      </c>
      <c r="D5014" s="18" t="s">
        <v>116</v>
      </c>
      <c r="E5014" s="18" t="s">
        <v>117</v>
      </c>
      <c r="F5014" s="18" t="s">
        <v>720</v>
      </c>
      <c r="G5014" s="18" t="s">
        <v>20</v>
      </c>
      <c r="H5014" s="18" t="s">
        <v>2140</v>
      </c>
      <c r="I5014" s="20" t="s">
        <v>9674</v>
      </c>
      <c r="J5014" s="18" t="s">
        <v>58</v>
      </c>
      <c r="K5014" s="18" t="s">
        <v>24</v>
      </c>
      <c r="L5014" s="18" t="s">
        <v>25</v>
      </c>
      <c r="N5014" s="18" t="s">
        <v>154</v>
      </c>
    </row>
    <row r="5015" spans="1:14" ht="15" customHeight="1" x14ac:dyDescent="0.3">
      <c r="A5015" s="18" t="s">
        <v>9669</v>
      </c>
      <c r="B5015" s="19" t="s">
        <v>15</v>
      </c>
      <c r="C5015" s="18" t="s">
        <v>9670</v>
      </c>
      <c r="D5015" s="18" t="s">
        <v>116</v>
      </c>
      <c r="E5015" s="18" t="s">
        <v>18</v>
      </c>
      <c r="F5015" s="18" t="s">
        <v>2084</v>
      </c>
      <c r="G5015" s="18" t="s">
        <v>1704</v>
      </c>
      <c r="H5015" s="18" t="s">
        <v>766</v>
      </c>
      <c r="I5015" s="20" t="s">
        <v>9675</v>
      </c>
      <c r="J5015" s="18" t="s">
        <v>30</v>
      </c>
      <c r="K5015" s="18" t="s">
        <v>24</v>
      </c>
      <c r="L5015" s="18" t="s">
        <v>25</v>
      </c>
      <c r="N5015" s="18" t="s">
        <v>154</v>
      </c>
    </row>
    <row r="5016" spans="1:14" ht="15" customHeight="1" x14ac:dyDescent="0.3">
      <c r="A5016" s="18" t="s">
        <v>9669</v>
      </c>
      <c r="B5016" s="19" t="s">
        <v>15</v>
      </c>
      <c r="C5016" s="18" t="s">
        <v>9670</v>
      </c>
      <c r="D5016" s="18" t="s">
        <v>116</v>
      </c>
      <c r="E5016" s="18" t="s">
        <v>18</v>
      </c>
      <c r="F5016" s="18" t="s">
        <v>9676</v>
      </c>
      <c r="G5016" s="18" t="s">
        <v>263</v>
      </c>
      <c r="H5016" s="18" t="s">
        <v>9677</v>
      </c>
      <c r="I5016" s="20" t="s">
        <v>9678</v>
      </c>
      <c r="J5016" s="18" t="s">
        <v>30</v>
      </c>
      <c r="K5016" s="18" t="s">
        <v>24</v>
      </c>
      <c r="L5016" s="18" t="s">
        <v>25</v>
      </c>
      <c r="M5016" s="18" t="s">
        <v>39</v>
      </c>
      <c r="N5016" s="18" t="s">
        <v>154</v>
      </c>
    </row>
    <row r="5017" spans="1:14" ht="15" customHeight="1" x14ac:dyDescent="0.3">
      <c r="A5017" s="18" t="s">
        <v>9669</v>
      </c>
      <c r="B5017" s="19" t="s">
        <v>15</v>
      </c>
      <c r="C5017" s="18" t="s">
        <v>9670</v>
      </c>
      <c r="D5017" s="18" t="s">
        <v>116</v>
      </c>
      <c r="E5017" s="18" t="s">
        <v>18</v>
      </c>
      <c r="F5017" s="18" t="s">
        <v>1016</v>
      </c>
      <c r="G5017" s="18" t="s">
        <v>263</v>
      </c>
      <c r="H5017" s="18" t="s">
        <v>9677</v>
      </c>
      <c r="I5017" s="20" t="s">
        <v>9679</v>
      </c>
      <c r="J5017" s="18" t="s">
        <v>30</v>
      </c>
      <c r="K5017" s="18" t="s">
        <v>24</v>
      </c>
      <c r="L5017" s="18" t="s">
        <v>25</v>
      </c>
      <c r="N5017" s="18" t="s">
        <v>154</v>
      </c>
    </row>
    <row r="5018" spans="1:14" ht="15" customHeight="1" x14ac:dyDescent="0.3">
      <c r="A5018" s="18" t="s">
        <v>9669</v>
      </c>
      <c r="B5018" s="19" t="s">
        <v>15</v>
      </c>
      <c r="C5018" s="18" t="s">
        <v>9670</v>
      </c>
      <c r="D5018" s="18" t="s">
        <v>116</v>
      </c>
      <c r="E5018" s="18" t="s">
        <v>18</v>
      </c>
      <c r="F5018" s="18" t="s">
        <v>8832</v>
      </c>
      <c r="G5018" s="18" t="s">
        <v>173</v>
      </c>
      <c r="H5018" s="18" t="s">
        <v>766</v>
      </c>
      <c r="I5018" s="20" t="s">
        <v>9680</v>
      </c>
      <c r="J5018" s="18" t="s">
        <v>30</v>
      </c>
      <c r="K5018" s="18" t="s">
        <v>24</v>
      </c>
      <c r="L5018" s="18" t="s">
        <v>25</v>
      </c>
      <c r="M5018" s="18" t="s">
        <v>39</v>
      </c>
      <c r="N5018" s="18" t="s">
        <v>154</v>
      </c>
    </row>
    <row r="5019" spans="1:14" ht="15" customHeight="1" x14ac:dyDescent="0.3">
      <c r="A5019" s="18" t="s">
        <v>9669</v>
      </c>
      <c r="B5019" s="19" t="s">
        <v>15</v>
      </c>
      <c r="C5019" s="18" t="s">
        <v>9670</v>
      </c>
      <c r="D5019" s="18" t="s">
        <v>116</v>
      </c>
      <c r="E5019" s="18" t="s">
        <v>18</v>
      </c>
      <c r="F5019" s="18" t="s">
        <v>1237</v>
      </c>
      <c r="G5019" s="18" t="s">
        <v>606</v>
      </c>
      <c r="H5019" s="18" t="s">
        <v>9681</v>
      </c>
      <c r="I5019" s="20" t="s">
        <v>9682</v>
      </c>
      <c r="J5019" s="18" t="s">
        <v>30</v>
      </c>
      <c r="K5019" s="18" t="s">
        <v>24</v>
      </c>
      <c r="L5019" s="18" t="s">
        <v>25</v>
      </c>
      <c r="N5019" s="18" t="s">
        <v>154</v>
      </c>
    </row>
    <row r="5020" spans="1:14" ht="15" customHeight="1" x14ac:dyDescent="0.3">
      <c r="A5020" s="18" t="s">
        <v>9669</v>
      </c>
      <c r="B5020" s="19" t="s">
        <v>15</v>
      </c>
      <c r="C5020" s="18" t="s">
        <v>9670</v>
      </c>
      <c r="D5020" s="18" t="s">
        <v>116</v>
      </c>
      <c r="E5020" s="18" t="s">
        <v>18</v>
      </c>
      <c r="F5020" s="18" t="s">
        <v>1518</v>
      </c>
      <c r="G5020" s="18" t="s">
        <v>606</v>
      </c>
      <c r="H5020" s="18" t="s">
        <v>9681</v>
      </c>
      <c r="I5020" s="20" t="s">
        <v>9683</v>
      </c>
      <c r="J5020" s="18" t="s">
        <v>30</v>
      </c>
      <c r="K5020" s="18" t="s">
        <v>24</v>
      </c>
      <c r="L5020" s="18" t="s">
        <v>25</v>
      </c>
      <c r="N5020" s="18" t="s">
        <v>154</v>
      </c>
    </row>
    <row r="5021" spans="1:14" ht="15" customHeight="1" x14ac:dyDescent="0.3">
      <c r="A5021" s="18" t="s">
        <v>9669</v>
      </c>
      <c r="B5021" s="19" t="s">
        <v>15</v>
      </c>
      <c r="C5021" s="18" t="s">
        <v>9670</v>
      </c>
      <c r="D5021" s="18" t="s">
        <v>116</v>
      </c>
      <c r="E5021" s="18" t="s">
        <v>18</v>
      </c>
      <c r="F5021" s="18" t="s">
        <v>9684</v>
      </c>
      <c r="G5021" s="18" t="s">
        <v>606</v>
      </c>
      <c r="H5021" s="18" t="s">
        <v>9681</v>
      </c>
      <c r="I5021" s="20" t="s">
        <v>9685</v>
      </c>
      <c r="J5021" s="18" t="s">
        <v>30</v>
      </c>
      <c r="K5021" s="18" t="s">
        <v>24</v>
      </c>
      <c r="L5021" s="18" t="s">
        <v>25</v>
      </c>
      <c r="N5021" s="18" t="s">
        <v>154</v>
      </c>
    </row>
    <row r="5022" spans="1:14" ht="15" customHeight="1" x14ac:dyDescent="0.3">
      <c r="A5022" s="18" t="s">
        <v>9669</v>
      </c>
      <c r="B5022" s="19" t="s">
        <v>15</v>
      </c>
      <c r="C5022" s="18" t="s">
        <v>9670</v>
      </c>
      <c r="D5022" s="18" t="s">
        <v>116</v>
      </c>
      <c r="E5022" s="18" t="s">
        <v>18</v>
      </c>
      <c r="F5022" s="18" t="s">
        <v>7265</v>
      </c>
      <c r="G5022" s="18" t="s">
        <v>606</v>
      </c>
      <c r="H5022" s="18" t="s">
        <v>9681</v>
      </c>
      <c r="I5022" s="20" t="s">
        <v>9686</v>
      </c>
      <c r="J5022" s="18" t="s">
        <v>30</v>
      </c>
      <c r="K5022" s="18" t="s">
        <v>24</v>
      </c>
      <c r="L5022" s="18" t="s">
        <v>25</v>
      </c>
      <c r="N5022" s="18" t="s">
        <v>154</v>
      </c>
    </row>
    <row r="5023" spans="1:14" ht="15" customHeight="1" x14ac:dyDescent="0.3">
      <c r="A5023" s="18" t="s">
        <v>9669</v>
      </c>
      <c r="B5023" s="19" t="s">
        <v>15</v>
      </c>
      <c r="C5023" s="18" t="s">
        <v>9670</v>
      </c>
      <c r="D5023" s="18" t="s">
        <v>116</v>
      </c>
      <c r="E5023" s="18" t="s">
        <v>18</v>
      </c>
      <c r="F5023" s="18" t="s">
        <v>1260</v>
      </c>
      <c r="G5023" s="18" t="s">
        <v>1211</v>
      </c>
      <c r="H5023" s="18" t="s">
        <v>9687</v>
      </c>
      <c r="I5023" s="20" t="s">
        <v>9688</v>
      </c>
      <c r="J5023" s="18" t="s">
        <v>30</v>
      </c>
      <c r="K5023" s="18" t="s">
        <v>24</v>
      </c>
      <c r="L5023" s="18" t="s">
        <v>25</v>
      </c>
      <c r="N5023" s="18" t="s">
        <v>154</v>
      </c>
    </row>
    <row r="5024" spans="1:14" ht="15" customHeight="1" x14ac:dyDescent="0.3">
      <c r="A5024" s="18" t="s">
        <v>9669</v>
      </c>
      <c r="B5024" s="19" t="s">
        <v>15</v>
      </c>
      <c r="C5024" s="18" t="s">
        <v>9670</v>
      </c>
      <c r="D5024" s="18" t="s">
        <v>116</v>
      </c>
      <c r="E5024" s="18" t="s">
        <v>18</v>
      </c>
      <c r="F5024" s="18" t="s">
        <v>9689</v>
      </c>
      <c r="G5024" s="18" t="s">
        <v>1704</v>
      </c>
      <c r="H5024" s="18" t="s">
        <v>766</v>
      </c>
      <c r="I5024" s="20" t="s">
        <v>9690</v>
      </c>
      <c r="J5024" s="18" t="s">
        <v>30</v>
      </c>
      <c r="K5024" s="18" t="s">
        <v>24</v>
      </c>
      <c r="L5024" s="18" t="s">
        <v>25</v>
      </c>
      <c r="N5024" s="18" t="s">
        <v>154</v>
      </c>
    </row>
    <row r="5025" spans="1:14" ht="15" customHeight="1" x14ac:dyDescent="0.3">
      <c r="A5025" s="18" t="s">
        <v>9669</v>
      </c>
      <c r="B5025" s="19" t="s">
        <v>15</v>
      </c>
      <c r="C5025" s="18" t="s">
        <v>9670</v>
      </c>
      <c r="D5025" s="18" t="s">
        <v>116</v>
      </c>
      <c r="E5025" s="18" t="s">
        <v>18</v>
      </c>
      <c r="F5025" s="18" t="s">
        <v>613</v>
      </c>
      <c r="G5025" s="18" t="s">
        <v>606</v>
      </c>
      <c r="H5025" s="18" t="s">
        <v>9681</v>
      </c>
      <c r="I5025" s="20" t="s">
        <v>9691</v>
      </c>
      <c r="J5025" s="18" t="s">
        <v>30</v>
      </c>
      <c r="K5025" s="18" t="s">
        <v>24</v>
      </c>
      <c r="L5025" s="18" t="s">
        <v>25</v>
      </c>
      <c r="N5025" s="18" t="s">
        <v>154</v>
      </c>
    </row>
    <row r="5026" spans="1:14" ht="15" customHeight="1" x14ac:dyDescent="0.3">
      <c r="A5026" s="18" t="s">
        <v>9669</v>
      </c>
      <c r="B5026" s="19" t="s">
        <v>15</v>
      </c>
      <c r="C5026" s="18" t="s">
        <v>9670</v>
      </c>
      <c r="D5026" s="18" t="s">
        <v>116</v>
      </c>
      <c r="E5026" s="18" t="s">
        <v>18</v>
      </c>
      <c r="F5026" s="18" t="s">
        <v>6324</v>
      </c>
      <c r="G5026" s="18" t="s">
        <v>1340</v>
      </c>
      <c r="H5026" s="18" t="s">
        <v>9677</v>
      </c>
      <c r="I5026" s="20" t="s">
        <v>9692</v>
      </c>
      <c r="J5026" s="18" t="s">
        <v>30</v>
      </c>
      <c r="K5026" s="18" t="s">
        <v>24</v>
      </c>
      <c r="L5026" s="18" t="s">
        <v>25</v>
      </c>
      <c r="N5026" s="18" t="s">
        <v>154</v>
      </c>
    </row>
    <row r="5027" spans="1:14" ht="15" customHeight="1" x14ac:dyDescent="0.3">
      <c r="A5027" s="18" t="s">
        <v>9669</v>
      </c>
      <c r="B5027" s="19" t="s">
        <v>15</v>
      </c>
      <c r="C5027" s="18" t="s">
        <v>9670</v>
      </c>
      <c r="D5027" s="18" t="s">
        <v>116</v>
      </c>
      <c r="E5027" s="18" t="s">
        <v>18</v>
      </c>
      <c r="F5027" s="18" t="s">
        <v>19</v>
      </c>
      <c r="G5027" s="18" t="s">
        <v>621</v>
      </c>
      <c r="H5027" s="18" t="s">
        <v>9681</v>
      </c>
      <c r="I5027" s="20" t="s">
        <v>9693</v>
      </c>
      <c r="J5027" s="18" t="s">
        <v>23</v>
      </c>
      <c r="K5027" s="18" t="s">
        <v>24</v>
      </c>
      <c r="L5027" s="18" t="s">
        <v>25</v>
      </c>
      <c r="N5027" s="18" t="s">
        <v>154</v>
      </c>
    </row>
    <row r="5028" spans="1:14" ht="15" customHeight="1" x14ac:dyDescent="0.3">
      <c r="A5028" s="18" t="s">
        <v>9669</v>
      </c>
      <c r="B5028" s="19" t="s">
        <v>15</v>
      </c>
      <c r="C5028" s="18" t="s">
        <v>9670</v>
      </c>
      <c r="D5028" s="18" t="s">
        <v>116</v>
      </c>
      <c r="E5028" s="18" t="s">
        <v>18</v>
      </c>
      <c r="F5028" s="18" t="s">
        <v>1009</v>
      </c>
      <c r="G5028" s="18" t="s">
        <v>1009</v>
      </c>
      <c r="H5028" s="18" t="s">
        <v>9681</v>
      </c>
      <c r="I5028" s="20" t="s">
        <v>9694</v>
      </c>
      <c r="J5028" s="18" t="s">
        <v>30</v>
      </c>
      <c r="K5028" s="18" t="s">
        <v>24</v>
      </c>
      <c r="L5028" s="18" t="s">
        <v>25</v>
      </c>
      <c r="N5028" s="18" t="s">
        <v>154</v>
      </c>
    </row>
    <row r="5029" spans="1:14" ht="15" customHeight="1" x14ac:dyDescent="0.3">
      <c r="A5029" s="18" t="s">
        <v>9669</v>
      </c>
      <c r="B5029" s="19" t="s">
        <v>15</v>
      </c>
      <c r="C5029" s="18" t="s">
        <v>9670</v>
      </c>
      <c r="D5029" s="18" t="s">
        <v>116</v>
      </c>
      <c r="E5029" s="18" t="s">
        <v>18</v>
      </c>
      <c r="F5029" s="18" t="s">
        <v>1846</v>
      </c>
      <c r="G5029" s="18" t="s">
        <v>1019</v>
      </c>
      <c r="H5029" s="18" t="s">
        <v>9681</v>
      </c>
      <c r="I5029" s="20" t="s">
        <v>9695</v>
      </c>
      <c r="J5029" s="18" t="s">
        <v>30</v>
      </c>
      <c r="K5029" s="18" t="s">
        <v>24</v>
      </c>
      <c r="L5029" s="18" t="s">
        <v>25</v>
      </c>
      <c r="N5029" s="18" t="s">
        <v>154</v>
      </c>
    </row>
    <row r="5030" spans="1:14" ht="15" customHeight="1" x14ac:dyDescent="0.3">
      <c r="A5030" s="18" t="s">
        <v>9669</v>
      </c>
      <c r="B5030" s="19" t="s">
        <v>15</v>
      </c>
      <c r="C5030" s="18" t="s">
        <v>9670</v>
      </c>
      <c r="D5030" s="18" t="s">
        <v>116</v>
      </c>
      <c r="E5030" s="18" t="s">
        <v>18</v>
      </c>
      <c r="F5030" s="18" t="s">
        <v>9696</v>
      </c>
      <c r="G5030" s="18" t="s">
        <v>2628</v>
      </c>
      <c r="H5030" s="18" t="s">
        <v>766</v>
      </c>
      <c r="I5030" s="20" t="s">
        <v>9697</v>
      </c>
      <c r="J5030" s="18" t="s">
        <v>30</v>
      </c>
      <c r="K5030" s="18" t="s">
        <v>24</v>
      </c>
      <c r="L5030" s="18" t="s">
        <v>25</v>
      </c>
      <c r="N5030" s="18" t="s">
        <v>154</v>
      </c>
    </row>
    <row r="5031" spans="1:14" ht="15" customHeight="1" x14ac:dyDescent="0.3">
      <c r="A5031" s="18" t="s">
        <v>9669</v>
      </c>
      <c r="B5031" s="19" t="s">
        <v>15</v>
      </c>
      <c r="C5031" s="18" t="s">
        <v>9670</v>
      </c>
      <c r="D5031" s="18" t="s">
        <v>116</v>
      </c>
      <c r="E5031" s="18" t="s">
        <v>18</v>
      </c>
      <c r="F5031" s="18" t="s">
        <v>7138</v>
      </c>
      <c r="G5031" s="18" t="s">
        <v>1291</v>
      </c>
      <c r="H5031" s="18" t="s">
        <v>9687</v>
      </c>
      <c r="I5031" s="20" t="s">
        <v>9698</v>
      </c>
      <c r="J5031" s="18" t="s">
        <v>30</v>
      </c>
      <c r="K5031" s="18" t="s">
        <v>24</v>
      </c>
      <c r="L5031" s="18" t="s">
        <v>25</v>
      </c>
      <c r="N5031" s="18" t="s">
        <v>154</v>
      </c>
    </row>
    <row r="5032" spans="1:14" ht="15" customHeight="1" x14ac:dyDescent="0.3">
      <c r="A5032" s="18" t="s">
        <v>9669</v>
      </c>
      <c r="B5032" s="19" t="s">
        <v>15</v>
      </c>
      <c r="C5032" s="18" t="s">
        <v>9670</v>
      </c>
      <c r="D5032" s="18" t="s">
        <v>116</v>
      </c>
      <c r="E5032" s="18" t="s">
        <v>18</v>
      </c>
      <c r="F5032" s="18" t="s">
        <v>9699</v>
      </c>
      <c r="G5032" s="18" t="s">
        <v>6252</v>
      </c>
      <c r="H5032" s="18" t="s">
        <v>9677</v>
      </c>
      <c r="I5032" s="20" t="s">
        <v>9700</v>
      </c>
      <c r="J5032" s="18" t="s">
        <v>30</v>
      </c>
      <c r="K5032" s="18" t="s">
        <v>24</v>
      </c>
      <c r="L5032" s="18" t="s">
        <v>25</v>
      </c>
      <c r="N5032" s="18" t="s">
        <v>154</v>
      </c>
    </row>
    <row r="5033" spans="1:14" ht="15" customHeight="1" x14ac:dyDescent="0.3">
      <c r="A5033" s="18" t="s">
        <v>9669</v>
      </c>
      <c r="B5033" s="19" t="s">
        <v>15</v>
      </c>
      <c r="C5033" s="18" t="s">
        <v>9670</v>
      </c>
      <c r="D5033" s="18" t="s">
        <v>116</v>
      </c>
      <c r="E5033" s="18" t="s">
        <v>18</v>
      </c>
      <c r="F5033" s="18" t="s">
        <v>9701</v>
      </c>
      <c r="G5033" s="18" t="s">
        <v>28</v>
      </c>
      <c r="H5033" s="18" t="s">
        <v>9687</v>
      </c>
      <c r="I5033" s="20" t="s">
        <v>9702</v>
      </c>
      <c r="J5033" s="18" t="s">
        <v>30</v>
      </c>
      <c r="K5033" s="18" t="s">
        <v>24</v>
      </c>
      <c r="L5033" s="18" t="s">
        <v>25</v>
      </c>
      <c r="N5033" s="18" t="s">
        <v>154</v>
      </c>
    </row>
    <row r="5034" spans="1:14" ht="15" customHeight="1" x14ac:dyDescent="0.3">
      <c r="A5034" s="18" t="s">
        <v>9669</v>
      </c>
      <c r="B5034" s="19" t="s">
        <v>15</v>
      </c>
      <c r="C5034" s="18" t="s">
        <v>9670</v>
      </c>
      <c r="D5034" s="18" t="s">
        <v>116</v>
      </c>
      <c r="E5034" s="18" t="s">
        <v>18</v>
      </c>
      <c r="F5034" s="18" t="s">
        <v>1069</v>
      </c>
      <c r="G5034" s="18" t="s">
        <v>1069</v>
      </c>
      <c r="H5034" s="18" t="s">
        <v>9677</v>
      </c>
      <c r="I5034" s="20" t="s">
        <v>9703</v>
      </c>
      <c r="J5034" s="18" t="s">
        <v>30</v>
      </c>
      <c r="K5034" s="18" t="s">
        <v>24</v>
      </c>
      <c r="L5034" s="18" t="s">
        <v>25</v>
      </c>
      <c r="N5034" s="18" t="s">
        <v>154</v>
      </c>
    </row>
    <row r="5035" spans="1:14" ht="15" customHeight="1" x14ac:dyDescent="0.3">
      <c r="A5035" s="18" t="s">
        <v>9669</v>
      </c>
      <c r="B5035" s="19" t="s">
        <v>15</v>
      </c>
      <c r="C5035" s="18" t="s">
        <v>9670</v>
      </c>
      <c r="D5035" s="18" t="s">
        <v>116</v>
      </c>
      <c r="E5035" s="18" t="s">
        <v>18</v>
      </c>
      <c r="F5035" s="18" t="s">
        <v>272</v>
      </c>
      <c r="G5035" s="18" t="s">
        <v>273</v>
      </c>
      <c r="H5035" s="18" t="s">
        <v>9677</v>
      </c>
      <c r="I5035" s="20" t="s">
        <v>9704</v>
      </c>
      <c r="J5035" s="18" t="s">
        <v>30</v>
      </c>
      <c r="K5035" s="18" t="s">
        <v>24</v>
      </c>
      <c r="L5035" s="18" t="s">
        <v>25</v>
      </c>
      <c r="N5035" s="18" t="s">
        <v>154</v>
      </c>
    </row>
    <row r="5036" spans="1:14" ht="15" customHeight="1" x14ac:dyDescent="0.3">
      <c r="A5036" s="18" t="s">
        <v>9669</v>
      </c>
      <c r="B5036" s="19" t="s">
        <v>15</v>
      </c>
      <c r="C5036" s="18" t="s">
        <v>9670</v>
      </c>
      <c r="D5036" s="18" t="s">
        <v>116</v>
      </c>
      <c r="E5036" s="18" t="s">
        <v>18</v>
      </c>
      <c r="F5036" s="18" t="s">
        <v>381</v>
      </c>
      <c r="G5036" s="18" t="s">
        <v>381</v>
      </c>
      <c r="H5036" s="18" t="s">
        <v>2140</v>
      </c>
      <c r="I5036" s="20" t="s">
        <v>9705</v>
      </c>
      <c r="J5036" s="18" t="s">
        <v>23</v>
      </c>
      <c r="K5036" s="18" t="s">
        <v>24</v>
      </c>
      <c r="L5036" s="18" t="s">
        <v>25</v>
      </c>
      <c r="N5036" s="18" t="s">
        <v>154</v>
      </c>
    </row>
    <row r="5037" spans="1:14" ht="15" customHeight="1" x14ac:dyDescent="0.3">
      <c r="A5037" s="18" t="s">
        <v>9669</v>
      </c>
      <c r="B5037" s="19" t="s">
        <v>15</v>
      </c>
      <c r="C5037" s="18" t="s">
        <v>9670</v>
      </c>
      <c r="D5037" s="18" t="s">
        <v>116</v>
      </c>
      <c r="E5037" s="18" t="s">
        <v>18</v>
      </c>
      <c r="F5037" s="18" t="s">
        <v>2294</v>
      </c>
      <c r="G5037" s="18" t="s">
        <v>637</v>
      </c>
      <c r="H5037" s="18" t="s">
        <v>766</v>
      </c>
      <c r="I5037" s="20" t="s">
        <v>9706</v>
      </c>
      <c r="J5037" s="18" t="s">
        <v>30</v>
      </c>
      <c r="K5037" s="18" t="s">
        <v>24</v>
      </c>
      <c r="L5037" s="18" t="s">
        <v>25</v>
      </c>
      <c r="M5037" s="18" t="s">
        <v>39</v>
      </c>
      <c r="N5037" s="18" t="s">
        <v>154</v>
      </c>
    </row>
    <row r="5038" spans="1:14" ht="15" customHeight="1" x14ac:dyDescent="0.3">
      <c r="A5038" s="18" t="s">
        <v>9669</v>
      </c>
      <c r="B5038" s="19" t="s">
        <v>15</v>
      </c>
      <c r="C5038" s="18" t="s">
        <v>9670</v>
      </c>
      <c r="D5038" s="18" t="s">
        <v>116</v>
      </c>
      <c r="E5038" s="18" t="s">
        <v>18</v>
      </c>
      <c r="F5038" s="18" t="s">
        <v>1239</v>
      </c>
      <c r="G5038" s="18" t="s">
        <v>1075</v>
      </c>
      <c r="H5038" s="18" t="s">
        <v>9687</v>
      </c>
      <c r="I5038" s="20" t="s">
        <v>9707</v>
      </c>
      <c r="J5038" s="18" t="s">
        <v>30</v>
      </c>
      <c r="K5038" s="18" t="s">
        <v>24</v>
      </c>
      <c r="L5038" s="18" t="s">
        <v>25</v>
      </c>
      <c r="N5038" s="18" t="s">
        <v>154</v>
      </c>
    </row>
    <row r="5039" spans="1:14" ht="15" customHeight="1" x14ac:dyDescent="0.3">
      <c r="A5039" s="18" t="s">
        <v>9669</v>
      </c>
      <c r="B5039" s="19" t="s">
        <v>15</v>
      </c>
      <c r="C5039" s="18" t="s">
        <v>9670</v>
      </c>
      <c r="D5039" s="18" t="s">
        <v>116</v>
      </c>
      <c r="E5039" s="18" t="s">
        <v>18</v>
      </c>
      <c r="F5039" s="18" t="s">
        <v>221</v>
      </c>
      <c r="G5039" s="18" t="s">
        <v>212</v>
      </c>
      <c r="H5039" s="18" t="s">
        <v>9687</v>
      </c>
      <c r="I5039" s="20" t="s">
        <v>9708</v>
      </c>
      <c r="J5039" s="18" t="s">
        <v>30</v>
      </c>
      <c r="K5039" s="18" t="s">
        <v>24</v>
      </c>
      <c r="L5039" s="18" t="s">
        <v>25</v>
      </c>
      <c r="N5039" s="18" t="s">
        <v>154</v>
      </c>
    </row>
    <row r="5040" spans="1:14" ht="15" customHeight="1" x14ac:dyDescent="0.3">
      <c r="A5040" s="18" t="s">
        <v>9669</v>
      </c>
      <c r="B5040" s="19" t="s">
        <v>15</v>
      </c>
      <c r="C5040" s="18" t="s">
        <v>9670</v>
      </c>
      <c r="D5040" s="18" t="s">
        <v>116</v>
      </c>
      <c r="E5040" s="18" t="s">
        <v>18</v>
      </c>
      <c r="F5040" s="18" t="s">
        <v>1244</v>
      </c>
      <c r="G5040" s="18" t="s">
        <v>1075</v>
      </c>
      <c r="H5040" s="18" t="s">
        <v>9687</v>
      </c>
      <c r="I5040" s="20" t="s">
        <v>9709</v>
      </c>
      <c r="J5040" s="18" t="s">
        <v>30</v>
      </c>
      <c r="K5040" s="18" t="s">
        <v>24</v>
      </c>
      <c r="L5040" s="18" t="s">
        <v>25</v>
      </c>
      <c r="N5040" s="18" t="s">
        <v>154</v>
      </c>
    </row>
    <row r="5041" spans="1:14" ht="15" customHeight="1" x14ac:dyDescent="0.3">
      <c r="A5041" s="18" t="s">
        <v>9669</v>
      </c>
      <c r="B5041" s="19" t="s">
        <v>15</v>
      </c>
      <c r="C5041" s="18" t="s">
        <v>9670</v>
      </c>
      <c r="D5041" s="18" t="s">
        <v>116</v>
      </c>
      <c r="E5041" s="18" t="s">
        <v>18</v>
      </c>
      <c r="F5041" s="18" t="s">
        <v>9710</v>
      </c>
      <c r="G5041" s="18" t="s">
        <v>2628</v>
      </c>
      <c r="H5041" s="18" t="s">
        <v>9711</v>
      </c>
      <c r="I5041" s="20" t="s">
        <v>9712</v>
      </c>
      <c r="J5041" s="18" t="s">
        <v>30</v>
      </c>
      <c r="K5041" s="18" t="s">
        <v>24</v>
      </c>
      <c r="L5041" s="18" t="s">
        <v>25</v>
      </c>
      <c r="M5041" s="18" t="s">
        <v>39</v>
      </c>
      <c r="N5041" s="18" t="s">
        <v>154</v>
      </c>
    </row>
    <row r="5042" spans="1:14" ht="15" customHeight="1" x14ac:dyDescent="0.3">
      <c r="A5042" s="18" t="s">
        <v>9669</v>
      </c>
      <c r="B5042" s="19" t="s">
        <v>15</v>
      </c>
      <c r="C5042" s="18" t="s">
        <v>9670</v>
      </c>
      <c r="D5042" s="18" t="s">
        <v>116</v>
      </c>
      <c r="E5042" s="18" t="s">
        <v>18</v>
      </c>
      <c r="F5042" s="18" t="s">
        <v>7609</v>
      </c>
      <c r="G5042" s="18" t="s">
        <v>9713</v>
      </c>
      <c r="H5042" s="18" t="s">
        <v>9687</v>
      </c>
      <c r="I5042" s="20" t="s">
        <v>9714</v>
      </c>
      <c r="J5042" s="18" t="s">
        <v>30</v>
      </c>
      <c r="K5042" s="18" t="s">
        <v>24</v>
      </c>
      <c r="L5042" s="18" t="s">
        <v>25</v>
      </c>
      <c r="N5042" s="18" t="s">
        <v>154</v>
      </c>
    </row>
    <row r="5043" spans="1:14" ht="15" customHeight="1" x14ac:dyDescent="0.3">
      <c r="A5043" s="18" t="s">
        <v>9669</v>
      </c>
      <c r="B5043" s="19" t="s">
        <v>15</v>
      </c>
      <c r="C5043" s="18" t="s">
        <v>9670</v>
      </c>
      <c r="D5043" s="18" t="s">
        <v>116</v>
      </c>
      <c r="E5043" s="18" t="s">
        <v>18</v>
      </c>
      <c r="F5043" s="18" t="s">
        <v>1072</v>
      </c>
      <c r="G5043" s="18" t="s">
        <v>47</v>
      </c>
      <c r="H5043" s="18" t="s">
        <v>9687</v>
      </c>
      <c r="I5043" s="20" t="s">
        <v>9715</v>
      </c>
      <c r="J5043" s="18" t="s">
        <v>30</v>
      </c>
      <c r="K5043" s="18" t="s">
        <v>24</v>
      </c>
      <c r="L5043" s="18" t="s">
        <v>25</v>
      </c>
      <c r="N5043" s="18" t="s">
        <v>154</v>
      </c>
    </row>
    <row r="5044" spans="1:14" ht="15" customHeight="1" x14ac:dyDescent="0.3">
      <c r="A5044" s="18" t="s">
        <v>9669</v>
      </c>
      <c r="B5044" s="19" t="s">
        <v>15</v>
      </c>
      <c r="C5044" s="18" t="s">
        <v>9670</v>
      </c>
      <c r="D5044" s="18" t="s">
        <v>116</v>
      </c>
      <c r="E5044" s="18" t="s">
        <v>18</v>
      </c>
      <c r="F5044" s="18" t="s">
        <v>34</v>
      </c>
      <c r="G5044" s="18" t="s">
        <v>34</v>
      </c>
      <c r="H5044" s="18" t="s">
        <v>9687</v>
      </c>
      <c r="I5044" s="20" t="s">
        <v>9716</v>
      </c>
      <c r="J5044" s="18" t="s">
        <v>30</v>
      </c>
      <c r="K5044" s="18" t="s">
        <v>24</v>
      </c>
      <c r="L5044" s="18" t="s">
        <v>25</v>
      </c>
      <c r="N5044" s="18" t="s">
        <v>154</v>
      </c>
    </row>
    <row r="5045" spans="1:14" ht="15" customHeight="1" x14ac:dyDescent="0.3">
      <c r="A5045" s="18" t="s">
        <v>9669</v>
      </c>
      <c r="B5045" s="19" t="s">
        <v>15</v>
      </c>
      <c r="C5045" s="18" t="s">
        <v>9670</v>
      </c>
      <c r="D5045" s="18" t="s">
        <v>116</v>
      </c>
      <c r="E5045" s="18" t="s">
        <v>18</v>
      </c>
      <c r="F5045" s="18" t="s">
        <v>2302</v>
      </c>
      <c r="G5045" s="18" t="s">
        <v>9717</v>
      </c>
      <c r="H5045" s="18" t="s">
        <v>9711</v>
      </c>
      <c r="I5045" s="20" t="s">
        <v>9718</v>
      </c>
      <c r="J5045" s="18" t="s">
        <v>30</v>
      </c>
      <c r="K5045" s="18" t="s">
        <v>24</v>
      </c>
      <c r="L5045" s="18" t="s">
        <v>25</v>
      </c>
      <c r="M5045" s="18" t="s">
        <v>39</v>
      </c>
      <c r="N5045" s="18" t="s">
        <v>154</v>
      </c>
    </row>
    <row r="5046" spans="1:14" ht="15" customHeight="1" x14ac:dyDescent="0.3">
      <c r="A5046" s="18" t="s">
        <v>9669</v>
      </c>
      <c r="B5046" s="19" t="s">
        <v>15</v>
      </c>
      <c r="C5046" s="18" t="s">
        <v>9670</v>
      </c>
      <c r="D5046" s="18" t="s">
        <v>116</v>
      </c>
      <c r="E5046" s="18" t="s">
        <v>18</v>
      </c>
      <c r="F5046" s="18" t="s">
        <v>2555</v>
      </c>
      <c r="G5046" s="18" t="s">
        <v>1204</v>
      </c>
      <c r="H5046" s="18" t="s">
        <v>9687</v>
      </c>
      <c r="I5046" s="20" t="s">
        <v>9719</v>
      </c>
      <c r="J5046" s="18" t="s">
        <v>30</v>
      </c>
      <c r="K5046" s="18" t="s">
        <v>24</v>
      </c>
      <c r="L5046" s="18" t="s">
        <v>25</v>
      </c>
      <c r="M5046" s="18" t="s">
        <v>39</v>
      </c>
      <c r="N5046" s="18" t="s">
        <v>154</v>
      </c>
    </row>
    <row r="5047" spans="1:14" ht="15" customHeight="1" x14ac:dyDescent="0.3">
      <c r="A5047" s="18" t="s">
        <v>9669</v>
      </c>
      <c r="B5047" s="19" t="s">
        <v>15</v>
      </c>
      <c r="C5047" s="18" t="s">
        <v>9670</v>
      </c>
      <c r="D5047" s="18" t="s">
        <v>116</v>
      </c>
      <c r="E5047" s="18" t="s">
        <v>18</v>
      </c>
      <c r="F5047" s="18" t="s">
        <v>9720</v>
      </c>
      <c r="G5047" s="18" t="s">
        <v>2628</v>
      </c>
      <c r="H5047" s="18" t="s">
        <v>9711</v>
      </c>
      <c r="I5047" s="20" t="s">
        <v>9721</v>
      </c>
      <c r="J5047" s="18" t="s">
        <v>30</v>
      </c>
      <c r="K5047" s="18" t="s">
        <v>24</v>
      </c>
      <c r="L5047" s="18" t="s">
        <v>25</v>
      </c>
      <c r="M5047" s="18" t="s">
        <v>39</v>
      </c>
      <c r="N5047" s="18" t="s">
        <v>154</v>
      </c>
    </row>
    <row r="5048" spans="1:14" ht="15" customHeight="1" x14ac:dyDescent="0.3">
      <c r="A5048" s="18" t="s">
        <v>9669</v>
      </c>
      <c r="B5048" s="19" t="s">
        <v>15</v>
      </c>
      <c r="C5048" s="18" t="s">
        <v>9670</v>
      </c>
      <c r="D5048" s="18" t="s">
        <v>116</v>
      </c>
      <c r="E5048" s="18" t="s">
        <v>18</v>
      </c>
      <c r="F5048" s="18" t="s">
        <v>1253</v>
      </c>
      <c r="G5048" s="18" t="s">
        <v>1254</v>
      </c>
      <c r="H5048" s="18" t="s">
        <v>9687</v>
      </c>
      <c r="I5048" s="20" t="s">
        <v>9722</v>
      </c>
      <c r="J5048" s="18" t="s">
        <v>30</v>
      </c>
      <c r="K5048" s="18" t="s">
        <v>24</v>
      </c>
      <c r="L5048" s="18" t="s">
        <v>25</v>
      </c>
      <c r="N5048" s="18" t="s">
        <v>154</v>
      </c>
    </row>
    <row r="5049" spans="1:14" ht="15" customHeight="1" x14ac:dyDescent="0.3">
      <c r="A5049" s="18" t="s">
        <v>9669</v>
      </c>
      <c r="B5049" s="19" t="s">
        <v>15</v>
      </c>
      <c r="C5049" s="18" t="s">
        <v>9670</v>
      </c>
      <c r="D5049" s="18" t="s">
        <v>116</v>
      </c>
      <c r="E5049" s="18" t="s">
        <v>18</v>
      </c>
      <c r="F5049" s="18" t="s">
        <v>2308</v>
      </c>
      <c r="G5049" s="18" t="s">
        <v>913</v>
      </c>
      <c r="H5049" s="18" t="s">
        <v>766</v>
      </c>
      <c r="I5049" s="20" t="s">
        <v>9723</v>
      </c>
      <c r="J5049" s="18" t="s">
        <v>30</v>
      </c>
      <c r="K5049" s="18" t="s">
        <v>24</v>
      </c>
      <c r="L5049" s="18" t="s">
        <v>25</v>
      </c>
      <c r="N5049" s="18" t="s">
        <v>154</v>
      </c>
    </row>
    <row r="5050" spans="1:14" ht="15" customHeight="1" x14ac:dyDescent="0.3">
      <c r="A5050" s="18" t="s">
        <v>9669</v>
      </c>
      <c r="B5050" s="19" t="s">
        <v>15</v>
      </c>
      <c r="C5050" s="18" t="s">
        <v>9670</v>
      </c>
      <c r="D5050" s="18" t="s">
        <v>116</v>
      </c>
      <c r="E5050" s="18" t="s">
        <v>18</v>
      </c>
      <c r="F5050" s="18" t="s">
        <v>9724</v>
      </c>
      <c r="G5050" s="18" t="s">
        <v>606</v>
      </c>
      <c r="H5050" s="18" t="s">
        <v>9681</v>
      </c>
      <c r="I5050" s="20" t="s">
        <v>9725</v>
      </c>
      <c r="J5050" s="18" t="s">
        <v>30</v>
      </c>
      <c r="K5050" s="18" t="s">
        <v>24</v>
      </c>
      <c r="L5050" s="18" t="s">
        <v>25</v>
      </c>
      <c r="N5050" s="18" t="s">
        <v>154</v>
      </c>
    </row>
    <row r="5051" spans="1:14" ht="15" customHeight="1" x14ac:dyDescent="0.3">
      <c r="A5051" s="18" t="s">
        <v>9669</v>
      </c>
      <c r="B5051" s="19" t="s">
        <v>15</v>
      </c>
      <c r="C5051" s="18" t="s">
        <v>9670</v>
      </c>
      <c r="D5051" s="18" t="s">
        <v>116</v>
      </c>
      <c r="E5051" s="18" t="s">
        <v>18</v>
      </c>
      <c r="F5051" s="18" t="s">
        <v>40</v>
      </c>
      <c r="G5051" s="18" t="s">
        <v>41</v>
      </c>
      <c r="H5051" s="18" t="s">
        <v>9677</v>
      </c>
      <c r="I5051" s="20" t="s">
        <v>9726</v>
      </c>
      <c r="J5051" s="18" t="s">
        <v>30</v>
      </c>
      <c r="K5051" s="18" t="s">
        <v>24</v>
      </c>
      <c r="L5051" s="18" t="s">
        <v>25</v>
      </c>
      <c r="N5051" s="18" t="s">
        <v>154</v>
      </c>
    </row>
    <row r="5052" spans="1:14" ht="15" customHeight="1" x14ac:dyDescent="0.3">
      <c r="A5052" s="18" t="s">
        <v>9669</v>
      </c>
      <c r="B5052" s="19" t="s">
        <v>15</v>
      </c>
      <c r="C5052" s="18" t="s">
        <v>9670</v>
      </c>
      <c r="D5052" s="18" t="s">
        <v>116</v>
      </c>
      <c r="E5052" s="18" t="s">
        <v>18</v>
      </c>
      <c r="F5052" s="18" t="s">
        <v>9727</v>
      </c>
      <c r="G5052" s="18" t="s">
        <v>298</v>
      </c>
      <c r="H5052" s="18" t="s">
        <v>9677</v>
      </c>
      <c r="I5052" s="20" t="s">
        <v>9728</v>
      </c>
      <c r="J5052" s="18" t="s">
        <v>30</v>
      </c>
      <c r="K5052" s="18" t="s">
        <v>24</v>
      </c>
      <c r="L5052" s="18" t="s">
        <v>25</v>
      </c>
      <c r="N5052" s="18" t="s">
        <v>154</v>
      </c>
    </row>
    <row r="5053" spans="1:14" ht="15" customHeight="1" x14ac:dyDescent="0.3">
      <c r="A5053" s="18" t="s">
        <v>9669</v>
      </c>
      <c r="B5053" s="19" t="s">
        <v>15</v>
      </c>
      <c r="C5053" s="18" t="s">
        <v>9670</v>
      </c>
      <c r="D5053" s="18" t="s">
        <v>116</v>
      </c>
      <c r="E5053" s="18" t="s">
        <v>18</v>
      </c>
      <c r="F5053" s="18" t="s">
        <v>7639</v>
      </c>
      <c r="G5053" s="18" t="s">
        <v>298</v>
      </c>
      <c r="H5053" s="18" t="s">
        <v>9677</v>
      </c>
      <c r="I5053" s="20" t="s">
        <v>9729</v>
      </c>
      <c r="J5053" s="18" t="s">
        <v>30</v>
      </c>
      <c r="K5053" s="18" t="s">
        <v>24</v>
      </c>
      <c r="L5053" s="18" t="s">
        <v>25</v>
      </c>
      <c r="N5053" s="18" t="s">
        <v>154</v>
      </c>
    </row>
    <row r="5054" spans="1:14" ht="15" customHeight="1" x14ac:dyDescent="0.3">
      <c r="A5054" s="18" t="s">
        <v>9669</v>
      </c>
      <c r="B5054" s="19" t="s">
        <v>15</v>
      </c>
      <c r="C5054" s="18" t="s">
        <v>9670</v>
      </c>
      <c r="D5054" s="18" t="s">
        <v>116</v>
      </c>
      <c r="E5054" s="18" t="s">
        <v>18</v>
      </c>
      <c r="F5054" s="18" t="s">
        <v>9730</v>
      </c>
      <c r="G5054" s="18" t="s">
        <v>5194</v>
      </c>
      <c r="H5054" s="18" t="s">
        <v>9687</v>
      </c>
      <c r="I5054" s="20" t="s">
        <v>9731</v>
      </c>
      <c r="J5054" s="18" t="s">
        <v>30</v>
      </c>
      <c r="K5054" s="18" t="s">
        <v>24</v>
      </c>
      <c r="L5054" s="18" t="s">
        <v>25</v>
      </c>
      <c r="N5054" s="18" t="s">
        <v>154</v>
      </c>
    </row>
    <row r="5055" spans="1:14" ht="15" customHeight="1" x14ac:dyDescent="0.3">
      <c r="A5055" s="18" t="s">
        <v>9669</v>
      </c>
      <c r="B5055" s="19" t="s">
        <v>15</v>
      </c>
      <c r="C5055" s="18" t="s">
        <v>9670</v>
      </c>
      <c r="D5055" s="18" t="s">
        <v>116</v>
      </c>
      <c r="E5055" s="18" t="s">
        <v>18</v>
      </c>
      <c r="F5055" s="18" t="s">
        <v>340</v>
      </c>
      <c r="G5055" s="18" t="s">
        <v>340</v>
      </c>
      <c r="H5055" s="18" t="s">
        <v>9677</v>
      </c>
      <c r="I5055" s="20" t="s">
        <v>9732</v>
      </c>
      <c r="J5055" s="18" t="s">
        <v>30</v>
      </c>
      <c r="K5055" s="18" t="s">
        <v>24</v>
      </c>
      <c r="L5055" s="18" t="s">
        <v>25</v>
      </c>
      <c r="N5055" s="18" t="s">
        <v>154</v>
      </c>
    </row>
    <row r="5056" spans="1:14" ht="15" customHeight="1" x14ac:dyDescent="0.3">
      <c r="A5056" s="18" t="s">
        <v>9669</v>
      </c>
      <c r="B5056" s="19" t="s">
        <v>15</v>
      </c>
      <c r="C5056" s="18" t="s">
        <v>9670</v>
      </c>
      <c r="D5056" s="18" t="s">
        <v>116</v>
      </c>
      <c r="E5056" s="18" t="s">
        <v>18</v>
      </c>
      <c r="F5056" s="18" t="s">
        <v>9733</v>
      </c>
      <c r="G5056" s="18" t="s">
        <v>20</v>
      </c>
      <c r="H5056" s="18" t="s">
        <v>9681</v>
      </c>
      <c r="I5056" s="20" t="s">
        <v>9734</v>
      </c>
      <c r="J5056" s="18" t="s">
        <v>30</v>
      </c>
      <c r="K5056" s="18" t="s">
        <v>24</v>
      </c>
      <c r="L5056" s="18" t="s">
        <v>25</v>
      </c>
      <c r="N5056" s="18" t="s">
        <v>154</v>
      </c>
    </row>
    <row r="5057" spans="1:14" ht="15" customHeight="1" x14ac:dyDescent="0.3">
      <c r="A5057" s="18" t="s">
        <v>9669</v>
      </c>
      <c r="B5057" s="19" t="s">
        <v>15</v>
      </c>
      <c r="C5057" s="18" t="s">
        <v>9670</v>
      </c>
      <c r="D5057" s="18" t="s">
        <v>116</v>
      </c>
      <c r="E5057" s="18" t="s">
        <v>18</v>
      </c>
      <c r="F5057" s="18" t="s">
        <v>8963</v>
      </c>
      <c r="G5057" s="18" t="s">
        <v>20</v>
      </c>
      <c r="H5057" s="18" t="s">
        <v>9681</v>
      </c>
      <c r="I5057" s="20" t="s">
        <v>9735</v>
      </c>
      <c r="J5057" s="18" t="s">
        <v>30</v>
      </c>
      <c r="K5057" s="18" t="s">
        <v>24</v>
      </c>
      <c r="L5057" s="18" t="s">
        <v>25</v>
      </c>
      <c r="M5057" s="18" t="s">
        <v>39</v>
      </c>
      <c r="N5057" s="18" t="s">
        <v>154</v>
      </c>
    </row>
    <row r="5058" spans="1:14" ht="15" customHeight="1" x14ac:dyDescent="0.3">
      <c r="A5058" s="18" t="s">
        <v>9669</v>
      </c>
      <c r="B5058" s="19" t="s">
        <v>15</v>
      </c>
      <c r="C5058" s="18" t="s">
        <v>9670</v>
      </c>
      <c r="D5058" s="18" t="s">
        <v>116</v>
      </c>
      <c r="E5058" s="18" t="s">
        <v>18</v>
      </c>
      <c r="F5058" s="18" t="s">
        <v>1102</v>
      </c>
      <c r="G5058" s="18" t="s">
        <v>263</v>
      </c>
      <c r="H5058" s="18" t="s">
        <v>9677</v>
      </c>
      <c r="I5058" s="20" t="s">
        <v>9736</v>
      </c>
      <c r="J5058" s="18" t="s">
        <v>30</v>
      </c>
      <c r="K5058" s="18" t="s">
        <v>24</v>
      </c>
      <c r="L5058" s="18" t="s">
        <v>25</v>
      </c>
      <c r="N5058" s="18" t="s">
        <v>154</v>
      </c>
    </row>
    <row r="5059" spans="1:14" ht="15" customHeight="1" x14ac:dyDescent="0.3">
      <c r="A5059" s="18" t="s">
        <v>9669</v>
      </c>
      <c r="B5059" s="19" t="s">
        <v>15</v>
      </c>
      <c r="C5059" s="18" t="s">
        <v>9670</v>
      </c>
      <c r="D5059" s="18" t="s">
        <v>116</v>
      </c>
      <c r="E5059" s="18" t="s">
        <v>18</v>
      </c>
      <c r="F5059" s="18" t="s">
        <v>9737</v>
      </c>
      <c r="G5059" s="18" t="s">
        <v>2245</v>
      </c>
      <c r="H5059" s="18" t="s">
        <v>9677</v>
      </c>
      <c r="I5059" s="20" t="s">
        <v>9738</v>
      </c>
      <c r="J5059" s="18" t="s">
        <v>30</v>
      </c>
      <c r="K5059" s="18" t="s">
        <v>24</v>
      </c>
      <c r="L5059" s="18" t="s">
        <v>25</v>
      </c>
      <c r="N5059" s="18" t="s">
        <v>154</v>
      </c>
    </row>
    <row r="5060" spans="1:14" ht="15" customHeight="1" x14ac:dyDescent="0.3">
      <c r="A5060" s="18" t="s">
        <v>9669</v>
      </c>
      <c r="B5060" s="19" t="s">
        <v>15</v>
      </c>
      <c r="C5060" s="18" t="s">
        <v>9670</v>
      </c>
      <c r="D5060" s="18" t="s">
        <v>116</v>
      </c>
      <c r="E5060" s="18" t="s">
        <v>18</v>
      </c>
      <c r="F5060" s="18" t="s">
        <v>4605</v>
      </c>
      <c r="G5060" s="18" t="s">
        <v>637</v>
      </c>
      <c r="H5060" s="18" t="s">
        <v>766</v>
      </c>
      <c r="I5060" s="20" t="s">
        <v>9739</v>
      </c>
      <c r="J5060" s="18" t="s">
        <v>30</v>
      </c>
      <c r="K5060" s="18" t="s">
        <v>24</v>
      </c>
      <c r="L5060" s="18" t="s">
        <v>25</v>
      </c>
      <c r="N5060" s="18" t="s">
        <v>154</v>
      </c>
    </row>
    <row r="5061" spans="1:14" ht="15" customHeight="1" x14ac:dyDescent="0.3">
      <c r="A5061" s="18" t="s">
        <v>9669</v>
      </c>
      <c r="B5061" s="19" t="s">
        <v>15</v>
      </c>
      <c r="C5061" s="18" t="s">
        <v>9670</v>
      </c>
      <c r="D5061" s="18" t="s">
        <v>116</v>
      </c>
      <c r="E5061" s="18" t="s">
        <v>18</v>
      </c>
      <c r="F5061" s="18" t="s">
        <v>2489</v>
      </c>
      <c r="G5061" s="18" t="s">
        <v>47</v>
      </c>
      <c r="H5061" s="18" t="s">
        <v>9687</v>
      </c>
      <c r="I5061" s="20" t="s">
        <v>9740</v>
      </c>
      <c r="J5061" s="18" t="s">
        <v>30</v>
      </c>
      <c r="K5061" s="18" t="s">
        <v>24</v>
      </c>
      <c r="L5061" s="18" t="s">
        <v>25</v>
      </c>
      <c r="M5061" s="18" t="s">
        <v>39</v>
      </c>
      <c r="N5061" s="18" t="s">
        <v>154</v>
      </c>
    </row>
    <row r="5062" spans="1:14" ht="15" customHeight="1" x14ac:dyDescent="0.3">
      <c r="A5062" s="18" t="s">
        <v>9669</v>
      </c>
      <c r="B5062" s="19" t="s">
        <v>15</v>
      </c>
      <c r="C5062" s="18" t="s">
        <v>9670</v>
      </c>
      <c r="D5062" s="18" t="s">
        <v>116</v>
      </c>
      <c r="E5062" s="18" t="s">
        <v>18</v>
      </c>
      <c r="F5062" s="18" t="s">
        <v>537</v>
      </c>
      <c r="G5062" s="18" t="s">
        <v>537</v>
      </c>
      <c r="H5062" s="18" t="s">
        <v>9677</v>
      </c>
      <c r="I5062" s="20" t="s">
        <v>9741</v>
      </c>
      <c r="J5062" s="18" t="s">
        <v>30</v>
      </c>
      <c r="K5062" s="18" t="s">
        <v>24</v>
      </c>
      <c r="L5062" s="18" t="s">
        <v>25</v>
      </c>
      <c r="N5062" s="18" t="s">
        <v>154</v>
      </c>
    </row>
    <row r="5063" spans="1:14" ht="15" customHeight="1" x14ac:dyDescent="0.3">
      <c r="A5063" s="18" t="s">
        <v>9669</v>
      </c>
      <c r="B5063" s="19" t="s">
        <v>15</v>
      </c>
      <c r="C5063" s="18" t="s">
        <v>9670</v>
      </c>
      <c r="D5063" s="18" t="s">
        <v>116</v>
      </c>
      <c r="E5063" s="18" t="s">
        <v>55</v>
      </c>
      <c r="F5063" s="18" t="s">
        <v>3807</v>
      </c>
      <c r="G5063" s="18" t="s">
        <v>1704</v>
      </c>
      <c r="H5063" s="18" t="s">
        <v>9711</v>
      </c>
      <c r="I5063" s="20" t="s">
        <v>9742</v>
      </c>
      <c r="J5063" s="18" t="s">
        <v>58</v>
      </c>
      <c r="K5063" s="18" t="s">
        <v>24</v>
      </c>
      <c r="L5063" s="18" t="s">
        <v>25</v>
      </c>
      <c r="N5063" s="18" t="s">
        <v>154</v>
      </c>
    </row>
    <row r="5064" spans="1:14" ht="15" customHeight="1" x14ac:dyDescent="0.3">
      <c r="A5064" s="18" t="s">
        <v>9669</v>
      </c>
      <c r="B5064" s="19" t="s">
        <v>15</v>
      </c>
      <c r="C5064" s="18" t="s">
        <v>9670</v>
      </c>
      <c r="D5064" s="18" t="s">
        <v>116</v>
      </c>
      <c r="E5064" s="18" t="s">
        <v>55</v>
      </c>
      <c r="F5064" s="18" t="s">
        <v>1054</v>
      </c>
      <c r="G5064" s="18" t="s">
        <v>9743</v>
      </c>
      <c r="H5064" s="18" t="s">
        <v>9677</v>
      </c>
      <c r="I5064" s="20" t="s">
        <v>9744</v>
      </c>
      <c r="J5064" s="18" t="s">
        <v>58</v>
      </c>
      <c r="K5064" s="18" t="s">
        <v>24</v>
      </c>
      <c r="L5064" s="18" t="s">
        <v>25</v>
      </c>
      <c r="M5064" s="18" t="s">
        <v>39</v>
      </c>
      <c r="N5064" s="18" t="s">
        <v>154</v>
      </c>
    </row>
    <row r="5065" spans="1:14" ht="15" customHeight="1" x14ac:dyDescent="0.3">
      <c r="A5065" s="18" t="s">
        <v>9669</v>
      </c>
      <c r="B5065" s="19" t="s">
        <v>15</v>
      </c>
      <c r="C5065" s="18" t="s">
        <v>9670</v>
      </c>
      <c r="D5065" s="18" t="s">
        <v>116</v>
      </c>
      <c r="E5065" s="18" t="s">
        <v>55</v>
      </c>
      <c r="F5065" s="18" t="s">
        <v>5939</v>
      </c>
      <c r="G5065" s="18" t="s">
        <v>1019</v>
      </c>
      <c r="H5065" s="18" t="s">
        <v>9681</v>
      </c>
      <c r="I5065" s="20" t="s">
        <v>9745</v>
      </c>
      <c r="J5065" s="18" t="s">
        <v>58</v>
      </c>
      <c r="K5065" s="18" t="s">
        <v>24</v>
      </c>
      <c r="L5065" s="18" t="s">
        <v>25</v>
      </c>
      <c r="N5065" s="18" t="s">
        <v>154</v>
      </c>
    </row>
    <row r="5066" spans="1:14" ht="15" customHeight="1" x14ac:dyDescent="0.3">
      <c r="A5066" s="18" t="s">
        <v>9669</v>
      </c>
      <c r="B5066" s="19" t="s">
        <v>15</v>
      </c>
      <c r="C5066" s="18" t="s">
        <v>9670</v>
      </c>
      <c r="D5066" s="18" t="s">
        <v>116</v>
      </c>
      <c r="E5066" s="18" t="s">
        <v>55</v>
      </c>
      <c r="F5066" s="18" t="s">
        <v>9746</v>
      </c>
      <c r="G5066" s="18" t="s">
        <v>197</v>
      </c>
      <c r="H5066" s="18" t="s">
        <v>9681</v>
      </c>
      <c r="I5066" s="20" t="s">
        <v>9747</v>
      </c>
      <c r="J5066" s="18" t="s">
        <v>58</v>
      </c>
      <c r="K5066" s="18" t="s">
        <v>24</v>
      </c>
      <c r="L5066" s="18" t="s">
        <v>25</v>
      </c>
      <c r="N5066" s="18" t="s">
        <v>154</v>
      </c>
    </row>
    <row r="5067" spans="1:14" ht="15" customHeight="1" x14ac:dyDescent="0.3">
      <c r="A5067" s="18" t="s">
        <v>9669</v>
      </c>
      <c r="B5067" s="19" t="s">
        <v>15</v>
      </c>
      <c r="C5067" s="18" t="s">
        <v>9670</v>
      </c>
      <c r="D5067" s="18" t="s">
        <v>116</v>
      </c>
      <c r="E5067" s="18" t="s">
        <v>55</v>
      </c>
      <c r="F5067" s="18" t="s">
        <v>8832</v>
      </c>
      <c r="G5067" s="18" t="s">
        <v>173</v>
      </c>
      <c r="H5067" s="18" t="s">
        <v>9711</v>
      </c>
      <c r="I5067" s="20" t="s">
        <v>9748</v>
      </c>
      <c r="J5067" s="18" t="s">
        <v>58</v>
      </c>
      <c r="K5067" s="18" t="s">
        <v>24</v>
      </c>
      <c r="L5067" s="18" t="s">
        <v>25</v>
      </c>
      <c r="N5067" s="18" t="s">
        <v>154</v>
      </c>
    </row>
    <row r="5068" spans="1:14" ht="15" customHeight="1" x14ac:dyDescent="0.3">
      <c r="A5068" s="18" t="s">
        <v>9669</v>
      </c>
      <c r="B5068" s="19" t="s">
        <v>15</v>
      </c>
      <c r="C5068" s="18" t="s">
        <v>9670</v>
      </c>
      <c r="D5068" s="18" t="s">
        <v>116</v>
      </c>
      <c r="E5068" s="18" t="s">
        <v>55</v>
      </c>
      <c r="F5068" s="18" t="s">
        <v>9749</v>
      </c>
      <c r="G5068" s="18" t="s">
        <v>192</v>
      </c>
      <c r="H5068" s="18" t="s">
        <v>9677</v>
      </c>
      <c r="I5068" s="20" t="s">
        <v>9750</v>
      </c>
      <c r="J5068" s="18" t="s">
        <v>58</v>
      </c>
      <c r="K5068" s="18" t="s">
        <v>24</v>
      </c>
      <c r="L5068" s="18" t="s">
        <v>25</v>
      </c>
      <c r="N5068" s="18" t="s">
        <v>154</v>
      </c>
    </row>
    <row r="5069" spans="1:14" ht="15" customHeight="1" x14ac:dyDescent="0.3">
      <c r="A5069" s="18" t="s">
        <v>9669</v>
      </c>
      <c r="B5069" s="19" t="s">
        <v>15</v>
      </c>
      <c r="C5069" s="18" t="s">
        <v>9670</v>
      </c>
      <c r="D5069" s="18" t="s">
        <v>116</v>
      </c>
      <c r="E5069" s="18" t="s">
        <v>55</v>
      </c>
      <c r="F5069" s="18" t="s">
        <v>9751</v>
      </c>
      <c r="G5069" s="18" t="s">
        <v>1704</v>
      </c>
      <c r="H5069" s="18" t="s">
        <v>9711</v>
      </c>
      <c r="I5069" s="20" t="s">
        <v>9752</v>
      </c>
      <c r="J5069" s="18" t="s">
        <v>199</v>
      </c>
      <c r="K5069" s="18" t="s">
        <v>24</v>
      </c>
      <c r="L5069" s="18" t="s">
        <v>25</v>
      </c>
      <c r="N5069" s="18" t="s">
        <v>154</v>
      </c>
    </row>
    <row r="5070" spans="1:14" ht="15" customHeight="1" x14ac:dyDescent="0.3">
      <c r="A5070" s="18" t="s">
        <v>9669</v>
      </c>
      <c r="B5070" s="19" t="s">
        <v>15</v>
      </c>
      <c r="C5070" s="18" t="s">
        <v>9670</v>
      </c>
      <c r="D5070" s="18" t="s">
        <v>116</v>
      </c>
      <c r="E5070" s="18" t="s">
        <v>55</v>
      </c>
      <c r="F5070" s="18" t="s">
        <v>9753</v>
      </c>
      <c r="G5070" s="18" t="s">
        <v>47</v>
      </c>
      <c r="H5070" s="18" t="s">
        <v>9687</v>
      </c>
      <c r="I5070" s="20" t="s">
        <v>9754</v>
      </c>
      <c r="J5070" s="18" t="s">
        <v>58</v>
      </c>
      <c r="K5070" s="18" t="s">
        <v>24</v>
      </c>
      <c r="L5070" s="18" t="s">
        <v>25</v>
      </c>
      <c r="N5070" s="18" t="s">
        <v>154</v>
      </c>
    </row>
    <row r="5071" spans="1:14" ht="15" customHeight="1" x14ac:dyDescent="0.3">
      <c r="A5071" s="18" t="s">
        <v>9669</v>
      </c>
      <c r="B5071" s="19" t="s">
        <v>15</v>
      </c>
      <c r="C5071" s="18" t="s">
        <v>9670</v>
      </c>
      <c r="D5071" s="18" t="s">
        <v>116</v>
      </c>
      <c r="E5071" s="18" t="s">
        <v>55</v>
      </c>
      <c r="F5071" s="18" t="s">
        <v>9755</v>
      </c>
      <c r="G5071" s="18" t="s">
        <v>606</v>
      </c>
      <c r="H5071" s="18" t="s">
        <v>9681</v>
      </c>
      <c r="I5071" s="20" t="s">
        <v>9756</v>
      </c>
      <c r="J5071" s="18" t="s">
        <v>58</v>
      </c>
      <c r="K5071" s="18" t="s">
        <v>24</v>
      </c>
      <c r="L5071" s="18" t="s">
        <v>25</v>
      </c>
      <c r="N5071" s="18" t="s">
        <v>154</v>
      </c>
    </row>
    <row r="5072" spans="1:14" ht="15" customHeight="1" x14ac:dyDescent="0.3">
      <c r="A5072" s="18" t="s">
        <v>9669</v>
      </c>
      <c r="B5072" s="19" t="s">
        <v>15</v>
      </c>
      <c r="C5072" s="18" t="s">
        <v>9670</v>
      </c>
      <c r="D5072" s="18" t="s">
        <v>116</v>
      </c>
      <c r="E5072" s="18" t="s">
        <v>55</v>
      </c>
      <c r="F5072" s="18" t="s">
        <v>7009</v>
      </c>
      <c r="G5072" s="18" t="s">
        <v>606</v>
      </c>
      <c r="H5072" s="18" t="s">
        <v>9681</v>
      </c>
      <c r="I5072" s="20" t="s">
        <v>9757</v>
      </c>
      <c r="J5072" s="18" t="s">
        <v>58</v>
      </c>
      <c r="K5072" s="18" t="s">
        <v>24</v>
      </c>
      <c r="L5072" s="18" t="s">
        <v>25</v>
      </c>
      <c r="N5072" s="18" t="s">
        <v>154</v>
      </c>
    </row>
    <row r="5073" spans="1:14" ht="15" customHeight="1" x14ac:dyDescent="0.3">
      <c r="A5073" s="18" t="s">
        <v>9669</v>
      </c>
      <c r="B5073" s="19" t="s">
        <v>15</v>
      </c>
      <c r="C5073" s="18" t="s">
        <v>9670</v>
      </c>
      <c r="D5073" s="18" t="s">
        <v>116</v>
      </c>
      <c r="E5073" s="18" t="s">
        <v>55</v>
      </c>
      <c r="F5073" s="18" t="s">
        <v>7265</v>
      </c>
      <c r="G5073" s="18" t="s">
        <v>606</v>
      </c>
      <c r="H5073" s="18" t="s">
        <v>9681</v>
      </c>
      <c r="I5073" s="20" t="s">
        <v>9758</v>
      </c>
      <c r="J5073" s="18" t="s">
        <v>58</v>
      </c>
      <c r="K5073" s="18" t="s">
        <v>24</v>
      </c>
      <c r="L5073" s="18" t="s">
        <v>25</v>
      </c>
      <c r="N5073" s="18" t="s">
        <v>154</v>
      </c>
    </row>
    <row r="5074" spans="1:14" ht="15" customHeight="1" x14ac:dyDescent="0.3">
      <c r="A5074" s="18" t="s">
        <v>9669</v>
      </c>
      <c r="B5074" s="19" t="s">
        <v>15</v>
      </c>
      <c r="C5074" s="18" t="s">
        <v>9670</v>
      </c>
      <c r="D5074" s="18" t="s">
        <v>116</v>
      </c>
      <c r="E5074" s="18" t="s">
        <v>55</v>
      </c>
      <c r="F5074" s="18" t="s">
        <v>9759</v>
      </c>
      <c r="G5074" s="18" t="s">
        <v>606</v>
      </c>
      <c r="H5074" s="18" t="s">
        <v>9681</v>
      </c>
      <c r="I5074" s="20" t="s">
        <v>9760</v>
      </c>
      <c r="J5074" s="18" t="s">
        <v>58</v>
      </c>
      <c r="K5074" s="18" t="s">
        <v>24</v>
      </c>
      <c r="L5074" s="18" t="s">
        <v>25</v>
      </c>
      <c r="N5074" s="18" t="s">
        <v>154</v>
      </c>
    </row>
    <row r="5075" spans="1:14" ht="15" customHeight="1" x14ac:dyDescent="0.3">
      <c r="A5075" s="18" t="s">
        <v>9669</v>
      </c>
      <c r="B5075" s="19" t="s">
        <v>15</v>
      </c>
      <c r="C5075" s="18" t="s">
        <v>9670</v>
      </c>
      <c r="D5075" s="18" t="s">
        <v>116</v>
      </c>
      <c r="E5075" s="18" t="s">
        <v>55</v>
      </c>
      <c r="F5075" s="18" t="s">
        <v>9761</v>
      </c>
      <c r="G5075" s="18" t="s">
        <v>1069</v>
      </c>
      <c r="H5075" s="18" t="s">
        <v>9677</v>
      </c>
      <c r="I5075" s="20" t="s">
        <v>9762</v>
      </c>
      <c r="J5075" s="18" t="s">
        <v>58</v>
      </c>
      <c r="K5075" s="18" t="s">
        <v>24</v>
      </c>
      <c r="L5075" s="18" t="s">
        <v>25</v>
      </c>
      <c r="N5075" s="18" t="s">
        <v>154</v>
      </c>
    </row>
    <row r="5076" spans="1:14" ht="15" customHeight="1" x14ac:dyDescent="0.3">
      <c r="A5076" s="18" t="s">
        <v>9669</v>
      </c>
      <c r="B5076" s="19" t="s">
        <v>15</v>
      </c>
      <c r="C5076" s="18" t="s">
        <v>9670</v>
      </c>
      <c r="D5076" s="18" t="s">
        <v>116</v>
      </c>
      <c r="E5076" s="18" t="s">
        <v>55</v>
      </c>
      <c r="F5076" s="18" t="s">
        <v>6324</v>
      </c>
      <c r="G5076" s="18" t="s">
        <v>1340</v>
      </c>
      <c r="H5076" s="18" t="s">
        <v>9677</v>
      </c>
      <c r="I5076" s="20" t="s">
        <v>9763</v>
      </c>
      <c r="J5076" s="18" t="s">
        <v>58</v>
      </c>
      <c r="K5076" s="18" t="s">
        <v>24</v>
      </c>
      <c r="L5076" s="18" t="s">
        <v>25</v>
      </c>
      <c r="N5076" s="18" t="s">
        <v>154</v>
      </c>
    </row>
    <row r="5077" spans="1:14" ht="15" customHeight="1" x14ac:dyDescent="0.3">
      <c r="A5077" s="18" t="s">
        <v>9669</v>
      </c>
      <c r="B5077" s="19" t="s">
        <v>15</v>
      </c>
      <c r="C5077" s="18" t="s">
        <v>9670</v>
      </c>
      <c r="D5077" s="18" t="s">
        <v>116</v>
      </c>
      <c r="E5077" s="18" t="s">
        <v>55</v>
      </c>
      <c r="F5077" s="18" t="s">
        <v>8172</v>
      </c>
      <c r="G5077" s="18" t="s">
        <v>6252</v>
      </c>
      <c r="H5077" s="18" t="s">
        <v>9677</v>
      </c>
      <c r="I5077" s="20" t="s">
        <v>9764</v>
      </c>
      <c r="J5077" s="18" t="s">
        <v>58</v>
      </c>
      <c r="K5077" s="18" t="s">
        <v>24</v>
      </c>
      <c r="L5077" s="18" t="s">
        <v>25</v>
      </c>
      <c r="N5077" s="18" t="s">
        <v>154</v>
      </c>
    </row>
    <row r="5078" spans="1:14" ht="15" customHeight="1" x14ac:dyDescent="0.3">
      <c r="A5078" s="18" t="s">
        <v>9669</v>
      </c>
      <c r="B5078" s="19" t="s">
        <v>15</v>
      </c>
      <c r="C5078" s="18" t="s">
        <v>9670</v>
      </c>
      <c r="D5078" s="18" t="s">
        <v>116</v>
      </c>
      <c r="E5078" s="18" t="s">
        <v>55</v>
      </c>
      <c r="F5078" s="18" t="s">
        <v>273</v>
      </c>
      <c r="G5078" s="18" t="s">
        <v>273</v>
      </c>
      <c r="H5078" s="18" t="s">
        <v>9677</v>
      </c>
      <c r="I5078" s="20" t="s">
        <v>9765</v>
      </c>
      <c r="J5078" s="18" t="s">
        <v>58</v>
      </c>
      <c r="K5078" s="18" t="s">
        <v>24</v>
      </c>
      <c r="L5078" s="18" t="s">
        <v>25</v>
      </c>
      <c r="N5078" s="18" t="s">
        <v>154</v>
      </c>
    </row>
    <row r="5079" spans="1:14" ht="15" customHeight="1" x14ac:dyDescent="0.3">
      <c r="A5079" s="18" t="s">
        <v>9669</v>
      </c>
      <c r="B5079" s="19" t="s">
        <v>15</v>
      </c>
      <c r="C5079" s="18" t="s">
        <v>9670</v>
      </c>
      <c r="D5079" s="18" t="s">
        <v>116</v>
      </c>
      <c r="E5079" s="18" t="s">
        <v>55</v>
      </c>
      <c r="F5079" s="18" t="s">
        <v>9766</v>
      </c>
      <c r="G5079" s="18" t="s">
        <v>1019</v>
      </c>
      <c r="H5079" s="18" t="s">
        <v>9681</v>
      </c>
      <c r="I5079" s="20" t="s">
        <v>9767</v>
      </c>
      <c r="J5079" s="18" t="s">
        <v>58</v>
      </c>
      <c r="K5079" s="18" t="s">
        <v>24</v>
      </c>
      <c r="L5079" s="18" t="s">
        <v>25</v>
      </c>
      <c r="N5079" s="18" t="s">
        <v>154</v>
      </c>
    </row>
    <row r="5080" spans="1:14" ht="15" customHeight="1" x14ac:dyDescent="0.3">
      <c r="A5080" s="18" t="s">
        <v>9669</v>
      </c>
      <c r="B5080" s="19" t="s">
        <v>15</v>
      </c>
      <c r="C5080" s="18" t="s">
        <v>9670</v>
      </c>
      <c r="D5080" s="18" t="s">
        <v>116</v>
      </c>
      <c r="E5080" s="18" t="s">
        <v>55</v>
      </c>
      <c r="F5080" s="18" t="s">
        <v>9768</v>
      </c>
      <c r="G5080" s="18" t="s">
        <v>1019</v>
      </c>
      <c r="H5080" s="18" t="s">
        <v>9681</v>
      </c>
      <c r="I5080" s="20" t="s">
        <v>9769</v>
      </c>
      <c r="J5080" s="18" t="s">
        <v>58</v>
      </c>
      <c r="K5080" s="18" t="s">
        <v>24</v>
      </c>
      <c r="L5080" s="18" t="s">
        <v>25</v>
      </c>
      <c r="N5080" s="18" t="s">
        <v>154</v>
      </c>
    </row>
    <row r="5081" spans="1:14" ht="15" customHeight="1" x14ac:dyDescent="0.3">
      <c r="A5081" s="18" t="s">
        <v>9669</v>
      </c>
      <c r="B5081" s="19" t="s">
        <v>15</v>
      </c>
      <c r="C5081" s="18" t="s">
        <v>9670</v>
      </c>
      <c r="D5081" s="18" t="s">
        <v>116</v>
      </c>
      <c r="E5081" s="18" t="s">
        <v>55</v>
      </c>
      <c r="F5081" s="18" t="s">
        <v>9770</v>
      </c>
      <c r="G5081" s="18" t="s">
        <v>1019</v>
      </c>
      <c r="H5081" s="18" t="s">
        <v>9681</v>
      </c>
      <c r="I5081" s="20" t="s">
        <v>9771</v>
      </c>
      <c r="J5081" s="18" t="s">
        <v>58</v>
      </c>
      <c r="K5081" s="18" t="s">
        <v>24</v>
      </c>
      <c r="L5081" s="18" t="s">
        <v>25</v>
      </c>
      <c r="N5081" s="18" t="s">
        <v>154</v>
      </c>
    </row>
    <row r="5082" spans="1:14" ht="15" customHeight="1" x14ac:dyDescent="0.3">
      <c r="A5082" s="18" t="s">
        <v>9669</v>
      </c>
      <c r="B5082" s="19" t="s">
        <v>15</v>
      </c>
      <c r="C5082" s="18" t="s">
        <v>9670</v>
      </c>
      <c r="D5082" s="18" t="s">
        <v>116</v>
      </c>
      <c r="E5082" s="18" t="s">
        <v>55</v>
      </c>
      <c r="F5082" s="18" t="s">
        <v>1947</v>
      </c>
      <c r="G5082" s="18" t="s">
        <v>85</v>
      </c>
      <c r="H5082" s="18" t="s">
        <v>9677</v>
      </c>
      <c r="I5082" s="20" t="s">
        <v>9772</v>
      </c>
      <c r="J5082" s="18" t="s">
        <v>58</v>
      </c>
      <c r="K5082" s="18" t="s">
        <v>24</v>
      </c>
      <c r="L5082" s="18" t="s">
        <v>25</v>
      </c>
      <c r="N5082" s="18" t="s">
        <v>154</v>
      </c>
    </row>
    <row r="5083" spans="1:14" ht="15" customHeight="1" x14ac:dyDescent="0.3">
      <c r="A5083" s="18" t="s">
        <v>9669</v>
      </c>
      <c r="B5083" s="19" t="s">
        <v>15</v>
      </c>
      <c r="C5083" s="18" t="s">
        <v>9670</v>
      </c>
      <c r="D5083" s="18" t="s">
        <v>116</v>
      </c>
      <c r="E5083" s="18" t="s">
        <v>55</v>
      </c>
      <c r="F5083" s="18" t="s">
        <v>9773</v>
      </c>
      <c r="G5083" s="18" t="s">
        <v>1211</v>
      </c>
      <c r="H5083" s="18" t="s">
        <v>9687</v>
      </c>
      <c r="I5083" s="20" t="s">
        <v>9774</v>
      </c>
      <c r="J5083" s="18" t="s">
        <v>73</v>
      </c>
      <c r="K5083" s="18" t="s">
        <v>24</v>
      </c>
      <c r="L5083" s="18" t="s">
        <v>25</v>
      </c>
      <c r="N5083" s="18" t="s">
        <v>154</v>
      </c>
    </row>
    <row r="5084" spans="1:14" ht="15" customHeight="1" x14ac:dyDescent="0.3">
      <c r="A5084" s="18" t="s">
        <v>9669</v>
      </c>
      <c r="B5084" s="19" t="s">
        <v>15</v>
      </c>
      <c r="C5084" s="18" t="s">
        <v>9670</v>
      </c>
      <c r="D5084" s="18" t="s">
        <v>116</v>
      </c>
      <c r="E5084" s="18" t="s">
        <v>55</v>
      </c>
      <c r="F5084" s="18" t="s">
        <v>9775</v>
      </c>
      <c r="G5084" s="18" t="s">
        <v>8832</v>
      </c>
      <c r="H5084" s="18" t="s">
        <v>9711</v>
      </c>
      <c r="I5084" s="20" t="s">
        <v>9776</v>
      </c>
      <c r="J5084" s="18" t="s">
        <v>58</v>
      </c>
      <c r="K5084" s="18" t="s">
        <v>24</v>
      </c>
      <c r="L5084" s="18" t="s">
        <v>25</v>
      </c>
      <c r="N5084" s="18" t="s">
        <v>154</v>
      </c>
    </row>
    <row r="5085" spans="1:14" ht="15" customHeight="1" x14ac:dyDescent="0.3">
      <c r="A5085" s="18" t="s">
        <v>9669</v>
      </c>
      <c r="B5085" s="19" t="s">
        <v>15</v>
      </c>
      <c r="C5085" s="18" t="s">
        <v>9670</v>
      </c>
      <c r="D5085" s="18" t="s">
        <v>116</v>
      </c>
      <c r="E5085" s="18" t="s">
        <v>55</v>
      </c>
      <c r="F5085" s="18" t="s">
        <v>9777</v>
      </c>
      <c r="G5085" s="18" t="s">
        <v>1019</v>
      </c>
      <c r="H5085" s="18" t="s">
        <v>9681</v>
      </c>
      <c r="I5085" s="20" t="s">
        <v>9778</v>
      </c>
      <c r="J5085" s="18" t="s">
        <v>58</v>
      </c>
      <c r="K5085" s="18" t="s">
        <v>24</v>
      </c>
      <c r="L5085" s="18" t="s">
        <v>25</v>
      </c>
      <c r="N5085" s="18" t="s">
        <v>154</v>
      </c>
    </row>
    <row r="5086" spans="1:14" ht="15" customHeight="1" x14ac:dyDescent="0.3">
      <c r="A5086" s="18" t="s">
        <v>9669</v>
      </c>
      <c r="B5086" s="19" t="s">
        <v>15</v>
      </c>
      <c r="C5086" s="18" t="s">
        <v>9670</v>
      </c>
      <c r="D5086" s="18" t="s">
        <v>116</v>
      </c>
      <c r="E5086" s="18" t="s">
        <v>55</v>
      </c>
      <c r="F5086" s="18" t="s">
        <v>1529</v>
      </c>
      <c r="G5086" s="18" t="s">
        <v>1527</v>
      </c>
      <c r="H5086" s="18" t="s">
        <v>9677</v>
      </c>
      <c r="I5086" s="20" t="s">
        <v>9779</v>
      </c>
      <c r="J5086" s="18" t="s">
        <v>58</v>
      </c>
      <c r="K5086" s="18" t="s">
        <v>24</v>
      </c>
      <c r="L5086" s="18" t="s">
        <v>25</v>
      </c>
      <c r="N5086" s="18" t="s">
        <v>154</v>
      </c>
    </row>
    <row r="5087" spans="1:14" ht="15" customHeight="1" x14ac:dyDescent="0.3">
      <c r="A5087" s="18" t="s">
        <v>9669</v>
      </c>
      <c r="B5087" s="19" t="s">
        <v>15</v>
      </c>
      <c r="C5087" s="18" t="s">
        <v>9670</v>
      </c>
      <c r="D5087" s="18" t="s">
        <v>116</v>
      </c>
      <c r="E5087" s="18" t="s">
        <v>55</v>
      </c>
      <c r="F5087" s="18" t="s">
        <v>2361</v>
      </c>
      <c r="G5087" s="18" t="s">
        <v>381</v>
      </c>
      <c r="H5087" s="18" t="s">
        <v>2140</v>
      </c>
      <c r="I5087" s="20" t="s">
        <v>9780</v>
      </c>
      <c r="J5087" s="18" t="s">
        <v>73</v>
      </c>
      <c r="K5087" s="18" t="s">
        <v>24</v>
      </c>
      <c r="L5087" s="18" t="s">
        <v>25</v>
      </c>
      <c r="N5087" s="18" t="s">
        <v>154</v>
      </c>
    </row>
    <row r="5088" spans="1:14" ht="15" customHeight="1" x14ac:dyDescent="0.3">
      <c r="A5088" s="18" t="s">
        <v>9669</v>
      </c>
      <c r="B5088" s="19" t="s">
        <v>15</v>
      </c>
      <c r="C5088" s="18" t="s">
        <v>9670</v>
      </c>
      <c r="D5088" s="18" t="s">
        <v>116</v>
      </c>
      <c r="E5088" s="18" t="s">
        <v>55</v>
      </c>
      <c r="F5088" s="18" t="s">
        <v>9781</v>
      </c>
      <c r="G5088" s="18" t="s">
        <v>381</v>
      </c>
      <c r="H5088" s="18" t="s">
        <v>2140</v>
      </c>
      <c r="I5088" s="20" t="s">
        <v>9782</v>
      </c>
      <c r="J5088" s="18" t="s">
        <v>73</v>
      </c>
      <c r="K5088" s="18" t="s">
        <v>24</v>
      </c>
      <c r="L5088" s="18" t="s">
        <v>25</v>
      </c>
      <c r="N5088" s="18" t="s">
        <v>154</v>
      </c>
    </row>
    <row r="5089" spans="1:14" ht="15" customHeight="1" x14ac:dyDescent="0.3">
      <c r="A5089" s="18" t="s">
        <v>9669</v>
      </c>
      <c r="B5089" s="19" t="s">
        <v>15</v>
      </c>
      <c r="C5089" s="18" t="s">
        <v>9670</v>
      </c>
      <c r="D5089" s="18" t="s">
        <v>116</v>
      </c>
      <c r="E5089" s="18" t="s">
        <v>55</v>
      </c>
      <c r="F5089" s="18" t="s">
        <v>3272</v>
      </c>
      <c r="G5089" s="18" t="s">
        <v>381</v>
      </c>
      <c r="H5089" s="18" t="s">
        <v>2140</v>
      </c>
      <c r="I5089" s="20" t="s">
        <v>9783</v>
      </c>
      <c r="J5089" s="18" t="s">
        <v>73</v>
      </c>
      <c r="K5089" s="18" t="s">
        <v>24</v>
      </c>
      <c r="L5089" s="18" t="s">
        <v>25</v>
      </c>
      <c r="N5089" s="18" t="s">
        <v>154</v>
      </c>
    </row>
    <row r="5090" spans="1:14" ht="15" customHeight="1" x14ac:dyDescent="0.3">
      <c r="A5090" s="18" t="s">
        <v>9669</v>
      </c>
      <c r="B5090" s="19" t="s">
        <v>15</v>
      </c>
      <c r="C5090" s="18" t="s">
        <v>9670</v>
      </c>
      <c r="D5090" s="18" t="s">
        <v>116</v>
      </c>
      <c r="E5090" s="18" t="s">
        <v>55</v>
      </c>
      <c r="F5090" s="18" t="s">
        <v>2364</v>
      </c>
      <c r="G5090" s="18" t="s">
        <v>625</v>
      </c>
      <c r="H5090" s="18" t="s">
        <v>9711</v>
      </c>
      <c r="I5090" s="20" t="s">
        <v>9784</v>
      </c>
      <c r="J5090" s="18" t="s">
        <v>58</v>
      </c>
      <c r="K5090" s="18" t="s">
        <v>24</v>
      </c>
      <c r="L5090" s="18" t="s">
        <v>25</v>
      </c>
      <c r="N5090" s="18" t="s">
        <v>154</v>
      </c>
    </row>
    <row r="5091" spans="1:14" ht="15" customHeight="1" x14ac:dyDescent="0.3">
      <c r="A5091" s="18" t="s">
        <v>9669</v>
      </c>
      <c r="B5091" s="19" t="s">
        <v>15</v>
      </c>
      <c r="C5091" s="18" t="s">
        <v>9670</v>
      </c>
      <c r="D5091" s="18" t="s">
        <v>116</v>
      </c>
      <c r="E5091" s="18" t="s">
        <v>55</v>
      </c>
      <c r="F5091" s="18" t="s">
        <v>404</v>
      </c>
      <c r="G5091" s="18" t="s">
        <v>381</v>
      </c>
      <c r="H5091" s="18" t="s">
        <v>2140</v>
      </c>
      <c r="I5091" s="20" t="s">
        <v>9785</v>
      </c>
      <c r="J5091" s="18" t="s">
        <v>73</v>
      </c>
      <c r="K5091" s="18" t="s">
        <v>24</v>
      </c>
      <c r="L5091" s="18" t="s">
        <v>25</v>
      </c>
      <c r="M5091" s="18" t="s">
        <v>39</v>
      </c>
      <c r="N5091" s="18" t="s">
        <v>154</v>
      </c>
    </row>
    <row r="5092" spans="1:14" ht="15" customHeight="1" x14ac:dyDescent="0.3">
      <c r="A5092" s="18" t="s">
        <v>9669</v>
      </c>
      <c r="B5092" s="19" t="s">
        <v>15</v>
      </c>
      <c r="C5092" s="18" t="s">
        <v>9670</v>
      </c>
      <c r="D5092" s="18" t="s">
        <v>116</v>
      </c>
      <c r="E5092" s="18" t="s">
        <v>55</v>
      </c>
      <c r="F5092" s="18" t="s">
        <v>519</v>
      </c>
      <c r="G5092" s="18" t="s">
        <v>381</v>
      </c>
      <c r="H5092" s="18" t="s">
        <v>2140</v>
      </c>
      <c r="I5092" s="20" t="s">
        <v>9786</v>
      </c>
      <c r="J5092" s="18" t="s">
        <v>58</v>
      </c>
      <c r="K5092" s="18" t="s">
        <v>24</v>
      </c>
      <c r="L5092" s="18" t="s">
        <v>25</v>
      </c>
      <c r="N5092" s="18" t="s">
        <v>154</v>
      </c>
    </row>
    <row r="5093" spans="1:14" ht="15" customHeight="1" x14ac:dyDescent="0.3">
      <c r="A5093" s="18" t="s">
        <v>9669</v>
      </c>
      <c r="B5093" s="19" t="s">
        <v>15</v>
      </c>
      <c r="C5093" s="18" t="s">
        <v>9670</v>
      </c>
      <c r="D5093" s="18" t="s">
        <v>116</v>
      </c>
      <c r="E5093" s="18" t="s">
        <v>55</v>
      </c>
      <c r="F5093" s="18" t="s">
        <v>2294</v>
      </c>
      <c r="G5093" s="18" t="s">
        <v>637</v>
      </c>
      <c r="H5093" s="18" t="s">
        <v>9711</v>
      </c>
      <c r="I5093" s="20" t="s">
        <v>9787</v>
      </c>
      <c r="J5093" s="18" t="s">
        <v>58</v>
      </c>
      <c r="K5093" s="18" t="s">
        <v>24</v>
      </c>
      <c r="L5093" s="18" t="s">
        <v>25</v>
      </c>
      <c r="N5093" s="18" t="s">
        <v>154</v>
      </c>
    </row>
    <row r="5094" spans="1:14" ht="15" customHeight="1" x14ac:dyDescent="0.3">
      <c r="A5094" s="18" t="s">
        <v>9669</v>
      </c>
      <c r="B5094" s="19" t="s">
        <v>15</v>
      </c>
      <c r="C5094" s="18" t="s">
        <v>9670</v>
      </c>
      <c r="D5094" s="18" t="s">
        <v>116</v>
      </c>
      <c r="E5094" s="18" t="s">
        <v>55</v>
      </c>
      <c r="F5094" s="18" t="s">
        <v>2124</v>
      </c>
      <c r="G5094" s="18" t="s">
        <v>913</v>
      </c>
      <c r="H5094" s="18" t="s">
        <v>9681</v>
      </c>
      <c r="I5094" s="20" t="s">
        <v>9788</v>
      </c>
      <c r="J5094" s="18" t="s">
        <v>58</v>
      </c>
      <c r="K5094" s="18" t="s">
        <v>24</v>
      </c>
      <c r="L5094" s="18" t="s">
        <v>25</v>
      </c>
      <c r="N5094" s="18" t="s">
        <v>154</v>
      </c>
    </row>
    <row r="5095" spans="1:14" ht="15" customHeight="1" x14ac:dyDescent="0.3">
      <c r="A5095" s="18" t="s">
        <v>9669</v>
      </c>
      <c r="B5095" s="19" t="s">
        <v>15</v>
      </c>
      <c r="C5095" s="18" t="s">
        <v>9670</v>
      </c>
      <c r="D5095" s="18" t="s">
        <v>116</v>
      </c>
      <c r="E5095" s="18" t="s">
        <v>55</v>
      </c>
      <c r="F5095" s="18" t="s">
        <v>1239</v>
      </c>
      <c r="G5095" s="18" t="s">
        <v>1075</v>
      </c>
      <c r="H5095" s="18" t="s">
        <v>9687</v>
      </c>
      <c r="I5095" s="20" t="s">
        <v>9789</v>
      </c>
      <c r="J5095" s="18" t="s">
        <v>58</v>
      </c>
      <c r="K5095" s="18" t="s">
        <v>24</v>
      </c>
      <c r="L5095" s="18" t="s">
        <v>25</v>
      </c>
      <c r="N5095" s="18" t="s">
        <v>154</v>
      </c>
    </row>
    <row r="5096" spans="1:14" ht="15" customHeight="1" x14ac:dyDescent="0.3">
      <c r="A5096" s="18" t="s">
        <v>9669</v>
      </c>
      <c r="B5096" s="19" t="s">
        <v>15</v>
      </c>
      <c r="C5096" s="18" t="s">
        <v>9670</v>
      </c>
      <c r="D5096" s="18" t="s">
        <v>116</v>
      </c>
      <c r="E5096" s="18" t="s">
        <v>55</v>
      </c>
      <c r="F5096" s="18" t="s">
        <v>221</v>
      </c>
      <c r="G5096" s="18" t="s">
        <v>212</v>
      </c>
      <c r="H5096" s="18" t="s">
        <v>9687</v>
      </c>
      <c r="I5096" s="20" t="s">
        <v>9790</v>
      </c>
      <c r="J5096" s="18" t="s">
        <v>58</v>
      </c>
      <c r="K5096" s="18" t="s">
        <v>24</v>
      </c>
      <c r="L5096" s="18" t="s">
        <v>25</v>
      </c>
      <c r="N5096" s="18" t="s">
        <v>154</v>
      </c>
    </row>
    <row r="5097" spans="1:14" ht="15" customHeight="1" x14ac:dyDescent="0.3">
      <c r="A5097" s="18" t="s">
        <v>9669</v>
      </c>
      <c r="B5097" s="19" t="s">
        <v>15</v>
      </c>
      <c r="C5097" s="18" t="s">
        <v>9670</v>
      </c>
      <c r="D5097" s="18" t="s">
        <v>116</v>
      </c>
      <c r="E5097" s="18" t="s">
        <v>55</v>
      </c>
      <c r="F5097" s="18" t="s">
        <v>1244</v>
      </c>
      <c r="G5097" s="18" t="s">
        <v>1075</v>
      </c>
      <c r="H5097" s="18" t="s">
        <v>9687</v>
      </c>
      <c r="I5097" s="20" t="s">
        <v>9791</v>
      </c>
      <c r="J5097" s="18" t="s">
        <v>58</v>
      </c>
      <c r="K5097" s="18" t="s">
        <v>24</v>
      </c>
      <c r="L5097" s="18" t="s">
        <v>25</v>
      </c>
      <c r="N5097" s="18" t="s">
        <v>154</v>
      </c>
    </row>
    <row r="5098" spans="1:14" ht="15" customHeight="1" x14ac:dyDescent="0.3">
      <c r="A5098" s="18" t="s">
        <v>9669</v>
      </c>
      <c r="B5098" s="19" t="s">
        <v>15</v>
      </c>
      <c r="C5098" s="18" t="s">
        <v>9670</v>
      </c>
      <c r="D5098" s="18" t="s">
        <v>116</v>
      </c>
      <c r="E5098" s="18" t="s">
        <v>55</v>
      </c>
      <c r="F5098" s="18" t="s">
        <v>9710</v>
      </c>
      <c r="G5098" s="18" t="s">
        <v>2628</v>
      </c>
      <c r="H5098" s="18" t="s">
        <v>9711</v>
      </c>
      <c r="I5098" s="20" t="s">
        <v>9792</v>
      </c>
      <c r="J5098" s="18" t="s">
        <v>58</v>
      </c>
      <c r="K5098" s="18" t="s">
        <v>24</v>
      </c>
      <c r="L5098" s="18" t="s">
        <v>25</v>
      </c>
      <c r="N5098" s="18" t="s">
        <v>154</v>
      </c>
    </row>
    <row r="5099" spans="1:14" ht="15" customHeight="1" x14ac:dyDescent="0.3">
      <c r="A5099" s="18" t="s">
        <v>9669</v>
      </c>
      <c r="B5099" s="19" t="s">
        <v>15</v>
      </c>
      <c r="C5099" s="18" t="s">
        <v>9670</v>
      </c>
      <c r="D5099" s="18" t="s">
        <v>116</v>
      </c>
      <c r="E5099" s="18" t="s">
        <v>55</v>
      </c>
      <c r="F5099" s="18" t="s">
        <v>1072</v>
      </c>
      <c r="G5099" s="18" t="s">
        <v>47</v>
      </c>
      <c r="H5099" s="18" t="s">
        <v>9687</v>
      </c>
      <c r="I5099" s="20" t="s">
        <v>9793</v>
      </c>
      <c r="J5099" s="18" t="s">
        <v>58</v>
      </c>
      <c r="K5099" s="18" t="s">
        <v>24</v>
      </c>
      <c r="L5099" s="18" t="s">
        <v>25</v>
      </c>
      <c r="N5099" s="18" t="s">
        <v>154</v>
      </c>
    </row>
    <row r="5100" spans="1:14" ht="15" customHeight="1" x14ac:dyDescent="0.3">
      <c r="A5100" s="18" t="s">
        <v>9669</v>
      </c>
      <c r="B5100" s="19" t="s">
        <v>15</v>
      </c>
      <c r="C5100" s="18" t="s">
        <v>9670</v>
      </c>
      <c r="D5100" s="18" t="s">
        <v>116</v>
      </c>
      <c r="E5100" s="18" t="s">
        <v>55</v>
      </c>
      <c r="F5100" s="18" t="s">
        <v>6276</v>
      </c>
      <c r="G5100" s="18" t="s">
        <v>47</v>
      </c>
      <c r="H5100" s="18" t="s">
        <v>9687</v>
      </c>
      <c r="I5100" s="20" t="s">
        <v>9794</v>
      </c>
      <c r="J5100" s="18" t="s">
        <v>58</v>
      </c>
      <c r="K5100" s="18" t="s">
        <v>24</v>
      </c>
      <c r="L5100" s="18" t="s">
        <v>25</v>
      </c>
      <c r="N5100" s="18" t="s">
        <v>154</v>
      </c>
    </row>
    <row r="5101" spans="1:14" ht="15" customHeight="1" x14ac:dyDescent="0.3">
      <c r="A5101" s="18" t="s">
        <v>9669</v>
      </c>
      <c r="B5101" s="19" t="s">
        <v>15</v>
      </c>
      <c r="C5101" s="18" t="s">
        <v>9670</v>
      </c>
      <c r="D5101" s="18" t="s">
        <v>116</v>
      </c>
      <c r="E5101" s="18" t="s">
        <v>55</v>
      </c>
      <c r="F5101" s="18" t="s">
        <v>34</v>
      </c>
      <c r="G5101" s="18" t="s">
        <v>34</v>
      </c>
      <c r="H5101" s="18" t="s">
        <v>9687</v>
      </c>
      <c r="I5101" s="20" t="s">
        <v>9795</v>
      </c>
      <c r="J5101" s="18" t="s">
        <v>58</v>
      </c>
      <c r="K5101" s="18" t="s">
        <v>24</v>
      </c>
      <c r="L5101" s="18" t="s">
        <v>25</v>
      </c>
      <c r="N5101" s="18" t="s">
        <v>154</v>
      </c>
    </row>
    <row r="5102" spans="1:14" ht="15" customHeight="1" x14ac:dyDescent="0.3">
      <c r="A5102" s="18" t="s">
        <v>9669</v>
      </c>
      <c r="B5102" s="19" t="s">
        <v>15</v>
      </c>
      <c r="C5102" s="18" t="s">
        <v>9670</v>
      </c>
      <c r="D5102" s="18" t="s">
        <v>116</v>
      </c>
      <c r="E5102" s="18" t="s">
        <v>55</v>
      </c>
      <c r="F5102" s="18" t="s">
        <v>2302</v>
      </c>
      <c r="G5102" s="18" t="s">
        <v>1704</v>
      </c>
      <c r="H5102" s="18" t="s">
        <v>9711</v>
      </c>
      <c r="I5102" s="20" t="s">
        <v>9796</v>
      </c>
      <c r="J5102" s="18" t="s">
        <v>58</v>
      </c>
      <c r="K5102" s="18" t="s">
        <v>24</v>
      </c>
      <c r="L5102" s="18" t="s">
        <v>25</v>
      </c>
      <c r="N5102" s="18" t="s">
        <v>154</v>
      </c>
    </row>
    <row r="5103" spans="1:14" ht="15" customHeight="1" x14ac:dyDescent="0.3">
      <c r="A5103" s="18" t="s">
        <v>9669</v>
      </c>
      <c r="B5103" s="19" t="s">
        <v>15</v>
      </c>
      <c r="C5103" s="18" t="s">
        <v>9670</v>
      </c>
      <c r="D5103" s="18" t="s">
        <v>116</v>
      </c>
      <c r="E5103" s="18" t="s">
        <v>55</v>
      </c>
      <c r="F5103" s="18" t="s">
        <v>2099</v>
      </c>
      <c r="G5103" s="18" t="s">
        <v>1502</v>
      </c>
      <c r="H5103" s="18" t="s">
        <v>9681</v>
      </c>
      <c r="I5103" s="20" t="s">
        <v>9797</v>
      </c>
      <c r="J5103" s="18" t="s">
        <v>58</v>
      </c>
      <c r="K5103" s="18" t="s">
        <v>24</v>
      </c>
      <c r="L5103" s="18" t="s">
        <v>25</v>
      </c>
      <c r="N5103" s="18" t="s">
        <v>154</v>
      </c>
    </row>
    <row r="5104" spans="1:14" ht="15" customHeight="1" x14ac:dyDescent="0.3">
      <c r="A5104" s="18" t="s">
        <v>9669</v>
      </c>
      <c r="B5104" s="19" t="s">
        <v>15</v>
      </c>
      <c r="C5104" s="18" t="s">
        <v>9670</v>
      </c>
      <c r="D5104" s="18" t="s">
        <v>116</v>
      </c>
      <c r="E5104" s="18" t="s">
        <v>55</v>
      </c>
      <c r="F5104" s="18" t="s">
        <v>9130</v>
      </c>
      <c r="G5104" s="18" t="s">
        <v>47</v>
      </c>
      <c r="H5104" s="18" t="s">
        <v>9687</v>
      </c>
      <c r="I5104" s="20" t="s">
        <v>9798</v>
      </c>
      <c r="J5104" s="18" t="s">
        <v>58</v>
      </c>
      <c r="K5104" s="18" t="s">
        <v>24</v>
      </c>
      <c r="L5104" s="18" t="s">
        <v>25</v>
      </c>
      <c r="N5104" s="18" t="s">
        <v>154</v>
      </c>
    </row>
    <row r="5105" spans="1:14" ht="15" customHeight="1" x14ac:dyDescent="0.3">
      <c r="A5105" s="18" t="s">
        <v>9669</v>
      </c>
      <c r="B5105" s="19" t="s">
        <v>15</v>
      </c>
      <c r="C5105" s="18" t="s">
        <v>9670</v>
      </c>
      <c r="D5105" s="18" t="s">
        <v>116</v>
      </c>
      <c r="E5105" s="18" t="s">
        <v>55</v>
      </c>
      <c r="F5105" s="18" t="s">
        <v>9799</v>
      </c>
      <c r="G5105" s="18" t="s">
        <v>913</v>
      </c>
      <c r="H5105" s="18" t="s">
        <v>9711</v>
      </c>
      <c r="I5105" s="20" t="s">
        <v>9800</v>
      </c>
      <c r="J5105" s="18" t="s">
        <v>58</v>
      </c>
      <c r="K5105" s="18" t="s">
        <v>24</v>
      </c>
      <c r="L5105" s="18" t="s">
        <v>25</v>
      </c>
      <c r="N5105" s="18" t="s">
        <v>154</v>
      </c>
    </row>
    <row r="5106" spans="1:14" ht="15" customHeight="1" x14ac:dyDescent="0.3">
      <c r="A5106" s="18" t="s">
        <v>9669</v>
      </c>
      <c r="B5106" s="19" t="s">
        <v>15</v>
      </c>
      <c r="C5106" s="18" t="s">
        <v>9670</v>
      </c>
      <c r="D5106" s="18" t="s">
        <v>116</v>
      </c>
      <c r="E5106" s="18" t="s">
        <v>55</v>
      </c>
      <c r="F5106" s="18" t="s">
        <v>7761</v>
      </c>
      <c r="G5106" s="18" t="s">
        <v>7762</v>
      </c>
      <c r="H5106" s="18" t="s">
        <v>9687</v>
      </c>
      <c r="I5106" s="20" t="s">
        <v>9801</v>
      </c>
      <c r="J5106" s="18" t="s">
        <v>58</v>
      </c>
      <c r="K5106" s="18" t="s">
        <v>24</v>
      </c>
      <c r="L5106" s="18" t="s">
        <v>25</v>
      </c>
      <c r="N5106" s="18" t="s">
        <v>154</v>
      </c>
    </row>
    <row r="5107" spans="1:14" ht="15" customHeight="1" x14ac:dyDescent="0.3">
      <c r="A5107" s="18" t="s">
        <v>9669</v>
      </c>
      <c r="B5107" s="19" t="s">
        <v>15</v>
      </c>
      <c r="C5107" s="18" t="s">
        <v>9670</v>
      </c>
      <c r="D5107" s="18" t="s">
        <v>116</v>
      </c>
      <c r="E5107" s="18" t="s">
        <v>55</v>
      </c>
      <c r="F5107" s="18" t="s">
        <v>9142</v>
      </c>
      <c r="G5107" s="18" t="s">
        <v>9094</v>
      </c>
      <c r="H5107" s="18" t="s">
        <v>9681</v>
      </c>
      <c r="I5107" s="20" t="s">
        <v>9802</v>
      </c>
      <c r="J5107" s="18" t="s">
        <v>58</v>
      </c>
      <c r="K5107" s="18" t="s">
        <v>24</v>
      </c>
      <c r="L5107" s="18" t="s">
        <v>25</v>
      </c>
      <c r="N5107" s="18" t="s">
        <v>154</v>
      </c>
    </row>
    <row r="5108" spans="1:14" ht="15" customHeight="1" x14ac:dyDescent="0.3">
      <c r="A5108" s="18" t="s">
        <v>9669</v>
      </c>
      <c r="B5108" s="19" t="s">
        <v>15</v>
      </c>
      <c r="C5108" s="18" t="s">
        <v>9670</v>
      </c>
      <c r="D5108" s="18" t="s">
        <v>116</v>
      </c>
      <c r="E5108" s="18" t="s">
        <v>55</v>
      </c>
      <c r="F5108" s="18" t="s">
        <v>9803</v>
      </c>
      <c r="G5108" s="18" t="s">
        <v>9804</v>
      </c>
      <c r="H5108" s="18" t="s">
        <v>9677</v>
      </c>
      <c r="I5108" s="20" t="s">
        <v>9805</v>
      </c>
      <c r="J5108" s="18" t="s">
        <v>58</v>
      </c>
      <c r="K5108" s="18" t="s">
        <v>24</v>
      </c>
      <c r="L5108" s="18" t="s">
        <v>25</v>
      </c>
      <c r="N5108" s="18" t="s">
        <v>154</v>
      </c>
    </row>
    <row r="5109" spans="1:14" ht="15" customHeight="1" x14ac:dyDescent="0.3">
      <c r="A5109" s="18" t="s">
        <v>9669</v>
      </c>
      <c r="B5109" s="19" t="s">
        <v>15</v>
      </c>
      <c r="C5109" s="18" t="s">
        <v>9670</v>
      </c>
      <c r="D5109" s="18" t="s">
        <v>116</v>
      </c>
      <c r="E5109" s="18" t="s">
        <v>55</v>
      </c>
      <c r="F5109" s="18" t="s">
        <v>7412</v>
      </c>
      <c r="G5109" s="18" t="s">
        <v>8610</v>
      </c>
      <c r="H5109" s="18" t="s">
        <v>9681</v>
      </c>
      <c r="I5109" s="20" t="s">
        <v>9806</v>
      </c>
      <c r="J5109" s="18" t="s">
        <v>58</v>
      </c>
      <c r="K5109" s="18" t="s">
        <v>24</v>
      </c>
      <c r="L5109" s="18" t="s">
        <v>25</v>
      </c>
      <c r="N5109" s="18" t="s">
        <v>154</v>
      </c>
    </row>
    <row r="5110" spans="1:14" ht="15" customHeight="1" x14ac:dyDescent="0.3">
      <c r="A5110" s="18" t="s">
        <v>9669</v>
      </c>
      <c r="B5110" s="19" t="s">
        <v>15</v>
      </c>
      <c r="C5110" s="18" t="s">
        <v>9670</v>
      </c>
      <c r="D5110" s="18" t="s">
        <v>116</v>
      </c>
      <c r="E5110" s="18" t="s">
        <v>55</v>
      </c>
      <c r="F5110" s="18" t="s">
        <v>8613</v>
      </c>
      <c r="G5110" s="18" t="s">
        <v>9807</v>
      </c>
      <c r="H5110" s="18" t="s">
        <v>9687</v>
      </c>
      <c r="I5110" s="20" t="s">
        <v>9808</v>
      </c>
      <c r="J5110" s="18" t="s">
        <v>58</v>
      </c>
      <c r="K5110" s="18" t="s">
        <v>24</v>
      </c>
      <c r="L5110" s="18" t="s">
        <v>25</v>
      </c>
      <c r="N5110" s="18" t="s">
        <v>154</v>
      </c>
    </row>
    <row r="5111" spans="1:14" ht="15" customHeight="1" x14ac:dyDescent="0.3">
      <c r="A5111" s="18" t="s">
        <v>9669</v>
      </c>
      <c r="B5111" s="19" t="s">
        <v>15</v>
      </c>
      <c r="C5111" s="18" t="s">
        <v>9670</v>
      </c>
      <c r="D5111" s="18" t="s">
        <v>116</v>
      </c>
      <c r="E5111" s="18" t="s">
        <v>55</v>
      </c>
      <c r="F5111" s="18" t="s">
        <v>7414</v>
      </c>
      <c r="G5111" s="18" t="s">
        <v>9154</v>
      </c>
      <c r="H5111" s="18" t="s">
        <v>9677</v>
      </c>
      <c r="I5111" s="20" t="s">
        <v>9809</v>
      </c>
      <c r="J5111" s="18" t="s">
        <v>58</v>
      </c>
      <c r="K5111" s="18" t="s">
        <v>24</v>
      </c>
      <c r="L5111" s="18" t="s">
        <v>25</v>
      </c>
      <c r="N5111" s="18" t="s">
        <v>154</v>
      </c>
    </row>
    <row r="5112" spans="1:14" ht="15" customHeight="1" x14ac:dyDescent="0.3">
      <c r="A5112" s="18" t="s">
        <v>9669</v>
      </c>
      <c r="B5112" s="19" t="s">
        <v>15</v>
      </c>
      <c r="C5112" s="18" t="s">
        <v>9670</v>
      </c>
      <c r="D5112" s="18" t="s">
        <v>116</v>
      </c>
      <c r="E5112" s="18" t="s">
        <v>55</v>
      </c>
      <c r="F5112" s="18" t="s">
        <v>9810</v>
      </c>
      <c r="G5112" s="18" t="s">
        <v>6272</v>
      </c>
      <c r="H5112" s="18" t="s">
        <v>9677</v>
      </c>
      <c r="I5112" s="20" t="s">
        <v>9811</v>
      </c>
      <c r="J5112" s="18" t="s">
        <v>58</v>
      </c>
      <c r="K5112" s="18" t="s">
        <v>24</v>
      </c>
      <c r="L5112" s="18" t="s">
        <v>1369</v>
      </c>
      <c r="N5112" s="18" t="s">
        <v>154</v>
      </c>
    </row>
    <row r="5113" spans="1:14" ht="15" customHeight="1" x14ac:dyDescent="0.3">
      <c r="A5113" s="18" t="s">
        <v>9669</v>
      </c>
      <c r="B5113" s="19" t="s">
        <v>15</v>
      </c>
      <c r="C5113" s="18" t="s">
        <v>9670</v>
      </c>
      <c r="D5113" s="18" t="s">
        <v>116</v>
      </c>
      <c r="E5113" s="18" t="s">
        <v>55</v>
      </c>
      <c r="F5113" s="18" t="s">
        <v>281</v>
      </c>
      <c r="G5113" s="18" t="s">
        <v>1976</v>
      </c>
      <c r="H5113" s="18" t="s">
        <v>9677</v>
      </c>
      <c r="I5113" s="20" t="s">
        <v>9812</v>
      </c>
      <c r="J5113" s="18" t="s">
        <v>58</v>
      </c>
      <c r="K5113" s="18" t="s">
        <v>24</v>
      </c>
      <c r="L5113" s="18" t="s">
        <v>25</v>
      </c>
      <c r="N5113" s="18" t="s">
        <v>154</v>
      </c>
    </row>
    <row r="5114" spans="1:14" ht="15" customHeight="1" x14ac:dyDescent="0.3">
      <c r="A5114" s="18" t="s">
        <v>9669</v>
      </c>
      <c r="B5114" s="19" t="s">
        <v>15</v>
      </c>
      <c r="C5114" s="18" t="s">
        <v>9670</v>
      </c>
      <c r="D5114" s="18" t="s">
        <v>116</v>
      </c>
      <c r="E5114" s="18" t="s">
        <v>55</v>
      </c>
      <c r="F5114" s="18" t="s">
        <v>284</v>
      </c>
      <c r="G5114" s="18" t="s">
        <v>9813</v>
      </c>
      <c r="H5114" s="18" t="s">
        <v>9677</v>
      </c>
      <c r="I5114" s="20" t="s">
        <v>9814</v>
      </c>
      <c r="J5114" s="18" t="s">
        <v>58</v>
      </c>
      <c r="K5114" s="18" t="s">
        <v>24</v>
      </c>
      <c r="L5114" s="18" t="s">
        <v>25</v>
      </c>
      <c r="N5114" s="18" t="s">
        <v>154</v>
      </c>
    </row>
    <row r="5115" spans="1:14" ht="15" customHeight="1" x14ac:dyDescent="0.3">
      <c r="A5115" s="18" t="s">
        <v>9669</v>
      </c>
      <c r="B5115" s="19" t="s">
        <v>15</v>
      </c>
      <c r="C5115" s="18" t="s">
        <v>9670</v>
      </c>
      <c r="D5115" s="18" t="s">
        <v>116</v>
      </c>
      <c r="E5115" s="18" t="s">
        <v>55</v>
      </c>
      <c r="F5115" s="18" t="s">
        <v>9815</v>
      </c>
      <c r="G5115" s="18" t="s">
        <v>606</v>
      </c>
      <c r="H5115" s="18" t="s">
        <v>9681</v>
      </c>
      <c r="I5115" s="20" t="s">
        <v>9816</v>
      </c>
      <c r="J5115" s="18" t="s">
        <v>58</v>
      </c>
      <c r="K5115" s="18" t="s">
        <v>24</v>
      </c>
      <c r="L5115" s="18" t="s">
        <v>25</v>
      </c>
      <c r="N5115" s="18" t="s">
        <v>154</v>
      </c>
    </row>
    <row r="5116" spans="1:14" ht="15" customHeight="1" x14ac:dyDescent="0.3">
      <c r="A5116" s="18" t="s">
        <v>9669</v>
      </c>
      <c r="B5116" s="19" t="s">
        <v>15</v>
      </c>
      <c r="C5116" s="18" t="s">
        <v>9670</v>
      </c>
      <c r="D5116" s="18" t="s">
        <v>116</v>
      </c>
      <c r="E5116" s="18" t="s">
        <v>55</v>
      </c>
      <c r="F5116" s="18" t="s">
        <v>9817</v>
      </c>
      <c r="G5116" s="18" t="s">
        <v>2248</v>
      </c>
      <c r="H5116" s="18" t="s">
        <v>9681</v>
      </c>
      <c r="I5116" s="20" t="s">
        <v>9818</v>
      </c>
      <c r="J5116" s="18" t="s">
        <v>58</v>
      </c>
      <c r="K5116" s="18" t="s">
        <v>24</v>
      </c>
      <c r="L5116" s="18" t="s">
        <v>25</v>
      </c>
      <c r="N5116" s="18" t="s">
        <v>154</v>
      </c>
    </row>
    <row r="5117" spans="1:14" ht="15" customHeight="1" x14ac:dyDescent="0.3">
      <c r="A5117" s="18" t="s">
        <v>9669</v>
      </c>
      <c r="B5117" s="19" t="s">
        <v>15</v>
      </c>
      <c r="C5117" s="18" t="s">
        <v>9670</v>
      </c>
      <c r="D5117" s="18" t="s">
        <v>116</v>
      </c>
      <c r="E5117" s="18" t="s">
        <v>55</v>
      </c>
      <c r="F5117" s="18" t="s">
        <v>9819</v>
      </c>
      <c r="G5117" s="18" t="s">
        <v>263</v>
      </c>
      <c r="H5117" s="18" t="s">
        <v>9681</v>
      </c>
      <c r="I5117" s="20" t="s">
        <v>9820</v>
      </c>
      <c r="J5117" s="18" t="s">
        <v>58</v>
      </c>
      <c r="K5117" s="18" t="s">
        <v>24</v>
      </c>
      <c r="L5117" s="18" t="s">
        <v>25</v>
      </c>
      <c r="N5117" s="18" t="s">
        <v>154</v>
      </c>
    </row>
    <row r="5118" spans="1:14" ht="15" customHeight="1" x14ac:dyDescent="0.3">
      <c r="A5118" s="18" t="s">
        <v>9669</v>
      </c>
      <c r="B5118" s="19" t="s">
        <v>15</v>
      </c>
      <c r="C5118" s="18" t="s">
        <v>9670</v>
      </c>
      <c r="D5118" s="18" t="s">
        <v>116</v>
      </c>
      <c r="E5118" s="18" t="s">
        <v>55</v>
      </c>
      <c r="F5118" s="18" t="s">
        <v>40</v>
      </c>
      <c r="G5118" s="18" t="s">
        <v>41</v>
      </c>
      <c r="H5118" s="18" t="s">
        <v>9677</v>
      </c>
      <c r="I5118" s="20" t="s">
        <v>9821</v>
      </c>
      <c r="J5118" s="18" t="s">
        <v>58</v>
      </c>
      <c r="K5118" s="18" t="s">
        <v>24</v>
      </c>
      <c r="L5118" s="18" t="s">
        <v>25</v>
      </c>
      <c r="N5118" s="18" t="s">
        <v>154</v>
      </c>
    </row>
    <row r="5119" spans="1:14" ht="15" customHeight="1" x14ac:dyDescent="0.3">
      <c r="A5119" s="18" t="s">
        <v>9669</v>
      </c>
      <c r="B5119" s="19" t="s">
        <v>15</v>
      </c>
      <c r="C5119" s="18" t="s">
        <v>9670</v>
      </c>
      <c r="D5119" s="18" t="s">
        <v>116</v>
      </c>
      <c r="E5119" s="18" t="s">
        <v>55</v>
      </c>
      <c r="F5119" s="18" t="s">
        <v>890</v>
      </c>
      <c r="G5119" s="18" t="s">
        <v>41</v>
      </c>
      <c r="H5119" s="18" t="s">
        <v>9677</v>
      </c>
      <c r="I5119" s="20" t="s">
        <v>9822</v>
      </c>
      <c r="J5119" s="18" t="s">
        <v>58</v>
      </c>
      <c r="K5119" s="18" t="s">
        <v>24</v>
      </c>
      <c r="L5119" s="18" t="s">
        <v>25</v>
      </c>
      <c r="N5119" s="18" t="s">
        <v>154</v>
      </c>
    </row>
    <row r="5120" spans="1:14" ht="15" customHeight="1" x14ac:dyDescent="0.3">
      <c r="A5120" s="18" t="s">
        <v>9669</v>
      </c>
      <c r="B5120" s="19" t="s">
        <v>15</v>
      </c>
      <c r="C5120" s="18" t="s">
        <v>9670</v>
      </c>
      <c r="D5120" s="18" t="s">
        <v>116</v>
      </c>
      <c r="E5120" s="18" t="s">
        <v>55</v>
      </c>
      <c r="F5120" s="18" t="s">
        <v>9823</v>
      </c>
      <c r="G5120" s="18" t="s">
        <v>537</v>
      </c>
      <c r="H5120" s="18" t="s">
        <v>9677</v>
      </c>
      <c r="I5120" s="20" t="s">
        <v>9824</v>
      </c>
      <c r="J5120" s="18" t="s">
        <v>58</v>
      </c>
      <c r="K5120" s="18" t="s">
        <v>24</v>
      </c>
      <c r="L5120" s="18" t="s">
        <v>25</v>
      </c>
      <c r="N5120" s="18" t="s">
        <v>154</v>
      </c>
    </row>
    <row r="5121" spans="1:14" ht="15" customHeight="1" x14ac:dyDescent="0.3">
      <c r="A5121" s="18" t="s">
        <v>9669</v>
      </c>
      <c r="B5121" s="19" t="s">
        <v>15</v>
      </c>
      <c r="C5121" s="18" t="s">
        <v>9670</v>
      </c>
      <c r="D5121" s="18" t="s">
        <v>116</v>
      </c>
      <c r="E5121" s="18" t="s">
        <v>55</v>
      </c>
      <c r="F5121" s="18" t="s">
        <v>9825</v>
      </c>
      <c r="G5121" s="18" t="s">
        <v>192</v>
      </c>
      <c r="H5121" s="18" t="s">
        <v>9677</v>
      </c>
      <c r="I5121" s="20" t="s">
        <v>9826</v>
      </c>
      <c r="J5121" s="18" t="s">
        <v>58</v>
      </c>
      <c r="K5121" s="18" t="s">
        <v>24</v>
      </c>
      <c r="L5121" s="18" t="s">
        <v>25</v>
      </c>
      <c r="N5121" s="18" t="s">
        <v>154</v>
      </c>
    </row>
    <row r="5122" spans="1:14" ht="15" customHeight="1" x14ac:dyDescent="0.3">
      <c r="A5122" s="18" t="s">
        <v>9669</v>
      </c>
      <c r="B5122" s="19" t="s">
        <v>15</v>
      </c>
      <c r="C5122" s="18" t="s">
        <v>9670</v>
      </c>
      <c r="D5122" s="18" t="s">
        <v>116</v>
      </c>
      <c r="E5122" s="18" t="s">
        <v>55</v>
      </c>
      <c r="F5122" s="18" t="s">
        <v>9827</v>
      </c>
      <c r="G5122" s="18" t="s">
        <v>1704</v>
      </c>
      <c r="H5122" s="18" t="s">
        <v>9711</v>
      </c>
      <c r="I5122" s="20" t="s">
        <v>9828</v>
      </c>
      <c r="J5122" s="18" t="s">
        <v>58</v>
      </c>
      <c r="K5122" s="18" t="s">
        <v>24</v>
      </c>
      <c r="L5122" s="18" t="s">
        <v>25</v>
      </c>
      <c r="N5122" s="18" t="s">
        <v>154</v>
      </c>
    </row>
    <row r="5123" spans="1:14" ht="15" customHeight="1" x14ac:dyDescent="0.3">
      <c r="A5123" s="18" t="s">
        <v>9669</v>
      </c>
      <c r="B5123" s="19" t="s">
        <v>15</v>
      </c>
      <c r="C5123" s="18" t="s">
        <v>9670</v>
      </c>
      <c r="D5123" s="18" t="s">
        <v>116</v>
      </c>
      <c r="E5123" s="18" t="s">
        <v>55</v>
      </c>
      <c r="F5123" s="18" t="s">
        <v>9829</v>
      </c>
      <c r="G5123" s="18" t="s">
        <v>47</v>
      </c>
      <c r="H5123" s="18" t="s">
        <v>9687</v>
      </c>
      <c r="I5123" s="20" t="s">
        <v>9830</v>
      </c>
      <c r="J5123" s="18" t="s">
        <v>58</v>
      </c>
      <c r="K5123" s="18" t="s">
        <v>24</v>
      </c>
      <c r="L5123" s="18" t="s">
        <v>25</v>
      </c>
      <c r="N5123" s="18" t="s">
        <v>154</v>
      </c>
    </row>
    <row r="5124" spans="1:14" ht="15" customHeight="1" x14ac:dyDescent="0.3">
      <c r="A5124" s="18" t="s">
        <v>9669</v>
      </c>
      <c r="B5124" s="19" t="s">
        <v>15</v>
      </c>
      <c r="C5124" s="18" t="s">
        <v>9670</v>
      </c>
      <c r="D5124" s="18" t="s">
        <v>116</v>
      </c>
      <c r="E5124" s="18" t="s">
        <v>55</v>
      </c>
      <c r="F5124" s="18" t="s">
        <v>2327</v>
      </c>
      <c r="G5124" s="18" t="s">
        <v>1291</v>
      </c>
      <c r="H5124" s="18" t="s">
        <v>9687</v>
      </c>
      <c r="I5124" s="20" t="s">
        <v>9831</v>
      </c>
      <c r="J5124" s="18" t="s">
        <v>58</v>
      </c>
      <c r="K5124" s="18" t="s">
        <v>24</v>
      </c>
      <c r="L5124" s="18" t="s">
        <v>25</v>
      </c>
      <c r="M5124" s="18" t="s">
        <v>39</v>
      </c>
      <c r="N5124" s="18" t="s">
        <v>154</v>
      </c>
    </row>
    <row r="5125" spans="1:14" ht="15" customHeight="1" x14ac:dyDescent="0.3">
      <c r="A5125" s="18" t="s">
        <v>9669</v>
      </c>
      <c r="B5125" s="19" t="s">
        <v>15</v>
      </c>
      <c r="C5125" s="18" t="s">
        <v>9670</v>
      </c>
      <c r="D5125" s="18" t="s">
        <v>116</v>
      </c>
      <c r="E5125" s="18" t="s">
        <v>55</v>
      </c>
      <c r="F5125" s="18" t="s">
        <v>9832</v>
      </c>
      <c r="G5125" s="18" t="s">
        <v>197</v>
      </c>
      <c r="H5125" s="18" t="s">
        <v>9677</v>
      </c>
      <c r="I5125" s="20" t="s">
        <v>9833</v>
      </c>
      <c r="J5125" s="18" t="s">
        <v>73</v>
      </c>
      <c r="K5125" s="18" t="s">
        <v>293</v>
      </c>
      <c r="L5125" s="18" t="s">
        <v>25</v>
      </c>
      <c r="N5125" s="18" t="s">
        <v>154</v>
      </c>
    </row>
    <row r="5126" spans="1:14" ht="15" customHeight="1" x14ac:dyDescent="0.3">
      <c r="A5126" s="18" t="s">
        <v>9669</v>
      </c>
      <c r="B5126" s="19" t="s">
        <v>15</v>
      </c>
      <c r="C5126" s="18" t="s">
        <v>9670</v>
      </c>
      <c r="D5126" s="18" t="s">
        <v>116</v>
      </c>
      <c r="E5126" s="18" t="s">
        <v>55</v>
      </c>
      <c r="F5126" s="18" t="s">
        <v>2412</v>
      </c>
      <c r="G5126" s="18" t="s">
        <v>197</v>
      </c>
      <c r="H5126" s="18" t="s">
        <v>9677</v>
      </c>
      <c r="I5126" s="20" t="s">
        <v>9834</v>
      </c>
      <c r="J5126" s="18" t="s">
        <v>58</v>
      </c>
      <c r="K5126" s="18" t="s">
        <v>24</v>
      </c>
      <c r="L5126" s="18" t="s">
        <v>25</v>
      </c>
      <c r="N5126" s="18" t="s">
        <v>154</v>
      </c>
    </row>
    <row r="5127" spans="1:14" ht="15" customHeight="1" x14ac:dyDescent="0.3">
      <c r="A5127" s="18" t="s">
        <v>9669</v>
      </c>
      <c r="B5127" s="19" t="s">
        <v>15</v>
      </c>
      <c r="C5127" s="18" t="s">
        <v>9670</v>
      </c>
      <c r="D5127" s="18" t="s">
        <v>116</v>
      </c>
      <c r="E5127" s="18" t="s">
        <v>55</v>
      </c>
      <c r="F5127" s="18" t="s">
        <v>340</v>
      </c>
      <c r="G5127" s="18" t="s">
        <v>340</v>
      </c>
      <c r="H5127" s="18" t="s">
        <v>9677</v>
      </c>
      <c r="I5127" s="20" t="s">
        <v>9835</v>
      </c>
      <c r="J5127" s="18" t="s">
        <v>58</v>
      </c>
      <c r="K5127" s="18" t="s">
        <v>24</v>
      </c>
      <c r="L5127" s="18" t="s">
        <v>25</v>
      </c>
      <c r="N5127" s="18" t="s">
        <v>154</v>
      </c>
    </row>
    <row r="5128" spans="1:14" ht="15" customHeight="1" x14ac:dyDescent="0.3">
      <c r="A5128" s="18" t="s">
        <v>9669</v>
      </c>
      <c r="B5128" s="19" t="s">
        <v>15</v>
      </c>
      <c r="C5128" s="18" t="s">
        <v>9670</v>
      </c>
      <c r="D5128" s="18" t="s">
        <v>116</v>
      </c>
      <c r="E5128" s="18" t="s">
        <v>55</v>
      </c>
      <c r="F5128" s="18" t="s">
        <v>9836</v>
      </c>
      <c r="G5128" s="18" t="s">
        <v>340</v>
      </c>
      <c r="H5128" s="18" t="s">
        <v>9677</v>
      </c>
      <c r="I5128" s="20" t="s">
        <v>9837</v>
      </c>
      <c r="J5128" s="18" t="s">
        <v>58</v>
      </c>
      <c r="K5128" s="18" t="s">
        <v>24</v>
      </c>
      <c r="L5128" s="18" t="s">
        <v>25</v>
      </c>
      <c r="N5128" s="18" t="s">
        <v>154</v>
      </c>
    </row>
    <row r="5129" spans="1:14" ht="15" customHeight="1" x14ac:dyDescent="0.3">
      <c r="A5129" s="18" t="s">
        <v>9669</v>
      </c>
      <c r="B5129" s="19" t="s">
        <v>15</v>
      </c>
      <c r="C5129" s="18" t="s">
        <v>9670</v>
      </c>
      <c r="D5129" s="18" t="s">
        <v>116</v>
      </c>
      <c r="E5129" s="18" t="s">
        <v>55</v>
      </c>
      <c r="F5129" s="18" t="s">
        <v>8769</v>
      </c>
      <c r="G5129" s="18" t="s">
        <v>913</v>
      </c>
      <c r="H5129" s="18" t="s">
        <v>9711</v>
      </c>
      <c r="I5129" s="20" t="s">
        <v>9838</v>
      </c>
      <c r="J5129" s="18" t="s">
        <v>58</v>
      </c>
      <c r="K5129" s="18" t="s">
        <v>24</v>
      </c>
      <c r="L5129" s="18" t="s">
        <v>25</v>
      </c>
      <c r="M5129" s="18" t="s">
        <v>39</v>
      </c>
      <c r="N5129" s="18" t="s">
        <v>154</v>
      </c>
    </row>
    <row r="5130" spans="1:14" ht="15" customHeight="1" x14ac:dyDescent="0.3">
      <c r="A5130" s="18" t="s">
        <v>9669</v>
      </c>
      <c r="B5130" s="19" t="s">
        <v>15</v>
      </c>
      <c r="C5130" s="18" t="s">
        <v>9670</v>
      </c>
      <c r="D5130" s="18" t="s">
        <v>116</v>
      </c>
      <c r="E5130" s="18" t="s">
        <v>55</v>
      </c>
      <c r="F5130" s="18" t="s">
        <v>9839</v>
      </c>
      <c r="G5130" s="18" t="s">
        <v>913</v>
      </c>
      <c r="H5130" s="18" t="s">
        <v>9711</v>
      </c>
      <c r="I5130" s="20" t="s">
        <v>9840</v>
      </c>
      <c r="J5130" s="18" t="s">
        <v>58</v>
      </c>
      <c r="K5130" s="18" t="s">
        <v>24</v>
      </c>
      <c r="L5130" s="18" t="s">
        <v>25</v>
      </c>
      <c r="N5130" s="18" t="s">
        <v>154</v>
      </c>
    </row>
    <row r="5131" spans="1:14" ht="15" customHeight="1" x14ac:dyDescent="0.3">
      <c r="A5131" s="18" t="s">
        <v>9669</v>
      </c>
      <c r="B5131" s="19" t="s">
        <v>15</v>
      </c>
      <c r="C5131" s="18" t="s">
        <v>9670</v>
      </c>
      <c r="D5131" s="18" t="s">
        <v>116</v>
      </c>
      <c r="E5131" s="18" t="s">
        <v>55</v>
      </c>
      <c r="F5131" s="18" t="s">
        <v>1102</v>
      </c>
      <c r="G5131" s="18" t="s">
        <v>263</v>
      </c>
      <c r="H5131" s="18" t="s">
        <v>9677</v>
      </c>
      <c r="I5131" s="20" t="s">
        <v>9841</v>
      </c>
      <c r="J5131" s="18" t="s">
        <v>58</v>
      </c>
      <c r="K5131" s="18" t="s">
        <v>24</v>
      </c>
      <c r="L5131" s="18" t="s">
        <v>25</v>
      </c>
      <c r="N5131" s="18" t="s">
        <v>154</v>
      </c>
    </row>
    <row r="5132" spans="1:14" ht="15" customHeight="1" x14ac:dyDescent="0.3">
      <c r="A5132" s="18" t="s">
        <v>9669</v>
      </c>
      <c r="B5132" s="19" t="s">
        <v>15</v>
      </c>
      <c r="C5132" s="18" t="s">
        <v>9670</v>
      </c>
      <c r="D5132" s="18" t="s">
        <v>116</v>
      </c>
      <c r="E5132" s="18" t="s">
        <v>55</v>
      </c>
      <c r="F5132" s="18" t="s">
        <v>9842</v>
      </c>
      <c r="G5132" s="18" t="s">
        <v>47</v>
      </c>
      <c r="H5132" s="18" t="s">
        <v>9711</v>
      </c>
      <c r="I5132" s="20" t="s">
        <v>9843</v>
      </c>
      <c r="J5132" s="18" t="s">
        <v>58</v>
      </c>
      <c r="K5132" s="18" t="s">
        <v>24</v>
      </c>
      <c r="L5132" s="18" t="s">
        <v>25</v>
      </c>
      <c r="N5132" s="18" t="s">
        <v>154</v>
      </c>
    </row>
    <row r="5133" spans="1:14" ht="15" customHeight="1" x14ac:dyDescent="0.3">
      <c r="A5133" s="18" t="s">
        <v>9669</v>
      </c>
      <c r="B5133" s="19" t="s">
        <v>15</v>
      </c>
      <c r="C5133" s="18" t="s">
        <v>9670</v>
      </c>
      <c r="D5133" s="18" t="s">
        <v>116</v>
      </c>
      <c r="E5133" s="18" t="s">
        <v>55</v>
      </c>
      <c r="F5133" s="18" t="s">
        <v>9844</v>
      </c>
      <c r="G5133" s="18" t="s">
        <v>47</v>
      </c>
      <c r="H5133" s="18" t="s">
        <v>9687</v>
      </c>
      <c r="I5133" s="20" t="s">
        <v>9845</v>
      </c>
      <c r="J5133" s="18" t="s">
        <v>58</v>
      </c>
      <c r="K5133" s="18" t="s">
        <v>24</v>
      </c>
      <c r="L5133" s="18" t="s">
        <v>25</v>
      </c>
      <c r="N5133" s="18" t="s">
        <v>154</v>
      </c>
    </row>
    <row r="5134" spans="1:14" ht="15" customHeight="1" x14ac:dyDescent="0.3">
      <c r="A5134" s="18" t="s">
        <v>9669</v>
      </c>
      <c r="B5134" s="19" t="s">
        <v>15</v>
      </c>
      <c r="C5134" s="18" t="s">
        <v>9670</v>
      </c>
      <c r="D5134" s="18" t="s">
        <v>116</v>
      </c>
      <c r="E5134" s="18" t="s">
        <v>55</v>
      </c>
      <c r="F5134" s="18" t="s">
        <v>2427</v>
      </c>
      <c r="G5134" s="18" t="s">
        <v>47</v>
      </c>
      <c r="H5134" s="18" t="s">
        <v>9711</v>
      </c>
      <c r="I5134" s="20" t="s">
        <v>9846</v>
      </c>
      <c r="J5134" s="18" t="s">
        <v>58</v>
      </c>
      <c r="K5134" s="18" t="s">
        <v>24</v>
      </c>
      <c r="L5134" s="18" t="s">
        <v>25</v>
      </c>
      <c r="N5134" s="18" t="s">
        <v>154</v>
      </c>
    </row>
    <row r="5135" spans="1:14" ht="15" customHeight="1" x14ac:dyDescent="0.3">
      <c r="A5135" s="18" t="s">
        <v>9669</v>
      </c>
      <c r="B5135" s="19" t="s">
        <v>15</v>
      </c>
      <c r="C5135" s="18" t="s">
        <v>9670</v>
      </c>
      <c r="D5135" s="18" t="s">
        <v>116</v>
      </c>
      <c r="E5135" s="18" t="s">
        <v>55</v>
      </c>
      <c r="F5135" s="18" t="s">
        <v>9847</v>
      </c>
      <c r="G5135" s="18" t="s">
        <v>1704</v>
      </c>
      <c r="H5135" s="18" t="s">
        <v>9711</v>
      </c>
      <c r="I5135" s="20" t="s">
        <v>9848</v>
      </c>
      <c r="J5135" s="18" t="s">
        <v>58</v>
      </c>
      <c r="K5135" s="18" t="s">
        <v>24</v>
      </c>
      <c r="L5135" s="18" t="s">
        <v>25</v>
      </c>
      <c r="N5135" s="18" t="s">
        <v>154</v>
      </c>
    </row>
    <row r="5136" spans="1:14" ht="15" customHeight="1" x14ac:dyDescent="0.3">
      <c r="A5136" s="18" t="s">
        <v>9669</v>
      </c>
      <c r="B5136" s="19" t="s">
        <v>15</v>
      </c>
      <c r="C5136" s="18" t="s">
        <v>9670</v>
      </c>
      <c r="D5136" s="18" t="s">
        <v>116</v>
      </c>
      <c r="E5136" s="18" t="s">
        <v>171</v>
      </c>
      <c r="F5136" s="18" t="s">
        <v>1244</v>
      </c>
      <c r="G5136" s="18" t="s">
        <v>1075</v>
      </c>
      <c r="H5136" s="18" t="s">
        <v>9687</v>
      </c>
      <c r="I5136" s="20" t="s">
        <v>9849</v>
      </c>
      <c r="J5136" s="18" t="s">
        <v>175</v>
      </c>
      <c r="K5136" s="18" t="s">
        <v>24</v>
      </c>
      <c r="L5136" s="18" t="s">
        <v>25</v>
      </c>
      <c r="M5136" s="18" t="s">
        <v>39</v>
      </c>
      <c r="N5136" s="18" t="s">
        <v>154</v>
      </c>
    </row>
    <row r="5137" spans="1:14" ht="15" customHeight="1" x14ac:dyDescent="0.3">
      <c r="A5137" s="18" t="s">
        <v>9669</v>
      </c>
      <c r="B5137" s="19" t="s">
        <v>15</v>
      </c>
      <c r="C5137" s="18" t="s">
        <v>9670</v>
      </c>
      <c r="D5137" s="18" t="s">
        <v>116</v>
      </c>
      <c r="E5137" s="18" t="s">
        <v>171</v>
      </c>
      <c r="F5137" s="18" t="s">
        <v>423</v>
      </c>
      <c r="G5137" s="18" t="s">
        <v>423</v>
      </c>
      <c r="H5137" s="18" t="s">
        <v>9681</v>
      </c>
      <c r="I5137" s="20" t="s">
        <v>9850</v>
      </c>
      <c r="J5137" s="18" t="s">
        <v>670</v>
      </c>
      <c r="K5137" s="18" t="s">
        <v>24</v>
      </c>
      <c r="L5137" s="18" t="s">
        <v>25</v>
      </c>
      <c r="N5137" s="18" t="s">
        <v>154</v>
      </c>
    </row>
    <row r="5138" spans="1:14" ht="15" customHeight="1" x14ac:dyDescent="0.3">
      <c r="A5138" s="18" t="s">
        <v>9669</v>
      </c>
      <c r="B5138" s="19" t="s">
        <v>15</v>
      </c>
      <c r="C5138" s="18" t="s">
        <v>9670</v>
      </c>
      <c r="D5138" s="18" t="s">
        <v>116</v>
      </c>
      <c r="E5138" s="18" t="s">
        <v>171</v>
      </c>
      <c r="F5138" s="18" t="s">
        <v>625</v>
      </c>
      <c r="G5138" s="18" t="s">
        <v>625</v>
      </c>
      <c r="H5138" s="18" t="s">
        <v>9711</v>
      </c>
      <c r="I5138" s="20" t="s">
        <v>9851</v>
      </c>
      <c r="J5138" s="18" t="s">
        <v>9852</v>
      </c>
      <c r="K5138" s="18" t="s">
        <v>24</v>
      </c>
      <c r="L5138" s="18" t="s">
        <v>25</v>
      </c>
      <c r="N5138" s="18" t="s">
        <v>154</v>
      </c>
    </row>
    <row r="5139" spans="1:14" ht="15" customHeight="1" x14ac:dyDescent="0.3">
      <c r="A5139" s="18" t="s">
        <v>9669</v>
      </c>
      <c r="B5139" s="19" t="s">
        <v>15</v>
      </c>
      <c r="C5139" s="18" t="s">
        <v>9670</v>
      </c>
      <c r="D5139" s="18" t="s">
        <v>116</v>
      </c>
      <c r="E5139" s="18" t="s">
        <v>74</v>
      </c>
      <c r="F5139" s="18" t="s">
        <v>9853</v>
      </c>
      <c r="G5139" s="18" t="s">
        <v>9854</v>
      </c>
      <c r="H5139" s="18" t="s">
        <v>9855</v>
      </c>
      <c r="I5139" s="20" t="s">
        <v>9856</v>
      </c>
      <c r="J5139" s="18" t="s">
        <v>199</v>
      </c>
      <c r="K5139" s="18" t="s">
        <v>24</v>
      </c>
      <c r="L5139" s="18" t="s">
        <v>25</v>
      </c>
      <c r="N5139" s="18" t="s">
        <v>154</v>
      </c>
    </row>
    <row r="5140" spans="1:14" ht="15" customHeight="1" x14ac:dyDescent="0.3">
      <c r="A5140" s="18" t="s">
        <v>9669</v>
      </c>
      <c r="B5140" s="19" t="s">
        <v>15</v>
      </c>
      <c r="C5140" s="18" t="s">
        <v>9670</v>
      </c>
      <c r="D5140" s="18" t="s">
        <v>116</v>
      </c>
      <c r="E5140" s="18" t="s">
        <v>74</v>
      </c>
      <c r="F5140" s="18" t="s">
        <v>9857</v>
      </c>
      <c r="G5140" s="18" t="s">
        <v>913</v>
      </c>
      <c r="H5140" s="18" t="s">
        <v>9858</v>
      </c>
      <c r="I5140" s="20" t="s">
        <v>9859</v>
      </c>
      <c r="J5140" s="18" t="s">
        <v>394</v>
      </c>
      <c r="K5140" s="18" t="s">
        <v>293</v>
      </c>
      <c r="L5140" s="18" t="s">
        <v>25</v>
      </c>
      <c r="N5140" s="18" t="s">
        <v>154</v>
      </c>
    </row>
    <row r="5141" spans="1:14" ht="15" customHeight="1" x14ac:dyDescent="0.3">
      <c r="A5141" s="18" t="s">
        <v>9669</v>
      </c>
      <c r="B5141" s="19" t="s">
        <v>15</v>
      </c>
      <c r="C5141" s="18" t="s">
        <v>9670</v>
      </c>
      <c r="D5141" s="18" t="s">
        <v>116</v>
      </c>
      <c r="E5141" s="18" t="s">
        <v>74</v>
      </c>
      <c r="F5141" s="18" t="s">
        <v>9860</v>
      </c>
      <c r="G5141" s="18" t="s">
        <v>2242</v>
      </c>
      <c r="H5141" s="18" t="s">
        <v>9861</v>
      </c>
      <c r="I5141" s="20" t="s">
        <v>9862</v>
      </c>
      <c r="J5141" s="18" t="s">
        <v>9863</v>
      </c>
      <c r="K5141" s="18" t="s">
        <v>24</v>
      </c>
      <c r="L5141" s="18" t="s">
        <v>25</v>
      </c>
      <c r="N5141" s="18" t="s">
        <v>154</v>
      </c>
    </row>
    <row r="5142" spans="1:14" ht="15" customHeight="1" x14ac:dyDescent="0.3">
      <c r="A5142" s="18" t="s">
        <v>9864</v>
      </c>
      <c r="B5142" s="19" t="s">
        <v>15</v>
      </c>
      <c r="C5142" s="18" t="s">
        <v>9865</v>
      </c>
      <c r="D5142" s="18" t="s">
        <v>116</v>
      </c>
      <c r="E5142" s="18" t="s">
        <v>18</v>
      </c>
      <c r="F5142" s="18" t="s">
        <v>2084</v>
      </c>
      <c r="G5142" s="18" t="s">
        <v>637</v>
      </c>
      <c r="H5142" s="18" t="s">
        <v>9687</v>
      </c>
      <c r="I5142" s="20" t="s">
        <v>9866</v>
      </c>
      <c r="J5142" s="18" t="s">
        <v>30</v>
      </c>
      <c r="K5142" s="18" t="s">
        <v>24</v>
      </c>
      <c r="L5142" s="18" t="s">
        <v>25</v>
      </c>
      <c r="N5142" s="18" t="s">
        <v>820</v>
      </c>
    </row>
    <row r="5143" spans="1:14" ht="15" customHeight="1" x14ac:dyDescent="0.3">
      <c r="A5143" s="18" t="s">
        <v>9864</v>
      </c>
      <c r="B5143" s="19" t="s">
        <v>15</v>
      </c>
      <c r="C5143" s="18" t="s">
        <v>9865</v>
      </c>
      <c r="D5143" s="18" t="s">
        <v>116</v>
      </c>
      <c r="E5143" s="18" t="s">
        <v>18</v>
      </c>
      <c r="F5143" s="18" t="s">
        <v>8832</v>
      </c>
      <c r="G5143" s="18" t="s">
        <v>173</v>
      </c>
      <c r="H5143" s="18" t="s">
        <v>9687</v>
      </c>
      <c r="I5143" s="20" t="s">
        <v>9867</v>
      </c>
      <c r="J5143" s="18" t="s">
        <v>30</v>
      </c>
      <c r="K5143" s="18" t="s">
        <v>24</v>
      </c>
      <c r="L5143" s="18" t="s">
        <v>25</v>
      </c>
      <c r="M5143" s="18" t="s">
        <v>39</v>
      </c>
      <c r="N5143" s="18" t="s">
        <v>820</v>
      </c>
    </row>
    <row r="5144" spans="1:14" ht="15" customHeight="1" x14ac:dyDescent="0.3">
      <c r="A5144" s="18" t="s">
        <v>9864</v>
      </c>
      <c r="B5144" s="19" t="s">
        <v>15</v>
      </c>
      <c r="C5144" s="18" t="s">
        <v>9865</v>
      </c>
      <c r="D5144" s="18" t="s">
        <v>116</v>
      </c>
      <c r="E5144" s="18" t="s">
        <v>18</v>
      </c>
      <c r="F5144" s="18" t="s">
        <v>4795</v>
      </c>
      <c r="G5144" s="18" t="s">
        <v>151</v>
      </c>
      <c r="H5144" s="18" t="s">
        <v>9868</v>
      </c>
      <c r="I5144" s="20" t="s">
        <v>9869</v>
      </c>
      <c r="J5144" s="18" t="s">
        <v>30</v>
      </c>
      <c r="K5144" s="18" t="s">
        <v>24</v>
      </c>
      <c r="L5144" s="18" t="s">
        <v>25</v>
      </c>
      <c r="N5144" s="18" t="s">
        <v>820</v>
      </c>
    </row>
    <row r="5145" spans="1:14" ht="15" customHeight="1" x14ac:dyDescent="0.3">
      <c r="A5145" s="18" t="s">
        <v>9864</v>
      </c>
      <c r="B5145" s="19" t="s">
        <v>15</v>
      </c>
      <c r="C5145" s="18" t="s">
        <v>9865</v>
      </c>
      <c r="D5145" s="18" t="s">
        <v>116</v>
      </c>
      <c r="E5145" s="18" t="s">
        <v>18</v>
      </c>
      <c r="F5145" s="18" t="s">
        <v>1518</v>
      </c>
      <c r="G5145" s="18" t="s">
        <v>606</v>
      </c>
      <c r="H5145" s="18" t="s">
        <v>9687</v>
      </c>
      <c r="I5145" s="20" t="s">
        <v>9870</v>
      </c>
      <c r="J5145" s="18" t="s">
        <v>30</v>
      </c>
      <c r="K5145" s="18" t="s">
        <v>24</v>
      </c>
      <c r="L5145" s="18" t="s">
        <v>25</v>
      </c>
      <c r="N5145" s="18" t="s">
        <v>820</v>
      </c>
    </row>
    <row r="5146" spans="1:14" ht="15" customHeight="1" x14ac:dyDescent="0.3">
      <c r="A5146" s="18" t="s">
        <v>9864</v>
      </c>
      <c r="B5146" s="19" t="s">
        <v>15</v>
      </c>
      <c r="C5146" s="18" t="s">
        <v>9865</v>
      </c>
      <c r="D5146" s="18" t="s">
        <v>116</v>
      </c>
      <c r="E5146" s="18" t="s">
        <v>18</v>
      </c>
      <c r="F5146" s="18" t="s">
        <v>9871</v>
      </c>
      <c r="G5146" s="18" t="s">
        <v>606</v>
      </c>
      <c r="H5146" s="18" t="s">
        <v>9687</v>
      </c>
      <c r="I5146" s="20" t="s">
        <v>9872</v>
      </c>
      <c r="J5146" s="18" t="s">
        <v>30</v>
      </c>
      <c r="K5146" s="18" t="s">
        <v>24</v>
      </c>
      <c r="L5146" s="18" t="s">
        <v>25</v>
      </c>
      <c r="N5146" s="18" t="s">
        <v>820</v>
      </c>
    </row>
    <row r="5147" spans="1:14" ht="15" customHeight="1" x14ac:dyDescent="0.3">
      <c r="A5147" s="18" t="s">
        <v>9864</v>
      </c>
      <c r="B5147" s="19" t="s">
        <v>15</v>
      </c>
      <c r="C5147" s="18" t="s">
        <v>9865</v>
      </c>
      <c r="D5147" s="18" t="s">
        <v>116</v>
      </c>
      <c r="E5147" s="18" t="s">
        <v>18</v>
      </c>
      <c r="F5147" s="18" t="s">
        <v>9684</v>
      </c>
      <c r="G5147" s="18" t="s">
        <v>606</v>
      </c>
      <c r="H5147" s="18" t="s">
        <v>9687</v>
      </c>
      <c r="I5147" s="20" t="s">
        <v>9873</v>
      </c>
      <c r="J5147" s="18" t="s">
        <v>30</v>
      </c>
      <c r="K5147" s="18" t="s">
        <v>24</v>
      </c>
      <c r="L5147" s="18" t="s">
        <v>25</v>
      </c>
      <c r="N5147" s="18" t="s">
        <v>820</v>
      </c>
    </row>
    <row r="5148" spans="1:14" ht="15" customHeight="1" x14ac:dyDescent="0.3">
      <c r="A5148" s="18" t="s">
        <v>9864</v>
      </c>
      <c r="B5148" s="19" t="s">
        <v>15</v>
      </c>
      <c r="C5148" s="18" t="s">
        <v>9865</v>
      </c>
      <c r="D5148" s="18" t="s">
        <v>116</v>
      </c>
      <c r="E5148" s="18" t="s">
        <v>18</v>
      </c>
      <c r="F5148" s="18" t="s">
        <v>7265</v>
      </c>
      <c r="G5148" s="18" t="s">
        <v>606</v>
      </c>
      <c r="H5148" s="18" t="s">
        <v>9687</v>
      </c>
      <c r="I5148" s="20" t="s">
        <v>9874</v>
      </c>
      <c r="J5148" s="18" t="s">
        <v>30</v>
      </c>
      <c r="K5148" s="18" t="s">
        <v>24</v>
      </c>
      <c r="L5148" s="18" t="s">
        <v>25</v>
      </c>
      <c r="N5148" s="18" t="s">
        <v>820</v>
      </c>
    </row>
    <row r="5149" spans="1:14" ht="15" customHeight="1" x14ac:dyDescent="0.3">
      <c r="A5149" s="18" t="s">
        <v>9864</v>
      </c>
      <c r="B5149" s="19" t="s">
        <v>15</v>
      </c>
      <c r="C5149" s="18" t="s">
        <v>9865</v>
      </c>
      <c r="D5149" s="18" t="s">
        <v>116</v>
      </c>
      <c r="E5149" s="18" t="s">
        <v>18</v>
      </c>
      <c r="F5149" s="18" t="s">
        <v>2743</v>
      </c>
      <c r="G5149" s="18" t="s">
        <v>606</v>
      </c>
      <c r="H5149" s="18" t="s">
        <v>9687</v>
      </c>
      <c r="I5149" s="20" t="s">
        <v>9875</v>
      </c>
      <c r="J5149" s="18" t="s">
        <v>30</v>
      </c>
      <c r="K5149" s="18" t="s">
        <v>24</v>
      </c>
      <c r="L5149" s="18" t="s">
        <v>25</v>
      </c>
      <c r="N5149" s="18" t="s">
        <v>820</v>
      </c>
    </row>
    <row r="5150" spans="1:14" ht="15" customHeight="1" x14ac:dyDescent="0.3">
      <c r="A5150" s="18" t="s">
        <v>9864</v>
      </c>
      <c r="B5150" s="19" t="s">
        <v>15</v>
      </c>
      <c r="C5150" s="18" t="s">
        <v>9865</v>
      </c>
      <c r="D5150" s="18" t="s">
        <v>116</v>
      </c>
      <c r="E5150" s="18" t="s">
        <v>18</v>
      </c>
      <c r="F5150" s="18" t="s">
        <v>4798</v>
      </c>
      <c r="G5150" s="18" t="s">
        <v>9876</v>
      </c>
      <c r="H5150" s="18" t="s">
        <v>9687</v>
      </c>
      <c r="I5150" s="20" t="s">
        <v>9877</v>
      </c>
      <c r="J5150" s="18" t="s">
        <v>30</v>
      </c>
      <c r="K5150" s="18" t="s">
        <v>24</v>
      </c>
      <c r="L5150" s="18" t="s">
        <v>25</v>
      </c>
      <c r="N5150" s="18" t="s">
        <v>820</v>
      </c>
    </row>
    <row r="5151" spans="1:14" ht="15" customHeight="1" x14ac:dyDescent="0.3">
      <c r="A5151" s="18" t="s">
        <v>9864</v>
      </c>
      <c r="B5151" s="19" t="s">
        <v>15</v>
      </c>
      <c r="C5151" s="18" t="s">
        <v>9865</v>
      </c>
      <c r="D5151" s="18" t="s">
        <v>116</v>
      </c>
      <c r="E5151" s="18" t="s">
        <v>18</v>
      </c>
      <c r="F5151" s="18" t="s">
        <v>9878</v>
      </c>
      <c r="G5151" s="18" t="s">
        <v>606</v>
      </c>
      <c r="H5151" s="18" t="s">
        <v>9879</v>
      </c>
      <c r="I5151" s="20" t="s">
        <v>9880</v>
      </c>
      <c r="J5151" s="18" t="s">
        <v>30</v>
      </c>
      <c r="K5151" s="18" t="s">
        <v>24</v>
      </c>
      <c r="L5151" s="18" t="s">
        <v>25</v>
      </c>
      <c r="N5151" s="18" t="s">
        <v>820</v>
      </c>
    </row>
    <row r="5152" spans="1:14" ht="15" customHeight="1" x14ac:dyDescent="0.3">
      <c r="A5152" s="18" t="s">
        <v>9864</v>
      </c>
      <c r="B5152" s="19" t="s">
        <v>15</v>
      </c>
      <c r="C5152" s="18" t="s">
        <v>9865</v>
      </c>
      <c r="D5152" s="18" t="s">
        <v>116</v>
      </c>
      <c r="E5152" s="18" t="s">
        <v>18</v>
      </c>
      <c r="F5152" s="18" t="s">
        <v>1846</v>
      </c>
      <c r="G5152" s="18" t="s">
        <v>1019</v>
      </c>
      <c r="H5152" s="18" t="s">
        <v>9879</v>
      </c>
      <c r="I5152" s="20" t="s">
        <v>9881</v>
      </c>
      <c r="J5152" s="18" t="s">
        <v>30</v>
      </c>
      <c r="K5152" s="18" t="s">
        <v>24</v>
      </c>
      <c r="L5152" s="18" t="s">
        <v>25</v>
      </c>
      <c r="N5152" s="18" t="s">
        <v>820</v>
      </c>
    </row>
    <row r="5153" spans="1:14" ht="15" customHeight="1" x14ac:dyDescent="0.3">
      <c r="A5153" s="18" t="s">
        <v>9864</v>
      </c>
      <c r="B5153" s="19" t="s">
        <v>15</v>
      </c>
      <c r="C5153" s="18" t="s">
        <v>9865</v>
      </c>
      <c r="D5153" s="18" t="s">
        <v>116</v>
      </c>
      <c r="E5153" s="18" t="s">
        <v>18</v>
      </c>
      <c r="F5153" s="18" t="s">
        <v>28</v>
      </c>
      <c r="G5153" s="18" t="s">
        <v>28</v>
      </c>
      <c r="H5153" s="18" t="s">
        <v>9868</v>
      </c>
      <c r="I5153" s="20" t="s">
        <v>9882</v>
      </c>
      <c r="J5153" s="18" t="s">
        <v>30</v>
      </c>
      <c r="K5153" s="18" t="s">
        <v>24</v>
      </c>
      <c r="L5153" s="18" t="s">
        <v>25</v>
      </c>
      <c r="N5153" s="18" t="s">
        <v>820</v>
      </c>
    </row>
    <row r="5154" spans="1:14" ht="15" customHeight="1" x14ac:dyDescent="0.3">
      <c r="A5154" s="18" t="s">
        <v>9864</v>
      </c>
      <c r="B5154" s="19" t="s">
        <v>15</v>
      </c>
      <c r="C5154" s="18" t="s">
        <v>9865</v>
      </c>
      <c r="D5154" s="18" t="s">
        <v>116</v>
      </c>
      <c r="E5154" s="18" t="s">
        <v>18</v>
      </c>
      <c r="F5154" s="18" t="s">
        <v>9883</v>
      </c>
      <c r="G5154" s="18" t="s">
        <v>606</v>
      </c>
      <c r="H5154" s="18" t="s">
        <v>9687</v>
      </c>
      <c r="I5154" s="20" t="s">
        <v>9884</v>
      </c>
      <c r="J5154" s="18" t="s">
        <v>30</v>
      </c>
      <c r="K5154" s="18" t="s">
        <v>24</v>
      </c>
      <c r="L5154" s="18" t="s">
        <v>25</v>
      </c>
      <c r="N5154" s="18" t="s">
        <v>820</v>
      </c>
    </row>
    <row r="5155" spans="1:14" ht="15" customHeight="1" x14ac:dyDescent="0.3">
      <c r="A5155" s="18" t="s">
        <v>9864</v>
      </c>
      <c r="B5155" s="19" t="s">
        <v>15</v>
      </c>
      <c r="C5155" s="18" t="s">
        <v>9865</v>
      </c>
      <c r="D5155" s="18" t="s">
        <v>116</v>
      </c>
      <c r="E5155" s="18" t="s">
        <v>18</v>
      </c>
      <c r="F5155" s="18" t="s">
        <v>381</v>
      </c>
      <c r="G5155" s="18" t="s">
        <v>381</v>
      </c>
      <c r="H5155" s="18" t="s">
        <v>9885</v>
      </c>
      <c r="I5155" s="20" t="s">
        <v>9886</v>
      </c>
      <c r="J5155" s="18" t="s">
        <v>23</v>
      </c>
      <c r="K5155" s="18" t="s">
        <v>24</v>
      </c>
      <c r="L5155" s="18" t="s">
        <v>25</v>
      </c>
      <c r="N5155" s="18" t="s">
        <v>820</v>
      </c>
    </row>
    <row r="5156" spans="1:14" ht="15" customHeight="1" x14ac:dyDescent="0.3">
      <c r="A5156" s="18" t="s">
        <v>9864</v>
      </c>
      <c r="B5156" s="19" t="s">
        <v>15</v>
      </c>
      <c r="C5156" s="18" t="s">
        <v>9865</v>
      </c>
      <c r="D5156" s="18" t="s">
        <v>116</v>
      </c>
      <c r="E5156" s="18" t="s">
        <v>18</v>
      </c>
      <c r="F5156" s="18" t="s">
        <v>7604</v>
      </c>
      <c r="G5156" s="18" t="s">
        <v>1231</v>
      </c>
      <c r="H5156" s="18" t="s">
        <v>9687</v>
      </c>
      <c r="I5156" s="20" t="s">
        <v>9887</v>
      </c>
      <c r="J5156" s="18" t="s">
        <v>30</v>
      </c>
      <c r="K5156" s="18" t="s">
        <v>24</v>
      </c>
      <c r="L5156" s="18" t="s">
        <v>25</v>
      </c>
      <c r="N5156" s="18" t="s">
        <v>820</v>
      </c>
    </row>
    <row r="5157" spans="1:14" ht="15" customHeight="1" x14ac:dyDescent="0.3">
      <c r="A5157" s="18" t="s">
        <v>9864</v>
      </c>
      <c r="B5157" s="19" t="s">
        <v>15</v>
      </c>
      <c r="C5157" s="18" t="s">
        <v>9865</v>
      </c>
      <c r="D5157" s="18" t="s">
        <v>116</v>
      </c>
      <c r="E5157" s="18" t="s">
        <v>18</v>
      </c>
      <c r="F5157" s="18" t="s">
        <v>221</v>
      </c>
      <c r="G5157" s="18" t="s">
        <v>212</v>
      </c>
      <c r="H5157" s="18" t="s">
        <v>9888</v>
      </c>
      <c r="I5157" s="20" t="s">
        <v>9889</v>
      </c>
      <c r="J5157" s="18" t="s">
        <v>30</v>
      </c>
      <c r="K5157" s="18" t="s">
        <v>24</v>
      </c>
      <c r="L5157" s="18" t="s">
        <v>25</v>
      </c>
      <c r="N5157" s="18" t="s">
        <v>820</v>
      </c>
    </row>
    <row r="5158" spans="1:14" ht="15" customHeight="1" x14ac:dyDescent="0.3">
      <c r="A5158" s="18" t="s">
        <v>9864</v>
      </c>
      <c r="B5158" s="19" t="s">
        <v>15</v>
      </c>
      <c r="C5158" s="18" t="s">
        <v>9865</v>
      </c>
      <c r="D5158" s="18" t="s">
        <v>116</v>
      </c>
      <c r="E5158" s="18" t="s">
        <v>18</v>
      </c>
      <c r="F5158" s="18" t="s">
        <v>1072</v>
      </c>
      <c r="G5158" s="18" t="s">
        <v>47</v>
      </c>
      <c r="H5158" s="18" t="s">
        <v>9687</v>
      </c>
      <c r="I5158" s="20" t="s">
        <v>9890</v>
      </c>
      <c r="J5158" s="18" t="s">
        <v>30</v>
      </c>
      <c r="K5158" s="18" t="s">
        <v>24</v>
      </c>
      <c r="L5158" s="18" t="s">
        <v>25</v>
      </c>
      <c r="N5158" s="18" t="s">
        <v>820</v>
      </c>
    </row>
    <row r="5159" spans="1:14" ht="15" customHeight="1" x14ac:dyDescent="0.3">
      <c r="A5159" s="18" t="s">
        <v>9864</v>
      </c>
      <c r="B5159" s="19" t="s">
        <v>15</v>
      </c>
      <c r="C5159" s="18" t="s">
        <v>9865</v>
      </c>
      <c r="D5159" s="18" t="s">
        <v>116</v>
      </c>
      <c r="E5159" s="18" t="s">
        <v>18</v>
      </c>
      <c r="F5159" s="18" t="s">
        <v>4578</v>
      </c>
      <c r="G5159" s="18" t="s">
        <v>34</v>
      </c>
      <c r="H5159" s="18" t="s">
        <v>9687</v>
      </c>
      <c r="I5159" s="20" t="s">
        <v>9891</v>
      </c>
      <c r="J5159" s="18" t="s">
        <v>30</v>
      </c>
      <c r="K5159" s="18" t="s">
        <v>24</v>
      </c>
      <c r="L5159" s="18" t="s">
        <v>25</v>
      </c>
      <c r="N5159" s="18" t="s">
        <v>820</v>
      </c>
    </row>
    <row r="5160" spans="1:14" ht="15" customHeight="1" x14ac:dyDescent="0.3">
      <c r="A5160" s="18" t="s">
        <v>9864</v>
      </c>
      <c r="B5160" s="19" t="s">
        <v>15</v>
      </c>
      <c r="C5160" s="18" t="s">
        <v>9865</v>
      </c>
      <c r="D5160" s="18" t="s">
        <v>116</v>
      </c>
      <c r="E5160" s="18" t="s">
        <v>18</v>
      </c>
      <c r="F5160" s="18" t="s">
        <v>2304</v>
      </c>
      <c r="G5160" s="18" t="s">
        <v>1204</v>
      </c>
      <c r="H5160" s="18" t="s">
        <v>9687</v>
      </c>
      <c r="I5160" s="20" t="s">
        <v>9892</v>
      </c>
      <c r="J5160" s="18" t="s">
        <v>30</v>
      </c>
      <c r="K5160" s="18" t="s">
        <v>24</v>
      </c>
      <c r="L5160" s="18" t="s">
        <v>25</v>
      </c>
      <c r="N5160" s="18" t="s">
        <v>820</v>
      </c>
    </row>
    <row r="5161" spans="1:14" ht="15" customHeight="1" x14ac:dyDescent="0.3">
      <c r="A5161" s="18" t="s">
        <v>9864</v>
      </c>
      <c r="B5161" s="19" t="s">
        <v>15</v>
      </c>
      <c r="C5161" s="18" t="s">
        <v>9865</v>
      </c>
      <c r="D5161" s="18" t="s">
        <v>116</v>
      </c>
      <c r="E5161" s="18" t="s">
        <v>18</v>
      </c>
      <c r="F5161" s="18" t="s">
        <v>1253</v>
      </c>
      <c r="G5161" s="18" t="s">
        <v>1254</v>
      </c>
      <c r="H5161" s="18" t="s">
        <v>9687</v>
      </c>
      <c r="I5161" s="20" t="s">
        <v>9893</v>
      </c>
      <c r="J5161" s="18" t="s">
        <v>30</v>
      </c>
      <c r="K5161" s="18" t="s">
        <v>24</v>
      </c>
      <c r="L5161" s="18" t="s">
        <v>25</v>
      </c>
      <c r="N5161" s="18" t="s">
        <v>820</v>
      </c>
    </row>
    <row r="5162" spans="1:14" ht="15" customHeight="1" x14ac:dyDescent="0.3">
      <c r="A5162" s="18" t="s">
        <v>9864</v>
      </c>
      <c r="B5162" s="19" t="s">
        <v>15</v>
      </c>
      <c r="C5162" s="18" t="s">
        <v>9865</v>
      </c>
      <c r="D5162" s="18" t="s">
        <v>116</v>
      </c>
      <c r="E5162" s="18" t="s">
        <v>18</v>
      </c>
      <c r="F5162" s="18" t="s">
        <v>2308</v>
      </c>
      <c r="G5162" s="18" t="s">
        <v>913</v>
      </c>
      <c r="H5162" s="18" t="s">
        <v>9687</v>
      </c>
      <c r="I5162" s="20" t="s">
        <v>9894</v>
      </c>
      <c r="J5162" s="18" t="s">
        <v>30</v>
      </c>
      <c r="K5162" s="18" t="s">
        <v>24</v>
      </c>
      <c r="L5162" s="18" t="s">
        <v>25</v>
      </c>
      <c r="N5162" s="18" t="s">
        <v>820</v>
      </c>
    </row>
    <row r="5163" spans="1:14" ht="15" customHeight="1" x14ac:dyDescent="0.3">
      <c r="A5163" s="18" t="s">
        <v>9864</v>
      </c>
      <c r="B5163" s="19" t="s">
        <v>15</v>
      </c>
      <c r="C5163" s="18" t="s">
        <v>9865</v>
      </c>
      <c r="D5163" s="18" t="s">
        <v>116</v>
      </c>
      <c r="E5163" s="18" t="s">
        <v>18</v>
      </c>
      <c r="F5163" s="18" t="s">
        <v>7626</v>
      </c>
      <c r="G5163" s="18" t="s">
        <v>1009</v>
      </c>
      <c r="H5163" s="18" t="s">
        <v>9687</v>
      </c>
      <c r="I5163" s="20" t="s">
        <v>9895</v>
      </c>
      <c r="J5163" s="18" t="s">
        <v>30</v>
      </c>
      <c r="K5163" s="18" t="s">
        <v>24</v>
      </c>
      <c r="L5163" s="18" t="s">
        <v>25</v>
      </c>
      <c r="N5163" s="18" t="s">
        <v>820</v>
      </c>
    </row>
    <row r="5164" spans="1:14" ht="15" customHeight="1" x14ac:dyDescent="0.3">
      <c r="A5164" s="18" t="s">
        <v>9864</v>
      </c>
      <c r="B5164" s="19" t="s">
        <v>15</v>
      </c>
      <c r="C5164" s="18" t="s">
        <v>9865</v>
      </c>
      <c r="D5164" s="18" t="s">
        <v>116</v>
      </c>
      <c r="E5164" s="18" t="s">
        <v>18</v>
      </c>
      <c r="F5164" s="18" t="s">
        <v>9896</v>
      </c>
      <c r="G5164" s="18" t="s">
        <v>3138</v>
      </c>
      <c r="H5164" s="18" t="s">
        <v>9687</v>
      </c>
      <c r="I5164" s="20" t="s">
        <v>9897</v>
      </c>
      <c r="J5164" s="18" t="s">
        <v>30</v>
      </c>
      <c r="K5164" s="18" t="s">
        <v>24</v>
      </c>
      <c r="L5164" s="18" t="s">
        <v>25</v>
      </c>
      <c r="N5164" s="18" t="s">
        <v>820</v>
      </c>
    </row>
    <row r="5165" spans="1:14" ht="15" customHeight="1" x14ac:dyDescent="0.3">
      <c r="A5165" s="18" t="s">
        <v>9864</v>
      </c>
      <c r="B5165" s="19" t="s">
        <v>15</v>
      </c>
      <c r="C5165" s="18" t="s">
        <v>9865</v>
      </c>
      <c r="D5165" s="18" t="s">
        <v>116</v>
      </c>
      <c r="E5165" s="18" t="s">
        <v>18</v>
      </c>
      <c r="F5165" s="18" t="s">
        <v>8474</v>
      </c>
      <c r="G5165" s="18" t="s">
        <v>1055</v>
      </c>
      <c r="H5165" s="18" t="s">
        <v>9687</v>
      </c>
      <c r="I5165" s="20" t="s">
        <v>9898</v>
      </c>
      <c r="J5165" s="18" t="s">
        <v>30</v>
      </c>
      <c r="K5165" s="18" t="s">
        <v>24</v>
      </c>
      <c r="L5165" s="18" t="s">
        <v>25</v>
      </c>
      <c r="N5165" s="18" t="s">
        <v>820</v>
      </c>
    </row>
    <row r="5166" spans="1:14" ht="15" customHeight="1" x14ac:dyDescent="0.3">
      <c r="A5166" s="18" t="s">
        <v>9864</v>
      </c>
      <c r="B5166" s="19" t="s">
        <v>15</v>
      </c>
      <c r="C5166" s="18" t="s">
        <v>9865</v>
      </c>
      <c r="D5166" s="18" t="s">
        <v>116</v>
      </c>
      <c r="E5166" s="18" t="s">
        <v>18</v>
      </c>
      <c r="F5166" s="18" t="s">
        <v>8476</v>
      </c>
      <c r="G5166" s="18" t="s">
        <v>2248</v>
      </c>
      <c r="H5166" s="18" t="s">
        <v>9687</v>
      </c>
      <c r="I5166" s="20" t="s">
        <v>9899</v>
      </c>
      <c r="J5166" s="18" t="s">
        <v>30</v>
      </c>
      <c r="K5166" s="18" t="s">
        <v>24</v>
      </c>
      <c r="L5166" s="18" t="s">
        <v>25</v>
      </c>
      <c r="N5166" s="18" t="s">
        <v>820</v>
      </c>
    </row>
    <row r="5167" spans="1:14" ht="15" customHeight="1" x14ac:dyDescent="0.3">
      <c r="A5167" s="18" t="s">
        <v>9864</v>
      </c>
      <c r="B5167" s="19" t="s">
        <v>15</v>
      </c>
      <c r="C5167" s="18" t="s">
        <v>9865</v>
      </c>
      <c r="D5167" s="18" t="s">
        <v>116</v>
      </c>
      <c r="E5167" s="18" t="s">
        <v>18</v>
      </c>
      <c r="F5167" s="18" t="s">
        <v>8196</v>
      </c>
      <c r="G5167" s="18" t="s">
        <v>47</v>
      </c>
      <c r="H5167" s="18" t="s">
        <v>9687</v>
      </c>
      <c r="I5167" s="20" t="s">
        <v>9900</v>
      </c>
      <c r="J5167" s="18" t="s">
        <v>30</v>
      </c>
      <c r="K5167" s="18" t="s">
        <v>24</v>
      </c>
      <c r="L5167" s="18" t="s">
        <v>25</v>
      </c>
      <c r="N5167" s="18" t="s">
        <v>820</v>
      </c>
    </row>
    <row r="5168" spans="1:14" ht="15" customHeight="1" x14ac:dyDescent="0.3">
      <c r="A5168" s="18" t="s">
        <v>9864</v>
      </c>
      <c r="B5168" s="19" t="s">
        <v>15</v>
      </c>
      <c r="C5168" s="18" t="s">
        <v>9865</v>
      </c>
      <c r="D5168" s="18" t="s">
        <v>116</v>
      </c>
      <c r="E5168" s="18" t="s">
        <v>18</v>
      </c>
      <c r="F5168" s="18" t="s">
        <v>1095</v>
      </c>
      <c r="G5168" s="18" t="s">
        <v>1095</v>
      </c>
      <c r="H5168" s="18" t="s">
        <v>9687</v>
      </c>
      <c r="I5168" s="20" t="s">
        <v>9901</v>
      </c>
      <c r="J5168" s="18" t="s">
        <v>30</v>
      </c>
      <c r="K5168" s="18" t="s">
        <v>24</v>
      </c>
      <c r="L5168" s="18" t="s">
        <v>25</v>
      </c>
      <c r="N5168" s="18" t="s">
        <v>820</v>
      </c>
    </row>
    <row r="5169" spans="1:14" ht="15" customHeight="1" x14ac:dyDescent="0.3">
      <c r="A5169" s="18" t="s">
        <v>9864</v>
      </c>
      <c r="B5169" s="19" t="s">
        <v>15</v>
      </c>
      <c r="C5169" s="18" t="s">
        <v>9865</v>
      </c>
      <c r="D5169" s="18" t="s">
        <v>116</v>
      </c>
      <c r="E5169" s="18" t="s">
        <v>18</v>
      </c>
      <c r="F5169" s="18" t="s">
        <v>8949</v>
      </c>
      <c r="G5169" s="18" t="s">
        <v>1095</v>
      </c>
      <c r="H5169" s="18" t="s">
        <v>9687</v>
      </c>
      <c r="I5169" s="20" t="s">
        <v>9902</v>
      </c>
      <c r="J5169" s="18" t="s">
        <v>30</v>
      </c>
      <c r="K5169" s="18" t="s">
        <v>24</v>
      </c>
      <c r="L5169" s="18" t="s">
        <v>25</v>
      </c>
      <c r="N5169" s="18" t="s">
        <v>820</v>
      </c>
    </row>
    <row r="5170" spans="1:14" ht="15" customHeight="1" x14ac:dyDescent="0.3">
      <c r="A5170" s="18" t="s">
        <v>9864</v>
      </c>
      <c r="B5170" s="19" t="s">
        <v>15</v>
      </c>
      <c r="C5170" s="18" t="s">
        <v>9865</v>
      </c>
      <c r="D5170" s="18" t="s">
        <v>116</v>
      </c>
      <c r="E5170" s="18" t="s">
        <v>18</v>
      </c>
      <c r="F5170" s="18" t="s">
        <v>2574</v>
      </c>
      <c r="G5170" s="18" t="s">
        <v>2574</v>
      </c>
      <c r="H5170" s="18" t="s">
        <v>9868</v>
      </c>
      <c r="I5170" s="20" t="s">
        <v>9903</v>
      </c>
      <c r="J5170" s="18" t="s">
        <v>30</v>
      </c>
      <c r="K5170" s="18" t="s">
        <v>24</v>
      </c>
      <c r="L5170" s="18" t="s">
        <v>25</v>
      </c>
      <c r="N5170" s="18" t="s">
        <v>820</v>
      </c>
    </row>
    <row r="5171" spans="1:14" ht="15" customHeight="1" x14ac:dyDescent="0.3">
      <c r="A5171" s="18" t="s">
        <v>9864</v>
      </c>
      <c r="B5171" s="19" t="s">
        <v>15</v>
      </c>
      <c r="C5171" s="18" t="s">
        <v>9865</v>
      </c>
      <c r="D5171" s="18" t="s">
        <v>116</v>
      </c>
      <c r="E5171" s="18" t="s">
        <v>18</v>
      </c>
      <c r="F5171" s="18" t="s">
        <v>7647</v>
      </c>
      <c r="G5171" s="18" t="s">
        <v>7647</v>
      </c>
      <c r="H5171" s="18" t="s">
        <v>9687</v>
      </c>
      <c r="I5171" s="20" t="s">
        <v>9904</v>
      </c>
      <c r="J5171" s="18" t="s">
        <v>30</v>
      </c>
      <c r="K5171" s="18" t="s">
        <v>24</v>
      </c>
      <c r="L5171" s="18" t="s">
        <v>25</v>
      </c>
      <c r="N5171" s="18" t="s">
        <v>820</v>
      </c>
    </row>
    <row r="5172" spans="1:14" ht="15" customHeight="1" x14ac:dyDescent="0.3">
      <c r="A5172" s="18" t="s">
        <v>9864</v>
      </c>
      <c r="B5172" s="19" t="s">
        <v>15</v>
      </c>
      <c r="C5172" s="18" t="s">
        <v>9865</v>
      </c>
      <c r="D5172" s="18" t="s">
        <v>116</v>
      </c>
      <c r="E5172" s="18" t="s">
        <v>18</v>
      </c>
      <c r="F5172" s="18" t="s">
        <v>8963</v>
      </c>
      <c r="G5172" s="18" t="s">
        <v>20</v>
      </c>
      <c r="H5172" s="18" t="s">
        <v>9879</v>
      </c>
      <c r="I5172" s="20" t="s">
        <v>9905</v>
      </c>
      <c r="J5172" s="18" t="s">
        <v>30</v>
      </c>
      <c r="K5172" s="18" t="s">
        <v>24</v>
      </c>
      <c r="L5172" s="18" t="s">
        <v>25</v>
      </c>
      <c r="N5172" s="18" t="s">
        <v>820</v>
      </c>
    </row>
    <row r="5173" spans="1:14" ht="15" customHeight="1" x14ac:dyDescent="0.3">
      <c r="A5173" s="18" t="s">
        <v>9864</v>
      </c>
      <c r="B5173" s="19" t="s">
        <v>15</v>
      </c>
      <c r="C5173" s="18" t="s">
        <v>9865</v>
      </c>
      <c r="D5173" s="18" t="s">
        <v>116</v>
      </c>
      <c r="E5173" s="18" t="s">
        <v>18</v>
      </c>
      <c r="F5173" s="18" t="s">
        <v>164</v>
      </c>
      <c r="G5173" s="18" t="s">
        <v>2245</v>
      </c>
      <c r="H5173" s="18" t="s">
        <v>9868</v>
      </c>
      <c r="I5173" s="20" t="s">
        <v>9906</v>
      </c>
      <c r="J5173" s="18" t="s">
        <v>30</v>
      </c>
      <c r="K5173" s="18" t="s">
        <v>24</v>
      </c>
      <c r="L5173" s="18" t="s">
        <v>25</v>
      </c>
      <c r="N5173" s="18" t="s">
        <v>820</v>
      </c>
    </row>
    <row r="5174" spans="1:14" ht="15" customHeight="1" x14ac:dyDescent="0.3">
      <c r="A5174" s="18" t="s">
        <v>9864</v>
      </c>
      <c r="B5174" s="19" t="s">
        <v>15</v>
      </c>
      <c r="C5174" s="18" t="s">
        <v>9865</v>
      </c>
      <c r="D5174" s="18" t="s">
        <v>116</v>
      </c>
      <c r="E5174" s="18" t="s">
        <v>55</v>
      </c>
      <c r="F5174" s="18" t="s">
        <v>9907</v>
      </c>
      <c r="G5174" s="18" t="s">
        <v>1221</v>
      </c>
      <c r="H5174" s="18" t="s">
        <v>9687</v>
      </c>
      <c r="I5174" s="20" t="s">
        <v>9908</v>
      </c>
      <c r="J5174" s="18" t="s">
        <v>58</v>
      </c>
      <c r="K5174" s="18" t="s">
        <v>24</v>
      </c>
      <c r="L5174" s="18" t="s">
        <v>25</v>
      </c>
      <c r="M5174" s="18" t="s">
        <v>39</v>
      </c>
      <c r="N5174" s="18" t="s">
        <v>820</v>
      </c>
    </row>
    <row r="5175" spans="1:14" ht="15" customHeight="1" x14ac:dyDescent="0.3">
      <c r="A5175" s="18" t="s">
        <v>9864</v>
      </c>
      <c r="B5175" s="19" t="s">
        <v>15</v>
      </c>
      <c r="C5175" s="18" t="s">
        <v>9865</v>
      </c>
      <c r="D5175" s="18" t="s">
        <v>116</v>
      </c>
      <c r="E5175" s="18" t="s">
        <v>55</v>
      </c>
      <c r="F5175" s="18" t="s">
        <v>8832</v>
      </c>
      <c r="G5175" s="18" t="s">
        <v>173</v>
      </c>
      <c r="H5175" s="18" t="s">
        <v>9687</v>
      </c>
      <c r="I5175" s="20" t="s">
        <v>9909</v>
      </c>
      <c r="J5175" s="18" t="s">
        <v>58</v>
      </c>
      <c r="K5175" s="18" t="s">
        <v>24</v>
      </c>
      <c r="L5175" s="18" t="s">
        <v>25</v>
      </c>
      <c r="N5175" s="18" t="s">
        <v>820</v>
      </c>
    </row>
    <row r="5176" spans="1:14" ht="15" customHeight="1" x14ac:dyDescent="0.3">
      <c r="A5176" s="18" t="s">
        <v>9864</v>
      </c>
      <c r="B5176" s="19" t="s">
        <v>15</v>
      </c>
      <c r="C5176" s="18" t="s">
        <v>9865</v>
      </c>
      <c r="D5176" s="18" t="s">
        <v>116</v>
      </c>
      <c r="E5176" s="18" t="s">
        <v>55</v>
      </c>
      <c r="F5176" s="18" t="s">
        <v>9910</v>
      </c>
      <c r="G5176" s="18" t="s">
        <v>197</v>
      </c>
      <c r="H5176" s="18" t="s">
        <v>9687</v>
      </c>
      <c r="I5176" s="20" t="s">
        <v>9911</v>
      </c>
      <c r="J5176" s="18" t="s">
        <v>58</v>
      </c>
      <c r="K5176" s="18" t="s">
        <v>24</v>
      </c>
      <c r="L5176" s="18" t="s">
        <v>25</v>
      </c>
      <c r="N5176" s="18" t="s">
        <v>820</v>
      </c>
    </row>
    <row r="5177" spans="1:14" ht="15" customHeight="1" x14ac:dyDescent="0.3">
      <c r="A5177" s="18" t="s">
        <v>9864</v>
      </c>
      <c r="B5177" s="19" t="s">
        <v>15</v>
      </c>
      <c r="C5177" s="18" t="s">
        <v>9865</v>
      </c>
      <c r="D5177" s="18" t="s">
        <v>116</v>
      </c>
      <c r="E5177" s="18" t="s">
        <v>55</v>
      </c>
      <c r="F5177" s="18" t="s">
        <v>8992</v>
      </c>
      <c r="G5177" s="18" t="s">
        <v>606</v>
      </c>
      <c r="H5177" s="18" t="s">
        <v>9687</v>
      </c>
      <c r="I5177" s="20" t="s">
        <v>9912</v>
      </c>
      <c r="J5177" s="18" t="s">
        <v>58</v>
      </c>
      <c r="K5177" s="18" t="s">
        <v>24</v>
      </c>
      <c r="L5177" s="18" t="s">
        <v>25</v>
      </c>
      <c r="N5177" s="18" t="s">
        <v>820</v>
      </c>
    </row>
    <row r="5178" spans="1:14" ht="15" customHeight="1" x14ac:dyDescent="0.3">
      <c r="A5178" s="18" t="s">
        <v>9864</v>
      </c>
      <c r="B5178" s="19" t="s">
        <v>15</v>
      </c>
      <c r="C5178" s="18" t="s">
        <v>9865</v>
      </c>
      <c r="D5178" s="18" t="s">
        <v>116</v>
      </c>
      <c r="E5178" s="18" t="s">
        <v>55</v>
      </c>
      <c r="F5178" s="18" t="s">
        <v>7265</v>
      </c>
      <c r="G5178" s="18" t="s">
        <v>606</v>
      </c>
      <c r="H5178" s="18" t="s">
        <v>9687</v>
      </c>
      <c r="I5178" s="20" t="s">
        <v>9913</v>
      </c>
      <c r="J5178" s="18" t="s">
        <v>58</v>
      </c>
      <c r="K5178" s="18" t="s">
        <v>24</v>
      </c>
      <c r="L5178" s="18" t="s">
        <v>25</v>
      </c>
      <c r="N5178" s="18" t="s">
        <v>820</v>
      </c>
    </row>
    <row r="5179" spans="1:14" ht="15" customHeight="1" x14ac:dyDescent="0.3">
      <c r="A5179" s="18" t="s">
        <v>9864</v>
      </c>
      <c r="B5179" s="19" t="s">
        <v>15</v>
      </c>
      <c r="C5179" s="18" t="s">
        <v>9865</v>
      </c>
      <c r="D5179" s="18" t="s">
        <v>116</v>
      </c>
      <c r="E5179" s="18" t="s">
        <v>55</v>
      </c>
      <c r="F5179" s="18" t="s">
        <v>9914</v>
      </c>
      <c r="G5179" s="18" t="s">
        <v>197</v>
      </c>
      <c r="H5179" s="18" t="s">
        <v>9915</v>
      </c>
      <c r="I5179" s="20" t="s">
        <v>9916</v>
      </c>
      <c r="J5179" s="18" t="s">
        <v>58</v>
      </c>
      <c r="K5179" s="18" t="s">
        <v>24</v>
      </c>
      <c r="L5179" s="18" t="s">
        <v>25</v>
      </c>
      <c r="N5179" s="18" t="s">
        <v>820</v>
      </c>
    </row>
    <row r="5180" spans="1:14" ht="15" customHeight="1" x14ac:dyDescent="0.3">
      <c r="A5180" s="18" t="s">
        <v>9864</v>
      </c>
      <c r="B5180" s="19" t="s">
        <v>15</v>
      </c>
      <c r="C5180" s="18" t="s">
        <v>9865</v>
      </c>
      <c r="D5180" s="18" t="s">
        <v>116</v>
      </c>
      <c r="E5180" s="18" t="s">
        <v>55</v>
      </c>
      <c r="F5180" s="18" t="s">
        <v>9878</v>
      </c>
      <c r="G5180" s="18" t="s">
        <v>606</v>
      </c>
      <c r="H5180" s="18" t="s">
        <v>9879</v>
      </c>
      <c r="I5180" s="20" t="s">
        <v>9917</v>
      </c>
      <c r="J5180" s="18" t="s">
        <v>58</v>
      </c>
      <c r="K5180" s="18" t="s">
        <v>24</v>
      </c>
      <c r="L5180" s="18" t="s">
        <v>25</v>
      </c>
      <c r="N5180" s="18" t="s">
        <v>820</v>
      </c>
    </row>
    <row r="5181" spans="1:14" ht="15" customHeight="1" x14ac:dyDescent="0.3">
      <c r="A5181" s="18" t="s">
        <v>9864</v>
      </c>
      <c r="B5181" s="19" t="s">
        <v>15</v>
      </c>
      <c r="C5181" s="18" t="s">
        <v>9865</v>
      </c>
      <c r="D5181" s="18" t="s">
        <v>116</v>
      </c>
      <c r="E5181" s="18" t="s">
        <v>55</v>
      </c>
      <c r="F5181" s="18" t="s">
        <v>9918</v>
      </c>
      <c r="G5181" s="18" t="s">
        <v>2248</v>
      </c>
      <c r="H5181" s="18" t="s">
        <v>9687</v>
      </c>
      <c r="I5181" s="20" t="s">
        <v>9919</v>
      </c>
      <c r="J5181" s="18" t="s">
        <v>58</v>
      </c>
      <c r="K5181" s="18" t="s">
        <v>24</v>
      </c>
      <c r="L5181" s="18" t="s">
        <v>25</v>
      </c>
      <c r="N5181" s="18" t="s">
        <v>820</v>
      </c>
    </row>
    <row r="5182" spans="1:14" ht="15" customHeight="1" x14ac:dyDescent="0.3">
      <c r="A5182" s="18" t="s">
        <v>9864</v>
      </c>
      <c r="B5182" s="19" t="s">
        <v>15</v>
      </c>
      <c r="C5182" s="18" t="s">
        <v>9865</v>
      </c>
      <c r="D5182" s="18" t="s">
        <v>116</v>
      </c>
      <c r="E5182" s="18" t="s">
        <v>55</v>
      </c>
      <c r="F5182" s="18" t="s">
        <v>28</v>
      </c>
      <c r="G5182" s="18" t="s">
        <v>28</v>
      </c>
      <c r="H5182" s="18" t="s">
        <v>9868</v>
      </c>
      <c r="I5182" s="20" t="s">
        <v>9920</v>
      </c>
      <c r="J5182" s="18" t="s">
        <v>58</v>
      </c>
      <c r="K5182" s="18" t="s">
        <v>24</v>
      </c>
      <c r="L5182" s="18" t="s">
        <v>25</v>
      </c>
      <c r="N5182" s="18" t="s">
        <v>820</v>
      </c>
    </row>
    <row r="5183" spans="1:14" ht="15" customHeight="1" x14ac:dyDescent="0.3">
      <c r="A5183" s="18" t="s">
        <v>9864</v>
      </c>
      <c r="B5183" s="19" t="s">
        <v>15</v>
      </c>
      <c r="C5183" s="18" t="s">
        <v>9865</v>
      </c>
      <c r="D5183" s="18" t="s">
        <v>116</v>
      </c>
      <c r="E5183" s="18" t="s">
        <v>55</v>
      </c>
      <c r="F5183" s="18" t="s">
        <v>9921</v>
      </c>
      <c r="G5183" s="18" t="s">
        <v>1019</v>
      </c>
      <c r="H5183" s="18" t="s">
        <v>9879</v>
      </c>
      <c r="I5183" s="20" t="s">
        <v>9922</v>
      </c>
      <c r="J5183" s="18" t="s">
        <v>58</v>
      </c>
      <c r="K5183" s="18" t="s">
        <v>24</v>
      </c>
      <c r="L5183" s="18" t="s">
        <v>25</v>
      </c>
      <c r="N5183" s="18" t="s">
        <v>820</v>
      </c>
    </row>
    <row r="5184" spans="1:14" ht="15" customHeight="1" x14ac:dyDescent="0.3">
      <c r="A5184" s="18" t="s">
        <v>9864</v>
      </c>
      <c r="B5184" s="19" t="s">
        <v>15</v>
      </c>
      <c r="C5184" s="18" t="s">
        <v>9865</v>
      </c>
      <c r="D5184" s="18" t="s">
        <v>116</v>
      </c>
      <c r="E5184" s="18" t="s">
        <v>55</v>
      </c>
      <c r="F5184" s="18" t="s">
        <v>9923</v>
      </c>
      <c r="G5184" s="18" t="s">
        <v>1211</v>
      </c>
      <c r="H5184" s="18" t="s">
        <v>9687</v>
      </c>
      <c r="I5184" s="20" t="s">
        <v>9924</v>
      </c>
      <c r="J5184" s="18" t="s">
        <v>58</v>
      </c>
      <c r="K5184" s="18" t="s">
        <v>24</v>
      </c>
      <c r="L5184" s="18" t="s">
        <v>25</v>
      </c>
      <c r="M5184" s="18" t="s">
        <v>39</v>
      </c>
      <c r="N5184" s="18" t="s">
        <v>820</v>
      </c>
    </row>
    <row r="5185" spans="1:14" ht="15" customHeight="1" x14ac:dyDescent="0.3">
      <c r="A5185" s="18" t="s">
        <v>9864</v>
      </c>
      <c r="B5185" s="19" t="s">
        <v>15</v>
      </c>
      <c r="C5185" s="18" t="s">
        <v>9865</v>
      </c>
      <c r="D5185" s="18" t="s">
        <v>116</v>
      </c>
      <c r="E5185" s="18" t="s">
        <v>55</v>
      </c>
      <c r="F5185" s="18" t="s">
        <v>381</v>
      </c>
      <c r="G5185" s="18" t="s">
        <v>381</v>
      </c>
      <c r="H5185" s="18" t="s">
        <v>9925</v>
      </c>
      <c r="I5185" s="20" t="s">
        <v>9926</v>
      </c>
      <c r="J5185" s="18" t="s">
        <v>73</v>
      </c>
      <c r="K5185" s="18" t="s">
        <v>24</v>
      </c>
      <c r="L5185" s="18" t="s">
        <v>25</v>
      </c>
      <c r="N5185" s="18" t="s">
        <v>820</v>
      </c>
    </row>
    <row r="5186" spans="1:14" ht="15" customHeight="1" x14ac:dyDescent="0.3">
      <c r="A5186" s="18" t="s">
        <v>9864</v>
      </c>
      <c r="B5186" s="19" t="s">
        <v>15</v>
      </c>
      <c r="C5186" s="18" t="s">
        <v>9865</v>
      </c>
      <c r="D5186" s="18" t="s">
        <v>116</v>
      </c>
      <c r="E5186" s="18" t="s">
        <v>55</v>
      </c>
      <c r="F5186" s="18" t="s">
        <v>519</v>
      </c>
      <c r="G5186" s="18" t="s">
        <v>381</v>
      </c>
      <c r="H5186" s="18" t="s">
        <v>9885</v>
      </c>
      <c r="I5186" s="20" t="s">
        <v>9927</v>
      </c>
      <c r="J5186" s="18" t="s">
        <v>58</v>
      </c>
      <c r="K5186" s="18" t="s">
        <v>24</v>
      </c>
      <c r="L5186" s="18" t="s">
        <v>25</v>
      </c>
      <c r="N5186" s="18" t="s">
        <v>820</v>
      </c>
    </row>
    <row r="5187" spans="1:14" ht="15" customHeight="1" x14ac:dyDescent="0.3">
      <c r="A5187" s="18" t="s">
        <v>9864</v>
      </c>
      <c r="B5187" s="19" t="s">
        <v>15</v>
      </c>
      <c r="C5187" s="18" t="s">
        <v>9865</v>
      </c>
      <c r="D5187" s="18" t="s">
        <v>116</v>
      </c>
      <c r="E5187" s="18" t="s">
        <v>55</v>
      </c>
      <c r="F5187" s="18" t="s">
        <v>2294</v>
      </c>
      <c r="G5187" s="18" t="s">
        <v>637</v>
      </c>
      <c r="H5187" s="18" t="s">
        <v>9687</v>
      </c>
      <c r="I5187" s="20" t="s">
        <v>9928</v>
      </c>
      <c r="J5187" s="18" t="s">
        <v>58</v>
      </c>
      <c r="K5187" s="18" t="s">
        <v>24</v>
      </c>
      <c r="L5187" s="18" t="s">
        <v>25</v>
      </c>
      <c r="N5187" s="18" t="s">
        <v>820</v>
      </c>
    </row>
    <row r="5188" spans="1:14" ht="15" customHeight="1" x14ac:dyDescent="0.3">
      <c r="A5188" s="18" t="s">
        <v>9864</v>
      </c>
      <c r="B5188" s="19" t="s">
        <v>15</v>
      </c>
      <c r="C5188" s="18" t="s">
        <v>9865</v>
      </c>
      <c r="D5188" s="18" t="s">
        <v>116</v>
      </c>
      <c r="E5188" s="18" t="s">
        <v>55</v>
      </c>
      <c r="F5188" s="18" t="s">
        <v>7611</v>
      </c>
      <c r="G5188" s="18" t="s">
        <v>2248</v>
      </c>
      <c r="H5188" s="18" t="s">
        <v>9687</v>
      </c>
      <c r="I5188" s="20" t="s">
        <v>9929</v>
      </c>
      <c r="J5188" s="18" t="s">
        <v>58</v>
      </c>
      <c r="K5188" s="18" t="s">
        <v>24</v>
      </c>
      <c r="L5188" s="18" t="s">
        <v>25</v>
      </c>
      <c r="N5188" s="18" t="s">
        <v>820</v>
      </c>
    </row>
    <row r="5189" spans="1:14" ht="15" customHeight="1" x14ac:dyDescent="0.3">
      <c r="A5189" s="18" t="s">
        <v>9864</v>
      </c>
      <c r="B5189" s="19" t="s">
        <v>15</v>
      </c>
      <c r="C5189" s="18" t="s">
        <v>9865</v>
      </c>
      <c r="D5189" s="18" t="s">
        <v>116</v>
      </c>
      <c r="E5189" s="18" t="s">
        <v>55</v>
      </c>
      <c r="F5189" s="18" t="s">
        <v>1072</v>
      </c>
      <c r="G5189" s="18" t="s">
        <v>47</v>
      </c>
      <c r="H5189" s="18" t="s">
        <v>9687</v>
      </c>
      <c r="I5189" s="20" t="s">
        <v>9930</v>
      </c>
      <c r="J5189" s="18" t="s">
        <v>58</v>
      </c>
      <c r="K5189" s="18" t="s">
        <v>24</v>
      </c>
      <c r="L5189" s="18" t="s">
        <v>25</v>
      </c>
      <c r="N5189" s="18" t="s">
        <v>820</v>
      </c>
    </row>
    <row r="5190" spans="1:14" ht="15" customHeight="1" x14ac:dyDescent="0.3">
      <c r="A5190" s="18" t="s">
        <v>9864</v>
      </c>
      <c r="B5190" s="19" t="s">
        <v>15</v>
      </c>
      <c r="C5190" s="18" t="s">
        <v>9865</v>
      </c>
      <c r="D5190" s="18" t="s">
        <v>116</v>
      </c>
      <c r="E5190" s="18" t="s">
        <v>55</v>
      </c>
      <c r="F5190" s="18" t="s">
        <v>4578</v>
      </c>
      <c r="G5190" s="18" t="s">
        <v>34</v>
      </c>
      <c r="H5190" s="18" t="s">
        <v>9687</v>
      </c>
      <c r="I5190" s="20" t="s">
        <v>9931</v>
      </c>
      <c r="J5190" s="18" t="s">
        <v>73</v>
      </c>
      <c r="K5190" s="18" t="s">
        <v>24</v>
      </c>
      <c r="L5190" s="18" t="s">
        <v>25</v>
      </c>
      <c r="N5190" s="18" t="s">
        <v>820</v>
      </c>
    </row>
    <row r="5191" spans="1:14" ht="15" customHeight="1" x14ac:dyDescent="0.3">
      <c r="A5191" s="18" t="s">
        <v>9864</v>
      </c>
      <c r="B5191" s="19" t="s">
        <v>15</v>
      </c>
      <c r="C5191" s="18" t="s">
        <v>9865</v>
      </c>
      <c r="D5191" s="18" t="s">
        <v>116</v>
      </c>
      <c r="E5191" s="18" t="s">
        <v>55</v>
      </c>
      <c r="F5191" s="18" t="s">
        <v>2302</v>
      </c>
      <c r="G5191" s="18" t="s">
        <v>9932</v>
      </c>
      <c r="H5191" s="18" t="s">
        <v>9687</v>
      </c>
      <c r="I5191" s="20" t="s">
        <v>9933</v>
      </c>
      <c r="J5191" s="18" t="s">
        <v>58</v>
      </c>
      <c r="K5191" s="18" t="s">
        <v>24</v>
      </c>
      <c r="L5191" s="18" t="s">
        <v>25</v>
      </c>
      <c r="N5191" s="18" t="s">
        <v>820</v>
      </c>
    </row>
    <row r="5192" spans="1:14" ht="15" customHeight="1" x14ac:dyDescent="0.3">
      <c r="A5192" s="18" t="s">
        <v>9864</v>
      </c>
      <c r="B5192" s="19" t="s">
        <v>15</v>
      </c>
      <c r="C5192" s="18" t="s">
        <v>9865</v>
      </c>
      <c r="D5192" s="18" t="s">
        <v>116</v>
      </c>
      <c r="E5192" s="18" t="s">
        <v>55</v>
      </c>
      <c r="F5192" s="18" t="s">
        <v>9934</v>
      </c>
      <c r="G5192" s="18" t="s">
        <v>1204</v>
      </c>
      <c r="H5192" s="18" t="s">
        <v>9687</v>
      </c>
      <c r="I5192" s="20" t="s">
        <v>9935</v>
      </c>
      <c r="J5192" s="18" t="s">
        <v>73</v>
      </c>
      <c r="K5192" s="18" t="s">
        <v>24</v>
      </c>
      <c r="L5192" s="18" t="s">
        <v>25</v>
      </c>
      <c r="N5192" s="18" t="s">
        <v>820</v>
      </c>
    </row>
    <row r="5193" spans="1:14" ht="15" customHeight="1" x14ac:dyDescent="0.3">
      <c r="A5193" s="18" t="s">
        <v>9864</v>
      </c>
      <c r="B5193" s="19" t="s">
        <v>15</v>
      </c>
      <c r="C5193" s="18" t="s">
        <v>9865</v>
      </c>
      <c r="D5193" s="18" t="s">
        <v>116</v>
      </c>
      <c r="E5193" s="18" t="s">
        <v>55</v>
      </c>
      <c r="F5193" s="18" t="s">
        <v>4252</v>
      </c>
      <c r="G5193" s="18" t="s">
        <v>637</v>
      </c>
      <c r="H5193" s="18" t="s">
        <v>9687</v>
      </c>
      <c r="I5193" s="20" t="s">
        <v>9936</v>
      </c>
      <c r="J5193" s="18" t="s">
        <v>58</v>
      </c>
      <c r="K5193" s="18" t="s">
        <v>24</v>
      </c>
      <c r="L5193" s="18" t="s">
        <v>25</v>
      </c>
      <c r="N5193" s="18" t="s">
        <v>820</v>
      </c>
    </row>
    <row r="5194" spans="1:14" ht="15" customHeight="1" x14ac:dyDescent="0.3">
      <c r="A5194" s="18" t="s">
        <v>9864</v>
      </c>
      <c r="B5194" s="19" t="s">
        <v>15</v>
      </c>
      <c r="C5194" s="18" t="s">
        <v>9865</v>
      </c>
      <c r="D5194" s="18" t="s">
        <v>116</v>
      </c>
      <c r="E5194" s="18" t="s">
        <v>55</v>
      </c>
      <c r="F5194" s="18" t="s">
        <v>2605</v>
      </c>
      <c r="G5194" s="18" t="s">
        <v>2380</v>
      </c>
      <c r="H5194" s="18" t="s">
        <v>9868</v>
      </c>
      <c r="I5194" s="20" t="s">
        <v>9937</v>
      </c>
      <c r="J5194" s="18" t="s">
        <v>58</v>
      </c>
      <c r="K5194" s="18" t="s">
        <v>24</v>
      </c>
      <c r="L5194" s="18" t="s">
        <v>25</v>
      </c>
      <c r="N5194" s="18" t="s">
        <v>820</v>
      </c>
    </row>
    <row r="5195" spans="1:14" ht="15" customHeight="1" x14ac:dyDescent="0.3">
      <c r="A5195" s="18" t="s">
        <v>9864</v>
      </c>
      <c r="B5195" s="19" t="s">
        <v>15</v>
      </c>
      <c r="C5195" s="18" t="s">
        <v>9865</v>
      </c>
      <c r="D5195" s="18" t="s">
        <v>116</v>
      </c>
      <c r="E5195" s="18" t="s">
        <v>55</v>
      </c>
      <c r="F5195" s="18" t="s">
        <v>2132</v>
      </c>
      <c r="G5195" s="18" t="s">
        <v>381</v>
      </c>
      <c r="H5195" s="18" t="s">
        <v>9885</v>
      </c>
      <c r="I5195" s="20" t="s">
        <v>9938</v>
      </c>
      <c r="J5195" s="18" t="s">
        <v>58</v>
      </c>
      <c r="K5195" s="18" t="s">
        <v>24</v>
      </c>
      <c r="L5195" s="18" t="s">
        <v>25</v>
      </c>
      <c r="M5195" s="18" t="s">
        <v>39</v>
      </c>
      <c r="N5195" s="18" t="s">
        <v>820</v>
      </c>
    </row>
    <row r="5196" spans="1:14" ht="15" customHeight="1" x14ac:dyDescent="0.3">
      <c r="A5196" s="18" t="s">
        <v>9864</v>
      </c>
      <c r="B5196" s="19" t="s">
        <v>15</v>
      </c>
      <c r="C5196" s="18" t="s">
        <v>9865</v>
      </c>
      <c r="D5196" s="18" t="s">
        <v>116</v>
      </c>
      <c r="E5196" s="18" t="s">
        <v>55</v>
      </c>
      <c r="F5196" s="18" t="s">
        <v>2384</v>
      </c>
      <c r="G5196" s="18" t="s">
        <v>1019</v>
      </c>
      <c r="H5196" s="18" t="s">
        <v>9879</v>
      </c>
      <c r="I5196" s="20" t="s">
        <v>9939</v>
      </c>
      <c r="J5196" s="18" t="s">
        <v>58</v>
      </c>
      <c r="K5196" s="18" t="s">
        <v>24</v>
      </c>
      <c r="L5196" s="18" t="s">
        <v>25</v>
      </c>
      <c r="N5196" s="18" t="s">
        <v>820</v>
      </c>
    </row>
    <row r="5197" spans="1:14" ht="15" customHeight="1" x14ac:dyDescent="0.3">
      <c r="A5197" s="18" t="s">
        <v>9864</v>
      </c>
      <c r="B5197" s="19" t="s">
        <v>15</v>
      </c>
      <c r="C5197" s="18" t="s">
        <v>9865</v>
      </c>
      <c r="D5197" s="18" t="s">
        <v>116</v>
      </c>
      <c r="E5197" s="18" t="s">
        <v>55</v>
      </c>
      <c r="F5197" s="18" t="s">
        <v>8476</v>
      </c>
      <c r="G5197" s="18" t="s">
        <v>2248</v>
      </c>
      <c r="H5197" s="18" t="s">
        <v>9687</v>
      </c>
      <c r="I5197" s="20" t="s">
        <v>9940</v>
      </c>
      <c r="J5197" s="18" t="s">
        <v>58</v>
      </c>
      <c r="K5197" s="18" t="s">
        <v>24</v>
      </c>
      <c r="L5197" s="18" t="s">
        <v>25</v>
      </c>
      <c r="N5197" s="18" t="s">
        <v>820</v>
      </c>
    </row>
    <row r="5198" spans="1:14" ht="15" customHeight="1" x14ac:dyDescent="0.3">
      <c r="A5198" s="18" t="s">
        <v>9864</v>
      </c>
      <c r="B5198" s="19" t="s">
        <v>15</v>
      </c>
      <c r="C5198" s="18" t="s">
        <v>9865</v>
      </c>
      <c r="D5198" s="18" t="s">
        <v>116</v>
      </c>
      <c r="E5198" s="18" t="s">
        <v>55</v>
      </c>
      <c r="F5198" s="18" t="s">
        <v>9217</v>
      </c>
      <c r="G5198" s="18" t="s">
        <v>1211</v>
      </c>
      <c r="H5198" s="18" t="s">
        <v>9687</v>
      </c>
      <c r="I5198" s="20" t="s">
        <v>9941</v>
      </c>
      <c r="J5198" s="18" t="s">
        <v>58</v>
      </c>
      <c r="K5198" s="18" t="s">
        <v>24</v>
      </c>
      <c r="L5198" s="18" t="s">
        <v>25</v>
      </c>
      <c r="N5198" s="18" t="s">
        <v>820</v>
      </c>
    </row>
    <row r="5199" spans="1:14" ht="15" customHeight="1" x14ac:dyDescent="0.3">
      <c r="A5199" s="18" t="s">
        <v>9864</v>
      </c>
      <c r="B5199" s="19" t="s">
        <v>15</v>
      </c>
      <c r="C5199" s="18" t="s">
        <v>9865</v>
      </c>
      <c r="D5199" s="18" t="s">
        <v>116</v>
      </c>
      <c r="E5199" s="18" t="s">
        <v>55</v>
      </c>
      <c r="F5199" s="18" t="s">
        <v>9942</v>
      </c>
      <c r="G5199" s="18" t="s">
        <v>197</v>
      </c>
      <c r="H5199" s="18" t="s">
        <v>9943</v>
      </c>
      <c r="I5199" s="20" t="s">
        <v>9944</v>
      </c>
      <c r="J5199" s="18" t="s">
        <v>58</v>
      </c>
      <c r="K5199" s="18" t="s">
        <v>24</v>
      </c>
      <c r="L5199" s="18" t="s">
        <v>25</v>
      </c>
      <c r="N5199" s="18" t="s">
        <v>820</v>
      </c>
    </row>
    <row r="5200" spans="1:14" ht="15" customHeight="1" x14ac:dyDescent="0.3">
      <c r="A5200" s="18" t="s">
        <v>9864</v>
      </c>
      <c r="B5200" s="19" t="s">
        <v>15</v>
      </c>
      <c r="C5200" s="18" t="s">
        <v>9865</v>
      </c>
      <c r="D5200" s="18" t="s">
        <v>116</v>
      </c>
      <c r="E5200" s="18" t="s">
        <v>55</v>
      </c>
      <c r="F5200" s="18" t="s">
        <v>8196</v>
      </c>
      <c r="G5200" s="18" t="s">
        <v>47</v>
      </c>
      <c r="H5200" s="18" t="s">
        <v>9687</v>
      </c>
      <c r="I5200" s="20" t="s">
        <v>9945</v>
      </c>
      <c r="J5200" s="18" t="s">
        <v>73</v>
      </c>
      <c r="K5200" s="18" t="s">
        <v>24</v>
      </c>
      <c r="L5200" s="18" t="s">
        <v>25</v>
      </c>
      <c r="N5200" s="18" t="s">
        <v>820</v>
      </c>
    </row>
    <row r="5201" spans="1:14" ht="15" customHeight="1" x14ac:dyDescent="0.3">
      <c r="A5201" s="18" t="s">
        <v>9864</v>
      </c>
      <c r="B5201" s="19" t="s">
        <v>15</v>
      </c>
      <c r="C5201" s="18" t="s">
        <v>9865</v>
      </c>
      <c r="D5201" s="18" t="s">
        <v>116</v>
      </c>
      <c r="E5201" s="18" t="s">
        <v>55</v>
      </c>
      <c r="F5201" s="18" t="s">
        <v>1095</v>
      </c>
      <c r="G5201" s="18" t="s">
        <v>1095</v>
      </c>
      <c r="H5201" s="18" t="s">
        <v>9687</v>
      </c>
      <c r="I5201" s="20" t="s">
        <v>9946</v>
      </c>
      <c r="J5201" s="18" t="s">
        <v>58</v>
      </c>
      <c r="K5201" s="18" t="s">
        <v>24</v>
      </c>
      <c r="L5201" s="18" t="s">
        <v>25</v>
      </c>
      <c r="N5201" s="18" t="s">
        <v>820</v>
      </c>
    </row>
    <row r="5202" spans="1:14" ht="15" customHeight="1" x14ac:dyDescent="0.3">
      <c r="A5202" s="18" t="s">
        <v>9864</v>
      </c>
      <c r="B5202" s="19" t="s">
        <v>15</v>
      </c>
      <c r="C5202" s="18" t="s">
        <v>9865</v>
      </c>
      <c r="D5202" s="18" t="s">
        <v>116</v>
      </c>
      <c r="E5202" s="18" t="s">
        <v>55</v>
      </c>
      <c r="F5202" s="18" t="s">
        <v>6259</v>
      </c>
      <c r="G5202" s="18" t="s">
        <v>1095</v>
      </c>
      <c r="H5202" s="18" t="s">
        <v>9687</v>
      </c>
      <c r="I5202" s="20" t="s">
        <v>9947</v>
      </c>
      <c r="J5202" s="18" t="s">
        <v>58</v>
      </c>
      <c r="K5202" s="18" t="s">
        <v>24</v>
      </c>
      <c r="L5202" s="18" t="s">
        <v>25</v>
      </c>
      <c r="M5202" s="18" t="s">
        <v>39</v>
      </c>
      <c r="N5202" s="18" t="s">
        <v>820</v>
      </c>
    </row>
    <row r="5203" spans="1:14" ht="15" customHeight="1" x14ac:dyDescent="0.3">
      <c r="A5203" s="18" t="s">
        <v>9864</v>
      </c>
      <c r="B5203" s="19" t="s">
        <v>15</v>
      </c>
      <c r="C5203" s="18" t="s">
        <v>9865</v>
      </c>
      <c r="D5203" s="18" t="s">
        <v>116</v>
      </c>
      <c r="E5203" s="18" t="s">
        <v>55</v>
      </c>
      <c r="F5203" s="18" t="s">
        <v>9948</v>
      </c>
      <c r="G5203" s="18" t="s">
        <v>1095</v>
      </c>
      <c r="H5203" s="18" t="s">
        <v>9687</v>
      </c>
      <c r="I5203" s="20" t="s">
        <v>9949</v>
      </c>
      <c r="J5203" s="18" t="s">
        <v>58</v>
      </c>
      <c r="K5203" s="18" t="s">
        <v>24</v>
      </c>
      <c r="L5203" s="18" t="s">
        <v>25</v>
      </c>
      <c r="M5203" s="18" t="s">
        <v>39</v>
      </c>
      <c r="N5203" s="18" t="s">
        <v>820</v>
      </c>
    </row>
    <row r="5204" spans="1:14" ht="15" customHeight="1" x14ac:dyDescent="0.3">
      <c r="A5204" s="18" t="s">
        <v>9864</v>
      </c>
      <c r="B5204" s="19" t="s">
        <v>15</v>
      </c>
      <c r="C5204" s="18" t="s">
        <v>9865</v>
      </c>
      <c r="D5204" s="18" t="s">
        <v>116</v>
      </c>
      <c r="E5204" s="18" t="s">
        <v>55</v>
      </c>
      <c r="F5204" s="18" t="s">
        <v>9950</v>
      </c>
      <c r="G5204" s="18" t="s">
        <v>5194</v>
      </c>
      <c r="H5204" s="18" t="s">
        <v>9687</v>
      </c>
      <c r="I5204" s="20" t="s">
        <v>9951</v>
      </c>
      <c r="J5204" s="18" t="s">
        <v>58</v>
      </c>
      <c r="K5204" s="18" t="s">
        <v>24</v>
      </c>
      <c r="L5204" s="18" t="s">
        <v>25</v>
      </c>
      <c r="N5204" s="18" t="s">
        <v>820</v>
      </c>
    </row>
    <row r="5205" spans="1:14" ht="15" customHeight="1" x14ac:dyDescent="0.3">
      <c r="A5205" s="18" t="s">
        <v>9864</v>
      </c>
      <c r="B5205" s="19" t="s">
        <v>15</v>
      </c>
      <c r="C5205" s="18" t="s">
        <v>9865</v>
      </c>
      <c r="D5205" s="18" t="s">
        <v>116</v>
      </c>
      <c r="E5205" s="18" t="s">
        <v>55</v>
      </c>
      <c r="F5205" s="18" t="s">
        <v>2574</v>
      </c>
      <c r="G5205" s="18" t="s">
        <v>2574</v>
      </c>
      <c r="H5205" s="18" t="s">
        <v>9868</v>
      </c>
      <c r="I5205" s="20" t="s">
        <v>9952</v>
      </c>
      <c r="J5205" s="18" t="s">
        <v>58</v>
      </c>
      <c r="K5205" s="18" t="s">
        <v>24</v>
      </c>
      <c r="L5205" s="18" t="s">
        <v>25</v>
      </c>
      <c r="N5205" s="18" t="s">
        <v>820</v>
      </c>
    </row>
    <row r="5206" spans="1:14" ht="15" customHeight="1" x14ac:dyDescent="0.3">
      <c r="A5206" s="18" t="s">
        <v>9864</v>
      </c>
      <c r="B5206" s="19" t="s">
        <v>15</v>
      </c>
      <c r="C5206" s="18" t="s">
        <v>9865</v>
      </c>
      <c r="D5206" s="18" t="s">
        <v>116</v>
      </c>
      <c r="E5206" s="18" t="s">
        <v>55</v>
      </c>
      <c r="F5206" s="18" t="s">
        <v>9953</v>
      </c>
      <c r="G5206" s="18" t="s">
        <v>637</v>
      </c>
      <c r="H5206" s="18" t="s">
        <v>9687</v>
      </c>
      <c r="I5206" s="20" t="s">
        <v>9954</v>
      </c>
      <c r="J5206" s="18" t="s">
        <v>58</v>
      </c>
      <c r="K5206" s="18" t="s">
        <v>24</v>
      </c>
      <c r="L5206" s="18" t="s">
        <v>25</v>
      </c>
      <c r="N5206" s="18" t="s">
        <v>820</v>
      </c>
    </row>
    <row r="5207" spans="1:14" ht="15" customHeight="1" x14ac:dyDescent="0.3">
      <c r="A5207" s="18" t="s">
        <v>9864</v>
      </c>
      <c r="B5207" s="19" t="s">
        <v>15</v>
      </c>
      <c r="C5207" s="18" t="s">
        <v>9865</v>
      </c>
      <c r="D5207" s="18" t="s">
        <v>116</v>
      </c>
      <c r="E5207" s="18" t="s">
        <v>55</v>
      </c>
      <c r="F5207" s="18" t="s">
        <v>9955</v>
      </c>
      <c r="G5207" s="18" t="s">
        <v>2396</v>
      </c>
      <c r="H5207" s="18" t="s">
        <v>9956</v>
      </c>
      <c r="I5207" s="20" t="s">
        <v>9957</v>
      </c>
      <c r="J5207" s="18" t="s">
        <v>58</v>
      </c>
      <c r="K5207" s="18" t="s">
        <v>24</v>
      </c>
      <c r="L5207" s="18" t="s">
        <v>25</v>
      </c>
      <c r="M5207" s="18" t="s">
        <v>39</v>
      </c>
      <c r="N5207" s="18" t="s">
        <v>820</v>
      </c>
    </row>
    <row r="5208" spans="1:14" ht="15" customHeight="1" x14ac:dyDescent="0.3">
      <c r="A5208" s="18" t="s">
        <v>9864</v>
      </c>
      <c r="B5208" s="19" t="s">
        <v>15</v>
      </c>
      <c r="C5208" s="18" t="s">
        <v>9865</v>
      </c>
      <c r="D5208" s="18" t="s">
        <v>116</v>
      </c>
      <c r="E5208" s="18" t="s">
        <v>55</v>
      </c>
      <c r="F5208" s="18" t="s">
        <v>9958</v>
      </c>
      <c r="G5208" s="18" t="s">
        <v>151</v>
      </c>
      <c r="H5208" s="18" t="s">
        <v>9959</v>
      </c>
      <c r="I5208" s="20" t="s">
        <v>9960</v>
      </c>
      <c r="J5208" s="18" t="s">
        <v>73</v>
      </c>
      <c r="K5208" s="18" t="s">
        <v>24</v>
      </c>
      <c r="L5208" s="18" t="s">
        <v>25</v>
      </c>
      <c r="N5208" s="18" t="s">
        <v>820</v>
      </c>
    </row>
    <row r="5209" spans="1:14" ht="15" customHeight="1" x14ac:dyDescent="0.3">
      <c r="A5209" s="18" t="s">
        <v>9864</v>
      </c>
      <c r="B5209" s="19" t="s">
        <v>15</v>
      </c>
      <c r="C5209" s="18" t="s">
        <v>9865</v>
      </c>
      <c r="D5209" s="18" t="s">
        <v>116</v>
      </c>
      <c r="E5209" s="18" t="s">
        <v>55</v>
      </c>
      <c r="F5209" s="18" t="s">
        <v>9733</v>
      </c>
      <c r="G5209" s="18" t="s">
        <v>20</v>
      </c>
      <c r="H5209" s="18" t="s">
        <v>9879</v>
      </c>
      <c r="I5209" s="20" t="s">
        <v>9961</v>
      </c>
      <c r="J5209" s="18" t="s">
        <v>58</v>
      </c>
      <c r="K5209" s="18" t="s">
        <v>24</v>
      </c>
      <c r="L5209" s="18" t="s">
        <v>25</v>
      </c>
      <c r="N5209" s="18" t="s">
        <v>820</v>
      </c>
    </row>
    <row r="5210" spans="1:14" ht="15" customHeight="1" x14ac:dyDescent="0.3">
      <c r="A5210" s="18" t="s">
        <v>9864</v>
      </c>
      <c r="B5210" s="19" t="s">
        <v>15</v>
      </c>
      <c r="C5210" s="18" t="s">
        <v>9865</v>
      </c>
      <c r="D5210" s="18" t="s">
        <v>116</v>
      </c>
      <c r="E5210" s="18" t="s">
        <v>55</v>
      </c>
      <c r="F5210" s="18" t="s">
        <v>7647</v>
      </c>
      <c r="G5210" s="18" t="s">
        <v>7647</v>
      </c>
      <c r="H5210" s="18" t="s">
        <v>9687</v>
      </c>
      <c r="I5210" s="20" t="s">
        <v>9962</v>
      </c>
      <c r="J5210" s="18" t="s">
        <v>58</v>
      </c>
      <c r="K5210" s="18" t="s">
        <v>24</v>
      </c>
      <c r="L5210" s="18" t="s">
        <v>25</v>
      </c>
      <c r="N5210" s="18" t="s">
        <v>820</v>
      </c>
    </row>
    <row r="5211" spans="1:14" ht="15" customHeight="1" x14ac:dyDescent="0.3">
      <c r="A5211" s="18" t="s">
        <v>9864</v>
      </c>
      <c r="B5211" s="19" t="s">
        <v>15</v>
      </c>
      <c r="C5211" s="18" t="s">
        <v>9865</v>
      </c>
      <c r="D5211" s="18" t="s">
        <v>116</v>
      </c>
      <c r="E5211" s="18" t="s">
        <v>55</v>
      </c>
      <c r="F5211" s="18" t="s">
        <v>9963</v>
      </c>
      <c r="G5211" s="18" t="s">
        <v>7647</v>
      </c>
      <c r="H5211" s="18" t="s">
        <v>9687</v>
      </c>
      <c r="I5211" s="20" t="s">
        <v>9964</v>
      </c>
      <c r="J5211" s="18" t="s">
        <v>58</v>
      </c>
      <c r="K5211" s="18" t="s">
        <v>24</v>
      </c>
      <c r="L5211" s="18" t="s">
        <v>25</v>
      </c>
      <c r="M5211" s="18" t="s">
        <v>39</v>
      </c>
      <c r="N5211" s="18" t="s">
        <v>820</v>
      </c>
    </row>
    <row r="5212" spans="1:14" ht="15" customHeight="1" x14ac:dyDescent="0.3">
      <c r="A5212" s="18" t="s">
        <v>9864</v>
      </c>
      <c r="B5212" s="19" t="s">
        <v>15</v>
      </c>
      <c r="C5212" s="18" t="s">
        <v>9865</v>
      </c>
      <c r="D5212" s="18" t="s">
        <v>116</v>
      </c>
      <c r="E5212" s="18" t="s">
        <v>55</v>
      </c>
      <c r="F5212" s="18" t="s">
        <v>164</v>
      </c>
      <c r="G5212" s="18" t="s">
        <v>2245</v>
      </c>
      <c r="H5212" s="18" t="s">
        <v>9868</v>
      </c>
      <c r="I5212" s="20" t="s">
        <v>9965</v>
      </c>
      <c r="J5212" s="18" t="s">
        <v>58</v>
      </c>
      <c r="K5212" s="18" t="s">
        <v>24</v>
      </c>
      <c r="L5212" s="18" t="s">
        <v>25</v>
      </c>
      <c r="N5212" s="18" t="s">
        <v>820</v>
      </c>
    </row>
    <row r="5213" spans="1:14" ht="15" customHeight="1" x14ac:dyDescent="0.3">
      <c r="A5213" s="18" t="s">
        <v>9864</v>
      </c>
      <c r="B5213" s="19" t="s">
        <v>15</v>
      </c>
      <c r="C5213" s="18" t="s">
        <v>9865</v>
      </c>
      <c r="D5213" s="18" t="s">
        <v>116</v>
      </c>
      <c r="E5213" s="18" t="s">
        <v>55</v>
      </c>
      <c r="F5213" s="18" t="s">
        <v>9966</v>
      </c>
      <c r="G5213" s="18" t="s">
        <v>1019</v>
      </c>
      <c r="H5213" s="18" t="s">
        <v>9879</v>
      </c>
      <c r="I5213" s="20" t="s">
        <v>9967</v>
      </c>
      <c r="J5213" s="18" t="s">
        <v>58</v>
      </c>
      <c r="K5213" s="18" t="s">
        <v>24</v>
      </c>
      <c r="L5213" s="18" t="s">
        <v>25</v>
      </c>
      <c r="N5213" s="18" t="s">
        <v>820</v>
      </c>
    </row>
    <row r="5214" spans="1:14" ht="15" customHeight="1" x14ac:dyDescent="0.3">
      <c r="A5214" s="18" t="s">
        <v>9864</v>
      </c>
      <c r="B5214" s="19" t="s">
        <v>15</v>
      </c>
      <c r="C5214" s="18" t="s">
        <v>9865</v>
      </c>
      <c r="D5214" s="18" t="s">
        <v>116</v>
      </c>
      <c r="E5214" s="18" t="s">
        <v>55</v>
      </c>
      <c r="F5214" s="18" t="s">
        <v>7942</v>
      </c>
      <c r="G5214" s="18" t="s">
        <v>1704</v>
      </c>
      <c r="H5214" s="18" t="s">
        <v>9968</v>
      </c>
      <c r="I5214" s="20" t="s">
        <v>9969</v>
      </c>
      <c r="J5214" s="18" t="s">
        <v>58</v>
      </c>
      <c r="K5214" s="18" t="s">
        <v>293</v>
      </c>
      <c r="L5214" s="18" t="s">
        <v>25</v>
      </c>
      <c r="N5214" s="18" t="s">
        <v>820</v>
      </c>
    </row>
    <row r="5215" spans="1:14" ht="15" customHeight="1" x14ac:dyDescent="0.3">
      <c r="A5215" s="18" t="s">
        <v>9864</v>
      </c>
      <c r="B5215" s="19" t="s">
        <v>15</v>
      </c>
      <c r="C5215" s="18" t="s">
        <v>9865</v>
      </c>
      <c r="D5215" s="18" t="s">
        <v>116</v>
      </c>
      <c r="E5215" s="18" t="s">
        <v>55</v>
      </c>
      <c r="F5215" s="18" t="s">
        <v>7951</v>
      </c>
      <c r="G5215" s="18" t="s">
        <v>433</v>
      </c>
      <c r="H5215" s="18" t="s">
        <v>9687</v>
      </c>
      <c r="I5215" s="20" t="s">
        <v>9970</v>
      </c>
      <c r="J5215" s="18" t="s">
        <v>58</v>
      </c>
      <c r="K5215" s="18" t="s">
        <v>24</v>
      </c>
      <c r="L5215" s="18" t="s">
        <v>25</v>
      </c>
      <c r="M5215" s="18" t="s">
        <v>39</v>
      </c>
      <c r="N5215" s="18" t="s">
        <v>820</v>
      </c>
    </row>
    <row r="5216" spans="1:14" ht="15" customHeight="1" x14ac:dyDescent="0.3">
      <c r="A5216" s="18" t="s">
        <v>9864</v>
      </c>
      <c r="B5216" s="19" t="s">
        <v>15</v>
      </c>
      <c r="C5216" s="18" t="s">
        <v>9865</v>
      </c>
      <c r="D5216" s="18" t="s">
        <v>116</v>
      </c>
      <c r="E5216" s="18" t="s">
        <v>55</v>
      </c>
      <c r="F5216" s="18" t="s">
        <v>2081</v>
      </c>
      <c r="G5216" s="18" t="s">
        <v>913</v>
      </c>
      <c r="H5216" s="18" t="s">
        <v>9687</v>
      </c>
      <c r="I5216" s="20" t="s">
        <v>9971</v>
      </c>
      <c r="J5216" s="18" t="s">
        <v>58</v>
      </c>
      <c r="K5216" s="18" t="s">
        <v>24</v>
      </c>
      <c r="L5216" s="18" t="s">
        <v>25</v>
      </c>
      <c r="N5216" s="18" t="s">
        <v>820</v>
      </c>
    </row>
    <row r="5217" spans="1:14" ht="15" customHeight="1" x14ac:dyDescent="0.3">
      <c r="A5217" s="18" t="s">
        <v>9864</v>
      </c>
      <c r="B5217" s="19" t="s">
        <v>15</v>
      </c>
      <c r="C5217" s="18" t="s">
        <v>9865</v>
      </c>
      <c r="D5217" s="18" t="s">
        <v>116</v>
      </c>
      <c r="E5217" s="18" t="s">
        <v>171</v>
      </c>
      <c r="F5217" s="18" t="s">
        <v>172</v>
      </c>
      <c r="G5217" s="18" t="s">
        <v>173</v>
      </c>
      <c r="H5217" s="18" t="s">
        <v>9972</v>
      </c>
      <c r="I5217" s="20" t="s">
        <v>9973</v>
      </c>
      <c r="J5217" s="18" t="s">
        <v>175</v>
      </c>
      <c r="K5217" s="18" t="s">
        <v>24</v>
      </c>
      <c r="L5217" s="18" t="s">
        <v>25</v>
      </c>
      <c r="N5217" s="18" t="s">
        <v>820</v>
      </c>
    </row>
    <row r="5218" spans="1:14" ht="15" customHeight="1" x14ac:dyDescent="0.3">
      <c r="A5218" s="18" t="s">
        <v>9864</v>
      </c>
      <c r="B5218" s="19" t="s">
        <v>15</v>
      </c>
      <c r="C5218" s="18" t="s">
        <v>9865</v>
      </c>
      <c r="D5218" s="18" t="s">
        <v>116</v>
      </c>
      <c r="E5218" s="18" t="s">
        <v>171</v>
      </c>
      <c r="F5218" s="18" t="s">
        <v>80</v>
      </c>
      <c r="G5218" s="18" t="s">
        <v>80</v>
      </c>
      <c r="H5218" s="18" t="s">
        <v>9879</v>
      </c>
      <c r="I5218" s="20" t="s">
        <v>9974</v>
      </c>
      <c r="J5218" s="18" t="s">
        <v>175</v>
      </c>
      <c r="K5218" s="18" t="s">
        <v>24</v>
      </c>
      <c r="L5218" s="18" t="s">
        <v>25</v>
      </c>
      <c r="N5218" s="18" t="s">
        <v>820</v>
      </c>
    </row>
    <row r="5219" spans="1:14" ht="15" customHeight="1" x14ac:dyDescent="0.3">
      <c r="A5219" s="18" t="s">
        <v>9864</v>
      </c>
      <c r="B5219" s="19" t="s">
        <v>15</v>
      </c>
      <c r="C5219" s="18" t="s">
        <v>9865</v>
      </c>
      <c r="D5219" s="18" t="s">
        <v>116</v>
      </c>
      <c r="E5219" s="18" t="s">
        <v>171</v>
      </c>
      <c r="F5219" s="18" t="s">
        <v>625</v>
      </c>
      <c r="G5219" s="18" t="s">
        <v>625</v>
      </c>
      <c r="H5219" s="18" t="s">
        <v>9687</v>
      </c>
      <c r="I5219" s="20" t="s">
        <v>9975</v>
      </c>
      <c r="J5219" s="18" t="s">
        <v>7452</v>
      </c>
      <c r="K5219" s="18" t="s">
        <v>24</v>
      </c>
      <c r="L5219" s="18" t="s">
        <v>25</v>
      </c>
      <c r="N5219" s="18" t="s">
        <v>820</v>
      </c>
    </row>
    <row r="5220" spans="1:14" ht="15" customHeight="1" x14ac:dyDescent="0.3">
      <c r="A5220" s="18" t="s">
        <v>9864</v>
      </c>
      <c r="B5220" s="19" t="s">
        <v>15</v>
      </c>
      <c r="C5220" s="18" t="s">
        <v>9865</v>
      </c>
      <c r="D5220" s="18" t="s">
        <v>116</v>
      </c>
      <c r="E5220" s="18" t="s">
        <v>74</v>
      </c>
      <c r="F5220" s="18" t="s">
        <v>6321</v>
      </c>
      <c r="G5220" s="18" t="s">
        <v>41</v>
      </c>
      <c r="H5220" s="18" t="s">
        <v>9976</v>
      </c>
      <c r="I5220" s="20" t="s">
        <v>9977</v>
      </c>
      <c r="J5220" s="18" t="s">
        <v>9978</v>
      </c>
      <c r="K5220" s="18" t="s">
        <v>24</v>
      </c>
      <c r="L5220" s="18" t="s">
        <v>25</v>
      </c>
      <c r="N5220" s="18" t="s">
        <v>820</v>
      </c>
    </row>
    <row r="5221" spans="1:14" ht="15" customHeight="1" x14ac:dyDescent="0.3">
      <c r="A5221" s="18" t="s">
        <v>9864</v>
      </c>
      <c r="B5221" s="19" t="s">
        <v>15</v>
      </c>
      <c r="C5221" s="18" t="s">
        <v>9865</v>
      </c>
      <c r="D5221" s="18" t="s">
        <v>116</v>
      </c>
      <c r="E5221" s="18" t="s">
        <v>74</v>
      </c>
      <c r="F5221" s="18" t="s">
        <v>9979</v>
      </c>
      <c r="G5221" s="18" t="s">
        <v>9980</v>
      </c>
      <c r="H5221" s="18" t="s">
        <v>9687</v>
      </c>
      <c r="I5221" s="20" t="s">
        <v>9981</v>
      </c>
      <c r="J5221" s="18" t="s">
        <v>394</v>
      </c>
      <c r="K5221" s="18" t="s">
        <v>91</v>
      </c>
      <c r="L5221" s="18" t="s">
        <v>25</v>
      </c>
      <c r="N5221" s="18" t="s">
        <v>820</v>
      </c>
    </row>
    <row r="5222" spans="1:14" ht="15" customHeight="1" x14ac:dyDescent="0.3">
      <c r="A5222" s="18" t="s">
        <v>9864</v>
      </c>
      <c r="B5222" s="19" t="s">
        <v>15</v>
      </c>
      <c r="C5222" s="18" t="s">
        <v>9865</v>
      </c>
      <c r="D5222" s="18" t="s">
        <v>116</v>
      </c>
      <c r="E5222" s="18" t="s">
        <v>74</v>
      </c>
      <c r="F5222" s="18" t="s">
        <v>9982</v>
      </c>
      <c r="G5222" s="18" t="s">
        <v>9983</v>
      </c>
      <c r="H5222" s="18" t="s">
        <v>9984</v>
      </c>
      <c r="I5222" s="20" t="s">
        <v>9985</v>
      </c>
      <c r="J5222" s="18" t="s">
        <v>9986</v>
      </c>
      <c r="K5222" s="18" t="s">
        <v>24</v>
      </c>
      <c r="L5222" s="18" t="s">
        <v>25</v>
      </c>
      <c r="N5222" s="18" t="s">
        <v>820</v>
      </c>
    </row>
    <row r="5223" spans="1:14" ht="15" customHeight="1" x14ac:dyDescent="0.3">
      <c r="A5223" s="18" t="s">
        <v>9864</v>
      </c>
      <c r="B5223" s="19" t="s">
        <v>15</v>
      </c>
      <c r="C5223" s="18" t="s">
        <v>9865</v>
      </c>
      <c r="D5223" s="18" t="s">
        <v>116</v>
      </c>
      <c r="E5223" s="18" t="s">
        <v>74</v>
      </c>
      <c r="F5223" s="18" t="s">
        <v>8426</v>
      </c>
      <c r="G5223" s="18" t="s">
        <v>270</v>
      </c>
      <c r="H5223" s="18" t="s">
        <v>9987</v>
      </c>
      <c r="I5223" s="20" t="s">
        <v>9988</v>
      </c>
      <c r="J5223" s="18" t="s">
        <v>9978</v>
      </c>
      <c r="K5223" s="18" t="s">
        <v>24</v>
      </c>
      <c r="L5223" s="18" t="s">
        <v>25</v>
      </c>
      <c r="N5223" s="18" t="s">
        <v>820</v>
      </c>
    </row>
    <row r="5224" spans="1:14" ht="15" customHeight="1" x14ac:dyDescent="0.3">
      <c r="A5224" s="18" t="s">
        <v>9864</v>
      </c>
      <c r="B5224" s="19" t="s">
        <v>15</v>
      </c>
      <c r="C5224" s="18" t="s">
        <v>9989</v>
      </c>
      <c r="D5224" s="18" t="s">
        <v>116</v>
      </c>
      <c r="E5224" s="18" t="s">
        <v>74</v>
      </c>
      <c r="F5224" s="18" t="s">
        <v>9990</v>
      </c>
      <c r="G5224" s="18" t="s">
        <v>1009</v>
      </c>
      <c r="H5224" s="18" t="s">
        <v>9991</v>
      </c>
      <c r="I5224" s="20" t="s">
        <v>9992</v>
      </c>
      <c r="J5224" s="18" t="s">
        <v>9993</v>
      </c>
      <c r="K5224" s="18" t="s">
        <v>24</v>
      </c>
      <c r="L5224" s="18" t="s">
        <v>25</v>
      </c>
      <c r="N5224" s="18" t="s">
        <v>973</v>
      </c>
    </row>
    <row r="5225" spans="1:14" ht="15" customHeight="1" x14ac:dyDescent="0.3">
      <c r="A5225" s="18" t="s">
        <v>9864</v>
      </c>
      <c r="B5225" s="19" t="s">
        <v>15</v>
      </c>
      <c r="C5225" s="18" t="s">
        <v>9865</v>
      </c>
      <c r="D5225" s="18" t="s">
        <v>116</v>
      </c>
      <c r="E5225" s="18" t="s">
        <v>74</v>
      </c>
      <c r="F5225" s="18" t="s">
        <v>9994</v>
      </c>
      <c r="G5225" s="18" t="s">
        <v>381</v>
      </c>
      <c r="H5225" s="18" t="s">
        <v>9885</v>
      </c>
      <c r="I5225" s="20" t="s">
        <v>9995</v>
      </c>
      <c r="J5225" s="18" t="s">
        <v>9993</v>
      </c>
      <c r="K5225" s="18" t="s">
        <v>24</v>
      </c>
      <c r="L5225" s="18" t="s">
        <v>25</v>
      </c>
      <c r="N5225" s="18" t="s">
        <v>820</v>
      </c>
    </row>
    <row r="5226" spans="1:14" ht="15" customHeight="1" x14ac:dyDescent="0.3">
      <c r="A5226" s="18" t="s">
        <v>9864</v>
      </c>
      <c r="B5226" s="19" t="s">
        <v>15</v>
      </c>
      <c r="C5226" s="18" t="s">
        <v>9865</v>
      </c>
      <c r="D5226" s="18" t="s">
        <v>116</v>
      </c>
      <c r="E5226" s="18" t="s">
        <v>74</v>
      </c>
      <c r="F5226" s="18" t="s">
        <v>9996</v>
      </c>
      <c r="G5226" s="18" t="s">
        <v>381</v>
      </c>
      <c r="H5226" s="18" t="s">
        <v>9885</v>
      </c>
      <c r="I5226" s="20" t="s">
        <v>9997</v>
      </c>
      <c r="J5226" s="18" t="s">
        <v>9993</v>
      </c>
      <c r="K5226" s="18" t="s">
        <v>24</v>
      </c>
      <c r="L5226" s="18" t="s">
        <v>25</v>
      </c>
      <c r="N5226" s="18" t="s">
        <v>820</v>
      </c>
    </row>
    <row r="5227" spans="1:14" ht="15" customHeight="1" x14ac:dyDescent="0.3">
      <c r="A5227" s="18" t="s">
        <v>9864</v>
      </c>
      <c r="B5227" s="19" t="s">
        <v>15</v>
      </c>
      <c r="C5227" s="18" t="s">
        <v>9865</v>
      </c>
      <c r="D5227" s="18" t="s">
        <v>116</v>
      </c>
      <c r="E5227" s="18" t="s">
        <v>74</v>
      </c>
      <c r="F5227" s="18" t="s">
        <v>9998</v>
      </c>
      <c r="G5227" s="18" t="s">
        <v>381</v>
      </c>
      <c r="H5227" s="18" t="s">
        <v>9885</v>
      </c>
      <c r="I5227" s="20" t="s">
        <v>9999</v>
      </c>
      <c r="J5227" s="18" t="s">
        <v>394</v>
      </c>
      <c r="K5227" s="18" t="s">
        <v>293</v>
      </c>
      <c r="L5227" s="18" t="s">
        <v>25</v>
      </c>
      <c r="N5227" s="18" t="s">
        <v>820</v>
      </c>
    </row>
    <row r="5228" spans="1:14" ht="15" customHeight="1" x14ac:dyDescent="0.3">
      <c r="A5228" s="18" t="s">
        <v>9864</v>
      </c>
      <c r="B5228" s="19" t="s">
        <v>15</v>
      </c>
      <c r="C5228" s="18" t="s">
        <v>9989</v>
      </c>
      <c r="D5228" s="18" t="s">
        <v>116</v>
      </c>
      <c r="E5228" s="18" t="s">
        <v>74</v>
      </c>
      <c r="F5228" s="18" t="s">
        <v>10000</v>
      </c>
      <c r="G5228" s="18" t="s">
        <v>1009</v>
      </c>
      <c r="H5228" s="18" t="s">
        <v>10001</v>
      </c>
      <c r="I5228" s="20" t="s">
        <v>10002</v>
      </c>
      <c r="J5228" s="18" t="s">
        <v>199</v>
      </c>
      <c r="K5228" s="18" t="s">
        <v>293</v>
      </c>
      <c r="L5228" s="18" t="s">
        <v>25</v>
      </c>
      <c r="N5228" s="18" t="s">
        <v>973</v>
      </c>
    </row>
    <row r="5229" spans="1:14" ht="15" customHeight="1" x14ac:dyDescent="0.3">
      <c r="A5229" s="18" t="s">
        <v>9864</v>
      </c>
      <c r="B5229" s="19" t="s">
        <v>15</v>
      </c>
      <c r="C5229" s="18" t="s">
        <v>9989</v>
      </c>
      <c r="D5229" s="18" t="s">
        <v>116</v>
      </c>
      <c r="E5229" s="18" t="s">
        <v>74</v>
      </c>
      <c r="F5229" s="18" t="s">
        <v>10003</v>
      </c>
      <c r="G5229" s="18" t="s">
        <v>273</v>
      </c>
      <c r="H5229" s="18" t="s">
        <v>10004</v>
      </c>
      <c r="I5229" s="20" t="s">
        <v>10005</v>
      </c>
      <c r="J5229" s="18" t="s">
        <v>9978</v>
      </c>
      <c r="K5229" s="18" t="s">
        <v>24</v>
      </c>
      <c r="L5229" s="18" t="s">
        <v>25</v>
      </c>
      <c r="N5229" s="18" t="s">
        <v>973</v>
      </c>
    </row>
    <row r="5230" spans="1:14" ht="15" customHeight="1" x14ac:dyDescent="0.3">
      <c r="A5230" s="18" t="s">
        <v>9864</v>
      </c>
      <c r="B5230" s="19" t="s">
        <v>15</v>
      </c>
      <c r="C5230" s="18" t="s">
        <v>9865</v>
      </c>
      <c r="D5230" s="18" t="s">
        <v>116</v>
      </c>
      <c r="E5230" s="18" t="s">
        <v>74</v>
      </c>
      <c r="F5230" s="18" t="s">
        <v>10006</v>
      </c>
      <c r="G5230" s="18" t="s">
        <v>381</v>
      </c>
      <c r="H5230" s="18" t="s">
        <v>9885</v>
      </c>
      <c r="I5230" s="20" t="s">
        <v>10007</v>
      </c>
      <c r="J5230" s="18" t="s">
        <v>9993</v>
      </c>
      <c r="K5230" s="18" t="s">
        <v>24</v>
      </c>
      <c r="L5230" s="18" t="s">
        <v>25</v>
      </c>
      <c r="N5230" s="18" t="s">
        <v>820</v>
      </c>
    </row>
    <row r="5231" spans="1:14" ht="15" customHeight="1" x14ac:dyDescent="0.3">
      <c r="A5231" s="18" t="s">
        <v>9864</v>
      </c>
      <c r="B5231" s="19" t="s">
        <v>15</v>
      </c>
      <c r="C5231" s="18" t="s">
        <v>9865</v>
      </c>
      <c r="D5231" s="18" t="s">
        <v>116</v>
      </c>
      <c r="E5231" s="18" t="s">
        <v>74</v>
      </c>
      <c r="F5231" s="18" t="s">
        <v>9159</v>
      </c>
      <c r="G5231" s="18" t="s">
        <v>433</v>
      </c>
      <c r="H5231" s="18" t="s">
        <v>10008</v>
      </c>
      <c r="I5231" s="20" t="s">
        <v>10009</v>
      </c>
      <c r="J5231" s="18" t="s">
        <v>9993</v>
      </c>
      <c r="K5231" s="18" t="s">
        <v>24</v>
      </c>
      <c r="L5231" s="18" t="s">
        <v>25</v>
      </c>
      <c r="N5231" s="18" t="s">
        <v>820</v>
      </c>
    </row>
    <row r="5232" spans="1:14" ht="15" customHeight="1" x14ac:dyDescent="0.3">
      <c r="A5232" s="18" t="s">
        <v>9864</v>
      </c>
      <c r="B5232" s="19" t="s">
        <v>15</v>
      </c>
      <c r="C5232" s="18" t="s">
        <v>9865</v>
      </c>
      <c r="D5232" s="18" t="s">
        <v>116</v>
      </c>
      <c r="E5232" s="18" t="s">
        <v>74</v>
      </c>
      <c r="F5232" s="18" t="s">
        <v>10010</v>
      </c>
      <c r="G5232" s="18" t="s">
        <v>197</v>
      </c>
      <c r="H5232" s="18" t="s">
        <v>9687</v>
      </c>
      <c r="I5232" s="20" t="s">
        <v>10011</v>
      </c>
      <c r="J5232" s="18" t="s">
        <v>9993</v>
      </c>
      <c r="K5232" s="18" t="s">
        <v>24</v>
      </c>
      <c r="L5232" s="18" t="s">
        <v>25</v>
      </c>
      <c r="N5232" s="18" t="s">
        <v>820</v>
      </c>
    </row>
    <row r="5233" spans="1:14" ht="15" customHeight="1" x14ac:dyDescent="0.3">
      <c r="A5233" s="18" t="s">
        <v>9864</v>
      </c>
      <c r="B5233" s="19" t="s">
        <v>15</v>
      </c>
      <c r="C5233" s="18" t="s">
        <v>9865</v>
      </c>
      <c r="D5233" s="18" t="s">
        <v>116</v>
      </c>
      <c r="E5233" s="18" t="s">
        <v>74</v>
      </c>
      <c r="F5233" s="18" t="s">
        <v>10012</v>
      </c>
      <c r="G5233" s="18" t="s">
        <v>263</v>
      </c>
      <c r="H5233" s="18" t="s">
        <v>10013</v>
      </c>
      <c r="I5233" s="20" t="s">
        <v>10014</v>
      </c>
      <c r="J5233" s="18" t="s">
        <v>9993</v>
      </c>
      <c r="K5233" s="18" t="s">
        <v>24</v>
      </c>
      <c r="L5233" s="18" t="s">
        <v>25</v>
      </c>
      <c r="N5233" s="18" t="s">
        <v>820</v>
      </c>
    </row>
    <row r="5234" spans="1:14" ht="15" customHeight="1" x14ac:dyDescent="0.3">
      <c r="A5234" s="18" t="s">
        <v>9864</v>
      </c>
      <c r="B5234" s="19" t="s">
        <v>15</v>
      </c>
      <c r="C5234" s="18" t="s">
        <v>9865</v>
      </c>
      <c r="D5234" s="18" t="s">
        <v>116</v>
      </c>
      <c r="E5234" s="18" t="s">
        <v>74</v>
      </c>
      <c r="F5234" s="18" t="s">
        <v>10015</v>
      </c>
      <c r="G5234" s="18" t="s">
        <v>2921</v>
      </c>
      <c r="H5234" s="18" t="s">
        <v>10016</v>
      </c>
      <c r="I5234" s="20" t="s">
        <v>10017</v>
      </c>
      <c r="J5234" s="18" t="s">
        <v>9978</v>
      </c>
      <c r="K5234" s="18" t="s">
        <v>24</v>
      </c>
      <c r="L5234" s="18" t="s">
        <v>25</v>
      </c>
      <c r="N5234" s="18" t="s">
        <v>820</v>
      </c>
    </row>
    <row r="5235" spans="1:14" ht="15" customHeight="1" x14ac:dyDescent="0.3">
      <c r="A5235" s="18" t="s">
        <v>9864</v>
      </c>
      <c r="B5235" s="19" t="s">
        <v>15</v>
      </c>
      <c r="C5235" s="18" t="s">
        <v>9865</v>
      </c>
      <c r="D5235" s="18" t="s">
        <v>116</v>
      </c>
      <c r="E5235" s="18" t="s">
        <v>74</v>
      </c>
      <c r="F5235" s="18" t="s">
        <v>10018</v>
      </c>
      <c r="G5235" s="18" t="s">
        <v>273</v>
      </c>
      <c r="H5235" s="18" t="s">
        <v>10004</v>
      </c>
      <c r="I5235" s="20" t="s">
        <v>10019</v>
      </c>
      <c r="J5235" s="18" t="s">
        <v>10020</v>
      </c>
      <c r="K5235" s="18" t="s">
        <v>24</v>
      </c>
      <c r="L5235" s="18" t="s">
        <v>25</v>
      </c>
      <c r="N5235" s="18" t="s">
        <v>820</v>
      </c>
    </row>
    <row r="5236" spans="1:14" ht="15" customHeight="1" x14ac:dyDescent="0.3">
      <c r="A5236" s="18" t="s">
        <v>9864</v>
      </c>
      <c r="B5236" s="19" t="s">
        <v>15</v>
      </c>
      <c r="C5236" s="18" t="s">
        <v>9989</v>
      </c>
      <c r="D5236" s="18" t="s">
        <v>116</v>
      </c>
      <c r="E5236" s="18" t="s">
        <v>74</v>
      </c>
      <c r="F5236" s="18" t="s">
        <v>10021</v>
      </c>
      <c r="G5236" s="18" t="s">
        <v>273</v>
      </c>
      <c r="H5236" s="18" t="s">
        <v>10004</v>
      </c>
      <c r="I5236" s="20" t="s">
        <v>10022</v>
      </c>
      <c r="J5236" s="18" t="s">
        <v>9978</v>
      </c>
      <c r="K5236" s="18" t="s">
        <v>24</v>
      </c>
      <c r="L5236" s="18" t="s">
        <v>25</v>
      </c>
      <c r="N5236" s="18" t="s">
        <v>973</v>
      </c>
    </row>
    <row r="5237" spans="1:14" ht="15" customHeight="1" x14ac:dyDescent="0.3">
      <c r="A5237" s="18" t="s">
        <v>9864</v>
      </c>
      <c r="B5237" s="19" t="s">
        <v>15</v>
      </c>
      <c r="C5237" s="18" t="s">
        <v>9989</v>
      </c>
      <c r="D5237" s="18" t="s">
        <v>116</v>
      </c>
      <c r="E5237" s="18" t="s">
        <v>74</v>
      </c>
      <c r="F5237" s="18" t="s">
        <v>10023</v>
      </c>
      <c r="G5237" s="18" t="s">
        <v>263</v>
      </c>
      <c r="H5237" s="18" t="s">
        <v>10024</v>
      </c>
      <c r="I5237" s="20" t="s">
        <v>10025</v>
      </c>
      <c r="J5237" s="18" t="s">
        <v>10026</v>
      </c>
      <c r="K5237" s="18" t="s">
        <v>24</v>
      </c>
      <c r="L5237" s="18" t="s">
        <v>25</v>
      </c>
      <c r="N5237" s="18" t="s">
        <v>973</v>
      </c>
    </row>
    <row r="5238" spans="1:14" ht="15" customHeight="1" x14ac:dyDescent="0.3">
      <c r="A5238" s="18" t="s">
        <v>9864</v>
      </c>
      <c r="B5238" s="19" t="s">
        <v>15</v>
      </c>
      <c r="C5238" s="18" t="s">
        <v>9865</v>
      </c>
      <c r="D5238" s="18" t="s">
        <v>116</v>
      </c>
      <c r="E5238" s="18" t="s">
        <v>74</v>
      </c>
      <c r="F5238" s="18" t="s">
        <v>10027</v>
      </c>
      <c r="G5238" s="18" t="s">
        <v>381</v>
      </c>
      <c r="H5238" s="18" t="s">
        <v>9885</v>
      </c>
      <c r="I5238" s="20" t="s">
        <v>10028</v>
      </c>
      <c r="J5238" s="18" t="s">
        <v>9993</v>
      </c>
      <c r="K5238" s="18" t="s">
        <v>24</v>
      </c>
      <c r="L5238" s="18" t="s">
        <v>25</v>
      </c>
      <c r="N5238" s="18" t="s">
        <v>820</v>
      </c>
    </row>
    <row r="5239" spans="1:14" ht="15" customHeight="1" x14ac:dyDescent="0.3">
      <c r="A5239" s="18" t="s">
        <v>9864</v>
      </c>
      <c r="B5239" s="19" t="s">
        <v>15</v>
      </c>
      <c r="C5239" s="18" t="s">
        <v>9865</v>
      </c>
      <c r="D5239" s="18" t="s">
        <v>116</v>
      </c>
      <c r="E5239" s="18" t="s">
        <v>74</v>
      </c>
      <c r="F5239" s="18" t="s">
        <v>10029</v>
      </c>
      <c r="G5239" s="18" t="s">
        <v>606</v>
      </c>
      <c r="H5239" s="18" t="s">
        <v>9687</v>
      </c>
      <c r="I5239" s="20" t="s">
        <v>10030</v>
      </c>
      <c r="J5239" s="18" t="s">
        <v>9993</v>
      </c>
      <c r="K5239" s="18" t="s">
        <v>24</v>
      </c>
      <c r="L5239" s="18" t="s">
        <v>25</v>
      </c>
      <c r="N5239" s="18" t="s">
        <v>820</v>
      </c>
    </row>
    <row r="5240" spans="1:14" ht="15" customHeight="1" x14ac:dyDescent="0.3">
      <c r="A5240" s="18" t="s">
        <v>9864</v>
      </c>
      <c r="B5240" s="19" t="s">
        <v>15</v>
      </c>
      <c r="C5240" s="18" t="s">
        <v>9865</v>
      </c>
      <c r="D5240" s="18" t="s">
        <v>116</v>
      </c>
      <c r="E5240" s="18" t="s">
        <v>74</v>
      </c>
      <c r="F5240" s="18" t="s">
        <v>10031</v>
      </c>
      <c r="G5240" s="18" t="s">
        <v>1009</v>
      </c>
      <c r="H5240" s="18" t="s">
        <v>9687</v>
      </c>
      <c r="I5240" s="20" t="s">
        <v>10032</v>
      </c>
      <c r="J5240" s="18" t="s">
        <v>9993</v>
      </c>
      <c r="K5240" s="18" t="s">
        <v>24</v>
      </c>
      <c r="L5240" s="18" t="s">
        <v>25</v>
      </c>
      <c r="N5240" s="18" t="s">
        <v>820</v>
      </c>
    </row>
    <row r="5241" spans="1:14" ht="15" customHeight="1" x14ac:dyDescent="0.3">
      <c r="A5241" s="18" t="s">
        <v>9864</v>
      </c>
      <c r="B5241" s="19" t="s">
        <v>15</v>
      </c>
      <c r="C5241" s="18" t="s">
        <v>9865</v>
      </c>
      <c r="D5241" s="18" t="s">
        <v>116</v>
      </c>
      <c r="E5241" s="18" t="s">
        <v>74</v>
      </c>
      <c r="F5241" s="18" t="s">
        <v>10033</v>
      </c>
      <c r="G5241" s="18" t="s">
        <v>212</v>
      </c>
      <c r="H5241" s="18" t="s">
        <v>9687</v>
      </c>
      <c r="I5241" s="20" t="s">
        <v>10034</v>
      </c>
      <c r="J5241" s="18" t="s">
        <v>9993</v>
      </c>
      <c r="K5241" s="18" t="s">
        <v>24</v>
      </c>
      <c r="L5241" s="18" t="s">
        <v>25</v>
      </c>
      <c r="N5241" s="18" t="s">
        <v>820</v>
      </c>
    </row>
    <row r="5242" spans="1:14" ht="15" customHeight="1" x14ac:dyDescent="0.3">
      <c r="A5242" s="18" t="s">
        <v>9864</v>
      </c>
      <c r="B5242" s="19" t="s">
        <v>15</v>
      </c>
      <c r="C5242" s="18" t="s">
        <v>9865</v>
      </c>
      <c r="D5242" s="18" t="s">
        <v>116</v>
      </c>
      <c r="E5242" s="18" t="s">
        <v>74</v>
      </c>
      <c r="F5242" s="18" t="s">
        <v>10035</v>
      </c>
      <c r="G5242" s="18" t="s">
        <v>1009</v>
      </c>
      <c r="H5242" s="18" t="s">
        <v>9687</v>
      </c>
      <c r="I5242" s="20" t="s">
        <v>10036</v>
      </c>
      <c r="J5242" s="18" t="s">
        <v>9993</v>
      </c>
      <c r="K5242" s="18" t="s">
        <v>24</v>
      </c>
      <c r="L5242" s="18" t="s">
        <v>25</v>
      </c>
      <c r="N5242" s="18" t="s">
        <v>820</v>
      </c>
    </row>
    <row r="5243" spans="1:14" ht="15" customHeight="1" x14ac:dyDescent="0.3">
      <c r="A5243" s="18" t="s">
        <v>9864</v>
      </c>
      <c r="B5243" s="19" t="s">
        <v>15</v>
      </c>
      <c r="C5243" s="18" t="s">
        <v>9865</v>
      </c>
      <c r="D5243" s="18" t="s">
        <v>116</v>
      </c>
      <c r="E5243" s="18" t="s">
        <v>74</v>
      </c>
      <c r="F5243" s="18" t="s">
        <v>472</v>
      </c>
      <c r="G5243" s="18" t="s">
        <v>381</v>
      </c>
      <c r="H5243" s="18" t="s">
        <v>9885</v>
      </c>
      <c r="I5243" s="20" t="s">
        <v>10037</v>
      </c>
      <c r="J5243" s="18" t="s">
        <v>9993</v>
      </c>
      <c r="K5243" s="18" t="s">
        <v>24</v>
      </c>
      <c r="L5243" s="18" t="s">
        <v>25</v>
      </c>
      <c r="N5243" s="18" t="s">
        <v>820</v>
      </c>
    </row>
    <row r="5244" spans="1:14" ht="15" customHeight="1" x14ac:dyDescent="0.3">
      <c r="A5244" s="18" t="s">
        <v>9864</v>
      </c>
      <c r="B5244" s="19" t="s">
        <v>15</v>
      </c>
      <c r="C5244" s="18" t="s">
        <v>9865</v>
      </c>
      <c r="D5244" s="18" t="s">
        <v>116</v>
      </c>
      <c r="E5244" s="18" t="s">
        <v>74</v>
      </c>
      <c r="F5244" s="18" t="s">
        <v>10038</v>
      </c>
      <c r="G5244" s="18" t="s">
        <v>32</v>
      </c>
      <c r="H5244" s="18" t="s">
        <v>9687</v>
      </c>
      <c r="I5244" s="20" t="s">
        <v>10039</v>
      </c>
      <c r="J5244" s="18" t="s">
        <v>9993</v>
      </c>
      <c r="K5244" s="18" t="s">
        <v>24</v>
      </c>
      <c r="L5244" s="18" t="s">
        <v>25</v>
      </c>
      <c r="N5244" s="18" t="s">
        <v>820</v>
      </c>
    </row>
    <row r="5245" spans="1:14" ht="15" customHeight="1" x14ac:dyDescent="0.3">
      <c r="A5245" s="18" t="s">
        <v>9864</v>
      </c>
      <c r="B5245" s="19" t="s">
        <v>15</v>
      </c>
      <c r="C5245" s="18" t="s">
        <v>9865</v>
      </c>
      <c r="D5245" s="18" t="s">
        <v>116</v>
      </c>
      <c r="E5245" s="18" t="s">
        <v>74</v>
      </c>
      <c r="F5245" s="18" t="s">
        <v>10040</v>
      </c>
      <c r="G5245" s="18" t="s">
        <v>1704</v>
      </c>
      <c r="H5245" s="18" t="s">
        <v>9687</v>
      </c>
      <c r="I5245" s="20" t="s">
        <v>10041</v>
      </c>
      <c r="J5245" s="18" t="s">
        <v>9993</v>
      </c>
      <c r="K5245" s="18" t="s">
        <v>24</v>
      </c>
      <c r="L5245" s="18" t="s">
        <v>25</v>
      </c>
      <c r="N5245" s="18" t="s">
        <v>820</v>
      </c>
    </row>
    <row r="5246" spans="1:14" ht="15" customHeight="1" x14ac:dyDescent="0.3">
      <c r="A5246" s="18" t="s">
        <v>9864</v>
      </c>
      <c r="B5246" s="19" t="s">
        <v>15</v>
      </c>
      <c r="C5246" s="18" t="s">
        <v>9989</v>
      </c>
      <c r="D5246" s="18" t="s">
        <v>116</v>
      </c>
      <c r="E5246" s="18" t="s">
        <v>74</v>
      </c>
      <c r="F5246" s="18" t="s">
        <v>10042</v>
      </c>
      <c r="G5246" s="18" t="s">
        <v>536</v>
      </c>
      <c r="H5246" s="18" t="s">
        <v>10043</v>
      </c>
      <c r="I5246" s="20" t="s">
        <v>10044</v>
      </c>
      <c r="J5246" s="18" t="s">
        <v>10026</v>
      </c>
      <c r="K5246" s="18" t="s">
        <v>24</v>
      </c>
      <c r="L5246" s="18" t="s">
        <v>25</v>
      </c>
      <c r="N5246" s="18" t="s">
        <v>973</v>
      </c>
    </row>
    <row r="5247" spans="1:14" ht="15" customHeight="1" x14ac:dyDescent="0.3">
      <c r="A5247" s="18" t="s">
        <v>10045</v>
      </c>
      <c r="B5247" s="19" t="s">
        <v>15</v>
      </c>
      <c r="C5247" s="18" t="s">
        <v>437</v>
      </c>
      <c r="D5247" s="18" t="s">
        <v>116</v>
      </c>
      <c r="E5247" s="18" t="s">
        <v>117</v>
      </c>
      <c r="F5247" s="18" t="s">
        <v>1719</v>
      </c>
      <c r="G5247" s="18" t="s">
        <v>212</v>
      </c>
      <c r="H5247" s="18" t="s">
        <v>10046</v>
      </c>
      <c r="I5247" s="20" t="s">
        <v>10047</v>
      </c>
      <c r="J5247" s="18" t="s">
        <v>58</v>
      </c>
      <c r="K5247" s="18" t="s">
        <v>24</v>
      </c>
      <c r="L5247" s="18" t="s">
        <v>25</v>
      </c>
      <c r="N5247" s="18" t="s">
        <v>441</v>
      </c>
    </row>
    <row r="5248" spans="1:14" ht="15" customHeight="1" x14ac:dyDescent="0.3">
      <c r="A5248" s="18" t="s">
        <v>10045</v>
      </c>
      <c r="B5248" s="19" t="s">
        <v>15</v>
      </c>
      <c r="C5248" s="18" t="s">
        <v>437</v>
      </c>
      <c r="D5248" s="18" t="s">
        <v>116</v>
      </c>
      <c r="E5248" s="18" t="s">
        <v>117</v>
      </c>
      <c r="F5248" s="18" t="s">
        <v>10048</v>
      </c>
      <c r="G5248" s="18" t="s">
        <v>1254</v>
      </c>
      <c r="H5248" s="18" t="s">
        <v>10046</v>
      </c>
      <c r="I5248" s="20" t="s">
        <v>10049</v>
      </c>
      <c r="J5248" s="18" t="s">
        <v>58</v>
      </c>
      <c r="K5248" s="18" t="s">
        <v>24</v>
      </c>
      <c r="L5248" s="18" t="s">
        <v>25</v>
      </c>
      <c r="N5248" s="18" t="s">
        <v>441</v>
      </c>
    </row>
    <row r="5249" spans="1:14" ht="15" customHeight="1" x14ac:dyDescent="0.3">
      <c r="A5249" s="18" t="s">
        <v>10045</v>
      </c>
      <c r="B5249" s="19" t="s">
        <v>15</v>
      </c>
      <c r="C5249" s="18" t="s">
        <v>437</v>
      </c>
      <c r="D5249" s="18" t="s">
        <v>116</v>
      </c>
      <c r="E5249" s="18" t="s">
        <v>117</v>
      </c>
      <c r="F5249" s="18" t="s">
        <v>211</v>
      </c>
      <c r="G5249" s="18" t="s">
        <v>212</v>
      </c>
      <c r="H5249" s="18" t="s">
        <v>10046</v>
      </c>
      <c r="I5249" s="20" t="s">
        <v>10050</v>
      </c>
      <c r="J5249" s="18" t="s">
        <v>58</v>
      </c>
      <c r="K5249" s="18" t="s">
        <v>24</v>
      </c>
      <c r="L5249" s="18" t="s">
        <v>25</v>
      </c>
      <c r="N5249" s="18" t="s">
        <v>441</v>
      </c>
    </row>
    <row r="5250" spans="1:14" ht="15" customHeight="1" x14ac:dyDescent="0.3">
      <c r="A5250" s="18" t="s">
        <v>10045</v>
      </c>
      <c r="B5250" s="19" t="s">
        <v>15</v>
      </c>
      <c r="C5250" s="18" t="s">
        <v>437</v>
      </c>
      <c r="D5250" s="18" t="s">
        <v>116</v>
      </c>
      <c r="E5250" s="18" t="s">
        <v>117</v>
      </c>
      <c r="F5250" s="18" t="s">
        <v>1806</v>
      </c>
      <c r="G5250" s="18" t="s">
        <v>85</v>
      </c>
      <c r="H5250" s="18" t="s">
        <v>10051</v>
      </c>
      <c r="I5250" s="20" t="s">
        <v>10052</v>
      </c>
      <c r="J5250" s="18" t="s">
        <v>58</v>
      </c>
      <c r="K5250" s="18" t="s">
        <v>24</v>
      </c>
      <c r="L5250" s="18" t="s">
        <v>25</v>
      </c>
      <c r="N5250" s="18" t="s">
        <v>441</v>
      </c>
    </row>
    <row r="5251" spans="1:14" ht="15" customHeight="1" x14ac:dyDescent="0.3">
      <c r="A5251" s="18" t="s">
        <v>10045</v>
      </c>
      <c r="B5251" s="19" t="s">
        <v>15</v>
      </c>
      <c r="C5251" s="18" t="s">
        <v>437</v>
      </c>
      <c r="D5251" s="18" t="s">
        <v>116</v>
      </c>
      <c r="E5251" s="18" t="s">
        <v>117</v>
      </c>
      <c r="F5251" s="18" t="s">
        <v>4749</v>
      </c>
      <c r="G5251" s="18" t="s">
        <v>212</v>
      </c>
      <c r="H5251" s="18" t="s">
        <v>10046</v>
      </c>
      <c r="I5251" s="20" t="s">
        <v>10053</v>
      </c>
      <c r="J5251" s="18" t="s">
        <v>58</v>
      </c>
      <c r="K5251" s="18" t="s">
        <v>24</v>
      </c>
      <c r="L5251" s="18" t="s">
        <v>25</v>
      </c>
      <c r="N5251" s="18" t="s">
        <v>441</v>
      </c>
    </row>
    <row r="5252" spans="1:14" ht="15" customHeight="1" x14ac:dyDescent="0.3">
      <c r="A5252" s="18" t="s">
        <v>10045</v>
      </c>
      <c r="B5252" s="19" t="s">
        <v>15</v>
      </c>
      <c r="C5252" s="18" t="s">
        <v>437</v>
      </c>
      <c r="D5252" s="18" t="s">
        <v>116</v>
      </c>
      <c r="E5252" s="18" t="s">
        <v>117</v>
      </c>
      <c r="F5252" s="18" t="s">
        <v>4691</v>
      </c>
      <c r="G5252" s="18" t="s">
        <v>28</v>
      </c>
      <c r="H5252" s="18" t="s">
        <v>10054</v>
      </c>
      <c r="I5252" s="20" t="s">
        <v>10055</v>
      </c>
      <c r="J5252" s="18" t="s">
        <v>58</v>
      </c>
      <c r="K5252" s="18" t="s">
        <v>24</v>
      </c>
      <c r="L5252" s="18" t="s">
        <v>25</v>
      </c>
      <c r="N5252" s="18" t="s">
        <v>441</v>
      </c>
    </row>
    <row r="5253" spans="1:14" ht="15" customHeight="1" x14ac:dyDescent="0.3">
      <c r="A5253" s="18" t="s">
        <v>10045</v>
      </c>
      <c r="B5253" s="19" t="s">
        <v>15</v>
      </c>
      <c r="C5253" s="18" t="s">
        <v>437</v>
      </c>
      <c r="D5253" s="18" t="s">
        <v>116</v>
      </c>
      <c r="E5253" s="18" t="s">
        <v>117</v>
      </c>
      <c r="F5253" s="18" t="s">
        <v>10056</v>
      </c>
      <c r="G5253" s="18" t="s">
        <v>1291</v>
      </c>
      <c r="H5253" s="18" t="s">
        <v>10054</v>
      </c>
      <c r="I5253" s="20" t="s">
        <v>10057</v>
      </c>
      <c r="J5253" s="18" t="s">
        <v>58</v>
      </c>
      <c r="K5253" s="18" t="s">
        <v>24</v>
      </c>
      <c r="L5253" s="18" t="s">
        <v>25</v>
      </c>
      <c r="N5253" s="18" t="s">
        <v>441</v>
      </c>
    </row>
    <row r="5254" spans="1:14" ht="15" customHeight="1" x14ac:dyDescent="0.3">
      <c r="A5254" s="18" t="s">
        <v>10045</v>
      </c>
      <c r="B5254" s="19" t="s">
        <v>15</v>
      </c>
      <c r="C5254" s="18" t="s">
        <v>437</v>
      </c>
      <c r="D5254" s="18" t="s">
        <v>116</v>
      </c>
      <c r="E5254" s="18" t="s">
        <v>117</v>
      </c>
      <c r="F5254" s="18" t="s">
        <v>10058</v>
      </c>
      <c r="G5254" s="18" t="s">
        <v>1291</v>
      </c>
      <c r="H5254" s="18" t="s">
        <v>10054</v>
      </c>
      <c r="I5254" s="20" t="s">
        <v>10059</v>
      </c>
      <c r="J5254" s="18" t="s">
        <v>58</v>
      </c>
      <c r="K5254" s="18" t="s">
        <v>24</v>
      </c>
      <c r="L5254" s="18" t="s">
        <v>25</v>
      </c>
      <c r="N5254" s="18" t="s">
        <v>441</v>
      </c>
    </row>
    <row r="5255" spans="1:14" ht="15" customHeight="1" x14ac:dyDescent="0.3">
      <c r="A5255" s="18" t="s">
        <v>10045</v>
      </c>
      <c r="B5255" s="19" t="s">
        <v>15</v>
      </c>
      <c r="C5255" s="18" t="s">
        <v>437</v>
      </c>
      <c r="D5255" s="18" t="s">
        <v>116</v>
      </c>
      <c r="E5255" s="18" t="s">
        <v>117</v>
      </c>
      <c r="F5255" s="18" t="s">
        <v>2506</v>
      </c>
      <c r="G5255" s="18" t="s">
        <v>1204</v>
      </c>
      <c r="H5255" s="18" t="s">
        <v>10046</v>
      </c>
      <c r="I5255" s="20" t="s">
        <v>10060</v>
      </c>
      <c r="J5255" s="18" t="s">
        <v>58</v>
      </c>
      <c r="K5255" s="18" t="s">
        <v>24</v>
      </c>
      <c r="L5255" s="18" t="s">
        <v>25</v>
      </c>
      <c r="N5255" s="18" t="s">
        <v>441</v>
      </c>
    </row>
    <row r="5256" spans="1:14" ht="15" customHeight="1" x14ac:dyDescent="0.3">
      <c r="A5256" s="18" t="s">
        <v>10045</v>
      </c>
      <c r="B5256" s="19" t="s">
        <v>15</v>
      </c>
      <c r="C5256" s="18" t="s">
        <v>437</v>
      </c>
      <c r="D5256" s="18" t="s">
        <v>116</v>
      </c>
      <c r="E5256" s="18" t="s">
        <v>117</v>
      </c>
      <c r="F5256" s="18" t="s">
        <v>10061</v>
      </c>
      <c r="G5256" s="18" t="s">
        <v>7305</v>
      </c>
      <c r="H5256" s="18" t="s">
        <v>10062</v>
      </c>
      <c r="I5256" s="20" t="s">
        <v>10063</v>
      </c>
      <c r="J5256" s="18" t="s">
        <v>58</v>
      </c>
      <c r="K5256" s="18" t="s">
        <v>24</v>
      </c>
      <c r="L5256" s="18" t="s">
        <v>25</v>
      </c>
      <c r="N5256" s="18" t="s">
        <v>441</v>
      </c>
    </row>
    <row r="5257" spans="1:14" ht="15" customHeight="1" x14ac:dyDescent="0.3">
      <c r="A5257" s="18" t="s">
        <v>10045</v>
      </c>
      <c r="B5257" s="19" t="s">
        <v>15</v>
      </c>
      <c r="C5257" s="18" t="s">
        <v>437</v>
      </c>
      <c r="D5257" s="18" t="s">
        <v>116</v>
      </c>
      <c r="E5257" s="18" t="s">
        <v>117</v>
      </c>
      <c r="F5257" s="18" t="s">
        <v>10064</v>
      </c>
      <c r="G5257" s="18" t="s">
        <v>913</v>
      </c>
      <c r="H5257" s="18" t="s">
        <v>10065</v>
      </c>
      <c r="I5257" s="20" t="s">
        <v>10066</v>
      </c>
      <c r="J5257" s="18" t="s">
        <v>58</v>
      </c>
      <c r="K5257" s="18" t="s">
        <v>24</v>
      </c>
      <c r="L5257" s="18" t="s">
        <v>25</v>
      </c>
      <c r="N5257" s="18" t="s">
        <v>441</v>
      </c>
    </row>
    <row r="5258" spans="1:14" ht="15" customHeight="1" x14ac:dyDescent="0.3">
      <c r="A5258" s="18" t="s">
        <v>10045</v>
      </c>
      <c r="B5258" s="19" t="s">
        <v>15</v>
      </c>
      <c r="C5258" s="18" t="s">
        <v>437</v>
      </c>
      <c r="D5258" s="18" t="s">
        <v>116</v>
      </c>
      <c r="E5258" s="18" t="s">
        <v>117</v>
      </c>
      <c r="F5258" s="18" t="s">
        <v>10067</v>
      </c>
      <c r="G5258" s="18" t="s">
        <v>537</v>
      </c>
      <c r="H5258" s="18" t="s">
        <v>10051</v>
      </c>
      <c r="I5258" s="20" t="s">
        <v>10068</v>
      </c>
      <c r="J5258" s="18" t="s">
        <v>58</v>
      </c>
      <c r="K5258" s="18" t="s">
        <v>24</v>
      </c>
      <c r="L5258" s="18" t="s">
        <v>25</v>
      </c>
      <c r="N5258" s="18" t="s">
        <v>441</v>
      </c>
    </row>
    <row r="5259" spans="1:14" ht="15" customHeight="1" x14ac:dyDescent="0.3">
      <c r="A5259" s="18" t="s">
        <v>10045</v>
      </c>
      <c r="B5259" s="19" t="s">
        <v>15</v>
      </c>
      <c r="C5259" s="18" t="s">
        <v>437</v>
      </c>
      <c r="D5259" s="18" t="s">
        <v>116</v>
      </c>
      <c r="E5259" s="18" t="s">
        <v>117</v>
      </c>
      <c r="F5259" s="18" t="s">
        <v>10069</v>
      </c>
      <c r="G5259" s="18" t="s">
        <v>913</v>
      </c>
      <c r="H5259" s="18" t="s">
        <v>10046</v>
      </c>
      <c r="I5259" s="20" t="s">
        <v>10070</v>
      </c>
      <c r="J5259" s="18" t="s">
        <v>58</v>
      </c>
      <c r="K5259" s="18" t="s">
        <v>24</v>
      </c>
      <c r="L5259" s="18" t="s">
        <v>25</v>
      </c>
      <c r="N5259" s="18" t="s">
        <v>441</v>
      </c>
    </row>
    <row r="5260" spans="1:14" ht="15" customHeight="1" x14ac:dyDescent="0.3">
      <c r="A5260" s="18" t="s">
        <v>10045</v>
      </c>
      <c r="B5260" s="19" t="s">
        <v>15</v>
      </c>
      <c r="C5260" s="18" t="s">
        <v>437</v>
      </c>
      <c r="D5260" s="18" t="s">
        <v>116</v>
      </c>
      <c r="E5260" s="18" t="s">
        <v>117</v>
      </c>
      <c r="F5260" s="18" t="s">
        <v>10071</v>
      </c>
      <c r="G5260" s="18" t="s">
        <v>1204</v>
      </c>
      <c r="H5260" s="18" t="s">
        <v>10046</v>
      </c>
      <c r="I5260" s="20" t="s">
        <v>10072</v>
      </c>
      <c r="J5260" s="18" t="s">
        <v>58</v>
      </c>
      <c r="K5260" s="18" t="s">
        <v>24</v>
      </c>
      <c r="L5260" s="18" t="s">
        <v>25</v>
      </c>
      <c r="N5260" s="18" t="s">
        <v>441</v>
      </c>
    </row>
    <row r="5261" spans="1:14" ht="15" customHeight="1" x14ac:dyDescent="0.3">
      <c r="A5261" s="18" t="s">
        <v>10045</v>
      </c>
      <c r="B5261" s="19" t="s">
        <v>15</v>
      </c>
      <c r="C5261" s="18" t="s">
        <v>437</v>
      </c>
      <c r="D5261" s="18" t="s">
        <v>116</v>
      </c>
      <c r="E5261" s="18" t="s">
        <v>117</v>
      </c>
      <c r="F5261" s="18" t="s">
        <v>1318</v>
      </c>
      <c r="G5261" s="18" t="s">
        <v>207</v>
      </c>
      <c r="H5261" s="18" t="s">
        <v>10073</v>
      </c>
      <c r="I5261" s="20" t="s">
        <v>10074</v>
      </c>
      <c r="J5261" s="18" t="s">
        <v>58</v>
      </c>
      <c r="K5261" s="18" t="s">
        <v>24</v>
      </c>
      <c r="L5261" s="18" t="s">
        <v>25</v>
      </c>
      <c r="N5261" s="18" t="s">
        <v>441</v>
      </c>
    </row>
    <row r="5262" spans="1:14" ht="15" customHeight="1" x14ac:dyDescent="0.3">
      <c r="A5262" s="18" t="s">
        <v>10045</v>
      </c>
      <c r="B5262" s="19" t="s">
        <v>15</v>
      </c>
      <c r="C5262" s="18" t="s">
        <v>437</v>
      </c>
      <c r="D5262" s="18" t="s">
        <v>116</v>
      </c>
      <c r="E5262" s="18" t="s">
        <v>117</v>
      </c>
      <c r="F5262" s="18" t="s">
        <v>5652</v>
      </c>
      <c r="G5262" s="18" t="s">
        <v>1055</v>
      </c>
      <c r="H5262" s="18" t="s">
        <v>10054</v>
      </c>
      <c r="I5262" s="20" t="s">
        <v>10075</v>
      </c>
      <c r="J5262" s="18" t="s">
        <v>58</v>
      </c>
      <c r="K5262" s="18" t="s">
        <v>24</v>
      </c>
      <c r="L5262" s="18" t="s">
        <v>25</v>
      </c>
      <c r="N5262" s="18" t="s">
        <v>441</v>
      </c>
    </row>
    <row r="5263" spans="1:14" ht="15" customHeight="1" x14ac:dyDescent="0.3">
      <c r="A5263" s="18" t="s">
        <v>10045</v>
      </c>
      <c r="B5263" s="19" t="s">
        <v>15</v>
      </c>
      <c r="C5263" s="18" t="s">
        <v>437</v>
      </c>
      <c r="D5263" s="18" t="s">
        <v>116</v>
      </c>
      <c r="E5263" s="18" t="s">
        <v>117</v>
      </c>
      <c r="F5263" s="18" t="s">
        <v>10076</v>
      </c>
      <c r="G5263" s="18" t="s">
        <v>47</v>
      </c>
      <c r="H5263" s="18" t="s">
        <v>10046</v>
      </c>
      <c r="I5263" s="20" t="s">
        <v>10077</v>
      </c>
      <c r="J5263" s="18" t="s">
        <v>58</v>
      </c>
      <c r="K5263" s="18" t="s">
        <v>24</v>
      </c>
      <c r="L5263" s="18" t="s">
        <v>25</v>
      </c>
      <c r="N5263" s="18" t="s">
        <v>441</v>
      </c>
    </row>
    <row r="5264" spans="1:14" ht="15" customHeight="1" x14ac:dyDescent="0.3">
      <c r="A5264" s="18" t="s">
        <v>10045</v>
      </c>
      <c r="B5264" s="19" t="s">
        <v>15</v>
      </c>
      <c r="C5264" s="18" t="s">
        <v>437</v>
      </c>
      <c r="D5264" s="18" t="s">
        <v>116</v>
      </c>
      <c r="E5264" s="18" t="s">
        <v>117</v>
      </c>
      <c r="F5264" s="18" t="s">
        <v>1223</v>
      </c>
      <c r="G5264" s="18" t="s">
        <v>826</v>
      </c>
      <c r="H5264" s="18" t="s">
        <v>10046</v>
      </c>
      <c r="I5264" s="20" t="s">
        <v>10078</v>
      </c>
      <c r="J5264" s="18" t="s">
        <v>58</v>
      </c>
      <c r="K5264" s="18" t="s">
        <v>24</v>
      </c>
      <c r="L5264" s="18" t="s">
        <v>25</v>
      </c>
      <c r="N5264" s="18" t="s">
        <v>441</v>
      </c>
    </row>
    <row r="5265" spans="1:14" ht="15" customHeight="1" x14ac:dyDescent="0.3">
      <c r="A5265" s="18" t="s">
        <v>10045</v>
      </c>
      <c r="B5265" s="19" t="s">
        <v>15</v>
      </c>
      <c r="C5265" s="18" t="s">
        <v>437</v>
      </c>
      <c r="D5265" s="18" t="s">
        <v>116</v>
      </c>
      <c r="E5265" s="18" t="s">
        <v>117</v>
      </c>
      <c r="F5265" s="18" t="s">
        <v>10079</v>
      </c>
      <c r="G5265" s="18" t="s">
        <v>270</v>
      </c>
      <c r="H5265" s="18" t="s">
        <v>10051</v>
      </c>
      <c r="I5265" s="20" t="s">
        <v>10080</v>
      </c>
      <c r="J5265" s="18" t="s">
        <v>58</v>
      </c>
      <c r="K5265" s="18" t="s">
        <v>24</v>
      </c>
      <c r="L5265" s="18" t="s">
        <v>25</v>
      </c>
      <c r="N5265" s="18" t="s">
        <v>441</v>
      </c>
    </row>
    <row r="5266" spans="1:14" ht="15" customHeight="1" x14ac:dyDescent="0.3">
      <c r="A5266" s="18" t="s">
        <v>10045</v>
      </c>
      <c r="B5266" s="19" t="s">
        <v>15</v>
      </c>
      <c r="C5266" s="18" t="s">
        <v>437</v>
      </c>
      <c r="D5266" s="18" t="s">
        <v>116</v>
      </c>
      <c r="E5266" s="18" t="s">
        <v>117</v>
      </c>
      <c r="F5266" s="18" t="s">
        <v>10081</v>
      </c>
      <c r="G5266" s="18" t="s">
        <v>913</v>
      </c>
      <c r="H5266" s="18" t="s">
        <v>10046</v>
      </c>
      <c r="I5266" s="20" t="s">
        <v>10082</v>
      </c>
      <c r="J5266" s="18" t="s">
        <v>58</v>
      </c>
      <c r="K5266" s="18" t="s">
        <v>24</v>
      </c>
      <c r="L5266" s="18" t="s">
        <v>25</v>
      </c>
      <c r="N5266" s="18" t="s">
        <v>441</v>
      </c>
    </row>
    <row r="5267" spans="1:14" ht="15" customHeight="1" x14ac:dyDescent="0.3">
      <c r="A5267" s="18" t="s">
        <v>10045</v>
      </c>
      <c r="B5267" s="19" t="s">
        <v>15</v>
      </c>
      <c r="C5267" s="18" t="s">
        <v>437</v>
      </c>
      <c r="D5267" s="18" t="s">
        <v>116</v>
      </c>
      <c r="E5267" s="18" t="s">
        <v>117</v>
      </c>
      <c r="F5267" s="18" t="s">
        <v>1228</v>
      </c>
      <c r="G5267" s="18" t="s">
        <v>2248</v>
      </c>
      <c r="H5267" s="18" t="s">
        <v>10046</v>
      </c>
      <c r="I5267" s="20" t="s">
        <v>10083</v>
      </c>
      <c r="J5267" s="18" t="s">
        <v>58</v>
      </c>
      <c r="K5267" s="18" t="s">
        <v>24</v>
      </c>
      <c r="L5267" s="18" t="s">
        <v>25</v>
      </c>
      <c r="N5267" s="18" t="s">
        <v>441</v>
      </c>
    </row>
    <row r="5268" spans="1:14" ht="15" customHeight="1" x14ac:dyDescent="0.3">
      <c r="A5268" s="18" t="s">
        <v>10045</v>
      </c>
      <c r="B5268" s="19" t="s">
        <v>15</v>
      </c>
      <c r="C5268" s="18" t="s">
        <v>10084</v>
      </c>
      <c r="D5268" s="18" t="s">
        <v>116</v>
      </c>
      <c r="E5268" s="18" t="s">
        <v>117</v>
      </c>
      <c r="F5268" s="18" t="s">
        <v>7651</v>
      </c>
      <c r="G5268" s="18" t="s">
        <v>47</v>
      </c>
      <c r="H5268" s="18" t="s">
        <v>10085</v>
      </c>
      <c r="I5268" s="20" t="s">
        <v>10086</v>
      </c>
      <c r="J5268" s="18" t="s">
        <v>58</v>
      </c>
      <c r="K5268" s="18" t="s">
        <v>24</v>
      </c>
      <c r="L5268" s="18" t="s">
        <v>25</v>
      </c>
      <c r="N5268" s="18" t="s">
        <v>807</v>
      </c>
    </row>
    <row r="5269" spans="1:14" ht="15" customHeight="1" x14ac:dyDescent="0.3">
      <c r="A5269" s="18" t="s">
        <v>10045</v>
      </c>
      <c r="B5269" s="19" t="s">
        <v>15</v>
      </c>
      <c r="C5269" s="18" t="s">
        <v>437</v>
      </c>
      <c r="D5269" s="18" t="s">
        <v>116</v>
      </c>
      <c r="E5269" s="18" t="s">
        <v>117</v>
      </c>
      <c r="F5269" s="18" t="s">
        <v>10087</v>
      </c>
      <c r="G5269" s="18" t="s">
        <v>60</v>
      </c>
      <c r="H5269" s="18" t="s">
        <v>10046</v>
      </c>
      <c r="I5269" s="20" t="s">
        <v>10088</v>
      </c>
      <c r="J5269" s="18" t="s">
        <v>58</v>
      </c>
      <c r="K5269" s="18" t="s">
        <v>24</v>
      </c>
      <c r="L5269" s="18" t="s">
        <v>25</v>
      </c>
      <c r="N5269" s="18" t="s">
        <v>441</v>
      </c>
    </row>
    <row r="5270" spans="1:14" ht="15" customHeight="1" x14ac:dyDescent="0.3">
      <c r="A5270" s="18" t="s">
        <v>10045</v>
      </c>
      <c r="B5270" s="19" t="s">
        <v>15</v>
      </c>
      <c r="C5270" s="18" t="s">
        <v>437</v>
      </c>
      <c r="D5270" s="18" t="s">
        <v>116</v>
      </c>
      <c r="E5270" s="18" t="s">
        <v>117</v>
      </c>
      <c r="F5270" s="18" t="s">
        <v>1233</v>
      </c>
      <c r="G5270" s="18" t="s">
        <v>47</v>
      </c>
      <c r="H5270" s="18" t="s">
        <v>10046</v>
      </c>
      <c r="I5270" s="20" t="s">
        <v>10089</v>
      </c>
      <c r="J5270" s="18" t="s">
        <v>58</v>
      </c>
      <c r="K5270" s="18" t="s">
        <v>24</v>
      </c>
      <c r="L5270" s="18" t="s">
        <v>25</v>
      </c>
      <c r="N5270" s="18" t="s">
        <v>441</v>
      </c>
    </row>
    <row r="5271" spans="1:14" ht="15" customHeight="1" x14ac:dyDescent="0.3">
      <c r="A5271" s="18" t="s">
        <v>10045</v>
      </c>
      <c r="B5271" s="19" t="s">
        <v>15</v>
      </c>
      <c r="C5271" s="18" t="s">
        <v>437</v>
      </c>
      <c r="D5271" s="18" t="s">
        <v>116</v>
      </c>
      <c r="E5271" s="18" t="s">
        <v>117</v>
      </c>
      <c r="F5271" s="18" t="s">
        <v>10090</v>
      </c>
      <c r="G5271" s="18" t="s">
        <v>173</v>
      </c>
      <c r="H5271" s="18" t="s">
        <v>10046</v>
      </c>
      <c r="I5271" s="20" t="s">
        <v>10091</v>
      </c>
      <c r="J5271" s="18" t="s">
        <v>58</v>
      </c>
      <c r="K5271" s="18" t="s">
        <v>24</v>
      </c>
      <c r="L5271" s="18" t="s">
        <v>25</v>
      </c>
      <c r="N5271" s="18" t="s">
        <v>441</v>
      </c>
    </row>
    <row r="5272" spans="1:14" ht="15" customHeight="1" x14ac:dyDescent="0.3">
      <c r="A5272" s="18" t="s">
        <v>10045</v>
      </c>
      <c r="B5272" s="19" t="s">
        <v>15</v>
      </c>
      <c r="C5272" s="18" t="s">
        <v>437</v>
      </c>
      <c r="D5272" s="18" t="s">
        <v>116</v>
      </c>
      <c r="E5272" s="18" t="s">
        <v>117</v>
      </c>
      <c r="F5272" s="18" t="s">
        <v>10092</v>
      </c>
      <c r="G5272" s="18" t="s">
        <v>1075</v>
      </c>
      <c r="H5272" s="18" t="s">
        <v>10046</v>
      </c>
      <c r="I5272" s="20" t="s">
        <v>10093</v>
      </c>
      <c r="J5272" s="18" t="s">
        <v>58</v>
      </c>
      <c r="K5272" s="18" t="s">
        <v>24</v>
      </c>
      <c r="L5272" s="18" t="s">
        <v>25</v>
      </c>
      <c r="N5272" s="18" t="s">
        <v>441</v>
      </c>
    </row>
    <row r="5273" spans="1:14" ht="15" customHeight="1" x14ac:dyDescent="0.3">
      <c r="A5273" s="18" t="s">
        <v>10045</v>
      </c>
      <c r="B5273" s="19" t="s">
        <v>15</v>
      </c>
      <c r="C5273" s="18" t="s">
        <v>437</v>
      </c>
      <c r="D5273" s="18" t="s">
        <v>116</v>
      </c>
      <c r="E5273" s="18" t="s">
        <v>117</v>
      </c>
      <c r="F5273" s="18" t="s">
        <v>720</v>
      </c>
      <c r="G5273" s="18" t="s">
        <v>537</v>
      </c>
      <c r="H5273" s="18" t="s">
        <v>10062</v>
      </c>
      <c r="I5273" s="20" t="s">
        <v>10094</v>
      </c>
      <c r="J5273" s="18" t="s">
        <v>58</v>
      </c>
      <c r="K5273" s="18" t="s">
        <v>24</v>
      </c>
      <c r="L5273" s="18" t="s">
        <v>25</v>
      </c>
      <c r="N5273" s="18" t="s">
        <v>441</v>
      </c>
    </row>
    <row r="5274" spans="1:14" ht="15" customHeight="1" x14ac:dyDescent="0.3">
      <c r="A5274" s="18" t="s">
        <v>10045</v>
      </c>
      <c r="B5274" s="19" t="s">
        <v>15</v>
      </c>
      <c r="C5274" s="18" t="s">
        <v>437</v>
      </c>
      <c r="D5274" s="18" t="s">
        <v>116</v>
      </c>
      <c r="E5274" s="18" t="s">
        <v>18</v>
      </c>
      <c r="F5274" s="18" t="s">
        <v>2084</v>
      </c>
      <c r="G5274" s="18" t="s">
        <v>1704</v>
      </c>
      <c r="H5274" s="18" t="s">
        <v>10095</v>
      </c>
      <c r="I5274" s="20" t="s">
        <v>10096</v>
      </c>
      <c r="J5274" s="18" t="s">
        <v>30</v>
      </c>
      <c r="K5274" s="18" t="s">
        <v>24</v>
      </c>
      <c r="L5274" s="18" t="s">
        <v>25</v>
      </c>
      <c r="N5274" s="18" t="s">
        <v>441</v>
      </c>
    </row>
    <row r="5275" spans="1:14" ht="15" customHeight="1" x14ac:dyDescent="0.3">
      <c r="A5275" s="18" t="s">
        <v>10045</v>
      </c>
      <c r="B5275" s="19" t="s">
        <v>15</v>
      </c>
      <c r="C5275" s="18" t="s">
        <v>437</v>
      </c>
      <c r="D5275" s="18" t="s">
        <v>116</v>
      </c>
      <c r="E5275" s="18" t="s">
        <v>18</v>
      </c>
      <c r="F5275" s="18" t="s">
        <v>8832</v>
      </c>
      <c r="G5275" s="18" t="s">
        <v>173</v>
      </c>
      <c r="H5275" s="18" t="s">
        <v>10095</v>
      </c>
      <c r="I5275" s="20" t="s">
        <v>10097</v>
      </c>
      <c r="J5275" s="18" t="s">
        <v>30</v>
      </c>
      <c r="K5275" s="18" t="s">
        <v>24</v>
      </c>
      <c r="L5275" s="18" t="s">
        <v>25</v>
      </c>
      <c r="N5275" s="18" t="s">
        <v>441</v>
      </c>
    </row>
    <row r="5276" spans="1:14" ht="15" customHeight="1" x14ac:dyDescent="0.3">
      <c r="A5276" s="18" t="s">
        <v>10045</v>
      </c>
      <c r="B5276" s="19" t="s">
        <v>15</v>
      </c>
      <c r="C5276" s="18" t="s">
        <v>437</v>
      </c>
      <c r="D5276" s="18" t="s">
        <v>116</v>
      </c>
      <c r="E5276" s="18" t="s">
        <v>18</v>
      </c>
      <c r="F5276" s="18" t="s">
        <v>7257</v>
      </c>
      <c r="G5276" s="18" t="s">
        <v>151</v>
      </c>
      <c r="H5276" s="18" t="s">
        <v>10098</v>
      </c>
      <c r="I5276" s="20" t="s">
        <v>10099</v>
      </c>
      <c r="J5276" s="18" t="s">
        <v>30</v>
      </c>
      <c r="K5276" s="18" t="s">
        <v>24</v>
      </c>
      <c r="L5276" s="18" t="s">
        <v>25</v>
      </c>
      <c r="N5276" s="18" t="s">
        <v>441</v>
      </c>
    </row>
    <row r="5277" spans="1:14" ht="15" customHeight="1" x14ac:dyDescent="0.3">
      <c r="A5277" s="18" t="s">
        <v>10045</v>
      </c>
      <c r="B5277" s="19" t="s">
        <v>15</v>
      </c>
      <c r="C5277" s="18" t="s">
        <v>437</v>
      </c>
      <c r="D5277" s="18" t="s">
        <v>116</v>
      </c>
      <c r="E5277" s="18" t="s">
        <v>18</v>
      </c>
      <c r="F5277" s="18" t="s">
        <v>1237</v>
      </c>
      <c r="G5277" s="18" t="s">
        <v>1254</v>
      </c>
      <c r="H5277" s="18" t="s">
        <v>10095</v>
      </c>
      <c r="I5277" s="20" t="s">
        <v>10100</v>
      </c>
      <c r="J5277" s="18" t="s">
        <v>30</v>
      </c>
      <c r="K5277" s="18" t="s">
        <v>24</v>
      </c>
      <c r="L5277" s="18" t="s">
        <v>25</v>
      </c>
      <c r="N5277" s="18" t="s">
        <v>441</v>
      </c>
    </row>
    <row r="5278" spans="1:14" ht="15" customHeight="1" x14ac:dyDescent="0.3">
      <c r="A5278" s="18" t="s">
        <v>10045</v>
      </c>
      <c r="B5278" s="19" t="s">
        <v>15</v>
      </c>
      <c r="C5278" s="18" t="s">
        <v>437</v>
      </c>
      <c r="D5278" s="18" t="s">
        <v>116</v>
      </c>
      <c r="E5278" s="18" t="s">
        <v>18</v>
      </c>
      <c r="F5278" s="18" t="s">
        <v>1518</v>
      </c>
      <c r="G5278" s="18" t="s">
        <v>606</v>
      </c>
      <c r="H5278" s="18" t="s">
        <v>10095</v>
      </c>
      <c r="I5278" s="20" t="s">
        <v>10101</v>
      </c>
      <c r="J5278" s="18" t="s">
        <v>30</v>
      </c>
      <c r="K5278" s="18" t="s">
        <v>24</v>
      </c>
      <c r="L5278" s="18" t="s">
        <v>25</v>
      </c>
      <c r="N5278" s="18" t="s">
        <v>441</v>
      </c>
    </row>
    <row r="5279" spans="1:14" ht="15" customHeight="1" x14ac:dyDescent="0.3">
      <c r="A5279" s="18" t="s">
        <v>10045</v>
      </c>
      <c r="B5279" s="19" t="s">
        <v>15</v>
      </c>
      <c r="C5279" s="18" t="s">
        <v>437</v>
      </c>
      <c r="D5279" s="18" t="s">
        <v>116</v>
      </c>
      <c r="E5279" s="18" t="s">
        <v>18</v>
      </c>
      <c r="F5279" s="18" t="s">
        <v>3135</v>
      </c>
      <c r="G5279" s="18" t="s">
        <v>606</v>
      </c>
      <c r="H5279" s="18" t="s">
        <v>10095</v>
      </c>
      <c r="I5279" s="20" t="s">
        <v>10102</v>
      </c>
      <c r="J5279" s="18" t="s">
        <v>30</v>
      </c>
      <c r="K5279" s="18" t="s">
        <v>24</v>
      </c>
      <c r="L5279" s="18" t="s">
        <v>25</v>
      </c>
      <c r="N5279" s="18" t="s">
        <v>441</v>
      </c>
    </row>
    <row r="5280" spans="1:14" ht="15" customHeight="1" x14ac:dyDescent="0.3">
      <c r="A5280" s="18" t="s">
        <v>10045</v>
      </c>
      <c r="B5280" s="19" t="s">
        <v>15</v>
      </c>
      <c r="C5280" s="18" t="s">
        <v>437</v>
      </c>
      <c r="D5280" s="18" t="s">
        <v>116</v>
      </c>
      <c r="E5280" s="18" t="s">
        <v>18</v>
      </c>
      <c r="F5280" s="18" t="s">
        <v>7265</v>
      </c>
      <c r="G5280" s="18" t="s">
        <v>606</v>
      </c>
      <c r="H5280" s="18" t="s">
        <v>10095</v>
      </c>
      <c r="I5280" s="20" t="s">
        <v>10103</v>
      </c>
      <c r="J5280" s="18" t="s">
        <v>30</v>
      </c>
      <c r="K5280" s="18" t="s">
        <v>24</v>
      </c>
      <c r="L5280" s="18" t="s">
        <v>25</v>
      </c>
      <c r="N5280" s="18" t="s">
        <v>441</v>
      </c>
    </row>
    <row r="5281" spans="1:14" ht="15" customHeight="1" x14ac:dyDescent="0.3">
      <c r="A5281" s="18" t="s">
        <v>10045</v>
      </c>
      <c r="B5281" s="19" t="s">
        <v>15</v>
      </c>
      <c r="C5281" s="18" t="s">
        <v>437</v>
      </c>
      <c r="D5281" s="18" t="s">
        <v>116</v>
      </c>
      <c r="E5281" s="18" t="s">
        <v>18</v>
      </c>
      <c r="F5281" s="18" t="s">
        <v>2743</v>
      </c>
      <c r="G5281" s="18" t="s">
        <v>606</v>
      </c>
      <c r="H5281" s="18" t="s">
        <v>10095</v>
      </c>
      <c r="I5281" s="20" t="s">
        <v>10104</v>
      </c>
      <c r="J5281" s="18" t="s">
        <v>30</v>
      </c>
      <c r="K5281" s="18" t="s">
        <v>24</v>
      </c>
      <c r="L5281" s="18" t="s">
        <v>25</v>
      </c>
      <c r="N5281" s="18" t="s">
        <v>441</v>
      </c>
    </row>
    <row r="5282" spans="1:14" ht="15" customHeight="1" x14ac:dyDescent="0.3">
      <c r="A5282" s="18" t="s">
        <v>10045</v>
      </c>
      <c r="B5282" s="19" t="s">
        <v>15</v>
      </c>
      <c r="C5282" s="18" t="s">
        <v>437</v>
      </c>
      <c r="D5282" s="18" t="s">
        <v>116</v>
      </c>
      <c r="E5282" s="18" t="s">
        <v>18</v>
      </c>
      <c r="F5282" s="18" t="s">
        <v>613</v>
      </c>
      <c r="G5282" s="18" t="s">
        <v>606</v>
      </c>
      <c r="H5282" s="18" t="s">
        <v>10105</v>
      </c>
      <c r="I5282" s="20" t="s">
        <v>10106</v>
      </c>
      <c r="J5282" s="18" t="s">
        <v>30</v>
      </c>
      <c r="K5282" s="18" t="s">
        <v>24</v>
      </c>
      <c r="L5282" s="18" t="s">
        <v>25</v>
      </c>
      <c r="N5282" s="18" t="s">
        <v>441</v>
      </c>
    </row>
    <row r="5283" spans="1:14" ht="15" customHeight="1" x14ac:dyDescent="0.3">
      <c r="A5283" s="18" t="s">
        <v>10045</v>
      </c>
      <c r="B5283" s="19" t="s">
        <v>15</v>
      </c>
      <c r="C5283" s="18" t="s">
        <v>437</v>
      </c>
      <c r="D5283" s="18" t="s">
        <v>116</v>
      </c>
      <c r="E5283" s="18" t="s">
        <v>18</v>
      </c>
      <c r="F5283" s="18" t="s">
        <v>616</v>
      </c>
      <c r="G5283" s="18" t="s">
        <v>606</v>
      </c>
      <c r="H5283" s="18" t="s">
        <v>10107</v>
      </c>
      <c r="I5283" s="20" t="s">
        <v>10108</v>
      </c>
      <c r="J5283" s="18" t="s">
        <v>23</v>
      </c>
      <c r="K5283" s="18" t="s">
        <v>24</v>
      </c>
      <c r="L5283" s="18" t="s">
        <v>25</v>
      </c>
      <c r="N5283" s="18" t="s">
        <v>441</v>
      </c>
    </row>
    <row r="5284" spans="1:14" ht="15" customHeight="1" x14ac:dyDescent="0.3">
      <c r="A5284" s="18" t="s">
        <v>10045</v>
      </c>
      <c r="B5284" s="19" t="s">
        <v>15</v>
      </c>
      <c r="C5284" s="18" t="s">
        <v>437</v>
      </c>
      <c r="D5284" s="18" t="s">
        <v>116</v>
      </c>
      <c r="E5284" s="18" t="s">
        <v>18</v>
      </c>
      <c r="F5284" s="18" t="s">
        <v>6324</v>
      </c>
      <c r="G5284" s="18" t="s">
        <v>1130</v>
      </c>
      <c r="H5284" s="18" t="s">
        <v>10054</v>
      </c>
      <c r="I5284" s="20" t="s">
        <v>10109</v>
      </c>
      <c r="J5284" s="18" t="s">
        <v>30</v>
      </c>
      <c r="K5284" s="18" t="s">
        <v>24</v>
      </c>
      <c r="L5284" s="18" t="s">
        <v>25</v>
      </c>
      <c r="N5284" s="18" t="s">
        <v>441</v>
      </c>
    </row>
    <row r="5285" spans="1:14" ht="15" customHeight="1" x14ac:dyDescent="0.3">
      <c r="A5285" s="18" t="s">
        <v>10045</v>
      </c>
      <c r="B5285" s="19" t="s">
        <v>15</v>
      </c>
      <c r="C5285" s="18" t="s">
        <v>437</v>
      </c>
      <c r="D5285" s="18" t="s">
        <v>116</v>
      </c>
      <c r="E5285" s="18" t="s">
        <v>18</v>
      </c>
      <c r="F5285" s="18" t="s">
        <v>10110</v>
      </c>
      <c r="G5285" s="18" t="s">
        <v>273</v>
      </c>
      <c r="H5285" s="18" t="s">
        <v>10098</v>
      </c>
      <c r="I5285" s="20" t="s">
        <v>10111</v>
      </c>
      <c r="J5285" s="18" t="s">
        <v>30</v>
      </c>
      <c r="K5285" s="18" t="s">
        <v>24</v>
      </c>
      <c r="L5285" s="18" t="s">
        <v>25</v>
      </c>
      <c r="N5285" s="18" t="s">
        <v>441</v>
      </c>
    </row>
    <row r="5286" spans="1:14" ht="15" customHeight="1" x14ac:dyDescent="0.3">
      <c r="A5286" s="18" t="s">
        <v>10045</v>
      </c>
      <c r="B5286" s="19" t="s">
        <v>15</v>
      </c>
      <c r="C5286" s="18" t="s">
        <v>437</v>
      </c>
      <c r="D5286" s="18" t="s">
        <v>116</v>
      </c>
      <c r="E5286" s="18" t="s">
        <v>18</v>
      </c>
      <c r="F5286" s="18" t="s">
        <v>162</v>
      </c>
      <c r="G5286" s="18" t="s">
        <v>1291</v>
      </c>
      <c r="H5286" s="18" t="s">
        <v>10054</v>
      </c>
      <c r="I5286" s="20" t="s">
        <v>10112</v>
      </c>
      <c r="J5286" s="18" t="s">
        <v>30</v>
      </c>
      <c r="K5286" s="18" t="s">
        <v>24</v>
      </c>
      <c r="L5286" s="18" t="s">
        <v>25</v>
      </c>
      <c r="N5286" s="18" t="s">
        <v>441</v>
      </c>
    </row>
    <row r="5287" spans="1:14" ht="15" customHeight="1" x14ac:dyDescent="0.3">
      <c r="A5287" s="18" t="s">
        <v>10045</v>
      </c>
      <c r="B5287" s="19" t="s">
        <v>15</v>
      </c>
      <c r="C5287" s="18" t="s">
        <v>437</v>
      </c>
      <c r="D5287" s="18" t="s">
        <v>116</v>
      </c>
      <c r="E5287" s="18" t="s">
        <v>18</v>
      </c>
      <c r="F5287" s="18" t="s">
        <v>1019</v>
      </c>
      <c r="G5287" s="18" t="s">
        <v>1019</v>
      </c>
      <c r="H5287" s="18" t="s">
        <v>10054</v>
      </c>
      <c r="I5287" s="20" t="s">
        <v>10113</v>
      </c>
      <c r="J5287" s="18" t="s">
        <v>30</v>
      </c>
      <c r="K5287" s="18" t="s">
        <v>24</v>
      </c>
      <c r="L5287" s="18" t="s">
        <v>25</v>
      </c>
      <c r="N5287" s="18" t="s">
        <v>441</v>
      </c>
    </row>
    <row r="5288" spans="1:14" ht="15" customHeight="1" x14ac:dyDescent="0.3">
      <c r="A5288" s="18" t="s">
        <v>10045</v>
      </c>
      <c r="B5288" s="19" t="s">
        <v>15</v>
      </c>
      <c r="C5288" s="18" t="s">
        <v>437</v>
      </c>
      <c r="D5288" s="18" t="s">
        <v>116</v>
      </c>
      <c r="E5288" s="18" t="s">
        <v>18</v>
      </c>
      <c r="F5288" s="18" t="s">
        <v>987</v>
      </c>
      <c r="G5288" s="18" t="s">
        <v>19</v>
      </c>
      <c r="H5288" s="18" t="s">
        <v>10107</v>
      </c>
      <c r="I5288" s="20" t="s">
        <v>10114</v>
      </c>
      <c r="J5288" s="18" t="s">
        <v>23</v>
      </c>
      <c r="K5288" s="18" t="s">
        <v>24</v>
      </c>
      <c r="L5288" s="18" t="s">
        <v>25</v>
      </c>
      <c r="N5288" s="18" t="s">
        <v>441</v>
      </c>
    </row>
    <row r="5289" spans="1:14" ht="15" customHeight="1" x14ac:dyDescent="0.3">
      <c r="A5289" s="18" t="s">
        <v>10045</v>
      </c>
      <c r="B5289" s="19" t="s">
        <v>15</v>
      </c>
      <c r="C5289" s="18" t="s">
        <v>437</v>
      </c>
      <c r="D5289" s="18" t="s">
        <v>116</v>
      </c>
      <c r="E5289" s="18" t="s">
        <v>18</v>
      </c>
      <c r="F5289" s="18" t="s">
        <v>1069</v>
      </c>
      <c r="G5289" s="18" t="s">
        <v>1069</v>
      </c>
      <c r="H5289" s="18" t="s">
        <v>10115</v>
      </c>
      <c r="I5289" s="20" t="s">
        <v>10116</v>
      </c>
      <c r="J5289" s="18" t="s">
        <v>30</v>
      </c>
      <c r="K5289" s="18" t="s">
        <v>24</v>
      </c>
      <c r="L5289" s="18" t="s">
        <v>25</v>
      </c>
      <c r="N5289" s="18" t="s">
        <v>441</v>
      </c>
    </row>
    <row r="5290" spans="1:14" ht="15" customHeight="1" x14ac:dyDescent="0.3">
      <c r="A5290" s="18" t="s">
        <v>10045</v>
      </c>
      <c r="B5290" s="19" t="s">
        <v>15</v>
      </c>
      <c r="C5290" s="18" t="s">
        <v>437</v>
      </c>
      <c r="D5290" s="18" t="s">
        <v>116</v>
      </c>
      <c r="E5290" s="18" t="s">
        <v>18</v>
      </c>
      <c r="F5290" s="18" t="s">
        <v>10117</v>
      </c>
      <c r="G5290" s="18" t="s">
        <v>1069</v>
      </c>
      <c r="H5290" s="18" t="s">
        <v>10095</v>
      </c>
      <c r="I5290" s="20" t="s">
        <v>10118</v>
      </c>
      <c r="J5290" s="18" t="s">
        <v>30</v>
      </c>
      <c r="K5290" s="18" t="s">
        <v>24</v>
      </c>
      <c r="L5290" s="18" t="s">
        <v>25</v>
      </c>
      <c r="N5290" s="18" t="s">
        <v>441</v>
      </c>
    </row>
    <row r="5291" spans="1:14" ht="15" customHeight="1" x14ac:dyDescent="0.3">
      <c r="A5291" s="18" t="s">
        <v>10045</v>
      </c>
      <c r="B5291" s="19" t="s">
        <v>15</v>
      </c>
      <c r="C5291" s="18" t="s">
        <v>437</v>
      </c>
      <c r="D5291" s="18" t="s">
        <v>116</v>
      </c>
      <c r="E5291" s="18" t="s">
        <v>18</v>
      </c>
      <c r="F5291" s="18" t="s">
        <v>272</v>
      </c>
      <c r="G5291" s="18" t="s">
        <v>2857</v>
      </c>
      <c r="H5291" s="18" t="s">
        <v>10054</v>
      </c>
      <c r="I5291" s="20" t="s">
        <v>10119</v>
      </c>
      <c r="J5291" s="18" t="s">
        <v>30</v>
      </c>
      <c r="K5291" s="18" t="s">
        <v>24</v>
      </c>
      <c r="L5291" s="18" t="s">
        <v>25</v>
      </c>
      <c r="N5291" s="18" t="s">
        <v>441</v>
      </c>
    </row>
    <row r="5292" spans="1:14" ht="15" customHeight="1" x14ac:dyDescent="0.3">
      <c r="A5292" s="18" t="s">
        <v>10045</v>
      </c>
      <c r="B5292" s="19" t="s">
        <v>15</v>
      </c>
      <c r="C5292" s="18" t="s">
        <v>437</v>
      </c>
      <c r="D5292" s="18" t="s">
        <v>116</v>
      </c>
      <c r="E5292" s="18" t="s">
        <v>18</v>
      </c>
      <c r="F5292" s="18" t="s">
        <v>356</v>
      </c>
      <c r="G5292" s="18" t="s">
        <v>273</v>
      </c>
      <c r="H5292" s="18" t="s">
        <v>10054</v>
      </c>
      <c r="I5292" s="20" t="s">
        <v>10120</v>
      </c>
      <c r="J5292" s="18" t="s">
        <v>30</v>
      </c>
      <c r="K5292" s="18" t="s">
        <v>24</v>
      </c>
      <c r="L5292" s="18" t="s">
        <v>25</v>
      </c>
      <c r="N5292" s="18" t="s">
        <v>441</v>
      </c>
    </row>
    <row r="5293" spans="1:14" ht="15" customHeight="1" x14ac:dyDescent="0.3">
      <c r="A5293" s="18" t="s">
        <v>10045</v>
      </c>
      <c r="B5293" s="19" t="s">
        <v>15</v>
      </c>
      <c r="C5293" s="18" t="s">
        <v>437</v>
      </c>
      <c r="D5293" s="18" t="s">
        <v>116</v>
      </c>
      <c r="E5293" s="18" t="s">
        <v>18</v>
      </c>
      <c r="F5293" s="18" t="s">
        <v>381</v>
      </c>
      <c r="G5293" s="18" t="s">
        <v>381</v>
      </c>
      <c r="H5293" s="18" t="s">
        <v>10107</v>
      </c>
      <c r="I5293" s="20" t="s">
        <v>10121</v>
      </c>
      <c r="J5293" s="18" t="s">
        <v>23</v>
      </c>
      <c r="K5293" s="18" t="s">
        <v>24</v>
      </c>
      <c r="L5293" s="18" t="s">
        <v>25</v>
      </c>
      <c r="N5293" s="18" t="s">
        <v>441</v>
      </c>
    </row>
    <row r="5294" spans="1:14" ht="15" customHeight="1" x14ac:dyDescent="0.3">
      <c r="A5294" s="18" t="s">
        <v>10045</v>
      </c>
      <c r="B5294" s="19" t="s">
        <v>15</v>
      </c>
      <c r="C5294" s="18" t="s">
        <v>437</v>
      </c>
      <c r="D5294" s="18" t="s">
        <v>116</v>
      </c>
      <c r="E5294" s="18" t="s">
        <v>18</v>
      </c>
      <c r="F5294" s="18" t="s">
        <v>2124</v>
      </c>
      <c r="G5294" s="18" t="s">
        <v>913</v>
      </c>
      <c r="H5294" s="18" t="s">
        <v>10046</v>
      </c>
      <c r="I5294" s="20" t="s">
        <v>10122</v>
      </c>
      <c r="J5294" s="18" t="s">
        <v>30</v>
      </c>
      <c r="K5294" s="18" t="s">
        <v>24</v>
      </c>
      <c r="L5294" s="18" t="s">
        <v>25</v>
      </c>
      <c r="N5294" s="18" t="s">
        <v>441</v>
      </c>
    </row>
    <row r="5295" spans="1:14" ht="15" customHeight="1" x14ac:dyDescent="0.3">
      <c r="A5295" s="18" t="s">
        <v>10045</v>
      </c>
      <c r="B5295" s="19" t="s">
        <v>15</v>
      </c>
      <c r="C5295" s="18" t="s">
        <v>437</v>
      </c>
      <c r="D5295" s="18" t="s">
        <v>116</v>
      </c>
      <c r="E5295" s="18" t="s">
        <v>18</v>
      </c>
      <c r="F5295" s="18" t="s">
        <v>221</v>
      </c>
      <c r="G5295" s="18" t="s">
        <v>212</v>
      </c>
      <c r="H5295" s="18" t="s">
        <v>10046</v>
      </c>
      <c r="I5295" s="20" t="s">
        <v>10123</v>
      </c>
      <c r="J5295" s="18" t="s">
        <v>30</v>
      </c>
      <c r="K5295" s="18" t="s">
        <v>24</v>
      </c>
      <c r="L5295" s="18" t="s">
        <v>25</v>
      </c>
      <c r="N5295" s="18" t="s">
        <v>441</v>
      </c>
    </row>
    <row r="5296" spans="1:14" ht="15" customHeight="1" x14ac:dyDescent="0.3">
      <c r="A5296" s="18" t="s">
        <v>10045</v>
      </c>
      <c r="B5296" s="19" t="s">
        <v>15</v>
      </c>
      <c r="C5296" s="18" t="s">
        <v>437</v>
      </c>
      <c r="D5296" s="18" t="s">
        <v>116</v>
      </c>
      <c r="E5296" s="18" t="s">
        <v>18</v>
      </c>
      <c r="F5296" s="18" t="s">
        <v>1244</v>
      </c>
      <c r="G5296" s="18" t="s">
        <v>1204</v>
      </c>
      <c r="H5296" s="18" t="s">
        <v>10046</v>
      </c>
      <c r="I5296" s="20" t="s">
        <v>10124</v>
      </c>
      <c r="J5296" s="18" t="s">
        <v>30</v>
      </c>
      <c r="K5296" s="18" t="s">
        <v>24</v>
      </c>
      <c r="L5296" s="18" t="s">
        <v>25</v>
      </c>
      <c r="N5296" s="18" t="s">
        <v>441</v>
      </c>
    </row>
    <row r="5297" spans="1:14" ht="15" customHeight="1" x14ac:dyDescent="0.3">
      <c r="A5297" s="18" t="s">
        <v>10045</v>
      </c>
      <c r="B5297" s="19" t="s">
        <v>15</v>
      </c>
      <c r="C5297" s="18" t="s">
        <v>437</v>
      </c>
      <c r="D5297" s="18" t="s">
        <v>116</v>
      </c>
      <c r="E5297" s="18" t="s">
        <v>18</v>
      </c>
      <c r="F5297" s="18" t="s">
        <v>1072</v>
      </c>
      <c r="G5297" s="18" t="s">
        <v>47</v>
      </c>
      <c r="H5297" s="18" t="s">
        <v>10095</v>
      </c>
      <c r="I5297" s="20" t="s">
        <v>10125</v>
      </c>
      <c r="J5297" s="18" t="s">
        <v>30</v>
      </c>
      <c r="K5297" s="18" t="s">
        <v>24</v>
      </c>
      <c r="L5297" s="18" t="s">
        <v>25</v>
      </c>
      <c r="N5297" s="18" t="s">
        <v>441</v>
      </c>
    </row>
    <row r="5298" spans="1:14" ht="15" customHeight="1" x14ac:dyDescent="0.3">
      <c r="A5298" s="18" t="s">
        <v>10045</v>
      </c>
      <c r="B5298" s="19" t="s">
        <v>15</v>
      </c>
      <c r="C5298" s="18" t="s">
        <v>437</v>
      </c>
      <c r="D5298" s="18" t="s">
        <v>116</v>
      </c>
      <c r="E5298" s="18" t="s">
        <v>18</v>
      </c>
      <c r="F5298" s="18" t="s">
        <v>34</v>
      </c>
      <c r="G5298" s="18" t="s">
        <v>1254</v>
      </c>
      <c r="H5298" s="18" t="s">
        <v>10046</v>
      </c>
      <c r="I5298" s="20" t="s">
        <v>10126</v>
      </c>
      <c r="J5298" s="18" t="s">
        <v>30</v>
      </c>
      <c r="K5298" s="18" t="s">
        <v>24</v>
      </c>
      <c r="L5298" s="18" t="s">
        <v>25</v>
      </c>
      <c r="N5298" s="18" t="s">
        <v>441</v>
      </c>
    </row>
    <row r="5299" spans="1:14" ht="15" customHeight="1" x14ac:dyDescent="0.3">
      <c r="A5299" s="18" t="s">
        <v>10045</v>
      </c>
      <c r="B5299" s="19" t="s">
        <v>15</v>
      </c>
      <c r="C5299" s="18" t="s">
        <v>437</v>
      </c>
      <c r="D5299" s="18" t="s">
        <v>116</v>
      </c>
      <c r="E5299" s="18" t="s">
        <v>18</v>
      </c>
      <c r="F5299" s="18" t="s">
        <v>10127</v>
      </c>
      <c r="G5299" s="18" t="s">
        <v>47</v>
      </c>
      <c r="H5299" s="18" t="s">
        <v>10046</v>
      </c>
      <c r="I5299" s="20" t="s">
        <v>10128</v>
      </c>
      <c r="J5299" s="18" t="s">
        <v>30</v>
      </c>
      <c r="K5299" s="18" t="s">
        <v>24</v>
      </c>
      <c r="L5299" s="18" t="s">
        <v>25</v>
      </c>
      <c r="N5299" s="18" t="s">
        <v>441</v>
      </c>
    </row>
    <row r="5300" spans="1:14" ht="15" customHeight="1" x14ac:dyDescent="0.3">
      <c r="A5300" s="18" t="s">
        <v>10045</v>
      </c>
      <c r="B5300" s="19" t="s">
        <v>15</v>
      </c>
      <c r="C5300" s="18" t="s">
        <v>437</v>
      </c>
      <c r="D5300" s="18" t="s">
        <v>116</v>
      </c>
      <c r="E5300" s="18" t="s">
        <v>18</v>
      </c>
      <c r="F5300" s="18" t="s">
        <v>7626</v>
      </c>
      <c r="G5300" s="18" t="s">
        <v>2248</v>
      </c>
      <c r="H5300" s="18" t="s">
        <v>10115</v>
      </c>
      <c r="I5300" s="20" t="s">
        <v>10129</v>
      </c>
      <c r="J5300" s="18" t="s">
        <v>30</v>
      </c>
      <c r="K5300" s="18" t="s">
        <v>24</v>
      </c>
      <c r="L5300" s="18" t="s">
        <v>25</v>
      </c>
      <c r="N5300" s="18" t="s">
        <v>441</v>
      </c>
    </row>
    <row r="5301" spans="1:14" ht="15" customHeight="1" x14ac:dyDescent="0.3">
      <c r="A5301" s="18" t="s">
        <v>10045</v>
      </c>
      <c r="B5301" s="19" t="s">
        <v>15</v>
      </c>
      <c r="C5301" s="18" t="s">
        <v>437</v>
      </c>
      <c r="D5301" s="18" t="s">
        <v>116</v>
      </c>
      <c r="E5301" s="18" t="s">
        <v>18</v>
      </c>
      <c r="F5301" s="18" t="s">
        <v>578</v>
      </c>
      <c r="G5301" s="18" t="s">
        <v>80</v>
      </c>
      <c r="H5301" s="18" t="s">
        <v>10107</v>
      </c>
      <c r="I5301" s="20" t="s">
        <v>10130</v>
      </c>
      <c r="J5301" s="18" t="s">
        <v>23</v>
      </c>
      <c r="K5301" s="18" t="s">
        <v>24</v>
      </c>
      <c r="L5301" s="18" t="s">
        <v>25</v>
      </c>
      <c r="N5301" s="18" t="s">
        <v>441</v>
      </c>
    </row>
    <row r="5302" spans="1:14" ht="15" customHeight="1" x14ac:dyDescent="0.3">
      <c r="A5302" s="18" t="s">
        <v>10045</v>
      </c>
      <c r="B5302" s="19" t="s">
        <v>15</v>
      </c>
      <c r="C5302" s="18" t="s">
        <v>437</v>
      </c>
      <c r="D5302" s="18" t="s">
        <v>116</v>
      </c>
      <c r="E5302" s="18" t="s">
        <v>18</v>
      </c>
      <c r="F5302" s="18" t="s">
        <v>580</v>
      </c>
      <c r="G5302" s="18" t="s">
        <v>20</v>
      </c>
      <c r="H5302" s="18" t="s">
        <v>10107</v>
      </c>
      <c r="I5302" s="20" t="s">
        <v>10131</v>
      </c>
      <c r="J5302" s="18" t="s">
        <v>23</v>
      </c>
      <c r="K5302" s="18" t="s">
        <v>24</v>
      </c>
      <c r="L5302" s="18" t="s">
        <v>25</v>
      </c>
      <c r="N5302" s="18" t="s">
        <v>441</v>
      </c>
    </row>
    <row r="5303" spans="1:14" ht="15" customHeight="1" x14ac:dyDescent="0.3">
      <c r="A5303" s="18" t="s">
        <v>10045</v>
      </c>
      <c r="B5303" s="19" t="s">
        <v>15</v>
      </c>
      <c r="C5303" s="18" t="s">
        <v>437</v>
      </c>
      <c r="D5303" s="18" t="s">
        <v>116</v>
      </c>
      <c r="E5303" s="18" t="s">
        <v>18</v>
      </c>
      <c r="F5303" s="18" t="s">
        <v>40</v>
      </c>
      <c r="G5303" s="18" t="s">
        <v>41</v>
      </c>
      <c r="H5303" s="18" t="s">
        <v>10051</v>
      </c>
      <c r="I5303" s="20" t="s">
        <v>10132</v>
      </c>
      <c r="J5303" s="18" t="s">
        <v>30</v>
      </c>
      <c r="K5303" s="18" t="s">
        <v>24</v>
      </c>
      <c r="L5303" s="18" t="s">
        <v>25</v>
      </c>
      <c r="N5303" s="18" t="s">
        <v>441</v>
      </c>
    </row>
    <row r="5304" spans="1:14" ht="15" customHeight="1" x14ac:dyDescent="0.3">
      <c r="A5304" s="18" t="s">
        <v>10045</v>
      </c>
      <c r="B5304" s="19" t="s">
        <v>15</v>
      </c>
      <c r="C5304" s="18" t="s">
        <v>437</v>
      </c>
      <c r="D5304" s="18" t="s">
        <v>116</v>
      </c>
      <c r="E5304" s="18" t="s">
        <v>18</v>
      </c>
      <c r="F5304" s="18" t="s">
        <v>10133</v>
      </c>
      <c r="G5304" s="18" t="s">
        <v>41</v>
      </c>
      <c r="H5304" s="18" t="s">
        <v>10134</v>
      </c>
      <c r="I5304" s="20" t="s">
        <v>10135</v>
      </c>
      <c r="J5304" s="18" t="s">
        <v>30</v>
      </c>
      <c r="K5304" s="18" t="s">
        <v>24</v>
      </c>
      <c r="L5304" s="18" t="s">
        <v>25</v>
      </c>
      <c r="N5304" s="18" t="s">
        <v>441</v>
      </c>
    </row>
    <row r="5305" spans="1:14" ht="15" customHeight="1" x14ac:dyDescent="0.3">
      <c r="A5305" s="18" t="s">
        <v>10045</v>
      </c>
      <c r="B5305" s="19" t="s">
        <v>15</v>
      </c>
      <c r="C5305" s="18" t="s">
        <v>437</v>
      </c>
      <c r="D5305" s="18" t="s">
        <v>116</v>
      </c>
      <c r="E5305" s="18" t="s">
        <v>18</v>
      </c>
      <c r="F5305" s="18" t="s">
        <v>1309</v>
      </c>
      <c r="G5305" s="18" t="s">
        <v>629</v>
      </c>
      <c r="H5305" s="18" t="s">
        <v>10051</v>
      </c>
      <c r="I5305" s="20" t="s">
        <v>10136</v>
      </c>
      <c r="J5305" s="18" t="s">
        <v>30</v>
      </c>
      <c r="K5305" s="18" t="s">
        <v>24</v>
      </c>
      <c r="L5305" s="18" t="s">
        <v>25</v>
      </c>
      <c r="N5305" s="18" t="s">
        <v>441</v>
      </c>
    </row>
    <row r="5306" spans="1:14" ht="15" customHeight="1" x14ac:dyDescent="0.3">
      <c r="A5306" s="18" t="s">
        <v>10045</v>
      </c>
      <c r="B5306" s="19" t="s">
        <v>15</v>
      </c>
      <c r="C5306" s="18" t="s">
        <v>437</v>
      </c>
      <c r="D5306" s="18" t="s">
        <v>116</v>
      </c>
      <c r="E5306" s="18" t="s">
        <v>18</v>
      </c>
      <c r="F5306" s="18" t="s">
        <v>10137</v>
      </c>
      <c r="G5306" s="18" t="s">
        <v>606</v>
      </c>
      <c r="H5306" s="18" t="s">
        <v>10095</v>
      </c>
      <c r="I5306" s="20" t="s">
        <v>10138</v>
      </c>
      <c r="J5306" s="18" t="s">
        <v>30</v>
      </c>
      <c r="K5306" s="18" t="s">
        <v>24</v>
      </c>
      <c r="L5306" s="18" t="s">
        <v>25</v>
      </c>
      <c r="N5306" s="18" t="s">
        <v>441</v>
      </c>
    </row>
    <row r="5307" spans="1:14" ht="15" customHeight="1" x14ac:dyDescent="0.3">
      <c r="A5307" s="18" t="s">
        <v>10045</v>
      </c>
      <c r="B5307" s="19" t="s">
        <v>15</v>
      </c>
      <c r="C5307" s="18" t="s">
        <v>437</v>
      </c>
      <c r="D5307" s="18" t="s">
        <v>116</v>
      </c>
      <c r="E5307" s="18" t="s">
        <v>18</v>
      </c>
      <c r="F5307" s="18" t="s">
        <v>1450</v>
      </c>
      <c r="G5307" s="18" t="s">
        <v>41</v>
      </c>
      <c r="H5307" s="18" t="s">
        <v>10115</v>
      </c>
      <c r="I5307" s="20" t="s">
        <v>10139</v>
      </c>
      <c r="J5307" s="18" t="s">
        <v>30</v>
      </c>
      <c r="K5307" s="18" t="s">
        <v>24</v>
      </c>
      <c r="L5307" s="18" t="s">
        <v>25</v>
      </c>
      <c r="N5307" s="18" t="s">
        <v>441</v>
      </c>
    </row>
    <row r="5308" spans="1:14" ht="15" customHeight="1" x14ac:dyDescent="0.3">
      <c r="A5308" s="18" t="s">
        <v>10045</v>
      </c>
      <c r="B5308" s="19" t="s">
        <v>15</v>
      </c>
      <c r="C5308" s="18" t="s">
        <v>437</v>
      </c>
      <c r="D5308" s="18" t="s">
        <v>116</v>
      </c>
      <c r="E5308" s="18" t="s">
        <v>18</v>
      </c>
      <c r="F5308" s="18" t="s">
        <v>10140</v>
      </c>
      <c r="G5308" s="18" t="s">
        <v>1291</v>
      </c>
      <c r="H5308" s="18" t="s">
        <v>10054</v>
      </c>
      <c r="I5308" s="20" t="s">
        <v>10141</v>
      </c>
      <c r="J5308" s="18" t="s">
        <v>30</v>
      </c>
      <c r="K5308" s="18" t="s">
        <v>24</v>
      </c>
      <c r="L5308" s="18" t="s">
        <v>25</v>
      </c>
      <c r="N5308" s="18" t="s">
        <v>441</v>
      </c>
    </row>
    <row r="5309" spans="1:14" ht="15" customHeight="1" x14ac:dyDescent="0.3">
      <c r="A5309" s="18" t="s">
        <v>10045</v>
      </c>
      <c r="B5309" s="19" t="s">
        <v>15</v>
      </c>
      <c r="C5309" s="18" t="s">
        <v>437</v>
      </c>
      <c r="D5309" s="18" t="s">
        <v>116</v>
      </c>
      <c r="E5309" s="18" t="s">
        <v>18</v>
      </c>
      <c r="F5309" s="18" t="s">
        <v>774</v>
      </c>
      <c r="G5309" s="18" t="s">
        <v>429</v>
      </c>
      <c r="H5309" s="18" t="s">
        <v>10107</v>
      </c>
      <c r="I5309" s="20" t="s">
        <v>10142</v>
      </c>
      <c r="J5309" s="18" t="s">
        <v>23</v>
      </c>
      <c r="K5309" s="18" t="s">
        <v>24</v>
      </c>
      <c r="L5309" s="18" t="s">
        <v>25</v>
      </c>
      <c r="N5309" s="18" t="s">
        <v>441</v>
      </c>
    </row>
    <row r="5310" spans="1:14" ht="15" customHeight="1" x14ac:dyDescent="0.3">
      <c r="A5310" s="18" t="s">
        <v>10045</v>
      </c>
      <c r="B5310" s="19" t="s">
        <v>15</v>
      </c>
      <c r="C5310" s="18" t="s">
        <v>437</v>
      </c>
      <c r="D5310" s="18" t="s">
        <v>116</v>
      </c>
      <c r="E5310" s="18" t="s">
        <v>18</v>
      </c>
      <c r="F5310" s="18" t="s">
        <v>10143</v>
      </c>
      <c r="G5310" s="18" t="s">
        <v>298</v>
      </c>
      <c r="H5310" s="18" t="s">
        <v>10098</v>
      </c>
      <c r="I5310" s="20" t="s">
        <v>10144</v>
      </c>
      <c r="J5310" s="18" t="s">
        <v>30</v>
      </c>
      <c r="K5310" s="18" t="s">
        <v>24</v>
      </c>
      <c r="L5310" s="18" t="s">
        <v>25</v>
      </c>
      <c r="N5310" s="18" t="s">
        <v>441</v>
      </c>
    </row>
    <row r="5311" spans="1:14" ht="15" customHeight="1" x14ac:dyDescent="0.3">
      <c r="A5311" s="18" t="s">
        <v>10045</v>
      </c>
      <c r="B5311" s="19" t="s">
        <v>15</v>
      </c>
      <c r="C5311" s="18" t="s">
        <v>437</v>
      </c>
      <c r="D5311" s="18" t="s">
        <v>116</v>
      </c>
      <c r="E5311" s="18" t="s">
        <v>18</v>
      </c>
      <c r="F5311" s="18" t="s">
        <v>7639</v>
      </c>
      <c r="G5311" s="18" t="s">
        <v>298</v>
      </c>
      <c r="H5311" s="18" t="s">
        <v>10098</v>
      </c>
      <c r="I5311" s="20" t="s">
        <v>10145</v>
      </c>
      <c r="J5311" s="18" t="s">
        <v>30</v>
      </c>
      <c r="K5311" s="18" t="s">
        <v>24</v>
      </c>
      <c r="L5311" s="18" t="s">
        <v>25</v>
      </c>
      <c r="N5311" s="18" t="s">
        <v>441</v>
      </c>
    </row>
    <row r="5312" spans="1:14" ht="15" customHeight="1" x14ac:dyDescent="0.3">
      <c r="A5312" s="18" t="s">
        <v>10045</v>
      </c>
      <c r="B5312" s="19" t="s">
        <v>15</v>
      </c>
      <c r="C5312" s="18" t="s">
        <v>437</v>
      </c>
      <c r="D5312" s="18" t="s">
        <v>116</v>
      </c>
      <c r="E5312" s="18" t="s">
        <v>18</v>
      </c>
      <c r="F5312" s="18" t="s">
        <v>1832</v>
      </c>
      <c r="G5312" s="18" t="s">
        <v>207</v>
      </c>
      <c r="H5312" s="18" t="s">
        <v>10051</v>
      </c>
      <c r="I5312" s="20" t="s">
        <v>10146</v>
      </c>
      <c r="J5312" s="18" t="s">
        <v>30</v>
      </c>
      <c r="K5312" s="18" t="s">
        <v>24</v>
      </c>
      <c r="L5312" s="18" t="s">
        <v>25</v>
      </c>
      <c r="N5312" s="18" t="s">
        <v>441</v>
      </c>
    </row>
    <row r="5313" spans="1:14" ht="15" customHeight="1" x14ac:dyDescent="0.3">
      <c r="A5313" s="18" t="s">
        <v>10045</v>
      </c>
      <c r="B5313" s="19" t="s">
        <v>15</v>
      </c>
      <c r="C5313" s="18" t="s">
        <v>437</v>
      </c>
      <c r="D5313" s="18" t="s">
        <v>116</v>
      </c>
      <c r="E5313" s="18" t="s">
        <v>18</v>
      </c>
      <c r="F5313" s="18" t="s">
        <v>8949</v>
      </c>
      <c r="G5313" s="18" t="s">
        <v>1095</v>
      </c>
      <c r="H5313" s="18" t="s">
        <v>10095</v>
      </c>
      <c r="I5313" s="20" t="s">
        <v>10147</v>
      </c>
      <c r="J5313" s="18" t="s">
        <v>30</v>
      </c>
      <c r="K5313" s="18" t="s">
        <v>24</v>
      </c>
      <c r="L5313" s="18" t="s">
        <v>25</v>
      </c>
      <c r="N5313" s="18" t="s">
        <v>441</v>
      </c>
    </row>
    <row r="5314" spans="1:14" ht="15" customHeight="1" x14ac:dyDescent="0.3">
      <c r="A5314" s="18" t="s">
        <v>10045</v>
      </c>
      <c r="B5314" s="19" t="s">
        <v>15</v>
      </c>
      <c r="C5314" s="18" t="s">
        <v>437</v>
      </c>
      <c r="D5314" s="18" t="s">
        <v>116</v>
      </c>
      <c r="E5314" s="18" t="s">
        <v>18</v>
      </c>
      <c r="F5314" s="18" t="s">
        <v>3517</v>
      </c>
      <c r="G5314" s="18" t="s">
        <v>20</v>
      </c>
      <c r="H5314" s="18" t="s">
        <v>10107</v>
      </c>
      <c r="I5314" s="20" t="s">
        <v>10148</v>
      </c>
      <c r="J5314" s="18" t="s">
        <v>23</v>
      </c>
      <c r="K5314" s="18" t="s">
        <v>24</v>
      </c>
      <c r="L5314" s="18" t="s">
        <v>25</v>
      </c>
      <c r="M5314" s="18" t="s">
        <v>39</v>
      </c>
      <c r="N5314" s="18" t="s">
        <v>441</v>
      </c>
    </row>
    <row r="5315" spans="1:14" ht="15" customHeight="1" x14ac:dyDescent="0.3">
      <c r="A5315" s="18" t="s">
        <v>10045</v>
      </c>
      <c r="B5315" s="19" t="s">
        <v>15</v>
      </c>
      <c r="C5315" s="18" t="s">
        <v>437</v>
      </c>
      <c r="D5315" s="18" t="s">
        <v>116</v>
      </c>
      <c r="E5315" s="18" t="s">
        <v>18</v>
      </c>
      <c r="F5315" s="18" t="s">
        <v>10149</v>
      </c>
      <c r="G5315" s="18" t="s">
        <v>197</v>
      </c>
      <c r="H5315" s="18" t="s">
        <v>10098</v>
      </c>
      <c r="I5315" s="20" t="s">
        <v>10150</v>
      </c>
      <c r="J5315" s="18" t="s">
        <v>30</v>
      </c>
      <c r="K5315" s="18" t="s">
        <v>24</v>
      </c>
      <c r="L5315" s="18" t="s">
        <v>25</v>
      </c>
      <c r="N5315" s="18" t="s">
        <v>441</v>
      </c>
    </row>
    <row r="5316" spans="1:14" ht="15" customHeight="1" x14ac:dyDescent="0.3">
      <c r="A5316" s="18" t="s">
        <v>10045</v>
      </c>
      <c r="B5316" s="19" t="s">
        <v>15</v>
      </c>
      <c r="C5316" s="18" t="s">
        <v>437</v>
      </c>
      <c r="D5316" s="18" t="s">
        <v>116</v>
      </c>
      <c r="E5316" s="18" t="s">
        <v>18</v>
      </c>
      <c r="F5316" s="18" t="s">
        <v>340</v>
      </c>
      <c r="G5316" s="18" t="s">
        <v>340</v>
      </c>
      <c r="H5316" s="18" t="s">
        <v>10098</v>
      </c>
      <c r="I5316" s="20" t="s">
        <v>10151</v>
      </c>
      <c r="J5316" s="18" t="s">
        <v>30</v>
      </c>
      <c r="K5316" s="18" t="s">
        <v>24</v>
      </c>
      <c r="L5316" s="18" t="s">
        <v>25</v>
      </c>
      <c r="N5316" s="18" t="s">
        <v>441</v>
      </c>
    </row>
    <row r="5317" spans="1:14" ht="15" customHeight="1" x14ac:dyDescent="0.3">
      <c r="A5317" s="18" t="s">
        <v>10045</v>
      </c>
      <c r="B5317" s="19" t="s">
        <v>15</v>
      </c>
      <c r="C5317" s="18" t="s">
        <v>437</v>
      </c>
      <c r="D5317" s="18" t="s">
        <v>116</v>
      </c>
      <c r="E5317" s="18" t="s">
        <v>18</v>
      </c>
      <c r="F5317" s="18" t="s">
        <v>1104</v>
      </c>
      <c r="G5317" s="18" t="s">
        <v>1055</v>
      </c>
      <c r="H5317" s="18" t="s">
        <v>10115</v>
      </c>
      <c r="I5317" s="20" t="s">
        <v>10152</v>
      </c>
      <c r="J5317" s="18" t="s">
        <v>30</v>
      </c>
      <c r="K5317" s="18" t="s">
        <v>24</v>
      </c>
      <c r="L5317" s="18" t="s">
        <v>25</v>
      </c>
      <c r="N5317" s="18" t="s">
        <v>441</v>
      </c>
    </row>
    <row r="5318" spans="1:14" ht="15" customHeight="1" x14ac:dyDescent="0.3">
      <c r="A5318" s="18" t="s">
        <v>10045</v>
      </c>
      <c r="B5318" s="19" t="s">
        <v>15</v>
      </c>
      <c r="C5318" s="18" t="s">
        <v>437</v>
      </c>
      <c r="D5318" s="18" t="s">
        <v>116</v>
      </c>
      <c r="E5318" s="18" t="s">
        <v>18</v>
      </c>
      <c r="F5318" s="18" t="s">
        <v>10153</v>
      </c>
      <c r="G5318" s="18" t="s">
        <v>913</v>
      </c>
      <c r="H5318" s="18" t="s">
        <v>10046</v>
      </c>
      <c r="I5318" s="20" t="s">
        <v>10154</v>
      </c>
      <c r="J5318" s="18" t="s">
        <v>30</v>
      </c>
      <c r="K5318" s="18" t="s">
        <v>24</v>
      </c>
      <c r="L5318" s="18" t="s">
        <v>25</v>
      </c>
      <c r="N5318" s="18" t="s">
        <v>441</v>
      </c>
    </row>
    <row r="5319" spans="1:14" ht="15" customHeight="1" x14ac:dyDescent="0.3">
      <c r="A5319" s="18" t="s">
        <v>10045</v>
      </c>
      <c r="B5319" s="19" t="s">
        <v>15</v>
      </c>
      <c r="C5319" s="18" t="s">
        <v>437</v>
      </c>
      <c r="D5319" s="18" t="s">
        <v>116</v>
      </c>
      <c r="E5319" s="18" t="s">
        <v>18</v>
      </c>
      <c r="F5319" s="18" t="s">
        <v>778</v>
      </c>
      <c r="G5319" s="18" t="s">
        <v>20</v>
      </c>
      <c r="H5319" s="18" t="s">
        <v>10107</v>
      </c>
      <c r="I5319" s="20" t="s">
        <v>10155</v>
      </c>
      <c r="J5319" s="18" t="s">
        <v>23</v>
      </c>
      <c r="K5319" s="18" t="s">
        <v>24</v>
      </c>
      <c r="L5319" s="18" t="s">
        <v>25</v>
      </c>
      <c r="N5319" s="18" t="s">
        <v>441</v>
      </c>
    </row>
    <row r="5320" spans="1:14" ht="15" customHeight="1" x14ac:dyDescent="0.3">
      <c r="A5320" s="18" t="s">
        <v>10045</v>
      </c>
      <c r="B5320" s="19" t="s">
        <v>15</v>
      </c>
      <c r="C5320" s="18" t="s">
        <v>437</v>
      </c>
      <c r="D5320" s="18" t="s">
        <v>116</v>
      </c>
      <c r="E5320" s="18" t="s">
        <v>18</v>
      </c>
      <c r="F5320" s="18" t="s">
        <v>537</v>
      </c>
      <c r="G5320" s="18" t="s">
        <v>537</v>
      </c>
      <c r="H5320" s="18" t="s">
        <v>10051</v>
      </c>
      <c r="I5320" s="20" t="s">
        <v>10156</v>
      </c>
      <c r="J5320" s="18" t="s">
        <v>30</v>
      </c>
      <c r="K5320" s="18" t="s">
        <v>24</v>
      </c>
      <c r="L5320" s="18" t="s">
        <v>25</v>
      </c>
      <c r="N5320" s="18" t="s">
        <v>441</v>
      </c>
    </row>
    <row r="5321" spans="1:14" ht="15" customHeight="1" x14ac:dyDescent="0.3">
      <c r="A5321" s="18" t="s">
        <v>10045</v>
      </c>
      <c r="B5321" s="19" t="s">
        <v>15</v>
      </c>
      <c r="C5321" s="18" t="s">
        <v>437</v>
      </c>
      <c r="D5321" s="18" t="s">
        <v>116</v>
      </c>
      <c r="E5321" s="18" t="s">
        <v>55</v>
      </c>
      <c r="F5321" s="18" t="s">
        <v>3351</v>
      </c>
      <c r="G5321" s="18" t="s">
        <v>1291</v>
      </c>
      <c r="H5321" s="18" t="s">
        <v>10054</v>
      </c>
      <c r="I5321" s="20" t="s">
        <v>10157</v>
      </c>
      <c r="J5321" s="18" t="s">
        <v>58</v>
      </c>
      <c r="K5321" s="18" t="s">
        <v>24</v>
      </c>
      <c r="L5321" s="18" t="s">
        <v>25</v>
      </c>
      <c r="N5321" s="18" t="s">
        <v>441</v>
      </c>
    </row>
    <row r="5322" spans="1:14" ht="15" customHeight="1" x14ac:dyDescent="0.3">
      <c r="A5322" s="18" t="s">
        <v>10045</v>
      </c>
      <c r="B5322" s="19" t="s">
        <v>15</v>
      </c>
      <c r="C5322" s="18" t="s">
        <v>437</v>
      </c>
      <c r="D5322" s="18" t="s">
        <v>116</v>
      </c>
      <c r="E5322" s="18" t="s">
        <v>55</v>
      </c>
      <c r="F5322" s="18" t="s">
        <v>10158</v>
      </c>
      <c r="G5322" s="18" t="s">
        <v>606</v>
      </c>
      <c r="H5322" s="18" t="s">
        <v>10095</v>
      </c>
      <c r="I5322" s="20" t="s">
        <v>10159</v>
      </c>
      <c r="J5322" s="18" t="s">
        <v>58</v>
      </c>
      <c r="K5322" s="18" t="s">
        <v>24</v>
      </c>
      <c r="L5322" s="18" t="s">
        <v>25</v>
      </c>
      <c r="N5322" s="18" t="s">
        <v>441</v>
      </c>
    </row>
    <row r="5323" spans="1:14" ht="15" customHeight="1" x14ac:dyDescent="0.3">
      <c r="A5323" s="18" t="s">
        <v>10045</v>
      </c>
      <c r="B5323" s="19" t="s">
        <v>15</v>
      </c>
      <c r="C5323" s="18" t="s">
        <v>437</v>
      </c>
      <c r="D5323" s="18" t="s">
        <v>116</v>
      </c>
      <c r="E5323" s="18" t="s">
        <v>55</v>
      </c>
      <c r="F5323" s="18" t="s">
        <v>7578</v>
      </c>
      <c r="G5323" s="18" t="s">
        <v>197</v>
      </c>
      <c r="H5323" s="18" t="s">
        <v>10098</v>
      </c>
      <c r="I5323" s="20" t="s">
        <v>10160</v>
      </c>
      <c r="J5323" s="18" t="s">
        <v>58</v>
      </c>
      <c r="K5323" s="18" t="s">
        <v>24</v>
      </c>
      <c r="L5323" s="18" t="s">
        <v>25</v>
      </c>
      <c r="N5323" s="18" t="s">
        <v>441</v>
      </c>
    </row>
    <row r="5324" spans="1:14" ht="15" customHeight="1" x14ac:dyDescent="0.3">
      <c r="A5324" s="18" t="s">
        <v>10045</v>
      </c>
      <c r="B5324" s="19" t="s">
        <v>15</v>
      </c>
      <c r="C5324" s="18" t="s">
        <v>437</v>
      </c>
      <c r="D5324" s="18" t="s">
        <v>116</v>
      </c>
      <c r="E5324" s="18" t="s">
        <v>55</v>
      </c>
      <c r="F5324" s="18" t="s">
        <v>8832</v>
      </c>
      <c r="G5324" s="18" t="s">
        <v>173</v>
      </c>
      <c r="H5324" s="18" t="s">
        <v>10095</v>
      </c>
      <c r="I5324" s="20" t="s">
        <v>10161</v>
      </c>
      <c r="J5324" s="18" t="s">
        <v>58</v>
      </c>
      <c r="K5324" s="18" t="s">
        <v>24</v>
      </c>
      <c r="L5324" s="18" t="s">
        <v>25</v>
      </c>
      <c r="N5324" s="18" t="s">
        <v>441</v>
      </c>
    </row>
    <row r="5325" spans="1:14" ht="15" customHeight="1" x14ac:dyDescent="0.3">
      <c r="A5325" s="18" t="s">
        <v>10045</v>
      </c>
      <c r="B5325" s="19" t="s">
        <v>15</v>
      </c>
      <c r="C5325" s="18" t="s">
        <v>437</v>
      </c>
      <c r="D5325" s="18" t="s">
        <v>116</v>
      </c>
      <c r="E5325" s="18" t="s">
        <v>55</v>
      </c>
      <c r="F5325" s="18" t="s">
        <v>10162</v>
      </c>
      <c r="G5325" s="18" t="s">
        <v>606</v>
      </c>
      <c r="H5325" s="18" t="s">
        <v>10095</v>
      </c>
      <c r="I5325" s="20" t="s">
        <v>10163</v>
      </c>
      <c r="J5325" s="18" t="s">
        <v>199</v>
      </c>
      <c r="K5325" s="18" t="s">
        <v>24</v>
      </c>
      <c r="L5325" s="18" t="s">
        <v>25</v>
      </c>
      <c r="N5325" s="18" t="s">
        <v>441</v>
      </c>
    </row>
    <row r="5326" spans="1:14" ht="15" customHeight="1" x14ac:dyDescent="0.3">
      <c r="A5326" s="18" t="s">
        <v>10045</v>
      </c>
      <c r="B5326" s="19" t="s">
        <v>15</v>
      </c>
      <c r="C5326" s="18" t="s">
        <v>437</v>
      </c>
      <c r="D5326" s="18" t="s">
        <v>116</v>
      </c>
      <c r="E5326" s="18" t="s">
        <v>55</v>
      </c>
      <c r="F5326" s="18" t="s">
        <v>3135</v>
      </c>
      <c r="G5326" s="18" t="s">
        <v>606</v>
      </c>
      <c r="H5326" s="18" t="s">
        <v>10095</v>
      </c>
      <c r="I5326" s="20" t="s">
        <v>10164</v>
      </c>
      <c r="J5326" s="18" t="s">
        <v>58</v>
      </c>
      <c r="K5326" s="18" t="s">
        <v>24</v>
      </c>
      <c r="L5326" s="18" t="s">
        <v>25</v>
      </c>
      <c r="N5326" s="18" t="s">
        <v>441</v>
      </c>
    </row>
    <row r="5327" spans="1:14" ht="15" customHeight="1" x14ac:dyDescent="0.3">
      <c r="A5327" s="18" t="s">
        <v>10045</v>
      </c>
      <c r="B5327" s="19" t="s">
        <v>15</v>
      </c>
      <c r="C5327" s="18" t="s">
        <v>437</v>
      </c>
      <c r="D5327" s="18" t="s">
        <v>116</v>
      </c>
      <c r="E5327" s="18" t="s">
        <v>55</v>
      </c>
      <c r="F5327" s="18" t="s">
        <v>10165</v>
      </c>
      <c r="G5327" s="18" t="s">
        <v>606</v>
      </c>
      <c r="H5327" s="18" t="s">
        <v>10095</v>
      </c>
      <c r="I5327" s="20" t="s">
        <v>10166</v>
      </c>
      <c r="J5327" s="18" t="s">
        <v>58</v>
      </c>
      <c r="K5327" s="18" t="s">
        <v>24</v>
      </c>
      <c r="L5327" s="18" t="s">
        <v>25</v>
      </c>
      <c r="N5327" s="18" t="s">
        <v>441</v>
      </c>
    </row>
    <row r="5328" spans="1:14" ht="15" customHeight="1" x14ac:dyDescent="0.3">
      <c r="A5328" s="18" t="s">
        <v>10045</v>
      </c>
      <c r="B5328" s="19" t="s">
        <v>15</v>
      </c>
      <c r="C5328" s="18" t="s">
        <v>437</v>
      </c>
      <c r="D5328" s="18" t="s">
        <v>116</v>
      </c>
      <c r="E5328" s="18" t="s">
        <v>55</v>
      </c>
      <c r="F5328" s="18" t="s">
        <v>2743</v>
      </c>
      <c r="G5328" s="18" t="s">
        <v>606</v>
      </c>
      <c r="H5328" s="18" t="s">
        <v>10095</v>
      </c>
      <c r="I5328" s="20" t="s">
        <v>10167</v>
      </c>
      <c r="J5328" s="18" t="s">
        <v>58</v>
      </c>
      <c r="K5328" s="18" t="s">
        <v>24</v>
      </c>
      <c r="L5328" s="18" t="s">
        <v>25</v>
      </c>
      <c r="N5328" s="18" t="s">
        <v>441</v>
      </c>
    </row>
    <row r="5329" spans="1:14" ht="15" customHeight="1" x14ac:dyDescent="0.3">
      <c r="A5329" s="18" t="s">
        <v>10045</v>
      </c>
      <c r="B5329" s="19" t="s">
        <v>15</v>
      </c>
      <c r="C5329" s="18" t="s">
        <v>437</v>
      </c>
      <c r="D5329" s="18" t="s">
        <v>116</v>
      </c>
      <c r="E5329" s="18" t="s">
        <v>55</v>
      </c>
      <c r="F5329" s="18" t="s">
        <v>10168</v>
      </c>
      <c r="G5329" s="18" t="s">
        <v>7668</v>
      </c>
      <c r="H5329" s="18" t="s">
        <v>10095</v>
      </c>
      <c r="I5329" s="20" t="s">
        <v>10169</v>
      </c>
      <c r="J5329" s="18" t="s">
        <v>58</v>
      </c>
      <c r="K5329" s="18" t="s">
        <v>24</v>
      </c>
      <c r="L5329" s="18" t="s">
        <v>25</v>
      </c>
      <c r="N5329" s="18" t="s">
        <v>441</v>
      </c>
    </row>
    <row r="5330" spans="1:14" ht="15" customHeight="1" x14ac:dyDescent="0.3">
      <c r="A5330" s="18" t="s">
        <v>10045</v>
      </c>
      <c r="B5330" s="19" t="s">
        <v>15</v>
      </c>
      <c r="C5330" s="18" t="s">
        <v>437</v>
      </c>
      <c r="D5330" s="18" t="s">
        <v>116</v>
      </c>
      <c r="E5330" s="18" t="s">
        <v>55</v>
      </c>
      <c r="F5330" s="18" t="s">
        <v>10170</v>
      </c>
      <c r="G5330" s="18" t="s">
        <v>606</v>
      </c>
      <c r="H5330" s="18" t="s">
        <v>10105</v>
      </c>
      <c r="I5330" s="20" t="s">
        <v>10171</v>
      </c>
      <c r="J5330" s="18" t="s">
        <v>58</v>
      </c>
      <c r="K5330" s="18" t="s">
        <v>24</v>
      </c>
      <c r="L5330" s="18" t="s">
        <v>25</v>
      </c>
      <c r="N5330" s="18" t="s">
        <v>441</v>
      </c>
    </row>
    <row r="5331" spans="1:14" ht="15" customHeight="1" x14ac:dyDescent="0.3">
      <c r="A5331" s="18" t="s">
        <v>10045</v>
      </c>
      <c r="B5331" s="19" t="s">
        <v>15</v>
      </c>
      <c r="C5331" s="18" t="s">
        <v>437</v>
      </c>
      <c r="D5331" s="18" t="s">
        <v>116</v>
      </c>
      <c r="E5331" s="18" t="s">
        <v>55</v>
      </c>
      <c r="F5331" s="18" t="s">
        <v>273</v>
      </c>
      <c r="G5331" s="18" t="s">
        <v>273</v>
      </c>
      <c r="H5331" s="18" t="s">
        <v>10098</v>
      </c>
      <c r="I5331" s="20" t="s">
        <v>10172</v>
      </c>
      <c r="J5331" s="18" t="s">
        <v>58</v>
      </c>
      <c r="K5331" s="18" t="s">
        <v>24</v>
      </c>
      <c r="L5331" s="18" t="s">
        <v>25</v>
      </c>
      <c r="N5331" s="18" t="s">
        <v>441</v>
      </c>
    </row>
    <row r="5332" spans="1:14" ht="15" customHeight="1" x14ac:dyDescent="0.3">
      <c r="A5332" s="18" t="s">
        <v>10045</v>
      </c>
      <c r="B5332" s="19" t="s">
        <v>15</v>
      </c>
      <c r="C5332" s="18" t="s">
        <v>437</v>
      </c>
      <c r="D5332" s="18" t="s">
        <v>116</v>
      </c>
      <c r="E5332" s="18" t="s">
        <v>55</v>
      </c>
      <c r="F5332" s="18" t="s">
        <v>7594</v>
      </c>
      <c r="G5332" s="18" t="s">
        <v>192</v>
      </c>
      <c r="H5332" s="18" t="s">
        <v>10098</v>
      </c>
      <c r="I5332" s="20" t="s">
        <v>10173</v>
      </c>
      <c r="J5332" s="18" t="s">
        <v>58</v>
      </c>
      <c r="K5332" s="18" t="s">
        <v>24</v>
      </c>
      <c r="L5332" s="18" t="s">
        <v>25</v>
      </c>
      <c r="N5332" s="18" t="s">
        <v>441</v>
      </c>
    </row>
    <row r="5333" spans="1:14" ht="15" customHeight="1" x14ac:dyDescent="0.3">
      <c r="A5333" s="18" t="s">
        <v>10045</v>
      </c>
      <c r="B5333" s="19" t="s">
        <v>15</v>
      </c>
      <c r="C5333" s="18" t="s">
        <v>437</v>
      </c>
      <c r="D5333" s="18" t="s">
        <v>116</v>
      </c>
      <c r="E5333" s="18" t="s">
        <v>55</v>
      </c>
      <c r="F5333" s="18" t="s">
        <v>10174</v>
      </c>
      <c r="G5333" s="18" t="s">
        <v>1291</v>
      </c>
      <c r="H5333" s="18" t="s">
        <v>10054</v>
      </c>
      <c r="I5333" s="20" t="s">
        <v>10175</v>
      </c>
      <c r="J5333" s="18" t="s">
        <v>58</v>
      </c>
      <c r="K5333" s="18" t="s">
        <v>24</v>
      </c>
      <c r="L5333" s="18" t="s">
        <v>25</v>
      </c>
      <c r="N5333" s="18" t="s">
        <v>441</v>
      </c>
    </row>
    <row r="5334" spans="1:14" ht="15" customHeight="1" x14ac:dyDescent="0.3">
      <c r="A5334" s="18" t="s">
        <v>10045</v>
      </c>
      <c r="B5334" s="19" t="s">
        <v>15</v>
      </c>
      <c r="C5334" s="18" t="s">
        <v>437</v>
      </c>
      <c r="D5334" s="18" t="s">
        <v>116</v>
      </c>
      <c r="E5334" s="18" t="s">
        <v>55</v>
      </c>
      <c r="F5334" s="18" t="s">
        <v>8376</v>
      </c>
      <c r="G5334" s="18" t="s">
        <v>85</v>
      </c>
      <c r="H5334" s="18" t="s">
        <v>10115</v>
      </c>
      <c r="I5334" s="20" t="s">
        <v>10176</v>
      </c>
      <c r="J5334" s="18" t="s">
        <v>58</v>
      </c>
      <c r="K5334" s="18" t="s">
        <v>24</v>
      </c>
      <c r="L5334" s="18" t="s">
        <v>25</v>
      </c>
      <c r="N5334" s="18" t="s">
        <v>441</v>
      </c>
    </row>
    <row r="5335" spans="1:14" ht="15" customHeight="1" x14ac:dyDescent="0.3">
      <c r="A5335" s="18" t="s">
        <v>10045</v>
      </c>
      <c r="B5335" s="19" t="s">
        <v>15</v>
      </c>
      <c r="C5335" s="18" t="s">
        <v>437</v>
      </c>
      <c r="D5335" s="18" t="s">
        <v>116</v>
      </c>
      <c r="E5335" s="18" t="s">
        <v>55</v>
      </c>
      <c r="F5335" s="18" t="s">
        <v>10177</v>
      </c>
      <c r="G5335" s="18" t="s">
        <v>1291</v>
      </c>
      <c r="H5335" s="18" t="s">
        <v>10054</v>
      </c>
      <c r="I5335" s="20" t="s">
        <v>10178</v>
      </c>
      <c r="J5335" s="18" t="s">
        <v>58</v>
      </c>
      <c r="K5335" s="18" t="s">
        <v>24</v>
      </c>
      <c r="L5335" s="18" t="s">
        <v>25</v>
      </c>
      <c r="N5335" s="18" t="s">
        <v>441</v>
      </c>
    </row>
    <row r="5336" spans="1:14" ht="15" customHeight="1" x14ac:dyDescent="0.3">
      <c r="A5336" s="18" t="s">
        <v>10045</v>
      </c>
      <c r="B5336" s="19" t="s">
        <v>15</v>
      </c>
      <c r="C5336" s="18" t="s">
        <v>437</v>
      </c>
      <c r="D5336" s="18" t="s">
        <v>116</v>
      </c>
      <c r="E5336" s="18" t="s">
        <v>55</v>
      </c>
      <c r="F5336" s="18" t="s">
        <v>3965</v>
      </c>
      <c r="G5336" s="18" t="s">
        <v>1019</v>
      </c>
      <c r="H5336" s="18" t="s">
        <v>10054</v>
      </c>
      <c r="I5336" s="20" t="s">
        <v>10179</v>
      </c>
      <c r="J5336" s="18" t="s">
        <v>58</v>
      </c>
      <c r="K5336" s="18" t="s">
        <v>24</v>
      </c>
      <c r="L5336" s="18" t="s">
        <v>25</v>
      </c>
      <c r="N5336" s="18" t="s">
        <v>441</v>
      </c>
    </row>
    <row r="5337" spans="1:14" ht="15" customHeight="1" x14ac:dyDescent="0.3">
      <c r="A5337" s="18" t="s">
        <v>10045</v>
      </c>
      <c r="B5337" s="19" t="s">
        <v>15</v>
      </c>
      <c r="C5337" s="18" t="s">
        <v>437</v>
      </c>
      <c r="D5337" s="18" t="s">
        <v>116</v>
      </c>
      <c r="E5337" s="18" t="s">
        <v>55</v>
      </c>
      <c r="F5337" s="18" t="s">
        <v>2287</v>
      </c>
      <c r="G5337" s="18" t="s">
        <v>629</v>
      </c>
      <c r="H5337" s="18" t="s">
        <v>10180</v>
      </c>
      <c r="I5337" s="20" t="s">
        <v>10181</v>
      </c>
      <c r="J5337" s="18" t="s">
        <v>58</v>
      </c>
      <c r="K5337" s="18" t="s">
        <v>24</v>
      </c>
      <c r="L5337" s="18" t="s">
        <v>25</v>
      </c>
      <c r="N5337" s="18" t="s">
        <v>441</v>
      </c>
    </row>
    <row r="5338" spans="1:14" ht="15" customHeight="1" x14ac:dyDescent="0.3">
      <c r="A5338" s="18" t="s">
        <v>10045</v>
      </c>
      <c r="B5338" s="19" t="s">
        <v>15</v>
      </c>
      <c r="C5338" s="18" t="s">
        <v>437</v>
      </c>
      <c r="D5338" s="18" t="s">
        <v>116</v>
      </c>
      <c r="E5338" s="18" t="s">
        <v>55</v>
      </c>
      <c r="F5338" s="18" t="s">
        <v>10182</v>
      </c>
      <c r="G5338" s="18" t="s">
        <v>7668</v>
      </c>
      <c r="H5338" s="18" t="s">
        <v>10095</v>
      </c>
      <c r="I5338" s="20" t="s">
        <v>10183</v>
      </c>
      <c r="J5338" s="18" t="s">
        <v>58</v>
      </c>
      <c r="K5338" s="18" t="s">
        <v>24</v>
      </c>
      <c r="L5338" s="18" t="s">
        <v>25</v>
      </c>
      <c r="N5338" s="18" t="s">
        <v>441</v>
      </c>
    </row>
    <row r="5339" spans="1:14" ht="15" customHeight="1" x14ac:dyDescent="0.3">
      <c r="A5339" s="18" t="s">
        <v>10045</v>
      </c>
      <c r="B5339" s="19" t="s">
        <v>15</v>
      </c>
      <c r="C5339" s="18" t="s">
        <v>437</v>
      </c>
      <c r="D5339" s="18" t="s">
        <v>116</v>
      </c>
      <c r="E5339" s="18" t="s">
        <v>55</v>
      </c>
      <c r="F5339" s="18" t="s">
        <v>10184</v>
      </c>
      <c r="G5339" s="18" t="s">
        <v>1069</v>
      </c>
      <c r="H5339" s="18" t="s">
        <v>10115</v>
      </c>
      <c r="I5339" s="20" t="s">
        <v>10185</v>
      </c>
      <c r="J5339" s="18" t="s">
        <v>73</v>
      </c>
      <c r="K5339" s="18" t="s">
        <v>24</v>
      </c>
      <c r="L5339" s="18" t="s">
        <v>25</v>
      </c>
      <c r="M5339" s="18" t="s">
        <v>39</v>
      </c>
      <c r="N5339" s="18" t="s">
        <v>441</v>
      </c>
    </row>
    <row r="5340" spans="1:14" ht="15" customHeight="1" x14ac:dyDescent="0.3">
      <c r="A5340" s="18" t="s">
        <v>10045</v>
      </c>
      <c r="B5340" s="19" t="s">
        <v>15</v>
      </c>
      <c r="C5340" s="18" t="s">
        <v>437</v>
      </c>
      <c r="D5340" s="18" t="s">
        <v>116</v>
      </c>
      <c r="E5340" s="18" t="s">
        <v>55</v>
      </c>
      <c r="F5340" s="18" t="s">
        <v>10186</v>
      </c>
      <c r="G5340" s="18" t="s">
        <v>1069</v>
      </c>
      <c r="H5340" s="18" t="s">
        <v>10115</v>
      </c>
      <c r="I5340" s="20" t="s">
        <v>10187</v>
      </c>
      <c r="J5340" s="18" t="s">
        <v>1262</v>
      </c>
      <c r="K5340" s="18" t="s">
        <v>24</v>
      </c>
      <c r="L5340" s="18" t="s">
        <v>25</v>
      </c>
      <c r="M5340" s="18" t="s">
        <v>39</v>
      </c>
      <c r="N5340" s="18" t="s">
        <v>441</v>
      </c>
    </row>
    <row r="5341" spans="1:14" ht="15" customHeight="1" x14ac:dyDescent="0.3">
      <c r="A5341" s="18" t="s">
        <v>10045</v>
      </c>
      <c r="B5341" s="19" t="s">
        <v>15</v>
      </c>
      <c r="C5341" s="18" t="s">
        <v>437</v>
      </c>
      <c r="D5341" s="18" t="s">
        <v>116</v>
      </c>
      <c r="E5341" s="18" t="s">
        <v>55</v>
      </c>
      <c r="F5341" s="18" t="s">
        <v>10188</v>
      </c>
      <c r="G5341" s="18" t="s">
        <v>1069</v>
      </c>
      <c r="H5341" s="18" t="s">
        <v>10115</v>
      </c>
      <c r="I5341" s="20" t="s">
        <v>10189</v>
      </c>
      <c r="J5341" s="18" t="s">
        <v>73</v>
      </c>
      <c r="K5341" s="18" t="s">
        <v>24</v>
      </c>
      <c r="L5341" s="18" t="s">
        <v>25</v>
      </c>
      <c r="N5341" s="18" t="s">
        <v>441</v>
      </c>
    </row>
    <row r="5342" spans="1:14" ht="15" customHeight="1" x14ac:dyDescent="0.3">
      <c r="A5342" s="18" t="s">
        <v>10045</v>
      </c>
      <c r="B5342" s="19" t="s">
        <v>15</v>
      </c>
      <c r="C5342" s="18" t="s">
        <v>437</v>
      </c>
      <c r="D5342" s="18" t="s">
        <v>116</v>
      </c>
      <c r="E5342" s="18" t="s">
        <v>55</v>
      </c>
      <c r="F5342" s="18" t="s">
        <v>10190</v>
      </c>
      <c r="G5342" s="18" t="s">
        <v>273</v>
      </c>
      <c r="H5342" s="18" t="s">
        <v>10054</v>
      </c>
      <c r="I5342" s="20" t="s">
        <v>10191</v>
      </c>
      <c r="J5342" s="18" t="s">
        <v>58</v>
      </c>
      <c r="K5342" s="18" t="s">
        <v>24</v>
      </c>
      <c r="L5342" s="18" t="s">
        <v>25</v>
      </c>
      <c r="N5342" s="18" t="s">
        <v>441</v>
      </c>
    </row>
    <row r="5343" spans="1:14" ht="15" customHeight="1" x14ac:dyDescent="0.3">
      <c r="A5343" s="18" t="s">
        <v>10045</v>
      </c>
      <c r="B5343" s="19" t="s">
        <v>15</v>
      </c>
      <c r="C5343" s="18" t="s">
        <v>437</v>
      </c>
      <c r="D5343" s="18" t="s">
        <v>116</v>
      </c>
      <c r="E5343" s="18" t="s">
        <v>55</v>
      </c>
      <c r="F5343" s="18" t="s">
        <v>275</v>
      </c>
      <c r="G5343" s="18" t="s">
        <v>1363</v>
      </c>
      <c r="H5343" s="18" t="s">
        <v>10054</v>
      </c>
      <c r="I5343" s="20" t="s">
        <v>10192</v>
      </c>
      <c r="J5343" s="18" t="s">
        <v>73</v>
      </c>
      <c r="K5343" s="18" t="s">
        <v>24</v>
      </c>
      <c r="L5343" s="18" t="s">
        <v>25</v>
      </c>
      <c r="N5343" s="18" t="s">
        <v>441</v>
      </c>
    </row>
    <row r="5344" spans="1:14" ht="15" customHeight="1" x14ac:dyDescent="0.3">
      <c r="A5344" s="18" t="s">
        <v>10045</v>
      </c>
      <c r="B5344" s="19" t="s">
        <v>15</v>
      </c>
      <c r="C5344" s="18" t="s">
        <v>437</v>
      </c>
      <c r="D5344" s="18" t="s">
        <v>116</v>
      </c>
      <c r="E5344" s="18" t="s">
        <v>55</v>
      </c>
      <c r="F5344" s="18" t="s">
        <v>356</v>
      </c>
      <c r="G5344" s="18" t="s">
        <v>273</v>
      </c>
      <c r="H5344" s="18" t="s">
        <v>10054</v>
      </c>
      <c r="I5344" s="20" t="s">
        <v>10193</v>
      </c>
      <c r="J5344" s="18" t="s">
        <v>58</v>
      </c>
      <c r="K5344" s="18" t="s">
        <v>24</v>
      </c>
      <c r="L5344" s="18" t="s">
        <v>25</v>
      </c>
      <c r="N5344" s="18" t="s">
        <v>441</v>
      </c>
    </row>
    <row r="5345" spans="1:14" ht="15" customHeight="1" x14ac:dyDescent="0.3">
      <c r="A5345" s="18" t="s">
        <v>10045</v>
      </c>
      <c r="B5345" s="19" t="s">
        <v>15</v>
      </c>
      <c r="C5345" s="18" t="s">
        <v>437</v>
      </c>
      <c r="D5345" s="18" t="s">
        <v>116</v>
      </c>
      <c r="E5345" s="18" t="s">
        <v>55</v>
      </c>
      <c r="F5345" s="18" t="s">
        <v>381</v>
      </c>
      <c r="G5345" s="18" t="s">
        <v>381</v>
      </c>
      <c r="H5345" s="18" t="s">
        <v>10107</v>
      </c>
      <c r="I5345" s="20" t="s">
        <v>10194</v>
      </c>
      <c r="J5345" s="18" t="s">
        <v>73</v>
      </c>
      <c r="K5345" s="18" t="s">
        <v>24</v>
      </c>
      <c r="L5345" s="18" t="s">
        <v>25</v>
      </c>
      <c r="N5345" s="18" t="s">
        <v>441</v>
      </c>
    </row>
    <row r="5346" spans="1:14" ht="15" customHeight="1" x14ac:dyDescent="0.3">
      <c r="A5346" s="18" t="s">
        <v>10045</v>
      </c>
      <c r="B5346" s="19" t="s">
        <v>15</v>
      </c>
      <c r="C5346" s="18" t="s">
        <v>437</v>
      </c>
      <c r="D5346" s="18" t="s">
        <v>116</v>
      </c>
      <c r="E5346" s="18" t="s">
        <v>55</v>
      </c>
      <c r="F5346" s="18" t="s">
        <v>221</v>
      </c>
      <c r="G5346" s="18" t="s">
        <v>212</v>
      </c>
      <c r="H5346" s="18" t="s">
        <v>10046</v>
      </c>
      <c r="I5346" s="20" t="s">
        <v>10195</v>
      </c>
      <c r="J5346" s="18" t="s">
        <v>58</v>
      </c>
      <c r="K5346" s="18" t="s">
        <v>24</v>
      </c>
      <c r="L5346" s="18" t="s">
        <v>25</v>
      </c>
      <c r="N5346" s="18" t="s">
        <v>441</v>
      </c>
    </row>
    <row r="5347" spans="1:14" ht="15" customHeight="1" x14ac:dyDescent="0.3">
      <c r="A5347" s="18" t="s">
        <v>10045</v>
      </c>
      <c r="B5347" s="19" t="s">
        <v>15</v>
      </c>
      <c r="C5347" s="18" t="s">
        <v>437</v>
      </c>
      <c r="D5347" s="18" t="s">
        <v>116</v>
      </c>
      <c r="E5347" s="18" t="s">
        <v>55</v>
      </c>
      <c r="F5347" s="18" t="s">
        <v>1244</v>
      </c>
      <c r="G5347" s="18" t="s">
        <v>1204</v>
      </c>
      <c r="H5347" s="18" t="s">
        <v>10046</v>
      </c>
      <c r="I5347" s="20" t="s">
        <v>10196</v>
      </c>
      <c r="J5347" s="18" t="s">
        <v>58</v>
      </c>
      <c r="K5347" s="18" t="s">
        <v>24</v>
      </c>
      <c r="L5347" s="18" t="s">
        <v>25</v>
      </c>
      <c r="N5347" s="18" t="s">
        <v>441</v>
      </c>
    </row>
    <row r="5348" spans="1:14" ht="15" customHeight="1" x14ac:dyDescent="0.3">
      <c r="A5348" s="18" t="s">
        <v>10045</v>
      </c>
      <c r="B5348" s="19" t="s">
        <v>15</v>
      </c>
      <c r="C5348" s="18" t="s">
        <v>437</v>
      </c>
      <c r="D5348" s="18" t="s">
        <v>116</v>
      </c>
      <c r="E5348" s="18" t="s">
        <v>55</v>
      </c>
      <c r="F5348" s="18" t="s">
        <v>1072</v>
      </c>
      <c r="G5348" s="18" t="s">
        <v>47</v>
      </c>
      <c r="H5348" s="18" t="s">
        <v>10095</v>
      </c>
      <c r="I5348" s="20" t="s">
        <v>10197</v>
      </c>
      <c r="J5348" s="18" t="s">
        <v>58</v>
      </c>
      <c r="K5348" s="18" t="s">
        <v>24</v>
      </c>
      <c r="L5348" s="18" t="s">
        <v>25</v>
      </c>
      <c r="N5348" s="18" t="s">
        <v>441</v>
      </c>
    </row>
    <row r="5349" spans="1:14" ht="15" customHeight="1" x14ac:dyDescent="0.3">
      <c r="A5349" s="18" t="s">
        <v>10045</v>
      </c>
      <c r="B5349" s="19" t="s">
        <v>15</v>
      </c>
      <c r="C5349" s="18" t="s">
        <v>437</v>
      </c>
      <c r="D5349" s="18" t="s">
        <v>116</v>
      </c>
      <c r="E5349" s="18" t="s">
        <v>55</v>
      </c>
      <c r="F5349" s="18" t="s">
        <v>10198</v>
      </c>
      <c r="G5349" s="18" t="s">
        <v>1254</v>
      </c>
      <c r="H5349" s="18" t="s">
        <v>10046</v>
      </c>
      <c r="I5349" s="20" t="s">
        <v>10199</v>
      </c>
      <c r="J5349" s="18" t="s">
        <v>58</v>
      </c>
      <c r="K5349" s="18" t="s">
        <v>24</v>
      </c>
      <c r="L5349" s="18" t="s">
        <v>25</v>
      </c>
      <c r="N5349" s="18" t="s">
        <v>441</v>
      </c>
    </row>
    <row r="5350" spans="1:14" ht="15" customHeight="1" x14ac:dyDescent="0.3">
      <c r="A5350" s="18" t="s">
        <v>10045</v>
      </c>
      <c r="B5350" s="19" t="s">
        <v>15</v>
      </c>
      <c r="C5350" s="18" t="s">
        <v>437</v>
      </c>
      <c r="D5350" s="18" t="s">
        <v>116</v>
      </c>
      <c r="E5350" s="18" t="s">
        <v>55</v>
      </c>
      <c r="F5350" s="18" t="s">
        <v>7761</v>
      </c>
      <c r="G5350" s="18" t="s">
        <v>7762</v>
      </c>
      <c r="H5350" s="18" t="s">
        <v>10095</v>
      </c>
      <c r="I5350" s="20" t="s">
        <v>10200</v>
      </c>
      <c r="J5350" s="18" t="s">
        <v>58</v>
      </c>
      <c r="K5350" s="18" t="s">
        <v>24</v>
      </c>
      <c r="L5350" s="18" t="s">
        <v>25</v>
      </c>
      <c r="N5350" s="18" t="s">
        <v>441</v>
      </c>
    </row>
    <row r="5351" spans="1:14" ht="15" customHeight="1" x14ac:dyDescent="0.3">
      <c r="A5351" s="18" t="s">
        <v>10045</v>
      </c>
      <c r="B5351" s="19" t="s">
        <v>15</v>
      </c>
      <c r="C5351" s="18" t="s">
        <v>437</v>
      </c>
      <c r="D5351" s="18" t="s">
        <v>116</v>
      </c>
      <c r="E5351" s="18" t="s">
        <v>55</v>
      </c>
      <c r="F5351" s="18" t="s">
        <v>10201</v>
      </c>
      <c r="G5351" s="18" t="s">
        <v>7774</v>
      </c>
      <c r="H5351" s="18" t="s">
        <v>10098</v>
      </c>
      <c r="I5351" s="20" t="s">
        <v>10202</v>
      </c>
      <c r="J5351" s="18" t="s">
        <v>58</v>
      </c>
      <c r="K5351" s="18" t="s">
        <v>24</v>
      </c>
      <c r="L5351" s="18" t="s">
        <v>1369</v>
      </c>
      <c r="N5351" s="18" t="s">
        <v>441</v>
      </c>
    </row>
    <row r="5352" spans="1:14" ht="15" customHeight="1" x14ac:dyDescent="0.3">
      <c r="A5352" s="18" t="s">
        <v>10045</v>
      </c>
      <c r="B5352" s="19" t="s">
        <v>15</v>
      </c>
      <c r="C5352" s="18" t="s">
        <v>437</v>
      </c>
      <c r="D5352" s="18" t="s">
        <v>116</v>
      </c>
      <c r="E5352" s="18" t="s">
        <v>55</v>
      </c>
      <c r="F5352" s="18" t="s">
        <v>1366</v>
      </c>
      <c r="G5352" s="18" t="s">
        <v>1367</v>
      </c>
      <c r="H5352" s="18" t="s">
        <v>10054</v>
      </c>
      <c r="I5352" s="20" t="s">
        <v>10203</v>
      </c>
      <c r="J5352" s="18" t="s">
        <v>73</v>
      </c>
      <c r="K5352" s="18" t="s">
        <v>24</v>
      </c>
      <c r="L5352" s="18" t="s">
        <v>1369</v>
      </c>
      <c r="N5352" s="18" t="s">
        <v>441</v>
      </c>
    </row>
    <row r="5353" spans="1:14" ht="15" customHeight="1" x14ac:dyDescent="0.3">
      <c r="A5353" s="18" t="s">
        <v>10045</v>
      </c>
      <c r="B5353" s="19" t="s">
        <v>15</v>
      </c>
      <c r="C5353" s="18" t="s">
        <v>437</v>
      </c>
      <c r="D5353" s="18" t="s">
        <v>116</v>
      </c>
      <c r="E5353" s="18" t="s">
        <v>55</v>
      </c>
      <c r="F5353" s="18" t="s">
        <v>5487</v>
      </c>
      <c r="G5353" s="18" t="s">
        <v>5488</v>
      </c>
      <c r="H5353" s="18" t="s">
        <v>10054</v>
      </c>
      <c r="I5353" s="20" t="s">
        <v>10204</v>
      </c>
      <c r="J5353" s="18" t="s">
        <v>58</v>
      </c>
      <c r="K5353" s="18" t="s">
        <v>24</v>
      </c>
      <c r="L5353" s="18" t="s">
        <v>1369</v>
      </c>
      <c r="N5353" s="18" t="s">
        <v>441</v>
      </c>
    </row>
    <row r="5354" spans="1:14" ht="15" customHeight="1" x14ac:dyDescent="0.3">
      <c r="A5354" s="18" t="s">
        <v>10045</v>
      </c>
      <c r="B5354" s="19" t="s">
        <v>15</v>
      </c>
      <c r="C5354" s="18" t="s">
        <v>437</v>
      </c>
      <c r="D5354" s="18" t="s">
        <v>116</v>
      </c>
      <c r="E5354" s="18" t="s">
        <v>55</v>
      </c>
      <c r="F5354" s="18" t="s">
        <v>10205</v>
      </c>
      <c r="G5354" s="18" t="s">
        <v>7781</v>
      </c>
      <c r="H5354" s="18" t="s">
        <v>10098</v>
      </c>
      <c r="I5354" s="20" t="s">
        <v>10206</v>
      </c>
      <c r="J5354" s="18" t="s">
        <v>58</v>
      </c>
      <c r="K5354" s="18" t="s">
        <v>24</v>
      </c>
      <c r="L5354" s="18" t="s">
        <v>1369</v>
      </c>
      <c r="N5354" s="18" t="s">
        <v>441</v>
      </c>
    </row>
    <row r="5355" spans="1:14" ht="15" customHeight="1" x14ac:dyDescent="0.3">
      <c r="A5355" s="18" t="s">
        <v>10045</v>
      </c>
      <c r="B5355" s="19" t="s">
        <v>15</v>
      </c>
      <c r="C5355" s="18" t="s">
        <v>437</v>
      </c>
      <c r="D5355" s="18" t="s">
        <v>116</v>
      </c>
      <c r="E5355" s="18" t="s">
        <v>55</v>
      </c>
      <c r="F5355" s="18" t="s">
        <v>281</v>
      </c>
      <c r="G5355" s="18" t="s">
        <v>1976</v>
      </c>
      <c r="H5355" s="18" t="s">
        <v>10054</v>
      </c>
      <c r="I5355" s="20" t="s">
        <v>10207</v>
      </c>
      <c r="J5355" s="18" t="s">
        <v>58</v>
      </c>
      <c r="K5355" s="18" t="s">
        <v>24</v>
      </c>
      <c r="L5355" s="18" t="s">
        <v>25</v>
      </c>
      <c r="N5355" s="18" t="s">
        <v>441</v>
      </c>
    </row>
    <row r="5356" spans="1:14" ht="15" customHeight="1" x14ac:dyDescent="0.3">
      <c r="A5356" s="18" t="s">
        <v>10045</v>
      </c>
      <c r="B5356" s="19" t="s">
        <v>15</v>
      </c>
      <c r="C5356" s="18" t="s">
        <v>437</v>
      </c>
      <c r="D5356" s="18" t="s">
        <v>116</v>
      </c>
      <c r="E5356" s="18" t="s">
        <v>55</v>
      </c>
      <c r="F5356" s="18" t="s">
        <v>284</v>
      </c>
      <c r="G5356" s="18" t="s">
        <v>1370</v>
      </c>
      <c r="H5356" s="18" t="s">
        <v>10054</v>
      </c>
      <c r="I5356" s="20" t="s">
        <v>10208</v>
      </c>
      <c r="J5356" s="18" t="s">
        <v>58</v>
      </c>
      <c r="K5356" s="18" t="s">
        <v>24</v>
      </c>
      <c r="L5356" s="18" t="s">
        <v>25</v>
      </c>
      <c r="N5356" s="18" t="s">
        <v>441</v>
      </c>
    </row>
    <row r="5357" spans="1:14" ht="15" customHeight="1" x14ac:dyDescent="0.3">
      <c r="A5357" s="18" t="s">
        <v>10045</v>
      </c>
      <c r="B5357" s="19" t="s">
        <v>15</v>
      </c>
      <c r="C5357" s="18" t="s">
        <v>437</v>
      </c>
      <c r="D5357" s="18" t="s">
        <v>116</v>
      </c>
      <c r="E5357" s="18" t="s">
        <v>55</v>
      </c>
      <c r="F5357" s="18" t="s">
        <v>5050</v>
      </c>
      <c r="G5357" s="18" t="s">
        <v>564</v>
      </c>
      <c r="H5357" s="18" t="s">
        <v>10115</v>
      </c>
      <c r="I5357" s="20" t="s">
        <v>10209</v>
      </c>
      <c r="J5357" s="18" t="s">
        <v>58</v>
      </c>
      <c r="K5357" s="18" t="s">
        <v>24</v>
      </c>
      <c r="L5357" s="18" t="s">
        <v>25</v>
      </c>
      <c r="N5357" s="18" t="s">
        <v>441</v>
      </c>
    </row>
    <row r="5358" spans="1:14" ht="15" customHeight="1" x14ac:dyDescent="0.3">
      <c r="A5358" s="18" t="s">
        <v>10045</v>
      </c>
      <c r="B5358" s="19" t="s">
        <v>15</v>
      </c>
      <c r="C5358" s="18" t="s">
        <v>437</v>
      </c>
      <c r="D5358" s="18" t="s">
        <v>116</v>
      </c>
      <c r="E5358" s="18" t="s">
        <v>55</v>
      </c>
      <c r="F5358" s="18" t="s">
        <v>3398</v>
      </c>
      <c r="G5358" s="18" t="s">
        <v>85</v>
      </c>
      <c r="H5358" s="18" t="s">
        <v>10051</v>
      </c>
      <c r="I5358" s="20" t="s">
        <v>10210</v>
      </c>
      <c r="J5358" s="18" t="s">
        <v>58</v>
      </c>
      <c r="K5358" s="18" t="s">
        <v>24</v>
      </c>
      <c r="L5358" s="18" t="s">
        <v>25</v>
      </c>
      <c r="N5358" s="18" t="s">
        <v>441</v>
      </c>
    </row>
    <row r="5359" spans="1:14" ht="15" customHeight="1" x14ac:dyDescent="0.3">
      <c r="A5359" s="18" t="s">
        <v>10045</v>
      </c>
      <c r="B5359" s="19" t="s">
        <v>15</v>
      </c>
      <c r="C5359" s="18" t="s">
        <v>437</v>
      </c>
      <c r="D5359" s="18" t="s">
        <v>116</v>
      </c>
      <c r="E5359" s="18" t="s">
        <v>55</v>
      </c>
      <c r="F5359" s="18" t="s">
        <v>2610</v>
      </c>
      <c r="G5359" s="18" t="s">
        <v>263</v>
      </c>
      <c r="H5359" s="18" t="s">
        <v>10211</v>
      </c>
      <c r="I5359" s="20" t="s">
        <v>10212</v>
      </c>
      <c r="J5359" s="18" t="s">
        <v>58</v>
      </c>
      <c r="K5359" s="18" t="s">
        <v>24</v>
      </c>
      <c r="L5359" s="18" t="s">
        <v>25</v>
      </c>
      <c r="N5359" s="18" t="s">
        <v>441</v>
      </c>
    </row>
    <row r="5360" spans="1:14" ht="15" customHeight="1" x14ac:dyDescent="0.3">
      <c r="A5360" s="18" t="s">
        <v>10045</v>
      </c>
      <c r="B5360" s="19" t="s">
        <v>15</v>
      </c>
      <c r="C5360" s="18" t="s">
        <v>437</v>
      </c>
      <c r="D5360" s="18" t="s">
        <v>116</v>
      </c>
      <c r="E5360" s="18" t="s">
        <v>55</v>
      </c>
      <c r="F5360" s="18" t="s">
        <v>40</v>
      </c>
      <c r="G5360" s="18" t="s">
        <v>41</v>
      </c>
      <c r="H5360" s="18" t="s">
        <v>10115</v>
      </c>
      <c r="I5360" s="20" t="s">
        <v>10213</v>
      </c>
      <c r="J5360" s="18" t="s">
        <v>73</v>
      </c>
      <c r="K5360" s="18" t="s">
        <v>24</v>
      </c>
      <c r="L5360" s="18" t="s">
        <v>25</v>
      </c>
      <c r="N5360" s="18" t="s">
        <v>441</v>
      </c>
    </row>
    <row r="5361" spans="1:14" ht="15" customHeight="1" x14ac:dyDescent="0.3">
      <c r="A5361" s="18" t="s">
        <v>10045</v>
      </c>
      <c r="B5361" s="19" t="s">
        <v>15</v>
      </c>
      <c r="C5361" s="18" t="s">
        <v>437</v>
      </c>
      <c r="D5361" s="18" t="s">
        <v>116</v>
      </c>
      <c r="E5361" s="18" t="s">
        <v>55</v>
      </c>
      <c r="F5361" s="18" t="s">
        <v>1961</v>
      </c>
      <c r="G5361" s="18" t="s">
        <v>41</v>
      </c>
      <c r="H5361" s="18" t="s">
        <v>10115</v>
      </c>
      <c r="I5361" s="20" t="s">
        <v>10214</v>
      </c>
      <c r="J5361" s="18" t="s">
        <v>58</v>
      </c>
      <c r="K5361" s="18" t="s">
        <v>24</v>
      </c>
      <c r="L5361" s="18" t="s">
        <v>25</v>
      </c>
      <c r="N5361" s="18" t="s">
        <v>441</v>
      </c>
    </row>
    <row r="5362" spans="1:14" ht="15" customHeight="1" x14ac:dyDescent="0.3">
      <c r="A5362" s="18" t="s">
        <v>10045</v>
      </c>
      <c r="B5362" s="19" t="s">
        <v>15</v>
      </c>
      <c r="C5362" s="18" t="s">
        <v>437</v>
      </c>
      <c r="D5362" s="18" t="s">
        <v>116</v>
      </c>
      <c r="E5362" s="18" t="s">
        <v>55</v>
      </c>
      <c r="F5362" s="18" t="s">
        <v>10215</v>
      </c>
      <c r="G5362" s="18" t="s">
        <v>1704</v>
      </c>
      <c r="H5362" s="18" t="s">
        <v>10095</v>
      </c>
      <c r="I5362" s="20" t="s">
        <v>10216</v>
      </c>
      <c r="J5362" s="18" t="s">
        <v>58</v>
      </c>
      <c r="K5362" s="18" t="s">
        <v>24</v>
      </c>
      <c r="L5362" s="18" t="s">
        <v>25</v>
      </c>
      <c r="N5362" s="18" t="s">
        <v>441</v>
      </c>
    </row>
    <row r="5363" spans="1:14" ht="15" customHeight="1" x14ac:dyDescent="0.3">
      <c r="A5363" s="18" t="s">
        <v>10045</v>
      </c>
      <c r="B5363" s="19" t="s">
        <v>15</v>
      </c>
      <c r="C5363" s="18" t="s">
        <v>437</v>
      </c>
      <c r="D5363" s="18" t="s">
        <v>116</v>
      </c>
      <c r="E5363" s="18" t="s">
        <v>55</v>
      </c>
      <c r="F5363" s="18" t="s">
        <v>10217</v>
      </c>
      <c r="G5363" s="18" t="s">
        <v>913</v>
      </c>
      <c r="H5363" s="18" t="s">
        <v>10095</v>
      </c>
      <c r="I5363" s="20" t="s">
        <v>10218</v>
      </c>
      <c r="J5363" s="18" t="s">
        <v>73</v>
      </c>
      <c r="K5363" s="18" t="s">
        <v>24</v>
      </c>
      <c r="L5363" s="18" t="s">
        <v>25</v>
      </c>
      <c r="M5363" s="18" t="s">
        <v>39</v>
      </c>
      <c r="N5363" s="18" t="s">
        <v>441</v>
      </c>
    </row>
    <row r="5364" spans="1:14" ht="15" customHeight="1" x14ac:dyDescent="0.3">
      <c r="A5364" s="18" t="s">
        <v>10045</v>
      </c>
      <c r="B5364" s="19" t="s">
        <v>15</v>
      </c>
      <c r="C5364" s="18" t="s">
        <v>437</v>
      </c>
      <c r="D5364" s="18" t="s">
        <v>116</v>
      </c>
      <c r="E5364" s="18" t="s">
        <v>55</v>
      </c>
      <c r="F5364" s="18" t="s">
        <v>10219</v>
      </c>
      <c r="G5364" s="18" t="s">
        <v>7668</v>
      </c>
      <c r="H5364" s="18" t="s">
        <v>10220</v>
      </c>
      <c r="I5364" s="20" t="s">
        <v>10221</v>
      </c>
      <c r="J5364" s="18" t="s">
        <v>58</v>
      </c>
      <c r="K5364" s="18" t="s">
        <v>24</v>
      </c>
      <c r="L5364" s="18" t="s">
        <v>25</v>
      </c>
      <c r="N5364" s="18" t="s">
        <v>441</v>
      </c>
    </row>
    <row r="5365" spans="1:14" ht="15" customHeight="1" x14ac:dyDescent="0.3">
      <c r="A5365" s="18" t="s">
        <v>10045</v>
      </c>
      <c r="B5365" s="19" t="s">
        <v>15</v>
      </c>
      <c r="C5365" s="18" t="s">
        <v>437</v>
      </c>
      <c r="D5365" s="18" t="s">
        <v>116</v>
      </c>
      <c r="E5365" s="18" t="s">
        <v>55</v>
      </c>
      <c r="F5365" s="18" t="s">
        <v>10222</v>
      </c>
      <c r="G5365" s="18" t="s">
        <v>537</v>
      </c>
      <c r="H5365" s="18" t="s">
        <v>10115</v>
      </c>
      <c r="I5365" s="20" t="s">
        <v>10223</v>
      </c>
      <c r="J5365" s="18" t="s">
        <v>58</v>
      </c>
      <c r="K5365" s="18" t="s">
        <v>24</v>
      </c>
      <c r="L5365" s="18" t="s">
        <v>25</v>
      </c>
      <c r="N5365" s="18" t="s">
        <v>441</v>
      </c>
    </row>
    <row r="5366" spans="1:14" ht="15" customHeight="1" x14ac:dyDescent="0.3">
      <c r="A5366" s="18" t="s">
        <v>10045</v>
      </c>
      <c r="B5366" s="19" t="s">
        <v>15</v>
      </c>
      <c r="C5366" s="18" t="s">
        <v>437</v>
      </c>
      <c r="D5366" s="18" t="s">
        <v>116</v>
      </c>
      <c r="E5366" s="18" t="s">
        <v>55</v>
      </c>
      <c r="F5366" s="18" t="s">
        <v>1086</v>
      </c>
      <c r="G5366" s="18" t="s">
        <v>207</v>
      </c>
      <c r="H5366" s="18" t="s">
        <v>10115</v>
      </c>
      <c r="I5366" s="20" t="s">
        <v>10224</v>
      </c>
      <c r="J5366" s="18" t="s">
        <v>58</v>
      </c>
      <c r="K5366" s="18" t="s">
        <v>24</v>
      </c>
      <c r="L5366" s="18" t="s">
        <v>25</v>
      </c>
      <c r="N5366" s="18" t="s">
        <v>441</v>
      </c>
    </row>
    <row r="5367" spans="1:14" ht="15" customHeight="1" x14ac:dyDescent="0.3">
      <c r="A5367" s="18" t="s">
        <v>10045</v>
      </c>
      <c r="B5367" s="19" t="s">
        <v>15</v>
      </c>
      <c r="C5367" s="18" t="s">
        <v>5776</v>
      </c>
      <c r="D5367" s="18" t="s">
        <v>116</v>
      </c>
      <c r="E5367" s="18" t="s">
        <v>55</v>
      </c>
      <c r="F5367" s="18" t="s">
        <v>2699</v>
      </c>
      <c r="G5367" s="18" t="s">
        <v>41</v>
      </c>
      <c r="H5367" s="18" t="s">
        <v>10225</v>
      </c>
      <c r="I5367" s="20" t="s">
        <v>10226</v>
      </c>
      <c r="J5367" s="18" t="s">
        <v>58</v>
      </c>
      <c r="K5367" s="18" t="s">
        <v>24</v>
      </c>
      <c r="L5367" s="18" t="s">
        <v>25</v>
      </c>
      <c r="N5367" s="18" t="s">
        <v>807</v>
      </c>
    </row>
    <row r="5368" spans="1:14" ht="15" customHeight="1" x14ac:dyDescent="0.3">
      <c r="A5368" s="18" t="s">
        <v>10045</v>
      </c>
      <c r="B5368" s="19" t="s">
        <v>15</v>
      </c>
      <c r="C5368" s="18" t="s">
        <v>437</v>
      </c>
      <c r="D5368" s="18" t="s">
        <v>116</v>
      </c>
      <c r="E5368" s="18" t="s">
        <v>55</v>
      </c>
      <c r="F5368" s="18" t="s">
        <v>10227</v>
      </c>
      <c r="G5368" s="18" t="s">
        <v>41</v>
      </c>
      <c r="H5368" s="18" t="s">
        <v>10046</v>
      </c>
      <c r="I5368" s="20" t="s">
        <v>10228</v>
      </c>
      <c r="J5368" s="18" t="s">
        <v>58</v>
      </c>
      <c r="K5368" s="18" t="s">
        <v>24</v>
      </c>
      <c r="L5368" s="18" t="s">
        <v>25</v>
      </c>
      <c r="N5368" s="18" t="s">
        <v>441</v>
      </c>
    </row>
    <row r="5369" spans="1:14" ht="15" customHeight="1" x14ac:dyDescent="0.3">
      <c r="A5369" s="18" t="s">
        <v>10045</v>
      </c>
      <c r="B5369" s="19" t="s">
        <v>15</v>
      </c>
      <c r="C5369" s="18" t="s">
        <v>437</v>
      </c>
      <c r="D5369" s="18" t="s">
        <v>116</v>
      </c>
      <c r="E5369" s="18" t="s">
        <v>55</v>
      </c>
      <c r="F5369" s="18" t="s">
        <v>1088</v>
      </c>
      <c r="G5369" s="18" t="s">
        <v>41</v>
      </c>
      <c r="H5369" s="18" t="s">
        <v>10098</v>
      </c>
      <c r="I5369" s="20" t="s">
        <v>10229</v>
      </c>
      <c r="J5369" s="18" t="s">
        <v>58</v>
      </c>
      <c r="K5369" s="18" t="s">
        <v>24</v>
      </c>
      <c r="L5369" s="18" t="s">
        <v>25</v>
      </c>
      <c r="N5369" s="18" t="s">
        <v>441</v>
      </c>
    </row>
    <row r="5370" spans="1:14" ht="15" customHeight="1" x14ac:dyDescent="0.3">
      <c r="A5370" s="18" t="s">
        <v>10045</v>
      </c>
      <c r="B5370" s="19" t="s">
        <v>15</v>
      </c>
      <c r="C5370" s="18" t="s">
        <v>437</v>
      </c>
      <c r="D5370" s="18" t="s">
        <v>116</v>
      </c>
      <c r="E5370" s="18" t="s">
        <v>55</v>
      </c>
      <c r="F5370" s="18" t="s">
        <v>2455</v>
      </c>
      <c r="G5370" s="18" t="s">
        <v>41</v>
      </c>
      <c r="H5370" s="18" t="s">
        <v>10115</v>
      </c>
      <c r="I5370" s="20" t="s">
        <v>10230</v>
      </c>
      <c r="J5370" s="18" t="s">
        <v>58</v>
      </c>
      <c r="K5370" s="18" t="s">
        <v>24</v>
      </c>
      <c r="L5370" s="18" t="s">
        <v>25</v>
      </c>
      <c r="N5370" s="18" t="s">
        <v>441</v>
      </c>
    </row>
    <row r="5371" spans="1:14" ht="15" customHeight="1" x14ac:dyDescent="0.3">
      <c r="A5371" s="18" t="s">
        <v>10045</v>
      </c>
      <c r="B5371" s="19" t="s">
        <v>15</v>
      </c>
      <c r="C5371" s="18" t="s">
        <v>437</v>
      </c>
      <c r="D5371" s="18" t="s">
        <v>116</v>
      </c>
      <c r="E5371" s="18" t="s">
        <v>55</v>
      </c>
      <c r="F5371" s="18" t="s">
        <v>10231</v>
      </c>
      <c r="G5371" s="18" t="s">
        <v>41</v>
      </c>
      <c r="H5371" s="18" t="s">
        <v>10098</v>
      </c>
      <c r="I5371" s="20" t="s">
        <v>10232</v>
      </c>
      <c r="J5371" s="18" t="s">
        <v>58</v>
      </c>
      <c r="K5371" s="18" t="s">
        <v>24</v>
      </c>
      <c r="L5371" s="18" t="s">
        <v>25</v>
      </c>
      <c r="N5371" s="18" t="s">
        <v>441</v>
      </c>
    </row>
    <row r="5372" spans="1:14" ht="15" customHeight="1" x14ac:dyDescent="0.3">
      <c r="A5372" s="18" t="s">
        <v>10045</v>
      </c>
      <c r="B5372" s="19" t="s">
        <v>15</v>
      </c>
      <c r="C5372" s="18" t="s">
        <v>437</v>
      </c>
      <c r="D5372" s="18" t="s">
        <v>116</v>
      </c>
      <c r="E5372" s="18" t="s">
        <v>55</v>
      </c>
      <c r="F5372" s="18" t="s">
        <v>10233</v>
      </c>
      <c r="G5372" s="18" t="s">
        <v>41</v>
      </c>
      <c r="H5372" s="18" t="s">
        <v>10115</v>
      </c>
      <c r="I5372" s="20" t="s">
        <v>10234</v>
      </c>
      <c r="J5372" s="18" t="s">
        <v>58</v>
      </c>
      <c r="K5372" s="18" t="s">
        <v>24</v>
      </c>
      <c r="L5372" s="18" t="s">
        <v>25</v>
      </c>
      <c r="N5372" s="18" t="s">
        <v>441</v>
      </c>
    </row>
    <row r="5373" spans="1:14" ht="15" customHeight="1" x14ac:dyDescent="0.3">
      <c r="A5373" s="18" t="s">
        <v>10045</v>
      </c>
      <c r="B5373" s="19" t="s">
        <v>15</v>
      </c>
      <c r="C5373" s="18" t="s">
        <v>437</v>
      </c>
      <c r="D5373" s="18" t="s">
        <v>116</v>
      </c>
      <c r="E5373" s="18" t="s">
        <v>55</v>
      </c>
      <c r="F5373" s="18" t="s">
        <v>9228</v>
      </c>
      <c r="G5373" s="18" t="s">
        <v>197</v>
      </c>
      <c r="H5373" s="18" t="s">
        <v>10098</v>
      </c>
      <c r="I5373" s="20" t="s">
        <v>10235</v>
      </c>
      <c r="J5373" s="18" t="s">
        <v>58</v>
      </c>
      <c r="K5373" s="18" t="s">
        <v>24</v>
      </c>
      <c r="L5373" s="18" t="s">
        <v>25</v>
      </c>
      <c r="N5373" s="18" t="s">
        <v>441</v>
      </c>
    </row>
    <row r="5374" spans="1:14" ht="15" customHeight="1" x14ac:dyDescent="0.3">
      <c r="A5374" s="18" t="s">
        <v>10045</v>
      </c>
      <c r="B5374" s="19" t="s">
        <v>15</v>
      </c>
      <c r="C5374" s="18" t="s">
        <v>437</v>
      </c>
      <c r="D5374" s="18" t="s">
        <v>116</v>
      </c>
      <c r="E5374" s="18" t="s">
        <v>55</v>
      </c>
      <c r="F5374" s="18" t="s">
        <v>6351</v>
      </c>
      <c r="G5374" s="18" t="s">
        <v>197</v>
      </c>
      <c r="H5374" s="18" t="s">
        <v>10098</v>
      </c>
      <c r="I5374" s="20" t="s">
        <v>10236</v>
      </c>
      <c r="J5374" s="18" t="s">
        <v>58</v>
      </c>
      <c r="K5374" s="18" t="s">
        <v>24</v>
      </c>
      <c r="L5374" s="18" t="s">
        <v>25</v>
      </c>
      <c r="N5374" s="18" t="s">
        <v>441</v>
      </c>
    </row>
    <row r="5375" spans="1:14" ht="15" customHeight="1" x14ac:dyDescent="0.3">
      <c r="A5375" s="18" t="s">
        <v>10045</v>
      </c>
      <c r="B5375" s="19" t="s">
        <v>15</v>
      </c>
      <c r="C5375" s="18" t="s">
        <v>437</v>
      </c>
      <c r="D5375" s="18" t="s">
        <v>116</v>
      </c>
      <c r="E5375" s="18" t="s">
        <v>55</v>
      </c>
      <c r="F5375" s="18" t="s">
        <v>10237</v>
      </c>
      <c r="G5375" s="18" t="s">
        <v>1704</v>
      </c>
      <c r="H5375" s="18" t="s">
        <v>10095</v>
      </c>
      <c r="I5375" s="20" t="s">
        <v>10238</v>
      </c>
      <c r="J5375" s="18" t="s">
        <v>58</v>
      </c>
      <c r="K5375" s="18" t="s">
        <v>24</v>
      </c>
      <c r="L5375" s="18" t="s">
        <v>25</v>
      </c>
      <c r="N5375" s="18" t="s">
        <v>441</v>
      </c>
    </row>
    <row r="5376" spans="1:14" ht="15" customHeight="1" x14ac:dyDescent="0.3">
      <c r="A5376" s="18" t="s">
        <v>10045</v>
      </c>
      <c r="B5376" s="19" t="s">
        <v>15</v>
      </c>
      <c r="C5376" s="18" t="s">
        <v>437</v>
      </c>
      <c r="D5376" s="18" t="s">
        <v>116</v>
      </c>
      <c r="E5376" s="18" t="s">
        <v>55</v>
      </c>
      <c r="F5376" s="18" t="s">
        <v>10239</v>
      </c>
      <c r="G5376" s="18" t="s">
        <v>7647</v>
      </c>
      <c r="H5376" s="18" t="s">
        <v>10095</v>
      </c>
      <c r="I5376" s="20" t="s">
        <v>10240</v>
      </c>
      <c r="J5376" s="18" t="s">
        <v>58</v>
      </c>
      <c r="K5376" s="18" t="s">
        <v>24</v>
      </c>
      <c r="L5376" s="18" t="s">
        <v>25</v>
      </c>
      <c r="N5376" s="18" t="s">
        <v>441</v>
      </c>
    </row>
    <row r="5377" spans="1:14" ht="15" customHeight="1" x14ac:dyDescent="0.3">
      <c r="A5377" s="18" t="s">
        <v>10045</v>
      </c>
      <c r="B5377" s="19" t="s">
        <v>15</v>
      </c>
      <c r="C5377" s="18" t="s">
        <v>437</v>
      </c>
      <c r="D5377" s="18" t="s">
        <v>116</v>
      </c>
      <c r="E5377" s="18" t="s">
        <v>55</v>
      </c>
      <c r="F5377" s="18" t="s">
        <v>9238</v>
      </c>
      <c r="G5377" s="18" t="s">
        <v>7647</v>
      </c>
      <c r="H5377" s="18" t="s">
        <v>10095</v>
      </c>
      <c r="I5377" s="20" t="s">
        <v>10241</v>
      </c>
      <c r="J5377" s="18" t="s">
        <v>58</v>
      </c>
      <c r="K5377" s="18" t="s">
        <v>24</v>
      </c>
      <c r="L5377" s="18" t="s">
        <v>25</v>
      </c>
      <c r="N5377" s="18" t="s">
        <v>441</v>
      </c>
    </row>
    <row r="5378" spans="1:14" ht="15" customHeight="1" x14ac:dyDescent="0.3">
      <c r="A5378" s="18" t="s">
        <v>10045</v>
      </c>
      <c r="B5378" s="19" t="s">
        <v>15</v>
      </c>
      <c r="C5378" s="18" t="s">
        <v>437</v>
      </c>
      <c r="D5378" s="18" t="s">
        <v>116</v>
      </c>
      <c r="E5378" s="18" t="s">
        <v>55</v>
      </c>
      <c r="F5378" s="18" t="s">
        <v>10242</v>
      </c>
      <c r="G5378" s="18" t="s">
        <v>7762</v>
      </c>
      <c r="H5378" s="18" t="s">
        <v>10095</v>
      </c>
      <c r="I5378" s="20" t="s">
        <v>10243</v>
      </c>
      <c r="J5378" s="18" t="s">
        <v>58</v>
      </c>
      <c r="K5378" s="18" t="s">
        <v>24</v>
      </c>
      <c r="L5378" s="18" t="s">
        <v>25</v>
      </c>
      <c r="M5378" s="18" t="s">
        <v>39</v>
      </c>
      <c r="N5378" s="18" t="s">
        <v>441</v>
      </c>
    </row>
    <row r="5379" spans="1:14" ht="15" customHeight="1" x14ac:dyDescent="0.3">
      <c r="A5379" s="18" t="s">
        <v>10045</v>
      </c>
      <c r="B5379" s="19" t="s">
        <v>15</v>
      </c>
      <c r="C5379" s="18" t="s">
        <v>437</v>
      </c>
      <c r="D5379" s="18" t="s">
        <v>116</v>
      </c>
      <c r="E5379" s="18" t="s">
        <v>55</v>
      </c>
      <c r="F5379" s="18" t="s">
        <v>10244</v>
      </c>
      <c r="G5379" s="18" t="s">
        <v>340</v>
      </c>
      <c r="H5379" s="18" t="s">
        <v>10098</v>
      </c>
      <c r="I5379" s="20" t="s">
        <v>10245</v>
      </c>
      <c r="J5379" s="18" t="s">
        <v>58</v>
      </c>
      <c r="K5379" s="18" t="s">
        <v>24</v>
      </c>
      <c r="L5379" s="18" t="s">
        <v>25</v>
      </c>
      <c r="N5379" s="18" t="s">
        <v>441</v>
      </c>
    </row>
    <row r="5380" spans="1:14" ht="15" customHeight="1" x14ac:dyDescent="0.3">
      <c r="A5380" s="18" t="s">
        <v>10045</v>
      </c>
      <c r="B5380" s="19" t="s">
        <v>15</v>
      </c>
      <c r="C5380" s="18" t="s">
        <v>437</v>
      </c>
      <c r="D5380" s="18" t="s">
        <v>116</v>
      </c>
      <c r="E5380" s="18" t="s">
        <v>55</v>
      </c>
      <c r="F5380" s="18" t="s">
        <v>10246</v>
      </c>
      <c r="G5380" s="18" t="s">
        <v>606</v>
      </c>
      <c r="H5380" s="18" t="s">
        <v>10105</v>
      </c>
      <c r="I5380" s="20" t="s">
        <v>10247</v>
      </c>
      <c r="J5380" s="18" t="s">
        <v>58</v>
      </c>
      <c r="K5380" s="18" t="s">
        <v>24</v>
      </c>
      <c r="L5380" s="18" t="s">
        <v>25</v>
      </c>
      <c r="N5380" s="18" t="s">
        <v>441</v>
      </c>
    </row>
    <row r="5381" spans="1:14" ht="15" customHeight="1" x14ac:dyDescent="0.3">
      <c r="A5381" s="18" t="s">
        <v>10045</v>
      </c>
      <c r="B5381" s="19" t="s">
        <v>15</v>
      </c>
      <c r="C5381" s="18" t="s">
        <v>437</v>
      </c>
      <c r="D5381" s="18" t="s">
        <v>116</v>
      </c>
      <c r="E5381" s="18" t="s">
        <v>55</v>
      </c>
      <c r="F5381" s="18" t="s">
        <v>10248</v>
      </c>
      <c r="G5381" s="18" t="s">
        <v>151</v>
      </c>
      <c r="H5381" s="18" t="s">
        <v>10098</v>
      </c>
      <c r="I5381" s="20" t="s">
        <v>10249</v>
      </c>
      <c r="J5381" s="18" t="s">
        <v>58</v>
      </c>
      <c r="K5381" s="18" t="s">
        <v>24</v>
      </c>
      <c r="L5381" s="18" t="s">
        <v>25</v>
      </c>
      <c r="N5381" s="18" t="s">
        <v>441</v>
      </c>
    </row>
    <row r="5382" spans="1:14" ht="15" customHeight="1" x14ac:dyDescent="0.3">
      <c r="A5382" s="18" t="s">
        <v>10045</v>
      </c>
      <c r="B5382" s="19" t="s">
        <v>15</v>
      </c>
      <c r="C5382" s="18" t="s">
        <v>437</v>
      </c>
      <c r="D5382" s="18" t="s">
        <v>116</v>
      </c>
      <c r="E5382" s="18" t="s">
        <v>55</v>
      </c>
      <c r="F5382" s="18" t="s">
        <v>655</v>
      </c>
      <c r="G5382" s="18" t="s">
        <v>340</v>
      </c>
      <c r="H5382" s="18" t="s">
        <v>10098</v>
      </c>
      <c r="I5382" s="20" t="s">
        <v>10250</v>
      </c>
      <c r="J5382" s="18" t="s">
        <v>58</v>
      </c>
      <c r="K5382" s="18" t="s">
        <v>24</v>
      </c>
      <c r="L5382" s="18" t="s">
        <v>25</v>
      </c>
      <c r="N5382" s="18" t="s">
        <v>441</v>
      </c>
    </row>
    <row r="5383" spans="1:14" ht="15" customHeight="1" x14ac:dyDescent="0.3">
      <c r="A5383" s="18" t="s">
        <v>10045</v>
      </c>
      <c r="B5383" s="19" t="s">
        <v>15</v>
      </c>
      <c r="C5383" s="18" t="s">
        <v>437</v>
      </c>
      <c r="D5383" s="18" t="s">
        <v>116</v>
      </c>
      <c r="E5383" s="18" t="s">
        <v>55</v>
      </c>
      <c r="F5383" s="18" t="s">
        <v>10251</v>
      </c>
      <c r="G5383" s="18" t="s">
        <v>340</v>
      </c>
      <c r="H5383" s="18" t="s">
        <v>10098</v>
      </c>
      <c r="I5383" s="20" t="s">
        <v>10252</v>
      </c>
      <c r="J5383" s="18" t="s">
        <v>58</v>
      </c>
      <c r="K5383" s="18" t="s">
        <v>24</v>
      </c>
      <c r="L5383" s="18" t="s">
        <v>25</v>
      </c>
      <c r="N5383" s="18" t="s">
        <v>441</v>
      </c>
    </row>
    <row r="5384" spans="1:14" ht="15" customHeight="1" x14ac:dyDescent="0.3">
      <c r="A5384" s="18" t="s">
        <v>10045</v>
      </c>
      <c r="B5384" s="19" t="s">
        <v>15</v>
      </c>
      <c r="C5384" s="18" t="s">
        <v>437</v>
      </c>
      <c r="D5384" s="18" t="s">
        <v>116</v>
      </c>
      <c r="E5384" s="18" t="s">
        <v>55</v>
      </c>
      <c r="F5384" s="18" t="s">
        <v>8741</v>
      </c>
      <c r="G5384" s="18" t="s">
        <v>340</v>
      </c>
      <c r="H5384" s="18" t="s">
        <v>10098</v>
      </c>
      <c r="I5384" s="20" t="s">
        <v>10253</v>
      </c>
      <c r="J5384" s="18" t="s">
        <v>58</v>
      </c>
      <c r="K5384" s="18" t="s">
        <v>24</v>
      </c>
      <c r="L5384" s="18" t="s">
        <v>25</v>
      </c>
      <c r="N5384" s="18" t="s">
        <v>441</v>
      </c>
    </row>
    <row r="5385" spans="1:14" ht="15" customHeight="1" x14ac:dyDescent="0.3">
      <c r="A5385" s="18" t="s">
        <v>10045</v>
      </c>
      <c r="B5385" s="19" t="s">
        <v>15</v>
      </c>
      <c r="C5385" s="18" t="s">
        <v>437</v>
      </c>
      <c r="D5385" s="18" t="s">
        <v>116</v>
      </c>
      <c r="E5385" s="18" t="s">
        <v>55</v>
      </c>
      <c r="F5385" s="18" t="s">
        <v>10254</v>
      </c>
      <c r="G5385" s="18" t="s">
        <v>7647</v>
      </c>
      <c r="H5385" s="18" t="s">
        <v>10095</v>
      </c>
      <c r="I5385" s="20" t="s">
        <v>10255</v>
      </c>
      <c r="J5385" s="18" t="s">
        <v>58</v>
      </c>
      <c r="K5385" s="18" t="s">
        <v>24</v>
      </c>
      <c r="L5385" s="18" t="s">
        <v>25</v>
      </c>
      <c r="N5385" s="18" t="s">
        <v>441</v>
      </c>
    </row>
    <row r="5386" spans="1:14" ht="15" customHeight="1" x14ac:dyDescent="0.3">
      <c r="A5386" s="18" t="s">
        <v>10045</v>
      </c>
      <c r="B5386" s="19" t="s">
        <v>15</v>
      </c>
      <c r="C5386" s="18" t="s">
        <v>437</v>
      </c>
      <c r="D5386" s="18" t="s">
        <v>116</v>
      </c>
      <c r="E5386" s="18" t="s">
        <v>55</v>
      </c>
      <c r="F5386" s="18" t="s">
        <v>10256</v>
      </c>
      <c r="G5386" s="18" t="s">
        <v>606</v>
      </c>
      <c r="H5386" s="18" t="s">
        <v>10095</v>
      </c>
      <c r="I5386" s="20" t="s">
        <v>10257</v>
      </c>
      <c r="J5386" s="18" t="s">
        <v>58</v>
      </c>
      <c r="K5386" s="18" t="s">
        <v>24</v>
      </c>
      <c r="L5386" s="18" t="s">
        <v>25</v>
      </c>
      <c r="N5386" s="18" t="s">
        <v>441</v>
      </c>
    </row>
    <row r="5387" spans="1:14" ht="15" customHeight="1" x14ac:dyDescent="0.3">
      <c r="A5387" s="18" t="s">
        <v>10045</v>
      </c>
      <c r="B5387" s="19" t="s">
        <v>15</v>
      </c>
      <c r="C5387" s="18" t="s">
        <v>437</v>
      </c>
      <c r="D5387" s="18" t="s">
        <v>116</v>
      </c>
      <c r="E5387" s="18" t="s">
        <v>55</v>
      </c>
      <c r="F5387" s="18" t="s">
        <v>10258</v>
      </c>
      <c r="G5387" s="18" t="s">
        <v>2248</v>
      </c>
      <c r="H5387" s="18" t="s">
        <v>10095</v>
      </c>
      <c r="I5387" s="20" t="s">
        <v>10259</v>
      </c>
      <c r="J5387" s="18" t="s">
        <v>58</v>
      </c>
      <c r="K5387" s="18" t="s">
        <v>24</v>
      </c>
      <c r="L5387" s="18" t="s">
        <v>25</v>
      </c>
      <c r="N5387" s="18" t="s">
        <v>441</v>
      </c>
    </row>
    <row r="5388" spans="1:14" ht="15" customHeight="1" x14ac:dyDescent="0.3">
      <c r="A5388" s="18" t="s">
        <v>10045</v>
      </c>
      <c r="B5388" s="19" t="s">
        <v>15</v>
      </c>
      <c r="C5388" s="18" t="s">
        <v>437</v>
      </c>
      <c r="D5388" s="18" t="s">
        <v>116</v>
      </c>
      <c r="E5388" s="18" t="s">
        <v>55</v>
      </c>
      <c r="F5388" s="18" t="s">
        <v>6028</v>
      </c>
      <c r="G5388" s="18" t="s">
        <v>826</v>
      </c>
      <c r="H5388" s="18" t="s">
        <v>10098</v>
      </c>
      <c r="I5388" s="20" t="s">
        <v>10260</v>
      </c>
      <c r="J5388" s="18" t="s">
        <v>58</v>
      </c>
      <c r="K5388" s="18" t="s">
        <v>24</v>
      </c>
      <c r="L5388" s="18" t="s">
        <v>25</v>
      </c>
      <c r="N5388" s="18" t="s">
        <v>441</v>
      </c>
    </row>
    <row r="5389" spans="1:14" ht="15" customHeight="1" x14ac:dyDescent="0.3">
      <c r="A5389" s="18" t="s">
        <v>10045</v>
      </c>
      <c r="B5389" s="19" t="s">
        <v>15</v>
      </c>
      <c r="C5389" s="18" t="s">
        <v>437</v>
      </c>
      <c r="D5389" s="18" t="s">
        <v>116</v>
      </c>
      <c r="E5389" s="18" t="s">
        <v>55</v>
      </c>
      <c r="F5389" s="18" t="s">
        <v>10261</v>
      </c>
      <c r="G5389" s="18" t="s">
        <v>606</v>
      </c>
      <c r="H5389" s="18" t="s">
        <v>10095</v>
      </c>
      <c r="I5389" s="20" t="s">
        <v>10262</v>
      </c>
      <c r="J5389" s="18" t="s">
        <v>58</v>
      </c>
      <c r="K5389" s="18" t="s">
        <v>24</v>
      </c>
      <c r="L5389" s="18" t="s">
        <v>25</v>
      </c>
      <c r="N5389" s="18" t="s">
        <v>441</v>
      </c>
    </row>
    <row r="5390" spans="1:14" ht="15" customHeight="1" x14ac:dyDescent="0.3">
      <c r="A5390" s="18" t="s">
        <v>10045</v>
      </c>
      <c r="B5390" s="19" t="s">
        <v>15</v>
      </c>
      <c r="C5390" s="18" t="s">
        <v>437</v>
      </c>
      <c r="D5390" s="18" t="s">
        <v>116</v>
      </c>
      <c r="E5390" s="18" t="s">
        <v>55</v>
      </c>
      <c r="F5390" s="18" t="s">
        <v>1228</v>
      </c>
      <c r="G5390" s="18" t="s">
        <v>2248</v>
      </c>
      <c r="H5390" s="18" t="s">
        <v>10095</v>
      </c>
      <c r="I5390" s="20" t="s">
        <v>10263</v>
      </c>
      <c r="J5390" s="18" t="s">
        <v>58</v>
      </c>
      <c r="K5390" s="18" t="s">
        <v>24</v>
      </c>
      <c r="L5390" s="18" t="s">
        <v>25</v>
      </c>
      <c r="N5390" s="18" t="s">
        <v>441</v>
      </c>
    </row>
    <row r="5391" spans="1:14" ht="15" customHeight="1" x14ac:dyDescent="0.3">
      <c r="A5391" s="18" t="s">
        <v>10045</v>
      </c>
      <c r="B5391" s="19" t="s">
        <v>15</v>
      </c>
      <c r="C5391" s="18" t="s">
        <v>437</v>
      </c>
      <c r="D5391" s="18" t="s">
        <v>116</v>
      </c>
      <c r="E5391" s="18" t="s">
        <v>55</v>
      </c>
      <c r="F5391" s="18" t="s">
        <v>1104</v>
      </c>
      <c r="G5391" s="18" t="s">
        <v>1055</v>
      </c>
      <c r="H5391" s="18" t="s">
        <v>10115</v>
      </c>
      <c r="I5391" s="20" t="s">
        <v>10264</v>
      </c>
      <c r="J5391" s="18" t="s">
        <v>58</v>
      </c>
      <c r="K5391" s="18" t="s">
        <v>24</v>
      </c>
      <c r="L5391" s="18" t="s">
        <v>25</v>
      </c>
      <c r="N5391" s="18" t="s">
        <v>441</v>
      </c>
    </row>
    <row r="5392" spans="1:14" ht="15" customHeight="1" x14ac:dyDescent="0.3">
      <c r="A5392" s="18" t="s">
        <v>10045</v>
      </c>
      <c r="B5392" s="19" t="s">
        <v>15</v>
      </c>
      <c r="C5392" s="18" t="s">
        <v>437</v>
      </c>
      <c r="D5392" s="18" t="s">
        <v>116</v>
      </c>
      <c r="E5392" s="18" t="s">
        <v>55</v>
      </c>
      <c r="F5392" s="18" t="s">
        <v>10265</v>
      </c>
      <c r="G5392" s="18" t="s">
        <v>913</v>
      </c>
      <c r="H5392" s="18" t="s">
        <v>10046</v>
      </c>
      <c r="I5392" s="20" t="s">
        <v>10266</v>
      </c>
      <c r="J5392" s="18" t="s">
        <v>58</v>
      </c>
      <c r="K5392" s="18" t="s">
        <v>24</v>
      </c>
      <c r="L5392" s="18" t="s">
        <v>25</v>
      </c>
      <c r="N5392" s="18" t="s">
        <v>441</v>
      </c>
    </row>
    <row r="5393" spans="1:14" ht="15" customHeight="1" x14ac:dyDescent="0.3">
      <c r="A5393" s="18" t="s">
        <v>10045</v>
      </c>
      <c r="B5393" s="19" t="s">
        <v>15</v>
      </c>
      <c r="C5393" s="18" t="s">
        <v>437</v>
      </c>
      <c r="D5393" s="18" t="s">
        <v>116</v>
      </c>
      <c r="E5393" s="18" t="s">
        <v>55</v>
      </c>
      <c r="F5393" s="18" t="s">
        <v>537</v>
      </c>
      <c r="G5393" s="18" t="s">
        <v>537</v>
      </c>
      <c r="H5393" s="18" t="s">
        <v>10180</v>
      </c>
      <c r="I5393" s="20" t="s">
        <v>10267</v>
      </c>
      <c r="J5393" s="18" t="s">
        <v>58</v>
      </c>
      <c r="K5393" s="18" t="s">
        <v>24</v>
      </c>
      <c r="L5393" s="18" t="s">
        <v>25</v>
      </c>
      <c r="N5393" s="18" t="s">
        <v>441</v>
      </c>
    </row>
    <row r="5394" spans="1:14" ht="15" customHeight="1" x14ac:dyDescent="0.3">
      <c r="A5394" s="18" t="s">
        <v>10045</v>
      </c>
      <c r="B5394" s="19" t="s">
        <v>15</v>
      </c>
      <c r="C5394" s="18" t="s">
        <v>437</v>
      </c>
      <c r="D5394" s="18" t="s">
        <v>116</v>
      </c>
      <c r="E5394" s="18" t="s">
        <v>171</v>
      </c>
      <c r="F5394" s="18" t="s">
        <v>80</v>
      </c>
      <c r="G5394" s="18" t="s">
        <v>80</v>
      </c>
      <c r="H5394" s="18" t="s">
        <v>10095</v>
      </c>
      <c r="I5394" s="20" t="s">
        <v>10268</v>
      </c>
      <c r="J5394" s="18" t="s">
        <v>175</v>
      </c>
      <c r="K5394" s="18" t="s">
        <v>24</v>
      </c>
      <c r="L5394" s="18" t="s">
        <v>25</v>
      </c>
      <c r="N5394" s="18" t="s">
        <v>441</v>
      </c>
    </row>
    <row r="5395" spans="1:14" ht="15" customHeight="1" x14ac:dyDescent="0.3">
      <c r="A5395" s="18" t="s">
        <v>10045</v>
      </c>
      <c r="B5395" s="19" t="s">
        <v>15</v>
      </c>
      <c r="C5395" s="18" t="s">
        <v>437</v>
      </c>
      <c r="D5395" s="18" t="s">
        <v>116</v>
      </c>
      <c r="E5395" s="18" t="s">
        <v>171</v>
      </c>
      <c r="F5395" s="18" t="s">
        <v>423</v>
      </c>
      <c r="G5395" s="18" t="s">
        <v>423</v>
      </c>
      <c r="H5395" s="18" t="s">
        <v>10105</v>
      </c>
      <c r="I5395" s="20" t="s">
        <v>10269</v>
      </c>
      <c r="J5395" s="18" t="s">
        <v>670</v>
      </c>
      <c r="K5395" s="18" t="s">
        <v>24</v>
      </c>
      <c r="L5395" s="18" t="s">
        <v>25</v>
      </c>
      <c r="N5395" s="18" t="s">
        <v>441</v>
      </c>
    </row>
    <row r="5396" spans="1:14" ht="15" customHeight="1" x14ac:dyDescent="0.3">
      <c r="A5396" s="18" t="s">
        <v>10045</v>
      </c>
      <c r="B5396" s="19" t="s">
        <v>15</v>
      </c>
      <c r="C5396" s="18" t="s">
        <v>437</v>
      </c>
      <c r="D5396" s="18" t="s">
        <v>116</v>
      </c>
      <c r="E5396" s="18" t="s">
        <v>74</v>
      </c>
      <c r="F5396" s="18" t="s">
        <v>10270</v>
      </c>
      <c r="G5396" s="18" t="s">
        <v>1009</v>
      </c>
      <c r="H5396" s="18" t="s">
        <v>10271</v>
      </c>
      <c r="I5396" s="20" t="s">
        <v>10272</v>
      </c>
      <c r="J5396" s="18" t="s">
        <v>10273</v>
      </c>
      <c r="K5396" s="18" t="s">
        <v>24</v>
      </c>
      <c r="L5396" s="18" t="s">
        <v>25</v>
      </c>
      <c r="N5396" s="18" t="s">
        <v>441</v>
      </c>
    </row>
    <row r="5397" spans="1:14" ht="15" customHeight="1" x14ac:dyDescent="0.3">
      <c r="A5397" s="18" t="s">
        <v>10045</v>
      </c>
      <c r="B5397" s="19" t="s">
        <v>15</v>
      </c>
      <c r="C5397" s="18" t="s">
        <v>437</v>
      </c>
      <c r="D5397" s="18" t="s">
        <v>116</v>
      </c>
      <c r="E5397" s="18" t="s">
        <v>74</v>
      </c>
      <c r="F5397" s="18" t="s">
        <v>7004</v>
      </c>
      <c r="G5397" s="18" t="s">
        <v>2921</v>
      </c>
      <c r="H5397" s="18" t="s">
        <v>10274</v>
      </c>
      <c r="I5397" s="20" t="s">
        <v>10275</v>
      </c>
      <c r="J5397" s="18" t="s">
        <v>10276</v>
      </c>
      <c r="K5397" s="18" t="s">
        <v>293</v>
      </c>
      <c r="L5397" s="18" t="s">
        <v>25</v>
      </c>
      <c r="N5397" s="18" t="s">
        <v>441</v>
      </c>
    </row>
    <row r="5398" spans="1:14" ht="15" customHeight="1" x14ac:dyDescent="0.3">
      <c r="A5398" s="18" t="s">
        <v>10045</v>
      </c>
      <c r="B5398" s="19" t="s">
        <v>15</v>
      </c>
      <c r="C5398" s="18" t="s">
        <v>437</v>
      </c>
      <c r="D5398" s="18" t="s">
        <v>116</v>
      </c>
      <c r="E5398" s="18" t="s">
        <v>74</v>
      </c>
      <c r="F5398" s="18" t="s">
        <v>1466</v>
      </c>
      <c r="G5398" s="18" t="s">
        <v>47</v>
      </c>
      <c r="H5398" s="18" t="s">
        <v>10277</v>
      </c>
      <c r="I5398" s="20" t="s">
        <v>10278</v>
      </c>
      <c r="J5398" s="18" t="s">
        <v>10279</v>
      </c>
      <c r="K5398" s="18" t="s">
        <v>24</v>
      </c>
      <c r="L5398" s="18" t="s">
        <v>25</v>
      </c>
      <c r="N5398" s="18" t="s">
        <v>441</v>
      </c>
    </row>
    <row r="5399" spans="1:14" ht="15" customHeight="1" x14ac:dyDescent="0.3">
      <c r="A5399" s="18" t="s">
        <v>10045</v>
      </c>
      <c r="B5399" s="19" t="s">
        <v>15</v>
      </c>
      <c r="C5399" s="18" t="s">
        <v>437</v>
      </c>
      <c r="D5399" s="18" t="s">
        <v>116</v>
      </c>
      <c r="E5399" s="18" t="s">
        <v>74</v>
      </c>
      <c r="F5399" s="18" t="s">
        <v>10280</v>
      </c>
      <c r="G5399" s="18" t="s">
        <v>212</v>
      </c>
      <c r="H5399" s="18" t="s">
        <v>10045</v>
      </c>
      <c r="I5399" s="20" t="s">
        <v>10281</v>
      </c>
      <c r="J5399" s="18" t="s">
        <v>10282</v>
      </c>
      <c r="K5399" s="18" t="s">
        <v>24</v>
      </c>
      <c r="L5399" s="18" t="s">
        <v>25</v>
      </c>
      <c r="N5399" s="18" t="s">
        <v>441</v>
      </c>
    </row>
    <row r="5400" spans="1:14" ht="15" customHeight="1" x14ac:dyDescent="0.3">
      <c r="A5400" s="18" t="s">
        <v>10045</v>
      </c>
      <c r="B5400" s="19" t="s">
        <v>15</v>
      </c>
      <c r="C5400" s="18" t="s">
        <v>437</v>
      </c>
      <c r="D5400" s="18" t="s">
        <v>116</v>
      </c>
      <c r="E5400" s="18" t="s">
        <v>74</v>
      </c>
      <c r="F5400" s="18" t="s">
        <v>10283</v>
      </c>
      <c r="G5400" s="18" t="s">
        <v>212</v>
      </c>
      <c r="H5400" s="18" t="s">
        <v>10045</v>
      </c>
      <c r="I5400" s="20" t="s">
        <v>10284</v>
      </c>
      <c r="J5400" s="18" t="s">
        <v>10282</v>
      </c>
      <c r="K5400" s="18" t="s">
        <v>24</v>
      </c>
      <c r="L5400" s="18" t="s">
        <v>25</v>
      </c>
      <c r="N5400" s="18" t="s">
        <v>441</v>
      </c>
    </row>
    <row r="5401" spans="1:14" ht="15" customHeight="1" x14ac:dyDescent="0.3">
      <c r="A5401" s="18" t="s">
        <v>10045</v>
      </c>
      <c r="B5401" s="19" t="s">
        <v>15</v>
      </c>
      <c r="C5401" s="18" t="s">
        <v>437</v>
      </c>
      <c r="D5401" s="18" t="s">
        <v>116</v>
      </c>
      <c r="E5401" s="18" t="s">
        <v>74</v>
      </c>
      <c r="F5401" s="18" t="s">
        <v>10285</v>
      </c>
      <c r="G5401" s="18" t="s">
        <v>212</v>
      </c>
      <c r="H5401" s="18" t="s">
        <v>10045</v>
      </c>
      <c r="I5401" s="20" t="s">
        <v>10286</v>
      </c>
      <c r="J5401" s="18" t="s">
        <v>10282</v>
      </c>
      <c r="K5401" s="18" t="s">
        <v>24</v>
      </c>
      <c r="L5401" s="18" t="s">
        <v>25</v>
      </c>
      <c r="N5401" s="18" t="s">
        <v>441</v>
      </c>
    </row>
    <row r="5402" spans="1:14" ht="15" customHeight="1" x14ac:dyDescent="0.3">
      <c r="A5402" s="18" t="s">
        <v>10045</v>
      </c>
      <c r="B5402" s="19" t="s">
        <v>15</v>
      </c>
      <c r="C5402" s="18" t="s">
        <v>437</v>
      </c>
      <c r="D5402" s="18" t="s">
        <v>116</v>
      </c>
      <c r="E5402" s="18" t="s">
        <v>74</v>
      </c>
      <c r="F5402" s="18" t="s">
        <v>9948</v>
      </c>
      <c r="G5402" s="18" t="s">
        <v>1095</v>
      </c>
      <c r="H5402" s="18" t="s">
        <v>10287</v>
      </c>
      <c r="I5402" s="20" t="s">
        <v>10288</v>
      </c>
      <c r="J5402" s="18" t="s">
        <v>10282</v>
      </c>
      <c r="K5402" s="18" t="s">
        <v>24</v>
      </c>
      <c r="L5402" s="18" t="s">
        <v>25</v>
      </c>
      <c r="N5402" s="18" t="s">
        <v>441</v>
      </c>
    </row>
    <row r="5403" spans="1:14" ht="15" customHeight="1" x14ac:dyDescent="0.3">
      <c r="A5403" s="18" t="s">
        <v>10045</v>
      </c>
      <c r="B5403" s="19" t="s">
        <v>15</v>
      </c>
      <c r="C5403" s="18" t="s">
        <v>437</v>
      </c>
      <c r="D5403" s="18" t="s">
        <v>116</v>
      </c>
      <c r="E5403" s="18" t="s">
        <v>74</v>
      </c>
      <c r="F5403" s="18" t="s">
        <v>10289</v>
      </c>
      <c r="G5403" s="18" t="s">
        <v>273</v>
      </c>
      <c r="H5403" s="18" t="s">
        <v>10045</v>
      </c>
      <c r="I5403" s="20" t="s">
        <v>10290</v>
      </c>
      <c r="J5403" s="18" t="s">
        <v>10282</v>
      </c>
      <c r="K5403" s="18" t="s">
        <v>24</v>
      </c>
      <c r="L5403" s="18" t="s">
        <v>25</v>
      </c>
      <c r="N5403" s="18" t="s">
        <v>441</v>
      </c>
    </row>
    <row r="5404" spans="1:14" ht="15" customHeight="1" x14ac:dyDescent="0.3">
      <c r="A5404" s="18" t="s">
        <v>10045</v>
      </c>
      <c r="B5404" s="19" t="s">
        <v>15</v>
      </c>
      <c r="C5404" s="18" t="s">
        <v>437</v>
      </c>
      <c r="D5404" s="18" t="s">
        <v>116</v>
      </c>
      <c r="E5404" s="18" t="s">
        <v>74</v>
      </c>
      <c r="F5404" s="18" t="s">
        <v>10291</v>
      </c>
      <c r="G5404" s="18" t="s">
        <v>1009</v>
      </c>
      <c r="H5404" s="18" t="s">
        <v>10045</v>
      </c>
      <c r="I5404" s="20" t="s">
        <v>10292</v>
      </c>
      <c r="J5404" s="18" t="s">
        <v>10282</v>
      </c>
      <c r="K5404" s="18" t="s">
        <v>24</v>
      </c>
      <c r="L5404" s="18" t="s">
        <v>25</v>
      </c>
      <c r="N5404" s="18" t="s">
        <v>441</v>
      </c>
    </row>
    <row r="5405" spans="1:14" ht="15" customHeight="1" x14ac:dyDescent="0.3">
      <c r="A5405" s="18" t="s">
        <v>10045</v>
      </c>
      <c r="B5405" s="19" t="s">
        <v>15</v>
      </c>
      <c r="C5405" s="18" t="s">
        <v>437</v>
      </c>
      <c r="D5405" s="18" t="s">
        <v>116</v>
      </c>
      <c r="E5405" s="18" t="s">
        <v>74</v>
      </c>
      <c r="F5405" s="18" t="s">
        <v>10293</v>
      </c>
      <c r="G5405" s="18" t="s">
        <v>1704</v>
      </c>
      <c r="H5405" s="18" t="s">
        <v>10045</v>
      </c>
      <c r="I5405" s="20" t="s">
        <v>10294</v>
      </c>
      <c r="J5405" s="18" t="s">
        <v>10282</v>
      </c>
      <c r="K5405" s="18" t="s">
        <v>24</v>
      </c>
      <c r="L5405" s="18" t="s">
        <v>25</v>
      </c>
      <c r="N5405" s="18" t="s">
        <v>441</v>
      </c>
    </row>
    <row r="5406" spans="1:14" ht="15" customHeight="1" x14ac:dyDescent="0.3">
      <c r="A5406" s="18" t="s">
        <v>10295</v>
      </c>
      <c r="B5406" s="19" t="s">
        <v>15</v>
      </c>
      <c r="C5406" s="18" t="s">
        <v>442</v>
      </c>
      <c r="D5406" s="18" t="s">
        <v>116</v>
      </c>
      <c r="E5406" s="18" t="s">
        <v>18</v>
      </c>
      <c r="F5406" s="18" t="s">
        <v>381</v>
      </c>
      <c r="G5406" s="18" t="s">
        <v>381</v>
      </c>
      <c r="H5406" s="18" t="s">
        <v>10296</v>
      </c>
      <c r="I5406" s="20" t="s">
        <v>10297</v>
      </c>
      <c r="J5406" s="18" t="s">
        <v>23</v>
      </c>
      <c r="K5406" s="18" t="s">
        <v>24</v>
      </c>
      <c r="L5406" s="18" t="s">
        <v>25</v>
      </c>
      <c r="N5406" s="18" t="s">
        <v>154</v>
      </c>
    </row>
    <row r="5407" spans="1:14" ht="15" customHeight="1" x14ac:dyDescent="0.3">
      <c r="A5407" s="18" t="s">
        <v>10295</v>
      </c>
      <c r="B5407" s="19" t="s">
        <v>15</v>
      </c>
      <c r="C5407" s="18" t="s">
        <v>442</v>
      </c>
      <c r="D5407" s="18" t="s">
        <v>116</v>
      </c>
      <c r="E5407" s="18" t="s">
        <v>55</v>
      </c>
      <c r="F5407" s="18" t="s">
        <v>2361</v>
      </c>
      <c r="G5407" s="18" t="s">
        <v>381</v>
      </c>
      <c r="H5407" s="18" t="s">
        <v>10298</v>
      </c>
      <c r="I5407" s="20" t="s">
        <v>10299</v>
      </c>
      <c r="J5407" s="18" t="s">
        <v>73</v>
      </c>
      <c r="K5407" s="18" t="s">
        <v>24</v>
      </c>
      <c r="L5407" s="18" t="s">
        <v>25</v>
      </c>
      <c r="N5407" s="18" t="s">
        <v>154</v>
      </c>
    </row>
    <row r="5408" spans="1:14" ht="15" customHeight="1" x14ac:dyDescent="0.3">
      <c r="A5408" s="18" t="s">
        <v>10295</v>
      </c>
      <c r="B5408" s="19" t="s">
        <v>15</v>
      </c>
      <c r="C5408" s="18" t="s">
        <v>442</v>
      </c>
      <c r="D5408" s="18" t="s">
        <v>116</v>
      </c>
      <c r="E5408" s="18" t="s">
        <v>55</v>
      </c>
      <c r="F5408" s="18" t="s">
        <v>642</v>
      </c>
      <c r="G5408" s="18" t="s">
        <v>381</v>
      </c>
      <c r="H5408" s="18" t="s">
        <v>10298</v>
      </c>
      <c r="I5408" s="20" t="s">
        <v>10300</v>
      </c>
      <c r="J5408" s="18" t="s">
        <v>73</v>
      </c>
      <c r="K5408" s="18" t="s">
        <v>24</v>
      </c>
      <c r="L5408" s="18" t="s">
        <v>25</v>
      </c>
      <c r="N5408" s="18" t="s">
        <v>154</v>
      </c>
    </row>
    <row r="5409" spans="1:14" ht="15" customHeight="1" x14ac:dyDescent="0.3">
      <c r="A5409" s="18" t="s">
        <v>10295</v>
      </c>
      <c r="B5409" s="19" t="s">
        <v>15</v>
      </c>
      <c r="C5409" s="18" t="s">
        <v>442</v>
      </c>
      <c r="D5409" s="18" t="s">
        <v>116</v>
      </c>
      <c r="E5409" s="18" t="s">
        <v>55</v>
      </c>
      <c r="F5409" s="18" t="s">
        <v>383</v>
      </c>
      <c r="G5409" s="18" t="s">
        <v>381</v>
      </c>
      <c r="H5409" s="18" t="s">
        <v>10298</v>
      </c>
      <c r="I5409" s="20" t="s">
        <v>10301</v>
      </c>
      <c r="J5409" s="18" t="s">
        <v>73</v>
      </c>
      <c r="K5409" s="18" t="s">
        <v>24</v>
      </c>
      <c r="L5409" s="18" t="s">
        <v>25</v>
      </c>
      <c r="N5409" s="18" t="s">
        <v>154</v>
      </c>
    </row>
    <row r="5410" spans="1:14" ht="15" customHeight="1" x14ac:dyDescent="0.3">
      <c r="A5410" s="18" t="s">
        <v>10295</v>
      </c>
      <c r="B5410" s="19" t="s">
        <v>15</v>
      </c>
      <c r="C5410" s="18" t="s">
        <v>442</v>
      </c>
      <c r="D5410" s="18" t="s">
        <v>116</v>
      </c>
      <c r="E5410" s="18" t="s">
        <v>55</v>
      </c>
      <c r="F5410" s="18" t="s">
        <v>488</v>
      </c>
      <c r="G5410" s="18" t="s">
        <v>381</v>
      </c>
      <c r="H5410" s="18" t="s">
        <v>10298</v>
      </c>
      <c r="I5410" s="20" t="s">
        <v>10302</v>
      </c>
      <c r="J5410" s="18" t="s">
        <v>73</v>
      </c>
      <c r="K5410" s="18" t="s">
        <v>24</v>
      </c>
      <c r="L5410" s="18" t="s">
        <v>25</v>
      </c>
      <c r="N5410" s="18" t="s">
        <v>154</v>
      </c>
    </row>
    <row r="5411" spans="1:14" ht="15" customHeight="1" x14ac:dyDescent="0.3">
      <c r="A5411" s="18" t="s">
        <v>10303</v>
      </c>
      <c r="B5411" s="19" t="s">
        <v>15</v>
      </c>
      <c r="C5411" s="18" t="s">
        <v>149</v>
      </c>
      <c r="D5411" s="18" t="s">
        <v>116</v>
      </c>
      <c r="E5411" s="18" t="s">
        <v>18</v>
      </c>
      <c r="F5411" s="18" t="s">
        <v>7578</v>
      </c>
      <c r="G5411" s="18" t="s">
        <v>197</v>
      </c>
      <c r="H5411" s="18" t="s">
        <v>8420</v>
      </c>
      <c r="I5411" s="20" t="s">
        <v>10304</v>
      </c>
      <c r="J5411" s="18" t="s">
        <v>30</v>
      </c>
      <c r="K5411" s="18" t="s">
        <v>24</v>
      </c>
      <c r="L5411" s="18" t="s">
        <v>25</v>
      </c>
      <c r="M5411" s="18" t="s">
        <v>10305</v>
      </c>
      <c r="N5411" s="18" t="s">
        <v>154</v>
      </c>
    </row>
    <row r="5412" spans="1:14" ht="15" customHeight="1" x14ac:dyDescent="0.3">
      <c r="A5412" s="18" t="s">
        <v>10303</v>
      </c>
      <c r="B5412" s="19" t="s">
        <v>15</v>
      </c>
      <c r="C5412" s="18" t="s">
        <v>149</v>
      </c>
      <c r="D5412" s="18" t="s">
        <v>116</v>
      </c>
      <c r="E5412" s="18" t="s">
        <v>18</v>
      </c>
      <c r="F5412" s="18" t="s">
        <v>172</v>
      </c>
      <c r="G5412" s="18" t="s">
        <v>3364</v>
      </c>
      <c r="H5412" s="18" t="s">
        <v>10306</v>
      </c>
      <c r="I5412" s="20" t="s">
        <v>10307</v>
      </c>
      <c r="J5412" s="18" t="s">
        <v>175</v>
      </c>
      <c r="K5412" s="18" t="s">
        <v>24</v>
      </c>
      <c r="L5412" s="18" t="s">
        <v>25</v>
      </c>
      <c r="N5412" s="18" t="s">
        <v>154</v>
      </c>
    </row>
    <row r="5413" spans="1:14" ht="15" customHeight="1" x14ac:dyDescent="0.3">
      <c r="A5413" s="18" t="s">
        <v>10303</v>
      </c>
      <c r="B5413" s="19" t="s">
        <v>15</v>
      </c>
      <c r="C5413" s="18" t="s">
        <v>149</v>
      </c>
      <c r="D5413" s="18" t="s">
        <v>116</v>
      </c>
      <c r="E5413" s="18" t="s">
        <v>18</v>
      </c>
      <c r="F5413" s="18" t="s">
        <v>8832</v>
      </c>
      <c r="G5413" s="18" t="s">
        <v>173</v>
      </c>
      <c r="H5413" s="18" t="s">
        <v>8159</v>
      </c>
      <c r="I5413" s="20" t="s">
        <v>10308</v>
      </c>
      <c r="J5413" s="18" t="s">
        <v>30</v>
      </c>
      <c r="K5413" s="18" t="s">
        <v>24</v>
      </c>
      <c r="L5413" s="18" t="s">
        <v>25</v>
      </c>
      <c r="N5413" s="18" t="s">
        <v>154</v>
      </c>
    </row>
    <row r="5414" spans="1:14" ht="15" customHeight="1" x14ac:dyDescent="0.3">
      <c r="A5414" s="18" t="s">
        <v>10303</v>
      </c>
      <c r="B5414" s="19" t="s">
        <v>15</v>
      </c>
      <c r="C5414" s="18" t="s">
        <v>149</v>
      </c>
      <c r="D5414" s="18" t="s">
        <v>116</v>
      </c>
      <c r="E5414" s="18" t="s">
        <v>18</v>
      </c>
      <c r="F5414" s="18" t="s">
        <v>3132</v>
      </c>
      <c r="G5414" s="18" t="s">
        <v>151</v>
      </c>
      <c r="H5414" s="18" t="s">
        <v>8835</v>
      </c>
      <c r="I5414" s="20" t="s">
        <v>10309</v>
      </c>
      <c r="J5414" s="18" t="s">
        <v>23</v>
      </c>
      <c r="K5414" s="18" t="s">
        <v>24</v>
      </c>
      <c r="L5414" s="18" t="s">
        <v>25</v>
      </c>
      <c r="N5414" s="18" t="s">
        <v>154</v>
      </c>
    </row>
    <row r="5415" spans="1:14" ht="15" customHeight="1" x14ac:dyDescent="0.3">
      <c r="A5415" s="18" t="s">
        <v>10303</v>
      </c>
      <c r="B5415" s="19" t="s">
        <v>15</v>
      </c>
      <c r="C5415" s="18" t="s">
        <v>149</v>
      </c>
      <c r="D5415" s="18" t="s">
        <v>116</v>
      </c>
      <c r="E5415" s="18" t="s">
        <v>18</v>
      </c>
      <c r="F5415" s="18" t="s">
        <v>10310</v>
      </c>
      <c r="G5415" s="18" t="s">
        <v>433</v>
      </c>
      <c r="H5415" s="18" t="s">
        <v>8159</v>
      </c>
      <c r="I5415" s="20" t="s">
        <v>10311</v>
      </c>
      <c r="J5415" s="18" t="s">
        <v>30</v>
      </c>
      <c r="K5415" s="18" t="s">
        <v>24</v>
      </c>
      <c r="L5415" s="18" t="s">
        <v>25</v>
      </c>
      <c r="N5415" s="18" t="s">
        <v>154</v>
      </c>
    </row>
    <row r="5416" spans="1:14" ht="15" customHeight="1" x14ac:dyDescent="0.3">
      <c r="A5416" s="18" t="s">
        <v>10303</v>
      </c>
      <c r="B5416" s="19" t="s">
        <v>15</v>
      </c>
      <c r="C5416" s="18" t="s">
        <v>149</v>
      </c>
      <c r="D5416" s="18" t="s">
        <v>116</v>
      </c>
      <c r="E5416" s="18" t="s">
        <v>18</v>
      </c>
      <c r="F5416" s="18" t="s">
        <v>1237</v>
      </c>
      <c r="G5416" s="18" t="s">
        <v>1254</v>
      </c>
      <c r="H5416" s="18" t="s">
        <v>8164</v>
      </c>
      <c r="I5416" s="20" t="s">
        <v>10312</v>
      </c>
      <c r="J5416" s="18" t="s">
        <v>30</v>
      </c>
      <c r="K5416" s="18" t="s">
        <v>24</v>
      </c>
      <c r="L5416" s="18" t="s">
        <v>25</v>
      </c>
      <c r="N5416" s="18" t="s">
        <v>154</v>
      </c>
    </row>
    <row r="5417" spans="1:14" ht="15" customHeight="1" x14ac:dyDescent="0.3">
      <c r="A5417" s="18" t="s">
        <v>10303</v>
      </c>
      <c r="B5417" s="19" t="s">
        <v>15</v>
      </c>
      <c r="C5417" s="18" t="s">
        <v>149</v>
      </c>
      <c r="D5417" s="18" t="s">
        <v>116</v>
      </c>
      <c r="E5417" s="18" t="s">
        <v>18</v>
      </c>
      <c r="F5417" s="18" t="s">
        <v>1515</v>
      </c>
      <c r="G5417" s="18" t="s">
        <v>173</v>
      </c>
      <c r="H5417" s="18" t="s">
        <v>8159</v>
      </c>
      <c r="I5417" s="20" t="s">
        <v>10313</v>
      </c>
      <c r="J5417" s="18" t="s">
        <v>30</v>
      </c>
      <c r="K5417" s="18" t="s">
        <v>24</v>
      </c>
      <c r="L5417" s="18" t="s">
        <v>25</v>
      </c>
      <c r="N5417" s="18" t="s">
        <v>154</v>
      </c>
    </row>
    <row r="5418" spans="1:14" ht="15" customHeight="1" x14ac:dyDescent="0.3">
      <c r="A5418" s="18" t="s">
        <v>10303</v>
      </c>
      <c r="B5418" s="19" t="s">
        <v>15</v>
      </c>
      <c r="C5418" s="18" t="s">
        <v>149</v>
      </c>
      <c r="D5418" s="18" t="s">
        <v>116</v>
      </c>
      <c r="E5418" s="18" t="s">
        <v>18</v>
      </c>
      <c r="F5418" s="18" t="s">
        <v>1518</v>
      </c>
      <c r="G5418" s="18" t="s">
        <v>3364</v>
      </c>
      <c r="H5418" s="18" t="s">
        <v>8159</v>
      </c>
      <c r="I5418" s="20" t="s">
        <v>10314</v>
      </c>
      <c r="J5418" s="18" t="s">
        <v>30</v>
      </c>
      <c r="K5418" s="18" t="s">
        <v>24</v>
      </c>
      <c r="L5418" s="18" t="s">
        <v>25</v>
      </c>
      <c r="N5418" s="18" t="s">
        <v>154</v>
      </c>
    </row>
    <row r="5419" spans="1:14" ht="15" customHeight="1" x14ac:dyDescent="0.3">
      <c r="A5419" s="18" t="s">
        <v>10303</v>
      </c>
      <c r="B5419" s="19" t="s">
        <v>15</v>
      </c>
      <c r="C5419" s="18" t="s">
        <v>149</v>
      </c>
      <c r="D5419" s="18" t="s">
        <v>116</v>
      </c>
      <c r="E5419" s="18" t="s">
        <v>18</v>
      </c>
      <c r="F5419" s="18" t="s">
        <v>7265</v>
      </c>
      <c r="G5419" s="18" t="s">
        <v>606</v>
      </c>
      <c r="H5419" s="18" t="s">
        <v>8159</v>
      </c>
      <c r="I5419" s="20" t="s">
        <v>10315</v>
      </c>
      <c r="J5419" s="18" t="s">
        <v>30</v>
      </c>
      <c r="K5419" s="18" t="s">
        <v>24</v>
      </c>
      <c r="L5419" s="18" t="s">
        <v>25</v>
      </c>
      <c r="N5419" s="18" t="s">
        <v>154</v>
      </c>
    </row>
    <row r="5420" spans="1:14" ht="15" customHeight="1" x14ac:dyDescent="0.3">
      <c r="A5420" s="18" t="s">
        <v>10303</v>
      </c>
      <c r="B5420" s="19" t="s">
        <v>15</v>
      </c>
      <c r="C5420" s="18" t="s">
        <v>149</v>
      </c>
      <c r="D5420" s="18" t="s">
        <v>116</v>
      </c>
      <c r="E5420" s="18" t="s">
        <v>18</v>
      </c>
      <c r="F5420" s="18" t="s">
        <v>8426</v>
      </c>
      <c r="G5420" s="18" t="s">
        <v>10316</v>
      </c>
      <c r="H5420" s="18" t="s">
        <v>8164</v>
      </c>
      <c r="I5420" s="20" t="s">
        <v>10317</v>
      </c>
      <c r="J5420" s="18" t="s">
        <v>30</v>
      </c>
      <c r="K5420" s="18" t="s">
        <v>24</v>
      </c>
      <c r="L5420" s="18" t="s">
        <v>25</v>
      </c>
      <c r="N5420" s="18" t="s">
        <v>154</v>
      </c>
    </row>
    <row r="5421" spans="1:14" ht="15" customHeight="1" x14ac:dyDescent="0.3">
      <c r="A5421" s="18" t="s">
        <v>10303</v>
      </c>
      <c r="B5421" s="19" t="s">
        <v>15</v>
      </c>
      <c r="C5421" s="18" t="s">
        <v>149</v>
      </c>
      <c r="D5421" s="18" t="s">
        <v>116</v>
      </c>
      <c r="E5421" s="18" t="s">
        <v>18</v>
      </c>
      <c r="F5421" s="18" t="s">
        <v>10318</v>
      </c>
      <c r="G5421" s="18" t="s">
        <v>606</v>
      </c>
      <c r="H5421" s="18" t="s">
        <v>8159</v>
      </c>
      <c r="I5421" s="20" t="s">
        <v>10319</v>
      </c>
      <c r="J5421" s="18" t="s">
        <v>30</v>
      </c>
      <c r="K5421" s="18" t="s">
        <v>24</v>
      </c>
      <c r="L5421" s="18" t="s">
        <v>25</v>
      </c>
      <c r="N5421" s="18" t="s">
        <v>154</v>
      </c>
    </row>
    <row r="5422" spans="1:14" ht="15" customHeight="1" x14ac:dyDescent="0.3">
      <c r="A5422" s="18" t="s">
        <v>10303</v>
      </c>
      <c r="B5422" s="19" t="s">
        <v>15</v>
      </c>
      <c r="C5422" s="18" t="s">
        <v>149</v>
      </c>
      <c r="D5422" s="18" t="s">
        <v>116</v>
      </c>
      <c r="E5422" s="18" t="s">
        <v>18</v>
      </c>
      <c r="F5422" s="18" t="s">
        <v>6324</v>
      </c>
      <c r="G5422" s="18" t="s">
        <v>1130</v>
      </c>
      <c r="H5422" s="18" t="s">
        <v>7602</v>
      </c>
      <c r="I5422" s="20" t="s">
        <v>10320</v>
      </c>
      <c r="J5422" s="18" t="s">
        <v>30</v>
      </c>
      <c r="K5422" s="18" t="s">
        <v>24</v>
      </c>
      <c r="L5422" s="18" t="s">
        <v>25</v>
      </c>
      <c r="N5422" s="18" t="s">
        <v>154</v>
      </c>
    </row>
    <row r="5423" spans="1:14" ht="15" customHeight="1" x14ac:dyDescent="0.3">
      <c r="A5423" s="18" t="s">
        <v>10303</v>
      </c>
      <c r="B5423" s="19" t="s">
        <v>15</v>
      </c>
      <c r="C5423" s="18" t="s">
        <v>149</v>
      </c>
      <c r="D5423" s="18" t="s">
        <v>116</v>
      </c>
      <c r="E5423" s="18" t="s">
        <v>18</v>
      </c>
      <c r="F5423" s="18" t="s">
        <v>273</v>
      </c>
      <c r="G5423" s="18" t="s">
        <v>273</v>
      </c>
      <c r="H5423" s="18" t="s">
        <v>8434</v>
      </c>
      <c r="I5423" s="20" t="s">
        <v>10321</v>
      </c>
      <c r="J5423" s="18" t="s">
        <v>30</v>
      </c>
      <c r="K5423" s="18" t="s">
        <v>24</v>
      </c>
      <c r="L5423" s="18" t="s">
        <v>25</v>
      </c>
      <c r="N5423" s="18" t="s">
        <v>154</v>
      </c>
    </row>
    <row r="5424" spans="1:14" ht="15" customHeight="1" x14ac:dyDescent="0.3">
      <c r="A5424" s="18" t="s">
        <v>10303</v>
      </c>
      <c r="B5424" s="19" t="s">
        <v>15</v>
      </c>
      <c r="C5424" s="18" t="s">
        <v>149</v>
      </c>
      <c r="D5424" s="18" t="s">
        <v>116</v>
      </c>
      <c r="E5424" s="18" t="s">
        <v>18</v>
      </c>
      <c r="F5424" s="18" t="s">
        <v>7594</v>
      </c>
      <c r="G5424" s="18" t="s">
        <v>192</v>
      </c>
      <c r="H5424" s="18" t="s">
        <v>8420</v>
      </c>
      <c r="I5424" s="20" t="s">
        <v>10322</v>
      </c>
      <c r="J5424" s="18" t="s">
        <v>30</v>
      </c>
      <c r="K5424" s="18" t="s">
        <v>24</v>
      </c>
      <c r="L5424" s="18" t="s">
        <v>25</v>
      </c>
      <c r="N5424" s="18" t="s">
        <v>154</v>
      </c>
    </row>
    <row r="5425" spans="1:14" ht="15" customHeight="1" x14ac:dyDescent="0.3">
      <c r="A5425" s="18" t="s">
        <v>10303</v>
      </c>
      <c r="B5425" s="19" t="s">
        <v>15</v>
      </c>
      <c r="C5425" s="18" t="s">
        <v>149</v>
      </c>
      <c r="D5425" s="18" t="s">
        <v>116</v>
      </c>
      <c r="E5425" s="18" t="s">
        <v>18</v>
      </c>
      <c r="F5425" s="18" t="s">
        <v>19</v>
      </c>
      <c r="G5425" s="18" t="s">
        <v>19</v>
      </c>
      <c r="H5425" s="18" t="s">
        <v>10323</v>
      </c>
      <c r="I5425" s="20" t="s">
        <v>10324</v>
      </c>
      <c r="J5425" s="18" t="s">
        <v>23</v>
      </c>
      <c r="K5425" s="18" t="s">
        <v>24</v>
      </c>
      <c r="L5425" s="18" t="s">
        <v>25</v>
      </c>
      <c r="N5425" s="18" t="s">
        <v>154</v>
      </c>
    </row>
    <row r="5426" spans="1:14" ht="15" customHeight="1" x14ac:dyDescent="0.3">
      <c r="A5426" s="18" t="s">
        <v>10303</v>
      </c>
      <c r="B5426" s="19" t="s">
        <v>15</v>
      </c>
      <c r="C5426" s="18" t="s">
        <v>149</v>
      </c>
      <c r="D5426" s="18" t="s">
        <v>116</v>
      </c>
      <c r="E5426" s="18" t="s">
        <v>18</v>
      </c>
      <c r="F5426" s="18" t="s">
        <v>10325</v>
      </c>
      <c r="G5426" s="18" t="s">
        <v>433</v>
      </c>
      <c r="H5426" s="18" t="s">
        <v>8559</v>
      </c>
      <c r="I5426" s="20" t="s">
        <v>10326</v>
      </c>
      <c r="J5426" s="18" t="s">
        <v>30</v>
      </c>
      <c r="K5426" s="18" t="s">
        <v>24</v>
      </c>
      <c r="L5426" s="18" t="s">
        <v>25</v>
      </c>
      <c r="N5426" s="18" t="s">
        <v>154</v>
      </c>
    </row>
    <row r="5427" spans="1:14" ht="15" customHeight="1" x14ac:dyDescent="0.3">
      <c r="A5427" s="18" t="s">
        <v>10303</v>
      </c>
      <c r="B5427" s="19" t="s">
        <v>15</v>
      </c>
      <c r="C5427" s="18" t="s">
        <v>149</v>
      </c>
      <c r="D5427" s="18" t="s">
        <v>116</v>
      </c>
      <c r="E5427" s="18" t="s">
        <v>18</v>
      </c>
      <c r="F5427" s="18" t="s">
        <v>10327</v>
      </c>
      <c r="G5427" s="18" t="s">
        <v>1254</v>
      </c>
      <c r="H5427" s="18" t="s">
        <v>8159</v>
      </c>
      <c r="I5427" s="20" t="s">
        <v>10328</v>
      </c>
      <c r="J5427" s="18" t="s">
        <v>30</v>
      </c>
      <c r="K5427" s="18" t="s">
        <v>24</v>
      </c>
      <c r="L5427" s="18" t="s">
        <v>25</v>
      </c>
      <c r="N5427" s="18" t="s">
        <v>154</v>
      </c>
    </row>
    <row r="5428" spans="1:14" ht="15" customHeight="1" x14ac:dyDescent="0.3">
      <c r="A5428" s="18" t="s">
        <v>10303</v>
      </c>
      <c r="B5428" s="19" t="s">
        <v>15</v>
      </c>
      <c r="C5428" s="18" t="s">
        <v>149</v>
      </c>
      <c r="D5428" s="18" t="s">
        <v>116</v>
      </c>
      <c r="E5428" s="18" t="s">
        <v>18</v>
      </c>
      <c r="F5428" s="18" t="s">
        <v>1846</v>
      </c>
      <c r="G5428" s="18" t="s">
        <v>1019</v>
      </c>
      <c r="H5428" s="18" t="s">
        <v>10329</v>
      </c>
      <c r="I5428" s="20" t="s">
        <v>10330</v>
      </c>
      <c r="J5428" s="18" t="s">
        <v>30</v>
      </c>
      <c r="K5428" s="18" t="s">
        <v>24</v>
      </c>
      <c r="L5428" s="18" t="s">
        <v>25</v>
      </c>
      <c r="N5428" s="18" t="s">
        <v>154</v>
      </c>
    </row>
    <row r="5429" spans="1:14" ht="15" customHeight="1" x14ac:dyDescent="0.3">
      <c r="A5429" s="18" t="s">
        <v>10303</v>
      </c>
      <c r="B5429" s="19" t="s">
        <v>15</v>
      </c>
      <c r="C5429" s="18" t="s">
        <v>149</v>
      </c>
      <c r="D5429" s="18" t="s">
        <v>116</v>
      </c>
      <c r="E5429" s="18" t="s">
        <v>18</v>
      </c>
      <c r="F5429" s="18" t="s">
        <v>10331</v>
      </c>
      <c r="G5429" s="18" t="s">
        <v>606</v>
      </c>
      <c r="H5429" s="18" t="s">
        <v>8159</v>
      </c>
      <c r="I5429" s="20" t="s">
        <v>10332</v>
      </c>
      <c r="J5429" s="18" t="s">
        <v>30</v>
      </c>
      <c r="K5429" s="18" t="s">
        <v>24</v>
      </c>
      <c r="L5429" s="18" t="s">
        <v>25</v>
      </c>
      <c r="N5429" s="18" t="s">
        <v>154</v>
      </c>
    </row>
    <row r="5430" spans="1:14" ht="15" customHeight="1" x14ac:dyDescent="0.3">
      <c r="A5430" s="18" t="s">
        <v>10303</v>
      </c>
      <c r="B5430" s="19" t="s">
        <v>15</v>
      </c>
      <c r="C5430" s="18" t="s">
        <v>149</v>
      </c>
      <c r="D5430" s="18" t="s">
        <v>116</v>
      </c>
      <c r="E5430" s="18" t="s">
        <v>18</v>
      </c>
      <c r="F5430" s="18" t="s">
        <v>4800</v>
      </c>
      <c r="G5430" s="18" t="s">
        <v>47</v>
      </c>
      <c r="H5430" s="18" t="s">
        <v>8159</v>
      </c>
      <c r="I5430" s="20" t="s">
        <v>10333</v>
      </c>
      <c r="J5430" s="18" t="s">
        <v>30</v>
      </c>
      <c r="K5430" s="18" t="s">
        <v>24</v>
      </c>
      <c r="L5430" s="18" t="s">
        <v>25</v>
      </c>
      <c r="N5430" s="18" t="s">
        <v>154</v>
      </c>
    </row>
    <row r="5431" spans="1:14" ht="15" customHeight="1" x14ac:dyDescent="0.3">
      <c r="A5431" s="18" t="s">
        <v>10303</v>
      </c>
      <c r="B5431" s="19" t="s">
        <v>15</v>
      </c>
      <c r="C5431" s="18" t="s">
        <v>149</v>
      </c>
      <c r="D5431" s="18" t="s">
        <v>116</v>
      </c>
      <c r="E5431" s="18" t="s">
        <v>18</v>
      </c>
      <c r="F5431" s="18" t="s">
        <v>9696</v>
      </c>
      <c r="G5431" s="18" t="s">
        <v>2248</v>
      </c>
      <c r="H5431" s="18" t="s">
        <v>8159</v>
      </c>
      <c r="I5431" s="20" t="s">
        <v>10334</v>
      </c>
      <c r="J5431" s="18" t="s">
        <v>30</v>
      </c>
      <c r="K5431" s="18" t="s">
        <v>24</v>
      </c>
      <c r="L5431" s="18" t="s">
        <v>25</v>
      </c>
      <c r="N5431" s="18" t="s">
        <v>154</v>
      </c>
    </row>
    <row r="5432" spans="1:14" ht="15" customHeight="1" x14ac:dyDescent="0.3">
      <c r="A5432" s="18" t="s">
        <v>10303</v>
      </c>
      <c r="B5432" s="19" t="s">
        <v>15</v>
      </c>
      <c r="C5432" s="18" t="s">
        <v>149</v>
      </c>
      <c r="D5432" s="18" t="s">
        <v>116</v>
      </c>
      <c r="E5432" s="18" t="s">
        <v>18</v>
      </c>
      <c r="F5432" s="18" t="s">
        <v>6768</v>
      </c>
      <c r="G5432" s="18" t="s">
        <v>1059</v>
      </c>
      <c r="H5432" s="18" t="s">
        <v>8416</v>
      </c>
      <c r="I5432" s="20" t="s">
        <v>10335</v>
      </c>
      <c r="J5432" s="18" t="s">
        <v>23</v>
      </c>
      <c r="K5432" s="18" t="s">
        <v>24</v>
      </c>
      <c r="L5432" s="18" t="s">
        <v>25</v>
      </c>
      <c r="N5432" s="18" t="s">
        <v>154</v>
      </c>
    </row>
    <row r="5433" spans="1:14" ht="15" customHeight="1" x14ac:dyDescent="0.3">
      <c r="A5433" s="18" t="s">
        <v>10303</v>
      </c>
      <c r="B5433" s="19" t="s">
        <v>15</v>
      </c>
      <c r="C5433" s="18" t="s">
        <v>149</v>
      </c>
      <c r="D5433" s="18" t="s">
        <v>116</v>
      </c>
      <c r="E5433" s="18" t="s">
        <v>18</v>
      </c>
      <c r="F5433" s="18" t="s">
        <v>1971</v>
      </c>
      <c r="G5433" s="18" t="s">
        <v>151</v>
      </c>
      <c r="H5433" s="18" t="s">
        <v>8835</v>
      </c>
      <c r="I5433" s="20" t="s">
        <v>10336</v>
      </c>
      <c r="J5433" s="18" t="s">
        <v>30</v>
      </c>
      <c r="K5433" s="18" t="s">
        <v>24</v>
      </c>
      <c r="L5433" s="18" t="s">
        <v>25</v>
      </c>
      <c r="N5433" s="18" t="s">
        <v>154</v>
      </c>
    </row>
    <row r="5434" spans="1:14" ht="15" customHeight="1" x14ac:dyDescent="0.3">
      <c r="A5434" s="18" t="s">
        <v>10303</v>
      </c>
      <c r="B5434" s="19" t="s">
        <v>15</v>
      </c>
      <c r="C5434" s="18" t="s">
        <v>149</v>
      </c>
      <c r="D5434" s="18" t="s">
        <v>116</v>
      </c>
      <c r="E5434" s="18" t="s">
        <v>18</v>
      </c>
      <c r="F5434" s="18" t="s">
        <v>162</v>
      </c>
      <c r="G5434" s="18" t="s">
        <v>151</v>
      </c>
      <c r="H5434" s="18" t="s">
        <v>8835</v>
      </c>
      <c r="I5434" s="20" t="s">
        <v>10337</v>
      </c>
      <c r="J5434" s="18" t="s">
        <v>23</v>
      </c>
      <c r="K5434" s="18" t="s">
        <v>24</v>
      </c>
      <c r="L5434" s="18" t="s">
        <v>25</v>
      </c>
      <c r="N5434" s="18" t="s">
        <v>154</v>
      </c>
    </row>
    <row r="5435" spans="1:14" ht="15" customHeight="1" x14ac:dyDescent="0.3">
      <c r="A5435" s="18" t="s">
        <v>10303</v>
      </c>
      <c r="B5435" s="19" t="s">
        <v>15</v>
      </c>
      <c r="C5435" s="18" t="s">
        <v>149</v>
      </c>
      <c r="D5435" s="18" t="s">
        <v>116</v>
      </c>
      <c r="E5435" s="18" t="s">
        <v>18</v>
      </c>
      <c r="F5435" s="18" t="s">
        <v>619</v>
      </c>
      <c r="G5435" s="18" t="s">
        <v>619</v>
      </c>
      <c r="H5435" s="18" t="s">
        <v>8416</v>
      </c>
      <c r="I5435" s="20" t="s">
        <v>10338</v>
      </c>
      <c r="J5435" s="18" t="s">
        <v>23</v>
      </c>
      <c r="K5435" s="18" t="s">
        <v>24</v>
      </c>
      <c r="L5435" s="18" t="s">
        <v>25</v>
      </c>
      <c r="N5435" s="18" t="s">
        <v>154</v>
      </c>
    </row>
    <row r="5436" spans="1:14" ht="15" customHeight="1" x14ac:dyDescent="0.3">
      <c r="A5436" s="18" t="s">
        <v>10303</v>
      </c>
      <c r="B5436" s="19" t="s">
        <v>15</v>
      </c>
      <c r="C5436" s="18" t="s">
        <v>149</v>
      </c>
      <c r="D5436" s="18" t="s">
        <v>116</v>
      </c>
      <c r="E5436" s="18" t="s">
        <v>18</v>
      </c>
      <c r="F5436" s="18" t="s">
        <v>1069</v>
      </c>
      <c r="G5436" s="18" t="s">
        <v>1069</v>
      </c>
      <c r="H5436" s="18" t="s">
        <v>7602</v>
      </c>
      <c r="I5436" s="20" t="s">
        <v>10339</v>
      </c>
      <c r="J5436" s="18" t="s">
        <v>30</v>
      </c>
      <c r="K5436" s="18" t="s">
        <v>24</v>
      </c>
      <c r="L5436" s="18" t="s">
        <v>25</v>
      </c>
      <c r="N5436" s="18" t="s">
        <v>154</v>
      </c>
    </row>
    <row r="5437" spans="1:14" ht="15" customHeight="1" x14ac:dyDescent="0.3">
      <c r="A5437" s="18" t="s">
        <v>10303</v>
      </c>
      <c r="B5437" s="19" t="s">
        <v>15</v>
      </c>
      <c r="C5437" s="18" t="s">
        <v>149</v>
      </c>
      <c r="D5437" s="18" t="s">
        <v>116</v>
      </c>
      <c r="E5437" s="18" t="s">
        <v>18</v>
      </c>
      <c r="F5437" s="18" t="s">
        <v>7604</v>
      </c>
      <c r="G5437" s="18" t="s">
        <v>1254</v>
      </c>
      <c r="H5437" s="18" t="s">
        <v>8164</v>
      </c>
      <c r="I5437" s="20" t="s">
        <v>10340</v>
      </c>
      <c r="J5437" s="18" t="s">
        <v>30</v>
      </c>
      <c r="K5437" s="18" t="s">
        <v>24</v>
      </c>
      <c r="L5437" s="18" t="s">
        <v>25</v>
      </c>
      <c r="N5437" s="18" t="s">
        <v>154</v>
      </c>
    </row>
    <row r="5438" spans="1:14" ht="15" customHeight="1" x14ac:dyDescent="0.3">
      <c r="A5438" s="18" t="s">
        <v>10303</v>
      </c>
      <c r="B5438" s="19" t="s">
        <v>15</v>
      </c>
      <c r="C5438" s="18" t="s">
        <v>149</v>
      </c>
      <c r="D5438" s="18" t="s">
        <v>116</v>
      </c>
      <c r="E5438" s="18" t="s">
        <v>18</v>
      </c>
      <c r="F5438" s="18" t="s">
        <v>2294</v>
      </c>
      <c r="G5438" s="18" t="s">
        <v>7668</v>
      </c>
      <c r="H5438" s="18" t="s">
        <v>8159</v>
      </c>
      <c r="I5438" s="20" t="s">
        <v>10341</v>
      </c>
      <c r="J5438" s="18" t="s">
        <v>30</v>
      </c>
      <c r="K5438" s="18" t="s">
        <v>24</v>
      </c>
      <c r="L5438" s="18" t="s">
        <v>25</v>
      </c>
      <c r="N5438" s="18" t="s">
        <v>154</v>
      </c>
    </row>
    <row r="5439" spans="1:14" ht="15" customHeight="1" x14ac:dyDescent="0.3">
      <c r="A5439" s="18" t="s">
        <v>10303</v>
      </c>
      <c r="B5439" s="19" t="s">
        <v>15</v>
      </c>
      <c r="C5439" s="18" t="s">
        <v>149</v>
      </c>
      <c r="D5439" s="18" t="s">
        <v>116</v>
      </c>
      <c r="E5439" s="18" t="s">
        <v>18</v>
      </c>
      <c r="F5439" s="18" t="s">
        <v>221</v>
      </c>
      <c r="G5439" s="18" t="s">
        <v>212</v>
      </c>
      <c r="H5439" s="18" t="s">
        <v>8164</v>
      </c>
      <c r="I5439" s="20" t="s">
        <v>10342</v>
      </c>
      <c r="J5439" s="18" t="s">
        <v>30</v>
      </c>
      <c r="K5439" s="18" t="s">
        <v>24</v>
      </c>
      <c r="L5439" s="18" t="s">
        <v>25</v>
      </c>
      <c r="N5439" s="18" t="s">
        <v>154</v>
      </c>
    </row>
    <row r="5440" spans="1:14" ht="15" customHeight="1" x14ac:dyDescent="0.3">
      <c r="A5440" s="18" t="s">
        <v>10303</v>
      </c>
      <c r="B5440" s="19" t="s">
        <v>15</v>
      </c>
      <c r="C5440" s="18" t="s">
        <v>149</v>
      </c>
      <c r="D5440" s="18" t="s">
        <v>116</v>
      </c>
      <c r="E5440" s="18" t="s">
        <v>18</v>
      </c>
      <c r="F5440" s="18" t="s">
        <v>1244</v>
      </c>
      <c r="G5440" s="18" t="s">
        <v>1204</v>
      </c>
      <c r="H5440" s="18" t="s">
        <v>8164</v>
      </c>
      <c r="I5440" s="20" t="s">
        <v>10343</v>
      </c>
      <c r="J5440" s="18" t="s">
        <v>30</v>
      </c>
      <c r="K5440" s="18" t="s">
        <v>24</v>
      </c>
      <c r="L5440" s="18" t="s">
        <v>25</v>
      </c>
      <c r="N5440" s="18" t="s">
        <v>154</v>
      </c>
    </row>
    <row r="5441" spans="1:14" ht="15" customHeight="1" x14ac:dyDescent="0.3">
      <c r="A5441" s="18" t="s">
        <v>10303</v>
      </c>
      <c r="B5441" s="19" t="s">
        <v>15</v>
      </c>
      <c r="C5441" s="18" t="s">
        <v>149</v>
      </c>
      <c r="D5441" s="18" t="s">
        <v>116</v>
      </c>
      <c r="E5441" s="18" t="s">
        <v>18</v>
      </c>
      <c r="F5441" s="18" t="s">
        <v>7609</v>
      </c>
      <c r="G5441" s="18" t="s">
        <v>10344</v>
      </c>
      <c r="H5441" s="18" t="s">
        <v>8159</v>
      </c>
      <c r="I5441" s="20" t="s">
        <v>10345</v>
      </c>
      <c r="J5441" s="18" t="s">
        <v>30</v>
      </c>
      <c r="K5441" s="18" t="s">
        <v>24</v>
      </c>
      <c r="L5441" s="18" t="s">
        <v>25</v>
      </c>
      <c r="N5441" s="18" t="s">
        <v>154</v>
      </c>
    </row>
    <row r="5442" spans="1:14" ht="15" customHeight="1" x14ac:dyDescent="0.3">
      <c r="A5442" s="18" t="s">
        <v>10303</v>
      </c>
      <c r="B5442" s="19" t="s">
        <v>15</v>
      </c>
      <c r="C5442" s="18" t="s">
        <v>149</v>
      </c>
      <c r="D5442" s="18" t="s">
        <v>116</v>
      </c>
      <c r="E5442" s="18" t="s">
        <v>18</v>
      </c>
      <c r="F5442" s="18" t="s">
        <v>8890</v>
      </c>
      <c r="G5442" s="18" t="s">
        <v>1704</v>
      </c>
      <c r="H5442" s="18" t="s">
        <v>8159</v>
      </c>
      <c r="I5442" s="20" t="s">
        <v>10346</v>
      </c>
      <c r="J5442" s="18" t="s">
        <v>30</v>
      </c>
      <c r="K5442" s="18" t="s">
        <v>24</v>
      </c>
      <c r="L5442" s="18" t="s">
        <v>25</v>
      </c>
      <c r="N5442" s="18" t="s">
        <v>154</v>
      </c>
    </row>
    <row r="5443" spans="1:14" ht="15" customHeight="1" x14ac:dyDescent="0.3">
      <c r="A5443" s="18" t="s">
        <v>10303</v>
      </c>
      <c r="B5443" s="19" t="s">
        <v>15</v>
      </c>
      <c r="C5443" s="18" t="s">
        <v>149</v>
      </c>
      <c r="D5443" s="18" t="s">
        <v>116</v>
      </c>
      <c r="E5443" s="18" t="s">
        <v>18</v>
      </c>
      <c r="F5443" s="18" t="s">
        <v>8129</v>
      </c>
      <c r="G5443" s="18" t="s">
        <v>1254</v>
      </c>
      <c r="H5443" s="18" t="s">
        <v>8159</v>
      </c>
      <c r="I5443" s="20" t="s">
        <v>10347</v>
      </c>
      <c r="J5443" s="18" t="s">
        <v>30</v>
      </c>
      <c r="K5443" s="18" t="s">
        <v>24</v>
      </c>
      <c r="L5443" s="18" t="s">
        <v>25</v>
      </c>
      <c r="N5443" s="18" t="s">
        <v>154</v>
      </c>
    </row>
    <row r="5444" spans="1:14" ht="15" customHeight="1" x14ac:dyDescent="0.3">
      <c r="A5444" s="18" t="s">
        <v>10303</v>
      </c>
      <c r="B5444" s="19" t="s">
        <v>15</v>
      </c>
      <c r="C5444" s="18" t="s">
        <v>149</v>
      </c>
      <c r="D5444" s="18" t="s">
        <v>116</v>
      </c>
      <c r="E5444" s="18" t="s">
        <v>18</v>
      </c>
      <c r="F5444" s="18" t="s">
        <v>34</v>
      </c>
      <c r="G5444" s="18" t="s">
        <v>1254</v>
      </c>
      <c r="H5444" s="18" t="s">
        <v>8164</v>
      </c>
      <c r="I5444" s="20" t="s">
        <v>10348</v>
      </c>
      <c r="J5444" s="18" t="s">
        <v>30</v>
      </c>
      <c r="K5444" s="18" t="s">
        <v>24</v>
      </c>
      <c r="L5444" s="18" t="s">
        <v>25</v>
      </c>
      <c r="N5444" s="18" t="s">
        <v>154</v>
      </c>
    </row>
    <row r="5445" spans="1:14" ht="15" customHeight="1" x14ac:dyDescent="0.3">
      <c r="A5445" s="18" t="s">
        <v>10303</v>
      </c>
      <c r="B5445" s="19" t="s">
        <v>15</v>
      </c>
      <c r="C5445" s="18" t="s">
        <v>149</v>
      </c>
      <c r="D5445" s="18" t="s">
        <v>116</v>
      </c>
      <c r="E5445" s="18" t="s">
        <v>18</v>
      </c>
      <c r="F5445" s="18" t="s">
        <v>1250</v>
      </c>
      <c r="G5445" s="18" t="s">
        <v>1251</v>
      </c>
      <c r="H5445" s="18" t="s">
        <v>8164</v>
      </c>
      <c r="I5445" s="20" t="s">
        <v>10349</v>
      </c>
      <c r="J5445" s="18" t="s">
        <v>30</v>
      </c>
      <c r="K5445" s="18" t="s">
        <v>24</v>
      </c>
      <c r="L5445" s="18" t="s">
        <v>25</v>
      </c>
      <c r="N5445" s="18" t="s">
        <v>154</v>
      </c>
    </row>
    <row r="5446" spans="1:14" ht="15" customHeight="1" x14ac:dyDescent="0.3">
      <c r="A5446" s="18" t="s">
        <v>10303</v>
      </c>
      <c r="B5446" s="19" t="s">
        <v>15</v>
      </c>
      <c r="C5446" s="18" t="s">
        <v>149</v>
      </c>
      <c r="D5446" s="18" t="s">
        <v>116</v>
      </c>
      <c r="E5446" s="18" t="s">
        <v>18</v>
      </c>
      <c r="F5446" s="18" t="s">
        <v>37</v>
      </c>
      <c r="G5446" s="18" t="s">
        <v>1254</v>
      </c>
      <c r="H5446" s="18" t="s">
        <v>8164</v>
      </c>
      <c r="I5446" s="20" t="s">
        <v>10350</v>
      </c>
      <c r="J5446" s="18" t="s">
        <v>30</v>
      </c>
      <c r="K5446" s="18" t="s">
        <v>24</v>
      </c>
      <c r="L5446" s="18" t="s">
        <v>25</v>
      </c>
      <c r="N5446" s="18" t="s">
        <v>154</v>
      </c>
    </row>
    <row r="5447" spans="1:14" ht="15" customHeight="1" x14ac:dyDescent="0.3">
      <c r="A5447" s="18" t="s">
        <v>10303</v>
      </c>
      <c r="B5447" s="19" t="s">
        <v>15</v>
      </c>
      <c r="C5447" s="18" t="s">
        <v>149</v>
      </c>
      <c r="D5447" s="18" t="s">
        <v>116</v>
      </c>
      <c r="E5447" s="18" t="s">
        <v>18</v>
      </c>
      <c r="F5447" s="18" t="s">
        <v>10351</v>
      </c>
      <c r="G5447" s="18" t="s">
        <v>8905</v>
      </c>
      <c r="H5447" s="18" t="s">
        <v>8164</v>
      </c>
      <c r="I5447" s="20" t="s">
        <v>10352</v>
      </c>
      <c r="J5447" s="18" t="s">
        <v>30</v>
      </c>
      <c r="K5447" s="18" t="s">
        <v>24</v>
      </c>
      <c r="L5447" s="18" t="s">
        <v>25</v>
      </c>
      <c r="N5447" s="18" t="s">
        <v>154</v>
      </c>
    </row>
    <row r="5448" spans="1:14" ht="15" customHeight="1" x14ac:dyDescent="0.3">
      <c r="A5448" s="18" t="s">
        <v>10303</v>
      </c>
      <c r="B5448" s="19" t="s">
        <v>15</v>
      </c>
      <c r="C5448" s="18" t="s">
        <v>149</v>
      </c>
      <c r="D5448" s="18" t="s">
        <v>116</v>
      </c>
      <c r="E5448" s="18" t="s">
        <v>18</v>
      </c>
      <c r="F5448" s="18" t="s">
        <v>2099</v>
      </c>
      <c r="G5448" s="18" t="s">
        <v>7668</v>
      </c>
      <c r="H5448" s="18" t="s">
        <v>8164</v>
      </c>
      <c r="I5448" s="20" t="s">
        <v>10353</v>
      </c>
      <c r="J5448" s="18" t="s">
        <v>30</v>
      </c>
      <c r="K5448" s="18" t="s">
        <v>24</v>
      </c>
      <c r="L5448" s="18" t="s">
        <v>25</v>
      </c>
      <c r="N5448" s="18" t="s">
        <v>154</v>
      </c>
    </row>
    <row r="5449" spans="1:14" ht="15" customHeight="1" x14ac:dyDescent="0.3">
      <c r="A5449" s="18" t="s">
        <v>10303</v>
      </c>
      <c r="B5449" s="19" t="s">
        <v>15</v>
      </c>
      <c r="C5449" s="18" t="s">
        <v>149</v>
      </c>
      <c r="D5449" s="18" t="s">
        <v>116</v>
      </c>
      <c r="E5449" s="18" t="s">
        <v>18</v>
      </c>
      <c r="F5449" s="18" t="s">
        <v>9720</v>
      </c>
      <c r="G5449" s="18" t="s">
        <v>7647</v>
      </c>
      <c r="H5449" s="18" t="s">
        <v>8159</v>
      </c>
      <c r="I5449" s="20" t="s">
        <v>10354</v>
      </c>
      <c r="J5449" s="18" t="s">
        <v>30</v>
      </c>
      <c r="K5449" s="18" t="s">
        <v>24</v>
      </c>
      <c r="L5449" s="18" t="s">
        <v>25</v>
      </c>
      <c r="N5449" s="18" t="s">
        <v>154</v>
      </c>
    </row>
    <row r="5450" spans="1:14" ht="15" customHeight="1" x14ac:dyDescent="0.3">
      <c r="A5450" s="18" t="s">
        <v>10303</v>
      </c>
      <c r="B5450" s="19" t="s">
        <v>15</v>
      </c>
      <c r="C5450" s="18" t="s">
        <v>149</v>
      </c>
      <c r="D5450" s="18" t="s">
        <v>116</v>
      </c>
      <c r="E5450" s="18" t="s">
        <v>18</v>
      </c>
      <c r="F5450" s="18" t="s">
        <v>1253</v>
      </c>
      <c r="G5450" s="18" t="s">
        <v>1254</v>
      </c>
      <c r="H5450" s="18" t="s">
        <v>8164</v>
      </c>
      <c r="I5450" s="20" t="s">
        <v>10355</v>
      </c>
      <c r="J5450" s="18" t="s">
        <v>30</v>
      </c>
      <c r="K5450" s="18" t="s">
        <v>24</v>
      </c>
      <c r="L5450" s="18" t="s">
        <v>25</v>
      </c>
      <c r="N5450" s="18" t="s">
        <v>154</v>
      </c>
    </row>
    <row r="5451" spans="1:14" ht="15" customHeight="1" x14ac:dyDescent="0.3">
      <c r="A5451" s="18" t="s">
        <v>10303</v>
      </c>
      <c r="B5451" s="19" t="s">
        <v>15</v>
      </c>
      <c r="C5451" s="18" t="s">
        <v>149</v>
      </c>
      <c r="D5451" s="18" t="s">
        <v>116</v>
      </c>
      <c r="E5451" s="18" t="s">
        <v>18</v>
      </c>
      <c r="F5451" s="18" t="s">
        <v>6425</v>
      </c>
      <c r="G5451" s="18" t="s">
        <v>312</v>
      </c>
      <c r="H5451" s="18" t="s">
        <v>8420</v>
      </c>
      <c r="I5451" s="20" t="s">
        <v>10356</v>
      </c>
      <c r="J5451" s="18" t="s">
        <v>30</v>
      </c>
      <c r="K5451" s="18" t="s">
        <v>24</v>
      </c>
      <c r="L5451" s="18" t="s">
        <v>25</v>
      </c>
      <c r="M5451" s="18" t="s">
        <v>39</v>
      </c>
      <c r="N5451" s="18" t="s">
        <v>154</v>
      </c>
    </row>
    <row r="5452" spans="1:14" ht="15" customHeight="1" x14ac:dyDescent="0.3">
      <c r="A5452" s="18" t="s">
        <v>10303</v>
      </c>
      <c r="B5452" s="19" t="s">
        <v>15</v>
      </c>
      <c r="C5452" s="18" t="s">
        <v>149</v>
      </c>
      <c r="D5452" s="18" t="s">
        <v>116</v>
      </c>
      <c r="E5452" s="18" t="s">
        <v>18</v>
      </c>
      <c r="F5452" s="18" t="s">
        <v>6432</v>
      </c>
      <c r="G5452" s="18" t="s">
        <v>6433</v>
      </c>
      <c r="H5452" s="18" t="s">
        <v>8420</v>
      </c>
      <c r="I5452" s="20" t="s">
        <v>10357</v>
      </c>
      <c r="J5452" s="18" t="s">
        <v>30</v>
      </c>
      <c r="K5452" s="18" t="s">
        <v>24</v>
      </c>
      <c r="L5452" s="18" t="s">
        <v>25</v>
      </c>
      <c r="N5452" s="18" t="s">
        <v>154</v>
      </c>
    </row>
    <row r="5453" spans="1:14" ht="15" customHeight="1" x14ac:dyDescent="0.3">
      <c r="A5453" s="18" t="s">
        <v>10303</v>
      </c>
      <c r="B5453" s="19" t="s">
        <v>15</v>
      </c>
      <c r="C5453" s="18" t="s">
        <v>149</v>
      </c>
      <c r="D5453" s="18" t="s">
        <v>116</v>
      </c>
      <c r="E5453" s="18" t="s">
        <v>18</v>
      </c>
      <c r="F5453" s="18" t="s">
        <v>3138</v>
      </c>
      <c r="G5453" s="18" t="s">
        <v>2248</v>
      </c>
      <c r="H5453" s="18" t="s">
        <v>8159</v>
      </c>
      <c r="I5453" s="20" t="s">
        <v>10358</v>
      </c>
      <c r="J5453" s="18" t="s">
        <v>30</v>
      </c>
      <c r="K5453" s="18" t="s">
        <v>24</v>
      </c>
      <c r="L5453" s="18" t="s">
        <v>25</v>
      </c>
      <c r="N5453" s="18" t="s">
        <v>154</v>
      </c>
    </row>
    <row r="5454" spans="1:14" ht="15" customHeight="1" x14ac:dyDescent="0.3">
      <c r="A5454" s="18" t="s">
        <v>10303</v>
      </c>
      <c r="B5454" s="19" t="s">
        <v>15</v>
      </c>
      <c r="C5454" s="18" t="s">
        <v>149</v>
      </c>
      <c r="D5454" s="18" t="s">
        <v>116</v>
      </c>
      <c r="E5454" s="18" t="s">
        <v>18</v>
      </c>
      <c r="F5454" s="18" t="s">
        <v>8474</v>
      </c>
      <c r="G5454" s="18" t="s">
        <v>10359</v>
      </c>
      <c r="H5454" s="18" t="s">
        <v>8420</v>
      </c>
      <c r="I5454" s="20" t="s">
        <v>10360</v>
      </c>
      <c r="J5454" s="18" t="s">
        <v>30</v>
      </c>
      <c r="K5454" s="18" t="s">
        <v>24</v>
      </c>
      <c r="L5454" s="18" t="s">
        <v>25</v>
      </c>
      <c r="N5454" s="18" t="s">
        <v>154</v>
      </c>
    </row>
    <row r="5455" spans="1:14" ht="15" customHeight="1" x14ac:dyDescent="0.3">
      <c r="A5455" s="18" t="s">
        <v>10303</v>
      </c>
      <c r="B5455" s="19" t="s">
        <v>15</v>
      </c>
      <c r="C5455" s="18" t="s">
        <v>149</v>
      </c>
      <c r="D5455" s="18" t="s">
        <v>116</v>
      </c>
      <c r="E5455" s="18" t="s">
        <v>18</v>
      </c>
      <c r="F5455" s="18" t="s">
        <v>8476</v>
      </c>
      <c r="G5455" s="18" t="s">
        <v>47</v>
      </c>
      <c r="H5455" s="18" t="s">
        <v>8159</v>
      </c>
      <c r="I5455" s="20" t="s">
        <v>10361</v>
      </c>
      <c r="J5455" s="18" t="s">
        <v>30</v>
      </c>
      <c r="K5455" s="18" t="s">
        <v>24</v>
      </c>
      <c r="L5455" s="18" t="s">
        <v>25</v>
      </c>
      <c r="N5455" s="18" t="s">
        <v>154</v>
      </c>
    </row>
    <row r="5456" spans="1:14" ht="15" customHeight="1" x14ac:dyDescent="0.3">
      <c r="A5456" s="18" t="s">
        <v>10303</v>
      </c>
      <c r="B5456" s="19" t="s">
        <v>15</v>
      </c>
      <c r="C5456" s="18" t="s">
        <v>149</v>
      </c>
      <c r="D5456" s="18" t="s">
        <v>116</v>
      </c>
      <c r="E5456" s="18" t="s">
        <v>18</v>
      </c>
      <c r="F5456" s="18" t="s">
        <v>40</v>
      </c>
      <c r="G5456" s="18" t="s">
        <v>41</v>
      </c>
      <c r="H5456" s="18" t="s">
        <v>7602</v>
      </c>
      <c r="I5456" s="20" t="s">
        <v>10362</v>
      </c>
      <c r="J5456" s="18" t="s">
        <v>30</v>
      </c>
      <c r="K5456" s="18" t="s">
        <v>24</v>
      </c>
      <c r="L5456" s="18" t="s">
        <v>25</v>
      </c>
      <c r="N5456" s="18" t="s">
        <v>154</v>
      </c>
    </row>
    <row r="5457" spans="1:14" ht="15" customHeight="1" x14ac:dyDescent="0.3">
      <c r="A5457" s="18" t="s">
        <v>10303</v>
      </c>
      <c r="B5457" s="19" t="s">
        <v>15</v>
      </c>
      <c r="C5457" s="18" t="s">
        <v>149</v>
      </c>
      <c r="D5457" s="18" t="s">
        <v>116</v>
      </c>
      <c r="E5457" s="18" t="s">
        <v>18</v>
      </c>
      <c r="F5457" s="18" t="s">
        <v>6250</v>
      </c>
      <c r="G5457" s="18" t="s">
        <v>197</v>
      </c>
      <c r="H5457" s="18" t="s">
        <v>8420</v>
      </c>
      <c r="I5457" s="20" t="s">
        <v>10363</v>
      </c>
      <c r="J5457" s="18" t="s">
        <v>30</v>
      </c>
      <c r="K5457" s="18" t="s">
        <v>24</v>
      </c>
      <c r="L5457" s="18" t="s">
        <v>25</v>
      </c>
      <c r="N5457" s="18" t="s">
        <v>154</v>
      </c>
    </row>
    <row r="5458" spans="1:14" ht="15" customHeight="1" x14ac:dyDescent="0.3">
      <c r="A5458" s="18" t="s">
        <v>10303</v>
      </c>
      <c r="B5458" s="19" t="s">
        <v>15</v>
      </c>
      <c r="C5458" s="18" t="s">
        <v>149</v>
      </c>
      <c r="D5458" s="18" t="s">
        <v>116</v>
      </c>
      <c r="E5458" s="18" t="s">
        <v>18</v>
      </c>
      <c r="F5458" s="18" t="s">
        <v>7637</v>
      </c>
      <c r="G5458" s="18" t="s">
        <v>10364</v>
      </c>
      <c r="H5458" s="18" t="s">
        <v>8420</v>
      </c>
      <c r="I5458" s="20" t="s">
        <v>10365</v>
      </c>
      <c r="J5458" s="18" t="s">
        <v>30</v>
      </c>
      <c r="K5458" s="18" t="s">
        <v>24</v>
      </c>
      <c r="L5458" s="18" t="s">
        <v>25</v>
      </c>
      <c r="N5458" s="18" t="s">
        <v>154</v>
      </c>
    </row>
    <row r="5459" spans="1:14" ht="15" customHeight="1" x14ac:dyDescent="0.3">
      <c r="A5459" s="18" t="s">
        <v>10303</v>
      </c>
      <c r="B5459" s="19" t="s">
        <v>15</v>
      </c>
      <c r="C5459" s="18" t="s">
        <v>149</v>
      </c>
      <c r="D5459" s="18" t="s">
        <v>116</v>
      </c>
      <c r="E5459" s="18" t="s">
        <v>18</v>
      </c>
      <c r="F5459" s="18" t="s">
        <v>8196</v>
      </c>
      <c r="G5459" s="18" t="s">
        <v>3138</v>
      </c>
      <c r="H5459" s="18" t="s">
        <v>8159</v>
      </c>
      <c r="I5459" s="20" t="s">
        <v>10366</v>
      </c>
      <c r="J5459" s="18" t="s">
        <v>30</v>
      </c>
      <c r="K5459" s="18" t="s">
        <v>24</v>
      </c>
      <c r="L5459" s="18" t="s">
        <v>25</v>
      </c>
      <c r="N5459" s="18" t="s">
        <v>154</v>
      </c>
    </row>
    <row r="5460" spans="1:14" ht="15" customHeight="1" x14ac:dyDescent="0.3">
      <c r="A5460" s="18" t="s">
        <v>10303</v>
      </c>
      <c r="B5460" s="19" t="s">
        <v>15</v>
      </c>
      <c r="C5460" s="18" t="s">
        <v>149</v>
      </c>
      <c r="D5460" s="18" t="s">
        <v>116</v>
      </c>
      <c r="E5460" s="18" t="s">
        <v>18</v>
      </c>
      <c r="F5460" s="18" t="s">
        <v>10367</v>
      </c>
      <c r="G5460" s="18" t="s">
        <v>192</v>
      </c>
      <c r="H5460" s="18" t="s">
        <v>8420</v>
      </c>
      <c r="I5460" s="20" t="s">
        <v>10368</v>
      </c>
      <c r="J5460" s="18" t="s">
        <v>30</v>
      </c>
      <c r="K5460" s="18" t="s">
        <v>24</v>
      </c>
      <c r="L5460" s="18" t="s">
        <v>25</v>
      </c>
      <c r="N5460" s="18" t="s">
        <v>154</v>
      </c>
    </row>
    <row r="5461" spans="1:14" ht="15" customHeight="1" x14ac:dyDescent="0.3">
      <c r="A5461" s="18" t="s">
        <v>10303</v>
      </c>
      <c r="B5461" s="19" t="s">
        <v>15</v>
      </c>
      <c r="C5461" s="18" t="s">
        <v>149</v>
      </c>
      <c r="D5461" s="18" t="s">
        <v>116</v>
      </c>
      <c r="E5461" s="18" t="s">
        <v>18</v>
      </c>
      <c r="F5461" s="18" t="s">
        <v>6255</v>
      </c>
      <c r="G5461" s="18" t="s">
        <v>298</v>
      </c>
      <c r="H5461" s="18" t="s">
        <v>8420</v>
      </c>
      <c r="I5461" s="20" t="s">
        <v>10369</v>
      </c>
      <c r="J5461" s="18" t="s">
        <v>30</v>
      </c>
      <c r="K5461" s="18" t="s">
        <v>24</v>
      </c>
      <c r="L5461" s="18" t="s">
        <v>25</v>
      </c>
      <c r="N5461" s="18" t="s">
        <v>154</v>
      </c>
    </row>
    <row r="5462" spans="1:14" ht="15" customHeight="1" x14ac:dyDescent="0.3">
      <c r="A5462" s="18" t="s">
        <v>10303</v>
      </c>
      <c r="B5462" s="19" t="s">
        <v>15</v>
      </c>
      <c r="C5462" s="18" t="s">
        <v>149</v>
      </c>
      <c r="D5462" s="18" t="s">
        <v>116</v>
      </c>
      <c r="E5462" s="18" t="s">
        <v>18</v>
      </c>
      <c r="F5462" s="18" t="s">
        <v>10370</v>
      </c>
      <c r="G5462" s="18" t="s">
        <v>10371</v>
      </c>
      <c r="H5462" s="18" t="s">
        <v>8420</v>
      </c>
      <c r="I5462" s="20" t="s">
        <v>10372</v>
      </c>
      <c r="J5462" s="18" t="s">
        <v>30</v>
      </c>
      <c r="K5462" s="18" t="s">
        <v>24</v>
      </c>
      <c r="L5462" s="18" t="s">
        <v>25</v>
      </c>
      <c r="N5462" s="18" t="s">
        <v>154</v>
      </c>
    </row>
    <row r="5463" spans="1:14" ht="15" customHeight="1" x14ac:dyDescent="0.3">
      <c r="A5463" s="18" t="s">
        <v>10303</v>
      </c>
      <c r="B5463" s="19" t="s">
        <v>15</v>
      </c>
      <c r="C5463" s="18" t="s">
        <v>149</v>
      </c>
      <c r="D5463" s="18" t="s">
        <v>116</v>
      </c>
      <c r="E5463" s="18" t="s">
        <v>18</v>
      </c>
      <c r="F5463" s="18" t="s">
        <v>7639</v>
      </c>
      <c r="G5463" s="18" t="s">
        <v>298</v>
      </c>
      <c r="H5463" s="18" t="s">
        <v>8420</v>
      </c>
      <c r="I5463" s="20" t="s">
        <v>10373</v>
      </c>
      <c r="J5463" s="18" t="s">
        <v>30</v>
      </c>
      <c r="K5463" s="18" t="s">
        <v>24</v>
      </c>
      <c r="L5463" s="18" t="s">
        <v>25</v>
      </c>
      <c r="N5463" s="18" t="s">
        <v>154</v>
      </c>
    </row>
    <row r="5464" spans="1:14" ht="15" customHeight="1" x14ac:dyDescent="0.3">
      <c r="A5464" s="18" t="s">
        <v>10303</v>
      </c>
      <c r="B5464" s="19" t="s">
        <v>15</v>
      </c>
      <c r="C5464" s="18" t="s">
        <v>149</v>
      </c>
      <c r="D5464" s="18" t="s">
        <v>116</v>
      </c>
      <c r="E5464" s="18" t="s">
        <v>18</v>
      </c>
      <c r="F5464" s="18" t="s">
        <v>1095</v>
      </c>
      <c r="G5464" s="18" t="s">
        <v>2248</v>
      </c>
      <c r="H5464" s="18" t="s">
        <v>8159</v>
      </c>
      <c r="I5464" s="20" t="s">
        <v>10374</v>
      </c>
      <c r="J5464" s="18" t="s">
        <v>30</v>
      </c>
      <c r="K5464" s="18" t="s">
        <v>24</v>
      </c>
      <c r="L5464" s="18" t="s">
        <v>25</v>
      </c>
      <c r="N5464" s="18" t="s">
        <v>154</v>
      </c>
    </row>
    <row r="5465" spans="1:14" ht="15" customHeight="1" x14ac:dyDescent="0.3">
      <c r="A5465" s="18" t="s">
        <v>10303</v>
      </c>
      <c r="B5465" s="19" t="s">
        <v>15</v>
      </c>
      <c r="C5465" s="18" t="s">
        <v>149</v>
      </c>
      <c r="D5465" s="18" t="s">
        <v>116</v>
      </c>
      <c r="E5465" s="18" t="s">
        <v>18</v>
      </c>
      <c r="F5465" s="18" t="s">
        <v>8945</v>
      </c>
      <c r="G5465" s="18" t="s">
        <v>47</v>
      </c>
      <c r="H5465" s="18" t="s">
        <v>8159</v>
      </c>
      <c r="I5465" s="20" t="s">
        <v>10375</v>
      </c>
      <c r="J5465" s="18" t="s">
        <v>30</v>
      </c>
      <c r="K5465" s="18" t="s">
        <v>24</v>
      </c>
      <c r="L5465" s="18" t="s">
        <v>25</v>
      </c>
      <c r="N5465" s="18" t="s">
        <v>154</v>
      </c>
    </row>
    <row r="5466" spans="1:14" ht="15" customHeight="1" x14ac:dyDescent="0.3">
      <c r="A5466" s="18" t="s">
        <v>10303</v>
      </c>
      <c r="B5466" s="19" t="s">
        <v>15</v>
      </c>
      <c r="C5466" s="18" t="s">
        <v>149</v>
      </c>
      <c r="D5466" s="18" t="s">
        <v>116</v>
      </c>
      <c r="E5466" s="18" t="s">
        <v>18</v>
      </c>
      <c r="F5466" s="18" t="s">
        <v>340</v>
      </c>
      <c r="G5466" s="18" t="s">
        <v>10376</v>
      </c>
      <c r="H5466" s="18" t="s">
        <v>8434</v>
      </c>
      <c r="I5466" s="20" t="s">
        <v>10377</v>
      </c>
      <c r="J5466" s="18" t="s">
        <v>30</v>
      </c>
      <c r="K5466" s="18" t="s">
        <v>24</v>
      </c>
      <c r="L5466" s="18" t="s">
        <v>25</v>
      </c>
      <c r="N5466" s="18" t="s">
        <v>154</v>
      </c>
    </row>
    <row r="5467" spans="1:14" ht="15" customHeight="1" x14ac:dyDescent="0.3">
      <c r="A5467" s="18" t="s">
        <v>10303</v>
      </c>
      <c r="B5467" s="19" t="s">
        <v>15</v>
      </c>
      <c r="C5467" s="18" t="s">
        <v>149</v>
      </c>
      <c r="D5467" s="18" t="s">
        <v>116</v>
      </c>
      <c r="E5467" s="18" t="s">
        <v>18</v>
      </c>
      <c r="F5467" s="18" t="s">
        <v>7647</v>
      </c>
      <c r="G5467" s="18" t="s">
        <v>1095</v>
      </c>
      <c r="H5467" s="18" t="s">
        <v>8159</v>
      </c>
      <c r="I5467" s="20" t="s">
        <v>10378</v>
      </c>
      <c r="J5467" s="18" t="s">
        <v>30</v>
      </c>
      <c r="K5467" s="18" t="s">
        <v>24</v>
      </c>
      <c r="L5467" s="18" t="s">
        <v>25</v>
      </c>
      <c r="N5467" s="18" t="s">
        <v>154</v>
      </c>
    </row>
    <row r="5468" spans="1:14" ht="15" customHeight="1" x14ac:dyDescent="0.3">
      <c r="A5468" s="18" t="s">
        <v>10303</v>
      </c>
      <c r="B5468" s="19" t="s">
        <v>15</v>
      </c>
      <c r="C5468" s="18" t="s">
        <v>149</v>
      </c>
      <c r="D5468" s="18" t="s">
        <v>116</v>
      </c>
      <c r="E5468" s="18" t="s">
        <v>18</v>
      </c>
      <c r="F5468" s="18" t="s">
        <v>10379</v>
      </c>
      <c r="G5468" s="18" t="s">
        <v>1095</v>
      </c>
      <c r="H5468" s="18" t="s">
        <v>8159</v>
      </c>
      <c r="I5468" s="20" t="s">
        <v>10380</v>
      </c>
      <c r="J5468" s="18" t="s">
        <v>30</v>
      </c>
      <c r="K5468" s="18" t="s">
        <v>24</v>
      </c>
      <c r="L5468" s="18" t="s">
        <v>25</v>
      </c>
      <c r="N5468" s="18" t="s">
        <v>154</v>
      </c>
    </row>
    <row r="5469" spans="1:14" ht="15" customHeight="1" x14ac:dyDescent="0.3">
      <c r="A5469" s="18" t="s">
        <v>10303</v>
      </c>
      <c r="B5469" s="19" t="s">
        <v>15</v>
      </c>
      <c r="C5469" s="18" t="s">
        <v>149</v>
      </c>
      <c r="D5469" s="18" t="s">
        <v>116</v>
      </c>
      <c r="E5469" s="18" t="s">
        <v>18</v>
      </c>
      <c r="F5469" s="18" t="s">
        <v>1104</v>
      </c>
      <c r="G5469" s="18" t="s">
        <v>1055</v>
      </c>
      <c r="H5469" s="18" t="s">
        <v>8420</v>
      </c>
      <c r="I5469" s="20" t="s">
        <v>10381</v>
      </c>
      <c r="J5469" s="18" t="s">
        <v>30</v>
      </c>
      <c r="K5469" s="18" t="s">
        <v>24</v>
      </c>
      <c r="L5469" s="18" t="s">
        <v>25</v>
      </c>
      <c r="N5469" s="18" t="s">
        <v>154</v>
      </c>
    </row>
    <row r="5470" spans="1:14" ht="15" customHeight="1" x14ac:dyDescent="0.3">
      <c r="A5470" s="18" t="s">
        <v>10303</v>
      </c>
      <c r="B5470" s="19" t="s">
        <v>15</v>
      </c>
      <c r="C5470" s="18" t="s">
        <v>149</v>
      </c>
      <c r="D5470" s="18" t="s">
        <v>116</v>
      </c>
      <c r="E5470" s="18" t="s">
        <v>55</v>
      </c>
      <c r="F5470" s="18" t="s">
        <v>10382</v>
      </c>
      <c r="G5470" s="18" t="s">
        <v>606</v>
      </c>
      <c r="H5470" s="18" t="s">
        <v>10383</v>
      </c>
      <c r="I5470" s="20" t="s">
        <v>10384</v>
      </c>
      <c r="J5470" s="18" t="s">
        <v>58</v>
      </c>
      <c r="K5470" s="18" t="s">
        <v>24</v>
      </c>
      <c r="L5470" s="18" t="s">
        <v>25</v>
      </c>
      <c r="N5470" s="18" t="s">
        <v>154</v>
      </c>
    </row>
    <row r="5471" spans="1:14" ht="15" customHeight="1" x14ac:dyDescent="0.3">
      <c r="A5471" s="18" t="s">
        <v>10303</v>
      </c>
      <c r="B5471" s="19" t="s">
        <v>15</v>
      </c>
      <c r="C5471" s="18" t="s">
        <v>149</v>
      </c>
      <c r="D5471" s="18" t="s">
        <v>116</v>
      </c>
      <c r="E5471" s="18" t="s">
        <v>55</v>
      </c>
      <c r="F5471" s="18" t="s">
        <v>10385</v>
      </c>
      <c r="G5471" s="18" t="s">
        <v>433</v>
      </c>
      <c r="H5471" s="18" t="s">
        <v>7602</v>
      </c>
      <c r="I5471" s="20" t="s">
        <v>10386</v>
      </c>
      <c r="J5471" s="18" t="s">
        <v>199</v>
      </c>
      <c r="K5471" s="18" t="s">
        <v>24</v>
      </c>
      <c r="L5471" s="18" t="s">
        <v>25</v>
      </c>
      <c r="N5471" s="18" t="s">
        <v>154</v>
      </c>
    </row>
    <row r="5472" spans="1:14" ht="15" customHeight="1" x14ac:dyDescent="0.3">
      <c r="A5472" s="18" t="s">
        <v>10303</v>
      </c>
      <c r="B5472" s="19" t="s">
        <v>15</v>
      </c>
      <c r="C5472" s="18" t="s">
        <v>149</v>
      </c>
      <c r="D5472" s="18" t="s">
        <v>116</v>
      </c>
      <c r="E5472" s="18" t="s">
        <v>55</v>
      </c>
      <c r="F5472" s="18" t="s">
        <v>10387</v>
      </c>
      <c r="G5472" s="18" t="s">
        <v>3069</v>
      </c>
      <c r="H5472" s="18" t="s">
        <v>10306</v>
      </c>
      <c r="I5472" s="20" t="s">
        <v>10388</v>
      </c>
      <c r="J5472" s="18" t="s">
        <v>58</v>
      </c>
      <c r="K5472" s="18" t="s">
        <v>24</v>
      </c>
      <c r="L5472" s="18" t="s">
        <v>25</v>
      </c>
      <c r="N5472" s="18" t="s">
        <v>154</v>
      </c>
    </row>
    <row r="5473" spans="1:14" ht="15" customHeight="1" x14ac:dyDescent="0.3">
      <c r="A5473" s="18" t="s">
        <v>10303</v>
      </c>
      <c r="B5473" s="19" t="s">
        <v>15</v>
      </c>
      <c r="C5473" s="18" t="s">
        <v>149</v>
      </c>
      <c r="D5473" s="18" t="s">
        <v>116</v>
      </c>
      <c r="E5473" s="18" t="s">
        <v>55</v>
      </c>
      <c r="F5473" s="18" t="s">
        <v>634</v>
      </c>
      <c r="G5473" s="18" t="s">
        <v>429</v>
      </c>
      <c r="H5473" s="18" t="s">
        <v>8429</v>
      </c>
      <c r="I5473" s="20" t="s">
        <v>10389</v>
      </c>
      <c r="J5473" s="18" t="s">
        <v>58</v>
      </c>
      <c r="K5473" s="18" t="s">
        <v>24</v>
      </c>
      <c r="L5473" s="18" t="s">
        <v>25</v>
      </c>
      <c r="N5473" s="18" t="s">
        <v>154</v>
      </c>
    </row>
    <row r="5474" spans="1:14" ht="15" customHeight="1" x14ac:dyDescent="0.3">
      <c r="A5474" s="18" t="s">
        <v>10303</v>
      </c>
      <c r="B5474" s="19" t="s">
        <v>15</v>
      </c>
      <c r="C5474" s="18" t="s">
        <v>149</v>
      </c>
      <c r="D5474" s="18" t="s">
        <v>116</v>
      </c>
      <c r="E5474" s="18" t="s">
        <v>55</v>
      </c>
      <c r="F5474" s="18" t="s">
        <v>10390</v>
      </c>
      <c r="G5474" s="18" t="s">
        <v>1254</v>
      </c>
      <c r="H5474" s="18" t="s">
        <v>8159</v>
      </c>
      <c r="I5474" s="20" t="s">
        <v>10391</v>
      </c>
      <c r="J5474" s="18" t="s">
        <v>58</v>
      </c>
      <c r="K5474" s="18" t="s">
        <v>24</v>
      </c>
      <c r="L5474" s="18" t="s">
        <v>25</v>
      </c>
      <c r="N5474" s="18" t="s">
        <v>154</v>
      </c>
    </row>
    <row r="5475" spans="1:14" ht="15" customHeight="1" x14ac:dyDescent="0.3">
      <c r="A5475" s="18" t="s">
        <v>10303</v>
      </c>
      <c r="B5475" s="19" t="s">
        <v>15</v>
      </c>
      <c r="C5475" s="18" t="s">
        <v>149</v>
      </c>
      <c r="D5475" s="18" t="s">
        <v>116</v>
      </c>
      <c r="E5475" s="18" t="s">
        <v>55</v>
      </c>
      <c r="F5475" s="18" t="s">
        <v>7578</v>
      </c>
      <c r="G5475" s="18" t="s">
        <v>197</v>
      </c>
      <c r="H5475" s="18" t="s">
        <v>8420</v>
      </c>
      <c r="I5475" s="20" t="s">
        <v>10392</v>
      </c>
      <c r="J5475" s="18" t="s">
        <v>58</v>
      </c>
      <c r="K5475" s="18" t="s">
        <v>24</v>
      </c>
      <c r="L5475" s="18" t="s">
        <v>25</v>
      </c>
      <c r="N5475" s="18" t="s">
        <v>154</v>
      </c>
    </row>
    <row r="5476" spans="1:14" ht="15" customHeight="1" x14ac:dyDescent="0.3">
      <c r="A5476" s="18" t="s">
        <v>10303</v>
      </c>
      <c r="B5476" s="19" t="s">
        <v>15</v>
      </c>
      <c r="C5476" s="18" t="s">
        <v>149</v>
      </c>
      <c r="D5476" s="18" t="s">
        <v>116</v>
      </c>
      <c r="E5476" s="18" t="s">
        <v>55</v>
      </c>
      <c r="F5476" s="18" t="s">
        <v>8832</v>
      </c>
      <c r="G5476" s="18" t="s">
        <v>47</v>
      </c>
      <c r="H5476" s="18" t="s">
        <v>8159</v>
      </c>
      <c r="I5476" s="20" t="s">
        <v>10393</v>
      </c>
      <c r="J5476" s="18" t="s">
        <v>58</v>
      </c>
      <c r="K5476" s="18" t="s">
        <v>24</v>
      </c>
      <c r="L5476" s="18" t="s">
        <v>25</v>
      </c>
      <c r="N5476" s="18" t="s">
        <v>154</v>
      </c>
    </row>
    <row r="5477" spans="1:14" ht="15" customHeight="1" x14ac:dyDescent="0.3">
      <c r="A5477" s="18" t="s">
        <v>10303</v>
      </c>
      <c r="B5477" s="19" t="s">
        <v>15</v>
      </c>
      <c r="C5477" s="18" t="s">
        <v>149</v>
      </c>
      <c r="D5477" s="18" t="s">
        <v>116</v>
      </c>
      <c r="E5477" s="18" t="s">
        <v>55</v>
      </c>
      <c r="F5477" s="18" t="s">
        <v>10394</v>
      </c>
      <c r="G5477" s="18" t="s">
        <v>151</v>
      </c>
      <c r="H5477" s="18" t="s">
        <v>8835</v>
      </c>
      <c r="I5477" s="20" t="s">
        <v>10395</v>
      </c>
      <c r="J5477" s="18" t="s">
        <v>30</v>
      </c>
      <c r="K5477" s="18" t="s">
        <v>24</v>
      </c>
      <c r="L5477" s="18" t="s">
        <v>25</v>
      </c>
      <c r="N5477" s="18" t="s">
        <v>154</v>
      </c>
    </row>
    <row r="5478" spans="1:14" ht="15" customHeight="1" x14ac:dyDescent="0.3">
      <c r="A5478" s="18" t="s">
        <v>10303</v>
      </c>
      <c r="B5478" s="19" t="s">
        <v>15</v>
      </c>
      <c r="C5478" s="18" t="s">
        <v>149</v>
      </c>
      <c r="D5478" s="18" t="s">
        <v>116</v>
      </c>
      <c r="E5478" s="18" t="s">
        <v>55</v>
      </c>
      <c r="F5478" s="18" t="s">
        <v>3132</v>
      </c>
      <c r="G5478" s="18" t="s">
        <v>151</v>
      </c>
      <c r="H5478" s="18" t="s">
        <v>8835</v>
      </c>
      <c r="I5478" s="20" t="s">
        <v>10396</v>
      </c>
      <c r="J5478" s="18" t="s">
        <v>30</v>
      </c>
      <c r="K5478" s="18" t="s">
        <v>24</v>
      </c>
      <c r="L5478" s="18" t="s">
        <v>25</v>
      </c>
      <c r="N5478" s="18" t="s">
        <v>154</v>
      </c>
    </row>
    <row r="5479" spans="1:14" ht="15" customHeight="1" x14ac:dyDescent="0.3">
      <c r="A5479" s="18" t="s">
        <v>10303</v>
      </c>
      <c r="B5479" s="19" t="s">
        <v>15</v>
      </c>
      <c r="C5479" s="18" t="s">
        <v>149</v>
      </c>
      <c r="D5479" s="18" t="s">
        <v>116</v>
      </c>
      <c r="E5479" s="18" t="s">
        <v>55</v>
      </c>
      <c r="F5479" s="18" t="s">
        <v>10397</v>
      </c>
      <c r="G5479" s="18" t="s">
        <v>381</v>
      </c>
      <c r="H5479" s="18" t="s">
        <v>8559</v>
      </c>
      <c r="I5479" s="20" t="s">
        <v>10398</v>
      </c>
      <c r="J5479" s="18" t="s">
        <v>73</v>
      </c>
      <c r="K5479" s="18" t="s">
        <v>24</v>
      </c>
      <c r="L5479" s="18" t="s">
        <v>25</v>
      </c>
      <c r="N5479" s="18" t="s">
        <v>154</v>
      </c>
    </row>
    <row r="5480" spans="1:14" ht="15" customHeight="1" x14ac:dyDescent="0.3">
      <c r="A5480" s="18" t="s">
        <v>10303</v>
      </c>
      <c r="B5480" s="19" t="s">
        <v>15</v>
      </c>
      <c r="C5480" s="18" t="s">
        <v>149</v>
      </c>
      <c r="D5480" s="18" t="s">
        <v>116</v>
      </c>
      <c r="E5480" s="18" t="s">
        <v>55</v>
      </c>
      <c r="F5480" s="18" t="s">
        <v>10399</v>
      </c>
      <c r="G5480" s="18" t="s">
        <v>606</v>
      </c>
      <c r="H5480" s="18" t="s">
        <v>8159</v>
      </c>
      <c r="I5480" s="20" t="s">
        <v>10400</v>
      </c>
      <c r="J5480" s="18" t="s">
        <v>58</v>
      </c>
      <c r="K5480" s="18" t="s">
        <v>24</v>
      </c>
      <c r="L5480" s="18" t="s">
        <v>25</v>
      </c>
      <c r="N5480" s="18" t="s">
        <v>154</v>
      </c>
    </row>
    <row r="5481" spans="1:14" ht="15" customHeight="1" x14ac:dyDescent="0.3">
      <c r="A5481" s="18" t="s">
        <v>10303</v>
      </c>
      <c r="B5481" s="19" t="s">
        <v>15</v>
      </c>
      <c r="C5481" s="18" t="s">
        <v>149</v>
      </c>
      <c r="D5481" s="18" t="s">
        <v>116</v>
      </c>
      <c r="E5481" s="18" t="s">
        <v>55</v>
      </c>
      <c r="F5481" s="18" t="s">
        <v>10401</v>
      </c>
      <c r="G5481" s="18" t="s">
        <v>1019</v>
      </c>
      <c r="H5481" s="18" t="s">
        <v>10329</v>
      </c>
      <c r="I5481" s="20" t="s">
        <v>10402</v>
      </c>
      <c r="J5481" s="18" t="s">
        <v>58</v>
      </c>
      <c r="K5481" s="18" t="s">
        <v>24</v>
      </c>
      <c r="L5481" s="18" t="s">
        <v>25</v>
      </c>
      <c r="M5481" s="18" t="s">
        <v>39</v>
      </c>
      <c r="N5481" s="18" t="s">
        <v>154</v>
      </c>
    </row>
    <row r="5482" spans="1:14" ht="15" customHeight="1" x14ac:dyDescent="0.3">
      <c r="A5482" s="18" t="s">
        <v>10303</v>
      </c>
      <c r="B5482" s="19" t="s">
        <v>15</v>
      </c>
      <c r="C5482" s="18" t="s">
        <v>149</v>
      </c>
      <c r="D5482" s="18" t="s">
        <v>116</v>
      </c>
      <c r="E5482" s="18" t="s">
        <v>55</v>
      </c>
      <c r="F5482" s="18" t="s">
        <v>2113</v>
      </c>
      <c r="G5482" s="18" t="s">
        <v>1019</v>
      </c>
      <c r="H5482" s="18" t="s">
        <v>10329</v>
      </c>
      <c r="I5482" s="20" t="s">
        <v>10403</v>
      </c>
      <c r="J5482" s="18" t="s">
        <v>58</v>
      </c>
      <c r="K5482" s="18" t="s">
        <v>24</v>
      </c>
      <c r="L5482" s="18" t="s">
        <v>25</v>
      </c>
      <c r="M5482" s="18" t="s">
        <v>39</v>
      </c>
      <c r="N5482" s="18" t="s">
        <v>154</v>
      </c>
    </row>
    <row r="5483" spans="1:14" ht="15" customHeight="1" x14ac:dyDescent="0.3">
      <c r="A5483" s="18" t="s">
        <v>10303</v>
      </c>
      <c r="B5483" s="19" t="s">
        <v>15</v>
      </c>
      <c r="C5483" s="18" t="s">
        <v>149</v>
      </c>
      <c r="D5483" s="18" t="s">
        <v>116</v>
      </c>
      <c r="E5483" s="18" t="s">
        <v>55</v>
      </c>
      <c r="F5483" s="18" t="s">
        <v>10404</v>
      </c>
      <c r="G5483" s="18" t="s">
        <v>1019</v>
      </c>
      <c r="H5483" s="18" t="s">
        <v>10329</v>
      </c>
      <c r="I5483" s="20" t="s">
        <v>10405</v>
      </c>
      <c r="J5483" s="18" t="s">
        <v>58</v>
      </c>
      <c r="K5483" s="18" t="s">
        <v>24</v>
      </c>
      <c r="L5483" s="18" t="s">
        <v>25</v>
      </c>
      <c r="M5483" s="18" t="s">
        <v>39</v>
      </c>
      <c r="N5483" s="18" t="s">
        <v>154</v>
      </c>
    </row>
    <row r="5484" spans="1:14" ht="15" customHeight="1" x14ac:dyDescent="0.3">
      <c r="A5484" s="18" t="s">
        <v>10303</v>
      </c>
      <c r="B5484" s="19" t="s">
        <v>15</v>
      </c>
      <c r="C5484" s="18" t="s">
        <v>149</v>
      </c>
      <c r="D5484" s="18" t="s">
        <v>116</v>
      </c>
      <c r="E5484" s="18" t="s">
        <v>55</v>
      </c>
      <c r="F5484" s="18" t="s">
        <v>10406</v>
      </c>
      <c r="G5484" s="18" t="s">
        <v>1019</v>
      </c>
      <c r="H5484" s="18" t="s">
        <v>10329</v>
      </c>
      <c r="I5484" s="20" t="s">
        <v>10407</v>
      </c>
      <c r="J5484" s="18" t="s">
        <v>58</v>
      </c>
      <c r="K5484" s="18" t="s">
        <v>24</v>
      </c>
      <c r="L5484" s="18" t="s">
        <v>25</v>
      </c>
      <c r="N5484" s="18" t="s">
        <v>154</v>
      </c>
    </row>
    <row r="5485" spans="1:14" ht="15" customHeight="1" x14ac:dyDescent="0.3">
      <c r="A5485" s="18" t="s">
        <v>10303</v>
      </c>
      <c r="B5485" s="19" t="s">
        <v>15</v>
      </c>
      <c r="C5485" s="18" t="s">
        <v>149</v>
      </c>
      <c r="D5485" s="18" t="s">
        <v>116</v>
      </c>
      <c r="E5485" s="18" t="s">
        <v>55</v>
      </c>
      <c r="F5485" s="18" t="s">
        <v>10408</v>
      </c>
      <c r="G5485" s="18" t="s">
        <v>7668</v>
      </c>
      <c r="H5485" s="18" t="s">
        <v>8159</v>
      </c>
      <c r="I5485" s="20" t="s">
        <v>10409</v>
      </c>
      <c r="J5485" s="18" t="s">
        <v>58</v>
      </c>
      <c r="K5485" s="18" t="s">
        <v>24</v>
      </c>
      <c r="L5485" s="18" t="s">
        <v>25</v>
      </c>
      <c r="M5485" s="18" t="s">
        <v>39</v>
      </c>
      <c r="N5485" s="18" t="s">
        <v>154</v>
      </c>
    </row>
    <row r="5486" spans="1:14" ht="15" customHeight="1" x14ac:dyDescent="0.3">
      <c r="A5486" s="18" t="s">
        <v>10303</v>
      </c>
      <c r="B5486" s="19" t="s">
        <v>15</v>
      </c>
      <c r="C5486" s="18" t="s">
        <v>149</v>
      </c>
      <c r="D5486" s="18" t="s">
        <v>116</v>
      </c>
      <c r="E5486" s="18" t="s">
        <v>55</v>
      </c>
      <c r="F5486" s="18" t="s">
        <v>10410</v>
      </c>
      <c r="G5486" s="18" t="s">
        <v>1069</v>
      </c>
      <c r="H5486" s="18" t="s">
        <v>7602</v>
      </c>
      <c r="I5486" s="20" t="s">
        <v>10411</v>
      </c>
      <c r="J5486" s="18" t="s">
        <v>199</v>
      </c>
      <c r="K5486" s="18" t="s">
        <v>24</v>
      </c>
      <c r="L5486" s="18" t="s">
        <v>25</v>
      </c>
      <c r="N5486" s="18" t="s">
        <v>154</v>
      </c>
    </row>
    <row r="5487" spans="1:14" ht="15" customHeight="1" x14ac:dyDescent="0.3">
      <c r="A5487" s="18" t="s">
        <v>10303</v>
      </c>
      <c r="B5487" s="19" t="s">
        <v>15</v>
      </c>
      <c r="C5487" s="18" t="s">
        <v>149</v>
      </c>
      <c r="D5487" s="18" t="s">
        <v>116</v>
      </c>
      <c r="E5487" s="18" t="s">
        <v>55</v>
      </c>
      <c r="F5487" s="18" t="s">
        <v>10412</v>
      </c>
      <c r="G5487" s="18" t="s">
        <v>3364</v>
      </c>
      <c r="H5487" s="18" t="s">
        <v>8159</v>
      </c>
      <c r="I5487" s="20" t="s">
        <v>10413</v>
      </c>
      <c r="J5487" s="18" t="s">
        <v>58</v>
      </c>
      <c r="K5487" s="18" t="s">
        <v>24</v>
      </c>
      <c r="L5487" s="18" t="s">
        <v>25</v>
      </c>
      <c r="N5487" s="18" t="s">
        <v>154</v>
      </c>
    </row>
    <row r="5488" spans="1:14" ht="15" customHeight="1" x14ac:dyDescent="0.3">
      <c r="A5488" s="18" t="s">
        <v>10303</v>
      </c>
      <c r="B5488" s="19" t="s">
        <v>15</v>
      </c>
      <c r="C5488" s="18" t="s">
        <v>149</v>
      </c>
      <c r="D5488" s="18" t="s">
        <v>116</v>
      </c>
      <c r="E5488" s="18" t="s">
        <v>55</v>
      </c>
      <c r="F5488" s="18" t="s">
        <v>10414</v>
      </c>
      <c r="G5488" s="18" t="s">
        <v>173</v>
      </c>
      <c r="H5488" s="18" t="s">
        <v>8159</v>
      </c>
      <c r="I5488" s="20" t="s">
        <v>10415</v>
      </c>
      <c r="J5488" s="18" t="s">
        <v>58</v>
      </c>
      <c r="K5488" s="18" t="s">
        <v>24</v>
      </c>
      <c r="L5488" s="18" t="s">
        <v>25</v>
      </c>
      <c r="N5488" s="18" t="s">
        <v>154</v>
      </c>
    </row>
    <row r="5489" spans="1:14" ht="15" customHeight="1" x14ac:dyDescent="0.3">
      <c r="A5489" s="18" t="s">
        <v>10303</v>
      </c>
      <c r="B5489" s="19" t="s">
        <v>15</v>
      </c>
      <c r="C5489" s="18" t="s">
        <v>149</v>
      </c>
      <c r="D5489" s="18" t="s">
        <v>116</v>
      </c>
      <c r="E5489" s="18" t="s">
        <v>55</v>
      </c>
      <c r="F5489" s="18" t="s">
        <v>1237</v>
      </c>
      <c r="G5489" s="18" t="s">
        <v>1254</v>
      </c>
      <c r="H5489" s="18" t="s">
        <v>8164</v>
      </c>
      <c r="I5489" s="20" t="s">
        <v>10416</v>
      </c>
      <c r="J5489" s="18" t="s">
        <v>58</v>
      </c>
      <c r="K5489" s="18" t="s">
        <v>24</v>
      </c>
      <c r="L5489" s="18" t="s">
        <v>25</v>
      </c>
      <c r="N5489" s="18" t="s">
        <v>154</v>
      </c>
    </row>
    <row r="5490" spans="1:14" ht="15" customHeight="1" x14ac:dyDescent="0.3">
      <c r="A5490" s="18" t="s">
        <v>10303</v>
      </c>
      <c r="B5490" s="19" t="s">
        <v>15</v>
      </c>
      <c r="C5490" s="18" t="s">
        <v>149</v>
      </c>
      <c r="D5490" s="18" t="s">
        <v>116</v>
      </c>
      <c r="E5490" s="18" t="s">
        <v>55</v>
      </c>
      <c r="F5490" s="18" t="s">
        <v>8986</v>
      </c>
      <c r="G5490" s="18" t="s">
        <v>3138</v>
      </c>
      <c r="H5490" s="18" t="s">
        <v>8159</v>
      </c>
      <c r="I5490" s="20" t="s">
        <v>10417</v>
      </c>
      <c r="J5490" s="18" t="s">
        <v>58</v>
      </c>
      <c r="K5490" s="18" t="s">
        <v>24</v>
      </c>
      <c r="L5490" s="18" t="s">
        <v>25</v>
      </c>
      <c r="N5490" s="18" t="s">
        <v>154</v>
      </c>
    </row>
    <row r="5491" spans="1:14" ht="15" customHeight="1" x14ac:dyDescent="0.3">
      <c r="A5491" s="18" t="s">
        <v>10303</v>
      </c>
      <c r="B5491" s="19" t="s">
        <v>15</v>
      </c>
      <c r="C5491" s="18" t="s">
        <v>149</v>
      </c>
      <c r="D5491" s="18" t="s">
        <v>116</v>
      </c>
      <c r="E5491" s="18" t="s">
        <v>55</v>
      </c>
      <c r="F5491" s="18" t="s">
        <v>7580</v>
      </c>
      <c r="G5491" s="18" t="s">
        <v>606</v>
      </c>
      <c r="H5491" s="18" t="s">
        <v>8159</v>
      </c>
      <c r="I5491" s="20" t="s">
        <v>10418</v>
      </c>
      <c r="J5491" s="18" t="s">
        <v>58</v>
      </c>
      <c r="K5491" s="18" t="s">
        <v>24</v>
      </c>
      <c r="L5491" s="18" t="s">
        <v>25</v>
      </c>
      <c r="N5491" s="18" t="s">
        <v>154</v>
      </c>
    </row>
    <row r="5492" spans="1:14" ht="15" customHeight="1" x14ac:dyDescent="0.3">
      <c r="A5492" s="18" t="s">
        <v>10303</v>
      </c>
      <c r="B5492" s="19" t="s">
        <v>15</v>
      </c>
      <c r="C5492" s="18" t="s">
        <v>149</v>
      </c>
      <c r="D5492" s="18" t="s">
        <v>116</v>
      </c>
      <c r="E5492" s="18" t="s">
        <v>55</v>
      </c>
      <c r="F5492" s="18" t="s">
        <v>10419</v>
      </c>
      <c r="G5492" s="18" t="s">
        <v>606</v>
      </c>
      <c r="H5492" s="18" t="s">
        <v>8159</v>
      </c>
      <c r="I5492" s="20" t="s">
        <v>10420</v>
      </c>
      <c r="J5492" s="18" t="s">
        <v>58</v>
      </c>
      <c r="K5492" s="18" t="s">
        <v>24</v>
      </c>
      <c r="L5492" s="18" t="s">
        <v>25</v>
      </c>
      <c r="N5492" s="18" t="s">
        <v>154</v>
      </c>
    </row>
    <row r="5493" spans="1:14" ht="15" customHeight="1" x14ac:dyDescent="0.3">
      <c r="A5493" s="18" t="s">
        <v>10303</v>
      </c>
      <c r="B5493" s="19" t="s">
        <v>15</v>
      </c>
      <c r="C5493" s="18" t="s">
        <v>149</v>
      </c>
      <c r="D5493" s="18" t="s">
        <v>116</v>
      </c>
      <c r="E5493" s="18" t="s">
        <v>55</v>
      </c>
      <c r="F5493" s="18" t="s">
        <v>10421</v>
      </c>
      <c r="G5493" s="18" t="s">
        <v>606</v>
      </c>
      <c r="H5493" s="18" t="s">
        <v>8159</v>
      </c>
      <c r="I5493" s="20" t="s">
        <v>10422</v>
      </c>
      <c r="J5493" s="18" t="s">
        <v>58</v>
      </c>
      <c r="K5493" s="18" t="s">
        <v>24</v>
      </c>
      <c r="L5493" s="18" t="s">
        <v>25</v>
      </c>
      <c r="N5493" s="18" t="s">
        <v>154</v>
      </c>
    </row>
    <row r="5494" spans="1:14" ht="15" customHeight="1" x14ac:dyDescent="0.3">
      <c r="A5494" s="18" t="s">
        <v>10303</v>
      </c>
      <c r="B5494" s="19" t="s">
        <v>15</v>
      </c>
      <c r="C5494" s="18" t="s">
        <v>149</v>
      </c>
      <c r="D5494" s="18" t="s">
        <v>116</v>
      </c>
      <c r="E5494" s="18" t="s">
        <v>55</v>
      </c>
      <c r="F5494" s="18" t="s">
        <v>7265</v>
      </c>
      <c r="G5494" s="18" t="s">
        <v>606</v>
      </c>
      <c r="H5494" s="18" t="s">
        <v>8159</v>
      </c>
      <c r="I5494" s="20" t="s">
        <v>10423</v>
      </c>
      <c r="J5494" s="18" t="s">
        <v>58</v>
      </c>
      <c r="K5494" s="18" t="s">
        <v>24</v>
      </c>
      <c r="L5494" s="18" t="s">
        <v>25</v>
      </c>
      <c r="N5494" s="18" t="s">
        <v>154</v>
      </c>
    </row>
    <row r="5495" spans="1:14" ht="15" customHeight="1" x14ac:dyDescent="0.3">
      <c r="A5495" s="18" t="s">
        <v>10303</v>
      </c>
      <c r="B5495" s="19" t="s">
        <v>15</v>
      </c>
      <c r="C5495" s="18" t="s">
        <v>149</v>
      </c>
      <c r="D5495" s="18" t="s">
        <v>116</v>
      </c>
      <c r="E5495" s="18" t="s">
        <v>55</v>
      </c>
      <c r="F5495" s="18" t="s">
        <v>493</v>
      </c>
      <c r="G5495" s="18" t="s">
        <v>6433</v>
      </c>
      <c r="H5495" s="18" t="s">
        <v>8559</v>
      </c>
      <c r="I5495" s="20" t="s">
        <v>10424</v>
      </c>
      <c r="J5495" s="18" t="s">
        <v>58</v>
      </c>
      <c r="K5495" s="18" t="s">
        <v>24</v>
      </c>
      <c r="L5495" s="18" t="s">
        <v>25</v>
      </c>
      <c r="N5495" s="18" t="s">
        <v>154</v>
      </c>
    </row>
    <row r="5496" spans="1:14" ht="15" customHeight="1" x14ac:dyDescent="0.3">
      <c r="A5496" s="18" t="s">
        <v>10303</v>
      </c>
      <c r="B5496" s="19" t="s">
        <v>15</v>
      </c>
      <c r="C5496" s="18" t="s">
        <v>149</v>
      </c>
      <c r="D5496" s="18" t="s">
        <v>116</v>
      </c>
      <c r="E5496" s="18" t="s">
        <v>55</v>
      </c>
      <c r="F5496" s="18" t="s">
        <v>10425</v>
      </c>
      <c r="G5496" s="18" t="s">
        <v>667</v>
      </c>
      <c r="H5496" s="18" t="s">
        <v>8939</v>
      </c>
      <c r="I5496" s="20" t="s">
        <v>10426</v>
      </c>
      <c r="J5496" s="18" t="s">
        <v>58</v>
      </c>
      <c r="K5496" s="18" t="s">
        <v>24</v>
      </c>
      <c r="L5496" s="18" t="s">
        <v>25</v>
      </c>
      <c r="M5496" s="18" t="s">
        <v>39</v>
      </c>
      <c r="N5496" s="18" t="s">
        <v>154</v>
      </c>
    </row>
    <row r="5497" spans="1:14" ht="15" customHeight="1" x14ac:dyDescent="0.3">
      <c r="A5497" s="18" t="s">
        <v>10303</v>
      </c>
      <c r="B5497" s="19" t="s">
        <v>15</v>
      </c>
      <c r="C5497" s="18" t="s">
        <v>149</v>
      </c>
      <c r="D5497" s="18" t="s">
        <v>116</v>
      </c>
      <c r="E5497" s="18" t="s">
        <v>55</v>
      </c>
      <c r="F5497" s="18" t="s">
        <v>10427</v>
      </c>
      <c r="G5497" s="18" t="s">
        <v>667</v>
      </c>
      <c r="H5497" s="18" t="s">
        <v>8559</v>
      </c>
      <c r="I5497" s="20" t="s">
        <v>10428</v>
      </c>
      <c r="J5497" s="18" t="s">
        <v>58</v>
      </c>
      <c r="K5497" s="18" t="s">
        <v>24</v>
      </c>
      <c r="L5497" s="18" t="s">
        <v>25</v>
      </c>
      <c r="N5497" s="18" t="s">
        <v>154</v>
      </c>
    </row>
    <row r="5498" spans="1:14" ht="15" customHeight="1" x14ac:dyDescent="0.3">
      <c r="A5498" s="18" t="s">
        <v>10303</v>
      </c>
      <c r="B5498" s="19" t="s">
        <v>15</v>
      </c>
      <c r="C5498" s="18" t="s">
        <v>149</v>
      </c>
      <c r="D5498" s="18" t="s">
        <v>116</v>
      </c>
      <c r="E5498" s="18" t="s">
        <v>55</v>
      </c>
      <c r="F5498" s="18" t="s">
        <v>8426</v>
      </c>
      <c r="G5498" s="18" t="s">
        <v>10316</v>
      </c>
      <c r="H5498" s="18" t="s">
        <v>8164</v>
      </c>
      <c r="I5498" s="20" t="s">
        <v>10429</v>
      </c>
      <c r="J5498" s="18" t="s">
        <v>58</v>
      </c>
      <c r="K5498" s="18" t="s">
        <v>24</v>
      </c>
      <c r="L5498" s="18" t="s">
        <v>25</v>
      </c>
      <c r="N5498" s="18" t="s">
        <v>154</v>
      </c>
    </row>
    <row r="5499" spans="1:14" ht="15" customHeight="1" x14ac:dyDescent="0.3">
      <c r="A5499" s="18" t="s">
        <v>10303</v>
      </c>
      <c r="B5499" s="19" t="s">
        <v>15</v>
      </c>
      <c r="C5499" s="18" t="s">
        <v>149</v>
      </c>
      <c r="D5499" s="18" t="s">
        <v>116</v>
      </c>
      <c r="E5499" s="18" t="s">
        <v>55</v>
      </c>
      <c r="F5499" s="18" t="s">
        <v>10318</v>
      </c>
      <c r="G5499" s="18" t="s">
        <v>606</v>
      </c>
      <c r="H5499" s="18" t="s">
        <v>8159</v>
      </c>
      <c r="I5499" s="20" t="s">
        <v>10430</v>
      </c>
      <c r="J5499" s="18" t="s">
        <v>58</v>
      </c>
      <c r="K5499" s="18" t="s">
        <v>24</v>
      </c>
      <c r="L5499" s="18" t="s">
        <v>25</v>
      </c>
      <c r="N5499" s="18" t="s">
        <v>154</v>
      </c>
    </row>
    <row r="5500" spans="1:14" ht="15" customHeight="1" x14ac:dyDescent="0.3">
      <c r="A5500" s="18" t="s">
        <v>10303</v>
      </c>
      <c r="B5500" s="19" t="s">
        <v>15</v>
      </c>
      <c r="C5500" s="18" t="s">
        <v>149</v>
      </c>
      <c r="D5500" s="18" t="s">
        <v>116</v>
      </c>
      <c r="E5500" s="18" t="s">
        <v>55</v>
      </c>
      <c r="F5500" s="18" t="s">
        <v>10431</v>
      </c>
      <c r="G5500" s="18" t="s">
        <v>606</v>
      </c>
      <c r="H5500" s="18" t="s">
        <v>8159</v>
      </c>
      <c r="I5500" s="20" t="s">
        <v>10432</v>
      </c>
      <c r="J5500" s="18" t="s">
        <v>58</v>
      </c>
      <c r="K5500" s="18" t="s">
        <v>24</v>
      </c>
      <c r="L5500" s="18" t="s">
        <v>25</v>
      </c>
      <c r="N5500" s="18" t="s">
        <v>154</v>
      </c>
    </row>
    <row r="5501" spans="1:14" ht="15" customHeight="1" x14ac:dyDescent="0.3">
      <c r="A5501" s="18" t="s">
        <v>10303</v>
      </c>
      <c r="B5501" s="19" t="s">
        <v>15</v>
      </c>
      <c r="C5501" s="18" t="s">
        <v>149</v>
      </c>
      <c r="D5501" s="18" t="s">
        <v>116</v>
      </c>
      <c r="E5501" s="18" t="s">
        <v>55</v>
      </c>
      <c r="F5501" s="18" t="s">
        <v>10433</v>
      </c>
      <c r="G5501" s="18" t="s">
        <v>19</v>
      </c>
      <c r="H5501" s="18" t="s">
        <v>10306</v>
      </c>
      <c r="I5501" s="20" t="s">
        <v>10434</v>
      </c>
      <c r="J5501" s="18" t="s">
        <v>58</v>
      </c>
      <c r="K5501" s="18" t="s">
        <v>24</v>
      </c>
      <c r="L5501" s="18" t="s">
        <v>25</v>
      </c>
      <c r="N5501" s="18" t="s">
        <v>154</v>
      </c>
    </row>
    <row r="5502" spans="1:14" ht="15" customHeight="1" x14ac:dyDescent="0.3">
      <c r="A5502" s="18" t="s">
        <v>10303</v>
      </c>
      <c r="B5502" s="19" t="s">
        <v>15</v>
      </c>
      <c r="C5502" s="18" t="s">
        <v>149</v>
      </c>
      <c r="D5502" s="18" t="s">
        <v>116</v>
      </c>
      <c r="E5502" s="18" t="s">
        <v>55</v>
      </c>
      <c r="F5502" s="18" t="s">
        <v>10435</v>
      </c>
      <c r="G5502" s="18" t="s">
        <v>47</v>
      </c>
      <c r="H5502" s="18" t="s">
        <v>8159</v>
      </c>
      <c r="I5502" s="20" t="s">
        <v>10436</v>
      </c>
      <c r="J5502" s="18" t="s">
        <v>58</v>
      </c>
      <c r="K5502" s="18" t="s">
        <v>24</v>
      </c>
      <c r="L5502" s="18" t="s">
        <v>25</v>
      </c>
      <c r="N5502" s="18" t="s">
        <v>154</v>
      </c>
    </row>
    <row r="5503" spans="1:14" ht="15" customHeight="1" x14ac:dyDescent="0.3">
      <c r="A5503" s="18" t="s">
        <v>10303</v>
      </c>
      <c r="B5503" s="19" t="s">
        <v>15</v>
      </c>
      <c r="C5503" s="18" t="s">
        <v>149</v>
      </c>
      <c r="D5503" s="18" t="s">
        <v>116</v>
      </c>
      <c r="E5503" s="18" t="s">
        <v>55</v>
      </c>
      <c r="F5503" s="18" t="s">
        <v>10437</v>
      </c>
      <c r="G5503" s="18" t="s">
        <v>423</v>
      </c>
      <c r="H5503" s="18" t="s">
        <v>8559</v>
      </c>
      <c r="I5503" s="20" t="s">
        <v>10438</v>
      </c>
      <c r="J5503" s="18" t="s">
        <v>58</v>
      </c>
      <c r="K5503" s="18" t="s">
        <v>24</v>
      </c>
      <c r="L5503" s="18" t="s">
        <v>25</v>
      </c>
      <c r="N5503" s="18" t="s">
        <v>154</v>
      </c>
    </row>
    <row r="5504" spans="1:14" ht="15" customHeight="1" x14ac:dyDescent="0.3">
      <c r="A5504" s="18" t="s">
        <v>10303</v>
      </c>
      <c r="B5504" s="19" t="s">
        <v>15</v>
      </c>
      <c r="C5504" s="18" t="s">
        <v>149</v>
      </c>
      <c r="D5504" s="18" t="s">
        <v>116</v>
      </c>
      <c r="E5504" s="18" t="s">
        <v>55</v>
      </c>
      <c r="F5504" s="18" t="s">
        <v>6164</v>
      </c>
      <c r="G5504" s="18" t="s">
        <v>47</v>
      </c>
      <c r="H5504" s="18" t="s">
        <v>8159</v>
      </c>
      <c r="I5504" s="20" t="s">
        <v>10439</v>
      </c>
      <c r="J5504" s="18" t="s">
        <v>58</v>
      </c>
      <c r="K5504" s="18" t="s">
        <v>24</v>
      </c>
      <c r="L5504" s="18" t="s">
        <v>25</v>
      </c>
      <c r="N5504" s="18" t="s">
        <v>154</v>
      </c>
    </row>
    <row r="5505" spans="1:14" ht="15" customHeight="1" x14ac:dyDescent="0.3">
      <c r="A5505" s="18" t="s">
        <v>10303</v>
      </c>
      <c r="B5505" s="19" t="s">
        <v>15</v>
      </c>
      <c r="C5505" s="18" t="s">
        <v>149</v>
      </c>
      <c r="D5505" s="18" t="s">
        <v>116</v>
      </c>
      <c r="E5505" s="18" t="s">
        <v>55</v>
      </c>
      <c r="F5505" s="18" t="s">
        <v>5438</v>
      </c>
      <c r="G5505" s="18" t="s">
        <v>913</v>
      </c>
      <c r="H5505" s="18" t="s">
        <v>10306</v>
      </c>
      <c r="I5505" s="20" t="s">
        <v>10440</v>
      </c>
      <c r="J5505" s="18" t="s">
        <v>58</v>
      </c>
      <c r="K5505" s="18" t="s">
        <v>24</v>
      </c>
      <c r="L5505" s="18" t="s">
        <v>25</v>
      </c>
      <c r="N5505" s="18" t="s">
        <v>154</v>
      </c>
    </row>
    <row r="5506" spans="1:14" ht="15" customHeight="1" x14ac:dyDescent="0.3">
      <c r="A5506" s="18" t="s">
        <v>10303</v>
      </c>
      <c r="B5506" s="19" t="s">
        <v>15</v>
      </c>
      <c r="C5506" s="18" t="s">
        <v>149</v>
      </c>
      <c r="D5506" s="18" t="s">
        <v>116</v>
      </c>
      <c r="E5506" s="18" t="s">
        <v>55</v>
      </c>
      <c r="F5506" s="18" t="s">
        <v>6324</v>
      </c>
      <c r="G5506" s="18" t="s">
        <v>1130</v>
      </c>
      <c r="H5506" s="18" t="s">
        <v>7602</v>
      </c>
      <c r="I5506" s="20" t="s">
        <v>10441</v>
      </c>
      <c r="J5506" s="18" t="s">
        <v>58</v>
      </c>
      <c r="K5506" s="18" t="s">
        <v>24</v>
      </c>
      <c r="L5506" s="18" t="s">
        <v>25</v>
      </c>
      <c r="N5506" s="18" t="s">
        <v>154</v>
      </c>
    </row>
    <row r="5507" spans="1:14" ht="15" customHeight="1" x14ac:dyDescent="0.3">
      <c r="A5507" s="18" t="s">
        <v>10303</v>
      </c>
      <c r="B5507" s="19" t="s">
        <v>15</v>
      </c>
      <c r="C5507" s="18" t="s">
        <v>149</v>
      </c>
      <c r="D5507" s="18" t="s">
        <v>116</v>
      </c>
      <c r="E5507" s="18" t="s">
        <v>55</v>
      </c>
      <c r="F5507" s="18" t="s">
        <v>273</v>
      </c>
      <c r="G5507" s="18" t="s">
        <v>273</v>
      </c>
      <c r="H5507" s="18" t="s">
        <v>8434</v>
      </c>
      <c r="I5507" s="20" t="s">
        <v>10442</v>
      </c>
      <c r="J5507" s="18" t="s">
        <v>58</v>
      </c>
      <c r="K5507" s="18" t="s">
        <v>24</v>
      </c>
      <c r="L5507" s="18" t="s">
        <v>25</v>
      </c>
      <c r="N5507" s="18" t="s">
        <v>154</v>
      </c>
    </row>
    <row r="5508" spans="1:14" ht="15" customHeight="1" x14ac:dyDescent="0.3">
      <c r="A5508" s="18" t="s">
        <v>10303</v>
      </c>
      <c r="B5508" s="19" t="s">
        <v>15</v>
      </c>
      <c r="C5508" s="18" t="s">
        <v>149</v>
      </c>
      <c r="D5508" s="18" t="s">
        <v>116</v>
      </c>
      <c r="E5508" s="18" t="s">
        <v>55</v>
      </c>
      <c r="F5508" s="18" t="s">
        <v>10443</v>
      </c>
      <c r="G5508" s="18" t="s">
        <v>19</v>
      </c>
      <c r="H5508" s="18" t="s">
        <v>10306</v>
      </c>
      <c r="I5508" s="20" t="s">
        <v>10444</v>
      </c>
      <c r="J5508" s="18" t="s">
        <v>58</v>
      </c>
      <c r="K5508" s="18" t="s">
        <v>24</v>
      </c>
      <c r="L5508" s="18" t="s">
        <v>25</v>
      </c>
      <c r="N5508" s="18" t="s">
        <v>154</v>
      </c>
    </row>
    <row r="5509" spans="1:14" ht="15" customHeight="1" x14ac:dyDescent="0.3">
      <c r="A5509" s="18" t="s">
        <v>10303</v>
      </c>
      <c r="B5509" s="19" t="s">
        <v>15</v>
      </c>
      <c r="C5509" s="18" t="s">
        <v>149</v>
      </c>
      <c r="D5509" s="18" t="s">
        <v>116</v>
      </c>
      <c r="E5509" s="18" t="s">
        <v>55</v>
      </c>
      <c r="F5509" s="18" t="s">
        <v>10445</v>
      </c>
      <c r="G5509" s="18" t="s">
        <v>606</v>
      </c>
      <c r="H5509" s="18" t="s">
        <v>10383</v>
      </c>
      <c r="I5509" s="20" t="s">
        <v>10446</v>
      </c>
      <c r="J5509" s="18" t="s">
        <v>58</v>
      </c>
      <c r="K5509" s="18" t="s">
        <v>24</v>
      </c>
      <c r="L5509" s="18" t="s">
        <v>25</v>
      </c>
      <c r="N5509" s="18" t="s">
        <v>154</v>
      </c>
    </row>
    <row r="5510" spans="1:14" ht="15" customHeight="1" x14ac:dyDescent="0.3">
      <c r="A5510" s="18" t="s">
        <v>10303</v>
      </c>
      <c r="B5510" s="19" t="s">
        <v>15</v>
      </c>
      <c r="C5510" s="18" t="s">
        <v>149</v>
      </c>
      <c r="D5510" s="18" t="s">
        <v>116</v>
      </c>
      <c r="E5510" s="18" t="s">
        <v>55</v>
      </c>
      <c r="F5510" s="18" t="s">
        <v>4800</v>
      </c>
      <c r="G5510" s="18" t="s">
        <v>7647</v>
      </c>
      <c r="H5510" s="18" t="s">
        <v>8159</v>
      </c>
      <c r="I5510" s="20" t="s">
        <v>10447</v>
      </c>
      <c r="J5510" s="18" t="s">
        <v>58</v>
      </c>
      <c r="K5510" s="18" t="s">
        <v>24</v>
      </c>
      <c r="L5510" s="18" t="s">
        <v>25</v>
      </c>
      <c r="N5510" s="18" t="s">
        <v>154</v>
      </c>
    </row>
    <row r="5511" spans="1:14" ht="15" customHeight="1" x14ac:dyDescent="0.3">
      <c r="A5511" s="18" t="s">
        <v>10303</v>
      </c>
      <c r="B5511" s="19" t="s">
        <v>15</v>
      </c>
      <c r="C5511" s="18" t="s">
        <v>149</v>
      </c>
      <c r="D5511" s="18" t="s">
        <v>116</v>
      </c>
      <c r="E5511" s="18" t="s">
        <v>55</v>
      </c>
      <c r="F5511" s="18" t="s">
        <v>10448</v>
      </c>
      <c r="G5511" s="18" t="s">
        <v>625</v>
      </c>
      <c r="H5511" s="18" t="s">
        <v>10383</v>
      </c>
      <c r="I5511" s="20" t="s">
        <v>10449</v>
      </c>
      <c r="J5511" s="18" t="s">
        <v>58</v>
      </c>
      <c r="K5511" s="18" t="s">
        <v>24</v>
      </c>
      <c r="L5511" s="18" t="s">
        <v>25</v>
      </c>
      <c r="N5511" s="18" t="s">
        <v>154</v>
      </c>
    </row>
    <row r="5512" spans="1:14" ht="15" customHeight="1" x14ac:dyDescent="0.3">
      <c r="A5512" s="18" t="s">
        <v>10303</v>
      </c>
      <c r="B5512" s="19" t="s">
        <v>15</v>
      </c>
      <c r="C5512" s="18" t="s">
        <v>149</v>
      </c>
      <c r="D5512" s="18" t="s">
        <v>116</v>
      </c>
      <c r="E5512" s="18" t="s">
        <v>55</v>
      </c>
      <c r="F5512" s="18" t="s">
        <v>10450</v>
      </c>
      <c r="G5512" s="18" t="s">
        <v>6324</v>
      </c>
      <c r="H5512" s="18" t="s">
        <v>8559</v>
      </c>
      <c r="I5512" s="20" t="s">
        <v>10451</v>
      </c>
      <c r="J5512" s="18" t="s">
        <v>58</v>
      </c>
      <c r="K5512" s="18" t="s">
        <v>24</v>
      </c>
      <c r="L5512" s="18" t="s">
        <v>25</v>
      </c>
      <c r="N5512" s="18" t="s">
        <v>154</v>
      </c>
    </row>
    <row r="5513" spans="1:14" ht="15" customHeight="1" x14ac:dyDescent="0.3">
      <c r="A5513" s="18" t="s">
        <v>10303</v>
      </c>
      <c r="B5513" s="19" t="s">
        <v>15</v>
      </c>
      <c r="C5513" s="18" t="s">
        <v>149</v>
      </c>
      <c r="D5513" s="18" t="s">
        <v>116</v>
      </c>
      <c r="E5513" s="18" t="s">
        <v>55</v>
      </c>
      <c r="F5513" s="18" t="s">
        <v>10452</v>
      </c>
      <c r="G5513" s="18" t="s">
        <v>6324</v>
      </c>
      <c r="H5513" s="18" t="s">
        <v>8420</v>
      </c>
      <c r="I5513" s="20" t="s">
        <v>10453</v>
      </c>
      <c r="J5513" s="18" t="s">
        <v>58</v>
      </c>
      <c r="K5513" s="18" t="s">
        <v>24</v>
      </c>
      <c r="L5513" s="18" t="s">
        <v>25</v>
      </c>
      <c r="N5513" s="18" t="s">
        <v>154</v>
      </c>
    </row>
    <row r="5514" spans="1:14" ht="15" customHeight="1" x14ac:dyDescent="0.3">
      <c r="A5514" s="18" t="s">
        <v>10303</v>
      </c>
      <c r="B5514" s="19" t="s">
        <v>15</v>
      </c>
      <c r="C5514" s="18" t="s">
        <v>149</v>
      </c>
      <c r="D5514" s="18" t="s">
        <v>116</v>
      </c>
      <c r="E5514" s="18" t="s">
        <v>55</v>
      </c>
      <c r="F5514" s="18" t="s">
        <v>8376</v>
      </c>
      <c r="G5514" s="18" t="s">
        <v>85</v>
      </c>
      <c r="H5514" s="18" t="s">
        <v>7602</v>
      </c>
      <c r="I5514" s="20" t="s">
        <v>10454</v>
      </c>
      <c r="J5514" s="18" t="s">
        <v>58</v>
      </c>
      <c r="K5514" s="18" t="s">
        <v>24</v>
      </c>
      <c r="L5514" s="18" t="s">
        <v>25</v>
      </c>
      <c r="N5514" s="18" t="s">
        <v>154</v>
      </c>
    </row>
    <row r="5515" spans="1:14" ht="15" customHeight="1" x14ac:dyDescent="0.3">
      <c r="A5515" s="18" t="s">
        <v>10303</v>
      </c>
      <c r="B5515" s="19" t="s">
        <v>15</v>
      </c>
      <c r="C5515" s="18" t="s">
        <v>149</v>
      </c>
      <c r="D5515" s="18" t="s">
        <v>116</v>
      </c>
      <c r="E5515" s="18" t="s">
        <v>55</v>
      </c>
      <c r="F5515" s="18" t="s">
        <v>10455</v>
      </c>
      <c r="G5515" s="18" t="s">
        <v>88</v>
      </c>
      <c r="H5515" s="18" t="s">
        <v>8429</v>
      </c>
      <c r="I5515" s="20" t="s">
        <v>10456</v>
      </c>
      <c r="J5515" s="18" t="s">
        <v>58</v>
      </c>
      <c r="K5515" s="18" t="s">
        <v>24</v>
      </c>
      <c r="L5515" s="18" t="s">
        <v>25</v>
      </c>
      <c r="N5515" s="18" t="s">
        <v>154</v>
      </c>
    </row>
    <row r="5516" spans="1:14" ht="15" customHeight="1" x14ac:dyDescent="0.3">
      <c r="A5516" s="18" t="s">
        <v>10303</v>
      </c>
      <c r="B5516" s="19" t="s">
        <v>15</v>
      </c>
      <c r="C5516" s="18" t="s">
        <v>149</v>
      </c>
      <c r="D5516" s="18" t="s">
        <v>116</v>
      </c>
      <c r="E5516" s="18" t="s">
        <v>55</v>
      </c>
      <c r="F5516" s="18" t="s">
        <v>6768</v>
      </c>
      <c r="G5516" s="18" t="s">
        <v>1059</v>
      </c>
      <c r="H5516" s="18" t="s">
        <v>8416</v>
      </c>
      <c r="I5516" s="20" t="s">
        <v>10457</v>
      </c>
      <c r="J5516" s="18" t="s">
        <v>58</v>
      </c>
      <c r="K5516" s="18" t="s">
        <v>24</v>
      </c>
      <c r="L5516" s="18" t="s">
        <v>25</v>
      </c>
      <c r="N5516" s="18" t="s">
        <v>154</v>
      </c>
    </row>
    <row r="5517" spans="1:14" ht="15" customHeight="1" x14ac:dyDescent="0.3">
      <c r="A5517" s="18" t="s">
        <v>10303</v>
      </c>
      <c r="B5517" s="19" t="s">
        <v>15</v>
      </c>
      <c r="C5517" s="18" t="s">
        <v>149</v>
      </c>
      <c r="D5517" s="18" t="s">
        <v>116</v>
      </c>
      <c r="E5517" s="18" t="s">
        <v>55</v>
      </c>
      <c r="F5517" s="18" t="s">
        <v>391</v>
      </c>
      <c r="G5517" s="18" t="s">
        <v>433</v>
      </c>
      <c r="H5517" s="18" t="s">
        <v>8559</v>
      </c>
      <c r="I5517" s="20" t="s">
        <v>10458</v>
      </c>
      <c r="J5517" s="18" t="s">
        <v>58</v>
      </c>
      <c r="K5517" s="18" t="s">
        <v>24</v>
      </c>
      <c r="L5517" s="18" t="s">
        <v>25</v>
      </c>
      <c r="N5517" s="18" t="s">
        <v>154</v>
      </c>
    </row>
    <row r="5518" spans="1:14" ht="15" customHeight="1" x14ac:dyDescent="0.3">
      <c r="A5518" s="18" t="s">
        <v>10303</v>
      </c>
      <c r="B5518" s="19" t="s">
        <v>15</v>
      </c>
      <c r="C5518" s="18" t="s">
        <v>149</v>
      </c>
      <c r="D5518" s="18" t="s">
        <v>116</v>
      </c>
      <c r="E5518" s="18" t="s">
        <v>55</v>
      </c>
      <c r="F5518" s="18" t="s">
        <v>10459</v>
      </c>
      <c r="G5518" s="18" t="s">
        <v>433</v>
      </c>
      <c r="H5518" s="18" t="s">
        <v>8559</v>
      </c>
      <c r="I5518" s="20" t="s">
        <v>10460</v>
      </c>
      <c r="J5518" s="18" t="s">
        <v>58</v>
      </c>
      <c r="K5518" s="18" t="s">
        <v>24</v>
      </c>
      <c r="L5518" s="18" t="s">
        <v>25</v>
      </c>
      <c r="N5518" s="18" t="s">
        <v>154</v>
      </c>
    </row>
    <row r="5519" spans="1:14" ht="15" customHeight="1" x14ac:dyDescent="0.3">
      <c r="A5519" s="18" t="s">
        <v>10303</v>
      </c>
      <c r="B5519" s="19" t="s">
        <v>15</v>
      </c>
      <c r="C5519" s="18" t="s">
        <v>149</v>
      </c>
      <c r="D5519" s="18" t="s">
        <v>116</v>
      </c>
      <c r="E5519" s="18" t="s">
        <v>55</v>
      </c>
      <c r="F5519" s="18" t="s">
        <v>9773</v>
      </c>
      <c r="G5519" s="18" t="s">
        <v>1055</v>
      </c>
      <c r="H5519" s="18" t="s">
        <v>8420</v>
      </c>
      <c r="I5519" s="20" t="s">
        <v>10461</v>
      </c>
      <c r="J5519" s="18" t="s">
        <v>73</v>
      </c>
      <c r="K5519" s="18" t="s">
        <v>24</v>
      </c>
      <c r="L5519" s="18" t="s">
        <v>25</v>
      </c>
      <c r="N5519" s="18" t="s">
        <v>154</v>
      </c>
    </row>
    <row r="5520" spans="1:14" ht="15" customHeight="1" x14ac:dyDescent="0.3">
      <c r="A5520" s="18" t="s">
        <v>10303</v>
      </c>
      <c r="B5520" s="19" t="s">
        <v>15</v>
      </c>
      <c r="C5520" s="18" t="s">
        <v>149</v>
      </c>
      <c r="D5520" s="18" t="s">
        <v>116</v>
      </c>
      <c r="E5520" s="18" t="s">
        <v>55</v>
      </c>
      <c r="F5520" s="18" t="s">
        <v>10462</v>
      </c>
      <c r="G5520" s="18" t="s">
        <v>3138</v>
      </c>
      <c r="H5520" s="18" t="s">
        <v>8164</v>
      </c>
      <c r="I5520" s="20" t="s">
        <v>10463</v>
      </c>
      <c r="J5520" s="18" t="s">
        <v>58</v>
      </c>
      <c r="K5520" s="18" t="s">
        <v>24</v>
      </c>
      <c r="L5520" s="18" t="s">
        <v>25</v>
      </c>
      <c r="N5520" s="18" t="s">
        <v>154</v>
      </c>
    </row>
    <row r="5521" spans="1:14" ht="15" customHeight="1" x14ac:dyDescent="0.3">
      <c r="A5521" s="18" t="s">
        <v>10303</v>
      </c>
      <c r="B5521" s="19" t="s">
        <v>15</v>
      </c>
      <c r="C5521" s="18" t="s">
        <v>149</v>
      </c>
      <c r="D5521" s="18" t="s">
        <v>116</v>
      </c>
      <c r="E5521" s="18" t="s">
        <v>55</v>
      </c>
      <c r="F5521" s="18" t="s">
        <v>10464</v>
      </c>
      <c r="G5521" s="18" t="s">
        <v>1055</v>
      </c>
      <c r="H5521" s="18" t="s">
        <v>8434</v>
      </c>
      <c r="I5521" s="20" t="s">
        <v>10465</v>
      </c>
      <c r="J5521" s="18" t="s">
        <v>199</v>
      </c>
      <c r="K5521" s="18" t="s">
        <v>24</v>
      </c>
      <c r="L5521" s="18" t="s">
        <v>25</v>
      </c>
      <c r="N5521" s="18" t="s">
        <v>154</v>
      </c>
    </row>
    <row r="5522" spans="1:14" ht="15" customHeight="1" x14ac:dyDescent="0.3">
      <c r="A5522" s="18" t="s">
        <v>10303</v>
      </c>
      <c r="B5522" s="19" t="s">
        <v>15</v>
      </c>
      <c r="C5522" s="18" t="s">
        <v>149</v>
      </c>
      <c r="D5522" s="18" t="s">
        <v>116</v>
      </c>
      <c r="E5522" s="18" t="s">
        <v>55</v>
      </c>
      <c r="F5522" s="18" t="s">
        <v>10466</v>
      </c>
      <c r="G5522" s="18" t="s">
        <v>1291</v>
      </c>
      <c r="H5522" s="18" t="s">
        <v>8835</v>
      </c>
      <c r="I5522" s="20" t="s">
        <v>10467</v>
      </c>
      <c r="J5522" s="18" t="s">
        <v>58</v>
      </c>
      <c r="K5522" s="18" t="s">
        <v>24</v>
      </c>
      <c r="L5522" s="18" t="s">
        <v>25</v>
      </c>
      <c r="N5522" s="18" t="s">
        <v>154</v>
      </c>
    </row>
    <row r="5523" spans="1:14" ht="15" customHeight="1" x14ac:dyDescent="0.3">
      <c r="A5523" s="18" t="s">
        <v>10303</v>
      </c>
      <c r="B5523" s="19" t="s">
        <v>15</v>
      </c>
      <c r="C5523" s="18" t="s">
        <v>149</v>
      </c>
      <c r="D5523" s="18" t="s">
        <v>116</v>
      </c>
      <c r="E5523" s="18" t="s">
        <v>55</v>
      </c>
      <c r="F5523" s="18" t="s">
        <v>10468</v>
      </c>
      <c r="G5523" s="18" t="s">
        <v>28</v>
      </c>
      <c r="H5523" s="18" t="s">
        <v>8164</v>
      </c>
      <c r="I5523" s="20" t="s">
        <v>10469</v>
      </c>
      <c r="J5523" s="18" t="s">
        <v>58</v>
      </c>
      <c r="K5523" s="18" t="s">
        <v>24</v>
      </c>
      <c r="L5523" s="18" t="s">
        <v>25</v>
      </c>
      <c r="N5523" s="18" t="s">
        <v>154</v>
      </c>
    </row>
    <row r="5524" spans="1:14" ht="15" customHeight="1" x14ac:dyDescent="0.3">
      <c r="A5524" s="18" t="s">
        <v>10303</v>
      </c>
      <c r="B5524" s="19" t="s">
        <v>15</v>
      </c>
      <c r="C5524" s="18" t="s">
        <v>149</v>
      </c>
      <c r="D5524" s="18" t="s">
        <v>116</v>
      </c>
      <c r="E5524" s="18" t="s">
        <v>55</v>
      </c>
      <c r="F5524" s="18" t="s">
        <v>10470</v>
      </c>
      <c r="G5524" s="18" t="s">
        <v>1291</v>
      </c>
      <c r="H5524" s="18" t="s">
        <v>8835</v>
      </c>
      <c r="I5524" s="20" t="s">
        <v>10471</v>
      </c>
      <c r="J5524" s="18" t="s">
        <v>58</v>
      </c>
      <c r="K5524" s="18" t="s">
        <v>24</v>
      </c>
      <c r="L5524" s="18" t="s">
        <v>25</v>
      </c>
      <c r="N5524" s="18" t="s">
        <v>154</v>
      </c>
    </row>
    <row r="5525" spans="1:14" ht="15" customHeight="1" x14ac:dyDescent="0.3">
      <c r="A5525" s="18" t="s">
        <v>10303</v>
      </c>
      <c r="B5525" s="19" t="s">
        <v>15</v>
      </c>
      <c r="C5525" s="18" t="s">
        <v>149</v>
      </c>
      <c r="D5525" s="18" t="s">
        <v>116</v>
      </c>
      <c r="E5525" s="18" t="s">
        <v>55</v>
      </c>
      <c r="F5525" s="18" t="s">
        <v>10472</v>
      </c>
      <c r="G5525" s="18" t="s">
        <v>1291</v>
      </c>
      <c r="H5525" s="18" t="s">
        <v>8835</v>
      </c>
      <c r="I5525" s="20" t="s">
        <v>10473</v>
      </c>
      <c r="J5525" s="18" t="s">
        <v>58</v>
      </c>
      <c r="K5525" s="18" t="s">
        <v>24</v>
      </c>
      <c r="L5525" s="18" t="s">
        <v>25</v>
      </c>
      <c r="N5525" s="18" t="s">
        <v>154</v>
      </c>
    </row>
    <row r="5526" spans="1:14" ht="15" customHeight="1" x14ac:dyDescent="0.3">
      <c r="A5526" s="18" t="s">
        <v>10303</v>
      </c>
      <c r="B5526" s="19" t="s">
        <v>15</v>
      </c>
      <c r="C5526" s="18" t="s">
        <v>149</v>
      </c>
      <c r="D5526" s="18" t="s">
        <v>116</v>
      </c>
      <c r="E5526" s="18" t="s">
        <v>55</v>
      </c>
      <c r="F5526" s="18" t="s">
        <v>10474</v>
      </c>
      <c r="G5526" s="18" t="s">
        <v>2248</v>
      </c>
      <c r="H5526" s="18" t="s">
        <v>8159</v>
      </c>
      <c r="I5526" s="20" t="s">
        <v>10475</v>
      </c>
      <c r="J5526" s="18" t="s">
        <v>58</v>
      </c>
      <c r="K5526" s="18" t="s">
        <v>24</v>
      </c>
      <c r="L5526" s="18" t="s">
        <v>25</v>
      </c>
      <c r="M5526" s="18" t="s">
        <v>39</v>
      </c>
      <c r="N5526" s="18" t="s">
        <v>154</v>
      </c>
    </row>
    <row r="5527" spans="1:14" ht="15" customHeight="1" x14ac:dyDescent="0.3">
      <c r="A5527" s="18" t="s">
        <v>10303</v>
      </c>
      <c r="B5527" s="19" t="s">
        <v>15</v>
      </c>
      <c r="C5527" s="18" t="s">
        <v>149</v>
      </c>
      <c r="D5527" s="18" t="s">
        <v>116</v>
      </c>
      <c r="E5527" s="18" t="s">
        <v>55</v>
      </c>
      <c r="F5527" s="18" t="s">
        <v>619</v>
      </c>
      <c r="G5527" s="18" t="s">
        <v>619</v>
      </c>
      <c r="H5527" s="18" t="s">
        <v>8416</v>
      </c>
      <c r="I5527" s="20" t="s">
        <v>10476</v>
      </c>
      <c r="J5527" s="18" t="s">
        <v>58</v>
      </c>
      <c r="K5527" s="18" t="s">
        <v>24</v>
      </c>
      <c r="L5527" s="18" t="s">
        <v>25</v>
      </c>
      <c r="N5527" s="18" t="s">
        <v>154</v>
      </c>
    </row>
    <row r="5528" spans="1:14" ht="15" customHeight="1" x14ac:dyDescent="0.3">
      <c r="A5528" s="18" t="s">
        <v>10303</v>
      </c>
      <c r="B5528" s="19" t="s">
        <v>15</v>
      </c>
      <c r="C5528" s="18" t="s">
        <v>149</v>
      </c>
      <c r="D5528" s="18" t="s">
        <v>116</v>
      </c>
      <c r="E5528" s="18" t="s">
        <v>55</v>
      </c>
      <c r="F5528" s="18" t="s">
        <v>10477</v>
      </c>
      <c r="G5528" s="18" t="s">
        <v>7668</v>
      </c>
      <c r="H5528" s="18" t="s">
        <v>8159</v>
      </c>
      <c r="I5528" s="20" t="s">
        <v>10478</v>
      </c>
      <c r="J5528" s="18" t="s">
        <v>58</v>
      </c>
      <c r="K5528" s="18" t="s">
        <v>24</v>
      </c>
      <c r="L5528" s="18" t="s">
        <v>25</v>
      </c>
      <c r="N5528" s="18" t="s">
        <v>154</v>
      </c>
    </row>
    <row r="5529" spans="1:14" ht="15" customHeight="1" x14ac:dyDescent="0.3">
      <c r="A5529" s="18" t="s">
        <v>10303</v>
      </c>
      <c r="B5529" s="19" t="s">
        <v>15</v>
      </c>
      <c r="C5529" s="18" t="s">
        <v>149</v>
      </c>
      <c r="D5529" s="18" t="s">
        <v>116</v>
      </c>
      <c r="E5529" s="18" t="s">
        <v>55</v>
      </c>
      <c r="F5529" s="18" t="s">
        <v>1069</v>
      </c>
      <c r="G5529" s="18" t="s">
        <v>1069</v>
      </c>
      <c r="H5529" s="18" t="s">
        <v>7602</v>
      </c>
      <c r="I5529" s="20" t="s">
        <v>10479</v>
      </c>
      <c r="J5529" s="18" t="s">
        <v>58</v>
      </c>
      <c r="K5529" s="18" t="s">
        <v>24</v>
      </c>
      <c r="L5529" s="18" t="s">
        <v>25</v>
      </c>
      <c r="N5529" s="18" t="s">
        <v>154</v>
      </c>
    </row>
    <row r="5530" spans="1:14" ht="15" customHeight="1" x14ac:dyDescent="0.3">
      <c r="A5530" s="18" t="s">
        <v>10303</v>
      </c>
      <c r="B5530" s="19" t="s">
        <v>15</v>
      </c>
      <c r="C5530" s="18" t="s">
        <v>149</v>
      </c>
      <c r="D5530" s="18" t="s">
        <v>116</v>
      </c>
      <c r="E5530" s="18" t="s">
        <v>55</v>
      </c>
      <c r="F5530" s="18" t="s">
        <v>10480</v>
      </c>
      <c r="G5530" s="18" t="s">
        <v>1069</v>
      </c>
      <c r="H5530" s="18" t="s">
        <v>7602</v>
      </c>
      <c r="I5530" s="20" t="s">
        <v>10481</v>
      </c>
      <c r="J5530" s="18" t="s">
        <v>58</v>
      </c>
      <c r="K5530" s="18" t="s">
        <v>24</v>
      </c>
      <c r="L5530" s="18" t="s">
        <v>25</v>
      </c>
      <c r="N5530" s="18" t="s">
        <v>154</v>
      </c>
    </row>
    <row r="5531" spans="1:14" ht="15" customHeight="1" x14ac:dyDescent="0.3">
      <c r="A5531" s="18" t="s">
        <v>10303</v>
      </c>
      <c r="B5531" s="19" t="s">
        <v>15</v>
      </c>
      <c r="C5531" s="18" t="s">
        <v>149</v>
      </c>
      <c r="D5531" s="18" t="s">
        <v>116</v>
      </c>
      <c r="E5531" s="18" t="s">
        <v>55</v>
      </c>
      <c r="F5531" s="18" t="s">
        <v>10482</v>
      </c>
      <c r="G5531" s="18" t="s">
        <v>1069</v>
      </c>
      <c r="H5531" s="18" t="s">
        <v>7602</v>
      </c>
      <c r="I5531" s="20" t="s">
        <v>10483</v>
      </c>
      <c r="J5531" s="18" t="s">
        <v>58</v>
      </c>
      <c r="K5531" s="18" t="s">
        <v>24</v>
      </c>
      <c r="L5531" s="18" t="s">
        <v>25</v>
      </c>
      <c r="N5531" s="18" t="s">
        <v>154</v>
      </c>
    </row>
    <row r="5532" spans="1:14" ht="15" customHeight="1" x14ac:dyDescent="0.3">
      <c r="A5532" s="18" t="s">
        <v>10303</v>
      </c>
      <c r="B5532" s="19" t="s">
        <v>15</v>
      </c>
      <c r="C5532" s="18" t="s">
        <v>149</v>
      </c>
      <c r="D5532" s="18" t="s">
        <v>116</v>
      </c>
      <c r="E5532" s="18" t="s">
        <v>55</v>
      </c>
      <c r="F5532" s="18" t="s">
        <v>10484</v>
      </c>
      <c r="G5532" s="18" t="s">
        <v>1069</v>
      </c>
      <c r="H5532" s="18" t="s">
        <v>7602</v>
      </c>
      <c r="I5532" s="20" t="s">
        <v>10485</v>
      </c>
      <c r="J5532" s="18" t="s">
        <v>58</v>
      </c>
      <c r="K5532" s="18" t="s">
        <v>24</v>
      </c>
      <c r="L5532" s="18" t="s">
        <v>25</v>
      </c>
      <c r="N5532" s="18" t="s">
        <v>154</v>
      </c>
    </row>
    <row r="5533" spans="1:14" ht="15" customHeight="1" x14ac:dyDescent="0.3">
      <c r="A5533" s="18" t="s">
        <v>10303</v>
      </c>
      <c r="B5533" s="19" t="s">
        <v>15</v>
      </c>
      <c r="C5533" s="18" t="s">
        <v>149</v>
      </c>
      <c r="D5533" s="18" t="s">
        <v>116</v>
      </c>
      <c r="E5533" s="18" t="s">
        <v>55</v>
      </c>
      <c r="F5533" s="18" t="s">
        <v>10486</v>
      </c>
      <c r="G5533" s="18" t="s">
        <v>1069</v>
      </c>
      <c r="H5533" s="18" t="s">
        <v>7602</v>
      </c>
      <c r="I5533" s="20" t="s">
        <v>10487</v>
      </c>
      <c r="J5533" s="18" t="s">
        <v>58</v>
      </c>
      <c r="K5533" s="18" t="s">
        <v>24</v>
      </c>
      <c r="L5533" s="18" t="s">
        <v>25</v>
      </c>
      <c r="N5533" s="18" t="s">
        <v>154</v>
      </c>
    </row>
    <row r="5534" spans="1:14" ht="15" customHeight="1" x14ac:dyDescent="0.3">
      <c r="A5534" s="18" t="s">
        <v>10303</v>
      </c>
      <c r="B5534" s="19" t="s">
        <v>15</v>
      </c>
      <c r="C5534" s="18" t="s">
        <v>149</v>
      </c>
      <c r="D5534" s="18" t="s">
        <v>116</v>
      </c>
      <c r="E5534" s="18" t="s">
        <v>55</v>
      </c>
      <c r="F5534" s="18" t="s">
        <v>10488</v>
      </c>
      <c r="G5534" s="18" t="s">
        <v>1069</v>
      </c>
      <c r="H5534" s="18" t="s">
        <v>7602</v>
      </c>
      <c r="I5534" s="20" t="s">
        <v>10489</v>
      </c>
      <c r="J5534" s="18" t="s">
        <v>58</v>
      </c>
      <c r="K5534" s="18" t="s">
        <v>24</v>
      </c>
      <c r="L5534" s="18" t="s">
        <v>25</v>
      </c>
      <c r="N5534" s="18" t="s">
        <v>154</v>
      </c>
    </row>
    <row r="5535" spans="1:14" ht="15" customHeight="1" x14ac:dyDescent="0.3">
      <c r="A5535" s="18" t="s">
        <v>10303</v>
      </c>
      <c r="B5535" s="19" t="s">
        <v>15</v>
      </c>
      <c r="C5535" s="18" t="s">
        <v>149</v>
      </c>
      <c r="D5535" s="18" t="s">
        <v>116</v>
      </c>
      <c r="E5535" s="18" t="s">
        <v>55</v>
      </c>
      <c r="F5535" s="18" t="s">
        <v>10490</v>
      </c>
      <c r="G5535" s="18" t="s">
        <v>1069</v>
      </c>
      <c r="H5535" s="18" t="s">
        <v>7602</v>
      </c>
      <c r="I5535" s="20" t="s">
        <v>10491</v>
      </c>
      <c r="J5535" s="18" t="s">
        <v>58</v>
      </c>
      <c r="K5535" s="18" t="s">
        <v>24</v>
      </c>
      <c r="L5535" s="18" t="s">
        <v>25</v>
      </c>
      <c r="N5535" s="18" t="s">
        <v>154</v>
      </c>
    </row>
    <row r="5536" spans="1:14" ht="15" customHeight="1" x14ac:dyDescent="0.3">
      <c r="A5536" s="18" t="s">
        <v>10303</v>
      </c>
      <c r="B5536" s="19" t="s">
        <v>15</v>
      </c>
      <c r="C5536" s="18" t="s">
        <v>149</v>
      </c>
      <c r="D5536" s="18" t="s">
        <v>116</v>
      </c>
      <c r="E5536" s="18" t="s">
        <v>55</v>
      </c>
      <c r="F5536" s="18" t="s">
        <v>10492</v>
      </c>
      <c r="G5536" s="18" t="s">
        <v>1069</v>
      </c>
      <c r="H5536" s="18" t="s">
        <v>7602</v>
      </c>
      <c r="I5536" s="20" t="s">
        <v>10493</v>
      </c>
      <c r="J5536" s="18" t="s">
        <v>199</v>
      </c>
      <c r="K5536" s="18" t="s">
        <v>24</v>
      </c>
      <c r="L5536" s="18" t="s">
        <v>25</v>
      </c>
      <c r="N5536" s="18" t="s">
        <v>154</v>
      </c>
    </row>
    <row r="5537" spans="1:14" ht="15" customHeight="1" x14ac:dyDescent="0.3">
      <c r="A5537" s="18" t="s">
        <v>10303</v>
      </c>
      <c r="B5537" s="19" t="s">
        <v>15</v>
      </c>
      <c r="C5537" s="18" t="s">
        <v>149</v>
      </c>
      <c r="D5537" s="18" t="s">
        <v>116</v>
      </c>
      <c r="E5537" s="18" t="s">
        <v>55</v>
      </c>
      <c r="F5537" s="18" t="s">
        <v>10494</v>
      </c>
      <c r="G5537" s="18" t="s">
        <v>433</v>
      </c>
      <c r="H5537" s="18" t="s">
        <v>10306</v>
      </c>
      <c r="I5537" s="20" t="s">
        <v>10495</v>
      </c>
      <c r="J5537" s="18" t="s">
        <v>58</v>
      </c>
      <c r="K5537" s="18" t="s">
        <v>24</v>
      </c>
      <c r="L5537" s="18" t="s">
        <v>25</v>
      </c>
      <c r="N5537" s="18" t="s">
        <v>154</v>
      </c>
    </row>
    <row r="5538" spans="1:14" ht="15" customHeight="1" x14ac:dyDescent="0.3">
      <c r="A5538" s="18" t="s">
        <v>10303</v>
      </c>
      <c r="B5538" s="19" t="s">
        <v>15</v>
      </c>
      <c r="C5538" s="18" t="s">
        <v>149</v>
      </c>
      <c r="D5538" s="18" t="s">
        <v>116</v>
      </c>
      <c r="E5538" s="18" t="s">
        <v>55</v>
      </c>
      <c r="F5538" s="18" t="s">
        <v>10496</v>
      </c>
      <c r="G5538" s="18" t="s">
        <v>19</v>
      </c>
      <c r="H5538" s="18" t="s">
        <v>10306</v>
      </c>
      <c r="I5538" s="20" t="s">
        <v>10497</v>
      </c>
      <c r="J5538" s="18" t="s">
        <v>58</v>
      </c>
      <c r="K5538" s="18" t="s">
        <v>24</v>
      </c>
      <c r="L5538" s="18" t="s">
        <v>25</v>
      </c>
      <c r="N5538" s="18" t="s">
        <v>154</v>
      </c>
    </row>
    <row r="5539" spans="1:14" ht="15" customHeight="1" x14ac:dyDescent="0.3">
      <c r="A5539" s="18" t="s">
        <v>10303</v>
      </c>
      <c r="B5539" s="19" t="s">
        <v>15</v>
      </c>
      <c r="C5539" s="18" t="s">
        <v>149</v>
      </c>
      <c r="D5539" s="18" t="s">
        <v>116</v>
      </c>
      <c r="E5539" s="18" t="s">
        <v>55</v>
      </c>
      <c r="F5539" s="18" t="s">
        <v>10498</v>
      </c>
      <c r="G5539" s="18" t="s">
        <v>273</v>
      </c>
      <c r="H5539" s="18" t="s">
        <v>8434</v>
      </c>
      <c r="I5539" s="20" t="s">
        <v>10499</v>
      </c>
      <c r="J5539" s="18" t="s">
        <v>58</v>
      </c>
      <c r="K5539" s="18" t="s">
        <v>24</v>
      </c>
      <c r="L5539" s="18" t="s">
        <v>25</v>
      </c>
      <c r="N5539" s="18" t="s">
        <v>154</v>
      </c>
    </row>
    <row r="5540" spans="1:14" ht="15" customHeight="1" x14ac:dyDescent="0.3">
      <c r="A5540" s="18" t="s">
        <v>10303</v>
      </c>
      <c r="B5540" s="19" t="s">
        <v>15</v>
      </c>
      <c r="C5540" s="18" t="s">
        <v>149</v>
      </c>
      <c r="D5540" s="18" t="s">
        <v>116</v>
      </c>
      <c r="E5540" s="18" t="s">
        <v>55</v>
      </c>
      <c r="F5540" s="18" t="s">
        <v>2852</v>
      </c>
      <c r="G5540" s="18" t="s">
        <v>10500</v>
      </c>
      <c r="H5540" s="18" t="s">
        <v>8434</v>
      </c>
      <c r="I5540" s="20" t="s">
        <v>10501</v>
      </c>
      <c r="J5540" s="18" t="s">
        <v>58</v>
      </c>
      <c r="K5540" s="18" t="s">
        <v>24</v>
      </c>
      <c r="L5540" s="18" t="s">
        <v>25</v>
      </c>
      <c r="N5540" s="18" t="s">
        <v>154</v>
      </c>
    </row>
    <row r="5541" spans="1:14" ht="15" customHeight="1" x14ac:dyDescent="0.3">
      <c r="A5541" s="18" t="s">
        <v>10303</v>
      </c>
      <c r="B5541" s="19" t="s">
        <v>15</v>
      </c>
      <c r="C5541" s="18" t="s">
        <v>149</v>
      </c>
      <c r="D5541" s="18" t="s">
        <v>116</v>
      </c>
      <c r="E5541" s="18" t="s">
        <v>55</v>
      </c>
      <c r="F5541" s="18" t="s">
        <v>7604</v>
      </c>
      <c r="G5541" s="18" t="s">
        <v>1254</v>
      </c>
      <c r="H5541" s="18" t="s">
        <v>8164</v>
      </c>
      <c r="I5541" s="20" t="s">
        <v>10502</v>
      </c>
      <c r="J5541" s="18" t="s">
        <v>58</v>
      </c>
      <c r="K5541" s="18" t="s">
        <v>24</v>
      </c>
      <c r="L5541" s="18" t="s">
        <v>25</v>
      </c>
      <c r="N5541" s="18" t="s">
        <v>154</v>
      </c>
    </row>
    <row r="5542" spans="1:14" ht="15" customHeight="1" x14ac:dyDescent="0.3">
      <c r="A5542" s="18" t="s">
        <v>10303</v>
      </c>
      <c r="B5542" s="19" t="s">
        <v>15</v>
      </c>
      <c r="C5542" s="18" t="s">
        <v>149</v>
      </c>
      <c r="D5542" s="18" t="s">
        <v>116</v>
      </c>
      <c r="E5542" s="18" t="s">
        <v>55</v>
      </c>
      <c r="F5542" s="18" t="s">
        <v>2294</v>
      </c>
      <c r="G5542" s="18" t="s">
        <v>1704</v>
      </c>
      <c r="H5542" s="18" t="s">
        <v>8159</v>
      </c>
      <c r="I5542" s="20" t="s">
        <v>10503</v>
      </c>
      <c r="J5542" s="18" t="s">
        <v>58</v>
      </c>
      <c r="K5542" s="18" t="s">
        <v>24</v>
      </c>
      <c r="L5542" s="18" t="s">
        <v>25</v>
      </c>
      <c r="N5542" s="18" t="s">
        <v>154</v>
      </c>
    </row>
    <row r="5543" spans="1:14" ht="15" customHeight="1" x14ac:dyDescent="0.3">
      <c r="A5543" s="18" t="s">
        <v>10303</v>
      </c>
      <c r="B5543" s="19" t="s">
        <v>15</v>
      </c>
      <c r="C5543" s="18" t="s">
        <v>149</v>
      </c>
      <c r="D5543" s="18" t="s">
        <v>116</v>
      </c>
      <c r="E5543" s="18" t="s">
        <v>55</v>
      </c>
      <c r="F5543" s="18" t="s">
        <v>1239</v>
      </c>
      <c r="G5543" s="18" t="s">
        <v>1254</v>
      </c>
      <c r="H5543" s="18" t="s">
        <v>8164</v>
      </c>
      <c r="I5543" s="20" t="s">
        <v>10504</v>
      </c>
      <c r="J5543" s="18" t="s">
        <v>58</v>
      </c>
      <c r="K5543" s="18" t="s">
        <v>24</v>
      </c>
      <c r="L5543" s="18" t="s">
        <v>25</v>
      </c>
      <c r="M5543" s="18" t="s">
        <v>39</v>
      </c>
      <c r="N5543" s="18" t="s">
        <v>154</v>
      </c>
    </row>
    <row r="5544" spans="1:14" ht="15" customHeight="1" x14ac:dyDescent="0.3">
      <c r="A5544" s="18" t="s">
        <v>10303</v>
      </c>
      <c r="B5544" s="19" t="s">
        <v>15</v>
      </c>
      <c r="C5544" s="18" t="s">
        <v>149</v>
      </c>
      <c r="D5544" s="18" t="s">
        <v>116</v>
      </c>
      <c r="E5544" s="18" t="s">
        <v>55</v>
      </c>
      <c r="F5544" s="18" t="s">
        <v>221</v>
      </c>
      <c r="G5544" s="18" t="s">
        <v>212</v>
      </c>
      <c r="H5544" s="18" t="s">
        <v>8164</v>
      </c>
      <c r="I5544" s="20" t="s">
        <v>10505</v>
      </c>
      <c r="J5544" s="18" t="s">
        <v>58</v>
      </c>
      <c r="K5544" s="18" t="s">
        <v>24</v>
      </c>
      <c r="L5544" s="18" t="s">
        <v>25</v>
      </c>
      <c r="N5544" s="18" t="s">
        <v>154</v>
      </c>
    </row>
    <row r="5545" spans="1:14" ht="15" customHeight="1" x14ac:dyDescent="0.3">
      <c r="A5545" s="18" t="s">
        <v>10303</v>
      </c>
      <c r="B5545" s="19" t="s">
        <v>15</v>
      </c>
      <c r="C5545" s="18" t="s">
        <v>149</v>
      </c>
      <c r="D5545" s="18" t="s">
        <v>116</v>
      </c>
      <c r="E5545" s="18" t="s">
        <v>55</v>
      </c>
      <c r="F5545" s="18" t="s">
        <v>1244</v>
      </c>
      <c r="G5545" s="18" t="s">
        <v>1204</v>
      </c>
      <c r="H5545" s="18" t="s">
        <v>8164</v>
      </c>
      <c r="I5545" s="20" t="s">
        <v>10506</v>
      </c>
      <c r="J5545" s="18" t="s">
        <v>58</v>
      </c>
      <c r="K5545" s="18" t="s">
        <v>24</v>
      </c>
      <c r="L5545" s="18" t="s">
        <v>25</v>
      </c>
      <c r="N5545" s="18" t="s">
        <v>154</v>
      </c>
    </row>
    <row r="5546" spans="1:14" ht="15" customHeight="1" x14ac:dyDescent="0.3">
      <c r="A5546" s="18" t="s">
        <v>10303</v>
      </c>
      <c r="B5546" s="19" t="s">
        <v>15</v>
      </c>
      <c r="C5546" s="18" t="s">
        <v>149</v>
      </c>
      <c r="D5546" s="18" t="s">
        <v>116</v>
      </c>
      <c r="E5546" s="18" t="s">
        <v>55</v>
      </c>
      <c r="F5546" s="18" t="s">
        <v>7609</v>
      </c>
      <c r="G5546" s="18" t="s">
        <v>1254</v>
      </c>
      <c r="H5546" s="18" t="s">
        <v>8159</v>
      </c>
      <c r="I5546" s="20" t="s">
        <v>10507</v>
      </c>
      <c r="J5546" s="18" t="s">
        <v>58</v>
      </c>
      <c r="K5546" s="18" t="s">
        <v>24</v>
      </c>
      <c r="L5546" s="18" t="s">
        <v>25</v>
      </c>
      <c r="N5546" s="18" t="s">
        <v>154</v>
      </c>
    </row>
    <row r="5547" spans="1:14" ht="15" customHeight="1" x14ac:dyDescent="0.3">
      <c r="A5547" s="18" t="s">
        <v>10303</v>
      </c>
      <c r="B5547" s="19" t="s">
        <v>15</v>
      </c>
      <c r="C5547" s="18" t="s">
        <v>149</v>
      </c>
      <c r="D5547" s="18" t="s">
        <v>116</v>
      </c>
      <c r="E5547" s="18" t="s">
        <v>55</v>
      </c>
      <c r="F5547" s="18" t="s">
        <v>8890</v>
      </c>
      <c r="G5547" s="18" t="s">
        <v>2248</v>
      </c>
      <c r="H5547" s="18" t="s">
        <v>8159</v>
      </c>
      <c r="I5547" s="20" t="s">
        <v>10508</v>
      </c>
      <c r="J5547" s="18" t="s">
        <v>58</v>
      </c>
      <c r="K5547" s="18" t="s">
        <v>24</v>
      </c>
      <c r="L5547" s="18" t="s">
        <v>25</v>
      </c>
      <c r="N5547" s="18" t="s">
        <v>154</v>
      </c>
    </row>
    <row r="5548" spans="1:14" ht="15" customHeight="1" x14ac:dyDescent="0.3">
      <c r="A5548" s="18" t="s">
        <v>10303</v>
      </c>
      <c r="B5548" s="19" t="s">
        <v>15</v>
      </c>
      <c r="C5548" s="18" t="s">
        <v>149</v>
      </c>
      <c r="D5548" s="18" t="s">
        <v>116</v>
      </c>
      <c r="E5548" s="18" t="s">
        <v>55</v>
      </c>
      <c r="F5548" s="18" t="s">
        <v>8129</v>
      </c>
      <c r="G5548" s="18" t="s">
        <v>47</v>
      </c>
      <c r="H5548" s="18" t="s">
        <v>8164</v>
      </c>
      <c r="I5548" s="20" t="s">
        <v>10509</v>
      </c>
      <c r="J5548" s="18" t="s">
        <v>58</v>
      </c>
      <c r="K5548" s="18" t="s">
        <v>24</v>
      </c>
      <c r="L5548" s="18" t="s">
        <v>25</v>
      </c>
      <c r="N5548" s="18" t="s">
        <v>154</v>
      </c>
    </row>
    <row r="5549" spans="1:14" ht="15" customHeight="1" x14ac:dyDescent="0.3">
      <c r="A5549" s="18" t="s">
        <v>10303</v>
      </c>
      <c r="B5549" s="19" t="s">
        <v>15</v>
      </c>
      <c r="C5549" s="18" t="s">
        <v>149</v>
      </c>
      <c r="D5549" s="18" t="s">
        <v>116</v>
      </c>
      <c r="E5549" s="18" t="s">
        <v>55</v>
      </c>
      <c r="F5549" s="18" t="s">
        <v>10510</v>
      </c>
      <c r="G5549" s="18" t="s">
        <v>1095</v>
      </c>
      <c r="H5549" s="18" t="s">
        <v>8159</v>
      </c>
      <c r="I5549" s="20" t="s">
        <v>10511</v>
      </c>
      <c r="J5549" s="18" t="s">
        <v>58</v>
      </c>
      <c r="K5549" s="18" t="s">
        <v>24</v>
      </c>
      <c r="L5549" s="18" t="s">
        <v>25</v>
      </c>
      <c r="N5549" s="18" t="s">
        <v>154</v>
      </c>
    </row>
    <row r="5550" spans="1:14" ht="15" customHeight="1" x14ac:dyDescent="0.3">
      <c r="A5550" s="18" t="s">
        <v>10303</v>
      </c>
      <c r="B5550" s="19" t="s">
        <v>15</v>
      </c>
      <c r="C5550" s="18" t="s">
        <v>149</v>
      </c>
      <c r="D5550" s="18" t="s">
        <v>116</v>
      </c>
      <c r="E5550" s="18" t="s">
        <v>55</v>
      </c>
      <c r="F5550" s="18" t="s">
        <v>34</v>
      </c>
      <c r="G5550" s="18" t="s">
        <v>1254</v>
      </c>
      <c r="H5550" s="18" t="s">
        <v>8164</v>
      </c>
      <c r="I5550" s="20" t="s">
        <v>10512</v>
      </c>
      <c r="J5550" s="18" t="s">
        <v>58</v>
      </c>
      <c r="K5550" s="18" t="s">
        <v>24</v>
      </c>
      <c r="L5550" s="18" t="s">
        <v>25</v>
      </c>
      <c r="N5550" s="18" t="s">
        <v>154</v>
      </c>
    </row>
    <row r="5551" spans="1:14" ht="15" customHeight="1" x14ac:dyDescent="0.3">
      <c r="A5551" s="18" t="s">
        <v>10303</v>
      </c>
      <c r="B5551" s="19" t="s">
        <v>15</v>
      </c>
      <c r="C5551" s="18" t="s">
        <v>149</v>
      </c>
      <c r="D5551" s="18" t="s">
        <v>116</v>
      </c>
      <c r="E5551" s="18" t="s">
        <v>55</v>
      </c>
      <c r="F5551" s="18" t="s">
        <v>1250</v>
      </c>
      <c r="G5551" s="18" t="s">
        <v>1251</v>
      </c>
      <c r="H5551" s="18" t="s">
        <v>8164</v>
      </c>
      <c r="I5551" s="20" t="s">
        <v>10513</v>
      </c>
      <c r="J5551" s="18" t="s">
        <v>58</v>
      </c>
      <c r="K5551" s="18" t="s">
        <v>24</v>
      </c>
      <c r="L5551" s="18" t="s">
        <v>25</v>
      </c>
      <c r="N5551" s="18" t="s">
        <v>154</v>
      </c>
    </row>
    <row r="5552" spans="1:14" ht="15" customHeight="1" x14ac:dyDescent="0.3">
      <c r="A5552" s="18" t="s">
        <v>10303</v>
      </c>
      <c r="B5552" s="19" t="s">
        <v>15</v>
      </c>
      <c r="C5552" s="18" t="s">
        <v>149</v>
      </c>
      <c r="D5552" s="18" t="s">
        <v>116</v>
      </c>
      <c r="E5552" s="18" t="s">
        <v>55</v>
      </c>
      <c r="F5552" s="18" t="s">
        <v>37</v>
      </c>
      <c r="G5552" s="18" t="s">
        <v>1254</v>
      </c>
      <c r="H5552" s="18" t="s">
        <v>8164</v>
      </c>
      <c r="I5552" s="20" t="s">
        <v>10514</v>
      </c>
      <c r="J5552" s="18" t="s">
        <v>58</v>
      </c>
      <c r="K5552" s="18" t="s">
        <v>24</v>
      </c>
      <c r="L5552" s="18" t="s">
        <v>25</v>
      </c>
      <c r="N5552" s="18" t="s">
        <v>154</v>
      </c>
    </row>
    <row r="5553" spans="1:14" ht="15" customHeight="1" x14ac:dyDescent="0.3">
      <c r="A5553" s="18" t="s">
        <v>10303</v>
      </c>
      <c r="B5553" s="19" t="s">
        <v>15</v>
      </c>
      <c r="C5553" s="18" t="s">
        <v>149</v>
      </c>
      <c r="D5553" s="18" t="s">
        <v>116</v>
      </c>
      <c r="E5553" s="18" t="s">
        <v>55</v>
      </c>
      <c r="F5553" s="18" t="s">
        <v>10351</v>
      </c>
      <c r="G5553" s="18" t="s">
        <v>8905</v>
      </c>
      <c r="H5553" s="18" t="s">
        <v>8164</v>
      </c>
      <c r="I5553" s="20" t="s">
        <v>10515</v>
      </c>
      <c r="J5553" s="18" t="s">
        <v>58</v>
      </c>
      <c r="K5553" s="18" t="s">
        <v>24</v>
      </c>
      <c r="L5553" s="18" t="s">
        <v>25</v>
      </c>
      <c r="N5553" s="18" t="s">
        <v>154</v>
      </c>
    </row>
    <row r="5554" spans="1:14" ht="15" customHeight="1" x14ac:dyDescent="0.3">
      <c r="A5554" s="18" t="s">
        <v>10303</v>
      </c>
      <c r="B5554" s="19" t="s">
        <v>15</v>
      </c>
      <c r="C5554" s="18" t="s">
        <v>149</v>
      </c>
      <c r="D5554" s="18" t="s">
        <v>116</v>
      </c>
      <c r="E5554" s="18" t="s">
        <v>55</v>
      </c>
      <c r="F5554" s="18" t="s">
        <v>10516</v>
      </c>
      <c r="G5554" s="18" t="s">
        <v>47</v>
      </c>
      <c r="H5554" s="18" t="s">
        <v>8159</v>
      </c>
      <c r="I5554" s="20" t="s">
        <v>10517</v>
      </c>
      <c r="J5554" s="18" t="s">
        <v>58</v>
      </c>
      <c r="K5554" s="18" t="s">
        <v>24</v>
      </c>
      <c r="L5554" s="18" t="s">
        <v>25</v>
      </c>
      <c r="N5554" s="18" t="s">
        <v>154</v>
      </c>
    </row>
    <row r="5555" spans="1:14" ht="15" customHeight="1" x14ac:dyDescent="0.3">
      <c r="A5555" s="18" t="s">
        <v>10303</v>
      </c>
      <c r="B5555" s="19" t="s">
        <v>15</v>
      </c>
      <c r="C5555" s="18" t="s">
        <v>149</v>
      </c>
      <c r="D5555" s="18" t="s">
        <v>116</v>
      </c>
      <c r="E5555" s="18" t="s">
        <v>55</v>
      </c>
      <c r="F5555" s="18" t="s">
        <v>10518</v>
      </c>
      <c r="G5555" s="18" t="s">
        <v>826</v>
      </c>
      <c r="H5555" s="18" t="s">
        <v>8164</v>
      </c>
      <c r="I5555" s="20" t="s">
        <v>10519</v>
      </c>
      <c r="J5555" s="18" t="s">
        <v>58</v>
      </c>
      <c r="K5555" s="18" t="s">
        <v>24</v>
      </c>
      <c r="L5555" s="18" t="s">
        <v>25</v>
      </c>
      <c r="N5555" s="18" t="s">
        <v>154</v>
      </c>
    </row>
    <row r="5556" spans="1:14" ht="15" customHeight="1" x14ac:dyDescent="0.3">
      <c r="A5556" s="18" t="s">
        <v>10303</v>
      </c>
      <c r="B5556" s="19" t="s">
        <v>15</v>
      </c>
      <c r="C5556" s="18" t="s">
        <v>149</v>
      </c>
      <c r="D5556" s="18" t="s">
        <v>116</v>
      </c>
      <c r="E5556" s="18" t="s">
        <v>55</v>
      </c>
      <c r="F5556" s="18" t="s">
        <v>10520</v>
      </c>
      <c r="G5556" s="18" t="s">
        <v>41</v>
      </c>
      <c r="H5556" s="18" t="s">
        <v>8164</v>
      </c>
      <c r="I5556" s="20" t="s">
        <v>10521</v>
      </c>
      <c r="J5556" s="18" t="s">
        <v>58</v>
      </c>
      <c r="K5556" s="18" t="s">
        <v>24</v>
      </c>
      <c r="L5556" s="18" t="s">
        <v>25</v>
      </c>
      <c r="N5556" s="18" t="s">
        <v>154</v>
      </c>
    </row>
    <row r="5557" spans="1:14" ht="15" customHeight="1" x14ac:dyDescent="0.3">
      <c r="A5557" s="18" t="s">
        <v>10303</v>
      </c>
      <c r="B5557" s="19" t="s">
        <v>15</v>
      </c>
      <c r="C5557" s="18" t="s">
        <v>149</v>
      </c>
      <c r="D5557" s="18" t="s">
        <v>116</v>
      </c>
      <c r="E5557" s="18" t="s">
        <v>55</v>
      </c>
      <c r="F5557" s="18" t="s">
        <v>4250</v>
      </c>
      <c r="G5557" s="18" t="s">
        <v>47</v>
      </c>
      <c r="H5557" s="18" t="s">
        <v>8164</v>
      </c>
      <c r="I5557" s="20" t="s">
        <v>10522</v>
      </c>
      <c r="J5557" s="18" t="s">
        <v>58</v>
      </c>
      <c r="K5557" s="18" t="s">
        <v>24</v>
      </c>
      <c r="L5557" s="18" t="s">
        <v>25</v>
      </c>
      <c r="N5557" s="18" t="s">
        <v>154</v>
      </c>
    </row>
    <row r="5558" spans="1:14" ht="15" customHeight="1" x14ac:dyDescent="0.3">
      <c r="A5558" s="18" t="s">
        <v>10303</v>
      </c>
      <c r="B5558" s="19" t="s">
        <v>15</v>
      </c>
      <c r="C5558" s="18" t="s">
        <v>149</v>
      </c>
      <c r="D5558" s="18" t="s">
        <v>116</v>
      </c>
      <c r="E5558" s="18" t="s">
        <v>55</v>
      </c>
      <c r="F5558" s="18" t="s">
        <v>10523</v>
      </c>
      <c r="G5558" s="18" t="s">
        <v>51</v>
      </c>
      <c r="H5558" s="18" t="s">
        <v>8164</v>
      </c>
      <c r="I5558" s="20" t="s">
        <v>10524</v>
      </c>
      <c r="J5558" s="18" t="s">
        <v>73</v>
      </c>
      <c r="K5558" s="18" t="s">
        <v>24</v>
      </c>
      <c r="L5558" s="18" t="s">
        <v>25</v>
      </c>
      <c r="N5558" s="18" t="s">
        <v>154</v>
      </c>
    </row>
    <row r="5559" spans="1:14" ht="15" customHeight="1" x14ac:dyDescent="0.3">
      <c r="A5559" s="18" t="s">
        <v>10303</v>
      </c>
      <c r="B5559" s="19" t="s">
        <v>15</v>
      </c>
      <c r="C5559" s="18" t="s">
        <v>149</v>
      </c>
      <c r="D5559" s="18" t="s">
        <v>116</v>
      </c>
      <c r="E5559" s="18" t="s">
        <v>55</v>
      </c>
      <c r="F5559" s="18" t="s">
        <v>9126</v>
      </c>
      <c r="G5559" s="18" t="s">
        <v>1704</v>
      </c>
      <c r="H5559" s="18" t="s">
        <v>8159</v>
      </c>
      <c r="I5559" s="20" t="s">
        <v>10525</v>
      </c>
      <c r="J5559" s="18" t="s">
        <v>58</v>
      </c>
      <c r="K5559" s="18" t="s">
        <v>24</v>
      </c>
      <c r="L5559" s="18" t="s">
        <v>25</v>
      </c>
      <c r="N5559" s="18" t="s">
        <v>154</v>
      </c>
    </row>
    <row r="5560" spans="1:14" ht="15" customHeight="1" x14ac:dyDescent="0.3">
      <c r="A5560" s="18" t="s">
        <v>10303</v>
      </c>
      <c r="B5560" s="19" t="s">
        <v>15</v>
      </c>
      <c r="C5560" s="18" t="s">
        <v>149</v>
      </c>
      <c r="D5560" s="18" t="s">
        <v>116</v>
      </c>
      <c r="E5560" s="18" t="s">
        <v>55</v>
      </c>
      <c r="F5560" s="18" t="s">
        <v>2099</v>
      </c>
      <c r="G5560" s="18" t="s">
        <v>7668</v>
      </c>
      <c r="H5560" s="18" t="s">
        <v>8164</v>
      </c>
      <c r="I5560" s="20" t="s">
        <v>10526</v>
      </c>
      <c r="J5560" s="18" t="s">
        <v>58</v>
      </c>
      <c r="K5560" s="18" t="s">
        <v>24</v>
      </c>
      <c r="L5560" s="18" t="s">
        <v>25</v>
      </c>
      <c r="N5560" s="18" t="s">
        <v>154</v>
      </c>
    </row>
    <row r="5561" spans="1:14" ht="15" customHeight="1" x14ac:dyDescent="0.3">
      <c r="A5561" s="18" t="s">
        <v>10303</v>
      </c>
      <c r="B5561" s="19" t="s">
        <v>15</v>
      </c>
      <c r="C5561" s="18" t="s">
        <v>149</v>
      </c>
      <c r="D5561" s="18" t="s">
        <v>116</v>
      </c>
      <c r="E5561" s="18" t="s">
        <v>55</v>
      </c>
      <c r="F5561" s="18" t="s">
        <v>9130</v>
      </c>
      <c r="G5561" s="18" t="s">
        <v>47</v>
      </c>
      <c r="H5561" s="18" t="s">
        <v>8164</v>
      </c>
      <c r="I5561" s="20" t="s">
        <v>10527</v>
      </c>
      <c r="J5561" s="18" t="s">
        <v>58</v>
      </c>
      <c r="K5561" s="18" t="s">
        <v>24</v>
      </c>
      <c r="L5561" s="18" t="s">
        <v>25</v>
      </c>
      <c r="N5561" s="18" t="s">
        <v>154</v>
      </c>
    </row>
    <row r="5562" spans="1:14" ht="15" customHeight="1" x14ac:dyDescent="0.3">
      <c r="A5562" s="18" t="s">
        <v>10303</v>
      </c>
      <c r="B5562" s="19" t="s">
        <v>15</v>
      </c>
      <c r="C5562" s="18" t="s">
        <v>149</v>
      </c>
      <c r="D5562" s="18" t="s">
        <v>116</v>
      </c>
      <c r="E5562" s="18" t="s">
        <v>55</v>
      </c>
      <c r="F5562" s="18" t="s">
        <v>1253</v>
      </c>
      <c r="G5562" s="18" t="s">
        <v>1254</v>
      </c>
      <c r="H5562" s="18" t="s">
        <v>8164</v>
      </c>
      <c r="I5562" s="20" t="s">
        <v>10528</v>
      </c>
      <c r="J5562" s="18" t="s">
        <v>58</v>
      </c>
      <c r="K5562" s="18" t="s">
        <v>24</v>
      </c>
      <c r="L5562" s="18" t="s">
        <v>25</v>
      </c>
      <c r="N5562" s="18" t="s">
        <v>154</v>
      </c>
    </row>
    <row r="5563" spans="1:14" ht="15" customHeight="1" x14ac:dyDescent="0.3">
      <c r="A5563" s="18" t="s">
        <v>10303</v>
      </c>
      <c r="B5563" s="19" t="s">
        <v>15</v>
      </c>
      <c r="C5563" s="18" t="s">
        <v>149</v>
      </c>
      <c r="D5563" s="18" t="s">
        <v>116</v>
      </c>
      <c r="E5563" s="18" t="s">
        <v>55</v>
      </c>
      <c r="F5563" s="18" t="s">
        <v>7761</v>
      </c>
      <c r="G5563" s="18" t="s">
        <v>7762</v>
      </c>
      <c r="H5563" s="18" t="s">
        <v>8159</v>
      </c>
      <c r="I5563" s="20" t="s">
        <v>10529</v>
      </c>
      <c r="J5563" s="18" t="s">
        <v>58</v>
      </c>
      <c r="K5563" s="18" t="s">
        <v>24</v>
      </c>
      <c r="L5563" s="18" t="s">
        <v>25</v>
      </c>
      <c r="N5563" s="18" t="s">
        <v>154</v>
      </c>
    </row>
    <row r="5564" spans="1:14" ht="15" customHeight="1" x14ac:dyDescent="0.3">
      <c r="A5564" s="18" t="s">
        <v>10303</v>
      </c>
      <c r="B5564" s="19" t="s">
        <v>15</v>
      </c>
      <c r="C5564" s="18" t="s">
        <v>149</v>
      </c>
      <c r="D5564" s="18" t="s">
        <v>116</v>
      </c>
      <c r="E5564" s="18" t="s">
        <v>55</v>
      </c>
      <c r="F5564" s="18" t="s">
        <v>9140</v>
      </c>
      <c r="G5564" s="18" t="s">
        <v>5800</v>
      </c>
      <c r="H5564" s="18" t="s">
        <v>8434</v>
      </c>
      <c r="I5564" s="20" t="s">
        <v>10530</v>
      </c>
      <c r="J5564" s="18" t="s">
        <v>58</v>
      </c>
      <c r="K5564" s="18" t="s">
        <v>24</v>
      </c>
      <c r="L5564" s="18" t="s">
        <v>25</v>
      </c>
      <c r="N5564" s="18" t="s">
        <v>154</v>
      </c>
    </row>
    <row r="5565" spans="1:14" ht="15" customHeight="1" x14ac:dyDescent="0.3">
      <c r="A5565" s="18" t="s">
        <v>10303</v>
      </c>
      <c r="B5565" s="19" t="s">
        <v>15</v>
      </c>
      <c r="C5565" s="18" t="s">
        <v>149</v>
      </c>
      <c r="D5565" s="18" t="s">
        <v>116</v>
      </c>
      <c r="E5565" s="18" t="s">
        <v>55</v>
      </c>
      <c r="F5565" s="18" t="s">
        <v>9142</v>
      </c>
      <c r="G5565" s="18" t="s">
        <v>9094</v>
      </c>
      <c r="H5565" s="18" t="s">
        <v>8159</v>
      </c>
      <c r="I5565" s="20" t="s">
        <v>10531</v>
      </c>
      <c r="J5565" s="18" t="s">
        <v>58</v>
      </c>
      <c r="K5565" s="18" t="s">
        <v>24</v>
      </c>
      <c r="L5565" s="18" t="s">
        <v>25</v>
      </c>
      <c r="N5565" s="18" t="s">
        <v>154</v>
      </c>
    </row>
    <row r="5566" spans="1:14" ht="15" customHeight="1" x14ac:dyDescent="0.3">
      <c r="A5566" s="18" t="s">
        <v>10303</v>
      </c>
      <c r="B5566" s="19" t="s">
        <v>15</v>
      </c>
      <c r="C5566" s="18" t="s">
        <v>149</v>
      </c>
      <c r="D5566" s="18" t="s">
        <v>116</v>
      </c>
      <c r="E5566" s="18" t="s">
        <v>55</v>
      </c>
      <c r="F5566" s="18" t="s">
        <v>7412</v>
      </c>
      <c r="G5566" s="18" t="s">
        <v>8610</v>
      </c>
      <c r="H5566" s="18" t="s">
        <v>10329</v>
      </c>
      <c r="I5566" s="20" t="s">
        <v>10532</v>
      </c>
      <c r="J5566" s="18" t="s">
        <v>58</v>
      </c>
      <c r="K5566" s="18" t="s">
        <v>24</v>
      </c>
      <c r="L5566" s="18" t="s">
        <v>25</v>
      </c>
      <c r="N5566" s="18" t="s">
        <v>154</v>
      </c>
    </row>
    <row r="5567" spans="1:14" ht="15" customHeight="1" x14ac:dyDescent="0.3">
      <c r="A5567" s="18" t="s">
        <v>10303</v>
      </c>
      <c r="B5567" s="19" t="s">
        <v>15</v>
      </c>
      <c r="C5567" s="18" t="s">
        <v>149</v>
      </c>
      <c r="D5567" s="18" t="s">
        <v>116</v>
      </c>
      <c r="E5567" s="18" t="s">
        <v>55</v>
      </c>
      <c r="F5567" s="18" t="s">
        <v>7764</v>
      </c>
      <c r="G5567" s="18" t="s">
        <v>7765</v>
      </c>
      <c r="H5567" s="18" t="s">
        <v>8420</v>
      </c>
      <c r="I5567" s="20" t="s">
        <v>10533</v>
      </c>
      <c r="J5567" s="18" t="s">
        <v>58</v>
      </c>
      <c r="K5567" s="18" t="s">
        <v>24</v>
      </c>
      <c r="L5567" s="18" t="s">
        <v>25</v>
      </c>
      <c r="N5567" s="18" t="s">
        <v>154</v>
      </c>
    </row>
    <row r="5568" spans="1:14" ht="15" customHeight="1" x14ac:dyDescent="0.3">
      <c r="A5568" s="18" t="s">
        <v>10303</v>
      </c>
      <c r="B5568" s="19" t="s">
        <v>15</v>
      </c>
      <c r="C5568" s="18" t="s">
        <v>149</v>
      </c>
      <c r="D5568" s="18" t="s">
        <v>116</v>
      </c>
      <c r="E5568" s="18" t="s">
        <v>55</v>
      </c>
      <c r="F5568" s="18" t="s">
        <v>8613</v>
      </c>
      <c r="G5568" s="18" t="s">
        <v>9807</v>
      </c>
      <c r="H5568" s="18" t="s">
        <v>8159</v>
      </c>
      <c r="I5568" s="20" t="s">
        <v>10534</v>
      </c>
      <c r="J5568" s="18" t="s">
        <v>58</v>
      </c>
      <c r="K5568" s="18" t="s">
        <v>24</v>
      </c>
      <c r="L5568" s="18" t="s">
        <v>25</v>
      </c>
      <c r="N5568" s="18" t="s">
        <v>154</v>
      </c>
    </row>
    <row r="5569" spans="1:14" ht="15" customHeight="1" x14ac:dyDescent="0.3">
      <c r="A5569" s="18" t="s">
        <v>10303</v>
      </c>
      <c r="B5569" s="19" t="s">
        <v>15</v>
      </c>
      <c r="C5569" s="18" t="s">
        <v>149</v>
      </c>
      <c r="D5569" s="18" t="s">
        <v>116</v>
      </c>
      <c r="E5569" s="18" t="s">
        <v>55</v>
      </c>
      <c r="F5569" s="18" t="s">
        <v>8616</v>
      </c>
      <c r="G5569" s="18" t="s">
        <v>10535</v>
      </c>
      <c r="H5569" s="18" t="s">
        <v>8420</v>
      </c>
      <c r="I5569" s="20" t="s">
        <v>10536</v>
      </c>
      <c r="J5569" s="18" t="s">
        <v>58</v>
      </c>
      <c r="K5569" s="18" t="s">
        <v>24</v>
      </c>
      <c r="L5569" s="18" t="s">
        <v>25</v>
      </c>
      <c r="N5569" s="18" t="s">
        <v>154</v>
      </c>
    </row>
    <row r="5570" spans="1:14" ht="15" customHeight="1" x14ac:dyDescent="0.3">
      <c r="A5570" s="18" t="s">
        <v>10303</v>
      </c>
      <c r="B5570" s="19" t="s">
        <v>15</v>
      </c>
      <c r="C5570" s="18" t="s">
        <v>149</v>
      </c>
      <c r="D5570" s="18" t="s">
        <v>116</v>
      </c>
      <c r="E5570" s="18" t="s">
        <v>55</v>
      </c>
      <c r="F5570" s="18" t="s">
        <v>7770</v>
      </c>
      <c r="G5570" s="18" t="s">
        <v>10537</v>
      </c>
      <c r="H5570" s="18" t="s">
        <v>8420</v>
      </c>
      <c r="I5570" s="20" t="s">
        <v>10538</v>
      </c>
      <c r="J5570" s="18" t="s">
        <v>58</v>
      </c>
      <c r="K5570" s="18" t="s">
        <v>24</v>
      </c>
      <c r="L5570" s="18" t="s">
        <v>25</v>
      </c>
      <c r="N5570" s="18" t="s">
        <v>154</v>
      </c>
    </row>
    <row r="5571" spans="1:14" ht="15" customHeight="1" x14ac:dyDescent="0.3">
      <c r="A5571" s="18" t="s">
        <v>10303</v>
      </c>
      <c r="B5571" s="19" t="s">
        <v>15</v>
      </c>
      <c r="C5571" s="18" t="s">
        <v>149</v>
      </c>
      <c r="D5571" s="18" t="s">
        <v>116</v>
      </c>
      <c r="E5571" s="18" t="s">
        <v>55</v>
      </c>
      <c r="F5571" s="18" t="s">
        <v>7414</v>
      </c>
      <c r="G5571" s="18" t="s">
        <v>9154</v>
      </c>
      <c r="H5571" s="18" t="s">
        <v>8159</v>
      </c>
      <c r="I5571" s="20" t="s">
        <v>10539</v>
      </c>
      <c r="J5571" s="18" t="s">
        <v>58</v>
      </c>
      <c r="K5571" s="18" t="s">
        <v>24</v>
      </c>
      <c r="L5571" s="18" t="s">
        <v>25</v>
      </c>
      <c r="N5571" s="18" t="s">
        <v>154</v>
      </c>
    </row>
    <row r="5572" spans="1:14" ht="15" customHeight="1" x14ac:dyDescent="0.3">
      <c r="A5572" s="18" t="s">
        <v>10303</v>
      </c>
      <c r="B5572" s="19" t="s">
        <v>15</v>
      </c>
      <c r="C5572" s="18" t="s">
        <v>149</v>
      </c>
      <c r="D5572" s="18" t="s">
        <v>116</v>
      </c>
      <c r="E5572" s="18" t="s">
        <v>55</v>
      </c>
      <c r="F5572" s="18" t="s">
        <v>10540</v>
      </c>
      <c r="G5572" s="18" t="s">
        <v>10541</v>
      </c>
      <c r="H5572" s="18" t="s">
        <v>8420</v>
      </c>
      <c r="I5572" s="20" t="s">
        <v>10542</v>
      </c>
      <c r="J5572" s="18" t="s">
        <v>58</v>
      </c>
      <c r="K5572" s="18" t="s">
        <v>24</v>
      </c>
      <c r="L5572" s="18" t="s">
        <v>1369</v>
      </c>
      <c r="N5572" s="18" t="s">
        <v>154</v>
      </c>
    </row>
    <row r="5573" spans="1:14" ht="15" customHeight="1" x14ac:dyDescent="0.3">
      <c r="A5573" s="18" t="s">
        <v>10303</v>
      </c>
      <c r="B5573" s="19" t="s">
        <v>15</v>
      </c>
      <c r="C5573" s="18" t="s">
        <v>149</v>
      </c>
      <c r="D5573" s="18" t="s">
        <v>116</v>
      </c>
      <c r="E5573" s="18" t="s">
        <v>55</v>
      </c>
      <c r="F5573" s="18" t="s">
        <v>1366</v>
      </c>
      <c r="G5573" s="18" t="s">
        <v>10543</v>
      </c>
      <c r="H5573" s="18" t="s">
        <v>8420</v>
      </c>
      <c r="I5573" s="20" t="s">
        <v>10544</v>
      </c>
      <c r="J5573" s="18" t="s">
        <v>73</v>
      </c>
      <c r="K5573" s="18" t="s">
        <v>24</v>
      </c>
      <c r="L5573" s="18" t="s">
        <v>1369</v>
      </c>
      <c r="M5573" s="18" t="s">
        <v>39</v>
      </c>
      <c r="N5573" s="18" t="s">
        <v>154</v>
      </c>
    </row>
    <row r="5574" spans="1:14" ht="15" customHeight="1" x14ac:dyDescent="0.3">
      <c r="A5574" s="18" t="s">
        <v>10303</v>
      </c>
      <c r="B5574" s="19" t="s">
        <v>15</v>
      </c>
      <c r="C5574" s="18" t="s">
        <v>149</v>
      </c>
      <c r="D5574" s="18" t="s">
        <v>116</v>
      </c>
      <c r="E5574" s="18" t="s">
        <v>55</v>
      </c>
      <c r="F5574" s="18" t="s">
        <v>7777</v>
      </c>
      <c r="G5574" s="18" t="s">
        <v>10545</v>
      </c>
      <c r="H5574" s="18" t="s">
        <v>8420</v>
      </c>
      <c r="I5574" s="20" t="s">
        <v>10546</v>
      </c>
      <c r="J5574" s="18" t="s">
        <v>58</v>
      </c>
      <c r="K5574" s="18" t="s">
        <v>24</v>
      </c>
      <c r="L5574" s="18" t="s">
        <v>1369</v>
      </c>
      <c r="N5574" s="18" t="s">
        <v>154</v>
      </c>
    </row>
    <row r="5575" spans="1:14" ht="15" customHeight="1" x14ac:dyDescent="0.3">
      <c r="A5575" s="18" t="s">
        <v>10303</v>
      </c>
      <c r="B5575" s="19" t="s">
        <v>15</v>
      </c>
      <c r="C5575" s="18" t="s">
        <v>149</v>
      </c>
      <c r="D5575" s="18" t="s">
        <v>116</v>
      </c>
      <c r="E5575" s="18" t="s">
        <v>55</v>
      </c>
      <c r="F5575" s="18" t="s">
        <v>10547</v>
      </c>
      <c r="G5575" s="18" t="s">
        <v>10548</v>
      </c>
      <c r="H5575" s="18" t="s">
        <v>8420</v>
      </c>
      <c r="I5575" s="20" t="s">
        <v>10549</v>
      </c>
      <c r="J5575" s="18" t="s">
        <v>58</v>
      </c>
      <c r="K5575" s="18" t="s">
        <v>24</v>
      </c>
      <c r="L5575" s="18" t="s">
        <v>1369</v>
      </c>
      <c r="N5575" s="18" t="s">
        <v>154</v>
      </c>
    </row>
    <row r="5576" spans="1:14" ht="15" customHeight="1" x14ac:dyDescent="0.3">
      <c r="A5576" s="18" t="s">
        <v>10303</v>
      </c>
      <c r="B5576" s="19" t="s">
        <v>15</v>
      </c>
      <c r="C5576" s="18" t="s">
        <v>149</v>
      </c>
      <c r="D5576" s="18" t="s">
        <v>116</v>
      </c>
      <c r="E5576" s="18" t="s">
        <v>55</v>
      </c>
      <c r="F5576" s="18" t="s">
        <v>9157</v>
      </c>
      <c r="G5576" s="18" t="s">
        <v>10550</v>
      </c>
      <c r="H5576" s="18" t="s">
        <v>8420</v>
      </c>
      <c r="I5576" s="20" t="s">
        <v>10551</v>
      </c>
      <c r="J5576" s="18" t="s">
        <v>58</v>
      </c>
      <c r="K5576" s="18" t="s">
        <v>24</v>
      </c>
      <c r="L5576" s="18" t="s">
        <v>25</v>
      </c>
      <c r="N5576" s="18" t="s">
        <v>154</v>
      </c>
    </row>
    <row r="5577" spans="1:14" ht="15" customHeight="1" x14ac:dyDescent="0.3">
      <c r="A5577" s="18" t="s">
        <v>10303</v>
      </c>
      <c r="B5577" s="19" t="s">
        <v>15</v>
      </c>
      <c r="C5577" s="18" t="s">
        <v>149</v>
      </c>
      <c r="D5577" s="18" t="s">
        <v>116</v>
      </c>
      <c r="E5577" s="18" t="s">
        <v>55</v>
      </c>
      <c r="F5577" s="18" t="s">
        <v>10552</v>
      </c>
      <c r="G5577" s="18" t="s">
        <v>2857</v>
      </c>
      <c r="H5577" s="18" t="s">
        <v>8159</v>
      </c>
      <c r="I5577" s="20" t="s">
        <v>10553</v>
      </c>
      <c r="J5577" s="18" t="s">
        <v>58</v>
      </c>
      <c r="K5577" s="18" t="s">
        <v>24</v>
      </c>
      <c r="L5577" s="18" t="s">
        <v>25</v>
      </c>
      <c r="N5577" s="18" t="s">
        <v>154</v>
      </c>
    </row>
    <row r="5578" spans="1:14" ht="15" customHeight="1" x14ac:dyDescent="0.3">
      <c r="A5578" s="18" t="s">
        <v>10303</v>
      </c>
      <c r="B5578" s="19" t="s">
        <v>15</v>
      </c>
      <c r="C5578" s="18" t="s">
        <v>149</v>
      </c>
      <c r="D5578" s="18" t="s">
        <v>116</v>
      </c>
      <c r="E5578" s="18" t="s">
        <v>55</v>
      </c>
      <c r="F5578" s="18" t="s">
        <v>10554</v>
      </c>
      <c r="G5578" s="18" t="s">
        <v>88</v>
      </c>
      <c r="H5578" s="18" t="s">
        <v>8159</v>
      </c>
      <c r="I5578" s="20" t="s">
        <v>10555</v>
      </c>
      <c r="J5578" s="18" t="s">
        <v>58</v>
      </c>
      <c r="K5578" s="18" t="s">
        <v>24</v>
      </c>
      <c r="L5578" s="18" t="s">
        <v>25</v>
      </c>
      <c r="N5578" s="18" t="s">
        <v>154</v>
      </c>
    </row>
    <row r="5579" spans="1:14" ht="15" customHeight="1" x14ac:dyDescent="0.3">
      <c r="A5579" s="18" t="s">
        <v>10303</v>
      </c>
      <c r="B5579" s="19" t="s">
        <v>15</v>
      </c>
      <c r="C5579" s="18" t="s">
        <v>149</v>
      </c>
      <c r="D5579" s="18" t="s">
        <v>116</v>
      </c>
      <c r="E5579" s="18" t="s">
        <v>55</v>
      </c>
      <c r="F5579" s="18" t="s">
        <v>10556</v>
      </c>
      <c r="G5579" s="18" t="s">
        <v>212</v>
      </c>
      <c r="H5579" s="18" t="s">
        <v>8164</v>
      </c>
      <c r="I5579" s="20" t="s">
        <v>10557</v>
      </c>
      <c r="J5579" s="18" t="s">
        <v>58</v>
      </c>
      <c r="K5579" s="18" t="s">
        <v>24</v>
      </c>
      <c r="L5579" s="18" t="s">
        <v>25</v>
      </c>
      <c r="N5579" s="18" t="s">
        <v>154</v>
      </c>
    </row>
    <row r="5580" spans="1:14" ht="15" customHeight="1" x14ac:dyDescent="0.3">
      <c r="A5580" s="18" t="s">
        <v>10303</v>
      </c>
      <c r="B5580" s="19" t="s">
        <v>15</v>
      </c>
      <c r="C5580" s="18" t="s">
        <v>149</v>
      </c>
      <c r="D5580" s="18" t="s">
        <v>116</v>
      </c>
      <c r="E5580" s="18" t="s">
        <v>55</v>
      </c>
      <c r="F5580" s="18" t="s">
        <v>8632</v>
      </c>
      <c r="G5580" s="18" t="s">
        <v>197</v>
      </c>
      <c r="H5580" s="18" t="s">
        <v>8420</v>
      </c>
      <c r="I5580" s="20" t="s">
        <v>10558</v>
      </c>
      <c r="J5580" s="18" t="s">
        <v>58</v>
      </c>
      <c r="K5580" s="18" t="s">
        <v>24</v>
      </c>
      <c r="L5580" s="18" t="s">
        <v>25</v>
      </c>
      <c r="N5580" s="18" t="s">
        <v>154</v>
      </c>
    </row>
    <row r="5581" spans="1:14" ht="15" customHeight="1" x14ac:dyDescent="0.3">
      <c r="A5581" s="18" t="s">
        <v>10303</v>
      </c>
      <c r="B5581" s="19" t="s">
        <v>15</v>
      </c>
      <c r="C5581" s="18" t="s">
        <v>149</v>
      </c>
      <c r="D5581" s="18" t="s">
        <v>116</v>
      </c>
      <c r="E5581" s="18" t="s">
        <v>55</v>
      </c>
      <c r="F5581" s="18" t="s">
        <v>10559</v>
      </c>
      <c r="G5581" s="18" t="s">
        <v>197</v>
      </c>
      <c r="H5581" s="18" t="s">
        <v>8420</v>
      </c>
      <c r="I5581" s="20" t="s">
        <v>10560</v>
      </c>
      <c r="J5581" s="18" t="s">
        <v>58</v>
      </c>
      <c r="K5581" s="18" t="s">
        <v>24</v>
      </c>
      <c r="L5581" s="18" t="s">
        <v>25</v>
      </c>
      <c r="M5581" s="18" t="s">
        <v>39</v>
      </c>
      <c r="N5581" s="18" t="s">
        <v>154</v>
      </c>
    </row>
    <row r="5582" spans="1:14" ht="15" customHeight="1" x14ac:dyDescent="0.3">
      <c r="A5582" s="18" t="s">
        <v>10303</v>
      </c>
      <c r="B5582" s="19" t="s">
        <v>15</v>
      </c>
      <c r="C5582" s="18" t="s">
        <v>149</v>
      </c>
      <c r="D5582" s="18" t="s">
        <v>116</v>
      </c>
      <c r="E5582" s="18" t="s">
        <v>55</v>
      </c>
      <c r="F5582" s="18" t="s">
        <v>9168</v>
      </c>
      <c r="G5582" s="18" t="s">
        <v>192</v>
      </c>
      <c r="H5582" s="18" t="s">
        <v>8420</v>
      </c>
      <c r="I5582" s="20" t="s">
        <v>10561</v>
      </c>
      <c r="J5582" s="18" t="s">
        <v>58</v>
      </c>
      <c r="K5582" s="18" t="s">
        <v>24</v>
      </c>
      <c r="L5582" s="18" t="s">
        <v>25</v>
      </c>
      <c r="N5582" s="18" t="s">
        <v>154</v>
      </c>
    </row>
    <row r="5583" spans="1:14" ht="15" customHeight="1" x14ac:dyDescent="0.3">
      <c r="A5583" s="18" t="s">
        <v>10303</v>
      </c>
      <c r="B5583" s="19" t="s">
        <v>15</v>
      </c>
      <c r="C5583" s="18" t="s">
        <v>149</v>
      </c>
      <c r="D5583" s="18" t="s">
        <v>116</v>
      </c>
      <c r="E5583" s="18" t="s">
        <v>55</v>
      </c>
      <c r="F5583" s="18" t="s">
        <v>10562</v>
      </c>
      <c r="G5583" s="18" t="s">
        <v>298</v>
      </c>
      <c r="H5583" s="18" t="s">
        <v>8420</v>
      </c>
      <c r="I5583" s="20" t="s">
        <v>10563</v>
      </c>
      <c r="J5583" s="18" t="s">
        <v>58</v>
      </c>
      <c r="K5583" s="18" t="s">
        <v>24</v>
      </c>
      <c r="L5583" s="18" t="s">
        <v>25</v>
      </c>
      <c r="N5583" s="18" t="s">
        <v>154</v>
      </c>
    </row>
    <row r="5584" spans="1:14" ht="15" customHeight="1" x14ac:dyDescent="0.3">
      <c r="A5584" s="18" t="s">
        <v>10303</v>
      </c>
      <c r="B5584" s="19" t="s">
        <v>15</v>
      </c>
      <c r="C5584" s="18" t="s">
        <v>149</v>
      </c>
      <c r="D5584" s="18" t="s">
        <v>116</v>
      </c>
      <c r="E5584" s="18" t="s">
        <v>55</v>
      </c>
      <c r="F5584" s="18" t="s">
        <v>10564</v>
      </c>
      <c r="G5584" s="18" t="s">
        <v>192</v>
      </c>
      <c r="H5584" s="18" t="s">
        <v>8420</v>
      </c>
      <c r="I5584" s="20" t="s">
        <v>10565</v>
      </c>
      <c r="J5584" s="18" t="s">
        <v>58</v>
      </c>
      <c r="K5584" s="18" t="s">
        <v>24</v>
      </c>
      <c r="L5584" s="18" t="s">
        <v>25</v>
      </c>
      <c r="N5584" s="18" t="s">
        <v>154</v>
      </c>
    </row>
    <row r="5585" spans="1:14" ht="15" customHeight="1" x14ac:dyDescent="0.3">
      <c r="A5585" s="18" t="s">
        <v>10303</v>
      </c>
      <c r="B5585" s="19" t="s">
        <v>15</v>
      </c>
      <c r="C5585" s="18" t="s">
        <v>149</v>
      </c>
      <c r="D5585" s="18" t="s">
        <v>116</v>
      </c>
      <c r="E5585" s="18" t="s">
        <v>55</v>
      </c>
      <c r="F5585" s="18" t="s">
        <v>10566</v>
      </c>
      <c r="G5585" s="18" t="s">
        <v>197</v>
      </c>
      <c r="H5585" s="18" t="s">
        <v>8420</v>
      </c>
      <c r="I5585" s="20" t="s">
        <v>10567</v>
      </c>
      <c r="J5585" s="18" t="s">
        <v>58</v>
      </c>
      <c r="K5585" s="18" t="s">
        <v>24</v>
      </c>
      <c r="L5585" s="18" t="s">
        <v>25</v>
      </c>
      <c r="N5585" s="18" t="s">
        <v>154</v>
      </c>
    </row>
    <row r="5586" spans="1:14" ht="15" customHeight="1" x14ac:dyDescent="0.3">
      <c r="A5586" s="18" t="s">
        <v>10303</v>
      </c>
      <c r="B5586" s="19" t="s">
        <v>15</v>
      </c>
      <c r="C5586" s="18" t="s">
        <v>149</v>
      </c>
      <c r="D5586" s="18" t="s">
        <v>116</v>
      </c>
      <c r="E5586" s="18" t="s">
        <v>55</v>
      </c>
      <c r="F5586" s="18" t="s">
        <v>10568</v>
      </c>
      <c r="G5586" s="18" t="s">
        <v>151</v>
      </c>
      <c r="H5586" s="18" t="s">
        <v>8835</v>
      </c>
      <c r="I5586" s="20" t="s">
        <v>10569</v>
      </c>
      <c r="J5586" s="18" t="s">
        <v>58</v>
      </c>
      <c r="K5586" s="18" t="s">
        <v>24</v>
      </c>
      <c r="L5586" s="18" t="s">
        <v>25</v>
      </c>
      <c r="N5586" s="18" t="s">
        <v>154</v>
      </c>
    </row>
    <row r="5587" spans="1:14" ht="15" customHeight="1" x14ac:dyDescent="0.3">
      <c r="A5587" s="18" t="s">
        <v>10303</v>
      </c>
      <c r="B5587" s="19" t="s">
        <v>15</v>
      </c>
      <c r="C5587" s="18" t="s">
        <v>149</v>
      </c>
      <c r="D5587" s="18" t="s">
        <v>116</v>
      </c>
      <c r="E5587" s="18" t="s">
        <v>55</v>
      </c>
      <c r="F5587" s="18" t="s">
        <v>10570</v>
      </c>
      <c r="G5587" s="18" t="s">
        <v>433</v>
      </c>
      <c r="H5587" s="18" t="s">
        <v>8559</v>
      </c>
      <c r="I5587" s="20" t="s">
        <v>10571</v>
      </c>
      <c r="J5587" s="18" t="s">
        <v>58</v>
      </c>
      <c r="K5587" s="18" t="s">
        <v>24</v>
      </c>
      <c r="L5587" s="18" t="s">
        <v>25</v>
      </c>
      <c r="N5587" s="18" t="s">
        <v>154</v>
      </c>
    </row>
    <row r="5588" spans="1:14" ht="15" customHeight="1" x14ac:dyDescent="0.3">
      <c r="A5588" s="18" t="s">
        <v>10303</v>
      </c>
      <c r="B5588" s="19" t="s">
        <v>15</v>
      </c>
      <c r="C5588" s="18" t="s">
        <v>149</v>
      </c>
      <c r="D5588" s="18" t="s">
        <v>116</v>
      </c>
      <c r="E5588" s="18" t="s">
        <v>55</v>
      </c>
      <c r="F5588" s="18" t="s">
        <v>6432</v>
      </c>
      <c r="G5588" s="18" t="s">
        <v>6433</v>
      </c>
      <c r="H5588" s="18" t="s">
        <v>8420</v>
      </c>
      <c r="I5588" s="20" t="s">
        <v>10572</v>
      </c>
      <c r="J5588" s="18" t="s">
        <v>58</v>
      </c>
      <c r="K5588" s="18" t="s">
        <v>24</v>
      </c>
      <c r="L5588" s="18" t="s">
        <v>25</v>
      </c>
      <c r="N5588" s="18" t="s">
        <v>154</v>
      </c>
    </row>
    <row r="5589" spans="1:14" ht="15" customHeight="1" x14ac:dyDescent="0.3">
      <c r="A5589" s="18" t="s">
        <v>10303</v>
      </c>
      <c r="B5589" s="19" t="s">
        <v>15</v>
      </c>
      <c r="C5589" s="18" t="s">
        <v>149</v>
      </c>
      <c r="D5589" s="18" t="s">
        <v>116</v>
      </c>
      <c r="E5589" s="18" t="s">
        <v>55</v>
      </c>
      <c r="F5589" s="18" t="s">
        <v>6438</v>
      </c>
      <c r="G5589" s="18" t="s">
        <v>6432</v>
      </c>
      <c r="H5589" s="18" t="s">
        <v>7602</v>
      </c>
      <c r="I5589" s="20" t="s">
        <v>10573</v>
      </c>
      <c r="J5589" s="18" t="s">
        <v>73</v>
      </c>
      <c r="K5589" s="18" t="s">
        <v>24</v>
      </c>
      <c r="L5589" s="18" t="s">
        <v>25</v>
      </c>
      <c r="N5589" s="18" t="s">
        <v>154</v>
      </c>
    </row>
    <row r="5590" spans="1:14" ht="15" customHeight="1" x14ac:dyDescent="0.3">
      <c r="A5590" s="18" t="s">
        <v>10303</v>
      </c>
      <c r="B5590" s="19" t="s">
        <v>15</v>
      </c>
      <c r="C5590" s="18" t="s">
        <v>149</v>
      </c>
      <c r="D5590" s="18" t="s">
        <v>116</v>
      </c>
      <c r="E5590" s="18" t="s">
        <v>55</v>
      </c>
      <c r="F5590" s="18" t="s">
        <v>5050</v>
      </c>
      <c r="G5590" s="18" t="s">
        <v>1069</v>
      </c>
      <c r="H5590" s="18" t="s">
        <v>7602</v>
      </c>
      <c r="I5590" s="20" t="s">
        <v>10574</v>
      </c>
      <c r="J5590" s="18" t="s">
        <v>58</v>
      </c>
      <c r="K5590" s="18" t="s">
        <v>24</v>
      </c>
      <c r="L5590" s="18" t="s">
        <v>25</v>
      </c>
      <c r="N5590" s="18" t="s">
        <v>154</v>
      </c>
    </row>
    <row r="5591" spans="1:14" ht="15" customHeight="1" x14ac:dyDescent="0.3">
      <c r="A5591" s="18" t="s">
        <v>10303</v>
      </c>
      <c r="B5591" s="19" t="s">
        <v>15</v>
      </c>
      <c r="C5591" s="18" t="s">
        <v>149</v>
      </c>
      <c r="D5591" s="18" t="s">
        <v>116</v>
      </c>
      <c r="E5591" s="18" t="s">
        <v>55</v>
      </c>
      <c r="F5591" s="18" t="s">
        <v>10575</v>
      </c>
      <c r="G5591" s="18" t="s">
        <v>1069</v>
      </c>
      <c r="H5591" s="18" t="s">
        <v>7602</v>
      </c>
      <c r="I5591" s="20" t="s">
        <v>10576</v>
      </c>
      <c r="J5591" s="18" t="s">
        <v>199</v>
      </c>
      <c r="K5591" s="18" t="s">
        <v>24</v>
      </c>
      <c r="L5591" s="18" t="s">
        <v>25</v>
      </c>
      <c r="N5591" s="18" t="s">
        <v>154</v>
      </c>
    </row>
    <row r="5592" spans="1:14" ht="15" customHeight="1" x14ac:dyDescent="0.3">
      <c r="A5592" s="18" t="s">
        <v>10303</v>
      </c>
      <c r="B5592" s="19" t="s">
        <v>15</v>
      </c>
      <c r="C5592" s="18" t="s">
        <v>149</v>
      </c>
      <c r="D5592" s="18" t="s">
        <v>116</v>
      </c>
      <c r="E5592" s="18" t="s">
        <v>55</v>
      </c>
      <c r="F5592" s="18" t="s">
        <v>1456</v>
      </c>
      <c r="G5592" s="18" t="s">
        <v>85</v>
      </c>
      <c r="H5592" s="18" t="s">
        <v>7602</v>
      </c>
      <c r="I5592" s="20" t="s">
        <v>10577</v>
      </c>
      <c r="J5592" s="18" t="s">
        <v>58</v>
      </c>
      <c r="K5592" s="18" t="s">
        <v>24</v>
      </c>
      <c r="L5592" s="18" t="s">
        <v>25</v>
      </c>
      <c r="N5592" s="18" t="s">
        <v>154</v>
      </c>
    </row>
    <row r="5593" spans="1:14" ht="15" customHeight="1" x14ac:dyDescent="0.3">
      <c r="A5593" s="18" t="s">
        <v>10303</v>
      </c>
      <c r="B5593" s="19" t="s">
        <v>15</v>
      </c>
      <c r="C5593" s="18" t="s">
        <v>149</v>
      </c>
      <c r="D5593" s="18" t="s">
        <v>116</v>
      </c>
      <c r="E5593" s="18" t="s">
        <v>55</v>
      </c>
      <c r="F5593" s="18" t="s">
        <v>3138</v>
      </c>
      <c r="G5593" s="18" t="s">
        <v>3138</v>
      </c>
      <c r="H5593" s="18" t="s">
        <v>8159</v>
      </c>
      <c r="I5593" s="20" t="s">
        <v>10578</v>
      </c>
      <c r="J5593" s="18" t="s">
        <v>58</v>
      </c>
      <c r="K5593" s="18" t="s">
        <v>24</v>
      </c>
      <c r="L5593" s="18" t="s">
        <v>25</v>
      </c>
      <c r="N5593" s="18" t="s">
        <v>154</v>
      </c>
    </row>
    <row r="5594" spans="1:14" ht="15" customHeight="1" x14ac:dyDescent="0.3">
      <c r="A5594" s="18" t="s">
        <v>10303</v>
      </c>
      <c r="B5594" s="19" t="s">
        <v>15</v>
      </c>
      <c r="C5594" s="18" t="s">
        <v>149</v>
      </c>
      <c r="D5594" s="18" t="s">
        <v>116</v>
      </c>
      <c r="E5594" s="18" t="s">
        <v>55</v>
      </c>
      <c r="F5594" s="18" t="s">
        <v>8654</v>
      </c>
      <c r="G5594" s="18" t="s">
        <v>3138</v>
      </c>
      <c r="H5594" s="18" t="s">
        <v>8159</v>
      </c>
      <c r="I5594" s="20" t="s">
        <v>10579</v>
      </c>
      <c r="J5594" s="18" t="s">
        <v>58</v>
      </c>
      <c r="K5594" s="18" t="s">
        <v>24</v>
      </c>
      <c r="L5594" s="18" t="s">
        <v>25</v>
      </c>
      <c r="N5594" s="18" t="s">
        <v>154</v>
      </c>
    </row>
    <row r="5595" spans="1:14" ht="15" customHeight="1" x14ac:dyDescent="0.3">
      <c r="A5595" s="18" t="s">
        <v>10303</v>
      </c>
      <c r="B5595" s="19" t="s">
        <v>15</v>
      </c>
      <c r="C5595" s="18" t="s">
        <v>149</v>
      </c>
      <c r="D5595" s="18" t="s">
        <v>116</v>
      </c>
      <c r="E5595" s="18" t="s">
        <v>55</v>
      </c>
      <c r="F5595" s="18" t="s">
        <v>10580</v>
      </c>
      <c r="G5595" s="18" t="s">
        <v>606</v>
      </c>
      <c r="H5595" s="18" t="s">
        <v>8159</v>
      </c>
      <c r="I5595" s="20" t="s">
        <v>10581</v>
      </c>
      <c r="J5595" s="18" t="s">
        <v>58</v>
      </c>
      <c r="K5595" s="18" t="s">
        <v>24</v>
      </c>
      <c r="L5595" s="18" t="s">
        <v>25</v>
      </c>
      <c r="N5595" s="18" t="s">
        <v>154</v>
      </c>
    </row>
    <row r="5596" spans="1:14" ht="15" customHeight="1" x14ac:dyDescent="0.3">
      <c r="A5596" s="18" t="s">
        <v>10303</v>
      </c>
      <c r="B5596" s="19" t="s">
        <v>15</v>
      </c>
      <c r="C5596" s="18" t="s">
        <v>149</v>
      </c>
      <c r="D5596" s="18" t="s">
        <v>116</v>
      </c>
      <c r="E5596" s="18" t="s">
        <v>55</v>
      </c>
      <c r="F5596" s="18" t="s">
        <v>8476</v>
      </c>
      <c r="G5596" s="18" t="s">
        <v>2248</v>
      </c>
      <c r="H5596" s="18" t="s">
        <v>8159</v>
      </c>
      <c r="I5596" s="20" t="s">
        <v>10582</v>
      </c>
      <c r="J5596" s="18" t="s">
        <v>58</v>
      </c>
      <c r="K5596" s="18" t="s">
        <v>24</v>
      </c>
      <c r="L5596" s="18" t="s">
        <v>25</v>
      </c>
      <c r="N5596" s="18" t="s">
        <v>154</v>
      </c>
    </row>
    <row r="5597" spans="1:14" ht="15" customHeight="1" x14ac:dyDescent="0.3">
      <c r="A5597" s="18" t="s">
        <v>10303</v>
      </c>
      <c r="B5597" s="19" t="s">
        <v>15</v>
      </c>
      <c r="C5597" s="18" t="s">
        <v>149</v>
      </c>
      <c r="D5597" s="18" t="s">
        <v>116</v>
      </c>
      <c r="E5597" s="18" t="s">
        <v>55</v>
      </c>
      <c r="F5597" s="18" t="s">
        <v>10583</v>
      </c>
      <c r="G5597" s="18" t="s">
        <v>2248</v>
      </c>
      <c r="H5597" s="18" t="s">
        <v>8159</v>
      </c>
      <c r="I5597" s="20" t="s">
        <v>10584</v>
      </c>
      <c r="J5597" s="18" t="s">
        <v>58</v>
      </c>
      <c r="K5597" s="18" t="s">
        <v>24</v>
      </c>
      <c r="L5597" s="18" t="s">
        <v>25</v>
      </c>
      <c r="N5597" s="18" t="s">
        <v>154</v>
      </c>
    </row>
    <row r="5598" spans="1:14" ht="15" customHeight="1" x14ac:dyDescent="0.3">
      <c r="A5598" s="18" t="s">
        <v>10303</v>
      </c>
      <c r="B5598" s="19" t="s">
        <v>15</v>
      </c>
      <c r="C5598" s="18" t="s">
        <v>149</v>
      </c>
      <c r="D5598" s="18" t="s">
        <v>116</v>
      </c>
      <c r="E5598" s="18" t="s">
        <v>55</v>
      </c>
      <c r="F5598" s="18" t="s">
        <v>40</v>
      </c>
      <c r="G5598" s="18" t="s">
        <v>41</v>
      </c>
      <c r="H5598" s="18" t="s">
        <v>7602</v>
      </c>
      <c r="I5598" s="20" t="s">
        <v>10585</v>
      </c>
      <c r="J5598" s="18" t="s">
        <v>58</v>
      </c>
      <c r="K5598" s="18" t="s">
        <v>24</v>
      </c>
      <c r="L5598" s="18" t="s">
        <v>25</v>
      </c>
      <c r="N5598" s="18" t="s">
        <v>154</v>
      </c>
    </row>
    <row r="5599" spans="1:14" ht="15" customHeight="1" x14ac:dyDescent="0.3">
      <c r="A5599" s="18" t="s">
        <v>10303</v>
      </c>
      <c r="B5599" s="19" t="s">
        <v>15</v>
      </c>
      <c r="C5599" s="18" t="s">
        <v>149</v>
      </c>
      <c r="D5599" s="18" t="s">
        <v>116</v>
      </c>
      <c r="E5599" s="18" t="s">
        <v>55</v>
      </c>
      <c r="F5599" s="18" t="s">
        <v>1959</v>
      </c>
      <c r="G5599" s="18" t="s">
        <v>41</v>
      </c>
      <c r="H5599" s="18" t="s">
        <v>7602</v>
      </c>
      <c r="I5599" s="20" t="s">
        <v>10586</v>
      </c>
      <c r="J5599" s="18" t="s">
        <v>58</v>
      </c>
      <c r="K5599" s="18" t="s">
        <v>24</v>
      </c>
      <c r="L5599" s="18" t="s">
        <v>25</v>
      </c>
      <c r="N5599" s="18" t="s">
        <v>154</v>
      </c>
    </row>
    <row r="5600" spans="1:14" ht="15" customHeight="1" x14ac:dyDescent="0.3">
      <c r="A5600" s="18" t="s">
        <v>10303</v>
      </c>
      <c r="B5600" s="19" t="s">
        <v>15</v>
      </c>
      <c r="C5600" s="18" t="s">
        <v>149</v>
      </c>
      <c r="D5600" s="18" t="s">
        <v>116</v>
      </c>
      <c r="E5600" s="18" t="s">
        <v>55</v>
      </c>
      <c r="F5600" s="18" t="s">
        <v>7495</v>
      </c>
      <c r="G5600" s="18" t="s">
        <v>1019</v>
      </c>
      <c r="H5600" s="18" t="s">
        <v>10329</v>
      </c>
      <c r="I5600" s="20" t="s">
        <v>10587</v>
      </c>
      <c r="J5600" s="18" t="s">
        <v>58</v>
      </c>
      <c r="K5600" s="18" t="s">
        <v>24</v>
      </c>
      <c r="L5600" s="18" t="s">
        <v>25</v>
      </c>
      <c r="N5600" s="18" t="s">
        <v>154</v>
      </c>
    </row>
    <row r="5601" spans="1:14" ht="15" customHeight="1" x14ac:dyDescent="0.3">
      <c r="A5601" s="18" t="s">
        <v>10303</v>
      </c>
      <c r="B5601" s="19" t="s">
        <v>15</v>
      </c>
      <c r="C5601" s="18" t="s">
        <v>149</v>
      </c>
      <c r="D5601" s="18" t="s">
        <v>116</v>
      </c>
      <c r="E5601" s="18" t="s">
        <v>55</v>
      </c>
      <c r="F5601" s="18" t="s">
        <v>8671</v>
      </c>
      <c r="G5601" s="18" t="s">
        <v>51</v>
      </c>
      <c r="H5601" s="18" t="s">
        <v>8164</v>
      </c>
      <c r="I5601" s="20" t="s">
        <v>10588</v>
      </c>
      <c r="J5601" s="18" t="s">
        <v>73</v>
      </c>
      <c r="K5601" s="18" t="s">
        <v>24</v>
      </c>
      <c r="L5601" s="18" t="s">
        <v>25</v>
      </c>
      <c r="M5601" s="18" t="s">
        <v>39</v>
      </c>
      <c r="N5601" s="18" t="s">
        <v>154</v>
      </c>
    </row>
    <row r="5602" spans="1:14" ht="15" customHeight="1" x14ac:dyDescent="0.3">
      <c r="A5602" s="18" t="s">
        <v>10303</v>
      </c>
      <c r="B5602" s="19" t="s">
        <v>15</v>
      </c>
      <c r="C5602" s="18" t="s">
        <v>149</v>
      </c>
      <c r="D5602" s="18" t="s">
        <v>116</v>
      </c>
      <c r="E5602" s="18" t="s">
        <v>55</v>
      </c>
      <c r="F5602" s="18" t="s">
        <v>10589</v>
      </c>
      <c r="G5602" s="18" t="s">
        <v>41</v>
      </c>
      <c r="H5602" s="18" t="s">
        <v>7602</v>
      </c>
      <c r="I5602" s="20" t="s">
        <v>10590</v>
      </c>
      <c r="J5602" s="18" t="s">
        <v>199</v>
      </c>
      <c r="K5602" s="18" t="s">
        <v>24</v>
      </c>
      <c r="L5602" s="18" t="s">
        <v>25</v>
      </c>
      <c r="N5602" s="18" t="s">
        <v>154</v>
      </c>
    </row>
    <row r="5603" spans="1:14" ht="15" customHeight="1" x14ac:dyDescent="0.3">
      <c r="A5603" s="18" t="s">
        <v>10303</v>
      </c>
      <c r="B5603" s="19" t="s">
        <v>15</v>
      </c>
      <c r="C5603" s="18" t="s">
        <v>149</v>
      </c>
      <c r="D5603" s="18" t="s">
        <v>116</v>
      </c>
      <c r="E5603" s="18" t="s">
        <v>55</v>
      </c>
      <c r="F5603" s="18" t="s">
        <v>10591</v>
      </c>
      <c r="G5603" s="18" t="s">
        <v>41</v>
      </c>
      <c r="H5603" s="18" t="s">
        <v>7602</v>
      </c>
      <c r="I5603" s="20" t="s">
        <v>10592</v>
      </c>
      <c r="J5603" s="18" t="s">
        <v>58</v>
      </c>
      <c r="K5603" s="18" t="s">
        <v>24</v>
      </c>
      <c r="L5603" s="18" t="s">
        <v>25</v>
      </c>
      <c r="N5603" s="18" t="s">
        <v>154</v>
      </c>
    </row>
    <row r="5604" spans="1:14" ht="15" customHeight="1" x14ac:dyDescent="0.3">
      <c r="A5604" s="18" t="s">
        <v>10303</v>
      </c>
      <c r="B5604" s="19" t="s">
        <v>15</v>
      </c>
      <c r="C5604" s="18" t="s">
        <v>149</v>
      </c>
      <c r="D5604" s="18" t="s">
        <v>116</v>
      </c>
      <c r="E5604" s="18" t="s">
        <v>55</v>
      </c>
      <c r="F5604" s="18" t="s">
        <v>3311</v>
      </c>
      <c r="G5604" s="18" t="s">
        <v>47</v>
      </c>
      <c r="H5604" s="18" t="s">
        <v>8559</v>
      </c>
      <c r="I5604" s="20" t="s">
        <v>10593</v>
      </c>
      <c r="J5604" s="18" t="s">
        <v>58</v>
      </c>
      <c r="K5604" s="18" t="s">
        <v>24</v>
      </c>
      <c r="L5604" s="18" t="s">
        <v>25</v>
      </c>
      <c r="M5604" s="18" t="s">
        <v>39</v>
      </c>
      <c r="N5604" s="18" t="s">
        <v>154</v>
      </c>
    </row>
    <row r="5605" spans="1:14" ht="15" customHeight="1" x14ac:dyDescent="0.3">
      <c r="A5605" s="18" t="s">
        <v>10303</v>
      </c>
      <c r="B5605" s="19" t="s">
        <v>15</v>
      </c>
      <c r="C5605" s="18" t="s">
        <v>149</v>
      </c>
      <c r="D5605" s="18" t="s">
        <v>116</v>
      </c>
      <c r="E5605" s="18" t="s">
        <v>55</v>
      </c>
      <c r="F5605" s="18" t="s">
        <v>10594</v>
      </c>
      <c r="G5605" s="18" t="s">
        <v>41</v>
      </c>
      <c r="H5605" s="18" t="s">
        <v>7602</v>
      </c>
      <c r="I5605" s="20" t="s">
        <v>10595</v>
      </c>
      <c r="J5605" s="18" t="s">
        <v>58</v>
      </c>
      <c r="K5605" s="18" t="s">
        <v>24</v>
      </c>
      <c r="L5605" s="18" t="s">
        <v>25</v>
      </c>
      <c r="N5605" s="18" t="s">
        <v>154</v>
      </c>
    </row>
    <row r="5606" spans="1:14" ht="15" customHeight="1" x14ac:dyDescent="0.3">
      <c r="A5606" s="18" t="s">
        <v>10303</v>
      </c>
      <c r="B5606" s="19" t="s">
        <v>15</v>
      </c>
      <c r="C5606" s="18" t="s">
        <v>149</v>
      </c>
      <c r="D5606" s="18" t="s">
        <v>116</v>
      </c>
      <c r="E5606" s="18" t="s">
        <v>55</v>
      </c>
      <c r="F5606" s="18" t="s">
        <v>10596</v>
      </c>
      <c r="G5606" s="18" t="s">
        <v>197</v>
      </c>
      <c r="H5606" s="18" t="s">
        <v>8420</v>
      </c>
      <c r="I5606" s="20" t="s">
        <v>10597</v>
      </c>
      <c r="J5606" s="18" t="s">
        <v>58</v>
      </c>
      <c r="K5606" s="18" t="s">
        <v>24</v>
      </c>
      <c r="L5606" s="18" t="s">
        <v>25</v>
      </c>
      <c r="N5606" s="18" t="s">
        <v>154</v>
      </c>
    </row>
    <row r="5607" spans="1:14" ht="15" customHeight="1" x14ac:dyDescent="0.3">
      <c r="A5607" s="18" t="s">
        <v>10303</v>
      </c>
      <c r="B5607" s="19" t="s">
        <v>15</v>
      </c>
      <c r="C5607" s="18" t="s">
        <v>149</v>
      </c>
      <c r="D5607" s="18" t="s">
        <v>116</v>
      </c>
      <c r="E5607" s="18" t="s">
        <v>55</v>
      </c>
      <c r="F5607" s="18" t="s">
        <v>10598</v>
      </c>
      <c r="G5607" s="18" t="s">
        <v>197</v>
      </c>
      <c r="H5607" s="18" t="s">
        <v>8420</v>
      </c>
      <c r="I5607" s="20" t="s">
        <v>10599</v>
      </c>
      <c r="J5607" s="18" t="s">
        <v>58</v>
      </c>
      <c r="K5607" s="18" t="s">
        <v>24</v>
      </c>
      <c r="L5607" s="18" t="s">
        <v>25</v>
      </c>
      <c r="N5607" s="18" t="s">
        <v>154</v>
      </c>
    </row>
    <row r="5608" spans="1:14" ht="15" customHeight="1" x14ac:dyDescent="0.3">
      <c r="A5608" s="18" t="s">
        <v>10303</v>
      </c>
      <c r="B5608" s="19" t="s">
        <v>15</v>
      </c>
      <c r="C5608" s="18" t="s">
        <v>149</v>
      </c>
      <c r="D5608" s="18" t="s">
        <v>116</v>
      </c>
      <c r="E5608" s="18" t="s">
        <v>55</v>
      </c>
      <c r="F5608" s="18" t="s">
        <v>10600</v>
      </c>
      <c r="G5608" s="18" t="s">
        <v>197</v>
      </c>
      <c r="H5608" s="18" t="s">
        <v>8420</v>
      </c>
      <c r="I5608" s="20" t="s">
        <v>10601</v>
      </c>
      <c r="J5608" s="18" t="s">
        <v>58</v>
      </c>
      <c r="K5608" s="18" t="s">
        <v>24</v>
      </c>
      <c r="L5608" s="18" t="s">
        <v>25</v>
      </c>
      <c r="N5608" s="18" t="s">
        <v>154</v>
      </c>
    </row>
    <row r="5609" spans="1:14" ht="15" customHeight="1" x14ac:dyDescent="0.3">
      <c r="A5609" s="18" t="s">
        <v>10303</v>
      </c>
      <c r="B5609" s="19" t="s">
        <v>15</v>
      </c>
      <c r="C5609" s="18" t="s">
        <v>149</v>
      </c>
      <c r="D5609" s="18" t="s">
        <v>116</v>
      </c>
      <c r="E5609" s="18" t="s">
        <v>55</v>
      </c>
      <c r="F5609" s="18" t="s">
        <v>10602</v>
      </c>
      <c r="G5609" s="18" t="s">
        <v>197</v>
      </c>
      <c r="H5609" s="18" t="s">
        <v>8420</v>
      </c>
      <c r="I5609" s="20" t="s">
        <v>10603</v>
      </c>
      <c r="J5609" s="18" t="s">
        <v>58</v>
      </c>
      <c r="K5609" s="18" t="s">
        <v>24</v>
      </c>
      <c r="L5609" s="18" t="s">
        <v>25</v>
      </c>
      <c r="N5609" s="18" t="s">
        <v>154</v>
      </c>
    </row>
    <row r="5610" spans="1:14" ht="15" customHeight="1" x14ac:dyDescent="0.3">
      <c r="A5610" s="18" t="s">
        <v>10303</v>
      </c>
      <c r="B5610" s="19" t="s">
        <v>15</v>
      </c>
      <c r="C5610" s="18" t="s">
        <v>149</v>
      </c>
      <c r="D5610" s="18" t="s">
        <v>116</v>
      </c>
      <c r="E5610" s="18" t="s">
        <v>55</v>
      </c>
      <c r="F5610" s="18" t="s">
        <v>10604</v>
      </c>
      <c r="G5610" s="18" t="s">
        <v>1291</v>
      </c>
      <c r="H5610" s="18" t="s">
        <v>8835</v>
      </c>
      <c r="I5610" s="20" t="s">
        <v>10605</v>
      </c>
      <c r="J5610" s="18" t="s">
        <v>58</v>
      </c>
      <c r="K5610" s="18" t="s">
        <v>24</v>
      </c>
      <c r="L5610" s="18" t="s">
        <v>25</v>
      </c>
      <c r="N5610" s="18" t="s">
        <v>154</v>
      </c>
    </row>
    <row r="5611" spans="1:14" ht="15" customHeight="1" x14ac:dyDescent="0.3">
      <c r="A5611" s="18" t="s">
        <v>10303</v>
      </c>
      <c r="B5611" s="19" t="s">
        <v>15</v>
      </c>
      <c r="C5611" s="18" t="s">
        <v>149</v>
      </c>
      <c r="D5611" s="18" t="s">
        <v>116</v>
      </c>
      <c r="E5611" s="18" t="s">
        <v>55</v>
      </c>
      <c r="F5611" s="18" t="s">
        <v>10606</v>
      </c>
      <c r="G5611" s="18" t="s">
        <v>606</v>
      </c>
      <c r="H5611" s="18" t="s">
        <v>10383</v>
      </c>
      <c r="I5611" s="20" t="s">
        <v>10607</v>
      </c>
      <c r="J5611" s="18" t="s">
        <v>58</v>
      </c>
      <c r="K5611" s="18" t="s">
        <v>24</v>
      </c>
      <c r="L5611" s="18" t="s">
        <v>25</v>
      </c>
      <c r="N5611" s="18" t="s">
        <v>154</v>
      </c>
    </row>
    <row r="5612" spans="1:14" ht="15" customHeight="1" x14ac:dyDescent="0.3">
      <c r="A5612" s="18" t="s">
        <v>10303</v>
      </c>
      <c r="B5612" s="19" t="s">
        <v>15</v>
      </c>
      <c r="C5612" s="18" t="s">
        <v>149</v>
      </c>
      <c r="D5612" s="18" t="s">
        <v>116</v>
      </c>
      <c r="E5612" s="18" t="s">
        <v>55</v>
      </c>
      <c r="F5612" s="18" t="s">
        <v>10608</v>
      </c>
      <c r="G5612" s="18" t="s">
        <v>47</v>
      </c>
      <c r="H5612" s="18" t="s">
        <v>8159</v>
      </c>
      <c r="I5612" s="20" t="s">
        <v>10609</v>
      </c>
      <c r="J5612" s="18" t="s">
        <v>58</v>
      </c>
      <c r="K5612" s="18" t="s">
        <v>24</v>
      </c>
      <c r="L5612" s="18" t="s">
        <v>25</v>
      </c>
      <c r="N5612" s="18" t="s">
        <v>154</v>
      </c>
    </row>
    <row r="5613" spans="1:14" ht="15" customHeight="1" x14ac:dyDescent="0.3">
      <c r="A5613" s="18" t="s">
        <v>10303</v>
      </c>
      <c r="B5613" s="19" t="s">
        <v>15</v>
      </c>
      <c r="C5613" s="18" t="s">
        <v>149</v>
      </c>
      <c r="D5613" s="18" t="s">
        <v>116</v>
      </c>
      <c r="E5613" s="18" t="s">
        <v>55</v>
      </c>
      <c r="F5613" s="18" t="s">
        <v>10610</v>
      </c>
      <c r="G5613" s="18" t="s">
        <v>173</v>
      </c>
      <c r="H5613" s="18" t="s">
        <v>8856</v>
      </c>
      <c r="I5613" s="20" t="s">
        <v>10611</v>
      </c>
      <c r="J5613" s="18" t="s">
        <v>73</v>
      </c>
      <c r="K5613" s="18" t="s">
        <v>24</v>
      </c>
      <c r="L5613" s="18" t="s">
        <v>25</v>
      </c>
      <c r="N5613" s="18" t="s">
        <v>154</v>
      </c>
    </row>
    <row r="5614" spans="1:14" ht="15" customHeight="1" x14ac:dyDescent="0.3">
      <c r="A5614" s="18" t="s">
        <v>10303</v>
      </c>
      <c r="B5614" s="19" t="s">
        <v>15</v>
      </c>
      <c r="C5614" s="18" t="s">
        <v>149</v>
      </c>
      <c r="D5614" s="18" t="s">
        <v>116</v>
      </c>
      <c r="E5614" s="18" t="s">
        <v>55</v>
      </c>
      <c r="F5614" s="18" t="s">
        <v>10612</v>
      </c>
      <c r="G5614" s="18" t="s">
        <v>1254</v>
      </c>
      <c r="H5614" s="18" t="s">
        <v>7602</v>
      </c>
      <c r="I5614" s="20" t="s">
        <v>10613</v>
      </c>
      <c r="J5614" s="18" t="s">
        <v>58</v>
      </c>
      <c r="K5614" s="18" t="s">
        <v>24</v>
      </c>
      <c r="L5614" s="18" t="s">
        <v>25</v>
      </c>
      <c r="N5614" s="18" t="s">
        <v>154</v>
      </c>
    </row>
    <row r="5615" spans="1:14" ht="15" customHeight="1" x14ac:dyDescent="0.3">
      <c r="A5615" s="18" t="s">
        <v>10303</v>
      </c>
      <c r="B5615" s="19" t="s">
        <v>15</v>
      </c>
      <c r="C5615" s="18" t="s">
        <v>149</v>
      </c>
      <c r="D5615" s="18" t="s">
        <v>116</v>
      </c>
      <c r="E5615" s="18" t="s">
        <v>55</v>
      </c>
      <c r="F5615" s="18" t="s">
        <v>1492</v>
      </c>
      <c r="G5615" s="18" t="s">
        <v>47</v>
      </c>
      <c r="H5615" s="18" t="s">
        <v>8159</v>
      </c>
      <c r="I5615" s="20" t="s">
        <v>10614</v>
      </c>
      <c r="J5615" s="18" t="s">
        <v>58</v>
      </c>
      <c r="K5615" s="18" t="s">
        <v>24</v>
      </c>
      <c r="L5615" s="18" t="s">
        <v>25</v>
      </c>
      <c r="N5615" s="18" t="s">
        <v>154</v>
      </c>
    </row>
    <row r="5616" spans="1:14" ht="15" customHeight="1" x14ac:dyDescent="0.3">
      <c r="A5616" s="18" t="s">
        <v>10303</v>
      </c>
      <c r="B5616" s="19" t="s">
        <v>15</v>
      </c>
      <c r="C5616" s="18" t="s">
        <v>149</v>
      </c>
      <c r="D5616" s="18" t="s">
        <v>116</v>
      </c>
      <c r="E5616" s="18" t="s">
        <v>55</v>
      </c>
      <c r="F5616" s="18" t="s">
        <v>9254</v>
      </c>
      <c r="G5616" s="18" t="s">
        <v>192</v>
      </c>
      <c r="H5616" s="18" t="s">
        <v>8420</v>
      </c>
      <c r="I5616" s="20" t="s">
        <v>10615</v>
      </c>
      <c r="J5616" s="18" t="s">
        <v>58</v>
      </c>
      <c r="K5616" s="18" t="s">
        <v>24</v>
      </c>
      <c r="L5616" s="18" t="s">
        <v>25</v>
      </c>
      <c r="N5616" s="18" t="s">
        <v>154</v>
      </c>
    </row>
    <row r="5617" spans="1:14" ht="15" customHeight="1" x14ac:dyDescent="0.3">
      <c r="A5617" s="18" t="s">
        <v>10303</v>
      </c>
      <c r="B5617" s="19" t="s">
        <v>15</v>
      </c>
      <c r="C5617" s="18" t="s">
        <v>149</v>
      </c>
      <c r="D5617" s="18" t="s">
        <v>116</v>
      </c>
      <c r="E5617" s="18" t="s">
        <v>55</v>
      </c>
      <c r="F5617" s="18" t="s">
        <v>1832</v>
      </c>
      <c r="G5617" s="18" t="s">
        <v>219</v>
      </c>
      <c r="H5617" s="18" t="s">
        <v>7602</v>
      </c>
      <c r="I5617" s="20" t="s">
        <v>10616</v>
      </c>
      <c r="J5617" s="18" t="s">
        <v>58</v>
      </c>
      <c r="K5617" s="18" t="s">
        <v>24</v>
      </c>
      <c r="L5617" s="18" t="s">
        <v>25</v>
      </c>
      <c r="N5617" s="18" t="s">
        <v>154</v>
      </c>
    </row>
    <row r="5618" spans="1:14" ht="15" customHeight="1" x14ac:dyDescent="0.3">
      <c r="A5618" s="18" t="s">
        <v>10303</v>
      </c>
      <c r="B5618" s="19" t="s">
        <v>15</v>
      </c>
      <c r="C5618" s="18" t="s">
        <v>149</v>
      </c>
      <c r="D5618" s="18" t="s">
        <v>116</v>
      </c>
      <c r="E5618" s="18" t="s">
        <v>55</v>
      </c>
      <c r="F5618" s="18" t="s">
        <v>1095</v>
      </c>
      <c r="G5618" s="18" t="s">
        <v>1095</v>
      </c>
      <c r="H5618" s="18" t="s">
        <v>8159</v>
      </c>
      <c r="I5618" s="20" t="s">
        <v>10617</v>
      </c>
      <c r="J5618" s="18" t="s">
        <v>58</v>
      </c>
      <c r="K5618" s="18" t="s">
        <v>24</v>
      </c>
      <c r="L5618" s="18" t="s">
        <v>25</v>
      </c>
      <c r="N5618" s="18" t="s">
        <v>154</v>
      </c>
    </row>
    <row r="5619" spans="1:14" ht="15" customHeight="1" x14ac:dyDescent="0.3">
      <c r="A5619" s="18" t="s">
        <v>10303</v>
      </c>
      <c r="B5619" s="19" t="s">
        <v>15</v>
      </c>
      <c r="C5619" s="18" t="s">
        <v>149</v>
      </c>
      <c r="D5619" s="18" t="s">
        <v>116</v>
      </c>
      <c r="E5619" s="18" t="s">
        <v>55</v>
      </c>
      <c r="F5619" s="18" t="s">
        <v>10618</v>
      </c>
      <c r="G5619" s="18" t="s">
        <v>1254</v>
      </c>
      <c r="H5619" s="18" t="s">
        <v>8164</v>
      </c>
      <c r="I5619" s="20" t="s">
        <v>10619</v>
      </c>
      <c r="J5619" s="18" t="s">
        <v>58</v>
      </c>
      <c r="K5619" s="18" t="s">
        <v>24</v>
      </c>
      <c r="L5619" s="18" t="s">
        <v>25</v>
      </c>
      <c r="N5619" s="18" t="s">
        <v>154</v>
      </c>
    </row>
    <row r="5620" spans="1:14" ht="15" customHeight="1" x14ac:dyDescent="0.3">
      <c r="A5620" s="18" t="s">
        <v>10303</v>
      </c>
      <c r="B5620" s="19" t="s">
        <v>15</v>
      </c>
      <c r="C5620" s="18" t="s">
        <v>149</v>
      </c>
      <c r="D5620" s="18" t="s">
        <v>116</v>
      </c>
      <c r="E5620" s="18" t="s">
        <v>55</v>
      </c>
      <c r="F5620" s="18" t="s">
        <v>8698</v>
      </c>
      <c r="G5620" s="18" t="s">
        <v>212</v>
      </c>
      <c r="H5620" s="18" t="s">
        <v>8164</v>
      </c>
      <c r="I5620" s="20" t="s">
        <v>10620</v>
      </c>
      <c r="J5620" s="18" t="s">
        <v>73</v>
      </c>
      <c r="K5620" s="18" t="s">
        <v>24</v>
      </c>
      <c r="L5620" s="18" t="s">
        <v>25</v>
      </c>
      <c r="M5620" s="18" t="s">
        <v>39</v>
      </c>
      <c r="N5620" s="18" t="s">
        <v>154</v>
      </c>
    </row>
    <row r="5621" spans="1:14" ht="15" customHeight="1" x14ac:dyDescent="0.3">
      <c r="A5621" s="18" t="s">
        <v>10303</v>
      </c>
      <c r="B5621" s="19" t="s">
        <v>15</v>
      </c>
      <c r="C5621" s="18" t="s">
        <v>149</v>
      </c>
      <c r="D5621" s="18" t="s">
        <v>116</v>
      </c>
      <c r="E5621" s="18" t="s">
        <v>55</v>
      </c>
      <c r="F5621" s="18" t="s">
        <v>10621</v>
      </c>
      <c r="G5621" s="18" t="s">
        <v>423</v>
      </c>
      <c r="H5621" s="18" t="s">
        <v>10383</v>
      </c>
      <c r="I5621" s="20" t="s">
        <v>10622</v>
      </c>
      <c r="J5621" s="18" t="s">
        <v>58</v>
      </c>
      <c r="K5621" s="18" t="s">
        <v>24</v>
      </c>
      <c r="L5621" s="18" t="s">
        <v>25</v>
      </c>
      <c r="N5621" s="18" t="s">
        <v>154</v>
      </c>
    </row>
    <row r="5622" spans="1:14" ht="15" customHeight="1" x14ac:dyDescent="0.3">
      <c r="A5622" s="18" t="s">
        <v>10303</v>
      </c>
      <c r="B5622" s="19" t="s">
        <v>15</v>
      </c>
      <c r="C5622" s="18" t="s">
        <v>149</v>
      </c>
      <c r="D5622" s="18" t="s">
        <v>116</v>
      </c>
      <c r="E5622" s="18" t="s">
        <v>55</v>
      </c>
      <c r="F5622" s="18" t="s">
        <v>10623</v>
      </c>
      <c r="G5622" s="18" t="s">
        <v>423</v>
      </c>
      <c r="H5622" s="18" t="s">
        <v>8559</v>
      </c>
      <c r="I5622" s="20" t="s">
        <v>10624</v>
      </c>
      <c r="J5622" s="18" t="s">
        <v>73</v>
      </c>
      <c r="K5622" s="18" t="s">
        <v>24</v>
      </c>
      <c r="L5622" s="18" t="s">
        <v>25</v>
      </c>
      <c r="N5622" s="18" t="s">
        <v>154</v>
      </c>
    </row>
    <row r="5623" spans="1:14" ht="15" customHeight="1" x14ac:dyDescent="0.3">
      <c r="A5623" s="18" t="s">
        <v>10303</v>
      </c>
      <c r="B5623" s="19" t="s">
        <v>15</v>
      </c>
      <c r="C5623" s="18" t="s">
        <v>149</v>
      </c>
      <c r="D5623" s="18" t="s">
        <v>116</v>
      </c>
      <c r="E5623" s="18" t="s">
        <v>55</v>
      </c>
      <c r="F5623" s="18" t="s">
        <v>10625</v>
      </c>
      <c r="G5623" s="18" t="s">
        <v>423</v>
      </c>
      <c r="H5623" s="18" t="s">
        <v>8559</v>
      </c>
      <c r="I5623" s="20" t="s">
        <v>10626</v>
      </c>
      <c r="J5623" s="18" t="s">
        <v>58</v>
      </c>
      <c r="K5623" s="18" t="s">
        <v>24</v>
      </c>
      <c r="L5623" s="18" t="s">
        <v>25</v>
      </c>
      <c r="N5623" s="18" t="s">
        <v>154</v>
      </c>
    </row>
    <row r="5624" spans="1:14" ht="15" customHeight="1" x14ac:dyDescent="0.3">
      <c r="A5624" s="18" t="s">
        <v>10303</v>
      </c>
      <c r="B5624" s="19" t="s">
        <v>15</v>
      </c>
      <c r="C5624" s="18" t="s">
        <v>149</v>
      </c>
      <c r="D5624" s="18" t="s">
        <v>116</v>
      </c>
      <c r="E5624" s="18" t="s">
        <v>55</v>
      </c>
      <c r="F5624" s="18" t="s">
        <v>10627</v>
      </c>
      <c r="G5624" s="18" t="s">
        <v>606</v>
      </c>
      <c r="H5624" s="18" t="s">
        <v>8429</v>
      </c>
      <c r="I5624" s="20" t="s">
        <v>10628</v>
      </c>
      <c r="J5624" s="18" t="s">
        <v>58</v>
      </c>
      <c r="K5624" s="18" t="s">
        <v>24</v>
      </c>
      <c r="L5624" s="18" t="s">
        <v>25</v>
      </c>
      <c r="N5624" s="18" t="s">
        <v>154</v>
      </c>
    </row>
    <row r="5625" spans="1:14" ht="15" customHeight="1" x14ac:dyDescent="0.3">
      <c r="A5625" s="18" t="s">
        <v>10303</v>
      </c>
      <c r="B5625" s="19" t="s">
        <v>15</v>
      </c>
      <c r="C5625" s="18" t="s">
        <v>149</v>
      </c>
      <c r="D5625" s="18" t="s">
        <v>116</v>
      </c>
      <c r="E5625" s="18" t="s">
        <v>55</v>
      </c>
      <c r="F5625" s="18" t="s">
        <v>10629</v>
      </c>
      <c r="G5625" s="18" t="s">
        <v>1095</v>
      </c>
      <c r="H5625" s="18" t="s">
        <v>7602</v>
      </c>
      <c r="I5625" s="20" t="s">
        <v>10630</v>
      </c>
      <c r="J5625" s="18" t="s">
        <v>58</v>
      </c>
      <c r="K5625" s="18" t="s">
        <v>24</v>
      </c>
      <c r="L5625" s="18" t="s">
        <v>25</v>
      </c>
      <c r="N5625" s="18" t="s">
        <v>154</v>
      </c>
    </row>
    <row r="5626" spans="1:14" ht="15" customHeight="1" x14ac:dyDescent="0.3">
      <c r="A5626" s="18" t="s">
        <v>10303</v>
      </c>
      <c r="B5626" s="19" t="s">
        <v>15</v>
      </c>
      <c r="C5626" s="18" t="s">
        <v>149</v>
      </c>
      <c r="D5626" s="18" t="s">
        <v>116</v>
      </c>
      <c r="E5626" s="18" t="s">
        <v>55</v>
      </c>
      <c r="F5626" s="18" t="s">
        <v>2327</v>
      </c>
      <c r="G5626" s="18" t="s">
        <v>160</v>
      </c>
      <c r="H5626" s="18" t="s">
        <v>8159</v>
      </c>
      <c r="I5626" s="20" t="s">
        <v>10631</v>
      </c>
      <c r="J5626" s="18" t="s">
        <v>58</v>
      </c>
      <c r="K5626" s="18" t="s">
        <v>24</v>
      </c>
      <c r="L5626" s="18" t="s">
        <v>25</v>
      </c>
      <c r="N5626" s="18" t="s">
        <v>154</v>
      </c>
    </row>
    <row r="5627" spans="1:14" ht="15" customHeight="1" x14ac:dyDescent="0.3">
      <c r="A5627" s="18" t="s">
        <v>10303</v>
      </c>
      <c r="B5627" s="19" t="s">
        <v>15</v>
      </c>
      <c r="C5627" s="18" t="s">
        <v>149</v>
      </c>
      <c r="D5627" s="18" t="s">
        <v>116</v>
      </c>
      <c r="E5627" s="18" t="s">
        <v>55</v>
      </c>
      <c r="F5627" s="18" t="s">
        <v>7884</v>
      </c>
      <c r="G5627" s="18" t="s">
        <v>197</v>
      </c>
      <c r="H5627" s="18" t="s">
        <v>8420</v>
      </c>
      <c r="I5627" s="20" t="s">
        <v>10632</v>
      </c>
      <c r="J5627" s="18" t="s">
        <v>58</v>
      </c>
      <c r="K5627" s="18" t="s">
        <v>24</v>
      </c>
      <c r="L5627" s="18" t="s">
        <v>25</v>
      </c>
      <c r="N5627" s="18" t="s">
        <v>154</v>
      </c>
    </row>
    <row r="5628" spans="1:14" ht="15" customHeight="1" x14ac:dyDescent="0.3">
      <c r="A5628" s="18" t="s">
        <v>10303</v>
      </c>
      <c r="B5628" s="19" t="s">
        <v>15</v>
      </c>
      <c r="C5628" s="18" t="s">
        <v>149</v>
      </c>
      <c r="D5628" s="18" t="s">
        <v>116</v>
      </c>
      <c r="E5628" s="18" t="s">
        <v>55</v>
      </c>
      <c r="F5628" s="18" t="s">
        <v>10633</v>
      </c>
      <c r="G5628" s="18" t="s">
        <v>1069</v>
      </c>
      <c r="H5628" s="18" t="s">
        <v>7602</v>
      </c>
      <c r="I5628" s="20" t="s">
        <v>10634</v>
      </c>
      <c r="J5628" s="18" t="s">
        <v>199</v>
      </c>
      <c r="K5628" s="18" t="s">
        <v>24</v>
      </c>
      <c r="L5628" s="18" t="s">
        <v>25</v>
      </c>
      <c r="N5628" s="18" t="s">
        <v>154</v>
      </c>
    </row>
    <row r="5629" spans="1:14" ht="15" customHeight="1" x14ac:dyDescent="0.3">
      <c r="A5629" s="18" t="s">
        <v>10303</v>
      </c>
      <c r="B5629" s="19" t="s">
        <v>15</v>
      </c>
      <c r="C5629" s="18" t="s">
        <v>149</v>
      </c>
      <c r="D5629" s="18" t="s">
        <v>116</v>
      </c>
      <c r="E5629" s="18" t="s">
        <v>55</v>
      </c>
      <c r="F5629" s="18" t="s">
        <v>10635</v>
      </c>
      <c r="G5629" s="18" t="s">
        <v>7647</v>
      </c>
      <c r="H5629" s="18" t="s">
        <v>8159</v>
      </c>
      <c r="I5629" s="20" t="s">
        <v>10636</v>
      </c>
      <c r="J5629" s="18" t="s">
        <v>58</v>
      </c>
      <c r="K5629" s="18" t="s">
        <v>24</v>
      </c>
      <c r="L5629" s="18" t="s">
        <v>25</v>
      </c>
      <c r="N5629" s="18" t="s">
        <v>154</v>
      </c>
    </row>
    <row r="5630" spans="1:14" ht="15" customHeight="1" x14ac:dyDescent="0.3">
      <c r="A5630" s="18" t="s">
        <v>10303</v>
      </c>
      <c r="B5630" s="19" t="s">
        <v>15</v>
      </c>
      <c r="C5630" s="18" t="s">
        <v>149</v>
      </c>
      <c r="D5630" s="18" t="s">
        <v>116</v>
      </c>
      <c r="E5630" s="18" t="s">
        <v>55</v>
      </c>
      <c r="F5630" s="18" t="s">
        <v>10637</v>
      </c>
      <c r="G5630" s="18" t="s">
        <v>606</v>
      </c>
      <c r="H5630" s="18" t="s">
        <v>8559</v>
      </c>
      <c r="I5630" s="20" t="s">
        <v>10638</v>
      </c>
      <c r="J5630" s="18" t="s">
        <v>58</v>
      </c>
      <c r="K5630" s="18" t="s">
        <v>24</v>
      </c>
      <c r="L5630" s="18" t="s">
        <v>25</v>
      </c>
      <c r="N5630" s="18" t="s">
        <v>154</v>
      </c>
    </row>
    <row r="5631" spans="1:14" ht="15" customHeight="1" x14ac:dyDescent="0.3">
      <c r="A5631" s="18" t="s">
        <v>10303</v>
      </c>
      <c r="B5631" s="19" t="s">
        <v>15</v>
      </c>
      <c r="C5631" s="18" t="s">
        <v>149</v>
      </c>
      <c r="D5631" s="18" t="s">
        <v>116</v>
      </c>
      <c r="E5631" s="18" t="s">
        <v>55</v>
      </c>
      <c r="F5631" s="18" t="s">
        <v>10639</v>
      </c>
      <c r="G5631" s="18" t="s">
        <v>340</v>
      </c>
      <c r="H5631" s="18" t="s">
        <v>8434</v>
      </c>
      <c r="I5631" s="20" t="s">
        <v>10640</v>
      </c>
      <c r="J5631" s="18" t="s">
        <v>58</v>
      </c>
      <c r="K5631" s="18" t="s">
        <v>24</v>
      </c>
      <c r="L5631" s="18" t="s">
        <v>25</v>
      </c>
      <c r="N5631" s="18" t="s">
        <v>154</v>
      </c>
    </row>
    <row r="5632" spans="1:14" ht="15" customHeight="1" x14ac:dyDescent="0.3">
      <c r="A5632" s="18" t="s">
        <v>10303</v>
      </c>
      <c r="B5632" s="19" t="s">
        <v>15</v>
      </c>
      <c r="C5632" s="18" t="s">
        <v>149</v>
      </c>
      <c r="D5632" s="18" t="s">
        <v>116</v>
      </c>
      <c r="E5632" s="18" t="s">
        <v>55</v>
      </c>
      <c r="F5632" s="18" t="s">
        <v>651</v>
      </c>
      <c r="G5632" s="18" t="s">
        <v>19</v>
      </c>
      <c r="H5632" s="18" t="s">
        <v>10306</v>
      </c>
      <c r="I5632" s="20" t="s">
        <v>10641</v>
      </c>
      <c r="J5632" s="18" t="s">
        <v>58</v>
      </c>
      <c r="K5632" s="18" t="s">
        <v>24</v>
      </c>
      <c r="L5632" s="18" t="s">
        <v>25</v>
      </c>
      <c r="N5632" s="18" t="s">
        <v>154</v>
      </c>
    </row>
    <row r="5633" spans="1:14" ht="15" customHeight="1" x14ac:dyDescent="0.3">
      <c r="A5633" s="18" t="s">
        <v>10303</v>
      </c>
      <c r="B5633" s="19" t="s">
        <v>15</v>
      </c>
      <c r="C5633" s="18" t="s">
        <v>149</v>
      </c>
      <c r="D5633" s="18" t="s">
        <v>116</v>
      </c>
      <c r="E5633" s="18" t="s">
        <v>55</v>
      </c>
      <c r="F5633" s="18" t="s">
        <v>10642</v>
      </c>
      <c r="G5633" s="18" t="s">
        <v>19</v>
      </c>
      <c r="H5633" s="18" t="s">
        <v>10306</v>
      </c>
      <c r="I5633" s="20" t="s">
        <v>10643</v>
      </c>
      <c r="J5633" s="18" t="s">
        <v>58</v>
      </c>
      <c r="K5633" s="18" t="s">
        <v>24</v>
      </c>
      <c r="L5633" s="18" t="s">
        <v>25</v>
      </c>
      <c r="N5633" s="18" t="s">
        <v>154</v>
      </c>
    </row>
    <row r="5634" spans="1:14" ht="15" customHeight="1" x14ac:dyDescent="0.3">
      <c r="A5634" s="18" t="s">
        <v>10303</v>
      </c>
      <c r="B5634" s="19" t="s">
        <v>15</v>
      </c>
      <c r="C5634" s="18" t="s">
        <v>149</v>
      </c>
      <c r="D5634" s="18" t="s">
        <v>116</v>
      </c>
      <c r="E5634" s="18" t="s">
        <v>55</v>
      </c>
      <c r="F5634" s="18" t="s">
        <v>10644</v>
      </c>
      <c r="G5634" s="18" t="s">
        <v>19</v>
      </c>
      <c r="H5634" s="18" t="s">
        <v>10306</v>
      </c>
      <c r="I5634" s="20" t="s">
        <v>10645</v>
      </c>
      <c r="J5634" s="18" t="s">
        <v>58</v>
      </c>
      <c r="K5634" s="18" t="s">
        <v>24</v>
      </c>
      <c r="L5634" s="18" t="s">
        <v>25</v>
      </c>
      <c r="N5634" s="18" t="s">
        <v>154</v>
      </c>
    </row>
    <row r="5635" spans="1:14" ht="15" customHeight="1" x14ac:dyDescent="0.3">
      <c r="A5635" s="18" t="s">
        <v>10303</v>
      </c>
      <c r="B5635" s="19" t="s">
        <v>15</v>
      </c>
      <c r="C5635" s="18" t="s">
        <v>149</v>
      </c>
      <c r="D5635" s="18" t="s">
        <v>116</v>
      </c>
      <c r="E5635" s="18" t="s">
        <v>55</v>
      </c>
      <c r="F5635" s="18" t="s">
        <v>10646</v>
      </c>
      <c r="G5635" s="18" t="s">
        <v>423</v>
      </c>
      <c r="H5635" s="18" t="s">
        <v>10383</v>
      </c>
      <c r="I5635" s="20" t="s">
        <v>10647</v>
      </c>
      <c r="J5635" s="18" t="s">
        <v>58</v>
      </c>
      <c r="K5635" s="18" t="s">
        <v>24</v>
      </c>
      <c r="L5635" s="18" t="s">
        <v>25</v>
      </c>
      <c r="N5635" s="18" t="s">
        <v>154</v>
      </c>
    </row>
    <row r="5636" spans="1:14" ht="15" customHeight="1" x14ac:dyDescent="0.3">
      <c r="A5636" s="18" t="s">
        <v>10303</v>
      </c>
      <c r="B5636" s="19" t="s">
        <v>15</v>
      </c>
      <c r="C5636" s="18" t="s">
        <v>149</v>
      </c>
      <c r="D5636" s="18" t="s">
        <v>116</v>
      </c>
      <c r="E5636" s="18" t="s">
        <v>55</v>
      </c>
      <c r="F5636" s="18" t="s">
        <v>10648</v>
      </c>
      <c r="G5636" s="18" t="s">
        <v>28</v>
      </c>
      <c r="H5636" s="18" t="s">
        <v>8856</v>
      </c>
      <c r="I5636" s="20" t="s">
        <v>10649</v>
      </c>
      <c r="J5636" s="18" t="s">
        <v>58</v>
      </c>
      <c r="K5636" s="18" t="s">
        <v>24</v>
      </c>
      <c r="L5636" s="18" t="s">
        <v>25</v>
      </c>
      <c r="N5636" s="18" t="s">
        <v>154</v>
      </c>
    </row>
    <row r="5637" spans="1:14" ht="15" customHeight="1" x14ac:dyDescent="0.3">
      <c r="A5637" s="18" t="s">
        <v>10303</v>
      </c>
      <c r="B5637" s="19" t="s">
        <v>15</v>
      </c>
      <c r="C5637" s="18" t="s">
        <v>149</v>
      </c>
      <c r="D5637" s="18" t="s">
        <v>116</v>
      </c>
      <c r="E5637" s="18" t="s">
        <v>55</v>
      </c>
      <c r="F5637" s="18" t="s">
        <v>10650</v>
      </c>
      <c r="G5637" s="18" t="s">
        <v>7907</v>
      </c>
      <c r="H5637" s="18" t="s">
        <v>8420</v>
      </c>
      <c r="I5637" s="20" t="s">
        <v>10651</v>
      </c>
      <c r="J5637" s="18" t="s">
        <v>58</v>
      </c>
      <c r="K5637" s="18" t="s">
        <v>24</v>
      </c>
      <c r="L5637" s="18" t="s">
        <v>25</v>
      </c>
      <c r="N5637" s="18" t="s">
        <v>154</v>
      </c>
    </row>
    <row r="5638" spans="1:14" ht="15" customHeight="1" x14ac:dyDescent="0.3">
      <c r="A5638" s="18" t="s">
        <v>10303</v>
      </c>
      <c r="B5638" s="19" t="s">
        <v>15</v>
      </c>
      <c r="C5638" s="18" t="s">
        <v>149</v>
      </c>
      <c r="D5638" s="18" t="s">
        <v>116</v>
      </c>
      <c r="E5638" s="18" t="s">
        <v>55</v>
      </c>
      <c r="F5638" s="18" t="s">
        <v>10652</v>
      </c>
      <c r="G5638" s="18" t="s">
        <v>80</v>
      </c>
      <c r="H5638" s="18" t="s">
        <v>8429</v>
      </c>
      <c r="I5638" s="20" t="s">
        <v>10653</v>
      </c>
      <c r="J5638" s="18" t="s">
        <v>58</v>
      </c>
      <c r="K5638" s="18" t="s">
        <v>24</v>
      </c>
      <c r="L5638" s="18" t="s">
        <v>25</v>
      </c>
      <c r="N5638" s="18" t="s">
        <v>154</v>
      </c>
    </row>
    <row r="5639" spans="1:14" ht="15" customHeight="1" x14ac:dyDescent="0.3">
      <c r="A5639" s="18" t="s">
        <v>10303</v>
      </c>
      <c r="B5639" s="19" t="s">
        <v>15</v>
      </c>
      <c r="C5639" s="18" t="s">
        <v>149</v>
      </c>
      <c r="D5639" s="18" t="s">
        <v>116</v>
      </c>
      <c r="E5639" s="18" t="s">
        <v>55</v>
      </c>
      <c r="F5639" s="18" t="s">
        <v>10654</v>
      </c>
      <c r="G5639" s="18" t="s">
        <v>212</v>
      </c>
      <c r="H5639" s="18" t="s">
        <v>8164</v>
      </c>
      <c r="I5639" s="20" t="s">
        <v>10655</v>
      </c>
      <c r="J5639" s="18" t="s">
        <v>58</v>
      </c>
      <c r="K5639" s="18" t="s">
        <v>24</v>
      </c>
      <c r="L5639" s="18" t="s">
        <v>25</v>
      </c>
      <c r="N5639" s="18" t="s">
        <v>154</v>
      </c>
    </row>
    <row r="5640" spans="1:14" ht="15" customHeight="1" x14ac:dyDescent="0.3">
      <c r="A5640" s="18" t="s">
        <v>10303</v>
      </c>
      <c r="B5640" s="19" t="s">
        <v>15</v>
      </c>
      <c r="C5640" s="18" t="s">
        <v>149</v>
      </c>
      <c r="D5640" s="18" t="s">
        <v>116</v>
      </c>
      <c r="E5640" s="18" t="s">
        <v>55</v>
      </c>
      <c r="F5640" s="18" t="s">
        <v>10656</v>
      </c>
      <c r="G5640" s="18" t="s">
        <v>212</v>
      </c>
      <c r="H5640" s="18" t="s">
        <v>8164</v>
      </c>
      <c r="I5640" s="20" t="s">
        <v>10657</v>
      </c>
      <c r="J5640" s="18" t="s">
        <v>58</v>
      </c>
      <c r="K5640" s="18" t="s">
        <v>24</v>
      </c>
      <c r="L5640" s="18" t="s">
        <v>25</v>
      </c>
      <c r="N5640" s="18" t="s">
        <v>154</v>
      </c>
    </row>
    <row r="5641" spans="1:14" ht="15" customHeight="1" x14ac:dyDescent="0.3">
      <c r="A5641" s="18" t="s">
        <v>10303</v>
      </c>
      <c r="B5641" s="19" t="s">
        <v>15</v>
      </c>
      <c r="C5641" s="18" t="s">
        <v>149</v>
      </c>
      <c r="D5641" s="18" t="s">
        <v>116</v>
      </c>
      <c r="E5641" s="18" t="s">
        <v>55</v>
      </c>
      <c r="F5641" s="18" t="s">
        <v>340</v>
      </c>
      <c r="G5641" s="18" t="s">
        <v>340</v>
      </c>
      <c r="H5641" s="18" t="s">
        <v>8434</v>
      </c>
      <c r="I5641" s="20" t="s">
        <v>10658</v>
      </c>
      <c r="J5641" s="18" t="s">
        <v>58</v>
      </c>
      <c r="K5641" s="18" t="s">
        <v>24</v>
      </c>
      <c r="L5641" s="18" t="s">
        <v>25</v>
      </c>
      <c r="N5641" s="18" t="s">
        <v>154</v>
      </c>
    </row>
    <row r="5642" spans="1:14" ht="15" customHeight="1" x14ac:dyDescent="0.3">
      <c r="A5642" s="18" t="s">
        <v>10303</v>
      </c>
      <c r="B5642" s="19" t="s">
        <v>15</v>
      </c>
      <c r="C5642" s="18" t="s">
        <v>149</v>
      </c>
      <c r="D5642" s="18" t="s">
        <v>116</v>
      </c>
      <c r="E5642" s="18" t="s">
        <v>55</v>
      </c>
      <c r="F5642" s="18" t="s">
        <v>9836</v>
      </c>
      <c r="G5642" s="18" t="s">
        <v>1019</v>
      </c>
      <c r="H5642" s="18" t="s">
        <v>10329</v>
      </c>
      <c r="I5642" s="20" t="s">
        <v>10659</v>
      </c>
      <c r="J5642" s="18" t="s">
        <v>58</v>
      </c>
      <c r="K5642" s="18" t="s">
        <v>24</v>
      </c>
      <c r="L5642" s="18" t="s">
        <v>25</v>
      </c>
      <c r="N5642" s="18" t="s">
        <v>154</v>
      </c>
    </row>
    <row r="5643" spans="1:14" ht="15" customHeight="1" x14ac:dyDescent="0.3">
      <c r="A5643" s="18" t="s">
        <v>10303</v>
      </c>
      <c r="B5643" s="19" t="s">
        <v>15</v>
      </c>
      <c r="C5643" s="18" t="s">
        <v>149</v>
      </c>
      <c r="D5643" s="18" t="s">
        <v>116</v>
      </c>
      <c r="E5643" s="18" t="s">
        <v>55</v>
      </c>
      <c r="F5643" s="18" t="s">
        <v>10660</v>
      </c>
      <c r="G5643" s="18" t="s">
        <v>423</v>
      </c>
      <c r="H5643" s="18" t="s">
        <v>8559</v>
      </c>
      <c r="I5643" s="20" t="s">
        <v>10661</v>
      </c>
      <c r="J5643" s="18" t="s">
        <v>58</v>
      </c>
      <c r="K5643" s="18" t="s">
        <v>24</v>
      </c>
      <c r="L5643" s="18" t="s">
        <v>25</v>
      </c>
      <c r="N5643" s="18" t="s">
        <v>154</v>
      </c>
    </row>
    <row r="5644" spans="1:14" ht="15" customHeight="1" x14ac:dyDescent="0.3">
      <c r="A5644" s="18" t="s">
        <v>10303</v>
      </c>
      <c r="B5644" s="19" t="s">
        <v>15</v>
      </c>
      <c r="C5644" s="18" t="s">
        <v>149</v>
      </c>
      <c r="D5644" s="18" t="s">
        <v>116</v>
      </c>
      <c r="E5644" s="18" t="s">
        <v>55</v>
      </c>
      <c r="F5644" s="18" t="s">
        <v>10662</v>
      </c>
      <c r="G5644" s="18" t="s">
        <v>423</v>
      </c>
      <c r="H5644" s="18" t="s">
        <v>8559</v>
      </c>
      <c r="I5644" s="20" t="s">
        <v>10663</v>
      </c>
      <c r="J5644" s="18" t="s">
        <v>58</v>
      </c>
      <c r="K5644" s="18" t="s">
        <v>24</v>
      </c>
      <c r="L5644" s="18" t="s">
        <v>25</v>
      </c>
      <c r="N5644" s="18" t="s">
        <v>154</v>
      </c>
    </row>
    <row r="5645" spans="1:14" ht="15" customHeight="1" x14ac:dyDescent="0.3">
      <c r="A5645" s="18" t="s">
        <v>10303</v>
      </c>
      <c r="B5645" s="19" t="s">
        <v>15</v>
      </c>
      <c r="C5645" s="18" t="s">
        <v>149</v>
      </c>
      <c r="D5645" s="18" t="s">
        <v>116</v>
      </c>
      <c r="E5645" s="18" t="s">
        <v>55</v>
      </c>
      <c r="F5645" s="18" t="s">
        <v>7647</v>
      </c>
      <c r="G5645" s="18" t="s">
        <v>7647</v>
      </c>
      <c r="H5645" s="18" t="s">
        <v>8159</v>
      </c>
      <c r="I5645" s="20" t="s">
        <v>10664</v>
      </c>
      <c r="J5645" s="18" t="s">
        <v>58</v>
      </c>
      <c r="K5645" s="18" t="s">
        <v>24</v>
      </c>
      <c r="L5645" s="18" t="s">
        <v>25</v>
      </c>
      <c r="N5645" s="18" t="s">
        <v>154</v>
      </c>
    </row>
    <row r="5646" spans="1:14" ht="15" customHeight="1" x14ac:dyDescent="0.3">
      <c r="A5646" s="18" t="s">
        <v>10303</v>
      </c>
      <c r="B5646" s="19" t="s">
        <v>15</v>
      </c>
      <c r="C5646" s="18" t="s">
        <v>149</v>
      </c>
      <c r="D5646" s="18" t="s">
        <v>116</v>
      </c>
      <c r="E5646" s="18" t="s">
        <v>55</v>
      </c>
      <c r="F5646" s="18" t="s">
        <v>10665</v>
      </c>
      <c r="G5646" s="18" t="s">
        <v>7647</v>
      </c>
      <c r="H5646" s="18" t="s">
        <v>8429</v>
      </c>
      <c r="I5646" s="20" t="s">
        <v>10666</v>
      </c>
      <c r="J5646" s="18" t="s">
        <v>58</v>
      </c>
      <c r="K5646" s="18" t="s">
        <v>24</v>
      </c>
      <c r="L5646" s="18" t="s">
        <v>25</v>
      </c>
      <c r="N5646" s="18" t="s">
        <v>154</v>
      </c>
    </row>
    <row r="5647" spans="1:14" ht="15" customHeight="1" x14ac:dyDescent="0.3">
      <c r="A5647" s="18" t="s">
        <v>10303</v>
      </c>
      <c r="B5647" s="19" t="s">
        <v>15</v>
      </c>
      <c r="C5647" s="18" t="s">
        <v>149</v>
      </c>
      <c r="D5647" s="18" t="s">
        <v>116</v>
      </c>
      <c r="E5647" s="18" t="s">
        <v>55</v>
      </c>
      <c r="F5647" s="18" t="s">
        <v>659</v>
      </c>
      <c r="G5647" s="18" t="s">
        <v>667</v>
      </c>
      <c r="H5647" s="18" t="s">
        <v>8939</v>
      </c>
      <c r="I5647" s="20" t="s">
        <v>10667</v>
      </c>
      <c r="J5647" s="18" t="s">
        <v>58</v>
      </c>
      <c r="K5647" s="18" t="s">
        <v>24</v>
      </c>
      <c r="L5647" s="18" t="s">
        <v>25</v>
      </c>
      <c r="N5647" s="18" t="s">
        <v>154</v>
      </c>
    </row>
    <row r="5648" spans="1:14" ht="15" customHeight="1" x14ac:dyDescent="0.3">
      <c r="A5648" s="18" t="s">
        <v>10303</v>
      </c>
      <c r="B5648" s="19" t="s">
        <v>15</v>
      </c>
      <c r="C5648" s="18" t="s">
        <v>149</v>
      </c>
      <c r="D5648" s="18" t="s">
        <v>116</v>
      </c>
      <c r="E5648" s="18" t="s">
        <v>55</v>
      </c>
      <c r="F5648" s="18" t="s">
        <v>10668</v>
      </c>
      <c r="G5648" s="18" t="s">
        <v>606</v>
      </c>
      <c r="H5648" s="18" t="s">
        <v>8159</v>
      </c>
      <c r="I5648" s="20" t="s">
        <v>10669</v>
      </c>
      <c r="J5648" s="18" t="s">
        <v>58</v>
      </c>
      <c r="K5648" s="18" t="s">
        <v>24</v>
      </c>
      <c r="L5648" s="18" t="s">
        <v>25</v>
      </c>
      <c r="N5648" s="18" t="s">
        <v>154</v>
      </c>
    </row>
    <row r="5649" spans="1:14" ht="15" customHeight="1" x14ac:dyDescent="0.3">
      <c r="A5649" s="18" t="s">
        <v>10303</v>
      </c>
      <c r="B5649" s="19" t="s">
        <v>15</v>
      </c>
      <c r="C5649" s="18" t="s">
        <v>149</v>
      </c>
      <c r="D5649" s="18" t="s">
        <v>116</v>
      </c>
      <c r="E5649" s="18" t="s">
        <v>55</v>
      </c>
      <c r="F5649" s="18" t="s">
        <v>10670</v>
      </c>
      <c r="G5649" s="18" t="s">
        <v>2248</v>
      </c>
      <c r="H5649" s="18" t="s">
        <v>8420</v>
      </c>
      <c r="I5649" s="20" t="s">
        <v>10671</v>
      </c>
      <c r="J5649" s="18" t="s">
        <v>58</v>
      </c>
      <c r="K5649" s="18" t="s">
        <v>24</v>
      </c>
      <c r="L5649" s="18" t="s">
        <v>25</v>
      </c>
      <c r="N5649" s="18" t="s">
        <v>154</v>
      </c>
    </row>
    <row r="5650" spans="1:14" ht="15" customHeight="1" x14ac:dyDescent="0.3">
      <c r="A5650" s="18" t="s">
        <v>10303</v>
      </c>
      <c r="B5650" s="19" t="s">
        <v>15</v>
      </c>
      <c r="C5650" s="18" t="s">
        <v>149</v>
      </c>
      <c r="D5650" s="18" t="s">
        <v>116</v>
      </c>
      <c r="E5650" s="18" t="s">
        <v>55</v>
      </c>
      <c r="F5650" s="18" t="s">
        <v>10672</v>
      </c>
      <c r="G5650" s="18" t="s">
        <v>433</v>
      </c>
      <c r="H5650" s="18" t="s">
        <v>8559</v>
      </c>
      <c r="I5650" s="20" t="s">
        <v>10673</v>
      </c>
      <c r="J5650" s="18" t="s">
        <v>58</v>
      </c>
      <c r="K5650" s="18" t="s">
        <v>91</v>
      </c>
      <c r="L5650" s="18" t="s">
        <v>25</v>
      </c>
      <c r="N5650" s="18" t="s">
        <v>154</v>
      </c>
    </row>
    <row r="5651" spans="1:14" ht="15" customHeight="1" x14ac:dyDescent="0.3">
      <c r="A5651" s="18" t="s">
        <v>10303</v>
      </c>
      <c r="B5651" s="19" t="s">
        <v>15</v>
      </c>
      <c r="C5651" s="18" t="s">
        <v>149</v>
      </c>
      <c r="D5651" s="18" t="s">
        <v>116</v>
      </c>
      <c r="E5651" s="18" t="s">
        <v>55</v>
      </c>
      <c r="F5651" s="18" t="s">
        <v>925</v>
      </c>
      <c r="G5651" s="18" t="s">
        <v>10500</v>
      </c>
      <c r="H5651" s="18" t="s">
        <v>8559</v>
      </c>
      <c r="I5651" s="20" t="s">
        <v>10674</v>
      </c>
      <c r="J5651" s="18" t="s">
        <v>58</v>
      </c>
      <c r="K5651" s="18" t="s">
        <v>24</v>
      </c>
      <c r="L5651" s="18" t="s">
        <v>25</v>
      </c>
      <c r="N5651" s="18" t="s">
        <v>154</v>
      </c>
    </row>
    <row r="5652" spans="1:14" ht="15" customHeight="1" x14ac:dyDescent="0.3">
      <c r="A5652" s="18" t="s">
        <v>10303</v>
      </c>
      <c r="B5652" s="19" t="s">
        <v>15</v>
      </c>
      <c r="C5652" s="18" t="s">
        <v>149</v>
      </c>
      <c r="D5652" s="18" t="s">
        <v>116</v>
      </c>
      <c r="E5652" s="18" t="s">
        <v>55</v>
      </c>
      <c r="F5652" s="18" t="s">
        <v>10675</v>
      </c>
      <c r="G5652" s="18" t="s">
        <v>433</v>
      </c>
      <c r="H5652" s="18" t="s">
        <v>8420</v>
      </c>
      <c r="I5652" s="20" t="s">
        <v>10676</v>
      </c>
      <c r="J5652" s="18" t="s">
        <v>58</v>
      </c>
      <c r="K5652" s="18" t="s">
        <v>24</v>
      </c>
      <c r="L5652" s="18" t="s">
        <v>25</v>
      </c>
      <c r="N5652" s="18" t="s">
        <v>154</v>
      </c>
    </row>
    <row r="5653" spans="1:14" ht="15" customHeight="1" x14ac:dyDescent="0.3">
      <c r="A5653" s="18" t="s">
        <v>10303</v>
      </c>
      <c r="B5653" s="19" t="s">
        <v>15</v>
      </c>
      <c r="C5653" s="18" t="s">
        <v>149</v>
      </c>
      <c r="D5653" s="18" t="s">
        <v>116</v>
      </c>
      <c r="E5653" s="18" t="s">
        <v>55</v>
      </c>
      <c r="F5653" s="18" t="s">
        <v>8771</v>
      </c>
      <c r="G5653" s="18" t="s">
        <v>47</v>
      </c>
      <c r="H5653" s="18" t="s">
        <v>8159</v>
      </c>
      <c r="I5653" s="20" t="s">
        <v>10677</v>
      </c>
      <c r="J5653" s="18" t="s">
        <v>58</v>
      </c>
      <c r="K5653" s="18" t="s">
        <v>24</v>
      </c>
      <c r="L5653" s="18" t="s">
        <v>25</v>
      </c>
      <c r="N5653" s="18" t="s">
        <v>154</v>
      </c>
    </row>
    <row r="5654" spans="1:14" ht="15" customHeight="1" x14ac:dyDescent="0.3">
      <c r="A5654" s="18" t="s">
        <v>10303</v>
      </c>
      <c r="B5654" s="19" t="s">
        <v>15</v>
      </c>
      <c r="C5654" s="18" t="s">
        <v>149</v>
      </c>
      <c r="D5654" s="18" t="s">
        <v>116</v>
      </c>
      <c r="E5654" s="18" t="s">
        <v>55</v>
      </c>
      <c r="F5654" s="18" t="s">
        <v>10678</v>
      </c>
      <c r="G5654" s="18" t="s">
        <v>340</v>
      </c>
      <c r="H5654" s="18" t="s">
        <v>8434</v>
      </c>
      <c r="I5654" s="20" t="s">
        <v>10679</v>
      </c>
      <c r="J5654" s="18" t="s">
        <v>58</v>
      </c>
      <c r="K5654" s="18" t="s">
        <v>24</v>
      </c>
      <c r="L5654" s="18" t="s">
        <v>25</v>
      </c>
      <c r="N5654" s="18" t="s">
        <v>154</v>
      </c>
    </row>
    <row r="5655" spans="1:14" ht="15" customHeight="1" x14ac:dyDescent="0.3">
      <c r="A5655" s="18" t="s">
        <v>10303</v>
      </c>
      <c r="B5655" s="19" t="s">
        <v>15</v>
      </c>
      <c r="C5655" s="18" t="s">
        <v>149</v>
      </c>
      <c r="D5655" s="18" t="s">
        <v>116</v>
      </c>
      <c r="E5655" s="18" t="s">
        <v>55</v>
      </c>
      <c r="F5655" s="18" t="s">
        <v>10680</v>
      </c>
      <c r="G5655" s="18" t="s">
        <v>2248</v>
      </c>
      <c r="H5655" s="18" t="s">
        <v>8420</v>
      </c>
      <c r="I5655" s="20" t="s">
        <v>10681</v>
      </c>
      <c r="J5655" s="18" t="s">
        <v>58</v>
      </c>
      <c r="K5655" s="18" t="s">
        <v>24</v>
      </c>
      <c r="L5655" s="18" t="s">
        <v>25</v>
      </c>
      <c r="N5655" s="18" t="s">
        <v>154</v>
      </c>
    </row>
    <row r="5656" spans="1:14" ht="15" customHeight="1" x14ac:dyDescent="0.3">
      <c r="A5656" s="18" t="s">
        <v>10303</v>
      </c>
      <c r="B5656" s="19" t="s">
        <v>15</v>
      </c>
      <c r="C5656" s="18" t="s">
        <v>149</v>
      </c>
      <c r="D5656" s="18" t="s">
        <v>116</v>
      </c>
      <c r="E5656" s="18" t="s">
        <v>55</v>
      </c>
      <c r="F5656" s="18" t="s">
        <v>1104</v>
      </c>
      <c r="G5656" s="18" t="s">
        <v>1055</v>
      </c>
      <c r="H5656" s="18" t="s">
        <v>8420</v>
      </c>
      <c r="I5656" s="20" t="s">
        <v>10682</v>
      </c>
      <c r="J5656" s="18" t="s">
        <v>58</v>
      </c>
      <c r="K5656" s="18" t="s">
        <v>24</v>
      </c>
      <c r="L5656" s="18" t="s">
        <v>25</v>
      </c>
      <c r="N5656" s="18" t="s">
        <v>154</v>
      </c>
    </row>
    <row r="5657" spans="1:14" ht="15" customHeight="1" x14ac:dyDescent="0.3">
      <c r="A5657" s="18" t="s">
        <v>10303</v>
      </c>
      <c r="B5657" s="19" t="s">
        <v>15</v>
      </c>
      <c r="C5657" s="18" t="s">
        <v>149</v>
      </c>
      <c r="D5657" s="18" t="s">
        <v>116</v>
      </c>
      <c r="E5657" s="18" t="s">
        <v>55</v>
      </c>
      <c r="F5657" s="18" t="s">
        <v>10683</v>
      </c>
      <c r="G5657" s="18" t="s">
        <v>80</v>
      </c>
      <c r="H5657" s="18" t="s">
        <v>8429</v>
      </c>
      <c r="I5657" s="20" t="s">
        <v>10684</v>
      </c>
      <c r="J5657" s="18" t="s">
        <v>58</v>
      </c>
      <c r="K5657" s="18" t="s">
        <v>24</v>
      </c>
      <c r="L5657" s="18" t="s">
        <v>25</v>
      </c>
      <c r="N5657" s="18" t="s">
        <v>154</v>
      </c>
    </row>
    <row r="5658" spans="1:14" ht="15" customHeight="1" x14ac:dyDescent="0.3">
      <c r="A5658" s="18" t="s">
        <v>10303</v>
      </c>
      <c r="B5658" s="19" t="s">
        <v>15</v>
      </c>
      <c r="C5658" s="18" t="s">
        <v>149</v>
      </c>
      <c r="D5658" s="18" t="s">
        <v>116</v>
      </c>
      <c r="E5658" s="18" t="s">
        <v>55</v>
      </c>
      <c r="F5658" s="18" t="s">
        <v>10685</v>
      </c>
      <c r="G5658" s="18" t="s">
        <v>913</v>
      </c>
      <c r="H5658" s="18" t="s">
        <v>8159</v>
      </c>
      <c r="I5658" s="20" t="s">
        <v>10686</v>
      </c>
      <c r="J5658" s="18" t="s">
        <v>58</v>
      </c>
      <c r="K5658" s="18" t="s">
        <v>24</v>
      </c>
      <c r="L5658" s="18" t="s">
        <v>25</v>
      </c>
      <c r="N5658" s="18" t="s">
        <v>154</v>
      </c>
    </row>
    <row r="5659" spans="1:14" ht="15" customHeight="1" x14ac:dyDescent="0.3">
      <c r="A5659" s="18" t="s">
        <v>10303</v>
      </c>
      <c r="B5659" s="19" t="s">
        <v>15</v>
      </c>
      <c r="C5659" s="18" t="s">
        <v>149</v>
      </c>
      <c r="D5659" s="18" t="s">
        <v>116</v>
      </c>
      <c r="E5659" s="18" t="s">
        <v>55</v>
      </c>
      <c r="F5659" s="18" t="s">
        <v>2427</v>
      </c>
      <c r="G5659" s="18" t="s">
        <v>1704</v>
      </c>
      <c r="H5659" s="18" t="s">
        <v>8159</v>
      </c>
      <c r="I5659" s="20" t="s">
        <v>10687</v>
      </c>
      <c r="J5659" s="18" t="s">
        <v>58</v>
      </c>
      <c r="K5659" s="18" t="s">
        <v>24</v>
      </c>
      <c r="L5659" s="18" t="s">
        <v>25</v>
      </c>
      <c r="N5659" s="18" t="s">
        <v>154</v>
      </c>
    </row>
    <row r="5660" spans="1:14" ht="15" customHeight="1" x14ac:dyDescent="0.3">
      <c r="A5660" s="18" t="s">
        <v>10303</v>
      </c>
      <c r="B5660" s="19" t="s">
        <v>15</v>
      </c>
      <c r="C5660" s="18" t="s">
        <v>149</v>
      </c>
      <c r="D5660" s="18" t="s">
        <v>116</v>
      </c>
      <c r="E5660" s="18" t="s">
        <v>55</v>
      </c>
      <c r="F5660" s="18" t="s">
        <v>10688</v>
      </c>
      <c r="G5660" s="18" t="s">
        <v>340</v>
      </c>
      <c r="H5660" s="18" t="s">
        <v>8434</v>
      </c>
      <c r="I5660" s="20" t="s">
        <v>10689</v>
      </c>
      <c r="J5660" s="18" t="s">
        <v>58</v>
      </c>
      <c r="K5660" s="18" t="s">
        <v>24</v>
      </c>
      <c r="L5660" s="18" t="s">
        <v>25</v>
      </c>
      <c r="N5660" s="18" t="s">
        <v>154</v>
      </c>
    </row>
    <row r="5661" spans="1:14" ht="15" customHeight="1" x14ac:dyDescent="0.3">
      <c r="A5661" s="18" t="s">
        <v>10303</v>
      </c>
      <c r="B5661" s="19" t="s">
        <v>15</v>
      </c>
      <c r="C5661" s="18" t="s">
        <v>149</v>
      </c>
      <c r="D5661" s="18" t="s">
        <v>116</v>
      </c>
      <c r="E5661" s="18" t="s">
        <v>55</v>
      </c>
      <c r="F5661" s="18" t="s">
        <v>10690</v>
      </c>
      <c r="G5661" s="18" t="s">
        <v>80</v>
      </c>
      <c r="H5661" s="18" t="s">
        <v>8429</v>
      </c>
      <c r="I5661" s="20" t="s">
        <v>10691</v>
      </c>
      <c r="J5661" s="18" t="s">
        <v>58</v>
      </c>
      <c r="K5661" s="18" t="s">
        <v>24</v>
      </c>
      <c r="L5661" s="18" t="s">
        <v>25</v>
      </c>
      <c r="N5661" s="18" t="s">
        <v>154</v>
      </c>
    </row>
    <row r="5662" spans="1:14" ht="15" customHeight="1" x14ac:dyDescent="0.3">
      <c r="A5662" s="18" t="s">
        <v>10303</v>
      </c>
      <c r="B5662" s="19" t="s">
        <v>15</v>
      </c>
      <c r="C5662" s="18" t="s">
        <v>149</v>
      </c>
      <c r="D5662" s="18" t="s">
        <v>116</v>
      </c>
      <c r="E5662" s="18" t="s">
        <v>55</v>
      </c>
      <c r="F5662" s="18" t="s">
        <v>10692</v>
      </c>
      <c r="G5662" s="18" t="s">
        <v>7647</v>
      </c>
      <c r="H5662" s="18" t="s">
        <v>8159</v>
      </c>
      <c r="I5662" s="20" t="s">
        <v>10693</v>
      </c>
      <c r="J5662" s="18" t="s">
        <v>58</v>
      </c>
      <c r="K5662" s="18" t="s">
        <v>24</v>
      </c>
      <c r="L5662" s="18" t="s">
        <v>25</v>
      </c>
      <c r="N5662" s="18" t="s">
        <v>154</v>
      </c>
    </row>
    <row r="5663" spans="1:14" ht="15" customHeight="1" x14ac:dyDescent="0.3">
      <c r="A5663" s="18" t="s">
        <v>10303</v>
      </c>
      <c r="B5663" s="19" t="s">
        <v>15</v>
      </c>
      <c r="C5663" s="18" t="s">
        <v>149</v>
      </c>
      <c r="D5663" s="18" t="s">
        <v>116</v>
      </c>
      <c r="E5663" s="18" t="s">
        <v>55</v>
      </c>
      <c r="F5663" s="18" t="s">
        <v>10694</v>
      </c>
      <c r="G5663" s="18" t="s">
        <v>192</v>
      </c>
      <c r="H5663" s="18" t="s">
        <v>8420</v>
      </c>
      <c r="I5663" s="20" t="s">
        <v>10695</v>
      </c>
      <c r="J5663" s="18" t="s">
        <v>58</v>
      </c>
      <c r="K5663" s="18" t="s">
        <v>24</v>
      </c>
      <c r="L5663" s="18" t="s">
        <v>25</v>
      </c>
      <c r="N5663" s="18" t="s">
        <v>154</v>
      </c>
    </row>
    <row r="5664" spans="1:14" ht="15" customHeight="1" x14ac:dyDescent="0.3">
      <c r="A5664" s="18" t="s">
        <v>10303</v>
      </c>
      <c r="B5664" s="19" t="s">
        <v>15</v>
      </c>
      <c r="C5664" s="18" t="s">
        <v>149</v>
      </c>
      <c r="D5664" s="18" t="s">
        <v>116</v>
      </c>
      <c r="E5664" s="18" t="s">
        <v>55</v>
      </c>
      <c r="F5664" s="18" t="s">
        <v>10696</v>
      </c>
      <c r="G5664" s="18" t="s">
        <v>537</v>
      </c>
      <c r="H5664" s="18" t="s">
        <v>8159</v>
      </c>
      <c r="I5664" s="20" t="s">
        <v>10697</v>
      </c>
      <c r="J5664" s="18" t="s">
        <v>58</v>
      </c>
      <c r="K5664" s="18" t="s">
        <v>24</v>
      </c>
      <c r="L5664" s="18" t="s">
        <v>25</v>
      </c>
      <c r="N5664" s="18" t="s">
        <v>154</v>
      </c>
    </row>
    <row r="5665" spans="1:14" ht="15" customHeight="1" x14ac:dyDescent="0.3">
      <c r="A5665" s="18" t="s">
        <v>10303</v>
      </c>
      <c r="B5665" s="19" t="s">
        <v>15</v>
      </c>
      <c r="C5665" s="18" t="s">
        <v>149</v>
      </c>
      <c r="D5665" s="18" t="s">
        <v>116</v>
      </c>
      <c r="E5665" s="18" t="s">
        <v>55</v>
      </c>
      <c r="F5665" s="18" t="s">
        <v>1653</v>
      </c>
      <c r="G5665" s="18" t="s">
        <v>1019</v>
      </c>
      <c r="H5665" s="18" t="s">
        <v>10329</v>
      </c>
      <c r="I5665" s="20" t="s">
        <v>10698</v>
      </c>
      <c r="J5665" s="18" t="s">
        <v>58</v>
      </c>
      <c r="K5665" s="18" t="s">
        <v>24</v>
      </c>
      <c r="L5665" s="18" t="s">
        <v>25</v>
      </c>
      <c r="N5665" s="18" t="s">
        <v>154</v>
      </c>
    </row>
    <row r="5666" spans="1:14" ht="15" customHeight="1" x14ac:dyDescent="0.3">
      <c r="A5666" s="18" t="s">
        <v>10303</v>
      </c>
      <c r="B5666" s="19" t="s">
        <v>15</v>
      </c>
      <c r="C5666" s="18" t="s">
        <v>149</v>
      </c>
      <c r="D5666" s="18" t="s">
        <v>116</v>
      </c>
      <c r="E5666" s="18" t="s">
        <v>55</v>
      </c>
      <c r="F5666" s="18" t="s">
        <v>10699</v>
      </c>
      <c r="G5666" s="18" t="s">
        <v>433</v>
      </c>
      <c r="H5666" s="18" t="s">
        <v>7602</v>
      </c>
      <c r="I5666" s="20" t="s">
        <v>10700</v>
      </c>
      <c r="J5666" s="18" t="s">
        <v>58</v>
      </c>
      <c r="K5666" s="18" t="s">
        <v>24</v>
      </c>
      <c r="L5666" s="18" t="s">
        <v>25</v>
      </c>
      <c r="N5666" s="18" t="s">
        <v>154</v>
      </c>
    </row>
    <row r="5667" spans="1:14" ht="15" customHeight="1" x14ac:dyDescent="0.3">
      <c r="A5667" s="18" t="s">
        <v>10303</v>
      </c>
      <c r="B5667" s="19" t="s">
        <v>15</v>
      </c>
      <c r="C5667" s="18" t="s">
        <v>149</v>
      </c>
      <c r="D5667" s="18" t="s">
        <v>116</v>
      </c>
      <c r="E5667" s="18" t="s">
        <v>55</v>
      </c>
      <c r="F5667" s="18" t="s">
        <v>10701</v>
      </c>
      <c r="G5667" s="18" t="s">
        <v>47</v>
      </c>
      <c r="H5667" s="18" t="s">
        <v>8164</v>
      </c>
      <c r="I5667" s="20" t="s">
        <v>10702</v>
      </c>
      <c r="J5667" s="18" t="s">
        <v>73</v>
      </c>
      <c r="K5667" s="18" t="s">
        <v>24</v>
      </c>
      <c r="L5667" s="18" t="s">
        <v>25</v>
      </c>
      <c r="N5667" s="18" t="s">
        <v>154</v>
      </c>
    </row>
    <row r="5668" spans="1:14" ht="15" customHeight="1" x14ac:dyDescent="0.3">
      <c r="A5668" s="18" t="s">
        <v>10303</v>
      </c>
      <c r="B5668" s="19" t="s">
        <v>15</v>
      </c>
      <c r="C5668" s="18" t="s">
        <v>149</v>
      </c>
      <c r="D5668" s="18" t="s">
        <v>116</v>
      </c>
      <c r="E5668" s="18" t="s">
        <v>55</v>
      </c>
      <c r="F5668" s="18" t="s">
        <v>10703</v>
      </c>
      <c r="G5668" s="18" t="s">
        <v>6433</v>
      </c>
      <c r="H5668" s="18" t="s">
        <v>8559</v>
      </c>
      <c r="I5668" s="20" t="s">
        <v>10704</v>
      </c>
      <c r="J5668" s="18" t="s">
        <v>58</v>
      </c>
      <c r="K5668" s="18" t="s">
        <v>24</v>
      </c>
      <c r="L5668" s="18" t="s">
        <v>25</v>
      </c>
      <c r="N5668" s="18" t="s">
        <v>154</v>
      </c>
    </row>
    <row r="5669" spans="1:14" ht="15" customHeight="1" x14ac:dyDescent="0.3">
      <c r="A5669" s="18" t="s">
        <v>10303</v>
      </c>
      <c r="B5669" s="19" t="s">
        <v>15</v>
      </c>
      <c r="C5669" s="18" t="s">
        <v>149</v>
      </c>
      <c r="D5669" s="18" t="s">
        <v>116</v>
      </c>
      <c r="E5669" s="18" t="s">
        <v>171</v>
      </c>
      <c r="F5669" s="18" t="s">
        <v>1237</v>
      </c>
      <c r="G5669" s="18" t="s">
        <v>1254</v>
      </c>
      <c r="H5669" s="18" t="s">
        <v>8164</v>
      </c>
      <c r="I5669" s="20" t="s">
        <v>10705</v>
      </c>
      <c r="J5669" s="18" t="s">
        <v>175</v>
      </c>
      <c r="K5669" s="18" t="s">
        <v>24</v>
      </c>
      <c r="L5669" s="18" t="s">
        <v>25</v>
      </c>
      <c r="M5669" s="18" t="s">
        <v>39</v>
      </c>
      <c r="N5669" s="18" t="s">
        <v>154</v>
      </c>
    </row>
    <row r="5670" spans="1:14" ht="15" customHeight="1" x14ac:dyDescent="0.3">
      <c r="A5670" s="18" t="s">
        <v>10303</v>
      </c>
      <c r="B5670" s="19" t="s">
        <v>15</v>
      </c>
      <c r="C5670" s="18" t="s">
        <v>149</v>
      </c>
      <c r="D5670" s="18" t="s">
        <v>116</v>
      </c>
      <c r="E5670" s="18" t="s">
        <v>171</v>
      </c>
      <c r="F5670" s="18" t="s">
        <v>80</v>
      </c>
      <c r="G5670" s="18" t="s">
        <v>80</v>
      </c>
      <c r="H5670" s="18" t="s">
        <v>8429</v>
      </c>
      <c r="I5670" s="20" t="s">
        <v>10706</v>
      </c>
      <c r="J5670" s="18" t="s">
        <v>175</v>
      </c>
      <c r="K5670" s="18" t="s">
        <v>24</v>
      </c>
      <c r="L5670" s="18" t="s">
        <v>25</v>
      </c>
      <c r="N5670" s="18" t="s">
        <v>154</v>
      </c>
    </row>
    <row r="5671" spans="1:14" ht="15" customHeight="1" x14ac:dyDescent="0.3">
      <c r="A5671" s="18" t="s">
        <v>10303</v>
      </c>
      <c r="B5671" s="19" t="s">
        <v>15</v>
      </c>
      <c r="C5671" s="18" t="s">
        <v>149</v>
      </c>
      <c r="D5671" s="18" t="s">
        <v>116</v>
      </c>
      <c r="E5671" s="18" t="s">
        <v>171</v>
      </c>
      <c r="F5671" s="18" t="s">
        <v>221</v>
      </c>
      <c r="G5671" s="18" t="s">
        <v>212</v>
      </c>
      <c r="H5671" s="18" t="s">
        <v>8164</v>
      </c>
      <c r="I5671" s="20" t="s">
        <v>10707</v>
      </c>
      <c r="J5671" s="18" t="s">
        <v>175</v>
      </c>
      <c r="K5671" s="18" t="s">
        <v>24</v>
      </c>
      <c r="L5671" s="18" t="s">
        <v>25</v>
      </c>
      <c r="M5671" s="18" t="s">
        <v>39</v>
      </c>
      <c r="N5671" s="18" t="s">
        <v>154</v>
      </c>
    </row>
    <row r="5672" spans="1:14" ht="15" customHeight="1" x14ac:dyDescent="0.3">
      <c r="A5672" s="18" t="s">
        <v>10303</v>
      </c>
      <c r="B5672" s="19" t="s">
        <v>15</v>
      </c>
      <c r="C5672" s="18" t="s">
        <v>149</v>
      </c>
      <c r="D5672" s="18" t="s">
        <v>116</v>
      </c>
      <c r="E5672" s="18" t="s">
        <v>171</v>
      </c>
      <c r="F5672" s="18" t="s">
        <v>1244</v>
      </c>
      <c r="G5672" s="18" t="s">
        <v>1204</v>
      </c>
      <c r="H5672" s="18" t="s">
        <v>8164</v>
      </c>
      <c r="I5672" s="20" t="s">
        <v>10708</v>
      </c>
      <c r="J5672" s="18" t="s">
        <v>175</v>
      </c>
      <c r="K5672" s="18" t="s">
        <v>24</v>
      </c>
      <c r="L5672" s="18" t="s">
        <v>25</v>
      </c>
      <c r="M5672" s="18" t="s">
        <v>39</v>
      </c>
      <c r="N5672" s="18" t="s">
        <v>154</v>
      </c>
    </row>
    <row r="5673" spans="1:14" ht="15" customHeight="1" x14ac:dyDescent="0.3">
      <c r="A5673" s="18" t="s">
        <v>10303</v>
      </c>
      <c r="B5673" s="19" t="s">
        <v>15</v>
      </c>
      <c r="C5673" s="18" t="s">
        <v>149</v>
      </c>
      <c r="D5673" s="18" t="s">
        <v>116</v>
      </c>
      <c r="E5673" s="18" t="s">
        <v>171</v>
      </c>
      <c r="F5673" s="18" t="s">
        <v>7609</v>
      </c>
      <c r="G5673" s="18" t="s">
        <v>3138</v>
      </c>
      <c r="H5673" s="18" t="s">
        <v>8159</v>
      </c>
      <c r="I5673" s="20" t="s">
        <v>10709</v>
      </c>
      <c r="J5673" s="18" t="s">
        <v>175</v>
      </c>
      <c r="K5673" s="18" t="s">
        <v>24</v>
      </c>
      <c r="L5673" s="18" t="s">
        <v>25</v>
      </c>
      <c r="N5673" s="18" t="s">
        <v>154</v>
      </c>
    </row>
    <row r="5674" spans="1:14" ht="15" customHeight="1" x14ac:dyDescent="0.3">
      <c r="A5674" s="18" t="s">
        <v>10303</v>
      </c>
      <c r="B5674" s="19" t="s">
        <v>15</v>
      </c>
      <c r="C5674" s="18" t="s">
        <v>149</v>
      </c>
      <c r="D5674" s="18" t="s">
        <v>116</v>
      </c>
      <c r="E5674" s="18" t="s">
        <v>171</v>
      </c>
      <c r="F5674" s="18" t="s">
        <v>8129</v>
      </c>
      <c r="G5674" s="18" t="s">
        <v>47</v>
      </c>
      <c r="H5674" s="18" t="s">
        <v>8164</v>
      </c>
      <c r="I5674" s="20" t="s">
        <v>10710</v>
      </c>
      <c r="J5674" s="18" t="s">
        <v>175</v>
      </c>
      <c r="K5674" s="18" t="s">
        <v>24</v>
      </c>
      <c r="L5674" s="18" t="s">
        <v>25</v>
      </c>
      <c r="M5674" s="18" t="s">
        <v>39</v>
      </c>
      <c r="N5674" s="18" t="s">
        <v>154</v>
      </c>
    </row>
    <row r="5675" spans="1:14" ht="15" customHeight="1" x14ac:dyDescent="0.3">
      <c r="A5675" s="18" t="s">
        <v>10303</v>
      </c>
      <c r="B5675" s="19" t="s">
        <v>15</v>
      </c>
      <c r="C5675" s="18" t="s">
        <v>149</v>
      </c>
      <c r="D5675" s="18" t="s">
        <v>116</v>
      </c>
      <c r="E5675" s="18" t="s">
        <v>171</v>
      </c>
      <c r="F5675" s="18" t="s">
        <v>34</v>
      </c>
      <c r="G5675" s="18" t="s">
        <v>1254</v>
      </c>
      <c r="H5675" s="18" t="s">
        <v>8164</v>
      </c>
      <c r="I5675" s="20" t="s">
        <v>10711</v>
      </c>
      <c r="J5675" s="18" t="s">
        <v>175</v>
      </c>
      <c r="K5675" s="18" t="s">
        <v>24</v>
      </c>
      <c r="L5675" s="18" t="s">
        <v>25</v>
      </c>
      <c r="M5675" s="18" t="s">
        <v>39</v>
      </c>
      <c r="N5675" s="18" t="s">
        <v>154</v>
      </c>
    </row>
    <row r="5676" spans="1:14" ht="15" customHeight="1" x14ac:dyDescent="0.3">
      <c r="A5676" s="18" t="s">
        <v>10303</v>
      </c>
      <c r="B5676" s="19" t="s">
        <v>15</v>
      </c>
      <c r="C5676" s="18" t="s">
        <v>149</v>
      </c>
      <c r="D5676" s="18" t="s">
        <v>116</v>
      </c>
      <c r="E5676" s="18" t="s">
        <v>171</v>
      </c>
      <c r="F5676" s="18" t="s">
        <v>10712</v>
      </c>
      <c r="G5676" s="18" t="s">
        <v>1254</v>
      </c>
      <c r="H5676" s="18" t="s">
        <v>8164</v>
      </c>
      <c r="I5676" s="20" t="s">
        <v>10713</v>
      </c>
      <c r="J5676" s="18" t="s">
        <v>175</v>
      </c>
      <c r="K5676" s="18" t="s">
        <v>24</v>
      </c>
      <c r="L5676" s="18" t="s">
        <v>25</v>
      </c>
      <c r="M5676" s="18" t="s">
        <v>39</v>
      </c>
      <c r="N5676" s="18" t="s">
        <v>154</v>
      </c>
    </row>
    <row r="5677" spans="1:14" ht="15" customHeight="1" x14ac:dyDescent="0.3">
      <c r="A5677" s="18" t="s">
        <v>10303</v>
      </c>
      <c r="B5677" s="19" t="s">
        <v>15</v>
      </c>
      <c r="C5677" s="18" t="s">
        <v>149</v>
      </c>
      <c r="D5677" s="18" t="s">
        <v>116</v>
      </c>
      <c r="E5677" s="18" t="s">
        <v>171</v>
      </c>
      <c r="F5677" s="18" t="s">
        <v>1250</v>
      </c>
      <c r="G5677" s="18" t="s">
        <v>1251</v>
      </c>
      <c r="H5677" s="18" t="s">
        <v>8164</v>
      </c>
      <c r="I5677" s="20" t="s">
        <v>10714</v>
      </c>
      <c r="J5677" s="18" t="s">
        <v>175</v>
      </c>
      <c r="K5677" s="18" t="s">
        <v>24</v>
      </c>
      <c r="L5677" s="18" t="s">
        <v>25</v>
      </c>
      <c r="M5677" s="18" t="s">
        <v>39</v>
      </c>
      <c r="N5677" s="18" t="s">
        <v>154</v>
      </c>
    </row>
    <row r="5678" spans="1:14" ht="15" customHeight="1" x14ac:dyDescent="0.3">
      <c r="A5678" s="18" t="s">
        <v>10303</v>
      </c>
      <c r="B5678" s="19" t="s">
        <v>15</v>
      </c>
      <c r="C5678" s="18" t="s">
        <v>149</v>
      </c>
      <c r="D5678" s="18" t="s">
        <v>116</v>
      </c>
      <c r="E5678" s="18" t="s">
        <v>171</v>
      </c>
      <c r="F5678" s="18" t="s">
        <v>10516</v>
      </c>
      <c r="G5678" s="18" t="s">
        <v>1254</v>
      </c>
      <c r="H5678" s="18" t="s">
        <v>8159</v>
      </c>
      <c r="I5678" s="20" t="s">
        <v>10715</v>
      </c>
      <c r="J5678" s="18" t="s">
        <v>175</v>
      </c>
      <c r="K5678" s="18" t="s">
        <v>24</v>
      </c>
      <c r="L5678" s="18" t="s">
        <v>25</v>
      </c>
      <c r="N5678" s="18" t="s">
        <v>154</v>
      </c>
    </row>
    <row r="5679" spans="1:14" ht="15" customHeight="1" x14ac:dyDescent="0.3">
      <c r="A5679" s="18" t="s">
        <v>10303</v>
      </c>
      <c r="B5679" s="19" t="s">
        <v>15</v>
      </c>
      <c r="C5679" s="18" t="s">
        <v>149</v>
      </c>
      <c r="D5679" s="18" t="s">
        <v>116</v>
      </c>
      <c r="E5679" s="18" t="s">
        <v>171</v>
      </c>
      <c r="F5679" s="18" t="s">
        <v>2099</v>
      </c>
      <c r="G5679" s="18" t="s">
        <v>7668</v>
      </c>
      <c r="H5679" s="18" t="s">
        <v>8164</v>
      </c>
      <c r="I5679" s="20" t="s">
        <v>10716</v>
      </c>
      <c r="J5679" s="18" t="s">
        <v>175</v>
      </c>
      <c r="K5679" s="18" t="s">
        <v>24</v>
      </c>
      <c r="L5679" s="18" t="s">
        <v>25</v>
      </c>
      <c r="M5679" s="18" t="s">
        <v>39</v>
      </c>
      <c r="N5679" s="18" t="s">
        <v>154</v>
      </c>
    </row>
    <row r="5680" spans="1:14" ht="15" customHeight="1" x14ac:dyDescent="0.3">
      <c r="A5680" s="18" t="s">
        <v>10303</v>
      </c>
      <c r="B5680" s="19" t="s">
        <v>15</v>
      </c>
      <c r="C5680" s="18" t="s">
        <v>149</v>
      </c>
      <c r="D5680" s="18" t="s">
        <v>116</v>
      </c>
      <c r="E5680" s="18" t="s">
        <v>171</v>
      </c>
      <c r="F5680" s="18" t="s">
        <v>1253</v>
      </c>
      <c r="G5680" s="18" t="s">
        <v>1254</v>
      </c>
      <c r="H5680" s="18" t="s">
        <v>8164</v>
      </c>
      <c r="I5680" s="20" t="s">
        <v>10717</v>
      </c>
      <c r="J5680" s="18" t="s">
        <v>175</v>
      </c>
      <c r="K5680" s="18" t="s">
        <v>24</v>
      </c>
      <c r="L5680" s="18" t="s">
        <v>25</v>
      </c>
      <c r="M5680" s="18" t="s">
        <v>39</v>
      </c>
      <c r="N5680" s="18" t="s">
        <v>154</v>
      </c>
    </row>
    <row r="5681" spans="1:14" ht="15" customHeight="1" x14ac:dyDescent="0.3">
      <c r="A5681" s="18" t="s">
        <v>10303</v>
      </c>
      <c r="B5681" s="19" t="s">
        <v>15</v>
      </c>
      <c r="C5681" s="18" t="s">
        <v>149</v>
      </c>
      <c r="D5681" s="18" t="s">
        <v>116</v>
      </c>
      <c r="E5681" s="18" t="s">
        <v>171</v>
      </c>
      <c r="F5681" s="18" t="s">
        <v>423</v>
      </c>
      <c r="G5681" s="18" t="s">
        <v>423</v>
      </c>
      <c r="H5681" s="18" t="s">
        <v>8559</v>
      </c>
      <c r="I5681" s="20" t="s">
        <v>10718</v>
      </c>
      <c r="J5681" s="18" t="s">
        <v>670</v>
      </c>
      <c r="K5681" s="18" t="s">
        <v>24</v>
      </c>
      <c r="L5681" s="18" t="s">
        <v>25</v>
      </c>
      <c r="N5681" s="18" t="s">
        <v>154</v>
      </c>
    </row>
    <row r="5682" spans="1:14" ht="15" customHeight="1" x14ac:dyDescent="0.3">
      <c r="A5682" s="18" t="s">
        <v>10303</v>
      </c>
      <c r="B5682" s="19" t="s">
        <v>15</v>
      </c>
      <c r="C5682" s="18" t="s">
        <v>149</v>
      </c>
      <c r="D5682" s="18" t="s">
        <v>116</v>
      </c>
      <c r="E5682" s="18" t="s">
        <v>171</v>
      </c>
      <c r="F5682" s="18" t="s">
        <v>667</v>
      </c>
      <c r="G5682" s="18" t="s">
        <v>667</v>
      </c>
      <c r="H5682" s="18" t="s">
        <v>8939</v>
      </c>
      <c r="I5682" s="20" t="s">
        <v>10719</v>
      </c>
      <c r="J5682" s="18" t="s">
        <v>175</v>
      </c>
      <c r="K5682" s="18" t="s">
        <v>24</v>
      </c>
      <c r="L5682" s="18" t="s">
        <v>25</v>
      </c>
      <c r="N5682" s="18" t="s">
        <v>154</v>
      </c>
    </row>
    <row r="5683" spans="1:14" ht="15" customHeight="1" x14ac:dyDescent="0.3">
      <c r="A5683" s="18" t="s">
        <v>10303</v>
      </c>
      <c r="B5683" s="19" t="s">
        <v>15</v>
      </c>
      <c r="C5683" s="18" t="s">
        <v>149</v>
      </c>
      <c r="D5683" s="18" t="s">
        <v>116</v>
      </c>
      <c r="E5683" s="18" t="s">
        <v>171</v>
      </c>
      <c r="F5683" s="18" t="s">
        <v>625</v>
      </c>
      <c r="G5683" s="18" t="s">
        <v>10720</v>
      </c>
      <c r="H5683" s="18" t="s">
        <v>10383</v>
      </c>
      <c r="I5683" s="20" t="s">
        <v>10721</v>
      </c>
      <c r="J5683" s="18" t="s">
        <v>7452</v>
      </c>
      <c r="K5683" s="18" t="s">
        <v>24</v>
      </c>
      <c r="L5683" s="18" t="s">
        <v>25</v>
      </c>
      <c r="N5683" s="18" t="s">
        <v>154</v>
      </c>
    </row>
    <row r="5684" spans="1:14" ht="15" customHeight="1" x14ac:dyDescent="0.3">
      <c r="A5684" s="18" t="s">
        <v>10303</v>
      </c>
      <c r="B5684" s="19" t="s">
        <v>15</v>
      </c>
      <c r="C5684" s="18" t="s">
        <v>149</v>
      </c>
      <c r="D5684" s="18" t="s">
        <v>116</v>
      </c>
      <c r="E5684" s="18" t="s">
        <v>171</v>
      </c>
      <c r="F5684" s="18" t="s">
        <v>340</v>
      </c>
      <c r="G5684" s="18" t="s">
        <v>340</v>
      </c>
      <c r="H5684" s="18" t="s">
        <v>8434</v>
      </c>
      <c r="I5684" s="20" t="s">
        <v>10722</v>
      </c>
      <c r="J5684" s="18" t="s">
        <v>175</v>
      </c>
      <c r="K5684" s="18" t="s">
        <v>24</v>
      </c>
      <c r="L5684" s="18" t="s">
        <v>25</v>
      </c>
      <c r="N5684" s="18" t="s">
        <v>154</v>
      </c>
    </row>
    <row r="5685" spans="1:14" ht="15" customHeight="1" x14ac:dyDescent="0.3">
      <c r="A5685" s="18" t="s">
        <v>10723</v>
      </c>
      <c r="B5685" s="19" t="s">
        <v>15</v>
      </c>
      <c r="C5685" s="18" t="s">
        <v>10724</v>
      </c>
      <c r="D5685" s="18" t="s">
        <v>116</v>
      </c>
      <c r="E5685" s="18" t="s">
        <v>117</v>
      </c>
      <c r="F5685" s="18" t="s">
        <v>10725</v>
      </c>
      <c r="G5685" s="18" t="s">
        <v>913</v>
      </c>
      <c r="H5685" s="18" t="s">
        <v>10726</v>
      </c>
      <c r="I5685" s="20" t="s">
        <v>10727</v>
      </c>
      <c r="J5685" s="18" t="s">
        <v>58</v>
      </c>
      <c r="K5685" s="18" t="s">
        <v>24</v>
      </c>
      <c r="L5685" s="18" t="s">
        <v>25</v>
      </c>
      <c r="N5685" s="18" t="s">
        <v>6229</v>
      </c>
    </row>
    <row r="5686" spans="1:14" ht="15" customHeight="1" x14ac:dyDescent="0.3">
      <c r="A5686" s="18" t="s">
        <v>10723</v>
      </c>
      <c r="B5686" s="19" t="s">
        <v>15</v>
      </c>
      <c r="C5686" s="18" t="s">
        <v>10728</v>
      </c>
      <c r="D5686" s="18" t="s">
        <v>116</v>
      </c>
      <c r="E5686" s="18" t="s">
        <v>117</v>
      </c>
      <c r="F5686" s="18" t="s">
        <v>2731</v>
      </c>
      <c r="G5686" s="18" t="s">
        <v>1704</v>
      </c>
      <c r="H5686" s="18" t="s">
        <v>10729</v>
      </c>
      <c r="I5686" s="20" t="s">
        <v>10730</v>
      </c>
      <c r="J5686" s="18" t="s">
        <v>58</v>
      </c>
      <c r="K5686" s="18" t="s">
        <v>24</v>
      </c>
      <c r="L5686" s="18" t="s">
        <v>25</v>
      </c>
      <c r="N5686" s="18" t="s">
        <v>973</v>
      </c>
    </row>
    <row r="5687" spans="1:14" ht="15" customHeight="1" x14ac:dyDescent="0.3">
      <c r="A5687" s="18" t="s">
        <v>10723</v>
      </c>
      <c r="B5687" s="19" t="s">
        <v>15</v>
      </c>
      <c r="C5687" s="18" t="s">
        <v>10728</v>
      </c>
      <c r="D5687" s="18" t="s">
        <v>116</v>
      </c>
      <c r="E5687" s="18" t="s">
        <v>117</v>
      </c>
      <c r="F5687" s="18" t="s">
        <v>10731</v>
      </c>
      <c r="G5687" s="18" t="s">
        <v>270</v>
      </c>
      <c r="H5687" s="18" t="s">
        <v>10732</v>
      </c>
      <c r="I5687" s="20" t="s">
        <v>10733</v>
      </c>
      <c r="J5687" s="18" t="s">
        <v>58</v>
      </c>
      <c r="K5687" s="18" t="s">
        <v>24</v>
      </c>
      <c r="L5687" s="18" t="s">
        <v>25</v>
      </c>
      <c r="N5687" s="18" t="s">
        <v>973</v>
      </c>
    </row>
    <row r="5688" spans="1:14" ht="15" customHeight="1" x14ac:dyDescent="0.3">
      <c r="A5688" s="18" t="s">
        <v>10723</v>
      </c>
      <c r="B5688" s="19" t="s">
        <v>15</v>
      </c>
      <c r="C5688" s="18" t="s">
        <v>10724</v>
      </c>
      <c r="D5688" s="18" t="s">
        <v>116</v>
      </c>
      <c r="E5688" s="18" t="s">
        <v>117</v>
      </c>
      <c r="F5688" s="18" t="s">
        <v>10734</v>
      </c>
      <c r="G5688" s="18" t="s">
        <v>47</v>
      </c>
      <c r="H5688" s="18" t="s">
        <v>10735</v>
      </c>
      <c r="I5688" s="20" t="s">
        <v>10736</v>
      </c>
      <c r="J5688" s="18" t="s">
        <v>58</v>
      </c>
      <c r="K5688" s="18" t="s">
        <v>24</v>
      </c>
      <c r="L5688" s="18" t="s">
        <v>25</v>
      </c>
      <c r="N5688" s="18" t="s">
        <v>6229</v>
      </c>
    </row>
    <row r="5689" spans="1:14" ht="15" customHeight="1" x14ac:dyDescent="0.3">
      <c r="A5689" s="18" t="s">
        <v>10723</v>
      </c>
      <c r="B5689" s="19" t="s">
        <v>15</v>
      </c>
      <c r="C5689" s="18" t="s">
        <v>10724</v>
      </c>
      <c r="D5689" s="18" t="s">
        <v>116</v>
      </c>
      <c r="E5689" s="18" t="s">
        <v>117</v>
      </c>
      <c r="F5689" s="18" t="s">
        <v>10237</v>
      </c>
      <c r="G5689" s="18" t="s">
        <v>2047</v>
      </c>
      <c r="H5689" s="18" t="s">
        <v>10735</v>
      </c>
      <c r="I5689" s="20" t="s">
        <v>10737</v>
      </c>
      <c r="J5689" s="18" t="s">
        <v>58</v>
      </c>
      <c r="K5689" s="18" t="s">
        <v>24</v>
      </c>
      <c r="L5689" s="18" t="s">
        <v>25</v>
      </c>
      <c r="N5689" s="18" t="s">
        <v>6229</v>
      </c>
    </row>
    <row r="5690" spans="1:14" ht="15" customHeight="1" x14ac:dyDescent="0.3">
      <c r="A5690" s="18" t="s">
        <v>10723</v>
      </c>
      <c r="B5690" s="19" t="s">
        <v>15</v>
      </c>
      <c r="C5690" s="18" t="s">
        <v>10724</v>
      </c>
      <c r="D5690" s="18" t="s">
        <v>116</v>
      </c>
      <c r="E5690" s="18" t="s">
        <v>117</v>
      </c>
      <c r="F5690" s="18" t="s">
        <v>10738</v>
      </c>
      <c r="G5690" s="18" t="s">
        <v>637</v>
      </c>
      <c r="H5690" s="18" t="s">
        <v>10739</v>
      </c>
      <c r="I5690" s="20" t="s">
        <v>10740</v>
      </c>
      <c r="J5690" s="18" t="s">
        <v>58</v>
      </c>
      <c r="K5690" s="18" t="s">
        <v>24</v>
      </c>
      <c r="L5690" s="18" t="s">
        <v>25</v>
      </c>
      <c r="N5690" s="18" t="s">
        <v>6229</v>
      </c>
    </row>
    <row r="5691" spans="1:14" ht="15" customHeight="1" x14ac:dyDescent="0.3">
      <c r="A5691" s="18" t="s">
        <v>10723</v>
      </c>
      <c r="B5691" s="19" t="s">
        <v>15</v>
      </c>
      <c r="C5691" s="18" t="s">
        <v>10724</v>
      </c>
      <c r="D5691" s="18" t="s">
        <v>116</v>
      </c>
      <c r="E5691" s="18" t="s">
        <v>18</v>
      </c>
      <c r="F5691" s="18" t="s">
        <v>1518</v>
      </c>
      <c r="G5691" s="18" t="s">
        <v>606</v>
      </c>
      <c r="H5691" s="18" t="s">
        <v>10741</v>
      </c>
      <c r="I5691" s="20" t="s">
        <v>10742</v>
      </c>
      <c r="J5691" s="18" t="s">
        <v>30</v>
      </c>
      <c r="K5691" s="18" t="s">
        <v>24</v>
      </c>
      <c r="L5691" s="18" t="s">
        <v>25</v>
      </c>
      <c r="N5691" s="18" t="s">
        <v>6229</v>
      </c>
    </row>
    <row r="5692" spans="1:14" ht="15" customHeight="1" x14ac:dyDescent="0.3">
      <c r="A5692" s="18" t="s">
        <v>10723</v>
      </c>
      <c r="B5692" s="19" t="s">
        <v>15</v>
      </c>
      <c r="C5692" s="18" t="s">
        <v>10728</v>
      </c>
      <c r="D5692" s="18" t="s">
        <v>116</v>
      </c>
      <c r="E5692" s="18" t="s">
        <v>18</v>
      </c>
      <c r="F5692" s="18" t="s">
        <v>2743</v>
      </c>
      <c r="G5692" s="18" t="s">
        <v>606</v>
      </c>
      <c r="H5692" s="18" t="s">
        <v>10743</v>
      </c>
      <c r="I5692" s="20" t="s">
        <v>10744</v>
      </c>
      <c r="J5692" s="18" t="s">
        <v>30</v>
      </c>
      <c r="K5692" s="18" t="s">
        <v>24</v>
      </c>
      <c r="L5692" s="18" t="s">
        <v>25</v>
      </c>
      <c r="N5692" s="18" t="s">
        <v>973</v>
      </c>
    </row>
    <row r="5693" spans="1:14" ht="15" customHeight="1" x14ac:dyDescent="0.3">
      <c r="A5693" s="18" t="s">
        <v>10723</v>
      </c>
      <c r="B5693" s="19" t="s">
        <v>15</v>
      </c>
      <c r="C5693" s="18" t="s">
        <v>10728</v>
      </c>
      <c r="D5693" s="18" t="s">
        <v>116</v>
      </c>
      <c r="E5693" s="18" t="s">
        <v>18</v>
      </c>
      <c r="F5693" s="18" t="s">
        <v>10745</v>
      </c>
      <c r="G5693" s="18" t="s">
        <v>637</v>
      </c>
      <c r="H5693" s="18" t="s">
        <v>10746</v>
      </c>
      <c r="I5693" s="20" t="s">
        <v>10747</v>
      </c>
      <c r="J5693" s="18" t="s">
        <v>30</v>
      </c>
      <c r="K5693" s="18" t="s">
        <v>24</v>
      </c>
      <c r="L5693" s="18" t="s">
        <v>25</v>
      </c>
      <c r="N5693" s="18" t="s">
        <v>973</v>
      </c>
    </row>
    <row r="5694" spans="1:14" ht="15" customHeight="1" x14ac:dyDescent="0.3">
      <c r="A5694" s="18" t="s">
        <v>10723</v>
      </c>
      <c r="B5694" s="19" t="s">
        <v>15</v>
      </c>
      <c r="C5694" s="18" t="s">
        <v>10748</v>
      </c>
      <c r="D5694" s="18" t="s">
        <v>116</v>
      </c>
      <c r="E5694" s="18" t="s">
        <v>18</v>
      </c>
      <c r="F5694" s="18" t="s">
        <v>10749</v>
      </c>
      <c r="G5694" s="18" t="s">
        <v>2248</v>
      </c>
      <c r="H5694" s="18" t="s">
        <v>10750</v>
      </c>
      <c r="I5694" s="20" t="s">
        <v>10751</v>
      </c>
      <c r="J5694" s="18" t="s">
        <v>30</v>
      </c>
      <c r="K5694" s="18" t="s">
        <v>24</v>
      </c>
      <c r="L5694" s="18" t="s">
        <v>25</v>
      </c>
      <c r="N5694" s="18" t="s">
        <v>6229</v>
      </c>
    </row>
    <row r="5695" spans="1:14" ht="15" customHeight="1" x14ac:dyDescent="0.3">
      <c r="A5695" s="18" t="s">
        <v>10723</v>
      </c>
      <c r="B5695" s="19" t="s">
        <v>15</v>
      </c>
      <c r="C5695" s="18" t="s">
        <v>10724</v>
      </c>
      <c r="D5695" s="18" t="s">
        <v>116</v>
      </c>
      <c r="E5695" s="18" t="s">
        <v>18</v>
      </c>
      <c r="F5695" s="18" t="s">
        <v>1804</v>
      </c>
      <c r="G5695" s="18" t="s">
        <v>207</v>
      </c>
      <c r="H5695" s="18" t="s">
        <v>10752</v>
      </c>
      <c r="I5695" s="20" t="s">
        <v>10753</v>
      </c>
      <c r="J5695" s="18" t="s">
        <v>30</v>
      </c>
      <c r="K5695" s="18" t="s">
        <v>24</v>
      </c>
      <c r="L5695" s="18" t="s">
        <v>25</v>
      </c>
      <c r="N5695" s="18" t="s">
        <v>6229</v>
      </c>
    </row>
    <row r="5696" spans="1:14" ht="15" customHeight="1" x14ac:dyDescent="0.3">
      <c r="A5696" s="18" t="s">
        <v>10723</v>
      </c>
      <c r="B5696" s="19" t="s">
        <v>15</v>
      </c>
      <c r="C5696" s="18" t="s">
        <v>10724</v>
      </c>
      <c r="D5696" s="18" t="s">
        <v>116</v>
      </c>
      <c r="E5696" s="18" t="s">
        <v>18</v>
      </c>
      <c r="F5696" s="18" t="s">
        <v>1069</v>
      </c>
      <c r="G5696" s="18" t="s">
        <v>1069</v>
      </c>
      <c r="H5696" s="18" t="s">
        <v>10754</v>
      </c>
      <c r="I5696" s="20" t="s">
        <v>10755</v>
      </c>
      <c r="J5696" s="18" t="s">
        <v>30</v>
      </c>
      <c r="K5696" s="18" t="s">
        <v>24</v>
      </c>
      <c r="L5696" s="18" t="s">
        <v>25</v>
      </c>
      <c r="N5696" s="18" t="s">
        <v>6229</v>
      </c>
    </row>
    <row r="5697" spans="1:14" ht="15" customHeight="1" x14ac:dyDescent="0.3">
      <c r="A5697" s="18" t="s">
        <v>10723</v>
      </c>
      <c r="B5697" s="19" t="s">
        <v>15</v>
      </c>
      <c r="C5697" s="18" t="s">
        <v>10724</v>
      </c>
      <c r="D5697" s="18" t="s">
        <v>116</v>
      </c>
      <c r="E5697" s="18" t="s">
        <v>18</v>
      </c>
      <c r="F5697" s="18" t="s">
        <v>272</v>
      </c>
      <c r="G5697" s="18" t="s">
        <v>273</v>
      </c>
      <c r="H5697" s="18" t="s">
        <v>10756</v>
      </c>
      <c r="I5697" s="20" t="s">
        <v>10757</v>
      </c>
      <c r="J5697" s="18" t="s">
        <v>30</v>
      </c>
      <c r="K5697" s="18" t="s">
        <v>24</v>
      </c>
      <c r="L5697" s="18" t="s">
        <v>25</v>
      </c>
      <c r="N5697" s="18" t="s">
        <v>6229</v>
      </c>
    </row>
    <row r="5698" spans="1:14" ht="15" customHeight="1" x14ac:dyDescent="0.3">
      <c r="A5698" s="18" t="s">
        <v>10723</v>
      </c>
      <c r="B5698" s="19" t="s">
        <v>15</v>
      </c>
      <c r="C5698" s="18" t="s">
        <v>10728</v>
      </c>
      <c r="D5698" s="18" t="s">
        <v>116</v>
      </c>
      <c r="E5698" s="18" t="s">
        <v>18</v>
      </c>
      <c r="F5698" s="18" t="s">
        <v>381</v>
      </c>
      <c r="G5698" s="18" t="s">
        <v>381</v>
      </c>
      <c r="H5698" s="18" t="s">
        <v>10758</v>
      </c>
      <c r="I5698" s="20" t="s">
        <v>10759</v>
      </c>
      <c r="J5698" s="18" t="s">
        <v>23</v>
      </c>
      <c r="K5698" s="18" t="s">
        <v>24</v>
      </c>
      <c r="L5698" s="18" t="s">
        <v>25</v>
      </c>
      <c r="N5698" s="18" t="s">
        <v>973</v>
      </c>
    </row>
    <row r="5699" spans="1:14" ht="15" customHeight="1" x14ac:dyDescent="0.3">
      <c r="A5699" s="18" t="s">
        <v>10723</v>
      </c>
      <c r="B5699" s="19" t="s">
        <v>15</v>
      </c>
      <c r="C5699" s="18" t="s">
        <v>10724</v>
      </c>
      <c r="D5699" s="18" t="s">
        <v>116</v>
      </c>
      <c r="E5699" s="18" t="s">
        <v>18</v>
      </c>
      <c r="F5699" s="18" t="s">
        <v>3396</v>
      </c>
      <c r="G5699" s="18" t="s">
        <v>2396</v>
      </c>
      <c r="H5699" s="18" t="s">
        <v>10756</v>
      </c>
      <c r="I5699" s="20" t="s">
        <v>10760</v>
      </c>
      <c r="J5699" s="18" t="s">
        <v>30</v>
      </c>
      <c r="K5699" s="18" t="s">
        <v>24</v>
      </c>
      <c r="L5699" s="18" t="s">
        <v>25</v>
      </c>
      <c r="N5699" s="18" t="s">
        <v>6229</v>
      </c>
    </row>
    <row r="5700" spans="1:14" ht="15" customHeight="1" x14ac:dyDescent="0.3">
      <c r="A5700" s="18" t="s">
        <v>10723</v>
      </c>
      <c r="B5700" s="19" t="s">
        <v>15</v>
      </c>
      <c r="C5700" s="18" t="s">
        <v>10724</v>
      </c>
      <c r="D5700" s="18" t="s">
        <v>116</v>
      </c>
      <c r="E5700" s="18" t="s">
        <v>18</v>
      </c>
      <c r="F5700" s="18" t="s">
        <v>10761</v>
      </c>
      <c r="G5700" s="18" t="s">
        <v>312</v>
      </c>
      <c r="H5700" s="18" t="s">
        <v>10756</v>
      </c>
      <c r="I5700" s="20" t="s">
        <v>10762</v>
      </c>
      <c r="J5700" s="18" t="s">
        <v>30</v>
      </c>
      <c r="K5700" s="18" t="s">
        <v>24</v>
      </c>
      <c r="L5700" s="18" t="s">
        <v>1369</v>
      </c>
      <c r="N5700" s="18" t="s">
        <v>6229</v>
      </c>
    </row>
    <row r="5701" spans="1:14" ht="15" customHeight="1" x14ac:dyDescent="0.3">
      <c r="A5701" s="18" t="s">
        <v>10723</v>
      </c>
      <c r="B5701" s="19" t="s">
        <v>15</v>
      </c>
      <c r="C5701" s="18" t="s">
        <v>10724</v>
      </c>
      <c r="D5701" s="18" t="s">
        <v>116</v>
      </c>
      <c r="E5701" s="18" t="s">
        <v>18</v>
      </c>
      <c r="F5701" s="18" t="s">
        <v>40</v>
      </c>
      <c r="G5701" s="18" t="s">
        <v>41</v>
      </c>
      <c r="H5701" s="18" t="s">
        <v>10763</v>
      </c>
      <c r="I5701" s="20" t="s">
        <v>10764</v>
      </c>
      <c r="J5701" s="18" t="s">
        <v>30</v>
      </c>
      <c r="K5701" s="18" t="s">
        <v>24</v>
      </c>
      <c r="L5701" s="18" t="s">
        <v>25</v>
      </c>
      <c r="N5701" s="18" t="s">
        <v>6229</v>
      </c>
    </row>
    <row r="5702" spans="1:14" ht="15" customHeight="1" x14ac:dyDescent="0.3">
      <c r="A5702" s="18" t="s">
        <v>10723</v>
      </c>
      <c r="B5702" s="19" t="s">
        <v>15</v>
      </c>
      <c r="C5702" s="18" t="s">
        <v>10728</v>
      </c>
      <c r="D5702" s="18" t="s">
        <v>116</v>
      </c>
      <c r="E5702" s="18" t="s">
        <v>18</v>
      </c>
      <c r="F5702" s="18" t="s">
        <v>10765</v>
      </c>
      <c r="G5702" s="18" t="s">
        <v>536</v>
      </c>
      <c r="H5702" s="18" t="s">
        <v>10746</v>
      </c>
      <c r="I5702" s="20" t="s">
        <v>10766</v>
      </c>
      <c r="J5702" s="18" t="s">
        <v>30</v>
      </c>
      <c r="K5702" s="18" t="s">
        <v>24</v>
      </c>
      <c r="L5702" s="18" t="s">
        <v>25</v>
      </c>
      <c r="N5702" s="18" t="s">
        <v>973</v>
      </c>
    </row>
    <row r="5703" spans="1:14" ht="15" customHeight="1" x14ac:dyDescent="0.3">
      <c r="A5703" s="18" t="s">
        <v>10723</v>
      </c>
      <c r="B5703" s="19" t="s">
        <v>15</v>
      </c>
      <c r="C5703" s="18" t="s">
        <v>10724</v>
      </c>
      <c r="D5703" s="18" t="s">
        <v>116</v>
      </c>
      <c r="E5703" s="18" t="s">
        <v>18</v>
      </c>
      <c r="F5703" s="18" t="s">
        <v>6250</v>
      </c>
      <c r="G5703" s="18" t="s">
        <v>197</v>
      </c>
      <c r="H5703" s="18" t="s">
        <v>10756</v>
      </c>
      <c r="I5703" s="20" t="s">
        <v>10767</v>
      </c>
      <c r="J5703" s="18" t="s">
        <v>30</v>
      </c>
      <c r="K5703" s="18" t="s">
        <v>24</v>
      </c>
      <c r="L5703" s="18" t="s">
        <v>25</v>
      </c>
      <c r="N5703" s="18" t="s">
        <v>6229</v>
      </c>
    </row>
    <row r="5704" spans="1:14" ht="15" customHeight="1" x14ac:dyDescent="0.3">
      <c r="A5704" s="18" t="s">
        <v>10723</v>
      </c>
      <c r="B5704" s="19" t="s">
        <v>15</v>
      </c>
      <c r="C5704" s="18" t="s">
        <v>10724</v>
      </c>
      <c r="D5704" s="18" t="s">
        <v>116</v>
      </c>
      <c r="E5704" s="18" t="s">
        <v>18</v>
      </c>
      <c r="F5704" s="18" t="s">
        <v>1587</v>
      </c>
      <c r="G5704" s="18" t="s">
        <v>47</v>
      </c>
      <c r="H5704" s="18" t="s">
        <v>10768</v>
      </c>
      <c r="I5704" s="20" t="s">
        <v>10769</v>
      </c>
      <c r="J5704" s="18" t="s">
        <v>30</v>
      </c>
      <c r="K5704" s="18" t="s">
        <v>24</v>
      </c>
      <c r="L5704" s="18" t="s">
        <v>25</v>
      </c>
      <c r="N5704" s="18" t="s">
        <v>6229</v>
      </c>
    </row>
    <row r="5705" spans="1:14" ht="15" customHeight="1" x14ac:dyDescent="0.3">
      <c r="A5705" s="18" t="s">
        <v>10723</v>
      </c>
      <c r="B5705" s="19" t="s">
        <v>15</v>
      </c>
      <c r="C5705" s="18" t="s">
        <v>10724</v>
      </c>
      <c r="D5705" s="18" t="s">
        <v>116</v>
      </c>
      <c r="E5705" s="18" t="s">
        <v>18</v>
      </c>
      <c r="F5705" s="18" t="s">
        <v>10770</v>
      </c>
      <c r="G5705" s="18" t="s">
        <v>44</v>
      </c>
      <c r="H5705" s="18" t="s">
        <v>10768</v>
      </c>
      <c r="I5705" s="20" t="s">
        <v>10771</v>
      </c>
      <c r="J5705" s="18" t="s">
        <v>30</v>
      </c>
      <c r="K5705" s="18" t="s">
        <v>24</v>
      </c>
      <c r="L5705" s="18" t="s">
        <v>25</v>
      </c>
      <c r="N5705" s="18" t="s">
        <v>6229</v>
      </c>
    </row>
    <row r="5706" spans="1:14" ht="15" customHeight="1" x14ac:dyDescent="0.3">
      <c r="A5706" s="18" t="s">
        <v>10723</v>
      </c>
      <c r="B5706" s="19" t="s">
        <v>15</v>
      </c>
      <c r="C5706" s="18" t="s">
        <v>10724</v>
      </c>
      <c r="D5706" s="18" t="s">
        <v>116</v>
      </c>
      <c r="E5706" s="18" t="s">
        <v>18</v>
      </c>
      <c r="F5706" s="18" t="s">
        <v>340</v>
      </c>
      <c r="G5706" s="18" t="s">
        <v>340</v>
      </c>
      <c r="H5706" s="18" t="s">
        <v>10756</v>
      </c>
      <c r="I5706" s="20" t="s">
        <v>10772</v>
      </c>
      <c r="J5706" s="18" t="s">
        <v>30</v>
      </c>
      <c r="K5706" s="18" t="s">
        <v>24</v>
      </c>
      <c r="L5706" s="18" t="s">
        <v>25</v>
      </c>
      <c r="N5706" s="18" t="s">
        <v>6229</v>
      </c>
    </row>
    <row r="5707" spans="1:14" ht="15" customHeight="1" x14ac:dyDescent="0.3">
      <c r="A5707" s="18" t="s">
        <v>10723</v>
      </c>
      <c r="B5707" s="19" t="s">
        <v>15</v>
      </c>
      <c r="C5707" s="18" t="s">
        <v>918</v>
      </c>
      <c r="D5707" s="18" t="s">
        <v>116</v>
      </c>
      <c r="E5707" s="18" t="s">
        <v>18</v>
      </c>
      <c r="F5707" s="18" t="s">
        <v>10773</v>
      </c>
      <c r="G5707" s="18" t="s">
        <v>606</v>
      </c>
      <c r="H5707" s="18" t="s">
        <v>10774</v>
      </c>
      <c r="I5707" s="20" t="s">
        <v>10775</v>
      </c>
      <c r="J5707" s="18" t="s">
        <v>30</v>
      </c>
      <c r="K5707" s="18" t="s">
        <v>24</v>
      </c>
      <c r="L5707" s="18" t="s">
        <v>25</v>
      </c>
      <c r="N5707" s="18" t="s">
        <v>807</v>
      </c>
    </row>
    <row r="5708" spans="1:14" ht="15" customHeight="1" x14ac:dyDescent="0.3">
      <c r="A5708" s="18" t="s">
        <v>10723</v>
      </c>
      <c r="B5708" s="19" t="s">
        <v>15</v>
      </c>
      <c r="C5708" s="18" t="s">
        <v>10724</v>
      </c>
      <c r="D5708" s="18" t="s">
        <v>116</v>
      </c>
      <c r="E5708" s="18" t="s">
        <v>18</v>
      </c>
      <c r="F5708" s="18" t="s">
        <v>1102</v>
      </c>
      <c r="G5708" s="18" t="s">
        <v>263</v>
      </c>
      <c r="H5708" s="18" t="s">
        <v>10756</v>
      </c>
      <c r="I5708" s="20" t="s">
        <v>10776</v>
      </c>
      <c r="J5708" s="18" t="s">
        <v>6145</v>
      </c>
      <c r="K5708" s="18" t="s">
        <v>24</v>
      </c>
      <c r="L5708" s="18" t="s">
        <v>25</v>
      </c>
      <c r="N5708" s="18" t="s">
        <v>6229</v>
      </c>
    </row>
    <row r="5709" spans="1:14" ht="15" customHeight="1" x14ac:dyDescent="0.3">
      <c r="A5709" s="18" t="s">
        <v>10723</v>
      </c>
      <c r="B5709" s="19" t="s">
        <v>15</v>
      </c>
      <c r="C5709" s="18" t="s">
        <v>10724</v>
      </c>
      <c r="D5709" s="18" t="s">
        <v>116</v>
      </c>
      <c r="E5709" s="18" t="s">
        <v>18</v>
      </c>
      <c r="F5709" s="18" t="s">
        <v>1104</v>
      </c>
      <c r="G5709" s="18" t="s">
        <v>10777</v>
      </c>
      <c r="H5709" s="18" t="s">
        <v>10756</v>
      </c>
      <c r="I5709" s="20" t="s">
        <v>10778</v>
      </c>
      <c r="J5709" s="18" t="s">
        <v>30</v>
      </c>
      <c r="K5709" s="18" t="s">
        <v>24</v>
      </c>
      <c r="L5709" s="18" t="s">
        <v>25</v>
      </c>
      <c r="N5709" s="18" t="s">
        <v>6229</v>
      </c>
    </row>
    <row r="5710" spans="1:14" ht="15" customHeight="1" x14ac:dyDescent="0.3">
      <c r="A5710" s="18" t="s">
        <v>10723</v>
      </c>
      <c r="B5710" s="19" t="s">
        <v>15</v>
      </c>
      <c r="C5710" s="18" t="s">
        <v>10728</v>
      </c>
      <c r="D5710" s="18" t="s">
        <v>116</v>
      </c>
      <c r="E5710" s="18" t="s">
        <v>18</v>
      </c>
      <c r="F5710" s="18" t="s">
        <v>4605</v>
      </c>
      <c r="G5710" s="18" t="s">
        <v>2199</v>
      </c>
      <c r="H5710" s="18" t="s">
        <v>10779</v>
      </c>
      <c r="I5710" s="20" t="s">
        <v>10780</v>
      </c>
      <c r="J5710" s="18" t="s">
        <v>30</v>
      </c>
      <c r="K5710" s="18" t="s">
        <v>24</v>
      </c>
      <c r="L5710" s="18" t="s">
        <v>25</v>
      </c>
      <c r="N5710" s="18" t="s">
        <v>973</v>
      </c>
    </row>
    <row r="5711" spans="1:14" ht="15" customHeight="1" x14ac:dyDescent="0.3">
      <c r="A5711" s="18" t="s">
        <v>10723</v>
      </c>
      <c r="B5711" s="19" t="s">
        <v>15</v>
      </c>
      <c r="C5711" s="18" t="s">
        <v>10724</v>
      </c>
      <c r="D5711" s="18" t="s">
        <v>116</v>
      </c>
      <c r="E5711" s="18" t="s">
        <v>18</v>
      </c>
      <c r="F5711" s="18" t="s">
        <v>537</v>
      </c>
      <c r="G5711" s="18" t="s">
        <v>536</v>
      </c>
      <c r="H5711" s="18" t="s">
        <v>10763</v>
      </c>
      <c r="I5711" s="20" t="s">
        <v>10781</v>
      </c>
      <c r="J5711" s="18" t="s">
        <v>30</v>
      </c>
      <c r="K5711" s="18" t="s">
        <v>24</v>
      </c>
      <c r="L5711" s="18" t="s">
        <v>25</v>
      </c>
      <c r="N5711" s="18" t="s">
        <v>6229</v>
      </c>
    </row>
    <row r="5712" spans="1:14" ht="15" customHeight="1" x14ac:dyDescent="0.3">
      <c r="A5712" s="18" t="s">
        <v>10723</v>
      </c>
      <c r="B5712" s="19" t="s">
        <v>15</v>
      </c>
      <c r="C5712" s="18" t="s">
        <v>10728</v>
      </c>
      <c r="D5712" s="18" t="s">
        <v>116</v>
      </c>
      <c r="E5712" s="18" t="s">
        <v>55</v>
      </c>
      <c r="F5712" s="18" t="s">
        <v>10782</v>
      </c>
      <c r="G5712" s="18" t="s">
        <v>2047</v>
      </c>
      <c r="H5712" s="18" t="s">
        <v>10783</v>
      </c>
      <c r="I5712" s="20" t="s">
        <v>10784</v>
      </c>
      <c r="J5712" s="18" t="s">
        <v>58</v>
      </c>
      <c r="K5712" s="18" t="s">
        <v>293</v>
      </c>
      <c r="L5712" s="18" t="s">
        <v>25</v>
      </c>
      <c r="N5712" s="18" t="s">
        <v>973</v>
      </c>
    </row>
    <row r="5713" spans="1:14" ht="15" customHeight="1" x14ac:dyDescent="0.3">
      <c r="A5713" s="18" t="s">
        <v>10723</v>
      </c>
      <c r="B5713" s="19" t="s">
        <v>15</v>
      </c>
      <c r="C5713" s="18" t="s">
        <v>10724</v>
      </c>
      <c r="D5713" s="18" t="s">
        <v>116</v>
      </c>
      <c r="E5713" s="18" t="s">
        <v>55</v>
      </c>
      <c r="F5713" s="18" t="s">
        <v>10785</v>
      </c>
      <c r="G5713" s="18" t="s">
        <v>1009</v>
      </c>
      <c r="H5713" s="18" t="s">
        <v>10741</v>
      </c>
      <c r="I5713" s="20" t="s">
        <v>10786</v>
      </c>
      <c r="J5713" s="18" t="s">
        <v>58</v>
      </c>
      <c r="K5713" s="18" t="s">
        <v>24</v>
      </c>
      <c r="L5713" s="18" t="s">
        <v>25</v>
      </c>
      <c r="N5713" s="18" t="s">
        <v>6229</v>
      </c>
    </row>
    <row r="5714" spans="1:14" ht="15" customHeight="1" x14ac:dyDescent="0.3">
      <c r="A5714" s="18" t="s">
        <v>10723</v>
      </c>
      <c r="B5714" s="19" t="s">
        <v>15</v>
      </c>
      <c r="C5714" s="18" t="s">
        <v>10787</v>
      </c>
      <c r="D5714" s="18" t="s">
        <v>116</v>
      </c>
      <c r="E5714" s="18" t="s">
        <v>55</v>
      </c>
      <c r="F5714" s="18" t="s">
        <v>10788</v>
      </c>
      <c r="G5714" s="18" t="s">
        <v>606</v>
      </c>
      <c r="H5714" s="18" t="s">
        <v>10789</v>
      </c>
      <c r="I5714" s="20" t="s">
        <v>10790</v>
      </c>
      <c r="J5714" s="18" t="s">
        <v>58</v>
      </c>
      <c r="K5714" s="18" t="s">
        <v>24</v>
      </c>
      <c r="L5714" s="18" t="s">
        <v>25</v>
      </c>
      <c r="M5714" s="18" t="s">
        <v>39</v>
      </c>
      <c r="N5714" s="18" t="s">
        <v>6229</v>
      </c>
    </row>
    <row r="5715" spans="1:14" ht="15" customHeight="1" x14ac:dyDescent="0.3">
      <c r="A5715" s="18" t="s">
        <v>10723</v>
      </c>
      <c r="B5715" s="19" t="s">
        <v>15</v>
      </c>
      <c r="C5715" s="18" t="s">
        <v>10787</v>
      </c>
      <c r="D5715" s="18" t="s">
        <v>116</v>
      </c>
      <c r="E5715" s="18" t="s">
        <v>55</v>
      </c>
      <c r="F5715" s="18" t="s">
        <v>613</v>
      </c>
      <c r="G5715" s="18" t="s">
        <v>606</v>
      </c>
      <c r="H5715" s="18" t="s">
        <v>10768</v>
      </c>
      <c r="I5715" s="20" t="s">
        <v>10791</v>
      </c>
      <c r="J5715" s="18" t="s">
        <v>58</v>
      </c>
      <c r="K5715" s="18" t="s">
        <v>24</v>
      </c>
      <c r="L5715" s="18" t="s">
        <v>25</v>
      </c>
      <c r="N5715" s="18" t="s">
        <v>6229</v>
      </c>
    </row>
    <row r="5716" spans="1:14" ht="15" customHeight="1" x14ac:dyDescent="0.3">
      <c r="A5716" s="18" t="s">
        <v>10723</v>
      </c>
      <c r="B5716" s="19" t="s">
        <v>15</v>
      </c>
      <c r="C5716" s="18" t="s">
        <v>10724</v>
      </c>
      <c r="D5716" s="18" t="s">
        <v>116</v>
      </c>
      <c r="E5716" s="18" t="s">
        <v>55</v>
      </c>
      <c r="F5716" s="18" t="s">
        <v>4231</v>
      </c>
      <c r="G5716" s="18" t="s">
        <v>7091</v>
      </c>
      <c r="H5716" s="18" t="s">
        <v>10754</v>
      </c>
      <c r="I5716" s="20" t="s">
        <v>10792</v>
      </c>
      <c r="J5716" s="18" t="s">
        <v>58</v>
      </c>
      <c r="K5716" s="18" t="s">
        <v>24</v>
      </c>
      <c r="L5716" s="18" t="s">
        <v>25</v>
      </c>
      <c r="N5716" s="18" t="s">
        <v>6229</v>
      </c>
    </row>
    <row r="5717" spans="1:14" ht="15" customHeight="1" x14ac:dyDescent="0.3">
      <c r="A5717" s="18" t="s">
        <v>10723</v>
      </c>
      <c r="B5717" s="19" t="s">
        <v>15</v>
      </c>
      <c r="C5717" s="18" t="s">
        <v>10724</v>
      </c>
      <c r="D5717" s="18" t="s">
        <v>116</v>
      </c>
      <c r="E5717" s="18" t="s">
        <v>55</v>
      </c>
      <c r="F5717" s="18" t="s">
        <v>7703</v>
      </c>
      <c r="G5717" s="18" t="s">
        <v>1340</v>
      </c>
      <c r="H5717" s="18" t="s">
        <v>10793</v>
      </c>
      <c r="I5717" s="20" t="s">
        <v>10794</v>
      </c>
      <c r="J5717" s="18" t="s">
        <v>58</v>
      </c>
      <c r="K5717" s="18" t="s">
        <v>24</v>
      </c>
      <c r="L5717" s="18" t="s">
        <v>25</v>
      </c>
      <c r="N5717" s="18" t="s">
        <v>6229</v>
      </c>
    </row>
    <row r="5718" spans="1:14" ht="15" customHeight="1" x14ac:dyDescent="0.3">
      <c r="A5718" s="18" t="s">
        <v>10723</v>
      </c>
      <c r="B5718" s="19" t="s">
        <v>15</v>
      </c>
      <c r="C5718" s="18" t="s">
        <v>10787</v>
      </c>
      <c r="D5718" s="18" t="s">
        <v>116</v>
      </c>
      <c r="E5718" s="18" t="s">
        <v>55</v>
      </c>
      <c r="F5718" s="18" t="s">
        <v>1529</v>
      </c>
      <c r="G5718" s="18" t="s">
        <v>1527</v>
      </c>
      <c r="H5718" s="18" t="s">
        <v>10795</v>
      </c>
      <c r="I5718" s="20" t="s">
        <v>10796</v>
      </c>
      <c r="J5718" s="18" t="s">
        <v>58</v>
      </c>
      <c r="K5718" s="18" t="s">
        <v>24</v>
      </c>
      <c r="L5718" s="18" t="s">
        <v>25</v>
      </c>
      <c r="N5718" s="18" t="s">
        <v>6229</v>
      </c>
    </row>
    <row r="5719" spans="1:14" ht="15" customHeight="1" x14ac:dyDescent="0.3">
      <c r="A5719" s="18" t="s">
        <v>10723</v>
      </c>
      <c r="B5719" s="19" t="s">
        <v>15</v>
      </c>
      <c r="C5719" s="18" t="s">
        <v>10787</v>
      </c>
      <c r="D5719" s="18" t="s">
        <v>116</v>
      </c>
      <c r="E5719" s="18" t="s">
        <v>55</v>
      </c>
      <c r="F5719" s="18" t="s">
        <v>8865</v>
      </c>
      <c r="G5719" s="18" t="s">
        <v>273</v>
      </c>
      <c r="H5719" s="18" t="s">
        <v>10795</v>
      </c>
      <c r="I5719" s="20" t="s">
        <v>10797</v>
      </c>
      <c r="J5719" s="18" t="s">
        <v>58</v>
      </c>
      <c r="K5719" s="18" t="s">
        <v>24</v>
      </c>
      <c r="L5719" s="18" t="s">
        <v>25</v>
      </c>
      <c r="N5719" s="18" t="s">
        <v>6229</v>
      </c>
    </row>
    <row r="5720" spans="1:14" ht="15" customHeight="1" x14ac:dyDescent="0.3">
      <c r="A5720" s="18" t="s">
        <v>10723</v>
      </c>
      <c r="B5720" s="19" t="s">
        <v>15</v>
      </c>
      <c r="C5720" s="18" t="s">
        <v>10724</v>
      </c>
      <c r="D5720" s="18" t="s">
        <v>116</v>
      </c>
      <c r="E5720" s="18" t="s">
        <v>55</v>
      </c>
      <c r="F5720" s="18" t="s">
        <v>483</v>
      </c>
      <c r="G5720" s="18" t="s">
        <v>381</v>
      </c>
      <c r="H5720" s="18" t="s">
        <v>10798</v>
      </c>
      <c r="I5720" s="20" t="s">
        <v>10799</v>
      </c>
      <c r="J5720" s="18" t="s">
        <v>58</v>
      </c>
      <c r="K5720" s="18" t="s">
        <v>24</v>
      </c>
      <c r="L5720" s="18" t="s">
        <v>25</v>
      </c>
      <c r="N5720" s="18" t="s">
        <v>6229</v>
      </c>
    </row>
    <row r="5721" spans="1:14" ht="15" customHeight="1" x14ac:dyDescent="0.3">
      <c r="A5721" s="18" t="s">
        <v>10723</v>
      </c>
      <c r="B5721" s="19" t="s">
        <v>15</v>
      </c>
      <c r="C5721" s="18" t="s">
        <v>10800</v>
      </c>
      <c r="D5721" s="18" t="s">
        <v>116</v>
      </c>
      <c r="E5721" s="18" t="s">
        <v>55</v>
      </c>
      <c r="F5721" s="18" t="s">
        <v>726</v>
      </c>
      <c r="G5721" s="18" t="s">
        <v>381</v>
      </c>
      <c r="H5721" s="18" t="s">
        <v>10801</v>
      </c>
      <c r="I5721" s="20" t="s">
        <v>10802</v>
      </c>
      <c r="J5721" s="18" t="s">
        <v>73</v>
      </c>
      <c r="K5721" s="18" t="s">
        <v>24</v>
      </c>
      <c r="L5721" s="18" t="s">
        <v>25</v>
      </c>
      <c r="N5721" s="18" t="s">
        <v>154</v>
      </c>
    </row>
    <row r="5722" spans="1:14" ht="15" customHeight="1" x14ac:dyDescent="0.3">
      <c r="A5722" s="18" t="s">
        <v>10723</v>
      </c>
      <c r="B5722" s="19" t="s">
        <v>15</v>
      </c>
      <c r="C5722" s="18" t="s">
        <v>210</v>
      </c>
      <c r="D5722" s="18" t="s">
        <v>116</v>
      </c>
      <c r="E5722" s="18" t="s">
        <v>55</v>
      </c>
      <c r="F5722" s="18" t="s">
        <v>932</v>
      </c>
      <c r="G5722" s="18" t="s">
        <v>1953</v>
      </c>
      <c r="H5722" s="18" t="s">
        <v>10803</v>
      </c>
      <c r="I5722" s="20" t="s">
        <v>10804</v>
      </c>
      <c r="J5722" s="18" t="s">
        <v>73</v>
      </c>
      <c r="K5722" s="18" t="s">
        <v>293</v>
      </c>
      <c r="L5722" s="18" t="s">
        <v>25</v>
      </c>
      <c r="N5722" s="18" t="s">
        <v>26</v>
      </c>
    </row>
    <row r="5723" spans="1:14" ht="15" customHeight="1" x14ac:dyDescent="0.3">
      <c r="A5723" s="18" t="s">
        <v>10723</v>
      </c>
      <c r="B5723" s="19" t="s">
        <v>15</v>
      </c>
      <c r="C5723" s="18" t="s">
        <v>10724</v>
      </c>
      <c r="D5723" s="18" t="s">
        <v>116</v>
      </c>
      <c r="E5723" s="18" t="s">
        <v>55</v>
      </c>
      <c r="F5723" s="18" t="s">
        <v>519</v>
      </c>
      <c r="G5723" s="18" t="s">
        <v>381</v>
      </c>
      <c r="H5723" s="18" t="s">
        <v>10805</v>
      </c>
      <c r="I5723" s="20" t="s">
        <v>10806</v>
      </c>
      <c r="J5723" s="18" t="s">
        <v>58</v>
      </c>
      <c r="K5723" s="18" t="s">
        <v>24</v>
      </c>
      <c r="L5723" s="18" t="s">
        <v>25</v>
      </c>
      <c r="N5723" s="18" t="s">
        <v>6229</v>
      </c>
    </row>
    <row r="5724" spans="1:14" ht="15" customHeight="1" x14ac:dyDescent="0.3">
      <c r="A5724" s="18" t="s">
        <v>10723</v>
      </c>
      <c r="B5724" s="19" t="s">
        <v>15</v>
      </c>
      <c r="C5724" s="18" t="s">
        <v>10728</v>
      </c>
      <c r="D5724" s="18" t="s">
        <v>116</v>
      </c>
      <c r="E5724" s="18" t="s">
        <v>55</v>
      </c>
      <c r="F5724" s="18" t="s">
        <v>2294</v>
      </c>
      <c r="G5724" s="18" t="s">
        <v>1704</v>
      </c>
      <c r="H5724" s="18" t="s">
        <v>10746</v>
      </c>
      <c r="I5724" s="20" t="s">
        <v>10807</v>
      </c>
      <c r="J5724" s="18" t="s">
        <v>58</v>
      </c>
      <c r="K5724" s="18" t="s">
        <v>24</v>
      </c>
      <c r="L5724" s="18" t="s">
        <v>25</v>
      </c>
      <c r="N5724" s="18" t="s">
        <v>973</v>
      </c>
    </row>
    <row r="5725" spans="1:14" ht="15" customHeight="1" x14ac:dyDescent="0.3">
      <c r="A5725" s="18" t="s">
        <v>10723</v>
      </c>
      <c r="B5725" s="19" t="s">
        <v>15</v>
      </c>
      <c r="C5725" s="18" t="s">
        <v>10728</v>
      </c>
      <c r="D5725" s="18" t="s">
        <v>116</v>
      </c>
      <c r="E5725" s="18" t="s">
        <v>55</v>
      </c>
      <c r="F5725" s="18" t="s">
        <v>2302</v>
      </c>
      <c r="G5725" s="18" t="s">
        <v>2242</v>
      </c>
      <c r="H5725" s="18" t="s">
        <v>10746</v>
      </c>
      <c r="I5725" s="20" t="s">
        <v>10808</v>
      </c>
      <c r="J5725" s="18" t="s">
        <v>58</v>
      </c>
      <c r="K5725" s="18" t="s">
        <v>24</v>
      </c>
      <c r="L5725" s="18" t="s">
        <v>25</v>
      </c>
      <c r="N5725" s="18" t="s">
        <v>973</v>
      </c>
    </row>
    <row r="5726" spans="1:14" ht="15" customHeight="1" x14ac:dyDescent="0.3">
      <c r="A5726" s="18" t="s">
        <v>10723</v>
      </c>
      <c r="B5726" s="19" t="s">
        <v>15</v>
      </c>
      <c r="C5726" s="18" t="s">
        <v>10728</v>
      </c>
      <c r="D5726" s="18" t="s">
        <v>116</v>
      </c>
      <c r="E5726" s="18" t="s">
        <v>55</v>
      </c>
      <c r="F5726" s="18" t="s">
        <v>10809</v>
      </c>
      <c r="G5726" s="18" t="s">
        <v>1502</v>
      </c>
      <c r="H5726" s="18" t="s">
        <v>10746</v>
      </c>
      <c r="I5726" s="20" t="s">
        <v>10810</v>
      </c>
      <c r="J5726" s="18" t="s">
        <v>58</v>
      </c>
      <c r="K5726" s="18" t="s">
        <v>24</v>
      </c>
      <c r="L5726" s="18" t="s">
        <v>25</v>
      </c>
      <c r="N5726" s="18" t="s">
        <v>973</v>
      </c>
    </row>
    <row r="5727" spans="1:14" ht="15" customHeight="1" x14ac:dyDescent="0.3">
      <c r="A5727" s="18" t="s">
        <v>10723</v>
      </c>
      <c r="B5727" s="19" t="s">
        <v>15</v>
      </c>
      <c r="C5727" s="18" t="s">
        <v>10787</v>
      </c>
      <c r="D5727" s="18" t="s">
        <v>116</v>
      </c>
      <c r="E5727" s="18" t="s">
        <v>55</v>
      </c>
      <c r="F5727" s="18" t="s">
        <v>7770</v>
      </c>
      <c r="G5727" s="18" t="s">
        <v>9152</v>
      </c>
      <c r="H5727" s="18" t="s">
        <v>10795</v>
      </c>
      <c r="I5727" s="20" t="s">
        <v>10811</v>
      </c>
      <c r="J5727" s="18" t="s">
        <v>58</v>
      </c>
      <c r="K5727" s="18" t="s">
        <v>24</v>
      </c>
      <c r="L5727" s="18" t="s">
        <v>25</v>
      </c>
      <c r="N5727" s="18" t="s">
        <v>6229</v>
      </c>
    </row>
    <row r="5728" spans="1:14" ht="15" customHeight="1" x14ac:dyDescent="0.3">
      <c r="A5728" s="18" t="s">
        <v>10723</v>
      </c>
      <c r="B5728" s="19" t="s">
        <v>15</v>
      </c>
      <c r="C5728" s="18" t="s">
        <v>10787</v>
      </c>
      <c r="D5728" s="18" t="s">
        <v>116</v>
      </c>
      <c r="E5728" s="18" t="s">
        <v>55</v>
      </c>
      <c r="F5728" s="18" t="s">
        <v>7414</v>
      </c>
      <c r="G5728" s="18" t="s">
        <v>9154</v>
      </c>
      <c r="H5728" s="18" t="s">
        <v>10795</v>
      </c>
      <c r="I5728" s="20" t="s">
        <v>10812</v>
      </c>
      <c r="J5728" s="18" t="s">
        <v>58</v>
      </c>
      <c r="K5728" s="18" t="s">
        <v>24</v>
      </c>
      <c r="L5728" s="18" t="s">
        <v>25</v>
      </c>
      <c r="N5728" s="18" t="s">
        <v>6229</v>
      </c>
    </row>
    <row r="5729" spans="1:14" ht="15" customHeight="1" x14ac:dyDescent="0.3">
      <c r="A5729" s="18" t="s">
        <v>10723</v>
      </c>
      <c r="B5729" s="19" t="s">
        <v>15</v>
      </c>
      <c r="C5729" s="18" t="s">
        <v>10787</v>
      </c>
      <c r="D5729" s="18" t="s">
        <v>116</v>
      </c>
      <c r="E5729" s="18" t="s">
        <v>55</v>
      </c>
      <c r="F5729" s="18" t="s">
        <v>10813</v>
      </c>
      <c r="G5729" s="18" t="s">
        <v>7762</v>
      </c>
      <c r="H5729" s="18" t="s">
        <v>10795</v>
      </c>
      <c r="I5729" s="20" t="s">
        <v>10814</v>
      </c>
      <c r="J5729" s="18" t="s">
        <v>58</v>
      </c>
      <c r="K5729" s="18" t="s">
        <v>24</v>
      </c>
      <c r="L5729" s="18" t="s">
        <v>25</v>
      </c>
      <c r="N5729" s="18" t="s">
        <v>6229</v>
      </c>
    </row>
    <row r="5730" spans="1:14" ht="15" customHeight="1" x14ac:dyDescent="0.3">
      <c r="A5730" s="18" t="s">
        <v>10723</v>
      </c>
      <c r="B5730" s="19" t="s">
        <v>15</v>
      </c>
      <c r="C5730" s="18" t="s">
        <v>10787</v>
      </c>
      <c r="D5730" s="18" t="s">
        <v>116</v>
      </c>
      <c r="E5730" s="18" t="s">
        <v>55</v>
      </c>
      <c r="F5730" s="18" t="s">
        <v>5487</v>
      </c>
      <c r="G5730" s="18" t="s">
        <v>3295</v>
      </c>
      <c r="H5730" s="18" t="s">
        <v>10795</v>
      </c>
      <c r="I5730" s="20" t="s">
        <v>10815</v>
      </c>
      <c r="J5730" s="18" t="s">
        <v>58</v>
      </c>
      <c r="K5730" s="18" t="s">
        <v>24</v>
      </c>
      <c r="L5730" s="18" t="s">
        <v>1369</v>
      </c>
      <c r="N5730" s="18" t="s">
        <v>6229</v>
      </c>
    </row>
    <row r="5731" spans="1:14" ht="15" customHeight="1" x14ac:dyDescent="0.3">
      <c r="A5731" s="18" t="s">
        <v>10723</v>
      </c>
      <c r="B5731" s="19" t="s">
        <v>15</v>
      </c>
      <c r="C5731" s="18" t="s">
        <v>10787</v>
      </c>
      <c r="D5731" s="18" t="s">
        <v>116</v>
      </c>
      <c r="E5731" s="18" t="s">
        <v>55</v>
      </c>
      <c r="F5731" s="18" t="s">
        <v>9810</v>
      </c>
      <c r="G5731" s="18" t="s">
        <v>10816</v>
      </c>
      <c r="H5731" s="18" t="s">
        <v>10795</v>
      </c>
      <c r="I5731" s="20" t="s">
        <v>10817</v>
      </c>
      <c r="J5731" s="18" t="s">
        <v>58</v>
      </c>
      <c r="K5731" s="18" t="s">
        <v>24</v>
      </c>
      <c r="L5731" s="18" t="s">
        <v>1369</v>
      </c>
      <c r="N5731" s="18" t="s">
        <v>6229</v>
      </c>
    </row>
    <row r="5732" spans="1:14" ht="15" customHeight="1" x14ac:dyDescent="0.3">
      <c r="A5732" s="18" t="s">
        <v>10723</v>
      </c>
      <c r="B5732" s="19" t="s">
        <v>15</v>
      </c>
      <c r="C5732" s="18" t="s">
        <v>10787</v>
      </c>
      <c r="D5732" s="18" t="s">
        <v>116</v>
      </c>
      <c r="E5732" s="18" t="s">
        <v>55</v>
      </c>
      <c r="F5732" s="18" t="s">
        <v>10818</v>
      </c>
      <c r="G5732" s="18" t="s">
        <v>2248</v>
      </c>
      <c r="H5732" s="18" t="s">
        <v>10819</v>
      </c>
      <c r="I5732" s="20" t="s">
        <v>10820</v>
      </c>
      <c r="J5732" s="18" t="s">
        <v>58</v>
      </c>
      <c r="K5732" s="18" t="s">
        <v>24</v>
      </c>
      <c r="L5732" s="18" t="s">
        <v>25</v>
      </c>
      <c r="N5732" s="18" t="s">
        <v>6229</v>
      </c>
    </row>
    <row r="5733" spans="1:14" ht="15" customHeight="1" x14ac:dyDescent="0.3">
      <c r="A5733" s="18" t="s">
        <v>10723</v>
      </c>
      <c r="B5733" s="19" t="s">
        <v>15</v>
      </c>
      <c r="C5733" s="18" t="s">
        <v>10787</v>
      </c>
      <c r="D5733" s="18" t="s">
        <v>116</v>
      </c>
      <c r="E5733" s="18" t="s">
        <v>55</v>
      </c>
      <c r="F5733" s="18" t="s">
        <v>10821</v>
      </c>
      <c r="G5733" s="18" t="s">
        <v>10822</v>
      </c>
      <c r="H5733" s="18" t="s">
        <v>10795</v>
      </c>
      <c r="I5733" s="20" t="s">
        <v>10823</v>
      </c>
      <c r="J5733" s="18" t="s">
        <v>58</v>
      </c>
      <c r="K5733" s="18" t="s">
        <v>24</v>
      </c>
      <c r="L5733" s="18" t="s">
        <v>25</v>
      </c>
      <c r="N5733" s="18" t="s">
        <v>6229</v>
      </c>
    </row>
    <row r="5734" spans="1:14" ht="15" customHeight="1" x14ac:dyDescent="0.3">
      <c r="A5734" s="18" t="s">
        <v>10723</v>
      </c>
      <c r="B5734" s="19" t="s">
        <v>15</v>
      </c>
      <c r="C5734" s="18" t="s">
        <v>10787</v>
      </c>
      <c r="D5734" s="18" t="s">
        <v>116</v>
      </c>
      <c r="E5734" s="18" t="s">
        <v>55</v>
      </c>
      <c r="F5734" s="18" t="s">
        <v>10824</v>
      </c>
      <c r="G5734" s="18" t="s">
        <v>10822</v>
      </c>
      <c r="H5734" s="18" t="s">
        <v>10795</v>
      </c>
      <c r="I5734" s="20" t="s">
        <v>10825</v>
      </c>
      <c r="J5734" s="18" t="s">
        <v>58</v>
      </c>
      <c r="K5734" s="18" t="s">
        <v>24</v>
      </c>
      <c r="L5734" s="18" t="s">
        <v>25</v>
      </c>
      <c r="N5734" s="18" t="s">
        <v>6229</v>
      </c>
    </row>
    <row r="5735" spans="1:14" ht="15" customHeight="1" x14ac:dyDescent="0.3">
      <c r="A5735" s="18" t="s">
        <v>10723</v>
      </c>
      <c r="B5735" s="19" t="s">
        <v>15</v>
      </c>
      <c r="C5735" s="18" t="s">
        <v>10787</v>
      </c>
      <c r="D5735" s="18" t="s">
        <v>116</v>
      </c>
      <c r="E5735" s="18" t="s">
        <v>55</v>
      </c>
      <c r="F5735" s="18" t="s">
        <v>10826</v>
      </c>
      <c r="G5735" s="18" t="s">
        <v>2248</v>
      </c>
      <c r="H5735" s="18" t="s">
        <v>10768</v>
      </c>
      <c r="I5735" s="20" t="s">
        <v>10827</v>
      </c>
      <c r="J5735" s="18" t="s">
        <v>58</v>
      </c>
      <c r="K5735" s="18" t="s">
        <v>24</v>
      </c>
      <c r="L5735" s="18" t="s">
        <v>25</v>
      </c>
      <c r="N5735" s="18" t="s">
        <v>6229</v>
      </c>
    </row>
    <row r="5736" spans="1:14" ht="15" customHeight="1" x14ac:dyDescent="0.3">
      <c r="A5736" s="18" t="s">
        <v>10723</v>
      </c>
      <c r="B5736" s="19" t="s">
        <v>15</v>
      </c>
      <c r="C5736" s="18" t="s">
        <v>210</v>
      </c>
      <c r="D5736" s="18" t="s">
        <v>116</v>
      </c>
      <c r="E5736" s="18" t="s">
        <v>55</v>
      </c>
      <c r="F5736" s="18" t="s">
        <v>10828</v>
      </c>
      <c r="G5736" s="18" t="s">
        <v>41</v>
      </c>
      <c r="H5736" s="18" t="s">
        <v>1948</v>
      </c>
      <c r="I5736" s="20" t="s">
        <v>10829</v>
      </c>
      <c r="J5736" s="18" t="s">
        <v>199</v>
      </c>
      <c r="K5736" s="18" t="s">
        <v>293</v>
      </c>
      <c r="L5736" s="18" t="s">
        <v>25</v>
      </c>
      <c r="N5736" s="18" t="s">
        <v>26</v>
      </c>
    </row>
    <row r="5737" spans="1:14" ht="15" customHeight="1" x14ac:dyDescent="0.3">
      <c r="A5737" s="18" t="s">
        <v>10723</v>
      </c>
      <c r="B5737" s="19" t="s">
        <v>15</v>
      </c>
      <c r="C5737" s="18" t="s">
        <v>10724</v>
      </c>
      <c r="D5737" s="18" t="s">
        <v>116</v>
      </c>
      <c r="E5737" s="18" t="s">
        <v>55</v>
      </c>
      <c r="F5737" s="18" t="s">
        <v>10830</v>
      </c>
      <c r="G5737" s="18" t="s">
        <v>536</v>
      </c>
      <c r="H5737" s="18" t="s">
        <v>10763</v>
      </c>
      <c r="I5737" s="20" t="s">
        <v>10831</v>
      </c>
      <c r="J5737" s="18" t="s">
        <v>58</v>
      </c>
      <c r="K5737" s="18" t="s">
        <v>293</v>
      </c>
      <c r="L5737" s="18" t="s">
        <v>25</v>
      </c>
      <c r="N5737" s="18" t="s">
        <v>6229</v>
      </c>
    </row>
    <row r="5738" spans="1:14" ht="15" customHeight="1" x14ac:dyDescent="0.3">
      <c r="A5738" s="18" t="s">
        <v>10723</v>
      </c>
      <c r="B5738" s="19" t="s">
        <v>15</v>
      </c>
      <c r="C5738" s="18" t="s">
        <v>10724</v>
      </c>
      <c r="D5738" s="18" t="s">
        <v>116</v>
      </c>
      <c r="E5738" s="18" t="s">
        <v>55</v>
      </c>
      <c r="F5738" s="18" t="s">
        <v>10832</v>
      </c>
      <c r="G5738" s="18" t="s">
        <v>41</v>
      </c>
      <c r="H5738" s="18" t="s">
        <v>10763</v>
      </c>
      <c r="I5738" s="20" t="s">
        <v>10833</v>
      </c>
      <c r="J5738" s="18" t="s">
        <v>58</v>
      </c>
      <c r="K5738" s="18" t="s">
        <v>24</v>
      </c>
      <c r="L5738" s="18" t="s">
        <v>25</v>
      </c>
      <c r="N5738" s="18" t="s">
        <v>6229</v>
      </c>
    </row>
    <row r="5739" spans="1:14" ht="15" customHeight="1" x14ac:dyDescent="0.3">
      <c r="A5739" s="18" t="s">
        <v>10723</v>
      </c>
      <c r="B5739" s="19" t="s">
        <v>15</v>
      </c>
      <c r="C5739" s="18" t="s">
        <v>10728</v>
      </c>
      <c r="D5739" s="18" t="s">
        <v>116</v>
      </c>
      <c r="E5739" s="18" t="s">
        <v>55</v>
      </c>
      <c r="F5739" s="18" t="s">
        <v>10834</v>
      </c>
      <c r="G5739" s="18" t="s">
        <v>1009</v>
      </c>
      <c r="H5739" s="18" t="s">
        <v>10746</v>
      </c>
      <c r="I5739" s="20" t="s">
        <v>10835</v>
      </c>
      <c r="J5739" s="18" t="s">
        <v>58</v>
      </c>
      <c r="K5739" s="18" t="s">
        <v>24</v>
      </c>
      <c r="L5739" s="18" t="s">
        <v>25</v>
      </c>
      <c r="N5739" s="18" t="s">
        <v>973</v>
      </c>
    </row>
    <row r="5740" spans="1:14" ht="15" customHeight="1" x14ac:dyDescent="0.3">
      <c r="A5740" s="18" t="s">
        <v>10723</v>
      </c>
      <c r="B5740" s="19" t="s">
        <v>15</v>
      </c>
      <c r="C5740" s="18" t="s">
        <v>10787</v>
      </c>
      <c r="D5740" s="18" t="s">
        <v>116</v>
      </c>
      <c r="E5740" s="18" t="s">
        <v>55</v>
      </c>
      <c r="F5740" s="18" t="s">
        <v>10836</v>
      </c>
      <c r="G5740" s="18" t="s">
        <v>197</v>
      </c>
      <c r="H5740" s="18" t="s">
        <v>10795</v>
      </c>
      <c r="I5740" s="20" t="s">
        <v>10837</v>
      </c>
      <c r="J5740" s="18" t="s">
        <v>58</v>
      </c>
      <c r="K5740" s="18" t="s">
        <v>24</v>
      </c>
      <c r="L5740" s="18" t="s">
        <v>25</v>
      </c>
      <c r="N5740" s="18" t="s">
        <v>6229</v>
      </c>
    </row>
    <row r="5741" spans="1:14" ht="15" customHeight="1" x14ac:dyDescent="0.3">
      <c r="A5741" s="18" t="s">
        <v>10723</v>
      </c>
      <c r="B5741" s="19" t="s">
        <v>15</v>
      </c>
      <c r="C5741" s="18" t="s">
        <v>10838</v>
      </c>
      <c r="D5741" s="18" t="s">
        <v>116</v>
      </c>
      <c r="E5741" s="18" t="s">
        <v>55</v>
      </c>
      <c r="F5741" s="18" t="s">
        <v>10839</v>
      </c>
      <c r="G5741" s="18" t="s">
        <v>2248</v>
      </c>
      <c r="H5741" s="18" t="s">
        <v>10840</v>
      </c>
      <c r="I5741" s="20" t="s">
        <v>10841</v>
      </c>
      <c r="J5741" s="18" t="s">
        <v>58</v>
      </c>
      <c r="K5741" s="18" t="s">
        <v>24</v>
      </c>
      <c r="L5741" s="18" t="s">
        <v>25</v>
      </c>
      <c r="N5741" s="18" t="s">
        <v>973</v>
      </c>
    </row>
    <row r="5742" spans="1:14" ht="15" customHeight="1" x14ac:dyDescent="0.3">
      <c r="A5742" s="18" t="s">
        <v>10723</v>
      </c>
      <c r="B5742" s="19" t="s">
        <v>15</v>
      </c>
      <c r="C5742" s="18" t="s">
        <v>10787</v>
      </c>
      <c r="D5742" s="18" t="s">
        <v>116</v>
      </c>
      <c r="E5742" s="18" t="s">
        <v>55</v>
      </c>
      <c r="F5742" s="18" t="s">
        <v>10842</v>
      </c>
      <c r="G5742" s="18" t="s">
        <v>2248</v>
      </c>
      <c r="H5742" s="18" t="s">
        <v>10789</v>
      </c>
      <c r="I5742" s="20" t="s">
        <v>10843</v>
      </c>
      <c r="J5742" s="18" t="s">
        <v>58</v>
      </c>
      <c r="K5742" s="18" t="s">
        <v>24</v>
      </c>
      <c r="L5742" s="18" t="s">
        <v>25</v>
      </c>
      <c r="M5742" s="18" t="s">
        <v>39</v>
      </c>
      <c r="N5742" s="18" t="s">
        <v>6229</v>
      </c>
    </row>
    <row r="5743" spans="1:14" ht="15" customHeight="1" x14ac:dyDescent="0.3">
      <c r="A5743" s="18" t="s">
        <v>10723</v>
      </c>
      <c r="B5743" s="19" t="s">
        <v>15</v>
      </c>
      <c r="C5743" s="18" t="s">
        <v>10787</v>
      </c>
      <c r="D5743" s="18" t="s">
        <v>116</v>
      </c>
      <c r="E5743" s="18" t="s">
        <v>55</v>
      </c>
      <c r="F5743" s="18" t="s">
        <v>10844</v>
      </c>
      <c r="G5743" s="18" t="s">
        <v>197</v>
      </c>
      <c r="H5743" s="18" t="s">
        <v>10795</v>
      </c>
      <c r="I5743" s="20" t="s">
        <v>10845</v>
      </c>
      <c r="J5743" s="18" t="s">
        <v>58</v>
      </c>
      <c r="K5743" s="18" t="s">
        <v>24</v>
      </c>
      <c r="L5743" s="18" t="s">
        <v>25</v>
      </c>
      <c r="N5743" s="18" t="s">
        <v>6229</v>
      </c>
    </row>
    <row r="5744" spans="1:14" ht="15" customHeight="1" x14ac:dyDescent="0.3">
      <c r="A5744" s="18" t="s">
        <v>10723</v>
      </c>
      <c r="B5744" s="19" t="s">
        <v>15</v>
      </c>
      <c r="C5744" s="18" t="s">
        <v>10787</v>
      </c>
      <c r="D5744" s="18" t="s">
        <v>116</v>
      </c>
      <c r="E5744" s="18" t="s">
        <v>55</v>
      </c>
      <c r="F5744" s="18" t="s">
        <v>10846</v>
      </c>
      <c r="G5744" s="18" t="s">
        <v>2921</v>
      </c>
      <c r="H5744" s="18" t="s">
        <v>10795</v>
      </c>
      <c r="I5744" s="20" t="s">
        <v>10847</v>
      </c>
      <c r="J5744" s="18" t="s">
        <v>58</v>
      </c>
      <c r="K5744" s="18" t="s">
        <v>24</v>
      </c>
      <c r="L5744" s="18" t="s">
        <v>25</v>
      </c>
      <c r="N5744" s="18" t="s">
        <v>6229</v>
      </c>
    </row>
    <row r="5745" spans="1:14" ht="15" customHeight="1" x14ac:dyDescent="0.3">
      <c r="A5745" s="18" t="s">
        <v>10723</v>
      </c>
      <c r="B5745" s="19" t="s">
        <v>15</v>
      </c>
      <c r="C5745" s="18" t="s">
        <v>10787</v>
      </c>
      <c r="D5745" s="18" t="s">
        <v>116</v>
      </c>
      <c r="E5745" s="18" t="s">
        <v>55</v>
      </c>
      <c r="F5745" s="18" t="s">
        <v>655</v>
      </c>
      <c r="G5745" s="18" t="s">
        <v>340</v>
      </c>
      <c r="H5745" s="18" t="s">
        <v>10795</v>
      </c>
      <c r="I5745" s="20" t="s">
        <v>10848</v>
      </c>
      <c r="J5745" s="18" t="s">
        <v>58</v>
      </c>
      <c r="K5745" s="18" t="s">
        <v>24</v>
      </c>
      <c r="L5745" s="18" t="s">
        <v>25</v>
      </c>
      <c r="N5745" s="18" t="s">
        <v>6229</v>
      </c>
    </row>
    <row r="5746" spans="1:14" ht="15" customHeight="1" x14ac:dyDescent="0.3">
      <c r="A5746" s="18" t="s">
        <v>10723</v>
      </c>
      <c r="B5746" s="19" t="s">
        <v>15</v>
      </c>
      <c r="C5746" s="18" t="s">
        <v>10787</v>
      </c>
      <c r="D5746" s="18" t="s">
        <v>116</v>
      </c>
      <c r="E5746" s="18" t="s">
        <v>55</v>
      </c>
      <c r="F5746" s="18" t="s">
        <v>10849</v>
      </c>
      <c r="G5746" s="18" t="s">
        <v>1059</v>
      </c>
      <c r="H5746" s="18" t="s">
        <v>10795</v>
      </c>
      <c r="I5746" s="20" t="s">
        <v>10850</v>
      </c>
      <c r="J5746" s="18" t="s">
        <v>58</v>
      </c>
      <c r="K5746" s="18" t="s">
        <v>24</v>
      </c>
      <c r="L5746" s="18" t="s">
        <v>25</v>
      </c>
      <c r="N5746" s="18" t="s">
        <v>6229</v>
      </c>
    </row>
    <row r="5747" spans="1:14" ht="15" customHeight="1" x14ac:dyDescent="0.3">
      <c r="A5747" s="18" t="s">
        <v>10723</v>
      </c>
      <c r="B5747" s="19" t="s">
        <v>15</v>
      </c>
      <c r="C5747" s="18" t="s">
        <v>10787</v>
      </c>
      <c r="D5747" s="18" t="s">
        <v>116</v>
      </c>
      <c r="E5747" s="18" t="s">
        <v>55</v>
      </c>
      <c r="F5747" s="18" t="s">
        <v>1104</v>
      </c>
      <c r="G5747" s="18" t="s">
        <v>10777</v>
      </c>
      <c r="H5747" s="18" t="s">
        <v>10795</v>
      </c>
      <c r="I5747" s="20" t="s">
        <v>10851</v>
      </c>
      <c r="J5747" s="18" t="s">
        <v>58</v>
      </c>
      <c r="K5747" s="18" t="s">
        <v>24</v>
      </c>
      <c r="L5747" s="18" t="s">
        <v>25</v>
      </c>
      <c r="M5747" s="18" t="s">
        <v>39</v>
      </c>
      <c r="N5747" s="18" t="s">
        <v>6229</v>
      </c>
    </row>
    <row r="5748" spans="1:14" ht="15" customHeight="1" x14ac:dyDescent="0.3">
      <c r="A5748" s="18" t="s">
        <v>10723</v>
      </c>
      <c r="B5748" s="19" t="s">
        <v>15</v>
      </c>
      <c r="C5748" s="18" t="s">
        <v>10728</v>
      </c>
      <c r="D5748" s="18" t="s">
        <v>116</v>
      </c>
      <c r="E5748" s="18" t="s">
        <v>55</v>
      </c>
      <c r="F5748" s="18" t="s">
        <v>7936</v>
      </c>
      <c r="G5748" s="18" t="s">
        <v>913</v>
      </c>
      <c r="H5748" s="18" t="s">
        <v>10746</v>
      </c>
      <c r="I5748" s="20" t="s">
        <v>10852</v>
      </c>
      <c r="J5748" s="18" t="s">
        <v>58</v>
      </c>
      <c r="K5748" s="18" t="s">
        <v>24</v>
      </c>
      <c r="L5748" s="18" t="s">
        <v>25</v>
      </c>
      <c r="N5748" s="18" t="s">
        <v>973</v>
      </c>
    </row>
    <row r="5749" spans="1:14" ht="15" customHeight="1" x14ac:dyDescent="0.3">
      <c r="A5749" s="18" t="s">
        <v>10723</v>
      </c>
      <c r="B5749" s="19" t="s">
        <v>15</v>
      </c>
      <c r="C5749" s="18" t="s">
        <v>10728</v>
      </c>
      <c r="D5749" s="18" t="s">
        <v>116</v>
      </c>
      <c r="E5749" s="18" t="s">
        <v>55</v>
      </c>
      <c r="F5749" s="18" t="s">
        <v>2427</v>
      </c>
      <c r="G5749" s="18" t="s">
        <v>1704</v>
      </c>
      <c r="H5749" s="18" t="s">
        <v>10853</v>
      </c>
      <c r="I5749" s="20" t="s">
        <v>10854</v>
      </c>
      <c r="J5749" s="18" t="s">
        <v>58</v>
      </c>
      <c r="K5749" s="18" t="s">
        <v>24</v>
      </c>
      <c r="L5749" s="18" t="s">
        <v>25</v>
      </c>
      <c r="N5749" s="18" t="s">
        <v>973</v>
      </c>
    </row>
    <row r="5750" spans="1:14" ht="15" customHeight="1" x14ac:dyDescent="0.3">
      <c r="A5750" s="18" t="s">
        <v>10723</v>
      </c>
      <c r="B5750" s="19" t="s">
        <v>15</v>
      </c>
      <c r="C5750" s="18" t="s">
        <v>10787</v>
      </c>
      <c r="D5750" s="18" t="s">
        <v>116</v>
      </c>
      <c r="E5750" s="18" t="s">
        <v>55</v>
      </c>
      <c r="F5750" s="18" t="s">
        <v>10855</v>
      </c>
      <c r="G5750" s="18" t="s">
        <v>298</v>
      </c>
      <c r="H5750" s="18" t="s">
        <v>10795</v>
      </c>
      <c r="I5750" s="20" t="s">
        <v>10856</v>
      </c>
      <c r="J5750" s="18" t="s">
        <v>58</v>
      </c>
      <c r="K5750" s="18" t="s">
        <v>24</v>
      </c>
      <c r="L5750" s="18" t="s">
        <v>25</v>
      </c>
      <c r="N5750" s="18" t="s">
        <v>6229</v>
      </c>
    </row>
    <row r="5751" spans="1:14" ht="15" customHeight="1" x14ac:dyDescent="0.3">
      <c r="A5751" s="18" t="s">
        <v>10723</v>
      </c>
      <c r="B5751" s="19" t="s">
        <v>15</v>
      </c>
      <c r="C5751" s="18" t="s">
        <v>10787</v>
      </c>
      <c r="D5751" s="18" t="s">
        <v>116</v>
      </c>
      <c r="E5751" s="18" t="s">
        <v>55</v>
      </c>
      <c r="F5751" s="18" t="s">
        <v>10857</v>
      </c>
      <c r="G5751" s="18" t="s">
        <v>2248</v>
      </c>
      <c r="H5751" s="18" t="s">
        <v>10789</v>
      </c>
      <c r="I5751" s="20" t="s">
        <v>10858</v>
      </c>
      <c r="J5751" s="18" t="s">
        <v>58</v>
      </c>
      <c r="K5751" s="18" t="s">
        <v>24</v>
      </c>
      <c r="L5751" s="18" t="s">
        <v>25</v>
      </c>
      <c r="N5751" s="18" t="s">
        <v>6229</v>
      </c>
    </row>
    <row r="5752" spans="1:14" ht="15" customHeight="1" x14ac:dyDescent="0.3">
      <c r="A5752" s="18" t="s">
        <v>10723</v>
      </c>
      <c r="B5752" s="19" t="s">
        <v>15</v>
      </c>
      <c r="C5752" s="18" t="s">
        <v>10728</v>
      </c>
      <c r="D5752" s="18" t="s">
        <v>116</v>
      </c>
      <c r="E5752" s="18" t="s">
        <v>171</v>
      </c>
      <c r="F5752" s="18" t="s">
        <v>10859</v>
      </c>
      <c r="G5752" s="18" t="s">
        <v>920</v>
      </c>
      <c r="H5752" s="18" t="s">
        <v>10860</v>
      </c>
      <c r="I5752" s="20" t="s">
        <v>10861</v>
      </c>
      <c r="J5752" s="18" t="s">
        <v>58</v>
      </c>
      <c r="K5752" s="18" t="s">
        <v>24</v>
      </c>
      <c r="L5752" s="18" t="s">
        <v>25</v>
      </c>
      <c r="N5752" s="18" t="s">
        <v>973</v>
      </c>
    </row>
    <row r="5753" spans="1:14" ht="15" customHeight="1" x14ac:dyDescent="0.3">
      <c r="A5753" s="18" t="s">
        <v>10723</v>
      </c>
      <c r="B5753" s="19" t="s">
        <v>15</v>
      </c>
      <c r="C5753" s="18" t="s">
        <v>1982</v>
      </c>
      <c r="D5753" s="18" t="s">
        <v>116</v>
      </c>
      <c r="E5753" s="18" t="s">
        <v>74</v>
      </c>
      <c r="F5753" s="18" t="s">
        <v>10862</v>
      </c>
      <c r="G5753" s="18" t="s">
        <v>41</v>
      </c>
      <c r="H5753" s="18" t="s">
        <v>10863</v>
      </c>
      <c r="I5753" s="20" t="s">
        <v>10864</v>
      </c>
      <c r="J5753" s="18" t="s">
        <v>10865</v>
      </c>
      <c r="K5753" s="18" t="s">
        <v>24</v>
      </c>
      <c r="L5753" s="18" t="s">
        <v>25</v>
      </c>
      <c r="N5753" s="18" t="s">
        <v>154</v>
      </c>
    </row>
    <row r="5754" spans="1:14" ht="15" customHeight="1" x14ac:dyDescent="0.3">
      <c r="A5754" s="18" t="s">
        <v>10723</v>
      </c>
      <c r="B5754" s="19" t="s">
        <v>15</v>
      </c>
      <c r="C5754" s="18" t="s">
        <v>10866</v>
      </c>
      <c r="D5754" s="18" t="s">
        <v>116</v>
      </c>
      <c r="E5754" s="18" t="s">
        <v>74</v>
      </c>
      <c r="F5754" s="18" t="s">
        <v>10867</v>
      </c>
      <c r="G5754" s="18" t="s">
        <v>41</v>
      </c>
      <c r="H5754" s="18" t="s">
        <v>10868</v>
      </c>
      <c r="I5754" s="20" t="s">
        <v>10869</v>
      </c>
      <c r="J5754" s="18" t="s">
        <v>10870</v>
      </c>
      <c r="K5754" s="18" t="s">
        <v>24</v>
      </c>
      <c r="L5754" s="18" t="s">
        <v>25</v>
      </c>
      <c r="N5754" s="18" t="s">
        <v>154</v>
      </c>
    </row>
    <row r="5755" spans="1:14" ht="15" customHeight="1" x14ac:dyDescent="0.3">
      <c r="A5755" s="18" t="s">
        <v>10723</v>
      </c>
      <c r="B5755" s="19" t="s">
        <v>15</v>
      </c>
      <c r="C5755" s="18" t="s">
        <v>1982</v>
      </c>
      <c r="D5755" s="18" t="s">
        <v>116</v>
      </c>
      <c r="E5755" s="18" t="s">
        <v>74</v>
      </c>
      <c r="F5755" s="18" t="s">
        <v>10871</v>
      </c>
      <c r="G5755" s="18" t="s">
        <v>41</v>
      </c>
      <c r="H5755" s="18" t="s">
        <v>10872</v>
      </c>
      <c r="I5755" s="20" t="s">
        <v>10873</v>
      </c>
      <c r="J5755" s="18" t="s">
        <v>10874</v>
      </c>
      <c r="K5755" s="18" t="s">
        <v>24</v>
      </c>
      <c r="L5755" s="18" t="s">
        <v>25</v>
      </c>
      <c r="N5755" s="18" t="s">
        <v>154</v>
      </c>
    </row>
    <row r="5756" spans="1:14" ht="15" customHeight="1" x14ac:dyDescent="0.3">
      <c r="A5756" s="18" t="s">
        <v>10723</v>
      </c>
      <c r="B5756" s="19" t="s">
        <v>15</v>
      </c>
      <c r="C5756" s="18" t="s">
        <v>210</v>
      </c>
      <c r="D5756" s="18" t="s">
        <v>116</v>
      </c>
      <c r="E5756" s="18" t="s">
        <v>74</v>
      </c>
      <c r="F5756" s="18" t="s">
        <v>10875</v>
      </c>
      <c r="G5756" s="18" t="s">
        <v>1753</v>
      </c>
      <c r="H5756" s="18" t="s">
        <v>10876</v>
      </c>
      <c r="I5756" s="20" t="s">
        <v>10877</v>
      </c>
      <c r="J5756" s="18" t="s">
        <v>199</v>
      </c>
      <c r="K5756" s="18" t="s">
        <v>24</v>
      </c>
      <c r="L5756" s="18" t="s">
        <v>25</v>
      </c>
      <c r="N5756" s="18" t="s">
        <v>26</v>
      </c>
    </row>
    <row r="5757" spans="1:14" ht="15" customHeight="1" x14ac:dyDescent="0.3">
      <c r="A5757" s="18" t="s">
        <v>10723</v>
      </c>
      <c r="B5757" s="19" t="s">
        <v>15</v>
      </c>
      <c r="C5757" s="18" t="s">
        <v>210</v>
      </c>
      <c r="D5757" s="18" t="s">
        <v>116</v>
      </c>
      <c r="E5757" s="18" t="s">
        <v>74</v>
      </c>
      <c r="F5757" s="18" t="s">
        <v>4688</v>
      </c>
      <c r="G5757" s="18" t="s">
        <v>381</v>
      </c>
      <c r="H5757" s="18" t="s">
        <v>10878</v>
      </c>
      <c r="I5757" s="20" t="s">
        <v>10879</v>
      </c>
      <c r="J5757" s="18" t="s">
        <v>10880</v>
      </c>
      <c r="K5757" s="18" t="s">
        <v>293</v>
      </c>
      <c r="L5757" s="18" t="s">
        <v>25</v>
      </c>
      <c r="N5757" s="18" t="s">
        <v>26</v>
      </c>
    </row>
    <row r="5758" spans="1:14" ht="15" customHeight="1" x14ac:dyDescent="0.3">
      <c r="A5758" s="18" t="s">
        <v>10723</v>
      </c>
      <c r="B5758" s="19" t="s">
        <v>15</v>
      </c>
      <c r="C5758" s="18" t="s">
        <v>149</v>
      </c>
      <c r="D5758" s="18" t="s">
        <v>116</v>
      </c>
      <c r="E5758" s="18" t="s">
        <v>74</v>
      </c>
      <c r="F5758" s="18" t="s">
        <v>10881</v>
      </c>
      <c r="G5758" s="18" t="s">
        <v>619</v>
      </c>
      <c r="H5758" s="18" t="s">
        <v>10882</v>
      </c>
      <c r="I5758" s="20" t="s">
        <v>10883</v>
      </c>
      <c r="J5758" s="18" t="s">
        <v>10884</v>
      </c>
      <c r="K5758" s="18" t="s">
        <v>24</v>
      </c>
      <c r="L5758" s="18" t="s">
        <v>25</v>
      </c>
      <c r="N5758" s="18" t="s">
        <v>154</v>
      </c>
    </row>
    <row r="5759" spans="1:14" ht="15" customHeight="1" x14ac:dyDescent="0.3">
      <c r="A5759" s="18" t="s">
        <v>10723</v>
      </c>
      <c r="B5759" s="19" t="s">
        <v>15</v>
      </c>
      <c r="C5759" s="18" t="s">
        <v>149</v>
      </c>
      <c r="D5759" s="18" t="s">
        <v>116</v>
      </c>
      <c r="E5759" s="18" t="s">
        <v>74</v>
      </c>
      <c r="F5759" s="18" t="s">
        <v>10885</v>
      </c>
      <c r="G5759" s="18" t="s">
        <v>619</v>
      </c>
      <c r="H5759" s="18" t="s">
        <v>10882</v>
      </c>
      <c r="I5759" s="20" t="s">
        <v>10886</v>
      </c>
      <c r="J5759" s="18" t="s">
        <v>10887</v>
      </c>
      <c r="K5759" s="18" t="s">
        <v>24</v>
      </c>
      <c r="L5759" s="18" t="s">
        <v>25</v>
      </c>
      <c r="N5759" s="18" t="s">
        <v>154</v>
      </c>
    </row>
    <row r="5760" spans="1:14" ht="15" customHeight="1" x14ac:dyDescent="0.3">
      <c r="A5760" s="18" t="s">
        <v>10723</v>
      </c>
      <c r="B5760" s="19" t="s">
        <v>15</v>
      </c>
      <c r="C5760" s="18" t="s">
        <v>1982</v>
      </c>
      <c r="D5760" s="18" t="s">
        <v>116</v>
      </c>
      <c r="E5760" s="18" t="s">
        <v>74</v>
      </c>
      <c r="F5760" s="18" t="s">
        <v>10888</v>
      </c>
      <c r="G5760" s="18" t="s">
        <v>41</v>
      </c>
      <c r="H5760" s="18" t="s">
        <v>10863</v>
      </c>
      <c r="I5760" s="20" t="s">
        <v>10889</v>
      </c>
      <c r="J5760" s="18" t="s">
        <v>7177</v>
      </c>
      <c r="K5760" s="18" t="s">
        <v>24</v>
      </c>
      <c r="L5760" s="18" t="s">
        <v>25</v>
      </c>
      <c r="N5760" s="18" t="s">
        <v>154</v>
      </c>
    </row>
    <row r="5761" spans="1:14" ht="15" customHeight="1" x14ac:dyDescent="0.3">
      <c r="A5761" s="18" t="s">
        <v>10723</v>
      </c>
      <c r="B5761" s="19" t="s">
        <v>15</v>
      </c>
      <c r="C5761" s="18" t="s">
        <v>210</v>
      </c>
      <c r="D5761" s="18" t="s">
        <v>116</v>
      </c>
      <c r="E5761" s="18" t="s">
        <v>74</v>
      </c>
      <c r="F5761" s="18" t="s">
        <v>10890</v>
      </c>
      <c r="G5761" s="18" t="s">
        <v>41</v>
      </c>
      <c r="H5761" s="18" t="s">
        <v>10868</v>
      </c>
      <c r="I5761" s="20" t="s">
        <v>10891</v>
      </c>
      <c r="J5761" s="18" t="s">
        <v>10892</v>
      </c>
      <c r="K5761" s="18" t="s">
        <v>24</v>
      </c>
      <c r="L5761" s="18" t="s">
        <v>25</v>
      </c>
      <c r="N5761" s="18" t="s">
        <v>26</v>
      </c>
    </row>
    <row r="5762" spans="1:14" ht="15" customHeight="1" x14ac:dyDescent="0.3">
      <c r="A5762" s="18" t="s">
        <v>10723</v>
      </c>
      <c r="B5762" s="19" t="s">
        <v>15</v>
      </c>
      <c r="C5762" s="18" t="s">
        <v>1982</v>
      </c>
      <c r="D5762" s="18" t="s">
        <v>116</v>
      </c>
      <c r="E5762" s="18" t="s">
        <v>74</v>
      </c>
      <c r="F5762" s="18" t="s">
        <v>10893</v>
      </c>
      <c r="G5762" s="18" t="s">
        <v>41</v>
      </c>
      <c r="H5762" s="18" t="s">
        <v>10894</v>
      </c>
      <c r="I5762" s="20" t="s">
        <v>10895</v>
      </c>
      <c r="J5762" s="18" t="s">
        <v>10896</v>
      </c>
      <c r="K5762" s="18" t="s">
        <v>24</v>
      </c>
      <c r="L5762" s="18" t="s">
        <v>25</v>
      </c>
      <c r="N5762" s="18" t="s">
        <v>154</v>
      </c>
    </row>
    <row r="5763" spans="1:14" ht="15" customHeight="1" x14ac:dyDescent="0.3">
      <c r="A5763" s="18" t="s">
        <v>10723</v>
      </c>
      <c r="B5763" s="19" t="s">
        <v>15</v>
      </c>
      <c r="C5763" s="18" t="s">
        <v>10728</v>
      </c>
      <c r="D5763" s="18" t="s">
        <v>116</v>
      </c>
      <c r="E5763" s="18" t="s">
        <v>74</v>
      </c>
      <c r="F5763" s="18" t="s">
        <v>10897</v>
      </c>
      <c r="G5763" s="18" t="s">
        <v>2047</v>
      </c>
      <c r="H5763" s="18" t="s">
        <v>10898</v>
      </c>
      <c r="I5763" s="20" t="s">
        <v>10899</v>
      </c>
      <c r="J5763" s="18" t="s">
        <v>394</v>
      </c>
      <c r="K5763" s="18" t="s">
        <v>24</v>
      </c>
      <c r="L5763" s="18" t="s">
        <v>25</v>
      </c>
      <c r="N5763" s="18" t="s">
        <v>973</v>
      </c>
    </row>
    <row r="5764" spans="1:14" ht="15" customHeight="1" x14ac:dyDescent="0.3">
      <c r="A5764" s="18" t="s">
        <v>10723</v>
      </c>
      <c r="B5764" s="19" t="s">
        <v>15</v>
      </c>
      <c r="C5764" s="18" t="s">
        <v>10728</v>
      </c>
      <c r="D5764" s="18" t="s">
        <v>116</v>
      </c>
      <c r="E5764" s="18" t="s">
        <v>74</v>
      </c>
      <c r="F5764" s="18" t="s">
        <v>10900</v>
      </c>
      <c r="G5764" s="18" t="s">
        <v>2047</v>
      </c>
      <c r="H5764" s="18" t="s">
        <v>10898</v>
      </c>
      <c r="I5764" s="20" t="s">
        <v>10901</v>
      </c>
      <c r="J5764" s="18" t="s">
        <v>10282</v>
      </c>
      <c r="K5764" s="18" t="s">
        <v>24</v>
      </c>
      <c r="L5764" s="18" t="s">
        <v>25</v>
      </c>
      <c r="N5764" s="18" t="s">
        <v>973</v>
      </c>
    </row>
    <row r="5765" spans="1:14" ht="15" customHeight="1" x14ac:dyDescent="0.3">
      <c r="A5765" s="18" t="s">
        <v>10723</v>
      </c>
      <c r="B5765" s="19" t="s">
        <v>15</v>
      </c>
      <c r="C5765" s="18" t="s">
        <v>10728</v>
      </c>
      <c r="D5765" s="18" t="s">
        <v>116</v>
      </c>
      <c r="E5765" s="18" t="s">
        <v>74</v>
      </c>
      <c r="F5765" s="18" t="s">
        <v>10902</v>
      </c>
      <c r="G5765" s="18" t="s">
        <v>2242</v>
      </c>
      <c r="H5765" s="18" t="s">
        <v>10898</v>
      </c>
      <c r="I5765" s="20" t="s">
        <v>10903</v>
      </c>
      <c r="J5765" s="18" t="s">
        <v>394</v>
      </c>
      <c r="K5765" s="18" t="s">
        <v>24</v>
      </c>
      <c r="L5765" s="18" t="s">
        <v>25</v>
      </c>
      <c r="N5765" s="18" t="s">
        <v>973</v>
      </c>
    </row>
    <row r="5766" spans="1:14" ht="15" customHeight="1" x14ac:dyDescent="0.3">
      <c r="A5766" s="18" t="s">
        <v>10723</v>
      </c>
      <c r="B5766" s="19" t="s">
        <v>15</v>
      </c>
      <c r="C5766" s="18" t="s">
        <v>10728</v>
      </c>
      <c r="D5766" s="18" t="s">
        <v>116</v>
      </c>
      <c r="E5766" s="18" t="s">
        <v>74</v>
      </c>
      <c r="F5766" s="18" t="s">
        <v>10904</v>
      </c>
      <c r="G5766" s="18" t="s">
        <v>913</v>
      </c>
      <c r="H5766" s="18" t="s">
        <v>10898</v>
      </c>
      <c r="I5766" s="20" t="s">
        <v>10905</v>
      </c>
      <c r="J5766" s="18" t="s">
        <v>10282</v>
      </c>
      <c r="K5766" s="18" t="s">
        <v>24</v>
      </c>
      <c r="L5766" s="18" t="s">
        <v>25</v>
      </c>
      <c r="N5766" s="18" t="s">
        <v>973</v>
      </c>
    </row>
    <row r="5767" spans="1:14" ht="15" customHeight="1" x14ac:dyDescent="0.3">
      <c r="A5767" s="18" t="s">
        <v>10723</v>
      </c>
      <c r="B5767" s="19" t="s">
        <v>15</v>
      </c>
      <c r="C5767" s="18" t="s">
        <v>10787</v>
      </c>
      <c r="D5767" s="18" t="s">
        <v>116</v>
      </c>
      <c r="E5767" s="18" t="s">
        <v>74</v>
      </c>
      <c r="F5767" s="18" t="s">
        <v>10906</v>
      </c>
      <c r="G5767" s="18" t="s">
        <v>1340</v>
      </c>
      <c r="H5767" s="18" t="s">
        <v>10907</v>
      </c>
      <c r="I5767" s="20" t="s">
        <v>10908</v>
      </c>
      <c r="J5767" s="18" t="s">
        <v>10909</v>
      </c>
      <c r="K5767" s="18" t="s">
        <v>293</v>
      </c>
      <c r="L5767" s="18" t="s">
        <v>25</v>
      </c>
      <c r="N5767" s="18" t="s">
        <v>6229</v>
      </c>
    </row>
    <row r="5768" spans="1:14" ht="15" customHeight="1" x14ac:dyDescent="0.3">
      <c r="A5768" s="18" t="s">
        <v>10723</v>
      </c>
      <c r="B5768" s="19" t="s">
        <v>15</v>
      </c>
      <c r="C5768" s="18" t="s">
        <v>10787</v>
      </c>
      <c r="D5768" s="18" t="s">
        <v>116</v>
      </c>
      <c r="E5768" s="18" t="s">
        <v>74</v>
      </c>
      <c r="F5768" s="18" t="s">
        <v>10910</v>
      </c>
      <c r="G5768" s="18" t="s">
        <v>536</v>
      </c>
      <c r="H5768" s="18" t="s">
        <v>10911</v>
      </c>
      <c r="I5768" s="20" t="s">
        <v>10912</v>
      </c>
      <c r="J5768" s="18" t="s">
        <v>10282</v>
      </c>
      <c r="K5768" s="18" t="s">
        <v>24</v>
      </c>
      <c r="L5768" s="18" t="s">
        <v>25</v>
      </c>
      <c r="N5768" s="18" t="s">
        <v>6229</v>
      </c>
    </row>
    <row r="5769" spans="1:14" ht="15" customHeight="1" x14ac:dyDescent="0.3">
      <c r="A5769" s="18" t="s">
        <v>10723</v>
      </c>
      <c r="B5769" s="19" t="s">
        <v>15</v>
      </c>
      <c r="C5769" s="18" t="s">
        <v>10787</v>
      </c>
      <c r="D5769" s="18" t="s">
        <v>116</v>
      </c>
      <c r="E5769" s="18" t="s">
        <v>74</v>
      </c>
      <c r="F5769" s="18" t="s">
        <v>10913</v>
      </c>
      <c r="G5769" s="18" t="s">
        <v>197</v>
      </c>
      <c r="H5769" s="18" t="s">
        <v>10907</v>
      </c>
      <c r="I5769" s="20" t="s">
        <v>10914</v>
      </c>
      <c r="J5769" s="18" t="s">
        <v>10282</v>
      </c>
      <c r="K5769" s="18" t="s">
        <v>24</v>
      </c>
      <c r="L5769" s="18" t="s">
        <v>25</v>
      </c>
      <c r="N5769" s="18" t="s">
        <v>6229</v>
      </c>
    </row>
    <row r="5770" spans="1:14" ht="15" customHeight="1" x14ac:dyDescent="0.3">
      <c r="A5770" s="18" t="s">
        <v>10723</v>
      </c>
      <c r="B5770" s="19" t="s">
        <v>15</v>
      </c>
      <c r="C5770" s="18" t="s">
        <v>10728</v>
      </c>
      <c r="D5770" s="18" t="s">
        <v>116</v>
      </c>
      <c r="E5770" s="18" t="s">
        <v>74</v>
      </c>
      <c r="F5770" s="18" t="s">
        <v>10915</v>
      </c>
      <c r="G5770" s="18" t="s">
        <v>1009</v>
      </c>
      <c r="H5770" s="18" t="s">
        <v>10898</v>
      </c>
      <c r="I5770" s="20" t="s">
        <v>10916</v>
      </c>
      <c r="J5770" s="18" t="s">
        <v>10282</v>
      </c>
      <c r="K5770" s="18" t="s">
        <v>24</v>
      </c>
      <c r="L5770" s="18" t="s">
        <v>25</v>
      </c>
      <c r="N5770" s="18" t="s">
        <v>973</v>
      </c>
    </row>
    <row r="5771" spans="1:14" ht="15" customHeight="1" x14ac:dyDescent="0.3">
      <c r="A5771" s="18" t="s">
        <v>10723</v>
      </c>
      <c r="B5771" s="19" t="s">
        <v>15</v>
      </c>
      <c r="C5771" s="18" t="s">
        <v>10787</v>
      </c>
      <c r="D5771" s="18" t="s">
        <v>116</v>
      </c>
      <c r="E5771" s="18" t="s">
        <v>74</v>
      </c>
      <c r="F5771" s="18" t="s">
        <v>10917</v>
      </c>
      <c r="G5771" s="18" t="s">
        <v>47</v>
      </c>
      <c r="H5771" s="18" t="s">
        <v>10911</v>
      </c>
      <c r="I5771" s="20" t="s">
        <v>10918</v>
      </c>
      <c r="J5771" s="18" t="s">
        <v>10282</v>
      </c>
      <c r="K5771" s="18" t="s">
        <v>24</v>
      </c>
      <c r="L5771" s="18" t="s">
        <v>25</v>
      </c>
      <c r="N5771" s="18" t="s">
        <v>6229</v>
      </c>
    </row>
    <row r="5772" spans="1:14" ht="15" customHeight="1" x14ac:dyDescent="0.3">
      <c r="A5772" s="18" t="s">
        <v>10723</v>
      </c>
      <c r="B5772" s="19" t="s">
        <v>15</v>
      </c>
      <c r="C5772" s="18" t="s">
        <v>10787</v>
      </c>
      <c r="D5772" s="18" t="s">
        <v>116</v>
      </c>
      <c r="E5772" s="18" t="s">
        <v>74</v>
      </c>
      <c r="F5772" s="18" t="s">
        <v>10919</v>
      </c>
      <c r="G5772" s="18" t="s">
        <v>2921</v>
      </c>
      <c r="H5772" s="18" t="s">
        <v>10907</v>
      </c>
      <c r="I5772" s="20" t="s">
        <v>10920</v>
      </c>
      <c r="J5772" s="18" t="s">
        <v>10282</v>
      </c>
      <c r="K5772" s="18" t="s">
        <v>24</v>
      </c>
      <c r="L5772" s="18" t="s">
        <v>25</v>
      </c>
      <c r="N5772" s="18" t="s">
        <v>6229</v>
      </c>
    </row>
    <row r="5773" spans="1:14" ht="15" customHeight="1" x14ac:dyDescent="0.3">
      <c r="A5773" s="18" t="s">
        <v>10723</v>
      </c>
      <c r="B5773" s="19" t="s">
        <v>15</v>
      </c>
      <c r="C5773" s="18" t="s">
        <v>10787</v>
      </c>
      <c r="D5773" s="18" t="s">
        <v>116</v>
      </c>
      <c r="E5773" s="18" t="s">
        <v>74</v>
      </c>
      <c r="F5773" s="18" t="s">
        <v>10921</v>
      </c>
      <c r="G5773" s="18" t="s">
        <v>47</v>
      </c>
      <c r="H5773" s="18" t="s">
        <v>10922</v>
      </c>
      <c r="I5773" s="20" t="s">
        <v>10923</v>
      </c>
      <c r="J5773" s="18" t="s">
        <v>10924</v>
      </c>
      <c r="K5773" s="18" t="s">
        <v>293</v>
      </c>
      <c r="L5773" s="18" t="s">
        <v>25</v>
      </c>
      <c r="N5773" s="18" t="s">
        <v>6229</v>
      </c>
    </row>
    <row r="5774" spans="1:14" ht="15" customHeight="1" x14ac:dyDescent="0.3">
      <c r="A5774" s="18" t="s">
        <v>10723</v>
      </c>
      <c r="B5774" s="19" t="s">
        <v>15</v>
      </c>
      <c r="C5774" s="18" t="s">
        <v>10728</v>
      </c>
      <c r="D5774" s="18" t="s">
        <v>116</v>
      </c>
      <c r="E5774" s="18" t="s">
        <v>74</v>
      </c>
      <c r="F5774" s="18" t="s">
        <v>10925</v>
      </c>
      <c r="G5774" s="18" t="s">
        <v>1009</v>
      </c>
      <c r="H5774" s="18" t="s">
        <v>10898</v>
      </c>
      <c r="I5774" s="20" t="s">
        <v>10926</v>
      </c>
      <c r="J5774" s="18" t="s">
        <v>10273</v>
      </c>
      <c r="K5774" s="18" t="s">
        <v>24</v>
      </c>
      <c r="L5774" s="18" t="s">
        <v>25</v>
      </c>
      <c r="N5774" s="18" t="s">
        <v>973</v>
      </c>
    </row>
    <row r="5775" spans="1:14" ht="15" customHeight="1" x14ac:dyDescent="0.3">
      <c r="A5775" s="18" t="s">
        <v>10723</v>
      </c>
      <c r="B5775" s="19" t="s">
        <v>15</v>
      </c>
      <c r="C5775" s="18" t="s">
        <v>10787</v>
      </c>
      <c r="D5775" s="18" t="s">
        <v>116</v>
      </c>
      <c r="E5775" s="18" t="s">
        <v>74</v>
      </c>
      <c r="F5775" s="18" t="s">
        <v>10927</v>
      </c>
      <c r="G5775" s="18" t="s">
        <v>312</v>
      </c>
      <c r="H5775" s="18" t="s">
        <v>10907</v>
      </c>
      <c r="I5775" s="20" t="s">
        <v>10928</v>
      </c>
      <c r="J5775" s="18" t="s">
        <v>10282</v>
      </c>
      <c r="K5775" s="18" t="s">
        <v>24</v>
      </c>
      <c r="L5775" s="18" t="s">
        <v>25</v>
      </c>
      <c r="N5775" s="18" t="s">
        <v>6229</v>
      </c>
    </row>
    <row r="5776" spans="1:14" ht="15" customHeight="1" x14ac:dyDescent="0.3">
      <c r="A5776" s="18" t="s">
        <v>10723</v>
      </c>
      <c r="B5776" s="19" t="s">
        <v>15</v>
      </c>
      <c r="C5776" s="18" t="s">
        <v>10787</v>
      </c>
      <c r="D5776" s="18" t="s">
        <v>116</v>
      </c>
      <c r="E5776" s="18" t="s">
        <v>74</v>
      </c>
      <c r="F5776" s="18" t="s">
        <v>10929</v>
      </c>
      <c r="G5776" s="18" t="s">
        <v>536</v>
      </c>
      <c r="H5776" s="18" t="s">
        <v>10907</v>
      </c>
      <c r="I5776" s="20" t="s">
        <v>10930</v>
      </c>
      <c r="J5776" s="18" t="s">
        <v>10282</v>
      </c>
      <c r="K5776" s="18" t="s">
        <v>24</v>
      </c>
      <c r="L5776" s="18" t="s">
        <v>25</v>
      </c>
      <c r="N5776" s="18" t="s">
        <v>6229</v>
      </c>
    </row>
    <row r="5777" spans="1:14" ht="15" customHeight="1" x14ac:dyDescent="0.3">
      <c r="A5777" s="18" t="s">
        <v>10723</v>
      </c>
      <c r="B5777" s="19" t="s">
        <v>15</v>
      </c>
      <c r="C5777" s="18" t="s">
        <v>10728</v>
      </c>
      <c r="D5777" s="18" t="s">
        <v>116</v>
      </c>
      <c r="E5777" s="18" t="s">
        <v>74</v>
      </c>
      <c r="F5777" s="18" t="s">
        <v>10931</v>
      </c>
      <c r="G5777" s="18" t="s">
        <v>2242</v>
      </c>
      <c r="H5777" s="18" t="s">
        <v>10932</v>
      </c>
      <c r="I5777" s="20" t="s">
        <v>10933</v>
      </c>
      <c r="J5777" s="18" t="s">
        <v>10934</v>
      </c>
      <c r="K5777" s="18" t="s">
        <v>24</v>
      </c>
      <c r="L5777" s="18" t="s">
        <v>25</v>
      </c>
      <c r="N5777" s="18" t="s">
        <v>973</v>
      </c>
    </row>
    <row r="5778" spans="1:14" ht="15" customHeight="1" x14ac:dyDescent="0.3">
      <c r="A5778" s="18" t="s">
        <v>10723</v>
      </c>
      <c r="B5778" s="19" t="s">
        <v>15</v>
      </c>
      <c r="C5778" s="18" t="s">
        <v>6229</v>
      </c>
      <c r="D5778" s="18" t="s">
        <v>116</v>
      </c>
      <c r="E5778" s="18" t="s">
        <v>226</v>
      </c>
      <c r="F5778" s="18" t="s">
        <v>10935</v>
      </c>
      <c r="G5778" s="18" t="s">
        <v>41</v>
      </c>
      <c r="H5778" s="18" t="s">
        <v>53</v>
      </c>
      <c r="I5778" s="20" t="s">
        <v>10936</v>
      </c>
      <c r="J5778" s="18" t="s">
        <v>440</v>
      </c>
      <c r="K5778" s="18" t="s">
        <v>293</v>
      </c>
      <c r="L5778" s="18" t="s">
        <v>25</v>
      </c>
      <c r="N5778" s="18" t="s">
        <v>6229</v>
      </c>
    </row>
    <row r="5779" spans="1:14" ht="15" customHeight="1" x14ac:dyDescent="0.3">
      <c r="A5779" s="18" t="s">
        <v>10723</v>
      </c>
      <c r="B5779" s="19" t="s">
        <v>15</v>
      </c>
      <c r="C5779" s="18" t="s">
        <v>1982</v>
      </c>
      <c r="D5779" s="18" t="s">
        <v>116</v>
      </c>
      <c r="E5779" s="18" t="s">
        <v>226</v>
      </c>
      <c r="F5779" s="18" t="s">
        <v>10937</v>
      </c>
      <c r="G5779" s="18" t="s">
        <v>85</v>
      </c>
      <c r="H5779" s="18" t="s">
        <v>10938</v>
      </c>
      <c r="I5779" s="20" t="s">
        <v>10939</v>
      </c>
      <c r="J5779" s="18" t="s">
        <v>10940</v>
      </c>
      <c r="K5779" s="18" t="s">
        <v>24</v>
      </c>
      <c r="L5779" s="18" t="s">
        <v>25</v>
      </c>
      <c r="N5779" s="18" t="s">
        <v>154</v>
      </c>
    </row>
    <row r="5780" spans="1:14" ht="15" customHeight="1" x14ac:dyDescent="0.3">
      <c r="A5780" s="18" t="s">
        <v>10723</v>
      </c>
      <c r="B5780" s="19" t="s">
        <v>15</v>
      </c>
      <c r="C5780" s="18" t="s">
        <v>1982</v>
      </c>
      <c r="D5780" s="18" t="s">
        <v>116</v>
      </c>
      <c r="E5780" s="18" t="s">
        <v>226</v>
      </c>
      <c r="F5780" s="18" t="s">
        <v>10941</v>
      </c>
      <c r="G5780" s="18" t="s">
        <v>41</v>
      </c>
      <c r="H5780" s="18" t="s">
        <v>10863</v>
      </c>
      <c r="I5780" s="20" t="s">
        <v>10942</v>
      </c>
      <c r="J5780" s="18" t="s">
        <v>7177</v>
      </c>
      <c r="K5780" s="18" t="s">
        <v>24</v>
      </c>
      <c r="L5780" s="18" t="s">
        <v>25</v>
      </c>
      <c r="N5780" s="18" t="s">
        <v>154</v>
      </c>
    </row>
    <row r="5781" spans="1:14" ht="15" customHeight="1" x14ac:dyDescent="0.3">
      <c r="A5781" s="18" t="s">
        <v>10943</v>
      </c>
      <c r="B5781" s="19" t="s">
        <v>15</v>
      </c>
      <c r="C5781" s="18" t="s">
        <v>210</v>
      </c>
      <c r="D5781" s="18" t="s">
        <v>116</v>
      </c>
      <c r="E5781" s="18" t="s">
        <v>18</v>
      </c>
      <c r="F5781" s="18" t="s">
        <v>10944</v>
      </c>
      <c r="G5781" s="18" t="s">
        <v>10945</v>
      </c>
      <c r="H5781" s="18" t="s">
        <v>10946</v>
      </c>
      <c r="I5781" s="20" t="s">
        <v>10947</v>
      </c>
      <c r="J5781" s="18" t="s">
        <v>30</v>
      </c>
      <c r="K5781" s="18" t="s">
        <v>24</v>
      </c>
      <c r="L5781" s="18" t="s">
        <v>25</v>
      </c>
      <c r="N5781" s="18" t="s">
        <v>26</v>
      </c>
    </row>
    <row r="5782" spans="1:14" ht="15" customHeight="1" x14ac:dyDescent="0.3">
      <c r="A5782" s="18" t="s">
        <v>10943</v>
      </c>
      <c r="B5782" s="19" t="s">
        <v>15</v>
      </c>
      <c r="C5782" s="18" t="s">
        <v>210</v>
      </c>
      <c r="D5782" s="18" t="s">
        <v>116</v>
      </c>
      <c r="E5782" s="18" t="s">
        <v>18</v>
      </c>
      <c r="F5782" s="18" t="s">
        <v>10948</v>
      </c>
      <c r="G5782" s="18" t="s">
        <v>10945</v>
      </c>
      <c r="H5782" s="18" t="s">
        <v>10946</v>
      </c>
      <c r="I5782" s="20" t="s">
        <v>10949</v>
      </c>
      <c r="J5782" s="18" t="s">
        <v>30</v>
      </c>
      <c r="K5782" s="18" t="s">
        <v>24</v>
      </c>
      <c r="L5782" s="18" t="s">
        <v>25</v>
      </c>
      <c r="N5782" s="18" t="s">
        <v>26</v>
      </c>
    </row>
    <row r="5783" spans="1:14" ht="15" customHeight="1" x14ac:dyDescent="0.3">
      <c r="A5783" s="18" t="s">
        <v>10943</v>
      </c>
      <c r="B5783" s="19" t="s">
        <v>15</v>
      </c>
      <c r="C5783" s="18" t="s">
        <v>210</v>
      </c>
      <c r="D5783" s="18" t="s">
        <v>116</v>
      </c>
      <c r="E5783" s="18" t="s">
        <v>18</v>
      </c>
      <c r="F5783" s="18" t="s">
        <v>10950</v>
      </c>
      <c r="G5783" s="18" t="s">
        <v>10945</v>
      </c>
      <c r="H5783" s="18" t="s">
        <v>10946</v>
      </c>
      <c r="I5783" s="20" t="s">
        <v>10951</v>
      </c>
      <c r="J5783" s="18" t="s">
        <v>30</v>
      </c>
      <c r="K5783" s="18" t="s">
        <v>24</v>
      </c>
      <c r="L5783" s="18" t="s">
        <v>25</v>
      </c>
      <c r="N5783" s="18" t="s">
        <v>26</v>
      </c>
    </row>
    <row r="5784" spans="1:14" ht="15" customHeight="1" x14ac:dyDescent="0.3">
      <c r="A5784" s="18" t="s">
        <v>10943</v>
      </c>
      <c r="B5784" s="19" t="s">
        <v>15</v>
      </c>
      <c r="C5784" s="18" t="s">
        <v>210</v>
      </c>
      <c r="D5784" s="18" t="s">
        <v>116</v>
      </c>
      <c r="E5784" s="18" t="s">
        <v>18</v>
      </c>
      <c r="F5784" s="18" t="s">
        <v>10952</v>
      </c>
      <c r="G5784" s="18" t="s">
        <v>1254</v>
      </c>
      <c r="H5784" s="18" t="s">
        <v>10946</v>
      </c>
      <c r="I5784" s="20" t="s">
        <v>10953</v>
      </c>
      <c r="J5784" s="18" t="s">
        <v>23</v>
      </c>
      <c r="K5784" s="18" t="s">
        <v>24</v>
      </c>
      <c r="L5784" s="18" t="s">
        <v>25</v>
      </c>
      <c r="N5784" s="18" t="s">
        <v>26</v>
      </c>
    </row>
    <row r="5785" spans="1:14" ht="15" customHeight="1" x14ac:dyDescent="0.3">
      <c r="A5785" s="18" t="s">
        <v>10943</v>
      </c>
      <c r="B5785" s="19" t="s">
        <v>15</v>
      </c>
      <c r="C5785" s="18" t="s">
        <v>210</v>
      </c>
      <c r="D5785" s="18" t="s">
        <v>116</v>
      </c>
      <c r="E5785" s="18" t="s">
        <v>18</v>
      </c>
      <c r="F5785" s="18" t="s">
        <v>10954</v>
      </c>
      <c r="G5785" s="18" t="s">
        <v>1254</v>
      </c>
      <c r="H5785" s="18" t="s">
        <v>10946</v>
      </c>
      <c r="I5785" s="20" t="s">
        <v>10955</v>
      </c>
      <c r="J5785" s="18" t="s">
        <v>23</v>
      </c>
      <c r="K5785" s="18" t="s">
        <v>24</v>
      </c>
      <c r="L5785" s="18" t="s">
        <v>25</v>
      </c>
      <c r="N5785" s="18" t="s">
        <v>26</v>
      </c>
    </row>
    <row r="5786" spans="1:14" ht="15" customHeight="1" x14ac:dyDescent="0.3">
      <c r="A5786" s="18" t="s">
        <v>10943</v>
      </c>
      <c r="B5786" s="19" t="s">
        <v>15</v>
      </c>
      <c r="C5786" s="18" t="s">
        <v>210</v>
      </c>
      <c r="D5786" s="18" t="s">
        <v>116</v>
      </c>
      <c r="E5786" s="18" t="s">
        <v>18</v>
      </c>
      <c r="F5786" s="18" t="s">
        <v>10956</v>
      </c>
      <c r="G5786" s="18" t="s">
        <v>1254</v>
      </c>
      <c r="H5786" s="18" t="s">
        <v>10946</v>
      </c>
      <c r="I5786" s="20" t="s">
        <v>10957</v>
      </c>
      <c r="J5786" s="18" t="s">
        <v>23</v>
      </c>
      <c r="K5786" s="18" t="s">
        <v>24</v>
      </c>
      <c r="L5786" s="18" t="s">
        <v>25</v>
      </c>
      <c r="N5786" s="18" t="s">
        <v>26</v>
      </c>
    </row>
    <row r="5787" spans="1:14" ht="15" customHeight="1" x14ac:dyDescent="0.3">
      <c r="A5787" s="18" t="s">
        <v>10943</v>
      </c>
      <c r="B5787" s="19" t="s">
        <v>15</v>
      </c>
      <c r="C5787" s="18" t="s">
        <v>210</v>
      </c>
      <c r="D5787" s="18" t="s">
        <v>116</v>
      </c>
      <c r="E5787" s="18" t="s">
        <v>171</v>
      </c>
      <c r="F5787" s="18" t="s">
        <v>10958</v>
      </c>
      <c r="G5787" s="18" t="s">
        <v>10945</v>
      </c>
      <c r="H5787" s="18" t="s">
        <v>10946</v>
      </c>
      <c r="I5787" s="20" t="s">
        <v>10959</v>
      </c>
      <c r="J5787" s="18" t="s">
        <v>175</v>
      </c>
      <c r="K5787" s="18" t="s">
        <v>24</v>
      </c>
      <c r="L5787" s="18" t="s">
        <v>25</v>
      </c>
      <c r="N5787" s="18" t="s">
        <v>26</v>
      </c>
    </row>
    <row r="5788" spans="1:14" ht="15" customHeight="1" x14ac:dyDescent="0.3">
      <c r="A5788" s="18" t="s">
        <v>10943</v>
      </c>
      <c r="B5788" s="19" t="s">
        <v>15</v>
      </c>
      <c r="C5788" s="18" t="s">
        <v>210</v>
      </c>
      <c r="D5788" s="18" t="s">
        <v>116</v>
      </c>
      <c r="E5788" s="18" t="s">
        <v>171</v>
      </c>
      <c r="F5788" s="18" t="s">
        <v>10960</v>
      </c>
      <c r="G5788" s="18" t="s">
        <v>10945</v>
      </c>
      <c r="H5788" s="18" t="s">
        <v>10946</v>
      </c>
      <c r="I5788" s="20" t="s">
        <v>10961</v>
      </c>
      <c r="J5788" s="18" t="s">
        <v>175</v>
      </c>
      <c r="K5788" s="18" t="s">
        <v>24</v>
      </c>
      <c r="L5788" s="18" t="s">
        <v>25</v>
      </c>
      <c r="N5788" s="18" t="s">
        <v>26</v>
      </c>
    </row>
    <row r="5789" spans="1:14" ht="15" customHeight="1" x14ac:dyDescent="0.3">
      <c r="A5789" s="18" t="s">
        <v>10943</v>
      </c>
      <c r="B5789" s="19" t="s">
        <v>15</v>
      </c>
      <c r="C5789" s="18" t="s">
        <v>210</v>
      </c>
      <c r="D5789" s="18" t="s">
        <v>116</v>
      </c>
      <c r="E5789" s="18" t="s">
        <v>171</v>
      </c>
      <c r="F5789" s="18" t="s">
        <v>10962</v>
      </c>
      <c r="G5789" s="18" t="s">
        <v>10945</v>
      </c>
      <c r="H5789" s="18" t="s">
        <v>10946</v>
      </c>
      <c r="I5789" s="20" t="s">
        <v>10963</v>
      </c>
      <c r="J5789" s="18" t="s">
        <v>175</v>
      </c>
      <c r="K5789" s="18" t="s">
        <v>24</v>
      </c>
      <c r="L5789" s="18" t="s">
        <v>25</v>
      </c>
      <c r="N5789" s="18" t="s">
        <v>26</v>
      </c>
    </row>
    <row r="5790" spans="1:14" ht="15" customHeight="1" x14ac:dyDescent="0.3">
      <c r="A5790" s="18" t="s">
        <v>10943</v>
      </c>
      <c r="B5790" s="19" t="s">
        <v>15</v>
      </c>
      <c r="C5790" s="18" t="s">
        <v>210</v>
      </c>
      <c r="D5790" s="18" t="s">
        <v>116</v>
      </c>
      <c r="E5790" s="18" t="s">
        <v>171</v>
      </c>
      <c r="F5790" s="18" t="s">
        <v>10964</v>
      </c>
      <c r="G5790" s="18" t="s">
        <v>433</v>
      </c>
      <c r="H5790" s="18" t="s">
        <v>10946</v>
      </c>
      <c r="I5790" s="20" t="s">
        <v>10965</v>
      </c>
      <c r="J5790" s="18" t="s">
        <v>670</v>
      </c>
      <c r="K5790" s="18" t="s">
        <v>24</v>
      </c>
      <c r="L5790" s="18" t="s">
        <v>25</v>
      </c>
      <c r="N5790" s="18" t="s">
        <v>26</v>
      </c>
    </row>
    <row r="5791" spans="1:14" ht="15" customHeight="1" x14ac:dyDescent="0.3">
      <c r="A5791" s="18" t="s">
        <v>10943</v>
      </c>
      <c r="B5791" s="19" t="s">
        <v>15</v>
      </c>
      <c r="C5791" s="18" t="s">
        <v>210</v>
      </c>
      <c r="D5791" s="18" t="s">
        <v>116</v>
      </c>
      <c r="E5791" s="18" t="s">
        <v>171</v>
      </c>
      <c r="F5791" s="18" t="s">
        <v>10966</v>
      </c>
      <c r="G5791" s="18" t="s">
        <v>433</v>
      </c>
      <c r="H5791" s="18" t="s">
        <v>10946</v>
      </c>
      <c r="I5791" s="20" t="s">
        <v>10967</v>
      </c>
      <c r="J5791" s="18" t="s">
        <v>175</v>
      </c>
      <c r="K5791" s="18" t="s">
        <v>24</v>
      </c>
      <c r="L5791" s="18" t="s">
        <v>25</v>
      </c>
      <c r="N5791" s="18" t="s">
        <v>26</v>
      </c>
    </row>
    <row r="5792" spans="1:14" ht="15" customHeight="1" x14ac:dyDescent="0.3">
      <c r="A5792" s="18" t="s">
        <v>10943</v>
      </c>
      <c r="B5792" s="19" t="s">
        <v>15</v>
      </c>
      <c r="C5792" s="18" t="s">
        <v>210</v>
      </c>
      <c r="D5792" s="18" t="s">
        <v>116</v>
      </c>
      <c r="E5792" s="18" t="s">
        <v>171</v>
      </c>
      <c r="F5792" s="18" t="s">
        <v>10968</v>
      </c>
      <c r="G5792" s="18" t="s">
        <v>433</v>
      </c>
      <c r="H5792" s="18" t="s">
        <v>10946</v>
      </c>
      <c r="I5792" s="20" t="s">
        <v>10969</v>
      </c>
      <c r="J5792" s="18" t="s">
        <v>175</v>
      </c>
      <c r="K5792" s="18" t="s">
        <v>24</v>
      </c>
      <c r="L5792" s="18" t="s">
        <v>25</v>
      </c>
      <c r="N5792" s="18" t="s">
        <v>26</v>
      </c>
    </row>
    <row r="5793" spans="1:14" ht="15" customHeight="1" x14ac:dyDescent="0.3">
      <c r="A5793" s="18" t="s">
        <v>10943</v>
      </c>
      <c r="B5793" s="19" t="s">
        <v>15</v>
      </c>
      <c r="C5793" s="18" t="s">
        <v>210</v>
      </c>
      <c r="D5793" s="18" t="s">
        <v>116</v>
      </c>
      <c r="E5793" s="18" t="s">
        <v>171</v>
      </c>
      <c r="F5793" s="18" t="s">
        <v>10970</v>
      </c>
      <c r="G5793" s="18" t="s">
        <v>433</v>
      </c>
      <c r="H5793" s="18" t="s">
        <v>10946</v>
      </c>
      <c r="I5793" s="20" t="s">
        <v>10971</v>
      </c>
      <c r="J5793" s="18" t="s">
        <v>7452</v>
      </c>
      <c r="K5793" s="18" t="s">
        <v>24</v>
      </c>
      <c r="L5793" s="18" t="s">
        <v>25</v>
      </c>
      <c r="N5793" s="18" t="s">
        <v>26</v>
      </c>
    </row>
    <row r="5794" spans="1:14" ht="15" customHeight="1" x14ac:dyDescent="0.3">
      <c r="A5794" s="18" t="s">
        <v>10943</v>
      </c>
      <c r="B5794" s="19" t="s">
        <v>15</v>
      </c>
      <c r="C5794" s="18" t="s">
        <v>210</v>
      </c>
      <c r="D5794" s="18" t="s">
        <v>116</v>
      </c>
      <c r="E5794" s="18" t="s">
        <v>171</v>
      </c>
      <c r="F5794" s="18" t="s">
        <v>10972</v>
      </c>
      <c r="G5794" s="18" t="s">
        <v>10945</v>
      </c>
      <c r="H5794" s="18" t="s">
        <v>10946</v>
      </c>
      <c r="I5794" s="20" t="s">
        <v>10973</v>
      </c>
      <c r="J5794" s="18" t="s">
        <v>175</v>
      </c>
      <c r="K5794" s="18" t="s">
        <v>24</v>
      </c>
      <c r="L5794" s="18" t="s">
        <v>25</v>
      </c>
      <c r="M5794" s="18" t="s">
        <v>39</v>
      </c>
      <c r="N5794" s="18" t="s">
        <v>26</v>
      </c>
    </row>
    <row r="5795" spans="1:14" ht="15" customHeight="1" x14ac:dyDescent="0.3">
      <c r="A5795" s="18" t="s">
        <v>10943</v>
      </c>
      <c r="B5795" s="19" t="s">
        <v>15</v>
      </c>
      <c r="C5795" s="18" t="s">
        <v>210</v>
      </c>
      <c r="D5795" s="18" t="s">
        <v>116</v>
      </c>
      <c r="E5795" s="18" t="s">
        <v>171</v>
      </c>
      <c r="F5795" s="18" t="s">
        <v>10974</v>
      </c>
      <c r="G5795" s="18" t="s">
        <v>10945</v>
      </c>
      <c r="H5795" s="18" t="s">
        <v>10946</v>
      </c>
      <c r="I5795" s="20" t="s">
        <v>10975</v>
      </c>
      <c r="J5795" s="18" t="s">
        <v>175</v>
      </c>
      <c r="K5795" s="18" t="s">
        <v>24</v>
      </c>
      <c r="L5795" s="18" t="s">
        <v>25</v>
      </c>
      <c r="M5795" s="18" t="s">
        <v>39</v>
      </c>
      <c r="N5795" s="18" t="s">
        <v>26</v>
      </c>
    </row>
    <row r="5796" spans="1:14" ht="15" customHeight="1" x14ac:dyDescent="0.3">
      <c r="A5796" s="18" t="s">
        <v>10943</v>
      </c>
      <c r="B5796" s="19" t="s">
        <v>15</v>
      </c>
      <c r="C5796" s="18" t="s">
        <v>10976</v>
      </c>
      <c r="D5796" s="18" t="s">
        <v>116</v>
      </c>
      <c r="E5796" s="18" t="s">
        <v>18</v>
      </c>
      <c r="F5796" s="18" t="s">
        <v>10977</v>
      </c>
      <c r="G5796" s="18" t="s">
        <v>10945</v>
      </c>
      <c r="H5796" s="18" t="s">
        <v>10978</v>
      </c>
      <c r="I5796" s="20" t="s">
        <v>10979</v>
      </c>
      <c r="J5796" s="18" t="s">
        <v>30</v>
      </c>
      <c r="K5796" s="18" t="s">
        <v>24</v>
      </c>
      <c r="L5796" s="18" t="s">
        <v>25</v>
      </c>
      <c r="N5796" s="18" t="s">
        <v>26</v>
      </c>
    </row>
    <row r="5797" spans="1:14" ht="15" customHeight="1" x14ac:dyDescent="0.3">
      <c r="A5797" s="18" t="s">
        <v>10943</v>
      </c>
      <c r="B5797" s="19" t="s">
        <v>15</v>
      </c>
      <c r="C5797" s="18" t="s">
        <v>10976</v>
      </c>
      <c r="D5797" s="18" t="s">
        <v>116</v>
      </c>
      <c r="E5797" s="18" t="s">
        <v>18</v>
      </c>
      <c r="F5797" s="18" t="s">
        <v>10980</v>
      </c>
      <c r="G5797" s="18" t="s">
        <v>1254</v>
      </c>
      <c r="H5797" s="18" t="s">
        <v>10978</v>
      </c>
      <c r="I5797" s="20" t="s">
        <v>10981</v>
      </c>
      <c r="J5797" s="18" t="s">
        <v>23</v>
      </c>
      <c r="K5797" s="18" t="s">
        <v>24</v>
      </c>
      <c r="L5797" s="18" t="s">
        <v>25</v>
      </c>
      <c r="N5797" s="18" t="s">
        <v>26</v>
      </c>
    </row>
    <row r="5798" spans="1:14" ht="15" customHeight="1" x14ac:dyDescent="0.3">
      <c r="A5798" s="18" t="s">
        <v>10943</v>
      </c>
      <c r="B5798" s="19" t="s">
        <v>15</v>
      </c>
      <c r="C5798" s="18" t="s">
        <v>10976</v>
      </c>
      <c r="D5798" s="18" t="s">
        <v>116</v>
      </c>
      <c r="E5798" s="18" t="s">
        <v>18</v>
      </c>
      <c r="F5798" s="18" t="s">
        <v>10982</v>
      </c>
      <c r="G5798" s="18" t="s">
        <v>10945</v>
      </c>
      <c r="H5798" s="18" t="s">
        <v>10978</v>
      </c>
      <c r="I5798" s="20" t="s">
        <v>10983</v>
      </c>
      <c r="J5798" s="18" t="s">
        <v>23</v>
      </c>
      <c r="K5798" s="18" t="s">
        <v>24</v>
      </c>
      <c r="L5798" s="18" t="s">
        <v>25</v>
      </c>
      <c r="N5798" s="18" t="s">
        <v>26</v>
      </c>
    </row>
    <row r="5799" spans="1:14" ht="15" customHeight="1" x14ac:dyDescent="0.3">
      <c r="A5799" s="18" t="s">
        <v>10943</v>
      </c>
      <c r="B5799" s="19" t="s">
        <v>15</v>
      </c>
      <c r="C5799" s="18" t="s">
        <v>10976</v>
      </c>
      <c r="D5799" s="18" t="s">
        <v>116</v>
      </c>
      <c r="E5799" s="18" t="s">
        <v>18</v>
      </c>
      <c r="F5799" s="18" t="s">
        <v>10984</v>
      </c>
      <c r="G5799" s="18" t="s">
        <v>1254</v>
      </c>
      <c r="H5799" s="18" t="s">
        <v>10978</v>
      </c>
      <c r="I5799" s="20" t="s">
        <v>10985</v>
      </c>
      <c r="J5799" s="18" t="s">
        <v>30</v>
      </c>
      <c r="K5799" s="18" t="s">
        <v>24</v>
      </c>
      <c r="L5799" s="18" t="s">
        <v>25</v>
      </c>
      <c r="N5799" s="18" t="s">
        <v>26</v>
      </c>
    </row>
    <row r="5800" spans="1:14" ht="15" customHeight="1" x14ac:dyDescent="0.3">
      <c r="A5800" s="18" t="s">
        <v>10943</v>
      </c>
      <c r="B5800" s="19" t="s">
        <v>15</v>
      </c>
      <c r="C5800" s="18" t="s">
        <v>10976</v>
      </c>
      <c r="D5800" s="18" t="s">
        <v>116</v>
      </c>
      <c r="E5800" s="18" t="s">
        <v>171</v>
      </c>
      <c r="F5800" s="18" t="s">
        <v>10986</v>
      </c>
      <c r="G5800" s="18" t="s">
        <v>433</v>
      </c>
      <c r="H5800" s="18" t="s">
        <v>10978</v>
      </c>
      <c r="I5800" s="20" t="s">
        <v>10987</v>
      </c>
      <c r="J5800" s="18" t="s">
        <v>670</v>
      </c>
      <c r="K5800" s="18" t="s">
        <v>24</v>
      </c>
      <c r="L5800" s="18" t="s">
        <v>25</v>
      </c>
      <c r="N5800" s="18" t="s">
        <v>26</v>
      </c>
    </row>
    <row r="5801" spans="1:14" ht="15" customHeight="1" x14ac:dyDescent="0.3">
      <c r="A5801" s="18" t="s">
        <v>10943</v>
      </c>
      <c r="B5801" s="19" t="s">
        <v>15</v>
      </c>
      <c r="C5801" s="18" t="s">
        <v>1124</v>
      </c>
      <c r="D5801" s="18" t="s">
        <v>116</v>
      </c>
      <c r="E5801" s="18" t="s">
        <v>18</v>
      </c>
      <c r="F5801" s="18" t="s">
        <v>10988</v>
      </c>
      <c r="G5801" s="18" t="s">
        <v>10945</v>
      </c>
      <c r="H5801" s="18" t="s">
        <v>10989</v>
      </c>
      <c r="I5801" s="20" t="s">
        <v>10990</v>
      </c>
      <c r="J5801" s="18" t="s">
        <v>30</v>
      </c>
      <c r="K5801" s="18" t="s">
        <v>24</v>
      </c>
      <c r="L5801" s="18" t="s">
        <v>25</v>
      </c>
      <c r="N5801" s="18" t="s">
        <v>26</v>
      </c>
    </row>
    <row r="5802" spans="1:14" ht="15" customHeight="1" x14ac:dyDescent="0.3">
      <c r="A5802" s="18" t="s">
        <v>10943</v>
      </c>
      <c r="B5802" s="19" t="s">
        <v>15</v>
      </c>
      <c r="C5802" s="18" t="s">
        <v>1124</v>
      </c>
      <c r="D5802" s="18" t="s">
        <v>116</v>
      </c>
      <c r="E5802" s="18" t="s">
        <v>18</v>
      </c>
      <c r="F5802" s="18" t="s">
        <v>10991</v>
      </c>
      <c r="G5802" s="18" t="s">
        <v>1254</v>
      </c>
      <c r="H5802" s="18" t="s">
        <v>10989</v>
      </c>
      <c r="I5802" s="20" t="s">
        <v>10992</v>
      </c>
      <c r="J5802" s="18" t="s">
        <v>23</v>
      </c>
      <c r="K5802" s="18" t="s">
        <v>24</v>
      </c>
      <c r="L5802" s="18" t="s">
        <v>25</v>
      </c>
      <c r="N5802" s="18" t="s">
        <v>26</v>
      </c>
    </row>
    <row r="5803" spans="1:14" ht="15" customHeight="1" x14ac:dyDescent="0.3">
      <c r="A5803" s="18" t="s">
        <v>10943</v>
      </c>
      <c r="B5803" s="19" t="s">
        <v>15</v>
      </c>
      <c r="C5803" s="18" t="s">
        <v>1124</v>
      </c>
      <c r="D5803" s="18" t="s">
        <v>116</v>
      </c>
      <c r="E5803" s="18" t="s">
        <v>18</v>
      </c>
      <c r="F5803" s="18" t="s">
        <v>10993</v>
      </c>
      <c r="G5803" s="18" t="s">
        <v>10945</v>
      </c>
      <c r="H5803" s="18" t="s">
        <v>10989</v>
      </c>
      <c r="I5803" s="20" t="s">
        <v>10994</v>
      </c>
      <c r="J5803" s="18" t="s">
        <v>23</v>
      </c>
      <c r="K5803" s="18" t="s">
        <v>24</v>
      </c>
      <c r="L5803" s="18" t="s">
        <v>25</v>
      </c>
      <c r="N5803" s="18" t="s">
        <v>26</v>
      </c>
    </row>
    <row r="5804" spans="1:14" ht="15" customHeight="1" x14ac:dyDescent="0.3">
      <c r="A5804" s="18" t="s">
        <v>10995</v>
      </c>
      <c r="B5804" s="19" t="s">
        <v>15</v>
      </c>
      <c r="C5804" s="18" t="s">
        <v>210</v>
      </c>
      <c r="D5804" s="18" t="s">
        <v>116</v>
      </c>
      <c r="E5804" s="18" t="s">
        <v>171</v>
      </c>
      <c r="F5804" s="18" t="s">
        <v>10996</v>
      </c>
      <c r="G5804" s="18" t="s">
        <v>10945</v>
      </c>
      <c r="H5804" s="18" t="s">
        <v>10997</v>
      </c>
      <c r="I5804" s="20" t="s">
        <v>10998</v>
      </c>
      <c r="J5804" s="18" t="s">
        <v>175</v>
      </c>
      <c r="K5804" s="18" t="s">
        <v>24</v>
      </c>
      <c r="L5804" s="18" t="s">
        <v>25</v>
      </c>
      <c r="N5804" s="18" t="s">
        <v>26</v>
      </c>
    </row>
    <row r="5805" spans="1:14" ht="15" customHeight="1" x14ac:dyDescent="0.3">
      <c r="A5805" s="18" t="s">
        <v>10995</v>
      </c>
      <c r="B5805" s="19" t="s">
        <v>15</v>
      </c>
      <c r="C5805" s="18" t="s">
        <v>210</v>
      </c>
      <c r="D5805" s="18" t="s">
        <v>116</v>
      </c>
      <c r="E5805" s="18" t="s">
        <v>55</v>
      </c>
      <c r="F5805" s="18" t="s">
        <v>10996</v>
      </c>
      <c r="G5805" s="18" t="s">
        <v>10945</v>
      </c>
      <c r="H5805" s="18" t="s">
        <v>10997</v>
      </c>
      <c r="I5805" s="20" t="s">
        <v>10999</v>
      </c>
      <c r="J5805" s="18" t="s">
        <v>58</v>
      </c>
      <c r="K5805" s="18" t="s">
        <v>24</v>
      </c>
      <c r="L5805" s="18" t="s">
        <v>25</v>
      </c>
      <c r="N5805" s="18" t="s">
        <v>26</v>
      </c>
    </row>
  </sheetData>
  <autoFilter ref="A1:N5805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  <hyperlink ref="I547" r:id="rId546" xr:uid="{00000000-0004-0000-0000-000021020000}"/>
    <hyperlink ref="I548" r:id="rId547" xr:uid="{00000000-0004-0000-0000-000022020000}"/>
    <hyperlink ref="I549" r:id="rId548" xr:uid="{00000000-0004-0000-0000-000023020000}"/>
    <hyperlink ref="I550" r:id="rId549" xr:uid="{00000000-0004-0000-0000-000024020000}"/>
    <hyperlink ref="I551" r:id="rId550" xr:uid="{00000000-0004-0000-0000-000025020000}"/>
    <hyperlink ref="I552" r:id="rId551" xr:uid="{00000000-0004-0000-0000-000026020000}"/>
    <hyperlink ref="I553" r:id="rId552" xr:uid="{00000000-0004-0000-0000-000027020000}"/>
    <hyperlink ref="I554" r:id="rId553" xr:uid="{00000000-0004-0000-0000-000028020000}"/>
    <hyperlink ref="I555" r:id="rId554" xr:uid="{00000000-0004-0000-0000-000029020000}"/>
    <hyperlink ref="I556" r:id="rId555" xr:uid="{00000000-0004-0000-0000-00002A020000}"/>
    <hyperlink ref="I557" r:id="rId556" xr:uid="{00000000-0004-0000-0000-00002B020000}"/>
    <hyperlink ref="I558" r:id="rId557" xr:uid="{00000000-0004-0000-0000-00002C020000}"/>
    <hyperlink ref="I559" r:id="rId558" xr:uid="{00000000-0004-0000-0000-00002D020000}"/>
    <hyperlink ref="I560" r:id="rId559" xr:uid="{00000000-0004-0000-0000-00002E020000}"/>
    <hyperlink ref="I561" r:id="rId560" xr:uid="{00000000-0004-0000-0000-00002F020000}"/>
    <hyperlink ref="I562" r:id="rId561" xr:uid="{00000000-0004-0000-0000-000030020000}"/>
    <hyperlink ref="I563" r:id="rId562" xr:uid="{00000000-0004-0000-0000-000031020000}"/>
    <hyperlink ref="I564" r:id="rId563" xr:uid="{00000000-0004-0000-0000-000032020000}"/>
    <hyperlink ref="I565" r:id="rId564" xr:uid="{00000000-0004-0000-0000-000033020000}"/>
    <hyperlink ref="I566" r:id="rId565" xr:uid="{00000000-0004-0000-0000-000034020000}"/>
    <hyperlink ref="I567" r:id="rId566" xr:uid="{00000000-0004-0000-0000-000035020000}"/>
    <hyperlink ref="I568" r:id="rId567" xr:uid="{00000000-0004-0000-0000-000036020000}"/>
    <hyperlink ref="I569" r:id="rId568" xr:uid="{00000000-0004-0000-0000-000037020000}"/>
    <hyperlink ref="I570" r:id="rId569" xr:uid="{00000000-0004-0000-0000-000038020000}"/>
    <hyperlink ref="I571" r:id="rId570" xr:uid="{00000000-0004-0000-0000-000039020000}"/>
    <hyperlink ref="I572" r:id="rId571" xr:uid="{00000000-0004-0000-0000-00003A020000}"/>
    <hyperlink ref="I573" r:id="rId572" xr:uid="{00000000-0004-0000-0000-00003B020000}"/>
    <hyperlink ref="I574" r:id="rId573" xr:uid="{00000000-0004-0000-0000-00003C020000}"/>
    <hyperlink ref="I575" r:id="rId574" xr:uid="{00000000-0004-0000-0000-00003D020000}"/>
    <hyperlink ref="I576" r:id="rId575" xr:uid="{00000000-0004-0000-0000-00003E020000}"/>
    <hyperlink ref="I577" r:id="rId576" xr:uid="{00000000-0004-0000-0000-00003F020000}"/>
    <hyperlink ref="I578" r:id="rId577" xr:uid="{00000000-0004-0000-0000-000040020000}"/>
    <hyperlink ref="I579" r:id="rId578" xr:uid="{00000000-0004-0000-0000-000041020000}"/>
    <hyperlink ref="I580" r:id="rId579" xr:uid="{00000000-0004-0000-0000-000042020000}"/>
    <hyperlink ref="I581" r:id="rId580" xr:uid="{00000000-0004-0000-0000-000043020000}"/>
    <hyperlink ref="I582" r:id="rId581" xr:uid="{00000000-0004-0000-0000-000044020000}"/>
    <hyperlink ref="I583" r:id="rId582" xr:uid="{00000000-0004-0000-0000-000045020000}"/>
    <hyperlink ref="I584" r:id="rId583" xr:uid="{00000000-0004-0000-0000-000046020000}"/>
    <hyperlink ref="I585" r:id="rId584" xr:uid="{00000000-0004-0000-0000-000047020000}"/>
    <hyperlink ref="I586" r:id="rId585" xr:uid="{00000000-0004-0000-0000-000048020000}"/>
    <hyperlink ref="I587" r:id="rId586" xr:uid="{00000000-0004-0000-0000-000049020000}"/>
    <hyperlink ref="I588" r:id="rId587" xr:uid="{00000000-0004-0000-0000-00004A020000}"/>
    <hyperlink ref="I589" r:id="rId588" xr:uid="{00000000-0004-0000-0000-00004B020000}"/>
    <hyperlink ref="I590" r:id="rId589" xr:uid="{00000000-0004-0000-0000-00004C020000}"/>
    <hyperlink ref="I591" r:id="rId590" xr:uid="{00000000-0004-0000-0000-00004D020000}"/>
    <hyperlink ref="I592" r:id="rId591" xr:uid="{00000000-0004-0000-0000-00004E020000}"/>
    <hyperlink ref="I593" r:id="rId592" xr:uid="{00000000-0004-0000-0000-00004F020000}"/>
    <hyperlink ref="I594" r:id="rId593" xr:uid="{00000000-0004-0000-0000-000050020000}"/>
    <hyperlink ref="I595" r:id="rId594" xr:uid="{00000000-0004-0000-0000-000051020000}"/>
    <hyperlink ref="I596" r:id="rId595" xr:uid="{00000000-0004-0000-0000-000052020000}"/>
    <hyperlink ref="I597" r:id="rId596" xr:uid="{00000000-0004-0000-0000-000053020000}"/>
    <hyperlink ref="I598" r:id="rId597" xr:uid="{00000000-0004-0000-0000-000054020000}"/>
    <hyperlink ref="I599" r:id="rId598" xr:uid="{00000000-0004-0000-0000-000055020000}"/>
    <hyperlink ref="I600" r:id="rId599" xr:uid="{00000000-0004-0000-0000-000056020000}"/>
    <hyperlink ref="I601" r:id="rId600" xr:uid="{00000000-0004-0000-0000-000057020000}"/>
    <hyperlink ref="I602" r:id="rId601" xr:uid="{00000000-0004-0000-0000-000058020000}"/>
    <hyperlink ref="I603" r:id="rId602" xr:uid="{00000000-0004-0000-0000-000059020000}"/>
    <hyperlink ref="I604" r:id="rId603" xr:uid="{00000000-0004-0000-0000-00005A020000}"/>
    <hyperlink ref="I605" r:id="rId604" xr:uid="{00000000-0004-0000-0000-00005B020000}"/>
    <hyperlink ref="I606" r:id="rId605" xr:uid="{00000000-0004-0000-0000-00005C020000}"/>
    <hyperlink ref="I607" r:id="rId606" xr:uid="{00000000-0004-0000-0000-00005D020000}"/>
    <hyperlink ref="I608" r:id="rId607" xr:uid="{00000000-0004-0000-0000-00005E020000}"/>
    <hyperlink ref="I609" r:id="rId608" xr:uid="{00000000-0004-0000-0000-00005F020000}"/>
    <hyperlink ref="I610" r:id="rId609" xr:uid="{00000000-0004-0000-0000-000060020000}"/>
    <hyperlink ref="I611" r:id="rId610" xr:uid="{00000000-0004-0000-0000-000061020000}"/>
    <hyperlink ref="I612" r:id="rId611" xr:uid="{00000000-0004-0000-0000-000062020000}"/>
    <hyperlink ref="I613" r:id="rId612" xr:uid="{00000000-0004-0000-0000-000063020000}"/>
    <hyperlink ref="I614" r:id="rId613" xr:uid="{00000000-0004-0000-0000-000064020000}"/>
    <hyperlink ref="I615" r:id="rId614" xr:uid="{00000000-0004-0000-0000-000065020000}"/>
    <hyperlink ref="I616" r:id="rId615" xr:uid="{00000000-0004-0000-0000-000066020000}"/>
    <hyperlink ref="I617" r:id="rId616" xr:uid="{00000000-0004-0000-0000-000067020000}"/>
    <hyperlink ref="I618" r:id="rId617" xr:uid="{00000000-0004-0000-0000-000068020000}"/>
    <hyperlink ref="I619" r:id="rId618" xr:uid="{00000000-0004-0000-0000-000069020000}"/>
    <hyperlink ref="I620" r:id="rId619" xr:uid="{00000000-0004-0000-0000-00006A020000}"/>
    <hyperlink ref="I621" r:id="rId620" xr:uid="{00000000-0004-0000-0000-00006B020000}"/>
    <hyperlink ref="I622" r:id="rId621" xr:uid="{00000000-0004-0000-0000-00006C020000}"/>
    <hyperlink ref="I623" r:id="rId622" xr:uid="{00000000-0004-0000-0000-00006D020000}"/>
    <hyperlink ref="I624" r:id="rId623" xr:uid="{00000000-0004-0000-0000-00006E020000}"/>
    <hyperlink ref="I625" r:id="rId624" xr:uid="{00000000-0004-0000-0000-00006F020000}"/>
    <hyperlink ref="I626" r:id="rId625" xr:uid="{00000000-0004-0000-0000-000070020000}"/>
    <hyperlink ref="I627" r:id="rId626" xr:uid="{00000000-0004-0000-0000-000071020000}"/>
    <hyperlink ref="I628" r:id="rId627" xr:uid="{00000000-0004-0000-0000-000072020000}"/>
    <hyperlink ref="I629" r:id="rId628" xr:uid="{00000000-0004-0000-0000-000073020000}"/>
    <hyperlink ref="I630" r:id="rId629" xr:uid="{00000000-0004-0000-0000-000074020000}"/>
    <hyperlink ref="I631" r:id="rId630" xr:uid="{00000000-0004-0000-0000-000075020000}"/>
    <hyperlink ref="I632" r:id="rId631" xr:uid="{00000000-0004-0000-0000-000076020000}"/>
    <hyperlink ref="I633" r:id="rId632" xr:uid="{00000000-0004-0000-0000-000077020000}"/>
    <hyperlink ref="I634" r:id="rId633" xr:uid="{00000000-0004-0000-0000-000078020000}"/>
    <hyperlink ref="I635" r:id="rId634" xr:uid="{00000000-0004-0000-0000-000079020000}"/>
    <hyperlink ref="I636" r:id="rId635" xr:uid="{00000000-0004-0000-0000-00007A020000}"/>
    <hyperlink ref="I637" r:id="rId636" xr:uid="{00000000-0004-0000-0000-00007B020000}"/>
    <hyperlink ref="I638" r:id="rId637" xr:uid="{00000000-0004-0000-0000-00007C020000}"/>
    <hyperlink ref="I639" r:id="rId638" xr:uid="{00000000-0004-0000-0000-00007D020000}"/>
    <hyperlink ref="I640" r:id="rId639" xr:uid="{00000000-0004-0000-0000-00007E020000}"/>
    <hyperlink ref="I641" r:id="rId640" xr:uid="{00000000-0004-0000-0000-00007F020000}"/>
    <hyperlink ref="I642" r:id="rId641" xr:uid="{00000000-0004-0000-0000-000080020000}"/>
    <hyperlink ref="I643" r:id="rId642" xr:uid="{00000000-0004-0000-0000-000081020000}"/>
    <hyperlink ref="I644" r:id="rId643" xr:uid="{00000000-0004-0000-0000-000082020000}"/>
    <hyperlink ref="I645" r:id="rId644" xr:uid="{00000000-0004-0000-0000-000083020000}"/>
    <hyperlink ref="I646" r:id="rId645" xr:uid="{00000000-0004-0000-0000-000084020000}"/>
    <hyperlink ref="I647" r:id="rId646" xr:uid="{00000000-0004-0000-0000-000085020000}"/>
    <hyperlink ref="I648" r:id="rId647" xr:uid="{00000000-0004-0000-0000-000086020000}"/>
    <hyperlink ref="I649" r:id="rId648" xr:uid="{00000000-0004-0000-0000-000087020000}"/>
    <hyperlink ref="I650" r:id="rId649" xr:uid="{00000000-0004-0000-0000-000088020000}"/>
    <hyperlink ref="I651" r:id="rId650" xr:uid="{00000000-0004-0000-0000-000089020000}"/>
    <hyperlink ref="I652" r:id="rId651" xr:uid="{00000000-0004-0000-0000-00008A020000}"/>
    <hyperlink ref="I653" r:id="rId652" xr:uid="{00000000-0004-0000-0000-00008B020000}"/>
    <hyperlink ref="I654" r:id="rId653" xr:uid="{00000000-0004-0000-0000-00008C020000}"/>
    <hyperlink ref="I655" r:id="rId654" xr:uid="{00000000-0004-0000-0000-00008D020000}"/>
    <hyperlink ref="I656" r:id="rId655" xr:uid="{00000000-0004-0000-0000-00008E020000}"/>
    <hyperlink ref="I657" r:id="rId656" xr:uid="{00000000-0004-0000-0000-00008F020000}"/>
    <hyperlink ref="I658" r:id="rId657" xr:uid="{00000000-0004-0000-0000-000090020000}"/>
    <hyperlink ref="I659" r:id="rId658" xr:uid="{00000000-0004-0000-0000-000091020000}"/>
    <hyperlink ref="I660" r:id="rId659" xr:uid="{00000000-0004-0000-0000-000092020000}"/>
    <hyperlink ref="I661" r:id="rId660" xr:uid="{00000000-0004-0000-0000-000093020000}"/>
    <hyperlink ref="I662" r:id="rId661" xr:uid="{00000000-0004-0000-0000-000094020000}"/>
    <hyperlink ref="I663" r:id="rId662" xr:uid="{00000000-0004-0000-0000-000095020000}"/>
    <hyperlink ref="I664" r:id="rId663" xr:uid="{00000000-0004-0000-0000-000096020000}"/>
    <hyperlink ref="I665" r:id="rId664" xr:uid="{00000000-0004-0000-0000-000097020000}"/>
    <hyperlink ref="I666" r:id="rId665" xr:uid="{00000000-0004-0000-0000-000098020000}"/>
    <hyperlink ref="I667" r:id="rId666" xr:uid="{00000000-0004-0000-0000-000099020000}"/>
    <hyperlink ref="I668" r:id="rId667" xr:uid="{00000000-0004-0000-0000-00009A020000}"/>
    <hyperlink ref="I669" r:id="rId668" xr:uid="{00000000-0004-0000-0000-00009B020000}"/>
    <hyperlink ref="I670" r:id="rId669" xr:uid="{00000000-0004-0000-0000-00009C020000}"/>
    <hyperlink ref="I671" r:id="rId670" xr:uid="{00000000-0004-0000-0000-00009D020000}"/>
    <hyperlink ref="I672" r:id="rId671" xr:uid="{00000000-0004-0000-0000-00009E020000}"/>
    <hyperlink ref="I673" r:id="rId672" xr:uid="{00000000-0004-0000-0000-00009F020000}"/>
    <hyperlink ref="I674" r:id="rId673" xr:uid="{00000000-0004-0000-0000-0000A0020000}"/>
    <hyperlink ref="I675" r:id="rId674" xr:uid="{00000000-0004-0000-0000-0000A1020000}"/>
    <hyperlink ref="I676" r:id="rId675" xr:uid="{00000000-0004-0000-0000-0000A2020000}"/>
    <hyperlink ref="I677" r:id="rId676" xr:uid="{00000000-0004-0000-0000-0000A3020000}"/>
    <hyperlink ref="I678" r:id="rId677" xr:uid="{00000000-0004-0000-0000-0000A4020000}"/>
    <hyperlink ref="I679" r:id="rId678" xr:uid="{00000000-0004-0000-0000-0000A5020000}"/>
    <hyperlink ref="I680" r:id="rId679" xr:uid="{00000000-0004-0000-0000-0000A6020000}"/>
    <hyperlink ref="I681" r:id="rId680" xr:uid="{00000000-0004-0000-0000-0000A7020000}"/>
    <hyperlink ref="I682" r:id="rId681" xr:uid="{00000000-0004-0000-0000-0000A8020000}"/>
    <hyperlink ref="I683" r:id="rId682" xr:uid="{00000000-0004-0000-0000-0000A9020000}"/>
    <hyperlink ref="I684" r:id="rId683" xr:uid="{00000000-0004-0000-0000-0000AA020000}"/>
    <hyperlink ref="I685" r:id="rId684" xr:uid="{00000000-0004-0000-0000-0000AB020000}"/>
    <hyperlink ref="I686" r:id="rId685" xr:uid="{00000000-0004-0000-0000-0000AC020000}"/>
    <hyperlink ref="I687" r:id="rId686" xr:uid="{00000000-0004-0000-0000-0000AD020000}"/>
    <hyperlink ref="I688" r:id="rId687" xr:uid="{00000000-0004-0000-0000-0000AE020000}"/>
    <hyperlink ref="I689" r:id="rId688" xr:uid="{00000000-0004-0000-0000-0000AF020000}"/>
    <hyperlink ref="I690" r:id="rId689" xr:uid="{00000000-0004-0000-0000-0000B0020000}"/>
    <hyperlink ref="I691" r:id="rId690" xr:uid="{00000000-0004-0000-0000-0000B1020000}"/>
    <hyperlink ref="I692" r:id="rId691" xr:uid="{00000000-0004-0000-0000-0000B2020000}"/>
    <hyperlink ref="I693" r:id="rId692" xr:uid="{00000000-0004-0000-0000-0000B3020000}"/>
    <hyperlink ref="I694" r:id="rId693" xr:uid="{00000000-0004-0000-0000-0000B4020000}"/>
    <hyperlink ref="I695" r:id="rId694" xr:uid="{00000000-0004-0000-0000-0000B5020000}"/>
    <hyperlink ref="I696" r:id="rId695" xr:uid="{00000000-0004-0000-0000-0000B6020000}"/>
    <hyperlink ref="I697" r:id="rId696" xr:uid="{00000000-0004-0000-0000-0000B7020000}"/>
    <hyperlink ref="I698" r:id="rId697" xr:uid="{00000000-0004-0000-0000-0000B8020000}"/>
    <hyperlink ref="I699" r:id="rId698" xr:uid="{00000000-0004-0000-0000-0000B9020000}"/>
    <hyperlink ref="I700" r:id="rId699" xr:uid="{00000000-0004-0000-0000-0000BA020000}"/>
    <hyperlink ref="I701" r:id="rId700" xr:uid="{00000000-0004-0000-0000-0000BB020000}"/>
    <hyperlink ref="I702" r:id="rId701" xr:uid="{00000000-0004-0000-0000-0000BC020000}"/>
    <hyperlink ref="I703" r:id="rId702" xr:uid="{00000000-0004-0000-0000-0000BD020000}"/>
    <hyperlink ref="I704" r:id="rId703" xr:uid="{00000000-0004-0000-0000-0000BE020000}"/>
    <hyperlink ref="I705" r:id="rId704" xr:uid="{00000000-0004-0000-0000-0000BF020000}"/>
    <hyperlink ref="I706" r:id="rId705" xr:uid="{00000000-0004-0000-0000-0000C0020000}"/>
    <hyperlink ref="I707" r:id="rId706" xr:uid="{00000000-0004-0000-0000-0000C1020000}"/>
    <hyperlink ref="I708" r:id="rId707" xr:uid="{00000000-0004-0000-0000-0000C2020000}"/>
    <hyperlink ref="I709" r:id="rId708" xr:uid="{00000000-0004-0000-0000-0000C3020000}"/>
    <hyperlink ref="I710" r:id="rId709" xr:uid="{00000000-0004-0000-0000-0000C4020000}"/>
    <hyperlink ref="I711" r:id="rId710" xr:uid="{00000000-0004-0000-0000-0000C5020000}"/>
    <hyperlink ref="I712" r:id="rId711" xr:uid="{00000000-0004-0000-0000-0000C6020000}"/>
    <hyperlink ref="I713" r:id="rId712" xr:uid="{00000000-0004-0000-0000-0000C7020000}"/>
    <hyperlink ref="I714" r:id="rId713" xr:uid="{00000000-0004-0000-0000-0000C8020000}"/>
    <hyperlink ref="I715" r:id="rId714" xr:uid="{00000000-0004-0000-0000-0000C9020000}"/>
    <hyperlink ref="I716" r:id="rId715" xr:uid="{00000000-0004-0000-0000-0000CA020000}"/>
    <hyperlink ref="I717" r:id="rId716" xr:uid="{00000000-0004-0000-0000-0000CB020000}"/>
    <hyperlink ref="I718" r:id="rId717" xr:uid="{00000000-0004-0000-0000-0000CC020000}"/>
    <hyperlink ref="I719" r:id="rId718" xr:uid="{00000000-0004-0000-0000-0000CD020000}"/>
    <hyperlink ref="I720" r:id="rId719" xr:uid="{00000000-0004-0000-0000-0000CE020000}"/>
    <hyperlink ref="I721" r:id="rId720" xr:uid="{00000000-0004-0000-0000-0000CF020000}"/>
    <hyperlink ref="I722" r:id="rId721" xr:uid="{00000000-0004-0000-0000-0000D0020000}"/>
    <hyperlink ref="I723" r:id="rId722" xr:uid="{00000000-0004-0000-0000-0000D1020000}"/>
    <hyperlink ref="I724" r:id="rId723" xr:uid="{00000000-0004-0000-0000-0000D2020000}"/>
    <hyperlink ref="I725" r:id="rId724" xr:uid="{00000000-0004-0000-0000-0000D3020000}"/>
    <hyperlink ref="I726" r:id="rId725" xr:uid="{00000000-0004-0000-0000-0000D4020000}"/>
    <hyperlink ref="I727" r:id="rId726" xr:uid="{00000000-0004-0000-0000-0000D5020000}"/>
    <hyperlink ref="I728" r:id="rId727" xr:uid="{00000000-0004-0000-0000-0000D6020000}"/>
    <hyperlink ref="I729" r:id="rId728" xr:uid="{00000000-0004-0000-0000-0000D7020000}"/>
    <hyperlink ref="I730" r:id="rId729" xr:uid="{00000000-0004-0000-0000-0000D8020000}"/>
    <hyperlink ref="I731" r:id="rId730" xr:uid="{00000000-0004-0000-0000-0000D9020000}"/>
    <hyperlink ref="I732" r:id="rId731" xr:uid="{00000000-0004-0000-0000-0000DA020000}"/>
    <hyperlink ref="I733" r:id="rId732" xr:uid="{00000000-0004-0000-0000-0000DB020000}"/>
    <hyperlink ref="I734" r:id="rId733" xr:uid="{00000000-0004-0000-0000-0000DC020000}"/>
    <hyperlink ref="I735" r:id="rId734" xr:uid="{00000000-0004-0000-0000-0000DD020000}"/>
    <hyperlink ref="I736" r:id="rId735" xr:uid="{00000000-0004-0000-0000-0000DE020000}"/>
    <hyperlink ref="I737" r:id="rId736" xr:uid="{00000000-0004-0000-0000-0000DF020000}"/>
    <hyperlink ref="I738" r:id="rId737" xr:uid="{00000000-0004-0000-0000-0000E0020000}"/>
    <hyperlink ref="I739" r:id="rId738" xr:uid="{00000000-0004-0000-0000-0000E1020000}"/>
    <hyperlink ref="I740" r:id="rId739" xr:uid="{00000000-0004-0000-0000-0000E2020000}"/>
    <hyperlink ref="I741" r:id="rId740" xr:uid="{00000000-0004-0000-0000-0000E3020000}"/>
    <hyperlink ref="I742" r:id="rId741" xr:uid="{00000000-0004-0000-0000-0000E4020000}"/>
    <hyperlink ref="I743" r:id="rId742" xr:uid="{00000000-0004-0000-0000-0000E5020000}"/>
    <hyperlink ref="I744" r:id="rId743" xr:uid="{00000000-0004-0000-0000-0000E6020000}"/>
    <hyperlink ref="I745" r:id="rId744" xr:uid="{00000000-0004-0000-0000-0000E7020000}"/>
    <hyperlink ref="I746" r:id="rId745" xr:uid="{00000000-0004-0000-0000-0000E8020000}"/>
    <hyperlink ref="I747" r:id="rId746" xr:uid="{00000000-0004-0000-0000-0000E9020000}"/>
    <hyperlink ref="I748" r:id="rId747" xr:uid="{00000000-0004-0000-0000-0000EA020000}"/>
    <hyperlink ref="I749" r:id="rId748" xr:uid="{00000000-0004-0000-0000-0000EB020000}"/>
    <hyperlink ref="I750" r:id="rId749" xr:uid="{00000000-0004-0000-0000-0000EC020000}"/>
    <hyperlink ref="I751" r:id="rId750" xr:uid="{00000000-0004-0000-0000-0000ED020000}"/>
    <hyperlink ref="I752" r:id="rId751" xr:uid="{00000000-0004-0000-0000-0000EE020000}"/>
    <hyperlink ref="I753" r:id="rId752" xr:uid="{00000000-0004-0000-0000-0000EF020000}"/>
    <hyperlink ref="I754" r:id="rId753" xr:uid="{00000000-0004-0000-0000-0000F0020000}"/>
    <hyperlink ref="I755" r:id="rId754" xr:uid="{00000000-0004-0000-0000-0000F1020000}"/>
    <hyperlink ref="I756" r:id="rId755" xr:uid="{00000000-0004-0000-0000-0000F2020000}"/>
    <hyperlink ref="I757" r:id="rId756" xr:uid="{00000000-0004-0000-0000-0000F3020000}"/>
    <hyperlink ref="I758" r:id="rId757" xr:uid="{00000000-0004-0000-0000-0000F4020000}"/>
    <hyperlink ref="I759" r:id="rId758" xr:uid="{00000000-0004-0000-0000-0000F5020000}"/>
    <hyperlink ref="I760" r:id="rId759" xr:uid="{00000000-0004-0000-0000-0000F6020000}"/>
    <hyperlink ref="I761" r:id="rId760" xr:uid="{00000000-0004-0000-0000-0000F7020000}"/>
    <hyperlink ref="I762" r:id="rId761" xr:uid="{00000000-0004-0000-0000-0000F8020000}"/>
    <hyperlink ref="I763" r:id="rId762" xr:uid="{00000000-0004-0000-0000-0000F9020000}"/>
    <hyperlink ref="I764" r:id="rId763" xr:uid="{00000000-0004-0000-0000-0000FA020000}"/>
    <hyperlink ref="I765" r:id="rId764" xr:uid="{00000000-0004-0000-0000-0000FB020000}"/>
    <hyperlink ref="I766" r:id="rId765" xr:uid="{00000000-0004-0000-0000-0000FC020000}"/>
    <hyperlink ref="I767" r:id="rId766" xr:uid="{00000000-0004-0000-0000-0000FD020000}"/>
    <hyperlink ref="I768" r:id="rId767" xr:uid="{00000000-0004-0000-0000-0000FE020000}"/>
    <hyperlink ref="I769" r:id="rId768" xr:uid="{00000000-0004-0000-0000-0000FF020000}"/>
    <hyperlink ref="I770" r:id="rId769" xr:uid="{00000000-0004-0000-0000-000000030000}"/>
    <hyperlink ref="I771" r:id="rId770" xr:uid="{00000000-0004-0000-0000-000001030000}"/>
    <hyperlink ref="I772" r:id="rId771" xr:uid="{00000000-0004-0000-0000-000002030000}"/>
    <hyperlink ref="I773" r:id="rId772" xr:uid="{00000000-0004-0000-0000-000003030000}"/>
    <hyperlink ref="I774" r:id="rId773" xr:uid="{00000000-0004-0000-0000-000004030000}"/>
    <hyperlink ref="I775" r:id="rId774" xr:uid="{00000000-0004-0000-0000-000005030000}"/>
    <hyperlink ref="I776" r:id="rId775" xr:uid="{00000000-0004-0000-0000-000006030000}"/>
    <hyperlink ref="I777" r:id="rId776" xr:uid="{00000000-0004-0000-0000-000007030000}"/>
    <hyperlink ref="I778" r:id="rId777" xr:uid="{00000000-0004-0000-0000-000008030000}"/>
    <hyperlink ref="I779" r:id="rId778" xr:uid="{00000000-0004-0000-0000-000009030000}"/>
    <hyperlink ref="I780" r:id="rId779" xr:uid="{00000000-0004-0000-0000-00000A030000}"/>
    <hyperlink ref="I781" r:id="rId780" xr:uid="{00000000-0004-0000-0000-00000B030000}"/>
    <hyperlink ref="I782" r:id="rId781" xr:uid="{00000000-0004-0000-0000-00000C030000}"/>
    <hyperlink ref="I783" r:id="rId782" xr:uid="{00000000-0004-0000-0000-00000D030000}"/>
    <hyperlink ref="I784" r:id="rId783" xr:uid="{00000000-0004-0000-0000-00000E030000}"/>
    <hyperlink ref="I785" r:id="rId784" xr:uid="{00000000-0004-0000-0000-00000F030000}"/>
    <hyperlink ref="I786" r:id="rId785" xr:uid="{00000000-0004-0000-0000-000010030000}"/>
    <hyperlink ref="I787" r:id="rId786" xr:uid="{00000000-0004-0000-0000-000011030000}"/>
    <hyperlink ref="I788" r:id="rId787" xr:uid="{00000000-0004-0000-0000-000012030000}"/>
    <hyperlink ref="I789" r:id="rId788" xr:uid="{00000000-0004-0000-0000-000013030000}"/>
    <hyperlink ref="I790" r:id="rId789" xr:uid="{00000000-0004-0000-0000-000014030000}"/>
    <hyperlink ref="I791" r:id="rId790" xr:uid="{00000000-0004-0000-0000-000015030000}"/>
    <hyperlink ref="I792" r:id="rId791" xr:uid="{00000000-0004-0000-0000-000016030000}"/>
    <hyperlink ref="I793" r:id="rId792" xr:uid="{00000000-0004-0000-0000-000017030000}"/>
    <hyperlink ref="I794" r:id="rId793" xr:uid="{00000000-0004-0000-0000-000018030000}"/>
    <hyperlink ref="I795" r:id="rId794" xr:uid="{00000000-0004-0000-0000-000019030000}"/>
    <hyperlink ref="I796" r:id="rId795" xr:uid="{00000000-0004-0000-0000-00001A030000}"/>
    <hyperlink ref="I797" r:id="rId796" xr:uid="{00000000-0004-0000-0000-00001B030000}"/>
    <hyperlink ref="I798" r:id="rId797" xr:uid="{00000000-0004-0000-0000-00001C030000}"/>
    <hyperlink ref="I799" r:id="rId798" xr:uid="{00000000-0004-0000-0000-00001D030000}"/>
    <hyperlink ref="I800" r:id="rId799" xr:uid="{00000000-0004-0000-0000-00001E030000}"/>
    <hyperlink ref="I801" r:id="rId800" xr:uid="{00000000-0004-0000-0000-00001F030000}"/>
    <hyperlink ref="I802" r:id="rId801" xr:uid="{00000000-0004-0000-0000-000020030000}"/>
    <hyperlink ref="I803" r:id="rId802" xr:uid="{00000000-0004-0000-0000-000021030000}"/>
    <hyperlink ref="I804" r:id="rId803" xr:uid="{00000000-0004-0000-0000-000022030000}"/>
    <hyperlink ref="I805" r:id="rId804" xr:uid="{00000000-0004-0000-0000-000023030000}"/>
    <hyperlink ref="I806" r:id="rId805" xr:uid="{00000000-0004-0000-0000-000024030000}"/>
    <hyperlink ref="I807" r:id="rId806" xr:uid="{00000000-0004-0000-0000-000025030000}"/>
    <hyperlink ref="I808" r:id="rId807" xr:uid="{00000000-0004-0000-0000-000026030000}"/>
    <hyperlink ref="I809" r:id="rId808" xr:uid="{00000000-0004-0000-0000-000027030000}"/>
    <hyperlink ref="I810" r:id="rId809" xr:uid="{00000000-0004-0000-0000-000028030000}"/>
    <hyperlink ref="I811" r:id="rId810" xr:uid="{00000000-0004-0000-0000-000029030000}"/>
    <hyperlink ref="I812" r:id="rId811" xr:uid="{00000000-0004-0000-0000-00002A030000}"/>
    <hyperlink ref="I813" r:id="rId812" xr:uid="{00000000-0004-0000-0000-00002B030000}"/>
    <hyperlink ref="I814" r:id="rId813" xr:uid="{00000000-0004-0000-0000-00002C030000}"/>
    <hyperlink ref="I815" r:id="rId814" xr:uid="{00000000-0004-0000-0000-00002D030000}"/>
    <hyperlink ref="I816" r:id="rId815" xr:uid="{00000000-0004-0000-0000-00002E030000}"/>
    <hyperlink ref="I817" r:id="rId816" xr:uid="{00000000-0004-0000-0000-00002F030000}"/>
    <hyperlink ref="I818" r:id="rId817" xr:uid="{00000000-0004-0000-0000-000030030000}"/>
    <hyperlink ref="I819" r:id="rId818" xr:uid="{00000000-0004-0000-0000-000031030000}"/>
    <hyperlink ref="I820" r:id="rId819" xr:uid="{00000000-0004-0000-0000-000032030000}"/>
    <hyperlink ref="I821" r:id="rId820" xr:uid="{00000000-0004-0000-0000-000033030000}"/>
    <hyperlink ref="I822" r:id="rId821" xr:uid="{00000000-0004-0000-0000-000034030000}"/>
    <hyperlink ref="I823" r:id="rId822" xr:uid="{00000000-0004-0000-0000-000035030000}"/>
    <hyperlink ref="I824" r:id="rId823" xr:uid="{00000000-0004-0000-0000-000036030000}"/>
    <hyperlink ref="I825" r:id="rId824" xr:uid="{00000000-0004-0000-0000-000037030000}"/>
    <hyperlink ref="I826" r:id="rId825" xr:uid="{00000000-0004-0000-0000-000038030000}"/>
    <hyperlink ref="I827" r:id="rId826" xr:uid="{00000000-0004-0000-0000-000039030000}"/>
    <hyperlink ref="I828" r:id="rId827" xr:uid="{00000000-0004-0000-0000-00003A030000}"/>
    <hyperlink ref="I829" r:id="rId828" xr:uid="{00000000-0004-0000-0000-00003B030000}"/>
    <hyperlink ref="I830" r:id="rId829" xr:uid="{00000000-0004-0000-0000-00003C030000}"/>
    <hyperlink ref="I831" r:id="rId830" xr:uid="{00000000-0004-0000-0000-00003D030000}"/>
    <hyperlink ref="I832" r:id="rId831" xr:uid="{00000000-0004-0000-0000-00003E030000}"/>
    <hyperlink ref="I833" r:id="rId832" xr:uid="{00000000-0004-0000-0000-00003F030000}"/>
    <hyperlink ref="I834" r:id="rId833" xr:uid="{00000000-0004-0000-0000-000040030000}"/>
    <hyperlink ref="I835" r:id="rId834" xr:uid="{00000000-0004-0000-0000-000041030000}"/>
    <hyperlink ref="I836" r:id="rId835" xr:uid="{00000000-0004-0000-0000-000042030000}"/>
    <hyperlink ref="I837" r:id="rId836" xr:uid="{00000000-0004-0000-0000-000043030000}"/>
    <hyperlink ref="I838" r:id="rId837" xr:uid="{00000000-0004-0000-0000-000044030000}"/>
    <hyperlink ref="I839" r:id="rId838" xr:uid="{00000000-0004-0000-0000-000045030000}"/>
    <hyperlink ref="I840" r:id="rId839" xr:uid="{00000000-0004-0000-0000-000046030000}"/>
    <hyperlink ref="I841" r:id="rId840" xr:uid="{00000000-0004-0000-0000-000047030000}"/>
    <hyperlink ref="I842" r:id="rId841" xr:uid="{00000000-0004-0000-0000-000048030000}"/>
    <hyperlink ref="I843" r:id="rId842" xr:uid="{00000000-0004-0000-0000-000049030000}"/>
    <hyperlink ref="I844" r:id="rId843" xr:uid="{00000000-0004-0000-0000-00004A030000}"/>
    <hyperlink ref="I845" r:id="rId844" xr:uid="{00000000-0004-0000-0000-00004B030000}"/>
    <hyperlink ref="I846" r:id="rId845" xr:uid="{00000000-0004-0000-0000-00004C030000}"/>
    <hyperlink ref="I847" r:id="rId846" xr:uid="{00000000-0004-0000-0000-00004D030000}"/>
    <hyperlink ref="I848" r:id="rId847" xr:uid="{00000000-0004-0000-0000-00004E030000}"/>
    <hyperlink ref="I849" r:id="rId848" xr:uid="{00000000-0004-0000-0000-00004F030000}"/>
    <hyperlink ref="I850" r:id="rId849" xr:uid="{00000000-0004-0000-0000-000050030000}"/>
    <hyperlink ref="I851" r:id="rId850" xr:uid="{00000000-0004-0000-0000-000051030000}"/>
    <hyperlink ref="I852" r:id="rId851" xr:uid="{00000000-0004-0000-0000-000052030000}"/>
    <hyperlink ref="I853" r:id="rId852" xr:uid="{00000000-0004-0000-0000-000053030000}"/>
    <hyperlink ref="I854" r:id="rId853" xr:uid="{00000000-0004-0000-0000-000054030000}"/>
    <hyperlink ref="I855" r:id="rId854" xr:uid="{00000000-0004-0000-0000-000055030000}"/>
    <hyperlink ref="I856" r:id="rId855" xr:uid="{00000000-0004-0000-0000-000056030000}"/>
    <hyperlink ref="I857" r:id="rId856" xr:uid="{00000000-0004-0000-0000-000057030000}"/>
    <hyperlink ref="I858" r:id="rId857" xr:uid="{00000000-0004-0000-0000-000058030000}"/>
    <hyperlink ref="I859" r:id="rId858" xr:uid="{00000000-0004-0000-0000-000059030000}"/>
    <hyperlink ref="I860" r:id="rId859" xr:uid="{00000000-0004-0000-0000-00005A030000}"/>
    <hyperlink ref="I861" r:id="rId860" xr:uid="{00000000-0004-0000-0000-00005B030000}"/>
    <hyperlink ref="I862" r:id="rId861" xr:uid="{00000000-0004-0000-0000-00005C030000}"/>
    <hyperlink ref="I863" r:id="rId862" xr:uid="{00000000-0004-0000-0000-00005D030000}"/>
    <hyperlink ref="I864" r:id="rId863" xr:uid="{00000000-0004-0000-0000-00005E030000}"/>
    <hyperlink ref="I865" r:id="rId864" xr:uid="{00000000-0004-0000-0000-00005F030000}"/>
    <hyperlink ref="I866" r:id="rId865" xr:uid="{00000000-0004-0000-0000-000060030000}"/>
    <hyperlink ref="I867" r:id="rId866" xr:uid="{00000000-0004-0000-0000-000061030000}"/>
    <hyperlink ref="I868" r:id="rId867" xr:uid="{00000000-0004-0000-0000-000062030000}"/>
    <hyperlink ref="I869" r:id="rId868" xr:uid="{00000000-0004-0000-0000-000063030000}"/>
    <hyperlink ref="I870" r:id="rId869" xr:uid="{00000000-0004-0000-0000-000064030000}"/>
    <hyperlink ref="I871" r:id="rId870" xr:uid="{00000000-0004-0000-0000-000065030000}"/>
    <hyperlink ref="I872" r:id="rId871" xr:uid="{00000000-0004-0000-0000-000066030000}"/>
    <hyperlink ref="I873" r:id="rId872" xr:uid="{00000000-0004-0000-0000-000067030000}"/>
    <hyperlink ref="I874" r:id="rId873" xr:uid="{00000000-0004-0000-0000-000068030000}"/>
    <hyperlink ref="I875" r:id="rId874" xr:uid="{00000000-0004-0000-0000-000069030000}"/>
    <hyperlink ref="I876" r:id="rId875" xr:uid="{00000000-0004-0000-0000-00006A030000}"/>
    <hyperlink ref="I877" r:id="rId876" xr:uid="{00000000-0004-0000-0000-00006B030000}"/>
    <hyperlink ref="I878" r:id="rId877" xr:uid="{00000000-0004-0000-0000-00006C030000}"/>
    <hyperlink ref="I879" r:id="rId878" xr:uid="{00000000-0004-0000-0000-00006D030000}"/>
    <hyperlink ref="I880" r:id="rId879" xr:uid="{00000000-0004-0000-0000-00006E030000}"/>
    <hyperlink ref="I881" r:id="rId880" xr:uid="{00000000-0004-0000-0000-00006F030000}"/>
    <hyperlink ref="I882" r:id="rId881" xr:uid="{00000000-0004-0000-0000-000070030000}"/>
    <hyperlink ref="I883" r:id="rId882" xr:uid="{00000000-0004-0000-0000-000071030000}"/>
    <hyperlink ref="I884" r:id="rId883" xr:uid="{00000000-0004-0000-0000-000072030000}"/>
    <hyperlink ref="I885" r:id="rId884" xr:uid="{00000000-0004-0000-0000-000073030000}"/>
    <hyperlink ref="I886" r:id="rId885" xr:uid="{00000000-0004-0000-0000-000074030000}"/>
    <hyperlink ref="I887" r:id="rId886" xr:uid="{00000000-0004-0000-0000-000075030000}"/>
    <hyperlink ref="I888" r:id="rId887" xr:uid="{00000000-0004-0000-0000-000076030000}"/>
    <hyperlink ref="I889" r:id="rId888" xr:uid="{00000000-0004-0000-0000-000077030000}"/>
    <hyperlink ref="I890" r:id="rId889" xr:uid="{00000000-0004-0000-0000-000078030000}"/>
    <hyperlink ref="I891" r:id="rId890" xr:uid="{00000000-0004-0000-0000-000079030000}"/>
    <hyperlink ref="I892" r:id="rId891" xr:uid="{00000000-0004-0000-0000-00007A030000}"/>
    <hyperlink ref="I893" r:id="rId892" xr:uid="{00000000-0004-0000-0000-00007B030000}"/>
    <hyperlink ref="I894" r:id="rId893" xr:uid="{00000000-0004-0000-0000-00007C030000}"/>
    <hyperlink ref="I895" r:id="rId894" xr:uid="{00000000-0004-0000-0000-00007D030000}"/>
    <hyperlink ref="I896" r:id="rId895" xr:uid="{00000000-0004-0000-0000-00007E030000}"/>
    <hyperlink ref="I897" r:id="rId896" xr:uid="{00000000-0004-0000-0000-00007F030000}"/>
    <hyperlink ref="I898" r:id="rId897" xr:uid="{00000000-0004-0000-0000-000080030000}"/>
    <hyperlink ref="I899" r:id="rId898" xr:uid="{00000000-0004-0000-0000-000081030000}"/>
    <hyperlink ref="I900" r:id="rId899" xr:uid="{00000000-0004-0000-0000-000082030000}"/>
    <hyperlink ref="I901" r:id="rId900" xr:uid="{00000000-0004-0000-0000-000083030000}"/>
    <hyperlink ref="I902" r:id="rId901" xr:uid="{00000000-0004-0000-0000-000084030000}"/>
    <hyperlink ref="I903" r:id="rId902" xr:uid="{00000000-0004-0000-0000-000085030000}"/>
    <hyperlink ref="I904" r:id="rId903" xr:uid="{00000000-0004-0000-0000-000086030000}"/>
    <hyperlink ref="I905" r:id="rId904" xr:uid="{00000000-0004-0000-0000-000087030000}"/>
    <hyperlink ref="I906" r:id="rId905" xr:uid="{00000000-0004-0000-0000-000088030000}"/>
    <hyperlink ref="I907" r:id="rId906" xr:uid="{00000000-0004-0000-0000-000089030000}"/>
    <hyperlink ref="I908" r:id="rId907" xr:uid="{00000000-0004-0000-0000-00008A030000}"/>
    <hyperlink ref="I909" r:id="rId908" xr:uid="{00000000-0004-0000-0000-00008B030000}"/>
    <hyperlink ref="I910" r:id="rId909" xr:uid="{00000000-0004-0000-0000-00008C030000}"/>
    <hyperlink ref="I911" r:id="rId910" xr:uid="{00000000-0004-0000-0000-00008D030000}"/>
    <hyperlink ref="I912" r:id="rId911" xr:uid="{00000000-0004-0000-0000-00008E030000}"/>
    <hyperlink ref="I913" r:id="rId912" xr:uid="{00000000-0004-0000-0000-00008F030000}"/>
    <hyperlink ref="I914" r:id="rId913" xr:uid="{00000000-0004-0000-0000-000090030000}"/>
    <hyperlink ref="I915" r:id="rId914" xr:uid="{00000000-0004-0000-0000-000091030000}"/>
    <hyperlink ref="I916" r:id="rId915" xr:uid="{00000000-0004-0000-0000-000092030000}"/>
    <hyperlink ref="I917" r:id="rId916" xr:uid="{00000000-0004-0000-0000-000093030000}"/>
    <hyperlink ref="I918" r:id="rId917" xr:uid="{00000000-0004-0000-0000-000094030000}"/>
    <hyperlink ref="I919" r:id="rId918" xr:uid="{00000000-0004-0000-0000-000095030000}"/>
    <hyperlink ref="I920" r:id="rId919" xr:uid="{00000000-0004-0000-0000-000096030000}"/>
    <hyperlink ref="I921" r:id="rId920" xr:uid="{00000000-0004-0000-0000-000097030000}"/>
    <hyperlink ref="I922" r:id="rId921" xr:uid="{00000000-0004-0000-0000-000098030000}"/>
    <hyperlink ref="I923" r:id="rId922" xr:uid="{00000000-0004-0000-0000-000099030000}"/>
    <hyperlink ref="I924" r:id="rId923" xr:uid="{00000000-0004-0000-0000-00009A030000}"/>
    <hyperlink ref="I925" r:id="rId924" xr:uid="{00000000-0004-0000-0000-00009B030000}"/>
    <hyperlink ref="I926" r:id="rId925" xr:uid="{00000000-0004-0000-0000-00009C030000}"/>
    <hyperlink ref="I927" r:id="rId926" xr:uid="{00000000-0004-0000-0000-00009D030000}"/>
    <hyperlink ref="I928" r:id="rId927" xr:uid="{00000000-0004-0000-0000-00009E030000}"/>
    <hyperlink ref="I929" r:id="rId928" xr:uid="{00000000-0004-0000-0000-00009F030000}"/>
    <hyperlink ref="I930" r:id="rId929" xr:uid="{00000000-0004-0000-0000-0000A0030000}"/>
    <hyperlink ref="I931" r:id="rId930" xr:uid="{00000000-0004-0000-0000-0000A1030000}"/>
    <hyperlink ref="I932" r:id="rId931" xr:uid="{00000000-0004-0000-0000-0000A2030000}"/>
    <hyperlink ref="I933" r:id="rId932" xr:uid="{00000000-0004-0000-0000-0000A3030000}"/>
    <hyperlink ref="I934" r:id="rId933" xr:uid="{00000000-0004-0000-0000-0000A4030000}"/>
    <hyperlink ref="I935" r:id="rId934" xr:uid="{00000000-0004-0000-0000-0000A5030000}"/>
    <hyperlink ref="I936" r:id="rId935" xr:uid="{00000000-0004-0000-0000-0000A6030000}"/>
    <hyperlink ref="I937" r:id="rId936" xr:uid="{00000000-0004-0000-0000-0000A7030000}"/>
    <hyperlink ref="I938" r:id="rId937" xr:uid="{00000000-0004-0000-0000-0000A8030000}"/>
    <hyperlink ref="I939" r:id="rId938" xr:uid="{00000000-0004-0000-0000-0000A9030000}"/>
    <hyperlink ref="I940" r:id="rId939" xr:uid="{00000000-0004-0000-0000-0000AA030000}"/>
    <hyperlink ref="I941" r:id="rId940" xr:uid="{00000000-0004-0000-0000-0000AB030000}"/>
    <hyperlink ref="I942" r:id="rId941" xr:uid="{00000000-0004-0000-0000-0000AC030000}"/>
    <hyperlink ref="I943" r:id="rId942" xr:uid="{00000000-0004-0000-0000-0000AD030000}"/>
    <hyperlink ref="I944" r:id="rId943" xr:uid="{00000000-0004-0000-0000-0000AE030000}"/>
    <hyperlink ref="I945" r:id="rId944" xr:uid="{00000000-0004-0000-0000-0000AF030000}"/>
    <hyperlink ref="I946" r:id="rId945" xr:uid="{00000000-0004-0000-0000-0000B0030000}"/>
    <hyperlink ref="I947" r:id="rId946" xr:uid="{00000000-0004-0000-0000-0000B1030000}"/>
    <hyperlink ref="I948" r:id="rId947" xr:uid="{00000000-0004-0000-0000-0000B2030000}"/>
    <hyperlink ref="I949" r:id="rId948" xr:uid="{00000000-0004-0000-0000-0000B3030000}"/>
    <hyperlink ref="I950" r:id="rId949" xr:uid="{00000000-0004-0000-0000-0000B4030000}"/>
    <hyperlink ref="I951" r:id="rId950" xr:uid="{00000000-0004-0000-0000-0000B5030000}"/>
    <hyperlink ref="I952" r:id="rId951" xr:uid="{00000000-0004-0000-0000-0000B6030000}"/>
    <hyperlink ref="I953" r:id="rId952" xr:uid="{00000000-0004-0000-0000-0000B7030000}"/>
    <hyperlink ref="I954" r:id="rId953" xr:uid="{00000000-0004-0000-0000-0000B8030000}"/>
    <hyperlink ref="I955" r:id="rId954" xr:uid="{00000000-0004-0000-0000-0000B9030000}"/>
    <hyperlink ref="I956" r:id="rId955" xr:uid="{00000000-0004-0000-0000-0000BA030000}"/>
    <hyperlink ref="I957" r:id="rId956" xr:uid="{00000000-0004-0000-0000-0000BB030000}"/>
    <hyperlink ref="I958" r:id="rId957" xr:uid="{00000000-0004-0000-0000-0000BC030000}"/>
    <hyperlink ref="I959" r:id="rId958" xr:uid="{00000000-0004-0000-0000-0000BD030000}"/>
    <hyperlink ref="I960" r:id="rId959" xr:uid="{00000000-0004-0000-0000-0000BE030000}"/>
    <hyperlink ref="I961" r:id="rId960" xr:uid="{00000000-0004-0000-0000-0000BF030000}"/>
    <hyperlink ref="I962" r:id="rId961" xr:uid="{00000000-0004-0000-0000-0000C0030000}"/>
    <hyperlink ref="I963" r:id="rId962" xr:uid="{00000000-0004-0000-0000-0000C1030000}"/>
    <hyperlink ref="I964" r:id="rId963" xr:uid="{00000000-0004-0000-0000-0000C2030000}"/>
    <hyperlink ref="I965" r:id="rId964" xr:uid="{00000000-0004-0000-0000-0000C3030000}"/>
    <hyperlink ref="I966" r:id="rId965" xr:uid="{00000000-0004-0000-0000-0000C4030000}"/>
    <hyperlink ref="I967" r:id="rId966" xr:uid="{00000000-0004-0000-0000-0000C5030000}"/>
    <hyperlink ref="I968" r:id="rId967" xr:uid="{00000000-0004-0000-0000-0000C6030000}"/>
    <hyperlink ref="I969" r:id="rId968" xr:uid="{00000000-0004-0000-0000-0000C7030000}"/>
    <hyperlink ref="I970" r:id="rId969" xr:uid="{00000000-0004-0000-0000-0000C8030000}"/>
    <hyperlink ref="I971" r:id="rId970" xr:uid="{00000000-0004-0000-0000-0000C9030000}"/>
    <hyperlink ref="I972" r:id="rId971" xr:uid="{00000000-0004-0000-0000-0000CA030000}"/>
    <hyperlink ref="I973" r:id="rId972" xr:uid="{00000000-0004-0000-0000-0000CB030000}"/>
    <hyperlink ref="I974" r:id="rId973" xr:uid="{00000000-0004-0000-0000-0000CC030000}"/>
    <hyperlink ref="I975" r:id="rId974" xr:uid="{00000000-0004-0000-0000-0000CD030000}"/>
    <hyperlink ref="I976" r:id="rId975" xr:uid="{00000000-0004-0000-0000-0000CE030000}"/>
    <hyperlink ref="I977" r:id="rId976" xr:uid="{00000000-0004-0000-0000-0000CF030000}"/>
    <hyperlink ref="I978" r:id="rId977" xr:uid="{00000000-0004-0000-0000-0000D0030000}"/>
    <hyperlink ref="I979" r:id="rId978" xr:uid="{00000000-0004-0000-0000-0000D1030000}"/>
    <hyperlink ref="I980" r:id="rId979" xr:uid="{00000000-0004-0000-0000-0000D2030000}"/>
    <hyperlink ref="I981" r:id="rId980" xr:uid="{00000000-0004-0000-0000-0000D3030000}"/>
    <hyperlink ref="I982" r:id="rId981" xr:uid="{00000000-0004-0000-0000-0000D4030000}"/>
    <hyperlink ref="I983" r:id="rId982" xr:uid="{00000000-0004-0000-0000-0000D5030000}"/>
    <hyperlink ref="I984" r:id="rId983" xr:uid="{00000000-0004-0000-0000-0000D6030000}"/>
    <hyperlink ref="I985" r:id="rId984" xr:uid="{00000000-0004-0000-0000-0000D7030000}"/>
    <hyperlink ref="I986" r:id="rId985" xr:uid="{00000000-0004-0000-0000-0000D8030000}"/>
    <hyperlink ref="I987" r:id="rId986" xr:uid="{00000000-0004-0000-0000-0000D9030000}"/>
    <hyperlink ref="I988" r:id="rId987" xr:uid="{00000000-0004-0000-0000-0000DA030000}"/>
    <hyperlink ref="I989" r:id="rId988" xr:uid="{00000000-0004-0000-0000-0000DB030000}"/>
    <hyperlink ref="I990" r:id="rId989" xr:uid="{00000000-0004-0000-0000-0000DC030000}"/>
    <hyperlink ref="I991" r:id="rId990" xr:uid="{00000000-0004-0000-0000-0000DD030000}"/>
    <hyperlink ref="I992" r:id="rId991" xr:uid="{00000000-0004-0000-0000-0000DE030000}"/>
    <hyperlink ref="I993" r:id="rId992" xr:uid="{00000000-0004-0000-0000-0000DF030000}"/>
    <hyperlink ref="I994" r:id="rId993" xr:uid="{00000000-0004-0000-0000-0000E0030000}"/>
    <hyperlink ref="I995" r:id="rId994" xr:uid="{00000000-0004-0000-0000-0000E1030000}"/>
    <hyperlink ref="I996" r:id="rId995" xr:uid="{00000000-0004-0000-0000-0000E2030000}"/>
    <hyperlink ref="I997" r:id="rId996" xr:uid="{00000000-0004-0000-0000-0000E3030000}"/>
    <hyperlink ref="I998" r:id="rId997" xr:uid="{00000000-0004-0000-0000-0000E4030000}"/>
    <hyperlink ref="I999" r:id="rId998" xr:uid="{00000000-0004-0000-0000-0000E5030000}"/>
    <hyperlink ref="I1000" r:id="rId999" xr:uid="{00000000-0004-0000-0000-0000E6030000}"/>
    <hyperlink ref="I1001" r:id="rId1000" xr:uid="{00000000-0004-0000-0000-0000E7030000}"/>
    <hyperlink ref="I1002" r:id="rId1001" xr:uid="{00000000-0004-0000-0000-0000E8030000}"/>
    <hyperlink ref="I1003" r:id="rId1002" xr:uid="{00000000-0004-0000-0000-0000E9030000}"/>
    <hyperlink ref="I1004" r:id="rId1003" xr:uid="{00000000-0004-0000-0000-0000EA030000}"/>
    <hyperlink ref="I1005" r:id="rId1004" xr:uid="{00000000-0004-0000-0000-0000EB030000}"/>
    <hyperlink ref="I1006" r:id="rId1005" xr:uid="{00000000-0004-0000-0000-0000EC030000}"/>
    <hyperlink ref="I1007" r:id="rId1006" xr:uid="{00000000-0004-0000-0000-0000ED030000}"/>
    <hyperlink ref="I1008" r:id="rId1007" xr:uid="{00000000-0004-0000-0000-0000EE030000}"/>
    <hyperlink ref="I1009" r:id="rId1008" xr:uid="{00000000-0004-0000-0000-0000EF030000}"/>
    <hyperlink ref="I1010" r:id="rId1009" xr:uid="{00000000-0004-0000-0000-0000F0030000}"/>
    <hyperlink ref="I1011" r:id="rId1010" xr:uid="{00000000-0004-0000-0000-0000F1030000}"/>
    <hyperlink ref="I1012" r:id="rId1011" xr:uid="{00000000-0004-0000-0000-0000F2030000}"/>
    <hyperlink ref="I1013" r:id="rId1012" xr:uid="{00000000-0004-0000-0000-0000F3030000}"/>
    <hyperlink ref="I1014" r:id="rId1013" xr:uid="{00000000-0004-0000-0000-0000F4030000}"/>
    <hyperlink ref="I1015" r:id="rId1014" xr:uid="{00000000-0004-0000-0000-0000F5030000}"/>
    <hyperlink ref="I1016" r:id="rId1015" xr:uid="{00000000-0004-0000-0000-0000F6030000}"/>
    <hyperlink ref="I1017" r:id="rId1016" xr:uid="{00000000-0004-0000-0000-0000F7030000}"/>
    <hyperlink ref="I1018" r:id="rId1017" xr:uid="{00000000-0004-0000-0000-0000F8030000}"/>
    <hyperlink ref="I1019" r:id="rId1018" xr:uid="{00000000-0004-0000-0000-0000F9030000}"/>
    <hyperlink ref="I1020" r:id="rId1019" xr:uid="{00000000-0004-0000-0000-0000FA030000}"/>
    <hyperlink ref="I1021" r:id="rId1020" xr:uid="{00000000-0004-0000-0000-0000FB030000}"/>
    <hyperlink ref="I1022" r:id="rId1021" xr:uid="{00000000-0004-0000-0000-0000FC030000}"/>
    <hyperlink ref="I1023" r:id="rId1022" xr:uid="{00000000-0004-0000-0000-0000FD030000}"/>
    <hyperlink ref="I1024" r:id="rId1023" xr:uid="{00000000-0004-0000-0000-0000FE030000}"/>
    <hyperlink ref="I1025" r:id="rId1024" xr:uid="{00000000-0004-0000-0000-0000FF030000}"/>
    <hyperlink ref="I1026" r:id="rId1025" xr:uid="{00000000-0004-0000-0000-000000040000}"/>
    <hyperlink ref="I1027" r:id="rId1026" xr:uid="{00000000-0004-0000-0000-000001040000}"/>
    <hyperlink ref="I1028" r:id="rId1027" xr:uid="{00000000-0004-0000-0000-000002040000}"/>
    <hyperlink ref="I1029" r:id="rId1028" xr:uid="{00000000-0004-0000-0000-000003040000}"/>
    <hyperlink ref="I1030" r:id="rId1029" xr:uid="{00000000-0004-0000-0000-000004040000}"/>
    <hyperlink ref="I1031" r:id="rId1030" xr:uid="{00000000-0004-0000-0000-000005040000}"/>
    <hyperlink ref="I1032" r:id="rId1031" xr:uid="{00000000-0004-0000-0000-000006040000}"/>
    <hyperlink ref="I1033" r:id="rId1032" xr:uid="{00000000-0004-0000-0000-000007040000}"/>
    <hyperlink ref="I1034" r:id="rId1033" xr:uid="{00000000-0004-0000-0000-000008040000}"/>
    <hyperlink ref="I1035" r:id="rId1034" xr:uid="{00000000-0004-0000-0000-000009040000}"/>
    <hyperlink ref="I1036" r:id="rId1035" xr:uid="{00000000-0004-0000-0000-00000A040000}"/>
    <hyperlink ref="I1037" r:id="rId1036" xr:uid="{00000000-0004-0000-0000-00000B040000}"/>
    <hyperlink ref="I1038" r:id="rId1037" xr:uid="{00000000-0004-0000-0000-00000C040000}"/>
    <hyperlink ref="I1039" r:id="rId1038" xr:uid="{00000000-0004-0000-0000-00000D040000}"/>
    <hyperlink ref="I1040" r:id="rId1039" xr:uid="{00000000-0004-0000-0000-00000E040000}"/>
    <hyperlink ref="I1041" r:id="rId1040" xr:uid="{00000000-0004-0000-0000-00000F040000}"/>
    <hyperlink ref="I1042" r:id="rId1041" xr:uid="{00000000-0004-0000-0000-000010040000}"/>
    <hyperlink ref="I1043" r:id="rId1042" xr:uid="{00000000-0004-0000-0000-000011040000}"/>
    <hyperlink ref="I1044" r:id="rId1043" xr:uid="{00000000-0004-0000-0000-000012040000}"/>
    <hyperlink ref="I1045" r:id="rId1044" xr:uid="{00000000-0004-0000-0000-000013040000}"/>
    <hyperlink ref="I1046" r:id="rId1045" xr:uid="{00000000-0004-0000-0000-000014040000}"/>
    <hyperlink ref="I1047" r:id="rId1046" xr:uid="{00000000-0004-0000-0000-000015040000}"/>
    <hyperlink ref="I1048" r:id="rId1047" xr:uid="{00000000-0004-0000-0000-000016040000}"/>
    <hyperlink ref="I1049" r:id="rId1048" xr:uid="{00000000-0004-0000-0000-000017040000}"/>
    <hyperlink ref="I1050" r:id="rId1049" xr:uid="{00000000-0004-0000-0000-000018040000}"/>
    <hyperlink ref="I1051" r:id="rId1050" xr:uid="{00000000-0004-0000-0000-000019040000}"/>
    <hyperlink ref="I1052" r:id="rId1051" xr:uid="{00000000-0004-0000-0000-00001A040000}"/>
    <hyperlink ref="I1053" r:id="rId1052" xr:uid="{00000000-0004-0000-0000-00001B040000}"/>
    <hyperlink ref="I1054" r:id="rId1053" xr:uid="{00000000-0004-0000-0000-00001C040000}"/>
    <hyperlink ref="I1055" r:id="rId1054" xr:uid="{00000000-0004-0000-0000-00001D040000}"/>
    <hyperlink ref="I1056" r:id="rId1055" xr:uid="{00000000-0004-0000-0000-00001E040000}"/>
    <hyperlink ref="I1057" r:id="rId1056" xr:uid="{00000000-0004-0000-0000-00001F040000}"/>
    <hyperlink ref="I1058" r:id="rId1057" xr:uid="{00000000-0004-0000-0000-000020040000}"/>
    <hyperlink ref="I1059" r:id="rId1058" xr:uid="{00000000-0004-0000-0000-000021040000}"/>
    <hyperlink ref="I1060" r:id="rId1059" xr:uid="{00000000-0004-0000-0000-000022040000}"/>
    <hyperlink ref="I1061" r:id="rId1060" xr:uid="{00000000-0004-0000-0000-000023040000}"/>
    <hyperlink ref="I1062" r:id="rId1061" xr:uid="{00000000-0004-0000-0000-000024040000}"/>
    <hyperlink ref="I1063" r:id="rId1062" xr:uid="{00000000-0004-0000-0000-000025040000}"/>
    <hyperlink ref="I1064" r:id="rId1063" xr:uid="{00000000-0004-0000-0000-000026040000}"/>
    <hyperlink ref="I1065" r:id="rId1064" xr:uid="{00000000-0004-0000-0000-000027040000}"/>
    <hyperlink ref="I1066" r:id="rId1065" xr:uid="{00000000-0004-0000-0000-000028040000}"/>
    <hyperlink ref="I1067" r:id="rId1066" xr:uid="{00000000-0004-0000-0000-000029040000}"/>
    <hyperlink ref="I1068" r:id="rId1067" xr:uid="{00000000-0004-0000-0000-00002A040000}"/>
    <hyperlink ref="I1069" r:id="rId1068" xr:uid="{00000000-0004-0000-0000-00002B040000}"/>
    <hyperlink ref="I1070" r:id="rId1069" xr:uid="{00000000-0004-0000-0000-00002C040000}"/>
    <hyperlink ref="I1071" r:id="rId1070" xr:uid="{00000000-0004-0000-0000-00002D040000}"/>
    <hyperlink ref="I1072" r:id="rId1071" xr:uid="{00000000-0004-0000-0000-00002E040000}"/>
    <hyperlink ref="I1073" r:id="rId1072" xr:uid="{00000000-0004-0000-0000-00002F040000}"/>
    <hyperlink ref="I1074" r:id="rId1073" xr:uid="{00000000-0004-0000-0000-000030040000}"/>
    <hyperlink ref="I1075" r:id="rId1074" xr:uid="{00000000-0004-0000-0000-000031040000}"/>
    <hyperlink ref="I1076" r:id="rId1075" xr:uid="{00000000-0004-0000-0000-000032040000}"/>
    <hyperlink ref="I1077" r:id="rId1076" xr:uid="{00000000-0004-0000-0000-000033040000}"/>
    <hyperlink ref="I1078" r:id="rId1077" xr:uid="{00000000-0004-0000-0000-000034040000}"/>
    <hyperlink ref="I1079" r:id="rId1078" xr:uid="{00000000-0004-0000-0000-000035040000}"/>
    <hyperlink ref="I1080" r:id="rId1079" xr:uid="{00000000-0004-0000-0000-000036040000}"/>
    <hyperlink ref="I1081" r:id="rId1080" xr:uid="{00000000-0004-0000-0000-000037040000}"/>
    <hyperlink ref="I1082" r:id="rId1081" xr:uid="{00000000-0004-0000-0000-000038040000}"/>
    <hyperlink ref="I1083" r:id="rId1082" xr:uid="{00000000-0004-0000-0000-000039040000}"/>
    <hyperlink ref="I1084" r:id="rId1083" xr:uid="{00000000-0004-0000-0000-00003A040000}"/>
    <hyperlink ref="I1085" r:id="rId1084" xr:uid="{00000000-0004-0000-0000-00003B040000}"/>
    <hyperlink ref="I1086" r:id="rId1085" xr:uid="{00000000-0004-0000-0000-00003C040000}"/>
    <hyperlink ref="I1087" r:id="rId1086" xr:uid="{00000000-0004-0000-0000-00003D040000}"/>
    <hyperlink ref="I1088" r:id="rId1087" xr:uid="{00000000-0004-0000-0000-00003E040000}"/>
    <hyperlink ref="I1089" r:id="rId1088" xr:uid="{00000000-0004-0000-0000-00003F040000}"/>
    <hyperlink ref="I1090" r:id="rId1089" xr:uid="{00000000-0004-0000-0000-000040040000}"/>
    <hyperlink ref="I1091" r:id="rId1090" xr:uid="{00000000-0004-0000-0000-000041040000}"/>
    <hyperlink ref="I1092" r:id="rId1091" xr:uid="{00000000-0004-0000-0000-000042040000}"/>
    <hyperlink ref="I1093" r:id="rId1092" xr:uid="{00000000-0004-0000-0000-000043040000}"/>
    <hyperlink ref="I1094" r:id="rId1093" xr:uid="{00000000-0004-0000-0000-000044040000}"/>
    <hyperlink ref="I1095" r:id="rId1094" xr:uid="{00000000-0004-0000-0000-000045040000}"/>
    <hyperlink ref="I1096" r:id="rId1095" xr:uid="{00000000-0004-0000-0000-000046040000}"/>
    <hyperlink ref="I1097" r:id="rId1096" xr:uid="{00000000-0004-0000-0000-000047040000}"/>
    <hyperlink ref="I1098" r:id="rId1097" xr:uid="{00000000-0004-0000-0000-000048040000}"/>
    <hyperlink ref="I1099" r:id="rId1098" xr:uid="{00000000-0004-0000-0000-000049040000}"/>
    <hyperlink ref="I1100" r:id="rId1099" xr:uid="{00000000-0004-0000-0000-00004A040000}"/>
    <hyperlink ref="I1101" r:id="rId1100" xr:uid="{00000000-0004-0000-0000-00004B040000}"/>
    <hyperlink ref="I1102" r:id="rId1101" xr:uid="{00000000-0004-0000-0000-00004C040000}"/>
    <hyperlink ref="I1103" r:id="rId1102" xr:uid="{00000000-0004-0000-0000-00004D040000}"/>
    <hyperlink ref="I1104" r:id="rId1103" xr:uid="{00000000-0004-0000-0000-00004E040000}"/>
    <hyperlink ref="I1105" r:id="rId1104" xr:uid="{00000000-0004-0000-0000-00004F040000}"/>
    <hyperlink ref="I1106" r:id="rId1105" xr:uid="{00000000-0004-0000-0000-000050040000}"/>
    <hyperlink ref="I1107" r:id="rId1106" xr:uid="{00000000-0004-0000-0000-000051040000}"/>
    <hyperlink ref="I1108" r:id="rId1107" xr:uid="{00000000-0004-0000-0000-000052040000}"/>
    <hyperlink ref="I1109" r:id="rId1108" xr:uid="{00000000-0004-0000-0000-000053040000}"/>
    <hyperlink ref="I1110" r:id="rId1109" xr:uid="{00000000-0004-0000-0000-000054040000}"/>
    <hyperlink ref="I1111" r:id="rId1110" xr:uid="{00000000-0004-0000-0000-000055040000}"/>
    <hyperlink ref="I1112" r:id="rId1111" xr:uid="{00000000-0004-0000-0000-000056040000}"/>
    <hyperlink ref="I1113" r:id="rId1112" xr:uid="{00000000-0004-0000-0000-000057040000}"/>
    <hyperlink ref="I1114" r:id="rId1113" xr:uid="{00000000-0004-0000-0000-000058040000}"/>
    <hyperlink ref="I1115" r:id="rId1114" xr:uid="{00000000-0004-0000-0000-000059040000}"/>
    <hyperlink ref="I1116" r:id="rId1115" xr:uid="{00000000-0004-0000-0000-00005A040000}"/>
    <hyperlink ref="I1117" r:id="rId1116" xr:uid="{00000000-0004-0000-0000-00005B040000}"/>
    <hyperlink ref="I1118" r:id="rId1117" xr:uid="{00000000-0004-0000-0000-00005C040000}"/>
    <hyperlink ref="I1119" r:id="rId1118" xr:uid="{00000000-0004-0000-0000-00005D040000}"/>
    <hyperlink ref="I1120" r:id="rId1119" xr:uid="{00000000-0004-0000-0000-00005E040000}"/>
    <hyperlink ref="I1121" r:id="rId1120" xr:uid="{00000000-0004-0000-0000-00005F040000}"/>
    <hyperlink ref="I1122" r:id="rId1121" xr:uid="{00000000-0004-0000-0000-000060040000}"/>
    <hyperlink ref="I1123" r:id="rId1122" xr:uid="{00000000-0004-0000-0000-000061040000}"/>
    <hyperlink ref="I1124" r:id="rId1123" xr:uid="{00000000-0004-0000-0000-000062040000}"/>
    <hyperlink ref="I1125" r:id="rId1124" xr:uid="{00000000-0004-0000-0000-000063040000}"/>
    <hyperlink ref="I1126" r:id="rId1125" xr:uid="{00000000-0004-0000-0000-000064040000}"/>
    <hyperlink ref="I1127" r:id="rId1126" xr:uid="{00000000-0004-0000-0000-000065040000}"/>
    <hyperlink ref="I1128" r:id="rId1127" xr:uid="{00000000-0004-0000-0000-000066040000}"/>
    <hyperlink ref="I1129" r:id="rId1128" xr:uid="{00000000-0004-0000-0000-000067040000}"/>
    <hyperlink ref="I1130" r:id="rId1129" xr:uid="{00000000-0004-0000-0000-000068040000}"/>
    <hyperlink ref="I1131" r:id="rId1130" xr:uid="{00000000-0004-0000-0000-000069040000}"/>
    <hyperlink ref="I1132" r:id="rId1131" xr:uid="{00000000-0004-0000-0000-00006A040000}"/>
    <hyperlink ref="I1133" r:id="rId1132" xr:uid="{00000000-0004-0000-0000-00006B040000}"/>
    <hyperlink ref="I1134" r:id="rId1133" xr:uid="{00000000-0004-0000-0000-00006C040000}"/>
    <hyperlink ref="I1135" r:id="rId1134" xr:uid="{00000000-0004-0000-0000-00006D040000}"/>
    <hyperlink ref="I1136" r:id="rId1135" xr:uid="{00000000-0004-0000-0000-00006E040000}"/>
    <hyperlink ref="I1137" r:id="rId1136" xr:uid="{00000000-0004-0000-0000-00006F040000}"/>
    <hyperlink ref="I1138" r:id="rId1137" xr:uid="{00000000-0004-0000-0000-000070040000}"/>
    <hyperlink ref="I1139" r:id="rId1138" xr:uid="{00000000-0004-0000-0000-000071040000}"/>
    <hyperlink ref="I1140" r:id="rId1139" xr:uid="{00000000-0004-0000-0000-000072040000}"/>
    <hyperlink ref="I1141" r:id="rId1140" xr:uid="{00000000-0004-0000-0000-000073040000}"/>
    <hyperlink ref="I1142" r:id="rId1141" xr:uid="{00000000-0004-0000-0000-000074040000}"/>
    <hyperlink ref="I1143" r:id="rId1142" xr:uid="{00000000-0004-0000-0000-000075040000}"/>
    <hyperlink ref="I1144" r:id="rId1143" xr:uid="{00000000-0004-0000-0000-000076040000}"/>
    <hyperlink ref="I1145" r:id="rId1144" xr:uid="{00000000-0004-0000-0000-000077040000}"/>
    <hyperlink ref="I1146" r:id="rId1145" xr:uid="{00000000-0004-0000-0000-000078040000}"/>
    <hyperlink ref="I1147" r:id="rId1146" xr:uid="{00000000-0004-0000-0000-000079040000}"/>
    <hyperlink ref="I1148" r:id="rId1147" xr:uid="{00000000-0004-0000-0000-00007A040000}"/>
    <hyperlink ref="I1149" r:id="rId1148" xr:uid="{00000000-0004-0000-0000-00007B040000}"/>
    <hyperlink ref="I1150" r:id="rId1149" xr:uid="{00000000-0004-0000-0000-00007C040000}"/>
    <hyperlink ref="I1151" r:id="rId1150" xr:uid="{00000000-0004-0000-0000-00007D040000}"/>
    <hyperlink ref="I1152" r:id="rId1151" xr:uid="{00000000-0004-0000-0000-00007E040000}"/>
    <hyperlink ref="I1153" r:id="rId1152" xr:uid="{00000000-0004-0000-0000-00007F040000}"/>
    <hyperlink ref="I1154" r:id="rId1153" xr:uid="{00000000-0004-0000-0000-000080040000}"/>
    <hyperlink ref="I1155" r:id="rId1154" xr:uid="{00000000-0004-0000-0000-000081040000}"/>
    <hyperlink ref="I1156" r:id="rId1155" xr:uid="{00000000-0004-0000-0000-000082040000}"/>
    <hyperlink ref="I1157" r:id="rId1156" xr:uid="{00000000-0004-0000-0000-000083040000}"/>
    <hyperlink ref="I1158" r:id="rId1157" xr:uid="{00000000-0004-0000-0000-000084040000}"/>
    <hyperlink ref="I1159" r:id="rId1158" xr:uid="{00000000-0004-0000-0000-000085040000}"/>
    <hyperlink ref="I1160" r:id="rId1159" xr:uid="{00000000-0004-0000-0000-000086040000}"/>
    <hyperlink ref="I1161" r:id="rId1160" xr:uid="{00000000-0004-0000-0000-000087040000}"/>
    <hyperlink ref="I1162" r:id="rId1161" xr:uid="{00000000-0004-0000-0000-000088040000}"/>
    <hyperlink ref="I1163" r:id="rId1162" xr:uid="{00000000-0004-0000-0000-000089040000}"/>
    <hyperlink ref="I1164" r:id="rId1163" xr:uid="{00000000-0004-0000-0000-00008A040000}"/>
    <hyperlink ref="I1165" r:id="rId1164" xr:uid="{00000000-0004-0000-0000-00008B040000}"/>
    <hyperlink ref="I1166" r:id="rId1165" xr:uid="{00000000-0004-0000-0000-00008C040000}"/>
    <hyperlink ref="I1167" r:id="rId1166" xr:uid="{00000000-0004-0000-0000-00008D040000}"/>
    <hyperlink ref="I1168" r:id="rId1167" xr:uid="{00000000-0004-0000-0000-00008E040000}"/>
    <hyperlink ref="I1169" r:id="rId1168" xr:uid="{00000000-0004-0000-0000-00008F040000}"/>
    <hyperlink ref="I1170" r:id="rId1169" xr:uid="{00000000-0004-0000-0000-000090040000}"/>
    <hyperlink ref="I1171" r:id="rId1170" xr:uid="{00000000-0004-0000-0000-000091040000}"/>
    <hyperlink ref="I1172" r:id="rId1171" xr:uid="{00000000-0004-0000-0000-000092040000}"/>
    <hyperlink ref="I1173" r:id="rId1172" xr:uid="{00000000-0004-0000-0000-000093040000}"/>
    <hyperlink ref="I1174" r:id="rId1173" xr:uid="{00000000-0004-0000-0000-000094040000}"/>
    <hyperlink ref="I1175" r:id="rId1174" xr:uid="{00000000-0004-0000-0000-000095040000}"/>
    <hyperlink ref="I1176" r:id="rId1175" xr:uid="{00000000-0004-0000-0000-000096040000}"/>
    <hyperlink ref="I1177" r:id="rId1176" xr:uid="{00000000-0004-0000-0000-000097040000}"/>
    <hyperlink ref="I1178" r:id="rId1177" xr:uid="{00000000-0004-0000-0000-000098040000}"/>
    <hyperlink ref="I1179" r:id="rId1178" xr:uid="{00000000-0004-0000-0000-000099040000}"/>
    <hyperlink ref="I1180" r:id="rId1179" xr:uid="{00000000-0004-0000-0000-00009A040000}"/>
    <hyperlink ref="I1181" r:id="rId1180" xr:uid="{00000000-0004-0000-0000-00009B040000}"/>
    <hyperlink ref="I1182" r:id="rId1181" xr:uid="{00000000-0004-0000-0000-00009C040000}"/>
    <hyperlink ref="I1183" r:id="rId1182" xr:uid="{00000000-0004-0000-0000-00009D040000}"/>
    <hyperlink ref="I1184" r:id="rId1183" xr:uid="{00000000-0004-0000-0000-00009E040000}"/>
    <hyperlink ref="I1185" r:id="rId1184" xr:uid="{00000000-0004-0000-0000-00009F040000}"/>
    <hyperlink ref="I1186" r:id="rId1185" xr:uid="{00000000-0004-0000-0000-0000A0040000}"/>
    <hyperlink ref="I1187" r:id="rId1186" xr:uid="{00000000-0004-0000-0000-0000A1040000}"/>
    <hyperlink ref="I1188" r:id="rId1187" xr:uid="{00000000-0004-0000-0000-0000A2040000}"/>
    <hyperlink ref="I1189" r:id="rId1188" xr:uid="{00000000-0004-0000-0000-0000A3040000}"/>
    <hyperlink ref="I1190" r:id="rId1189" xr:uid="{00000000-0004-0000-0000-0000A4040000}"/>
    <hyperlink ref="I1191" r:id="rId1190" xr:uid="{00000000-0004-0000-0000-0000A5040000}"/>
    <hyperlink ref="I1192" r:id="rId1191" xr:uid="{00000000-0004-0000-0000-0000A6040000}"/>
    <hyperlink ref="I1193" r:id="rId1192" xr:uid="{00000000-0004-0000-0000-0000A7040000}"/>
    <hyperlink ref="I1194" r:id="rId1193" xr:uid="{00000000-0004-0000-0000-0000A8040000}"/>
    <hyperlink ref="I1195" r:id="rId1194" xr:uid="{00000000-0004-0000-0000-0000A9040000}"/>
    <hyperlink ref="I1196" r:id="rId1195" xr:uid="{00000000-0004-0000-0000-0000AA040000}"/>
    <hyperlink ref="I1197" r:id="rId1196" xr:uid="{00000000-0004-0000-0000-0000AB040000}"/>
    <hyperlink ref="I1198" r:id="rId1197" xr:uid="{00000000-0004-0000-0000-0000AC040000}"/>
    <hyperlink ref="I1199" r:id="rId1198" xr:uid="{00000000-0004-0000-0000-0000AD040000}"/>
    <hyperlink ref="I1200" r:id="rId1199" xr:uid="{00000000-0004-0000-0000-0000AE040000}"/>
    <hyperlink ref="I1201" r:id="rId1200" xr:uid="{00000000-0004-0000-0000-0000AF040000}"/>
    <hyperlink ref="I1202" r:id="rId1201" xr:uid="{00000000-0004-0000-0000-0000B0040000}"/>
    <hyperlink ref="I1203" r:id="rId1202" xr:uid="{00000000-0004-0000-0000-0000B1040000}"/>
    <hyperlink ref="I1204" r:id="rId1203" xr:uid="{00000000-0004-0000-0000-0000B2040000}"/>
    <hyperlink ref="I1205" r:id="rId1204" xr:uid="{00000000-0004-0000-0000-0000B3040000}"/>
    <hyperlink ref="I1206" r:id="rId1205" xr:uid="{00000000-0004-0000-0000-0000B4040000}"/>
    <hyperlink ref="I1207" r:id="rId1206" xr:uid="{00000000-0004-0000-0000-0000B5040000}"/>
    <hyperlink ref="I1208" r:id="rId1207" xr:uid="{00000000-0004-0000-0000-0000B6040000}"/>
    <hyperlink ref="I1209" r:id="rId1208" xr:uid="{00000000-0004-0000-0000-0000B7040000}"/>
    <hyperlink ref="I1210" r:id="rId1209" xr:uid="{00000000-0004-0000-0000-0000B8040000}"/>
    <hyperlink ref="I1211" r:id="rId1210" xr:uid="{00000000-0004-0000-0000-0000B9040000}"/>
    <hyperlink ref="I1212" r:id="rId1211" xr:uid="{00000000-0004-0000-0000-0000BA040000}"/>
    <hyperlink ref="I1213" r:id="rId1212" xr:uid="{00000000-0004-0000-0000-0000BB040000}"/>
    <hyperlink ref="I1214" r:id="rId1213" xr:uid="{00000000-0004-0000-0000-0000BC040000}"/>
    <hyperlink ref="I1215" r:id="rId1214" xr:uid="{00000000-0004-0000-0000-0000BD040000}"/>
    <hyperlink ref="I1216" r:id="rId1215" xr:uid="{00000000-0004-0000-0000-0000BE040000}"/>
    <hyperlink ref="I1217" r:id="rId1216" xr:uid="{00000000-0004-0000-0000-0000BF040000}"/>
    <hyperlink ref="I1218" r:id="rId1217" xr:uid="{00000000-0004-0000-0000-0000C0040000}"/>
    <hyperlink ref="I1219" r:id="rId1218" xr:uid="{00000000-0004-0000-0000-0000C1040000}"/>
    <hyperlink ref="I1220" r:id="rId1219" xr:uid="{00000000-0004-0000-0000-0000C2040000}"/>
    <hyperlink ref="I1221" r:id="rId1220" xr:uid="{00000000-0004-0000-0000-0000C3040000}"/>
    <hyperlink ref="I1222" r:id="rId1221" xr:uid="{00000000-0004-0000-0000-0000C4040000}"/>
    <hyperlink ref="I1223" r:id="rId1222" xr:uid="{00000000-0004-0000-0000-0000C5040000}"/>
    <hyperlink ref="I1224" r:id="rId1223" xr:uid="{00000000-0004-0000-0000-0000C6040000}"/>
    <hyperlink ref="I1225" r:id="rId1224" xr:uid="{00000000-0004-0000-0000-0000C7040000}"/>
    <hyperlink ref="I1226" r:id="rId1225" xr:uid="{00000000-0004-0000-0000-0000C8040000}"/>
    <hyperlink ref="I1227" r:id="rId1226" xr:uid="{00000000-0004-0000-0000-0000C9040000}"/>
    <hyperlink ref="I1228" r:id="rId1227" xr:uid="{00000000-0004-0000-0000-0000CA040000}"/>
    <hyperlink ref="I1229" r:id="rId1228" xr:uid="{00000000-0004-0000-0000-0000CB040000}"/>
    <hyperlink ref="I1230" r:id="rId1229" xr:uid="{00000000-0004-0000-0000-0000CC040000}"/>
    <hyperlink ref="I1231" r:id="rId1230" xr:uid="{00000000-0004-0000-0000-0000CD040000}"/>
    <hyperlink ref="I1232" r:id="rId1231" xr:uid="{00000000-0004-0000-0000-0000CE040000}"/>
    <hyperlink ref="I1233" r:id="rId1232" xr:uid="{00000000-0004-0000-0000-0000CF040000}"/>
    <hyperlink ref="I1234" r:id="rId1233" xr:uid="{00000000-0004-0000-0000-0000D0040000}"/>
    <hyperlink ref="I1235" r:id="rId1234" xr:uid="{00000000-0004-0000-0000-0000D1040000}"/>
    <hyperlink ref="I1236" r:id="rId1235" xr:uid="{00000000-0004-0000-0000-0000D2040000}"/>
    <hyperlink ref="I1237" r:id="rId1236" xr:uid="{00000000-0004-0000-0000-0000D3040000}"/>
    <hyperlink ref="I1238" r:id="rId1237" xr:uid="{00000000-0004-0000-0000-0000D4040000}"/>
    <hyperlink ref="I1239" r:id="rId1238" xr:uid="{00000000-0004-0000-0000-0000D5040000}"/>
    <hyperlink ref="I1240" r:id="rId1239" xr:uid="{00000000-0004-0000-0000-0000D6040000}"/>
    <hyperlink ref="I1241" r:id="rId1240" xr:uid="{00000000-0004-0000-0000-0000D7040000}"/>
    <hyperlink ref="I1242" r:id="rId1241" xr:uid="{00000000-0004-0000-0000-0000D8040000}"/>
    <hyperlink ref="I1243" r:id="rId1242" xr:uid="{00000000-0004-0000-0000-0000D9040000}"/>
    <hyperlink ref="I1244" r:id="rId1243" xr:uid="{00000000-0004-0000-0000-0000DA040000}"/>
    <hyperlink ref="I1245" r:id="rId1244" xr:uid="{00000000-0004-0000-0000-0000DB040000}"/>
    <hyperlink ref="I1246" r:id="rId1245" xr:uid="{00000000-0004-0000-0000-0000DC040000}"/>
    <hyperlink ref="I1247" r:id="rId1246" xr:uid="{00000000-0004-0000-0000-0000DD040000}"/>
    <hyperlink ref="I1248" r:id="rId1247" xr:uid="{00000000-0004-0000-0000-0000DE040000}"/>
    <hyperlink ref="I1249" r:id="rId1248" xr:uid="{00000000-0004-0000-0000-0000DF040000}"/>
    <hyperlink ref="I1250" r:id="rId1249" xr:uid="{00000000-0004-0000-0000-0000E0040000}"/>
    <hyperlink ref="I1251" r:id="rId1250" xr:uid="{00000000-0004-0000-0000-0000E1040000}"/>
    <hyperlink ref="I1252" r:id="rId1251" xr:uid="{00000000-0004-0000-0000-0000E2040000}"/>
    <hyperlink ref="I1253" r:id="rId1252" xr:uid="{00000000-0004-0000-0000-0000E3040000}"/>
    <hyperlink ref="I1254" r:id="rId1253" xr:uid="{00000000-0004-0000-0000-0000E4040000}"/>
    <hyperlink ref="I1255" r:id="rId1254" xr:uid="{00000000-0004-0000-0000-0000E5040000}"/>
    <hyperlink ref="I1256" r:id="rId1255" xr:uid="{00000000-0004-0000-0000-0000E6040000}"/>
    <hyperlink ref="I1257" r:id="rId1256" xr:uid="{00000000-0004-0000-0000-0000E7040000}"/>
    <hyperlink ref="I1258" r:id="rId1257" xr:uid="{00000000-0004-0000-0000-0000E8040000}"/>
    <hyperlink ref="I1259" r:id="rId1258" xr:uid="{00000000-0004-0000-0000-0000E9040000}"/>
    <hyperlink ref="I1260" r:id="rId1259" xr:uid="{00000000-0004-0000-0000-0000EA040000}"/>
    <hyperlink ref="I1261" r:id="rId1260" xr:uid="{00000000-0004-0000-0000-0000EB040000}"/>
    <hyperlink ref="I1262" r:id="rId1261" xr:uid="{00000000-0004-0000-0000-0000EC040000}"/>
    <hyperlink ref="I1263" r:id="rId1262" xr:uid="{00000000-0004-0000-0000-0000ED040000}"/>
    <hyperlink ref="I1264" r:id="rId1263" xr:uid="{00000000-0004-0000-0000-0000EE040000}"/>
    <hyperlink ref="I1265" r:id="rId1264" xr:uid="{00000000-0004-0000-0000-0000EF040000}"/>
    <hyperlink ref="I1266" r:id="rId1265" xr:uid="{00000000-0004-0000-0000-0000F0040000}"/>
    <hyperlink ref="I1267" r:id="rId1266" xr:uid="{00000000-0004-0000-0000-0000F1040000}"/>
    <hyperlink ref="I1268" r:id="rId1267" xr:uid="{00000000-0004-0000-0000-0000F2040000}"/>
    <hyperlink ref="I1269" r:id="rId1268" xr:uid="{00000000-0004-0000-0000-0000F3040000}"/>
    <hyperlink ref="I1270" r:id="rId1269" xr:uid="{00000000-0004-0000-0000-0000F4040000}"/>
    <hyperlink ref="I1271" r:id="rId1270" xr:uid="{00000000-0004-0000-0000-0000F5040000}"/>
    <hyperlink ref="I1272" r:id="rId1271" xr:uid="{00000000-0004-0000-0000-0000F6040000}"/>
    <hyperlink ref="I1273" r:id="rId1272" xr:uid="{00000000-0004-0000-0000-0000F7040000}"/>
    <hyperlink ref="I1274" r:id="rId1273" xr:uid="{00000000-0004-0000-0000-0000F8040000}"/>
    <hyperlink ref="I1275" r:id="rId1274" xr:uid="{00000000-0004-0000-0000-0000F9040000}"/>
    <hyperlink ref="I1276" r:id="rId1275" xr:uid="{00000000-0004-0000-0000-0000FA040000}"/>
    <hyperlink ref="I1277" r:id="rId1276" xr:uid="{00000000-0004-0000-0000-0000FB040000}"/>
    <hyperlink ref="I1278" r:id="rId1277" xr:uid="{00000000-0004-0000-0000-0000FC040000}"/>
    <hyperlink ref="I1279" r:id="rId1278" xr:uid="{00000000-0004-0000-0000-0000FD040000}"/>
    <hyperlink ref="I1280" r:id="rId1279" xr:uid="{00000000-0004-0000-0000-0000FE040000}"/>
    <hyperlink ref="I1281" r:id="rId1280" xr:uid="{00000000-0004-0000-0000-0000FF040000}"/>
    <hyperlink ref="I1282" r:id="rId1281" xr:uid="{00000000-0004-0000-0000-000000050000}"/>
    <hyperlink ref="I1283" r:id="rId1282" xr:uid="{00000000-0004-0000-0000-000001050000}"/>
    <hyperlink ref="I1284" r:id="rId1283" xr:uid="{00000000-0004-0000-0000-000002050000}"/>
    <hyperlink ref="I1285" r:id="rId1284" xr:uid="{00000000-0004-0000-0000-000003050000}"/>
    <hyperlink ref="I1286" r:id="rId1285" xr:uid="{00000000-0004-0000-0000-000004050000}"/>
    <hyperlink ref="I1287" r:id="rId1286" xr:uid="{00000000-0004-0000-0000-000005050000}"/>
    <hyperlink ref="I1288" r:id="rId1287" xr:uid="{00000000-0004-0000-0000-000006050000}"/>
    <hyperlink ref="I1289" r:id="rId1288" xr:uid="{00000000-0004-0000-0000-000007050000}"/>
    <hyperlink ref="I1290" r:id="rId1289" xr:uid="{00000000-0004-0000-0000-000008050000}"/>
    <hyperlink ref="I1291" r:id="rId1290" xr:uid="{00000000-0004-0000-0000-000009050000}"/>
    <hyperlink ref="I1292" r:id="rId1291" xr:uid="{00000000-0004-0000-0000-00000A050000}"/>
    <hyperlink ref="I1293" r:id="rId1292" xr:uid="{00000000-0004-0000-0000-00000B050000}"/>
    <hyperlink ref="I1294" r:id="rId1293" xr:uid="{00000000-0004-0000-0000-00000C050000}"/>
    <hyperlink ref="I1295" r:id="rId1294" xr:uid="{00000000-0004-0000-0000-00000D050000}"/>
    <hyperlink ref="I1296" r:id="rId1295" xr:uid="{00000000-0004-0000-0000-00000E050000}"/>
    <hyperlink ref="I1297" r:id="rId1296" xr:uid="{00000000-0004-0000-0000-00000F050000}"/>
    <hyperlink ref="I1298" r:id="rId1297" xr:uid="{00000000-0004-0000-0000-000010050000}"/>
    <hyperlink ref="I1299" r:id="rId1298" xr:uid="{00000000-0004-0000-0000-000011050000}"/>
    <hyperlink ref="I1300" r:id="rId1299" xr:uid="{00000000-0004-0000-0000-000012050000}"/>
    <hyperlink ref="I1301" r:id="rId1300" xr:uid="{00000000-0004-0000-0000-000013050000}"/>
    <hyperlink ref="I1302" r:id="rId1301" xr:uid="{00000000-0004-0000-0000-000014050000}"/>
    <hyperlink ref="I1303" r:id="rId1302" xr:uid="{00000000-0004-0000-0000-000015050000}"/>
    <hyperlink ref="I1304" r:id="rId1303" xr:uid="{00000000-0004-0000-0000-000016050000}"/>
    <hyperlink ref="I1305" r:id="rId1304" xr:uid="{00000000-0004-0000-0000-000017050000}"/>
    <hyperlink ref="I1306" r:id="rId1305" xr:uid="{00000000-0004-0000-0000-000018050000}"/>
    <hyperlink ref="I1307" r:id="rId1306" xr:uid="{00000000-0004-0000-0000-000019050000}"/>
    <hyperlink ref="I1308" r:id="rId1307" xr:uid="{00000000-0004-0000-0000-00001A050000}"/>
    <hyperlink ref="I1309" r:id="rId1308" xr:uid="{00000000-0004-0000-0000-00001B050000}"/>
    <hyperlink ref="I1310" r:id="rId1309" xr:uid="{00000000-0004-0000-0000-00001C050000}"/>
    <hyperlink ref="I1311" r:id="rId1310" xr:uid="{00000000-0004-0000-0000-00001D050000}"/>
    <hyperlink ref="I1312" r:id="rId1311" xr:uid="{00000000-0004-0000-0000-00001E050000}"/>
    <hyperlink ref="I1313" r:id="rId1312" xr:uid="{00000000-0004-0000-0000-00001F050000}"/>
    <hyperlink ref="I1314" r:id="rId1313" xr:uid="{00000000-0004-0000-0000-000020050000}"/>
    <hyperlink ref="I1315" r:id="rId1314" xr:uid="{00000000-0004-0000-0000-000021050000}"/>
    <hyperlink ref="I1316" r:id="rId1315" xr:uid="{00000000-0004-0000-0000-000022050000}"/>
    <hyperlink ref="I1317" r:id="rId1316" xr:uid="{00000000-0004-0000-0000-000023050000}"/>
    <hyperlink ref="I1318" r:id="rId1317" display="https://www.google.com/search?q=site%3Aipc.pt%20Fisiologia%20Cl%C3%ADnica%20%E2%80%93%20esp.%20Ultrassonografia%20Card%C3%ADaca%20e%20Fun%C3%A7%C3%A3o%20Vascular%20/%20Fisiopatologia%20do%20Sono%20e%20Ventila%C3%A7%C3%A3o%20N%C3%A3o%20Invasiva%20/%20Eletroencefalografia%20Aplicada%20mestrado" xr:uid="{00000000-0004-0000-0000-000024050000}"/>
    <hyperlink ref="I1319" r:id="rId1318" xr:uid="{00000000-0004-0000-0000-000025050000}"/>
    <hyperlink ref="I1320" r:id="rId1319" xr:uid="{00000000-0004-0000-0000-000026050000}"/>
    <hyperlink ref="I1321" r:id="rId1320" xr:uid="{00000000-0004-0000-0000-000027050000}"/>
    <hyperlink ref="I1322" r:id="rId1321" xr:uid="{00000000-0004-0000-0000-000028050000}"/>
    <hyperlink ref="I1323" r:id="rId1322" xr:uid="{00000000-0004-0000-0000-000029050000}"/>
    <hyperlink ref="I1324" r:id="rId1323" xr:uid="{00000000-0004-0000-0000-00002A050000}"/>
    <hyperlink ref="I1325" r:id="rId1324" xr:uid="{00000000-0004-0000-0000-00002B050000}"/>
    <hyperlink ref="I1326" r:id="rId1325" xr:uid="{00000000-0004-0000-0000-00002C050000}"/>
    <hyperlink ref="I1327" r:id="rId1326" xr:uid="{00000000-0004-0000-0000-00002D050000}"/>
    <hyperlink ref="I1328" r:id="rId1327" xr:uid="{00000000-0004-0000-0000-00002E050000}"/>
    <hyperlink ref="I1329" r:id="rId1328" xr:uid="{00000000-0004-0000-0000-00002F050000}"/>
    <hyperlink ref="I1330" r:id="rId1329" xr:uid="{00000000-0004-0000-0000-000030050000}"/>
    <hyperlink ref="I1331" r:id="rId1330" xr:uid="{00000000-0004-0000-0000-000031050000}"/>
    <hyperlink ref="I1332" r:id="rId1331" xr:uid="{00000000-0004-0000-0000-000032050000}"/>
    <hyperlink ref="I1333" r:id="rId1332" xr:uid="{00000000-0004-0000-0000-000033050000}"/>
    <hyperlink ref="I1334" r:id="rId1333" xr:uid="{00000000-0004-0000-0000-000034050000}"/>
    <hyperlink ref="I1335" r:id="rId1334" xr:uid="{00000000-0004-0000-0000-000035050000}"/>
    <hyperlink ref="I1336" r:id="rId1335" xr:uid="{00000000-0004-0000-0000-000036050000}"/>
    <hyperlink ref="I1337" r:id="rId1336" xr:uid="{00000000-0004-0000-0000-000037050000}"/>
    <hyperlink ref="I1338" r:id="rId1337" xr:uid="{00000000-0004-0000-0000-000038050000}"/>
    <hyperlink ref="I1339" r:id="rId1338" xr:uid="{00000000-0004-0000-0000-000039050000}"/>
    <hyperlink ref="I1340" r:id="rId1339" xr:uid="{00000000-0004-0000-0000-00003A050000}"/>
    <hyperlink ref="I1341" r:id="rId1340" xr:uid="{00000000-0004-0000-0000-00003B050000}"/>
    <hyperlink ref="I1342" r:id="rId1341" xr:uid="{00000000-0004-0000-0000-00003C050000}"/>
    <hyperlink ref="I1343" r:id="rId1342" xr:uid="{00000000-0004-0000-0000-00003D050000}"/>
    <hyperlink ref="I1344" r:id="rId1343" xr:uid="{00000000-0004-0000-0000-00003E050000}"/>
    <hyperlink ref="I1345" r:id="rId1344" xr:uid="{00000000-0004-0000-0000-00003F050000}"/>
    <hyperlink ref="I1346" r:id="rId1345" xr:uid="{00000000-0004-0000-0000-000040050000}"/>
    <hyperlink ref="I1347" r:id="rId1346" xr:uid="{00000000-0004-0000-0000-000041050000}"/>
    <hyperlink ref="I1348" r:id="rId1347" xr:uid="{00000000-0004-0000-0000-000042050000}"/>
    <hyperlink ref="I1349" r:id="rId1348" xr:uid="{00000000-0004-0000-0000-000043050000}"/>
    <hyperlink ref="I1350" r:id="rId1349" xr:uid="{00000000-0004-0000-0000-000044050000}"/>
    <hyperlink ref="I1351" r:id="rId1350" xr:uid="{00000000-0004-0000-0000-000045050000}"/>
    <hyperlink ref="I1352" r:id="rId1351" xr:uid="{00000000-0004-0000-0000-000046050000}"/>
    <hyperlink ref="I1353" r:id="rId1352" xr:uid="{00000000-0004-0000-0000-000047050000}"/>
    <hyperlink ref="I1354" r:id="rId1353" xr:uid="{00000000-0004-0000-0000-000048050000}"/>
    <hyperlink ref="I1355" r:id="rId1354" xr:uid="{00000000-0004-0000-0000-000049050000}"/>
    <hyperlink ref="I1356" r:id="rId1355" xr:uid="{00000000-0004-0000-0000-00004A050000}"/>
    <hyperlink ref="I1357" r:id="rId1356" xr:uid="{00000000-0004-0000-0000-00004B050000}"/>
    <hyperlink ref="I1358" r:id="rId1357" xr:uid="{00000000-0004-0000-0000-00004C050000}"/>
    <hyperlink ref="I1359" r:id="rId1358" xr:uid="{00000000-0004-0000-0000-00004D050000}"/>
    <hyperlink ref="I1360" r:id="rId1359" xr:uid="{00000000-0004-0000-0000-00004E050000}"/>
    <hyperlink ref="I1361" r:id="rId1360" xr:uid="{00000000-0004-0000-0000-00004F050000}"/>
    <hyperlink ref="I1362" r:id="rId1361" xr:uid="{00000000-0004-0000-0000-000050050000}"/>
    <hyperlink ref="I1363" r:id="rId1362" xr:uid="{00000000-0004-0000-0000-000051050000}"/>
    <hyperlink ref="I1364" r:id="rId1363" xr:uid="{00000000-0004-0000-0000-000052050000}"/>
    <hyperlink ref="I1365" r:id="rId1364" xr:uid="{00000000-0004-0000-0000-000053050000}"/>
    <hyperlink ref="I1366" r:id="rId1365" xr:uid="{00000000-0004-0000-0000-000054050000}"/>
    <hyperlink ref="I1367" r:id="rId1366" xr:uid="{00000000-0004-0000-0000-000055050000}"/>
    <hyperlink ref="I1368" r:id="rId1367" xr:uid="{00000000-0004-0000-0000-000056050000}"/>
    <hyperlink ref="I1369" r:id="rId1368" xr:uid="{00000000-0004-0000-0000-000057050000}"/>
    <hyperlink ref="I1370" r:id="rId1369" xr:uid="{00000000-0004-0000-0000-000058050000}"/>
    <hyperlink ref="I1371" r:id="rId1370" xr:uid="{00000000-0004-0000-0000-000059050000}"/>
    <hyperlink ref="I1372" r:id="rId1371" xr:uid="{00000000-0004-0000-0000-00005A050000}"/>
    <hyperlink ref="I1373" r:id="rId1372" xr:uid="{00000000-0004-0000-0000-00005B050000}"/>
    <hyperlink ref="I1374" r:id="rId1373" xr:uid="{00000000-0004-0000-0000-00005C050000}"/>
    <hyperlink ref="I1375" r:id="rId1374" xr:uid="{00000000-0004-0000-0000-00005D050000}"/>
    <hyperlink ref="I1376" r:id="rId1375" xr:uid="{00000000-0004-0000-0000-00005E050000}"/>
    <hyperlink ref="I1377" r:id="rId1376" xr:uid="{00000000-0004-0000-0000-00005F050000}"/>
    <hyperlink ref="I1378" r:id="rId1377" xr:uid="{00000000-0004-0000-0000-000060050000}"/>
    <hyperlink ref="I1379" r:id="rId1378" xr:uid="{00000000-0004-0000-0000-000061050000}"/>
    <hyperlink ref="I1380" r:id="rId1379" xr:uid="{00000000-0004-0000-0000-000062050000}"/>
    <hyperlink ref="I1381" r:id="rId1380" xr:uid="{00000000-0004-0000-0000-000063050000}"/>
    <hyperlink ref="I1382" r:id="rId1381" xr:uid="{00000000-0004-0000-0000-000064050000}"/>
    <hyperlink ref="I1383" r:id="rId1382" xr:uid="{00000000-0004-0000-0000-000065050000}"/>
    <hyperlink ref="I1384" r:id="rId1383" xr:uid="{00000000-0004-0000-0000-000066050000}"/>
    <hyperlink ref="I1385" r:id="rId1384" xr:uid="{00000000-0004-0000-0000-000067050000}"/>
    <hyperlink ref="I1386" r:id="rId1385" xr:uid="{00000000-0004-0000-0000-000068050000}"/>
    <hyperlink ref="I1387" r:id="rId1386" xr:uid="{00000000-0004-0000-0000-000069050000}"/>
    <hyperlink ref="I1388" r:id="rId1387" xr:uid="{00000000-0004-0000-0000-00006A050000}"/>
    <hyperlink ref="I1389" r:id="rId1388" xr:uid="{00000000-0004-0000-0000-00006B050000}"/>
    <hyperlink ref="I1390" r:id="rId1389" xr:uid="{00000000-0004-0000-0000-00006C050000}"/>
    <hyperlink ref="I1391" r:id="rId1390" xr:uid="{00000000-0004-0000-0000-00006D050000}"/>
    <hyperlink ref="I1392" r:id="rId1391" xr:uid="{00000000-0004-0000-0000-00006E050000}"/>
    <hyperlink ref="I1393" r:id="rId1392" xr:uid="{00000000-0004-0000-0000-00006F050000}"/>
    <hyperlink ref="I1394" r:id="rId1393" xr:uid="{00000000-0004-0000-0000-000070050000}"/>
    <hyperlink ref="I1395" r:id="rId1394" xr:uid="{00000000-0004-0000-0000-000071050000}"/>
    <hyperlink ref="I1396" r:id="rId1395" xr:uid="{00000000-0004-0000-0000-000072050000}"/>
    <hyperlink ref="I1397" r:id="rId1396" xr:uid="{00000000-0004-0000-0000-000073050000}"/>
    <hyperlink ref="I1398" r:id="rId1397" xr:uid="{00000000-0004-0000-0000-000074050000}"/>
    <hyperlink ref="I1399" r:id="rId1398" xr:uid="{00000000-0004-0000-0000-000075050000}"/>
    <hyperlink ref="I1400" r:id="rId1399" xr:uid="{00000000-0004-0000-0000-000076050000}"/>
    <hyperlink ref="I1401" r:id="rId1400" xr:uid="{00000000-0004-0000-0000-000077050000}"/>
    <hyperlink ref="I1402" r:id="rId1401" xr:uid="{00000000-0004-0000-0000-000078050000}"/>
    <hyperlink ref="I1403" r:id="rId1402" xr:uid="{00000000-0004-0000-0000-000079050000}"/>
    <hyperlink ref="I1404" r:id="rId1403" xr:uid="{00000000-0004-0000-0000-00007A050000}"/>
    <hyperlink ref="I1405" r:id="rId1404" xr:uid="{00000000-0004-0000-0000-00007B050000}"/>
    <hyperlink ref="I1406" r:id="rId1405" xr:uid="{00000000-0004-0000-0000-00007C050000}"/>
    <hyperlink ref="I1407" r:id="rId1406" xr:uid="{00000000-0004-0000-0000-00007D050000}"/>
    <hyperlink ref="I1408" r:id="rId1407" xr:uid="{00000000-0004-0000-0000-00007E050000}"/>
    <hyperlink ref="I1409" r:id="rId1408" xr:uid="{00000000-0004-0000-0000-00007F050000}"/>
    <hyperlink ref="I1410" r:id="rId1409" xr:uid="{00000000-0004-0000-0000-000080050000}"/>
    <hyperlink ref="I1411" r:id="rId1410" xr:uid="{00000000-0004-0000-0000-000081050000}"/>
    <hyperlink ref="I1412" r:id="rId1411" xr:uid="{00000000-0004-0000-0000-000082050000}"/>
    <hyperlink ref="I1413" r:id="rId1412" xr:uid="{00000000-0004-0000-0000-000083050000}"/>
    <hyperlink ref="I1414" r:id="rId1413" xr:uid="{00000000-0004-0000-0000-000084050000}"/>
    <hyperlink ref="I1415" r:id="rId1414" xr:uid="{00000000-0004-0000-0000-000085050000}"/>
    <hyperlink ref="I1416" r:id="rId1415" xr:uid="{00000000-0004-0000-0000-000086050000}"/>
    <hyperlink ref="I1417" r:id="rId1416" xr:uid="{00000000-0004-0000-0000-000087050000}"/>
    <hyperlink ref="I1418" r:id="rId1417" xr:uid="{00000000-0004-0000-0000-000088050000}"/>
    <hyperlink ref="I1419" r:id="rId1418" xr:uid="{00000000-0004-0000-0000-000089050000}"/>
    <hyperlink ref="I1420" r:id="rId1419" xr:uid="{00000000-0004-0000-0000-00008A050000}"/>
    <hyperlink ref="I1421" r:id="rId1420" xr:uid="{00000000-0004-0000-0000-00008B050000}"/>
    <hyperlink ref="I1422" r:id="rId1421" xr:uid="{00000000-0004-0000-0000-00008C050000}"/>
    <hyperlink ref="I1423" r:id="rId1422" xr:uid="{00000000-0004-0000-0000-00008D050000}"/>
    <hyperlink ref="I1424" r:id="rId1423" xr:uid="{00000000-0004-0000-0000-00008E050000}"/>
    <hyperlink ref="I1425" r:id="rId1424" xr:uid="{00000000-0004-0000-0000-00008F050000}"/>
    <hyperlink ref="I1426" r:id="rId1425" xr:uid="{00000000-0004-0000-0000-000090050000}"/>
    <hyperlink ref="I1427" r:id="rId1426" xr:uid="{00000000-0004-0000-0000-000091050000}"/>
    <hyperlink ref="I1428" r:id="rId1427" xr:uid="{00000000-0004-0000-0000-000092050000}"/>
    <hyperlink ref="I1429" r:id="rId1428" xr:uid="{00000000-0004-0000-0000-000093050000}"/>
    <hyperlink ref="I1430" r:id="rId1429" xr:uid="{00000000-0004-0000-0000-000094050000}"/>
    <hyperlink ref="I1431" r:id="rId1430" xr:uid="{00000000-0004-0000-0000-000095050000}"/>
    <hyperlink ref="I1432" r:id="rId1431" xr:uid="{00000000-0004-0000-0000-000096050000}"/>
    <hyperlink ref="I1433" r:id="rId1432" xr:uid="{00000000-0004-0000-0000-000097050000}"/>
    <hyperlink ref="I1434" r:id="rId1433" xr:uid="{00000000-0004-0000-0000-000098050000}"/>
    <hyperlink ref="I1435" r:id="rId1434" xr:uid="{00000000-0004-0000-0000-000099050000}"/>
    <hyperlink ref="I1436" r:id="rId1435" xr:uid="{00000000-0004-0000-0000-00009A050000}"/>
    <hyperlink ref="I1437" r:id="rId1436" xr:uid="{00000000-0004-0000-0000-00009B050000}"/>
    <hyperlink ref="I1438" r:id="rId1437" xr:uid="{00000000-0004-0000-0000-00009C050000}"/>
    <hyperlink ref="I1439" r:id="rId1438" xr:uid="{00000000-0004-0000-0000-00009D050000}"/>
    <hyperlink ref="I1440" r:id="rId1439" xr:uid="{00000000-0004-0000-0000-00009E050000}"/>
    <hyperlink ref="I1441" r:id="rId1440" xr:uid="{00000000-0004-0000-0000-00009F050000}"/>
    <hyperlink ref="I1442" r:id="rId1441" xr:uid="{00000000-0004-0000-0000-0000A0050000}"/>
    <hyperlink ref="I1443" r:id="rId1442" xr:uid="{00000000-0004-0000-0000-0000A1050000}"/>
    <hyperlink ref="I1444" r:id="rId1443" xr:uid="{00000000-0004-0000-0000-0000A2050000}"/>
    <hyperlink ref="I1445" r:id="rId1444" xr:uid="{00000000-0004-0000-0000-0000A3050000}"/>
    <hyperlink ref="I1446" r:id="rId1445" xr:uid="{00000000-0004-0000-0000-0000A4050000}"/>
    <hyperlink ref="I1447" r:id="rId1446" xr:uid="{00000000-0004-0000-0000-0000A5050000}"/>
    <hyperlink ref="I1448" r:id="rId1447" xr:uid="{00000000-0004-0000-0000-0000A6050000}"/>
    <hyperlink ref="I1449" r:id="rId1448" xr:uid="{00000000-0004-0000-0000-0000A7050000}"/>
    <hyperlink ref="I1450" r:id="rId1449" xr:uid="{00000000-0004-0000-0000-0000A8050000}"/>
    <hyperlink ref="I1451" r:id="rId1450" xr:uid="{00000000-0004-0000-0000-0000A9050000}"/>
    <hyperlink ref="I1452" r:id="rId1451" xr:uid="{00000000-0004-0000-0000-0000AA050000}"/>
    <hyperlink ref="I1453" r:id="rId1452" xr:uid="{00000000-0004-0000-0000-0000AB050000}"/>
    <hyperlink ref="I1454" r:id="rId1453" xr:uid="{00000000-0004-0000-0000-0000AC050000}"/>
    <hyperlink ref="I1455" r:id="rId1454" xr:uid="{00000000-0004-0000-0000-0000AD050000}"/>
    <hyperlink ref="I1456" r:id="rId1455" xr:uid="{00000000-0004-0000-0000-0000AE050000}"/>
    <hyperlink ref="I1457" r:id="rId1456" xr:uid="{00000000-0004-0000-0000-0000AF050000}"/>
    <hyperlink ref="I1458" r:id="rId1457" xr:uid="{00000000-0004-0000-0000-0000B0050000}"/>
    <hyperlink ref="I1459" r:id="rId1458" xr:uid="{00000000-0004-0000-0000-0000B1050000}"/>
    <hyperlink ref="I1460" r:id="rId1459" xr:uid="{00000000-0004-0000-0000-0000B2050000}"/>
    <hyperlink ref="I1461" r:id="rId1460" xr:uid="{00000000-0004-0000-0000-0000B3050000}"/>
    <hyperlink ref="I1462" r:id="rId1461" xr:uid="{00000000-0004-0000-0000-0000B4050000}"/>
    <hyperlink ref="I1463" r:id="rId1462" xr:uid="{00000000-0004-0000-0000-0000B5050000}"/>
    <hyperlink ref="I1464" r:id="rId1463" xr:uid="{00000000-0004-0000-0000-0000B6050000}"/>
    <hyperlink ref="I1465" r:id="rId1464" xr:uid="{00000000-0004-0000-0000-0000B7050000}"/>
    <hyperlink ref="I1466" r:id="rId1465" xr:uid="{00000000-0004-0000-0000-0000B8050000}"/>
    <hyperlink ref="I1467" r:id="rId1466" xr:uid="{00000000-0004-0000-0000-0000B9050000}"/>
    <hyperlink ref="I1468" r:id="rId1467" xr:uid="{00000000-0004-0000-0000-0000BA050000}"/>
    <hyperlink ref="I1469" r:id="rId1468" xr:uid="{00000000-0004-0000-0000-0000BB050000}"/>
    <hyperlink ref="I1470" r:id="rId1469" xr:uid="{00000000-0004-0000-0000-0000BC050000}"/>
    <hyperlink ref="I1471" r:id="rId1470" xr:uid="{00000000-0004-0000-0000-0000BD050000}"/>
    <hyperlink ref="I1472" r:id="rId1471" xr:uid="{00000000-0004-0000-0000-0000BE050000}"/>
    <hyperlink ref="I1473" r:id="rId1472" xr:uid="{00000000-0004-0000-0000-0000BF050000}"/>
    <hyperlink ref="I1474" r:id="rId1473" xr:uid="{00000000-0004-0000-0000-0000C0050000}"/>
    <hyperlink ref="I1475" r:id="rId1474" xr:uid="{00000000-0004-0000-0000-0000C1050000}"/>
    <hyperlink ref="I1476" r:id="rId1475" xr:uid="{00000000-0004-0000-0000-0000C2050000}"/>
    <hyperlink ref="I1477" r:id="rId1476" xr:uid="{00000000-0004-0000-0000-0000C3050000}"/>
    <hyperlink ref="I1478" r:id="rId1477" xr:uid="{00000000-0004-0000-0000-0000C4050000}"/>
    <hyperlink ref="I1479" r:id="rId1478" xr:uid="{00000000-0004-0000-0000-0000C5050000}"/>
    <hyperlink ref="I1480" r:id="rId1479" xr:uid="{00000000-0004-0000-0000-0000C6050000}"/>
    <hyperlink ref="I1481" r:id="rId1480" xr:uid="{00000000-0004-0000-0000-0000C7050000}"/>
    <hyperlink ref="I1482" r:id="rId1481" xr:uid="{00000000-0004-0000-0000-0000C8050000}"/>
    <hyperlink ref="I1483" r:id="rId1482" xr:uid="{00000000-0004-0000-0000-0000C9050000}"/>
    <hyperlink ref="I1484" r:id="rId1483" xr:uid="{00000000-0004-0000-0000-0000CA050000}"/>
    <hyperlink ref="I1485" r:id="rId1484" xr:uid="{00000000-0004-0000-0000-0000CB050000}"/>
    <hyperlink ref="I1486" r:id="rId1485" xr:uid="{00000000-0004-0000-0000-0000CC050000}"/>
    <hyperlink ref="I1487" r:id="rId1486" xr:uid="{00000000-0004-0000-0000-0000CD050000}"/>
    <hyperlink ref="I1488" r:id="rId1487" xr:uid="{00000000-0004-0000-0000-0000CE050000}"/>
    <hyperlink ref="I1489" r:id="rId1488" xr:uid="{00000000-0004-0000-0000-0000CF050000}"/>
    <hyperlink ref="I1490" r:id="rId1489" xr:uid="{00000000-0004-0000-0000-0000D0050000}"/>
    <hyperlink ref="I1491" r:id="rId1490" xr:uid="{00000000-0004-0000-0000-0000D1050000}"/>
    <hyperlink ref="I1492" r:id="rId1491" xr:uid="{00000000-0004-0000-0000-0000D2050000}"/>
    <hyperlink ref="I1493" r:id="rId1492" xr:uid="{00000000-0004-0000-0000-0000D3050000}"/>
    <hyperlink ref="I1494" r:id="rId1493" xr:uid="{00000000-0004-0000-0000-0000D4050000}"/>
    <hyperlink ref="I1495" r:id="rId1494" xr:uid="{00000000-0004-0000-0000-0000D5050000}"/>
    <hyperlink ref="I1496" r:id="rId1495" xr:uid="{00000000-0004-0000-0000-0000D6050000}"/>
    <hyperlink ref="I1497" r:id="rId1496" xr:uid="{00000000-0004-0000-0000-0000D7050000}"/>
    <hyperlink ref="I1498" r:id="rId1497" xr:uid="{00000000-0004-0000-0000-0000D8050000}"/>
    <hyperlink ref="I1499" r:id="rId1498" xr:uid="{00000000-0004-0000-0000-0000D9050000}"/>
    <hyperlink ref="I1500" r:id="rId1499" xr:uid="{00000000-0004-0000-0000-0000DA050000}"/>
    <hyperlink ref="I1501" r:id="rId1500" xr:uid="{00000000-0004-0000-0000-0000DB050000}"/>
    <hyperlink ref="I1502" r:id="rId1501" xr:uid="{00000000-0004-0000-0000-0000DC050000}"/>
    <hyperlink ref="I1503" r:id="rId1502" xr:uid="{00000000-0004-0000-0000-0000DD050000}"/>
    <hyperlink ref="I1504" r:id="rId1503" xr:uid="{00000000-0004-0000-0000-0000DE050000}"/>
    <hyperlink ref="I1505" r:id="rId1504" xr:uid="{00000000-0004-0000-0000-0000DF050000}"/>
    <hyperlink ref="I1506" r:id="rId1505" xr:uid="{00000000-0004-0000-0000-0000E0050000}"/>
    <hyperlink ref="I1507" r:id="rId1506" xr:uid="{00000000-0004-0000-0000-0000E1050000}"/>
    <hyperlink ref="I1508" r:id="rId1507" xr:uid="{00000000-0004-0000-0000-0000E2050000}"/>
    <hyperlink ref="I1509" r:id="rId1508" xr:uid="{00000000-0004-0000-0000-0000E3050000}"/>
    <hyperlink ref="I1510" r:id="rId1509" xr:uid="{00000000-0004-0000-0000-0000E4050000}"/>
    <hyperlink ref="I1511" r:id="rId1510" xr:uid="{00000000-0004-0000-0000-0000E5050000}"/>
    <hyperlink ref="I1512" r:id="rId1511" xr:uid="{00000000-0004-0000-0000-0000E6050000}"/>
    <hyperlink ref="I1513" r:id="rId1512" xr:uid="{00000000-0004-0000-0000-0000E7050000}"/>
    <hyperlink ref="I1514" r:id="rId1513" xr:uid="{00000000-0004-0000-0000-0000E8050000}"/>
    <hyperlink ref="I1515" r:id="rId1514" xr:uid="{00000000-0004-0000-0000-0000E9050000}"/>
    <hyperlink ref="I1516" r:id="rId1515" xr:uid="{00000000-0004-0000-0000-0000EA050000}"/>
    <hyperlink ref="I1517" r:id="rId1516" xr:uid="{00000000-0004-0000-0000-0000EB050000}"/>
    <hyperlink ref="I1518" r:id="rId1517" xr:uid="{00000000-0004-0000-0000-0000EC050000}"/>
    <hyperlink ref="I1519" r:id="rId1518" xr:uid="{00000000-0004-0000-0000-0000ED050000}"/>
    <hyperlink ref="I1520" r:id="rId1519" xr:uid="{00000000-0004-0000-0000-0000EE050000}"/>
    <hyperlink ref="I1521" r:id="rId1520" xr:uid="{00000000-0004-0000-0000-0000EF050000}"/>
    <hyperlink ref="I1522" r:id="rId1521" xr:uid="{00000000-0004-0000-0000-0000F0050000}"/>
    <hyperlink ref="I1523" r:id="rId1522" xr:uid="{00000000-0004-0000-0000-0000F1050000}"/>
    <hyperlink ref="I1524" r:id="rId1523" xr:uid="{00000000-0004-0000-0000-0000F2050000}"/>
    <hyperlink ref="I1525" r:id="rId1524" xr:uid="{00000000-0004-0000-0000-0000F3050000}"/>
    <hyperlink ref="I1526" r:id="rId1525" xr:uid="{00000000-0004-0000-0000-0000F4050000}"/>
    <hyperlink ref="I1527" r:id="rId1526" xr:uid="{00000000-0004-0000-0000-0000F5050000}"/>
    <hyperlink ref="I1528" r:id="rId1527" xr:uid="{00000000-0004-0000-0000-0000F6050000}"/>
    <hyperlink ref="I1529" r:id="rId1528" xr:uid="{00000000-0004-0000-0000-0000F7050000}"/>
    <hyperlink ref="I1530" r:id="rId1529" xr:uid="{00000000-0004-0000-0000-0000F8050000}"/>
    <hyperlink ref="I1531" r:id="rId1530" xr:uid="{00000000-0004-0000-0000-0000F9050000}"/>
    <hyperlink ref="I1532" r:id="rId1531" xr:uid="{00000000-0004-0000-0000-0000FA050000}"/>
    <hyperlink ref="I1533" r:id="rId1532" xr:uid="{00000000-0004-0000-0000-0000FB050000}"/>
    <hyperlink ref="I1534" r:id="rId1533" xr:uid="{00000000-0004-0000-0000-0000FC050000}"/>
    <hyperlink ref="I1535" r:id="rId1534" xr:uid="{00000000-0004-0000-0000-0000FD050000}"/>
    <hyperlink ref="I1536" r:id="rId1535" xr:uid="{00000000-0004-0000-0000-0000FE050000}"/>
    <hyperlink ref="I1537" r:id="rId1536" xr:uid="{00000000-0004-0000-0000-0000FF050000}"/>
    <hyperlink ref="I1538" r:id="rId1537" xr:uid="{00000000-0004-0000-0000-000000060000}"/>
    <hyperlink ref="I1539" r:id="rId1538" xr:uid="{00000000-0004-0000-0000-000001060000}"/>
    <hyperlink ref="I1540" r:id="rId1539" xr:uid="{00000000-0004-0000-0000-000002060000}"/>
    <hyperlink ref="I1541" r:id="rId1540" xr:uid="{00000000-0004-0000-0000-000003060000}"/>
    <hyperlink ref="I1542" r:id="rId1541" xr:uid="{00000000-0004-0000-0000-000004060000}"/>
    <hyperlink ref="I1543" r:id="rId1542" xr:uid="{00000000-0004-0000-0000-000005060000}"/>
    <hyperlink ref="I1544" r:id="rId1543" xr:uid="{00000000-0004-0000-0000-000006060000}"/>
    <hyperlink ref="I1545" r:id="rId1544" xr:uid="{00000000-0004-0000-0000-000007060000}"/>
    <hyperlink ref="I1546" r:id="rId1545" xr:uid="{00000000-0004-0000-0000-000008060000}"/>
    <hyperlink ref="I1547" r:id="rId1546" xr:uid="{00000000-0004-0000-0000-000009060000}"/>
    <hyperlink ref="I1548" r:id="rId1547" xr:uid="{00000000-0004-0000-0000-00000A060000}"/>
    <hyperlink ref="I1549" r:id="rId1548" xr:uid="{00000000-0004-0000-0000-00000B060000}"/>
    <hyperlink ref="I1550" r:id="rId1549" xr:uid="{00000000-0004-0000-0000-00000C060000}"/>
    <hyperlink ref="I1551" r:id="rId1550" xr:uid="{00000000-0004-0000-0000-00000D060000}"/>
    <hyperlink ref="I1552" r:id="rId1551" xr:uid="{00000000-0004-0000-0000-00000E060000}"/>
    <hyperlink ref="I1553" r:id="rId1552" xr:uid="{00000000-0004-0000-0000-00000F060000}"/>
    <hyperlink ref="I1554" r:id="rId1553" xr:uid="{00000000-0004-0000-0000-000010060000}"/>
    <hyperlink ref="I1555" r:id="rId1554" xr:uid="{00000000-0004-0000-0000-000011060000}"/>
    <hyperlink ref="I1556" r:id="rId1555" xr:uid="{00000000-0004-0000-0000-000012060000}"/>
    <hyperlink ref="I1557" r:id="rId1556" xr:uid="{00000000-0004-0000-0000-000013060000}"/>
    <hyperlink ref="I1558" r:id="rId1557" xr:uid="{00000000-0004-0000-0000-000014060000}"/>
    <hyperlink ref="I1559" r:id="rId1558" xr:uid="{00000000-0004-0000-0000-000015060000}"/>
    <hyperlink ref="I1560" r:id="rId1559" xr:uid="{00000000-0004-0000-0000-000016060000}"/>
    <hyperlink ref="I1561" r:id="rId1560" xr:uid="{00000000-0004-0000-0000-000017060000}"/>
    <hyperlink ref="I1562" r:id="rId1561" xr:uid="{00000000-0004-0000-0000-000018060000}"/>
    <hyperlink ref="I1563" r:id="rId1562" xr:uid="{00000000-0004-0000-0000-000019060000}"/>
    <hyperlink ref="I1564" r:id="rId1563" xr:uid="{00000000-0004-0000-0000-00001A060000}"/>
    <hyperlink ref="I1565" r:id="rId1564" xr:uid="{00000000-0004-0000-0000-00001B060000}"/>
    <hyperlink ref="I1566" r:id="rId1565" xr:uid="{00000000-0004-0000-0000-00001C060000}"/>
    <hyperlink ref="I1567" r:id="rId1566" xr:uid="{00000000-0004-0000-0000-00001D060000}"/>
    <hyperlink ref="I1568" r:id="rId1567" xr:uid="{00000000-0004-0000-0000-00001E060000}"/>
    <hyperlink ref="I1569" r:id="rId1568" xr:uid="{00000000-0004-0000-0000-00001F060000}"/>
    <hyperlink ref="I1570" r:id="rId1569" xr:uid="{00000000-0004-0000-0000-000020060000}"/>
    <hyperlink ref="I1571" r:id="rId1570" xr:uid="{00000000-0004-0000-0000-000021060000}"/>
    <hyperlink ref="I1572" r:id="rId1571" xr:uid="{00000000-0004-0000-0000-000022060000}"/>
    <hyperlink ref="I1573" r:id="rId1572" xr:uid="{00000000-0004-0000-0000-000023060000}"/>
    <hyperlink ref="I1574" r:id="rId1573" xr:uid="{00000000-0004-0000-0000-000024060000}"/>
    <hyperlink ref="I1575" r:id="rId1574" xr:uid="{00000000-0004-0000-0000-000025060000}"/>
    <hyperlink ref="I1576" r:id="rId1575" xr:uid="{00000000-0004-0000-0000-000026060000}"/>
    <hyperlink ref="I1577" r:id="rId1576" xr:uid="{00000000-0004-0000-0000-000027060000}"/>
    <hyperlink ref="I1578" r:id="rId1577" xr:uid="{00000000-0004-0000-0000-000028060000}"/>
    <hyperlink ref="I1579" r:id="rId1578" xr:uid="{00000000-0004-0000-0000-000029060000}"/>
    <hyperlink ref="I1580" r:id="rId1579" xr:uid="{00000000-0004-0000-0000-00002A060000}"/>
    <hyperlink ref="I1581" r:id="rId1580" xr:uid="{00000000-0004-0000-0000-00002B060000}"/>
    <hyperlink ref="I1582" r:id="rId1581" xr:uid="{00000000-0004-0000-0000-00002C060000}"/>
    <hyperlink ref="I1583" r:id="rId1582" xr:uid="{00000000-0004-0000-0000-00002D060000}"/>
    <hyperlink ref="I1584" r:id="rId1583" xr:uid="{00000000-0004-0000-0000-00002E060000}"/>
    <hyperlink ref="I1585" r:id="rId1584" xr:uid="{00000000-0004-0000-0000-00002F060000}"/>
    <hyperlink ref="I1586" r:id="rId1585" xr:uid="{00000000-0004-0000-0000-000030060000}"/>
    <hyperlink ref="I1587" r:id="rId1586" xr:uid="{00000000-0004-0000-0000-000031060000}"/>
    <hyperlink ref="I1588" r:id="rId1587" xr:uid="{00000000-0004-0000-0000-000032060000}"/>
    <hyperlink ref="I1589" r:id="rId1588" xr:uid="{00000000-0004-0000-0000-000033060000}"/>
    <hyperlink ref="I1590" r:id="rId1589" xr:uid="{00000000-0004-0000-0000-000034060000}"/>
    <hyperlink ref="I1591" r:id="rId1590" xr:uid="{00000000-0004-0000-0000-000035060000}"/>
    <hyperlink ref="I1592" r:id="rId1591" xr:uid="{00000000-0004-0000-0000-000036060000}"/>
    <hyperlink ref="I1593" r:id="rId1592" xr:uid="{00000000-0004-0000-0000-000037060000}"/>
    <hyperlink ref="I1594" r:id="rId1593" xr:uid="{00000000-0004-0000-0000-000038060000}"/>
    <hyperlink ref="I1595" r:id="rId1594" xr:uid="{00000000-0004-0000-0000-000039060000}"/>
    <hyperlink ref="I1596" r:id="rId1595" xr:uid="{00000000-0004-0000-0000-00003A060000}"/>
    <hyperlink ref="I1597" r:id="rId1596" xr:uid="{00000000-0004-0000-0000-00003B060000}"/>
    <hyperlink ref="I1598" r:id="rId1597" xr:uid="{00000000-0004-0000-0000-00003C060000}"/>
    <hyperlink ref="I1599" r:id="rId1598" xr:uid="{00000000-0004-0000-0000-00003D060000}"/>
    <hyperlink ref="I1600" r:id="rId1599" xr:uid="{00000000-0004-0000-0000-00003E060000}"/>
    <hyperlink ref="I1601" r:id="rId1600" xr:uid="{00000000-0004-0000-0000-00003F060000}"/>
    <hyperlink ref="I1602" r:id="rId1601" xr:uid="{00000000-0004-0000-0000-000040060000}"/>
    <hyperlink ref="I1603" r:id="rId1602" xr:uid="{00000000-0004-0000-0000-000041060000}"/>
    <hyperlink ref="I1604" r:id="rId1603" xr:uid="{00000000-0004-0000-0000-000042060000}"/>
    <hyperlink ref="I1605" r:id="rId1604" xr:uid="{00000000-0004-0000-0000-000043060000}"/>
    <hyperlink ref="I1606" r:id="rId1605" xr:uid="{00000000-0004-0000-0000-000044060000}"/>
    <hyperlink ref="I1607" r:id="rId1606" xr:uid="{00000000-0004-0000-0000-000045060000}"/>
    <hyperlink ref="I1608" r:id="rId1607" xr:uid="{00000000-0004-0000-0000-000046060000}"/>
    <hyperlink ref="I1609" r:id="rId1608" xr:uid="{00000000-0004-0000-0000-000047060000}"/>
    <hyperlink ref="I1610" r:id="rId1609" xr:uid="{00000000-0004-0000-0000-000048060000}"/>
    <hyperlink ref="I1611" r:id="rId1610" xr:uid="{00000000-0004-0000-0000-000049060000}"/>
    <hyperlink ref="I1612" r:id="rId1611" xr:uid="{00000000-0004-0000-0000-00004A060000}"/>
    <hyperlink ref="I1613" r:id="rId1612" xr:uid="{00000000-0004-0000-0000-00004B060000}"/>
    <hyperlink ref="I1614" r:id="rId1613" xr:uid="{00000000-0004-0000-0000-00004C060000}"/>
    <hyperlink ref="I1615" r:id="rId1614" xr:uid="{00000000-0004-0000-0000-00004D060000}"/>
    <hyperlink ref="I1616" r:id="rId1615" xr:uid="{00000000-0004-0000-0000-00004E060000}"/>
    <hyperlink ref="I1617" r:id="rId1616" xr:uid="{00000000-0004-0000-0000-00004F060000}"/>
    <hyperlink ref="I1618" r:id="rId1617" xr:uid="{00000000-0004-0000-0000-000050060000}"/>
    <hyperlink ref="I1619" r:id="rId1618" xr:uid="{00000000-0004-0000-0000-000051060000}"/>
    <hyperlink ref="I1620" r:id="rId1619" xr:uid="{00000000-0004-0000-0000-000052060000}"/>
    <hyperlink ref="I1621" r:id="rId1620" xr:uid="{00000000-0004-0000-0000-000053060000}"/>
    <hyperlink ref="I1622" r:id="rId1621" xr:uid="{00000000-0004-0000-0000-000054060000}"/>
    <hyperlink ref="I1623" r:id="rId1622" xr:uid="{00000000-0004-0000-0000-000055060000}"/>
    <hyperlink ref="I1624" r:id="rId1623" xr:uid="{00000000-0004-0000-0000-000056060000}"/>
    <hyperlink ref="I1625" r:id="rId1624" xr:uid="{00000000-0004-0000-0000-000057060000}"/>
    <hyperlink ref="I1626" r:id="rId1625" xr:uid="{00000000-0004-0000-0000-000058060000}"/>
    <hyperlink ref="I1627" r:id="rId1626" xr:uid="{00000000-0004-0000-0000-000059060000}"/>
    <hyperlink ref="I1628" r:id="rId1627" xr:uid="{00000000-0004-0000-0000-00005A060000}"/>
    <hyperlink ref="I1629" r:id="rId1628" xr:uid="{00000000-0004-0000-0000-00005B060000}"/>
    <hyperlink ref="I1630" r:id="rId1629" xr:uid="{00000000-0004-0000-0000-00005C060000}"/>
    <hyperlink ref="I1631" r:id="rId1630" xr:uid="{00000000-0004-0000-0000-00005D060000}"/>
    <hyperlink ref="I1632" r:id="rId1631" xr:uid="{00000000-0004-0000-0000-00005E060000}"/>
    <hyperlink ref="I1633" r:id="rId1632" xr:uid="{00000000-0004-0000-0000-00005F060000}"/>
    <hyperlink ref="I1634" r:id="rId1633" xr:uid="{00000000-0004-0000-0000-000060060000}"/>
    <hyperlink ref="I1635" r:id="rId1634" xr:uid="{00000000-0004-0000-0000-000061060000}"/>
    <hyperlink ref="I1636" r:id="rId1635" xr:uid="{00000000-0004-0000-0000-000062060000}"/>
    <hyperlink ref="I1637" r:id="rId1636" xr:uid="{00000000-0004-0000-0000-000063060000}"/>
    <hyperlink ref="I1638" r:id="rId1637" xr:uid="{00000000-0004-0000-0000-000064060000}"/>
    <hyperlink ref="I1639" r:id="rId1638" xr:uid="{00000000-0004-0000-0000-000065060000}"/>
    <hyperlink ref="I1640" r:id="rId1639" xr:uid="{00000000-0004-0000-0000-000066060000}"/>
    <hyperlink ref="I1641" r:id="rId1640" xr:uid="{00000000-0004-0000-0000-000067060000}"/>
    <hyperlink ref="I1642" r:id="rId1641" xr:uid="{00000000-0004-0000-0000-000068060000}"/>
    <hyperlink ref="I1643" r:id="rId1642" xr:uid="{00000000-0004-0000-0000-000069060000}"/>
    <hyperlink ref="I1644" r:id="rId1643" xr:uid="{00000000-0004-0000-0000-00006A060000}"/>
    <hyperlink ref="I1645" r:id="rId1644" xr:uid="{00000000-0004-0000-0000-00006B060000}"/>
    <hyperlink ref="I1646" r:id="rId1645" xr:uid="{00000000-0004-0000-0000-00006C060000}"/>
    <hyperlink ref="I1647" r:id="rId1646" xr:uid="{00000000-0004-0000-0000-00006D060000}"/>
    <hyperlink ref="I1648" r:id="rId1647" xr:uid="{00000000-0004-0000-0000-00006E060000}"/>
    <hyperlink ref="I1649" r:id="rId1648" xr:uid="{00000000-0004-0000-0000-00006F060000}"/>
    <hyperlink ref="I1650" r:id="rId1649" xr:uid="{00000000-0004-0000-0000-000070060000}"/>
    <hyperlink ref="I1651" r:id="rId1650" xr:uid="{00000000-0004-0000-0000-000071060000}"/>
    <hyperlink ref="I1652" r:id="rId1651" xr:uid="{00000000-0004-0000-0000-000072060000}"/>
    <hyperlink ref="I1653" r:id="rId1652" xr:uid="{00000000-0004-0000-0000-000073060000}"/>
    <hyperlink ref="I1654" r:id="rId1653" xr:uid="{00000000-0004-0000-0000-000074060000}"/>
    <hyperlink ref="I1655" r:id="rId1654" xr:uid="{00000000-0004-0000-0000-000075060000}"/>
    <hyperlink ref="I1656" r:id="rId1655" xr:uid="{00000000-0004-0000-0000-000076060000}"/>
    <hyperlink ref="I1657" r:id="rId1656" xr:uid="{00000000-0004-0000-0000-000077060000}"/>
    <hyperlink ref="I1658" r:id="rId1657" xr:uid="{00000000-0004-0000-0000-000078060000}"/>
    <hyperlink ref="I1659" r:id="rId1658" xr:uid="{00000000-0004-0000-0000-000079060000}"/>
    <hyperlink ref="I1660" r:id="rId1659" xr:uid="{00000000-0004-0000-0000-00007A060000}"/>
    <hyperlink ref="I1661" r:id="rId1660" xr:uid="{00000000-0004-0000-0000-00007B060000}"/>
    <hyperlink ref="I1662" r:id="rId1661" xr:uid="{00000000-0004-0000-0000-00007C060000}"/>
    <hyperlink ref="I1663" r:id="rId1662" xr:uid="{00000000-0004-0000-0000-00007D060000}"/>
    <hyperlink ref="I1664" r:id="rId1663" xr:uid="{00000000-0004-0000-0000-00007E060000}"/>
    <hyperlink ref="I1665" r:id="rId1664" xr:uid="{00000000-0004-0000-0000-00007F060000}"/>
    <hyperlink ref="I1666" r:id="rId1665" xr:uid="{00000000-0004-0000-0000-000080060000}"/>
    <hyperlink ref="I1667" r:id="rId1666" xr:uid="{00000000-0004-0000-0000-000081060000}"/>
    <hyperlink ref="I1668" r:id="rId1667" xr:uid="{00000000-0004-0000-0000-000082060000}"/>
    <hyperlink ref="I1669" r:id="rId1668" xr:uid="{00000000-0004-0000-0000-000083060000}"/>
    <hyperlink ref="I1670" r:id="rId1669" xr:uid="{00000000-0004-0000-0000-000084060000}"/>
    <hyperlink ref="I1671" r:id="rId1670" xr:uid="{00000000-0004-0000-0000-000085060000}"/>
    <hyperlink ref="I1672" r:id="rId1671" xr:uid="{00000000-0004-0000-0000-000086060000}"/>
    <hyperlink ref="I1673" r:id="rId1672" xr:uid="{00000000-0004-0000-0000-000087060000}"/>
    <hyperlink ref="I1674" r:id="rId1673" xr:uid="{00000000-0004-0000-0000-000088060000}"/>
    <hyperlink ref="I1675" r:id="rId1674" xr:uid="{00000000-0004-0000-0000-000089060000}"/>
    <hyperlink ref="I1676" r:id="rId1675" xr:uid="{00000000-0004-0000-0000-00008A060000}"/>
    <hyperlink ref="I1677" r:id="rId1676" xr:uid="{00000000-0004-0000-0000-00008B060000}"/>
    <hyperlink ref="I1678" r:id="rId1677" xr:uid="{00000000-0004-0000-0000-00008C060000}"/>
    <hyperlink ref="I1679" r:id="rId1678" xr:uid="{00000000-0004-0000-0000-00008D060000}"/>
    <hyperlink ref="I1680" r:id="rId1679" xr:uid="{00000000-0004-0000-0000-00008E060000}"/>
    <hyperlink ref="I1681" r:id="rId1680" xr:uid="{00000000-0004-0000-0000-00008F060000}"/>
    <hyperlink ref="I1682" r:id="rId1681" xr:uid="{00000000-0004-0000-0000-000090060000}"/>
    <hyperlink ref="I1683" r:id="rId1682" xr:uid="{00000000-0004-0000-0000-000091060000}"/>
    <hyperlink ref="I1684" r:id="rId1683" xr:uid="{00000000-0004-0000-0000-000092060000}"/>
    <hyperlink ref="I1685" r:id="rId1684" xr:uid="{00000000-0004-0000-0000-000093060000}"/>
    <hyperlink ref="I1686" r:id="rId1685" xr:uid="{00000000-0004-0000-0000-000094060000}"/>
    <hyperlink ref="I1687" r:id="rId1686" xr:uid="{00000000-0004-0000-0000-000095060000}"/>
    <hyperlink ref="I1688" r:id="rId1687" xr:uid="{00000000-0004-0000-0000-000096060000}"/>
    <hyperlink ref="I1689" r:id="rId1688" xr:uid="{00000000-0004-0000-0000-000097060000}"/>
    <hyperlink ref="I1690" r:id="rId1689" xr:uid="{00000000-0004-0000-0000-000098060000}"/>
    <hyperlink ref="I1691" r:id="rId1690" xr:uid="{00000000-0004-0000-0000-000099060000}"/>
    <hyperlink ref="I1692" r:id="rId1691" xr:uid="{00000000-0004-0000-0000-00009A060000}"/>
    <hyperlink ref="I1693" r:id="rId1692" xr:uid="{00000000-0004-0000-0000-00009B060000}"/>
    <hyperlink ref="I1694" r:id="rId1693" xr:uid="{00000000-0004-0000-0000-00009C060000}"/>
    <hyperlink ref="I1695" r:id="rId1694" xr:uid="{00000000-0004-0000-0000-00009D060000}"/>
    <hyperlink ref="I1696" r:id="rId1695" xr:uid="{00000000-0004-0000-0000-00009E060000}"/>
    <hyperlink ref="I1697" r:id="rId1696" xr:uid="{00000000-0004-0000-0000-00009F060000}"/>
    <hyperlink ref="I1698" r:id="rId1697" xr:uid="{00000000-0004-0000-0000-0000A0060000}"/>
    <hyperlink ref="I1699" r:id="rId1698" xr:uid="{00000000-0004-0000-0000-0000A1060000}"/>
    <hyperlink ref="I1700" r:id="rId1699" xr:uid="{00000000-0004-0000-0000-0000A2060000}"/>
    <hyperlink ref="I1701" r:id="rId1700" xr:uid="{00000000-0004-0000-0000-0000A3060000}"/>
    <hyperlink ref="I1702" r:id="rId1701" xr:uid="{00000000-0004-0000-0000-0000A4060000}"/>
    <hyperlink ref="I1703" r:id="rId1702" xr:uid="{00000000-0004-0000-0000-0000A5060000}"/>
    <hyperlink ref="I1704" r:id="rId1703" xr:uid="{00000000-0004-0000-0000-0000A6060000}"/>
    <hyperlink ref="I1705" r:id="rId1704" xr:uid="{00000000-0004-0000-0000-0000A7060000}"/>
    <hyperlink ref="I1706" r:id="rId1705" xr:uid="{00000000-0004-0000-0000-0000A8060000}"/>
    <hyperlink ref="I1707" r:id="rId1706" xr:uid="{00000000-0004-0000-0000-0000A9060000}"/>
    <hyperlink ref="I1708" r:id="rId1707" xr:uid="{00000000-0004-0000-0000-0000AA060000}"/>
    <hyperlink ref="I1709" r:id="rId1708" xr:uid="{00000000-0004-0000-0000-0000AB060000}"/>
    <hyperlink ref="I1710" r:id="rId1709" xr:uid="{00000000-0004-0000-0000-0000AC060000}"/>
    <hyperlink ref="I1711" r:id="rId1710" xr:uid="{00000000-0004-0000-0000-0000AD060000}"/>
    <hyperlink ref="I1712" r:id="rId1711" xr:uid="{00000000-0004-0000-0000-0000AE060000}"/>
    <hyperlink ref="I1713" r:id="rId1712" xr:uid="{00000000-0004-0000-0000-0000AF060000}"/>
    <hyperlink ref="I1714" r:id="rId1713" xr:uid="{00000000-0004-0000-0000-0000B0060000}"/>
    <hyperlink ref="I1715" r:id="rId1714" xr:uid="{00000000-0004-0000-0000-0000B1060000}"/>
    <hyperlink ref="I1716" r:id="rId1715" xr:uid="{00000000-0004-0000-0000-0000B2060000}"/>
    <hyperlink ref="I1717" r:id="rId1716" xr:uid="{00000000-0004-0000-0000-0000B3060000}"/>
    <hyperlink ref="I1718" r:id="rId1717" xr:uid="{00000000-0004-0000-0000-0000B4060000}"/>
    <hyperlink ref="I1719" r:id="rId1718" xr:uid="{00000000-0004-0000-0000-0000B5060000}"/>
    <hyperlink ref="I1720" r:id="rId1719" xr:uid="{00000000-0004-0000-0000-0000B6060000}"/>
    <hyperlink ref="I1721" r:id="rId1720" xr:uid="{00000000-0004-0000-0000-0000B7060000}"/>
    <hyperlink ref="I1722" r:id="rId1721" xr:uid="{00000000-0004-0000-0000-0000B8060000}"/>
    <hyperlink ref="I1723" r:id="rId1722" xr:uid="{00000000-0004-0000-0000-0000B9060000}"/>
    <hyperlink ref="I1724" r:id="rId1723" xr:uid="{00000000-0004-0000-0000-0000BA060000}"/>
    <hyperlink ref="I1725" r:id="rId1724" xr:uid="{00000000-0004-0000-0000-0000BB060000}"/>
    <hyperlink ref="I1726" r:id="rId1725" xr:uid="{00000000-0004-0000-0000-0000BC060000}"/>
    <hyperlink ref="I1727" r:id="rId1726" xr:uid="{00000000-0004-0000-0000-0000BD060000}"/>
    <hyperlink ref="I1728" r:id="rId1727" xr:uid="{00000000-0004-0000-0000-0000BE060000}"/>
    <hyperlink ref="I1729" r:id="rId1728" xr:uid="{00000000-0004-0000-0000-0000BF060000}"/>
    <hyperlink ref="I1730" r:id="rId1729" xr:uid="{00000000-0004-0000-0000-0000C0060000}"/>
    <hyperlink ref="I1731" r:id="rId1730" xr:uid="{00000000-0004-0000-0000-0000C1060000}"/>
    <hyperlink ref="I1732" r:id="rId1731" xr:uid="{00000000-0004-0000-0000-0000C2060000}"/>
    <hyperlink ref="I1733" r:id="rId1732" xr:uid="{00000000-0004-0000-0000-0000C3060000}"/>
    <hyperlink ref="I1734" r:id="rId1733" xr:uid="{00000000-0004-0000-0000-0000C4060000}"/>
    <hyperlink ref="I1735" r:id="rId1734" xr:uid="{00000000-0004-0000-0000-0000C5060000}"/>
    <hyperlink ref="I1736" r:id="rId1735" xr:uid="{00000000-0004-0000-0000-0000C6060000}"/>
    <hyperlink ref="I1737" r:id="rId1736" xr:uid="{00000000-0004-0000-0000-0000C7060000}"/>
    <hyperlink ref="I1738" r:id="rId1737" xr:uid="{00000000-0004-0000-0000-0000C8060000}"/>
    <hyperlink ref="I1739" r:id="rId1738" xr:uid="{00000000-0004-0000-0000-0000C9060000}"/>
    <hyperlink ref="I1740" r:id="rId1739" xr:uid="{00000000-0004-0000-0000-0000CA060000}"/>
    <hyperlink ref="I1741" r:id="rId1740" xr:uid="{00000000-0004-0000-0000-0000CB060000}"/>
    <hyperlink ref="I1742" r:id="rId1741" xr:uid="{00000000-0004-0000-0000-0000CC060000}"/>
    <hyperlink ref="I1743" r:id="rId1742" xr:uid="{00000000-0004-0000-0000-0000CD060000}"/>
    <hyperlink ref="I1744" r:id="rId1743" xr:uid="{00000000-0004-0000-0000-0000CE060000}"/>
    <hyperlink ref="I1745" r:id="rId1744" xr:uid="{00000000-0004-0000-0000-0000CF060000}"/>
    <hyperlink ref="I1746" r:id="rId1745" xr:uid="{00000000-0004-0000-0000-0000D0060000}"/>
    <hyperlink ref="I1747" r:id="rId1746" xr:uid="{00000000-0004-0000-0000-0000D1060000}"/>
    <hyperlink ref="I1748" r:id="rId1747" xr:uid="{00000000-0004-0000-0000-0000D2060000}"/>
    <hyperlink ref="I1749" r:id="rId1748" xr:uid="{00000000-0004-0000-0000-0000D3060000}"/>
    <hyperlink ref="I1750" r:id="rId1749" xr:uid="{00000000-0004-0000-0000-0000D4060000}"/>
    <hyperlink ref="I1751" r:id="rId1750" xr:uid="{00000000-0004-0000-0000-0000D5060000}"/>
    <hyperlink ref="I1752" r:id="rId1751" xr:uid="{00000000-0004-0000-0000-0000D6060000}"/>
    <hyperlink ref="I1753" r:id="rId1752" xr:uid="{00000000-0004-0000-0000-0000D7060000}"/>
    <hyperlink ref="I1754" r:id="rId1753" xr:uid="{00000000-0004-0000-0000-0000D8060000}"/>
    <hyperlink ref="I1755" r:id="rId1754" xr:uid="{00000000-0004-0000-0000-0000D9060000}"/>
    <hyperlink ref="I1756" r:id="rId1755" xr:uid="{00000000-0004-0000-0000-0000DA060000}"/>
    <hyperlink ref="I1757" r:id="rId1756" xr:uid="{00000000-0004-0000-0000-0000DB060000}"/>
    <hyperlink ref="I1758" r:id="rId1757" xr:uid="{00000000-0004-0000-0000-0000DC060000}"/>
    <hyperlink ref="I1759" r:id="rId1758" xr:uid="{00000000-0004-0000-0000-0000DD060000}"/>
    <hyperlink ref="I1760" r:id="rId1759" xr:uid="{00000000-0004-0000-0000-0000DE060000}"/>
    <hyperlink ref="I1761" r:id="rId1760" xr:uid="{00000000-0004-0000-0000-0000DF060000}"/>
    <hyperlink ref="I1762" r:id="rId1761" xr:uid="{00000000-0004-0000-0000-0000E0060000}"/>
    <hyperlink ref="I1763" r:id="rId1762" xr:uid="{00000000-0004-0000-0000-0000E1060000}"/>
    <hyperlink ref="I1764" r:id="rId1763" xr:uid="{00000000-0004-0000-0000-0000E2060000}"/>
    <hyperlink ref="I1765" r:id="rId1764" xr:uid="{00000000-0004-0000-0000-0000E3060000}"/>
    <hyperlink ref="I1766" r:id="rId1765" xr:uid="{00000000-0004-0000-0000-0000E4060000}"/>
    <hyperlink ref="I1767" r:id="rId1766" xr:uid="{00000000-0004-0000-0000-0000E5060000}"/>
    <hyperlink ref="I1768" r:id="rId1767" xr:uid="{00000000-0004-0000-0000-0000E6060000}"/>
    <hyperlink ref="I1769" r:id="rId1768" xr:uid="{00000000-0004-0000-0000-0000E7060000}"/>
    <hyperlink ref="I1770" r:id="rId1769" xr:uid="{00000000-0004-0000-0000-0000E8060000}"/>
    <hyperlink ref="I1771" r:id="rId1770" xr:uid="{00000000-0004-0000-0000-0000E9060000}"/>
    <hyperlink ref="I1772" r:id="rId1771" xr:uid="{00000000-0004-0000-0000-0000EA060000}"/>
    <hyperlink ref="I1773" r:id="rId1772" xr:uid="{00000000-0004-0000-0000-0000EB060000}"/>
    <hyperlink ref="I1774" r:id="rId1773" xr:uid="{00000000-0004-0000-0000-0000EC060000}"/>
    <hyperlink ref="I1775" r:id="rId1774" xr:uid="{00000000-0004-0000-0000-0000ED060000}"/>
    <hyperlink ref="I1776" r:id="rId1775" xr:uid="{00000000-0004-0000-0000-0000EE060000}"/>
    <hyperlink ref="I1777" r:id="rId1776" xr:uid="{00000000-0004-0000-0000-0000EF060000}"/>
    <hyperlink ref="I1778" r:id="rId1777" xr:uid="{00000000-0004-0000-0000-0000F0060000}"/>
    <hyperlink ref="I1779" r:id="rId1778" xr:uid="{00000000-0004-0000-0000-0000F1060000}"/>
    <hyperlink ref="I1780" r:id="rId1779" xr:uid="{00000000-0004-0000-0000-0000F2060000}"/>
    <hyperlink ref="I1781" r:id="rId1780" xr:uid="{00000000-0004-0000-0000-0000F3060000}"/>
    <hyperlink ref="I1782" r:id="rId1781" xr:uid="{00000000-0004-0000-0000-0000F4060000}"/>
    <hyperlink ref="I1783" r:id="rId1782" xr:uid="{00000000-0004-0000-0000-0000F5060000}"/>
    <hyperlink ref="I1784" r:id="rId1783" xr:uid="{00000000-0004-0000-0000-0000F6060000}"/>
    <hyperlink ref="I1785" r:id="rId1784" xr:uid="{00000000-0004-0000-0000-0000F7060000}"/>
    <hyperlink ref="I1786" r:id="rId1785" xr:uid="{00000000-0004-0000-0000-0000F8060000}"/>
    <hyperlink ref="I1787" r:id="rId1786" xr:uid="{00000000-0004-0000-0000-0000F9060000}"/>
    <hyperlink ref="I1788" r:id="rId1787" xr:uid="{00000000-0004-0000-0000-0000FA060000}"/>
    <hyperlink ref="I1789" r:id="rId1788" xr:uid="{00000000-0004-0000-0000-0000FB060000}"/>
    <hyperlink ref="I1790" r:id="rId1789" xr:uid="{00000000-0004-0000-0000-0000FC060000}"/>
    <hyperlink ref="I1791" r:id="rId1790" xr:uid="{00000000-0004-0000-0000-0000FD060000}"/>
    <hyperlink ref="I1792" r:id="rId1791" xr:uid="{00000000-0004-0000-0000-0000FE060000}"/>
    <hyperlink ref="I1793" r:id="rId1792" xr:uid="{00000000-0004-0000-0000-0000FF060000}"/>
    <hyperlink ref="I1794" r:id="rId1793" xr:uid="{00000000-0004-0000-0000-000000070000}"/>
    <hyperlink ref="I1795" r:id="rId1794" xr:uid="{00000000-0004-0000-0000-000001070000}"/>
    <hyperlink ref="I1796" r:id="rId1795" xr:uid="{00000000-0004-0000-0000-000002070000}"/>
    <hyperlink ref="I1797" r:id="rId1796" xr:uid="{00000000-0004-0000-0000-000003070000}"/>
    <hyperlink ref="I1798" r:id="rId1797" xr:uid="{00000000-0004-0000-0000-000004070000}"/>
    <hyperlink ref="I1799" r:id="rId1798" xr:uid="{00000000-0004-0000-0000-000005070000}"/>
    <hyperlink ref="I1800" r:id="rId1799" xr:uid="{00000000-0004-0000-0000-000006070000}"/>
    <hyperlink ref="I1801" r:id="rId1800" xr:uid="{00000000-0004-0000-0000-000007070000}"/>
    <hyperlink ref="I1802" r:id="rId1801" xr:uid="{00000000-0004-0000-0000-000008070000}"/>
    <hyperlink ref="I1803" r:id="rId1802" xr:uid="{00000000-0004-0000-0000-000009070000}"/>
    <hyperlink ref="I1804" r:id="rId1803" xr:uid="{00000000-0004-0000-0000-00000A070000}"/>
    <hyperlink ref="I1805" r:id="rId1804" xr:uid="{00000000-0004-0000-0000-00000B070000}"/>
    <hyperlink ref="I1806" r:id="rId1805" xr:uid="{00000000-0004-0000-0000-00000C070000}"/>
    <hyperlink ref="I1807" r:id="rId1806" xr:uid="{00000000-0004-0000-0000-00000D070000}"/>
    <hyperlink ref="I1808" r:id="rId1807" xr:uid="{00000000-0004-0000-0000-00000E070000}"/>
    <hyperlink ref="I1809" r:id="rId1808" xr:uid="{00000000-0004-0000-0000-00000F070000}"/>
    <hyperlink ref="I1810" r:id="rId1809" xr:uid="{00000000-0004-0000-0000-000010070000}"/>
    <hyperlink ref="I1811" r:id="rId1810" xr:uid="{00000000-0004-0000-0000-000011070000}"/>
    <hyperlink ref="I1812" r:id="rId1811" xr:uid="{00000000-0004-0000-0000-000012070000}"/>
    <hyperlink ref="I1813" r:id="rId1812" xr:uid="{00000000-0004-0000-0000-000013070000}"/>
    <hyperlink ref="I1814" r:id="rId1813" xr:uid="{00000000-0004-0000-0000-000014070000}"/>
    <hyperlink ref="I1815" r:id="rId1814" xr:uid="{00000000-0004-0000-0000-000015070000}"/>
    <hyperlink ref="I1816" r:id="rId1815" xr:uid="{00000000-0004-0000-0000-000016070000}"/>
    <hyperlink ref="I1817" r:id="rId1816" xr:uid="{00000000-0004-0000-0000-000017070000}"/>
    <hyperlink ref="I1818" r:id="rId1817" xr:uid="{00000000-0004-0000-0000-000018070000}"/>
    <hyperlink ref="I1819" r:id="rId1818" xr:uid="{00000000-0004-0000-0000-000019070000}"/>
    <hyperlink ref="I1820" r:id="rId1819" xr:uid="{00000000-0004-0000-0000-00001A070000}"/>
    <hyperlink ref="I1821" r:id="rId1820" xr:uid="{00000000-0004-0000-0000-00001B070000}"/>
    <hyperlink ref="I1822" r:id="rId1821" xr:uid="{00000000-0004-0000-0000-00001C070000}"/>
    <hyperlink ref="I1823" r:id="rId1822" xr:uid="{00000000-0004-0000-0000-00001D070000}"/>
    <hyperlink ref="I1824" r:id="rId1823" xr:uid="{00000000-0004-0000-0000-00001E070000}"/>
    <hyperlink ref="I1825" r:id="rId1824" xr:uid="{00000000-0004-0000-0000-00001F070000}"/>
    <hyperlink ref="I1826" r:id="rId1825" xr:uid="{00000000-0004-0000-0000-000020070000}"/>
    <hyperlink ref="I1827" r:id="rId1826" xr:uid="{00000000-0004-0000-0000-000021070000}"/>
    <hyperlink ref="I1828" r:id="rId1827" xr:uid="{00000000-0004-0000-0000-000022070000}"/>
    <hyperlink ref="I1829" r:id="rId1828" xr:uid="{00000000-0004-0000-0000-000023070000}"/>
    <hyperlink ref="I1830" r:id="rId1829" xr:uid="{00000000-0004-0000-0000-000024070000}"/>
    <hyperlink ref="I1831" r:id="rId1830" xr:uid="{00000000-0004-0000-0000-000025070000}"/>
    <hyperlink ref="I1832" r:id="rId1831" xr:uid="{00000000-0004-0000-0000-000026070000}"/>
    <hyperlink ref="I1833" r:id="rId1832" xr:uid="{00000000-0004-0000-0000-000027070000}"/>
    <hyperlink ref="I1834" r:id="rId1833" xr:uid="{00000000-0004-0000-0000-000028070000}"/>
    <hyperlink ref="I1835" r:id="rId1834" xr:uid="{00000000-0004-0000-0000-000029070000}"/>
    <hyperlink ref="I1836" r:id="rId1835" xr:uid="{00000000-0004-0000-0000-00002A070000}"/>
    <hyperlink ref="I1837" r:id="rId1836" xr:uid="{00000000-0004-0000-0000-00002B070000}"/>
    <hyperlink ref="I1838" r:id="rId1837" xr:uid="{00000000-0004-0000-0000-00002C070000}"/>
    <hyperlink ref="I1839" r:id="rId1838" xr:uid="{00000000-0004-0000-0000-00002D070000}"/>
    <hyperlink ref="I1840" r:id="rId1839" xr:uid="{00000000-0004-0000-0000-00002E070000}"/>
    <hyperlink ref="I1841" r:id="rId1840" xr:uid="{00000000-0004-0000-0000-00002F070000}"/>
    <hyperlink ref="I1842" r:id="rId1841" xr:uid="{00000000-0004-0000-0000-000030070000}"/>
    <hyperlink ref="I1843" r:id="rId1842" xr:uid="{00000000-0004-0000-0000-000031070000}"/>
    <hyperlink ref="I1844" r:id="rId1843" xr:uid="{00000000-0004-0000-0000-000032070000}"/>
    <hyperlink ref="I1845" r:id="rId1844" xr:uid="{00000000-0004-0000-0000-000033070000}"/>
    <hyperlink ref="I1846" r:id="rId1845" xr:uid="{00000000-0004-0000-0000-000034070000}"/>
    <hyperlink ref="I1847" r:id="rId1846" xr:uid="{00000000-0004-0000-0000-000035070000}"/>
    <hyperlink ref="I1848" r:id="rId1847" xr:uid="{00000000-0004-0000-0000-000036070000}"/>
    <hyperlink ref="I1849" r:id="rId1848" xr:uid="{00000000-0004-0000-0000-000037070000}"/>
    <hyperlink ref="I1850" r:id="rId1849" xr:uid="{00000000-0004-0000-0000-000038070000}"/>
    <hyperlink ref="I1851" r:id="rId1850" xr:uid="{00000000-0004-0000-0000-000039070000}"/>
    <hyperlink ref="I1852" r:id="rId1851" xr:uid="{00000000-0004-0000-0000-00003A070000}"/>
    <hyperlink ref="I1853" r:id="rId1852" xr:uid="{00000000-0004-0000-0000-00003B070000}"/>
    <hyperlink ref="I1854" r:id="rId1853" xr:uid="{00000000-0004-0000-0000-00003C070000}"/>
    <hyperlink ref="I1855" r:id="rId1854" xr:uid="{00000000-0004-0000-0000-00003D070000}"/>
    <hyperlink ref="I1856" r:id="rId1855" xr:uid="{00000000-0004-0000-0000-00003E070000}"/>
    <hyperlink ref="I1857" r:id="rId1856" xr:uid="{00000000-0004-0000-0000-00003F070000}"/>
    <hyperlink ref="I1858" r:id="rId1857" xr:uid="{00000000-0004-0000-0000-000040070000}"/>
    <hyperlink ref="I1859" r:id="rId1858" xr:uid="{00000000-0004-0000-0000-000041070000}"/>
    <hyperlink ref="I1860" r:id="rId1859" xr:uid="{00000000-0004-0000-0000-000042070000}"/>
    <hyperlink ref="I1861" r:id="rId1860" xr:uid="{00000000-0004-0000-0000-000043070000}"/>
    <hyperlink ref="I1862" r:id="rId1861" xr:uid="{00000000-0004-0000-0000-000044070000}"/>
    <hyperlink ref="I1863" r:id="rId1862" xr:uid="{00000000-0004-0000-0000-000045070000}"/>
    <hyperlink ref="I1864" r:id="rId1863" xr:uid="{00000000-0004-0000-0000-000046070000}"/>
    <hyperlink ref="I1865" r:id="rId1864" xr:uid="{00000000-0004-0000-0000-000047070000}"/>
    <hyperlink ref="I1866" r:id="rId1865" xr:uid="{00000000-0004-0000-0000-000048070000}"/>
    <hyperlink ref="I1867" r:id="rId1866" xr:uid="{00000000-0004-0000-0000-000049070000}"/>
    <hyperlink ref="I1868" r:id="rId1867" xr:uid="{00000000-0004-0000-0000-00004A070000}"/>
    <hyperlink ref="I1869" r:id="rId1868" xr:uid="{00000000-0004-0000-0000-00004B070000}"/>
    <hyperlink ref="I1870" r:id="rId1869" xr:uid="{00000000-0004-0000-0000-00004C070000}"/>
    <hyperlink ref="I1871" r:id="rId1870" xr:uid="{00000000-0004-0000-0000-00004D070000}"/>
    <hyperlink ref="I1872" r:id="rId1871" xr:uid="{00000000-0004-0000-0000-00004E070000}"/>
    <hyperlink ref="I1873" r:id="rId1872" xr:uid="{00000000-0004-0000-0000-00004F070000}"/>
    <hyperlink ref="I1874" r:id="rId1873" xr:uid="{00000000-0004-0000-0000-000050070000}"/>
    <hyperlink ref="I1875" r:id="rId1874" xr:uid="{00000000-0004-0000-0000-000051070000}"/>
    <hyperlink ref="I1876" r:id="rId1875" xr:uid="{00000000-0004-0000-0000-000052070000}"/>
    <hyperlink ref="I1877" r:id="rId1876" xr:uid="{00000000-0004-0000-0000-000053070000}"/>
    <hyperlink ref="I1878" r:id="rId1877" xr:uid="{00000000-0004-0000-0000-000054070000}"/>
    <hyperlink ref="I1879" r:id="rId1878" xr:uid="{00000000-0004-0000-0000-000055070000}"/>
    <hyperlink ref="I1880" r:id="rId1879" xr:uid="{00000000-0004-0000-0000-000056070000}"/>
    <hyperlink ref="I1881" r:id="rId1880" xr:uid="{00000000-0004-0000-0000-000057070000}"/>
    <hyperlink ref="I1882" r:id="rId1881" xr:uid="{00000000-0004-0000-0000-000058070000}"/>
    <hyperlink ref="I1883" r:id="rId1882" xr:uid="{00000000-0004-0000-0000-000059070000}"/>
    <hyperlink ref="I1884" r:id="rId1883" xr:uid="{00000000-0004-0000-0000-00005A070000}"/>
    <hyperlink ref="I1885" r:id="rId1884" xr:uid="{00000000-0004-0000-0000-00005B070000}"/>
    <hyperlink ref="I1886" r:id="rId1885" xr:uid="{00000000-0004-0000-0000-00005C070000}"/>
    <hyperlink ref="I1887" r:id="rId1886" xr:uid="{00000000-0004-0000-0000-00005D070000}"/>
    <hyperlink ref="I1888" r:id="rId1887" xr:uid="{00000000-0004-0000-0000-00005E070000}"/>
    <hyperlink ref="I1889" r:id="rId1888" xr:uid="{00000000-0004-0000-0000-00005F070000}"/>
    <hyperlink ref="I1890" r:id="rId1889" xr:uid="{00000000-0004-0000-0000-000060070000}"/>
    <hyperlink ref="I1891" r:id="rId1890" xr:uid="{00000000-0004-0000-0000-000061070000}"/>
    <hyperlink ref="I1892" r:id="rId1891" xr:uid="{00000000-0004-0000-0000-000062070000}"/>
    <hyperlink ref="I1893" r:id="rId1892" xr:uid="{00000000-0004-0000-0000-000063070000}"/>
    <hyperlink ref="I1894" r:id="rId1893" xr:uid="{00000000-0004-0000-0000-000064070000}"/>
    <hyperlink ref="I1895" r:id="rId1894" xr:uid="{00000000-0004-0000-0000-000065070000}"/>
    <hyperlink ref="I1896" r:id="rId1895" xr:uid="{00000000-0004-0000-0000-000066070000}"/>
    <hyperlink ref="I1897" r:id="rId1896" xr:uid="{00000000-0004-0000-0000-000067070000}"/>
    <hyperlink ref="I1898" r:id="rId1897" xr:uid="{00000000-0004-0000-0000-000068070000}"/>
    <hyperlink ref="I1899" r:id="rId1898" xr:uid="{00000000-0004-0000-0000-000069070000}"/>
    <hyperlink ref="I1900" r:id="rId1899" xr:uid="{00000000-0004-0000-0000-00006A070000}"/>
    <hyperlink ref="I1901" r:id="rId1900" xr:uid="{00000000-0004-0000-0000-00006B070000}"/>
    <hyperlink ref="I1902" r:id="rId1901" xr:uid="{00000000-0004-0000-0000-00006C070000}"/>
    <hyperlink ref="I1903" r:id="rId1902" xr:uid="{00000000-0004-0000-0000-00006D070000}"/>
    <hyperlink ref="I1904" r:id="rId1903" xr:uid="{00000000-0004-0000-0000-00006E070000}"/>
    <hyperlink ref="I1905" r:id="rId1904" xr:uid="{00000000-0004-0000-0000-00006F070000}"/>
    <hyperlink ref="I1906" r:id="rId1905" xr:uid="{00000000-0004-0000-0000-000070070000}"/>
    <hyperlink ref="I1907" r:id="rId1906" xr:uid="{00000000-0004-0000-0000-000071070000}"/>
    <hyperlink ref="I1908" r:id="rId1907" xr:uid="{00000000-0004-0000-0000-000072070000}"/>
    <hyperlink ref="I1909" r:id="rId1908" xr:uid="{00000000-0004-0000-0000-000073070000}"/>
    <hyperlink ref="I1910" r:id="rId1909" xr:uid="{00000000-0004-0000-0000-000074070000}"/>
    <hyperlink ref="I1911" r:id="rId1910" xr:uid="{00000000-0004-0000-0000-000075070000}"/>
    <hyperlink ref="I1912" r:id="rId1911" xr:uid="{00000000-0004-0000-0000-000076070000}"/>
    <hyperlink ref="I1913" r:id="rId1912" xr:uid="{00000000-0004-0000-0000-000077070000}"/>
    <hyperlink ref="I1914" r:id="rId1913" xr:uid="{00000000-0004-0000-0000-000078070000}"/>
    <hyperlink ref="I1915" r:id="rId1914" xr:uid="{00000000-0004-0000-0000-000079070000}"/>
    <hyperlink ref="I1916" r:id="rId1915" xr:uid="{00000000-0004-0000-0000-00007A070000}"/>
    <hyperlink ref="I1917" r:id="rId1916" xr:uid="{00000000-0004-0000-0000-00007B070000}"/>
    <hyperlink ref="I1918" r:id="rId1917" xr:uid="{00000000-0004-0000-0000-00007C070000}"/>
    <hyperlink ref="I1919" r:id="rId1918" xr:uid="{00000000-0004-0000-0000-00007D070000}"/>
    <hyperlink ref="I1920" r:id="rId1919" xr:uid="{00000000-0004-0000-0000-00007E070000}"/>
    <hyperlink ref="I1921" r:id="rId1920" xr:uid="{00000000-0004-0000-0000-00007F070000}"/>
    <hyperlink ref="I1922" r:id="rId1921" xr:uid="{00000000-0004-0000-0000-000080070000}"/>
    <hyperlink ref="I1923" r:id="rId1922" xr:uid="{00000000-0004-0000-0000-000081070000}"/>
    <hyperlink ref="I1924" r:id="rId1923" xr:uid="{00000000-0004-0000-0000-000082070000}"/>
    <hyperlink ref="I1925" r:id="rId1924" xr:uid="{00000000-0004-0000-0000-000083070000}"/>
    <hyperlink ref="I1926" r:id="rId1925" xr:uid="{00000000-0004-0000-0000-000084070000}"/>
    <hyperlink ref="I1927" r:id="rId1926" xr:uid="{00000000-0004-0000-0000-000085070000}"/>
    <hyperlink ref="I1928" r:id="rId1927" xr:uid="{00000000-0004-0000-0000-000086070000}"/>
    <hyperlink ref="I1929" r:id="rId1928" xr:uid="{00000000-0004-0000-0000-000087070000}"/>
    <hyperlink ref="I1930" r:id="rId1929" xr:uid="{00000000-0004-0000-0000-000088070000}"/>
    <hyperlink ref="I1931" r:id="rId1930" xr:uid="{00000000-0004-0000-0000-000089070000}"/>
    <hyperlink ref="I1932" r:id="rId1931" xr:uid="{00000000-0004-0000-0000-00008A070000}"/>
    <hyperlink ref="I1933" r:id="rId1932" xr:uid="{00000000-0004-0000-0000-00008B070000}"/>
    <hyperlink ref="I1934" r:id="rId1933" xr:uid="{00000000-0004-0000-0000-00008C070000}"/>
    <hyperlink ref="I1935" r:id="rId1934" xr:uid="{00000000-0004-0000-0000-00008D070000}"/>
    <hyperlink ref="I1936" r:id="rId1935" xr:uid="{00000000-0004-0000-0000-00008E070000}"/>
    <hyperlink ref="I1937" r:id="rId1936" xr:uid="{00000000-0004-0000-0000-00008F070000}"/>
    <hyperlink ref="I1938" r:id="rId1937" xr:uid="{00000000-0004-0000-0000-000090070000}"/>
    <hyperlink ref="I1939" r:id="rId1938" xr:uid="{00000000-0004-0000-0000-000091070000}"/>
    <hyperlink ref="I1940" r:id="rId1939" xr:uid="{00000000-0004-0000-0000-000092070000}"/>
    <hyperlink ref="I1941" r:id="rId1940" xr:uid="{00000000-0004-0000-0000-000093070000}"/>
    <hyperlink ref="I1942" r:id="rId1941" xr:uid="{00000000-0004-0000-0000-000094070000}"/>
    <hyperlink ref="I1943" r:id="rId1942" xr:uid="{00000000-0004-0000-0000-000095070000}"/>
    <hyperlink ref="I1944" r:id="rId1943" xr:uid="{00000000-0004-0000-0000-000096070000}"/>
    <hyperlink ref="I1945" r:id="rId1944" xr:uid="{00000000-0004-0000-0000-000097070000}"/>
    <hyperlink ref="I1946" r:id="rId1945" xr:uid="{00000000-0004-0000-0000-000098070000}"/>
    <hyperlink ref="I1947" r:id="rId1946" xr:uid="{00000000-0004-0000-0000-000099070000}"/>
    <hyperlink ref="I1948" r:id="rId1947" xr:uid="{00000000-0004-0000-0000-00009A070000}"/>
    <hyperlink ref="I1949" r:id="rId1948" xr:uid="{00000000-0004-0000-0000-00009B070000}"/>
    <hyperlink ref="I1950" r:id="rId1949" xr:uid="{00000000-0004-0000-0000-00009C070000}"/>
    <hyperlink ref="I1951" r:id="rId1950" xr:uid="{00000000-0004-0000-0000-00009D070000}"/>
    <hyperlink ref="I1952" r:id="rId1951" xr:uid="{00000000-0004-0000-0000-00009E070000}"/>
    <hyperlink ref="I1953" r:id="rId1952" xr:uid="{00000000-0004-0000-0000-00009F070000}"/>
    <hyperlink ref="I1954" r:id="rId1953" xr:uid="{00000000-0004-0000-0000-0000A0070000}"/>
    <hyperlink ref="I1955" r:id="rId1954" xr:uid="{00000000-0004-0000-0000-0000A1070000}"/>
    <hyperlink ref="I1956" r:id="rId1955" xr:uid="{00000000-0004-0000-0000-0000A2070000}"/>
    <hyperlink ref="I1957" r:id="rId1956" xr:uid="{00000000-0004-0000-0000-0000A3070000}"/>
    <hyperlink ref="I1958" r:id="rId1957" xr:uid="{00000000-0004-0000-0000-0000A4070000}"/>
    <hyperlink ref="I1959" r:id="rId1958" xr:uid="{00000000-0004-0000-0000-0000A5070000}"/>
    <hyperlink ref="I1960" r:id="rId1959" xr:uid="{00000000-0004-0000-0000-0000A6070000}"/>
    <hyperlink ref="I1961" r:id="rId1960" xr:uid="{00000000-0004-0000-0000-0000A7070000}"/>
    <hyperlink ref="I1962" r:id="rId1961" xr:uid="{00000000-0004-0000-0000-0000A8070000}"/>
    <hyperlink ref="I1963" r:id="rId1962" xr:uid="{00000000-0004-0000-0000-0000A9070000}"/>
    <hyperlink ref="I1964" r:id="rId1963" xr:uid="{00000000-0004-0000-0000-0000AA070000}"/>
    <hyperlink ref="I1965" r:id="rId1964" xr:uid="{00000000-0004-0000-0000-0000AB070000}"/>
    <hyperlink ref="I1966" r:id="rId1965" xr:uid="{00000000-0004-0000-0000-0000AC070000}"/>
    <hyperlink ref="I1967" r:id="rId1966" xr:uid="{00000000-0004-0000-0000-0000AD070000}"/>
    <hyperlink ref="I1968" r:id="rId1967" xr:uid="{00000000-0004-0000-0000-0000AE070000}"/>
    <hyperlink ref="I1969" r:id="rId1968" xr:uid="{00000000-0004-0000-0000-0000AF070000}"/>
    <hyperlink ref="I1970" r:id="rId1969" xr:uid="{00000000-0004-0000-0000-0000B0070000}"/>
    <hyperlink ref="I1971" r:id="rId1970" xr:uid="{00000000-0004-0000-0000-0000B1070000}"/>
    <hyperlink ref="I1972" r:id="rId1971" xr:uid="{00000000-0004-0000-0000-0000B2070000}"/>
    <hyperlink ref="I1973" r:id="rId1972" xr:uid="{00000000-0004-0000-0000-0000B3070000}"/>
    <hyperlink ref="I1974" r:id="rId1973" xr:uid="{00000000-0004-0000-0000-0000B4070000}"/>
    <hyperlink ref="I1975" r:id="rId1974" xr:uid="{00000000-0004-0000-0000-0000B5070000}"/>
    <hyperlink ref="I1976" r:id="rId1975" xr:uid="{00000000-0004-0000-0000-0000B6070000}"/>
    <hyperlink ref="I1977" r:id="rId1976" xr:uid="{00000000-0004-0000-0000-0000B7070000}"/>
    <hyperlink ref="I1978" r:id="rId1977" xr:uid="{00000000-0004-0000-0000-0000B8070000}"/>
    <hyperlink ref="I1979" r:id="rId1978" xr:uid="{00000000-0004-0000-0000-0000B9070000}"/>
    <hyperlink ref="I1980" r:id="rId1979" xr:uid="{00000000-0004-0000-0000-0000BA070000}"/>
    <hyperlink ref="I1981" r:id="rId1980" xr:uid="{00000000-0004-0000-0000-0000BB070000}"/>
    <hyperlink ref="I1982" r:id="rId1981" xr:uid="{00000000-0004-0000-0000-0000BC070000}"/>
    <hyperlink ref="I1983" r:id="rId1982" xr:uid="{00000000-0004-0000-0000-0000BD070000}"/>
    <hyperlink ref="I1984" r:id="rId1983" xr:uid="{00000000-0004-0000-0000-0000BE070000}"/>
    <hyperlink ref="I1985" r:id="rId1984" xr:uid="{00000000-0004-0000-0000-0000BF070000}"/>
    <hyperlink ref="I1986" r:id="rId1985" xr:uid="{00000000-0004-0000-0000-0000C0070000}"/>
    <hyperlink ref="I1987" r:id="rId1986" xr:uid="{00000000-0004-0000-0000-0000C1070000}"/>
    <hyperlink ref="I1988" r:id="rId1987" xr:uid="{00000000-0004-0000-0000-0000C2070000}"/>
    <hyperlink ref="I1989" r:id="rId1988" xr:uid="{00000000-0004-0000-0000-0000C3070000}"/>
    <hyperlink ref="I1990" r:id="rId1989" xr:uid="{00000000-0004-0000-0000-0000C4070000}"/>
    <hyperlink ref="I1991" r:id="rId1990" xr:uid="{00000000-0004-0000-0000-0000C5070000}"/>
    <hyperlink ref="I1992" r:id="rId1991" xr:uid="{00000000-0004-0000-0000-0000C6070000}"/>
    <hyperlink ref="I1993" r:id="rId1992" xr:uid="{00000000-0004-0000-0000-0000C7070000}"/>
    <hyperlink ref="I1994" r:id="rId1993" xr:uid="{00000000-0004-0000-0000-0000C8070000}"/>
    <hyperlink ref="I1995" r:id="rId1994" xr:uid="{00000000-0004-0000-0000-0000C9070000}"/>
    <hyperlink ref="I1996" r:id="rId1995" xr:uid="{00000000-0004-0000-0000-0000CA070000}"/>
    <hyperlink ref="I1997" r:id="rId1996" xr:uid="{00000000-0004-0000-0000-0000CB070000}"/>
    <hyperlink ref="I1998" r:id="rId1997" xr:uid="{00000000-0004-0000-0000-0000CC070000}"/>
    <hyperlink ref="I1999" r:id="rId1998" xr:uid="{00000000-0004-0000-0000-0000CD070000}"/>
    <hyperlink ref="I2000" r:id="rId1999" xr:uid="{00000000-0004-0000-0000-0000CE070000}"/>
    <hyperlink ref="I2001" r:id="rId2000" xr:uid="{00000000-0004-0000-0000-0000CF070000}"/>
    <hyperlink ref="I2002" r:id="rId2001" xr:uid="{00000000-0004-0000-0000-0000D0070000}"/>
    <hyperlink ref="I2003" r:id="rId2002" xr:uid="{00000000-0004-0000-0000-0000D1070000}"/>
    <hyperlink ref="I2004" r:id="rId2003" xr:uid="{00000000-0004-0000-0000-0000D2070000}"/>
    <hyperlink ref="I2005" r:id="rId2004" xr:uid="{00000000-0004-0000-0000-0000D3070000}"/>
    <hyperlink ref="I2006" r:id="rId2005" xr:uid="{00000000-0004-0000-0000-0000D4070000}"/>
    <hyperlink ref="I2007" r:id="rId2006" xr:uid="{00000000-0004-0000-0000-0000D5070000}"/>
    <hyperlink ref="I2008" r:id="rId2007" xr:uid="{00000000-0004-0000-0000-0000D6070000}"/>
    <hyperlink ref="I2009" r:id="rId2008" xr:uid="{00000000-0004-0000-0000-0000D7070000}"/>
    <hyperlink ref="I2010" r:id="rId2009" xr:uid="{00000000-0004-0000-0000-0000D8070000}"/>
    <hyperlink ref="I2011" r:id="rId2010" xr:uid="{00000000-0004-0000-0000-0000D9070000}"/>
    <hyperlink ref="I2012" r:id="rId2011" xr:uid="{00000000-0004-0000-0000-0000DA070000}"/>
    <hyperlink ref="I2013" r:id="rId2012" xr:uid="{00000000-0004-0000-0000-0000DB070000}"/>
    <hyperlink ref="I2014" r:id="rId2013" xr:uid="{00000000-0004-0000-0000-0000DC070000}"/>
    <hyperlink ref="I2015" r:id="rId2014" xr:uid="{00000000-0004-0000-0000-0000DD070000}"/>
    <hyperlink ref="I2016" r:id="rId2015" xr:uid="{00000000-0004-0000-0000-0000DE070000}"/>
    <hyperlink ref="I2017" r:id="rId2016" xr:uid="{00000000-0004-0000-0000-0000DF070000}"/>
    <hyperlink ref="I2018" r:id="rId2017" xr:uid="{00000000-0004-0000-0000-0000E0070000}"/>
    <hyperlink ref="I2019" r:id="rId2018" xr:uid="{00000000-0004-0000-0000-0000E1070000}"/>
    <hyperlink ref="I2020" r:id="rId2019" xr:uid="{00000000-0004-0000-0000-0000E2070000}"/>
    <hyperlink ref="I2021" r:id="rId2020" xr:uid="{00000000-0004-0000-0000-0000E3070000}"/>
    <hyperlink ref="I2022" r:id="rId2021" xr:uid="{00000000-0004-0000-0000-0000E4070000}"/>
    <hyperlink ref="I2023" r:id="rId2022" xr:uid="{00000000-0004-0000-0000-0000E5070000}"/>
    <hyperlink ref="I2024" r:id="rId2023" xr:uid="{00000000-0004-0000-0000-0000E6070000}"/>
    <hyperlink ref="I2025" r:id="rId2024" xr:uid="{00000000-0004-0000-0000-0000E7070000}"/>
    <hyperlink ref="I2026" r:id="rId2025" xr:uid="{00000000-0004-0000-0000-0000E8070000}"/>
    <hyperlink ref="I2027" r:id="rId2026" xr:uid="{00000000-0004-0000-0000-0000E9070000}"/>
    <hyperlink ref="I2028" r:id="rId2027" xr:uid="{00000000-0004-0000-0000-0000EA070000}"/>
    <hyperlink ref="I2029" r:id="rId2028" xr:uid="{00000000-0004-0000-0000-0000EB070000}"/>
    <hyperlink ref="I2030" r:id="rId2029" xr:uid="{00000000-0004-0000-0000-0000EC070000}"/>
    <hyperlink ref="I2031" r:id="rId2030" xr:uid="{00000000-0004-0000-0000-0000ED070000}"/>
    <hyperlink ref="I2032" r:id="rId2031" xr:uid="{00000000-0004-0000-0000-0000EE070000}"/>
    <hyperlink ref="I2033" r:id="rId2032" xr:uid="{00000000-0004-0000-0000-0000EF070000}"/>
    <hyperlink ref="I2034" r:id="rId2033" xr:uid="{00000000-0004-0000-0000-0000F0070000}"/>
    <hyperlink ref="I2035" r:id="rId2034" xr:uid="{00000000-0004-0000-0000-0000F1070000}"/>
    <hyperlink ref="I2036" r:id="rId2035" xr:uid="{00000000-0004-0000-0000-0000F2070000}"/>
    <hyperlink ref="I2037" r:id="rId2036" xr:uid="{00000000-0004-0000-0000-0000F3070000}"/>
    <hyperlink ref="I2038" r:id="rId2037" xr:uid="{00000000-0004-0000-0000-0000F4070000}"/>
    <hyperlink ref="I2039" r:id="rId2038" xr:uid="{00000000-0004-0000-0000-0000F5070000}"/>
    <hyperlink ref="I2040" r:id="rId2039" xr:uid="{00000000-0004-0000-0000-0000F6070000}"/>
    <hyperlink ref="I2041" r:id="rId2040" xr:uid="{00000000-0004-0000-0000-0000F7070000}"/>
    <hyperlink ref="I2042" r:id="rId2041" xr:uid="{00000000-0004-0000-0000-0000F8070000}"/>
    <hyperlink ref="I2043" r:id="rId2042" xr:uid="{00000000-0004-0000-0000-0000F9070000}"/>
    <hyperlink ref="I2044" r:id="rId2043" xr:uid="{00000000-0004-0000-0000-0000FA070000}"/>
    <hyperlink ref="I2045" r:id="rId2044" xr:uid="{00000000-0004-0000-0000-0000FB070000}"/>
    <hyperlink ref="I2046" r:id="rId2045" xr:uid="{00000000-0004-0000-0000-0000FC070000}"/>
    <hyperlink ref="I2047" r:id="rId2046" xr:uid="{00000000-0004-0000-0000-0000FD070000}"/>
    <hyperlink ref="I2048" r:id="rId2047" xr:uid="{00000000-0004-0000-0000-0000FE070000}"/>
    <hyperlink ref="I2049" r:id="rId2048" xr:uid="{00000000-0004-0000-0000-0000FF070000}"/>
    <hyperlink ref="I2050" r:id="rId2049" xr:uid="{00000000-0004-0000-0000-000000080000}"/>
    <hyperlink ref="I2051" r:id="rId2050" xr:uid="{00000000-0004-0000-0000-000001080000}"/>
    <hyperlink ref="I2052" r:id="rId2051" xr:uid="{00000000-0004-0000-0000-000002080000}"/>
    <hyperlink ref="I2053" r:id="rId2052" xr:uid="{00000000-0004-0000-0000-000003080000}"/>
    <hyperlink ref="I2054" r:id="rId2053" xr:uid="{00000000-0004-0000-0000-000004080000}"/>
    <hyperlink ref="I2055" r:id="rId2054" xr:uid="{00000000-0004-0000-0000-000005080000}"/>
    <hyperlink ref="I2056" r:id="rId2055" xr:uid="{00000000-0004-0000-0000-000006080000}"/>
    <hyperlink ref="I2057" r:id="rId2056" xr:uid="{00000000-0004-0000-0000-000007080000}"/>
    <hyperlink ref="I2058" r:id="rId2057" xr:uid="{00000000-0004-0000-0000-000008080000}"/>
    <hyperlink ref="I2059" r:id="rId2058" xr:uid="{00000000-0004-0000-0000-000009080000}"/>
    <hyperlink ref="I2060" r:id="rId2059" xr:uid="{00000000-0004-0000-0000-00000A080000}"/>
    <hyperlink ref="I2061" r:id="rId2060" xr:uid="{00000000-0004-0000-0000-00000B080000}"/>
    <hyperlink ref="I2062" r:id="rId2061" xr:uid="{00000000-0004-0000-0000-00000C080000}"/>
    <hyperlink ref="I2063" r:id="rId2062" xr:uid="{00000000-0004-0000-0000-00000D080000}"/>
    <hyperlink ref="I2064" r:id="rId2063" xr:uid="{00000000-0004-0000-0000-00000E080000}"/>
    <hyperlink ref="I2065" r:id="rId2064" xr:uid="{00000000-0004-0000-0000-00000F080000}"/>
    <hyperlink ref="I2066" r:id="rId2065" xr:uid="{00000000-0004-0000-0000-000010080000}"/>
    <hyperlink ref="I2067" r:id="rId2066" xr:uid="{00000000-0004-0000-0000-000011080000}"/>
    <hyperlink ref="I2068" r:id="rId2067" xr:uid="{00000000-0004-0000-0000-000012080000}"/>
    <hyperlink ref="I2069" r:id="rId2068" xr:uid="{00000000-0004-0000-0000-000013080000}"/>
    <hyperlink ref="I2070" r:id="rId2069" xr:uid="{00000000-0004-0000-0000-000014080000}"/>
    <hyperlink ref="I2071" r:id="rId2070" xr:uid="{00000000-0004-0000-0000-000015080000}"/>
    <hyperlink ref="I2072" r:id="rId2071" xr:uid="{00000000-0004-0000-0000-000016080000}"/>
    <hyperlink ref="I2073" r:id="rId2072" xr:uid="{00000000-0004-0000-0000-000017080000}"/>
    <hyperlink ref="I2074" r:id="rId2073" xr:uid="{00000000-0004-0000-0000-000018080000}"/>
    <hyperlink ref="I2075" r:id="rId2074" xr:uid="{00000000-0004-0000-0000-000019080000}"/>
    <hyperlink ref="I2076" r:id="rId2075" xr:uid="{00000000-0004-0000-0000-00001A080000}"/>
    <hyperlink ref="I2077" r:id="rId2076" xr:uid="{00000000-0004-0000-0000-00001B080000}"/>
    <hyperlink ref="I2078" r:id="rId2077" xr:uid="{00000000-0004-0000-0000-00001C080000}"/>
    <hyperlink ref="I2079" r:id="rId2078" xr:uid="{00000000-0004-0000-0000-00001D080000}"/>
    <hyperlink ref="I2080" r:id="rId2079" xr:uid="{00000000-0004-0000-0000-00001E080000}"/>
    <hyperlink ref="I2081" r:id="rId2080" xr:uid="{00000000-0004-0000-0000-00001F080000}"/>
    <hyperlink ref="I2082" r:id="rId2081" xr:uid="{00000000-0004-0000-0000-000020080000}"/>
    <hyperlink ref="I2083" r:id="rId2082" xr:uid="{00000000-0004-0000-0000-000021080000}"/>
    <hyperlink ref="I2084" r:id="rId2083" xr:uid="{00000000-0004-0000-0000-000022080000}"/>
    <hyperlink ref="I2085" r:id="rId2084" xr:uid="{00000000-0004-0000-0000-000023080000}"/>
    <hyperlink ref="I2086" r:id="rId2085" xr:uid="{00000000-0004-0000-0000-000024080000}"/>
    <hyperlink ref="I2087" r:id="rId2086" xr:uid="{00000000-0004-0000-0000-000025080000}"/>
    <hyperlink ref="I2088" r:id="rId2087" xr:uid="{00000000-0004-0000-0000-000026080000}"/>
    <hyperlink ref="I2089" r:id="rId2088" xr:uid="{00000000-0004-0000-0000-000027080000}"/>
    <hyperlink ref="I2090" r:id="rId2089" xr:uid="{00000000-0004-0000-0000-000028080000}"/>
    <hyperlink ref="I2091" r:id="rId2090" xr:uid="{00000000-0004-0000-0000-000029080000}"/>
    <hyperlink ref="I2092" r:id="rId2091" xr:uid="{00000000-0004-0000-0000-00002A080000}"/>
    <hyperlink ref="I2093" r:id="rId2092" xr:uid="{00000000-0004-0000-0000-00002B080000}"/>
    <hyperlink ref="I2094" r:id="rId2093" xr:uid="{00000000-0004-0000-0000-00002C080000}"/>
    <hyperlink ref="I2095" r:id="rId2094" xr:uid="{00000000-0004-0000-0000-00002D080000}"/>
    <hyperlink ref="I2096" r:id="rId2095" xr:uid="{00000000-0004-0000-0000-00002E080000}"/>
    <hyperlink ref="I2097" r:id="rId2096" xr:uid="{00000000-0004-0000-0000-00002F080000}"/>
    <hyperlink ref="I2098" r:id="rId2097" xr:uid="{00000000-0004-0000-0000-000030080000}"/>
    <hyperlink ref="I2099" r:id="rId2098" xr:uid="{00000000-0004-0000-0000-000031080000}"/>
    <hyperlink ref="I2100" r:id="rId2099" xr:uid="{00000000-0004-0000-0000-000032080000}"/>
    <hyperlink ref="I2101" r:id="rId2100" xr:uid="{00000000-0004-0000-0000-000033080000}"/>
    <hyperlink ref="I2102" r:id="rId2101" xr:uid="{00000000-0004-0000-0000-000034080000}"/>
    <hyperlink ref="I2103" r:id="rId2102" xr:uid="{00000000-0004-0000-0000-000035080000}"/>
    <hyperlink ref="I2104" r:id="rId2103" xr:uid="{00000000-0004-0000-0000-000036080000}"/>
    <hyperlink ref="I2105" r:id="rId2104" xr:uid="{00000000-0004-0000-0000-000037080000}"/>
    <hyperlink ref="I2106" r:id="rId2105" xr:uid="{00000000-0004-0000-0000-000038080000}"/>
    <hyperlink ref="I2107" r:id="rId2106" xr:uid="{00000000-0004-0000-0000-000039080000}"/>
    <hyperlink ref="I2108" r:id="rId2107" xr:uid="{00000000-0004-0000-0000-00003A080000}"/>
    <hyperlink ref="I2109" r:id="rId2108" xr:uid="{00000000-0004-0000-0000-00003B080000}"/>
    <hyperlink ref="I2110" r:id="rId2109" xr:uid="{00000000-0004-0000-0000-00003C080000}"/>
    <hyperlink ref="I2111" r:id="rId2110" xr:uid="{00000000-0004-0000-0000-00003D080000}"/>
    <hyperlink ref="I2112" r:id="rId2111" xr:uid="{00000000-0004-0000-0000-00003E080000}"/>
    <hyperlink ref="I2113" r:id="rId2112" xr:uid="{00000000-0004-0000-0000-00003F080000}"/>
    <hyperlink ref="I2114" r:id="rId2113" xr:uid="{00000000-0004-0000-0000-000040080000}"/>
    <hyperlink ref="I2115" r:id="rId2114" xr:uid="{00000000-0004-0000-0000-000041080000}"/>
    <hyperlink ref="I2116" r:id="rId2115" xr:uid="{00000000-0004-0000-0000-000042080000}"/>
    <hyperlink ref="I2117" r:id="rId2116" xr:uid="{00000000-0004-0000-0000-000043080000}"/>
    <hyperlink ref="I2118" r:id="rId2117" xr:uid="{00000000-0004-0000-0000-000044080000}"/>
    <hyperlink ref="I2119" r:id="rId2118" xr:uid="{00000000-0004-0000-0000-000045080000}"/>
    <hyperlink ref="I2120" r:id="rId2119" xr:uid="{00000000-0004-0000-0000-000046080000}"/>
    <hyperlink ref="I2121" r:id="rId2120" xr:uid="{00000000-0004-0000-0000-000047080000}"/>
    <hyperlink ref="I2122" r:id="rId2121" xr:uid="{00000000-0004-0000-0000-000048080000}"/>
    <hyperlink ref="I2123" r:id="rId2122" xr:uid="{00000000-0004-0000-0000-000049080000}"/>
    <hyperlink ref="I2124" r:id="rId2123" xr:uid="{00000000-0004-0000-0000-00004A080000}"/>
    <hyperlink ref="I2125" r:id="rId2124" xr:uid="{00000000-0004-0000-0000-00004B080000}"/>
    <hyperlink ref="I2126" r:id="rId2125" xr:uid="{00000000-0004-0000-0000-00004C080000}"/>
    <hyperlink ref="I2127" r:id="rId2126" xr:uid="{00000000-0004-0000-0000-00004D080000}"/>
    <hyperlink ref="I2128" r:id="rId2127" xr:uid="{00000000-0004-0000-0000-00004E080000}"/>
    <hyperlink ref="I2129" r:id="rId2128" xr:uid="{00000000-0004-0000-0000-00004F080000}"/>
    <hyperlink ref="I2130" r:id="rId2129" xr:uid="{00000000-0004-0000-0000-000050080000}"/>
    <hyperlink ref="I2131" r:id="rId2130" xr:uid="{00000000-0004-0000-0000-000051080000}"/>
    <hyperlink ref="I2132" r:id="rId2131" xr:uid="{00000000-0004-0000-0000-000052080000}"/>
    <hyperlink ref="I2133" r:id="rId2132" xr:uid="{00000000-0004-0000-0000-000053080000}"/>
    <hyperlink ref="I2134" r:id="rId2133" xr:uid="{00000000-0004-0000-0000-000054080000}"/>
    <hyperlink ref="I2135" r:id="rId2134" xr:uid="{00000000-0004-0000-0000-000055080000}"/>
    <hyperlink ref="I2136" r:id="rId2135" xr:uid="{00000000-0004-0000-0000-000056080000}"/>
    <hyperlink ref="I2137" r:id="rId2136" xr:uid="{00000000-0004-0000-0000-000057080000}"/>
    <hyperlink ref="I2138" r:id="rId2137" xr:uid="{00000000-0004-0000-0000-000058080000}"/>
    <hyperlink ref="I2139" r:id="rId2138" xr:uid="{00000000-0004-0000-0000-000059080000}"/>
    <hyperlink ref="I2140" r:id="rId2139" xr:uid="{00000000-0004-0000-0000-00005A080000}"/>
    <hyperlink ref="I2141" r:id="rId2140" xr:uid="{00000000-0004-0000-0000-00005B080000}"/>
    <hyperlink ref="I2142" r:id="rId2141" xr:uid="{00000000-0004-0000-0000-00005C080000}"/>
    <hyperlink ref="I2143" r:id="rId2142" xr:uid="{00000000-0004-0000-0000-00005D080000}"/>
    <hyperlink ref="I2144" r:id="rId2143" xr:uid="{00000000-0004-0000-0000-00005E080000}"/>
    <hyperlink ref="I2145" r:id="rId2144" xr:uid="{00000000-0004-0000-0000-00005F080000}"/>
    <hyperlink ref="I2146" r:id="rId2145" xr:uid="{00000000-0004-0000-0000-000060080000}"/>
    <hyperlink ref="I2147" r:id="rId2146" xr:uid="{00000000-0004-0000-0000-000061080000}"/>
    <hyperlink ref="I2148" r:id="rId2147" xr:uid="{00000000-0004-0000-0000-000062080000}"/>
    <hyperlink ref="I2149" r:id="rId2148" xr:uid="{00000000-0004-0000-0000-000063080000}"/>
    <hyperlink ref="I2150" r:id="rId2149" xr:uid="{00000000-0004-0000-0000-000064080000}"/>
    <hyperlink ref="I2151" r:id="rId2150" xr:uid="{00000000-0004-0000-0000-000065080000}"/>
    <hyperlink ref="I2152" r:id="rId2151" xr:uid="{00000000-0004-0000-0000-000066080000}"/>
    <hyperlink ref="I2153" r:id="rId2152" xr:uid="{00000000-0004-0000-0000-000067080000}"/>
    <hyperlink ref="I2154" r:id="rId2153" xr:uid="{00000000-0004-0000-0000-000068080000}"/>
    <hyperlink ref="I2155" r:id="rId2154" xr:uid="{00000000-0004-0000-0000-000069080000}"/>
    <hyperlink ref="I2156" r:id="rId2155" xr:uid="{00000000-0004-0000-0000-00006A080000}"/>
    <hyperlink ref="I2157" r:id="rId2156" xr:uid="{00000000-0004-0000-0000-00006B080000}"/>
    <hyperlink ref="I2158" r:id="rId2157" xr:uid="{00000000-0004-0000-0000-00006C080000}"/>
    <hyperlink ref="I2159" r:id="rId2158" xr:uid="{00000000-0004-0000-0000-00006D080000}"/>
    <hyperlink ref="I2160" r:id="rId2159" xr:uid="{00000000-0004-0000-0000-00006E080000}"/>
    <hyperlink ref="I2161" r:id="rId2160" xr:uid="{00000000-0004-0000-0000-00006F080000}"/>
    <hyperlink ref="I2162" r:id="rId2161" xr:uid="{00000000-0004-0000-0000-000070080000}"/>
    <hyperlink ref="I2163" r:id="rId2162" xr:uid="{00000000-0004-0000-0000-000071080000}"/>
    <hyperlink ref="I2164" r:id="rId2163" xr:uid="{00000000-0004-0000-0000-000072080000}"/>
    <hyperlink ref="I2165" r:id="rId2164" xr:uid="{00000000-0004-0000-0000-000073080000}"/>
    <hyperlink ref="I2166" r:id="rId2165" xr:uid="{00000000-0004-0000-0000-000074080000}"/>
    <hyperlink ref="I2167" r:id="rId2166" xr:uid="{00000000-0004-0000-0000-000075080000}"/>
    <hyperlink ref="I2168" r:id="rId2167" xr:uid="{00000000-0004-0000-0000-000076080000}"/>
    <hyperlink ref="I2169" r:id="rId2168" xr:uid="{00000000-0004-0000-0000-000077080000}"/>
    <hyperlink ref="I2170" r:id="rId2169" xr:uid="{00000000-0004-0000-0000-000078080000}"/>
    <hyperlink ref="I2171" r:id="rId2170" xr:uid="{00000000-0004-0000-0000-000079080000}"/>
    <hyperlink ref="I2172" r:id="rId2171" xr:uid="{00000000-0004-0000-0000-00007A080000}"/>
    <hyperlink ref="I2173" r:id="rId2172" xr:uid="{00000000-0004-0000-0000-00007B080000}"/>
    <hyperlink ref="I2174" r:id="rId2173" xr:uid="{00000000-0004-0000-0000-00007C080000}"/>
    <hyperlink ref="I2175" r:id="rId2174" xr:uid="{00000000-0004-0000-0000-00007D080000}"/>
    <hyperlink ref="I2176" r:id="rId2175" xr:uid="{00000000-0004-0000-0000-00007E080000}"/>
    <hyperlink ref="I2177" r:id="rId2176" xr:uid="{00000000-0004-0000-0000-00007F080000}"/>
    <hyperlink ref="I2178" r:id="rId2177" xr:uid="{00000000-0004-0000-0000-000080080000}"/>
    <hyperlink ref="I2179" r:id="rId2178" xr:uid="{00000000-0004-0000-0000-000081080000}"/>
    <hyperlink ref="I2180" r:id="rId2179" xr:uid="{00000000-0004-0000-0000-000082080000}"/>
    <hyperlink ref="I2181" r:id="rId2180" xr:uid="{00000000-0004-0000-0000-000083080000}"/>
    <hyperlink ref="I2182" r:id="rId2181" xr:uid="{00000000-0004-0000-0000-000084080000}"/>
    <hyperlink ref="I2183" r:id="rId2182" xr:uid="{00000000-0004-0000-0000-000085080000}"/>
    <hyperlink ref="I2184" r:id="rId2183" xr:uid="{00000000-0004-0000-0000-000086080000}"/>
    <hyperlink ref="I2185" r:id="rId2184" xr:uid="{00000000-0004-0000-0000-000087080000}"/>
    <hyperlink ref="I2186" r:id="rId2185" xr:uid="{00000000-0004-0000-0000-000088080000}"/>
    <hyperlink ref="I2187" r:id="rId2186" xr:uid="{00000000-0004-0000-0000-000089080000}"/>
    <hyperlink ref="I2188" r:id="rId2187" xr:uid="{00000000-0004-0000-0000-00008A080000}"/>
    <hyperlink ref="I2189" r:id="rId2188" xr:uid="{00000000-0004-0000-0000-00008B080000}"/>
    <hyperlink ref="I2190" r:id="rId2189" xr:uid="{00000000-0004-0000-0000-00008C080000}"/>
    <hyperlink ref="I2191" r:id="rId2190" xr:uid="{00000000-0004-0000-0000-00008D080000}"/>
    <hyperlink ref="I2192" r:id="rId2191" xr:uid="{00000000-0004-0000-0000-00008E080000}"/>
    <hyperlink ref="I2193" r:id="rId2192" xr:uid="{00000000-0004-0000-0000-00008F080000}"/>
    <hyperlink ref="I2194" r:id="rId2193" xr:uid="{00000000-0004-0000-0000-000090080000}"/>
    <hyperlink ref="I2195" r:id="rId2194" xr:uid="{00000000-0004-0000-0000-000091080000}"/>
    <hyperlink ref="I2196" r:id="rId2195" xr:uid="{00000000-0004-0000-0000-000092080000}"/>
    <hyperlink ref="I2197" r:id="rId2196" xr:uid="{00000000-0004-0000-0000-000093080000}"/>
    <hyperlink ref="I2198" r:id="rId2197" xr:uid="{00000000-0004-0000-0000-000094080000}"/>
    <hyperlink ref="I2199" r:id="rId2198" xr:uid="{00000000-0004-0000-0000-000095080000}"/>
    <hyperlink ref="I2200" r:id="rId2199" xr:uid="{00000000-0004-0000-0000-000096080000}"/>
    <hyperlink ref="I2201" r:id="rId2200" xr:uid="{00000000-0004-0000-0000-000097080000}"/>
    <hyperlink ref="I2202" r:id="rId2201" xr:uid="{00000000-0004-0000-0000-000098080000}"/>
    <hyperlink ref="I2203" r:id="rId2202" xr:uid="{00000000-0004-0000-0000-000099080000}"/>
    <hyperlink ref="I2204" r:id="rId2203" xr:uid="{00000000-0004-0000-0000-00009A080000}"/>
    <hyperlink ref="I2205" r:id="rId2204" xr:uid="{00000000-0004-0000-0000-00009B080000}"/>
    <hyperlink ref="I2206" r:id="rId2205" xr:uid="{00000000-0004-0000-0000-00009C080000}"/>
    <hyperlink ref="I2207" r:id="rId2206" xr:uid="{00000000-0004-0000-0000-00009D080000}"/>
    <hyperlink ref="I2208" r:id="rId2207" xr:uid="{00000000-0004-0000-0000-00009E080000}"/>
    <hyperlink ref="I2209" r:id="rId2208" xr:uid="{00000000-0004-0000-0000-00009F080000}"/>
    <hyperlink ref="I2210" r:id="rId2209" xr:uid="{00000000-0004-0000-0000-0000A0080000}"/>
    <hyperlink ref="I2211" r:id="rId2210" xr:uid="{00000000-0004-0000-0000-0000A1080000}"/>
    <hyperlink ref="I2212" r:id="rId2211" xr:uid="{00000000-0004-0000-0000-0000A2080000}"/>
    <hyperlink ref="I2213" r:id="rId2212" xr:uid="{00000000-0004-0000-0000-0000A3080000}"/>
    <hyperlink ref="I2214" r:id="rId2213" xr:uid="{00000000-0004-0000-0000-0000A4080000}"/>
    <hyperlink ref="I2215" r:id="rId2214" xr:uid="{00000000-0004-0000-0000-0000A5080000}"/>
    <hyperlink ref="I2216" r:id="rId2215" xr:uid="{00000000-0004-0000-0000-0000A6080000}"/>
    <hyperlink ref="I2217" r:id="rId2216" xr:uid="{00000000-0004-0000-0000-0000A7080000}"/>
    <hyperlink ref="I2218" r:id="rId2217" xr:uid="{00000000-0004-0000-0000-0000A8080000}"/>
    <hyperlink ref="I2219" r:id="rId2218" xr:uid="{00000000-0004-0000-0000-0000A9080000}"/>
    <hyperlink ref="I2220" r:id="rId2219" xr:uid="{00000000-0004-0000-0000-0000AA080000}"/>
    <hyperlink ref="I2221" r:id="rId2220" xr:uid="{00000000-0004-0000-0000-0000AB080000}"/>
    <hyperlink ref="I2222" r:id="rId2221" xr:uid="{00000000-0004-0000-0000-0000AC080000}"/>
    <hyperlink ref="I2223" r:id="rId2222" xr:uid="{00000000-0004-0000-0000-0000AD080000}"/>
    <hyperlink ref="I2224" r:id="rId2223" xr:uid="{00000000-0004-0000-0000-0000AE080000}"/>
    <hyperlink ref="I2225" r:id="rId2224" xr:uid="{00000000-0004-0000-0000-0000AF080000}"/>
    <hyperlink ref="I2226" r:id="rId2225" xr:uid="{00000000-0004-0000-0000-0000B0080000}"/>
    <hyperlink ref="I2227" r:id="rId2226" xr:uid="{00000000-0004-0000-0000-0000B1080000}"/>
    <hyperlink ref="I2228" r:id="rId2227" xr:uid="{00000000-0004-0000-0000-0000B2080000}"/>
    <hyperlink ref="I2229" r:id="rId2228" xr:uid="{00000000-0004-0000-0000-0000B3080000}"/>
    <hyperlink ref="I2230" r:id="rId2229" xr:uid="{00000000-0004-0000-0000-0000B4080000}"/>
    <hyperlink ref="I2231" r:id="rId2230" xr:uid="{00000000-0004-0000-0000-0000B5080000}"/>
    <hyperlink ref="I2232" r:id="rId2231" xr:uid="{00000000-0004-0000-0000-0000B6080000}"/>
    <hyperlink ref="I2233" r:id="rId2232" xr:uid="{00000000-0004-0000-0000-0000B7080000}"/>
    <hyperlink ref="I2234" r:id="rId2233" xr:uid="{00000000-0004-0000-0000-0000B8080000}"/>
    <hyperlink ref="I2235" r:id="rId2234" xr:uid="{00000000-0004-0000-0000-0000B9080000}"/>
    <hyperlink ref="I2236" r:id="rId2235" xr:uid="{00000000-0004-0000-0000-0000BA080000}"/>
    <hyperlink ref="I2237" r:id="rId2236" xr:uid="{00000000-0004-0000-0000-0000BB080000}"/>
    <hyperlink ref="I2238" r:id="rId2237" xr:uid="{00000000-0004-0000-0000-0000BC080000}"/>
    <hyperlink ref="I2239" r:id="rId2238" xr:uid="{00000000-0004-0000-0000-0000BD080000}"/>
    <hyperlink ref="I2240" r:id="rId2239" xr:uid="{00000000-0004-0000-0000-0000BE080000}"/>
    <hyperlink ref="I2241" r:id="rId2240" xr:uid="{00000000-0004-0000-0000-0000BF080000}"/>
    <hyperlink ref="I2242" r:id="rId2241" xr:uid="{00000000-0004-0000-0000-0000C0080000}"/>
    <hyperlink ref="I2243" r:id="rId2242" xr:uid="{00000000-0004-0000-0000-0000C1080000}"/>
    <hyperlink ref="I2244" r:id="rId2243" xr:uid="{00000000-0004-0000-0000-0000C2080000}"/>
    <hyperlink ref="I2245" r:id="rId2244" xr:uid="{00000000-0004-0000-0000-0000C3080000}"/>
    <hyperlink ref="I2246" r:id="rId2245" xr:uid="{00000000-0004-0000-0000-0000C4080000}"/>
    <hyperlink ref="I2247" r:id="rId2246" xr:uid="{00000000-0004-0000-0000-0000C5080000}"/>
    <hyperlink ref="I2248" r:id="rId2247" xr:uid="{00000000-0004-0000-0000-0000C6080000}"/>
    <hyperlink ref="I2249" r:id="rId2248" xr:uid="{00000000-0004-0000-0000-0000C7080000}"/>
    <hyperlink ref="I2250" r:id="rId2249" xr:uid="{00000000-0004-0000-0000-0000C8080000}"/>
    <hyperlink ref="I2251" r:id="rId2250" xr:uid="{00000000-0004-0000-0000-0000C9080000}"/>
    <hyperlink ref="I2252" r:id="rId2251" xr:uid="{00000000-0004-0000-0000-0000CA080000}"/>
    <hyperlink ref="I2253" r:id="rId2252" xr:uid="{00000000-0004-0000-0000-0000CB080000}"/>
    <hyperlink ref="I2254" r:id="rId2253" xr:uid="{00000000-0004-0000-0000-0000CC080000}"/>
    <hyperlink ref="I2255" r:id="rId2254" xr:uid="{00000000-0004-0000-0000-0000CD080000}"/>
    <hyperlink ref="I2256" r:id="rId2255" xr:uid="{00000000-0004-0000-0000-0000CE080000}"/>
    <hyperlink ref="I2257" r:id="rId2256" xr:uid="{00000000-0004-0000-0000-0000CF080000}"/>
    <hyperlink ref="I2258" r:id="rId2257" xr:uid="{00000000-0004-0000-0000-0000D0080000}"/>
    <hyperlink ref="I2259" r:id="rId2258" xr:uid="{00000000-0004-0000-0000-0000D1080000}"/>
    <hyperlink ref="I2260" r:id="rId2259" xr:uid="{00000000-0004-0000-0000-0000D2080000}"/>
    <hyperlink ref="I2261" r:id="rId2260" xr:uid="{00000000-0004-0000-0000-0000D3080000}"/>
    <hyperlink ref="I2262" r:id="rId2261" xr:uid="{00000000-0004-0000-0000-0000D4080000}"/>
    <hyperlink ref="I2263" r:id="rId2262" xr:uid="{00000000-0004-0000-0000-0000D5080000}"/>
    <hyperlink ref="I2264" r:id="rId2263" xr:uid="{00000000-0004-0000-0000-0000D6080000}"/>
    <hyperlink ref="I2265" r:id="rId2264" xr:uid="{00000000-0004-0000-0000-0000D7080000}"/>
    <hyperlink ref="I2266" r:id="rId2265" xr:uid="{00000000-0004-0000-0000-0000D8080000}"/>
    <hyperlink ref="I2267" r:id="rId2266" xr:uid="{00000000-0004-0000-0000-0000D9080000}"/>
    <hyperlink ref="I2268" r:id="rId2267" xr:uid="{00000000-0004-0000-0000-0000DA080000}"/>
    <hyperlink ref="I2269" r:id="rId2268" xr:uid="{00000000-0004-0000-0000-0000DB080000}"/>
    <hyperlink ref="I2270" r:id="rId2269" xr:uid="{00000000-0004-0000-0000-0000DC080000}"/>
    <hyperlink ref="I2271" r:id="rId2270" xr:uid="{00000000-0004-0000-0000-0000DD080000}"/>
    <hyperlink ref="I2272" r:id="rId2271" xr:uid="{00000000-0004-0000-0000-0000DE080000}"/>
    <hyperlink ref="I2273" r:id="rId2272" xr:uid="{00000000-0004-0000-0000-0000DF080000}"/>
    <hyperlink ref="I2274" r:id="rId2273" xr:uid="{00000000-0004-0000-0000-0000E0080000}"/>
    <hyperlink ref="I2275" r:id="rId2274" xr:uid="{00000000-0004-0000-0000-0000E1080000}"/>
    <hyperlink ref="I2276" r:id="rId2275" xr:uid="{00000000-0004-0000-0000-0000E2080000}"/>
    <hyperlink ref="I2277" r:id="rId2276" xr:uid="{00000000-0004-0000-0000-0000E3080000}"/>
    <hyperlink ref="I2278" r:id="rId2277" xr:uid="{00000000-0004-0000-0000-0000E4080000}"/>
    <hyperlink ref="I2279" r:id="rId2278" xr:uid="{00000000-0004-0000-0000-0000E5080000}"/>
    <hyperlink ref="I2280" r:id="rId2279" xr:uid="{00000000-0004-0000-0000-0000E6080000}"/>
    <hyperlink ref="I2281" r:id="rId2280" xr:uid="{00000000-0004-0000-0000-0000E7080000}"/>
    <hyperlink ref="I2282" r:id="rId2281" xr:uid="{00000000-0004-0000-0000-0000E8080000}"/>
    <hyperlink ref="I2283" r:id="rId2282" xr:uid="{00000000-0004-0000-0000-0000E9080000}"/>
    <hyperlink ref="I2284" r:id="rId2283" xr:uid="{00000000-0004-0000-0000-0000EA080000}"/>
    <hyperlink ref="I2285" r:id="rId2284" xr:uid="{00000000-0004-0000-0000-0000EB080000}"/>
    <hyperlink ref="I2286" r:id="rId2285" xr:uid="{00000000-0004-0000-0000-0000EC080000}"/>
    <hyperlink ref="I2287" r:id="rId2286" xr:uid="{00000000-0004-0000-0000-0000ED080000}"/>
    <hyperlink ref="I2288" r:id="rId2287" xr:uid="{00000000-0004-0000-0000-0000EE080000}"/>
    <hyperlink ref="I2289" r:id="rId2288" xr:uid="{00000000-0004-0000-0000-0000EF080000}"/>
    <hyperlink ref="I2290" r:id="rId2289" xr:uid="{00000000-0004-0000-0000-0000F0080000}"/>
    <hyperlink ref="I2291" r:id="rId2290" xr:uid="{00000000-0004-0000-0000-0000F1080000}"/>
    <hyperlink ref="I2292" r:id="rId2291" xr:uid="{00000000-0004-0000-0000-0000F2080000}"/>
    <hyperlink ref="I2293" r:id="rId2292" xr:uid="{00000000-0004-0000-0000-0000F3080000}"/>
    <hyperlink ref="I2294" r:id="rId2293" xr:uid="{00000000-0004-0000-0000-0000F4080000}"/>
    <hyperlink ref="I2295" r:id="rId2294" xr:uid="{00000000-0004-0000-0000-0000F5080000}"/>
    <hyperlink ref="I2296" r:id="rId2295" xr:uid="{00000000-0004-0000-0000-0000F6080000}"/>
    <hyperlink ref="I2297" r:id="rId2296" xr:uid="{00000000-0004-0000-0000-0000F7080000}"/>
    <hyperlink ref="I2298" r:id="rId2297" xr:uid="{00000000-0004-0000-0000-0000F8080000}"/>
    <hyperlink ref="I2299" r:id="rId2298" xr:uid="{00000000-0004-0000-0000-0000F9080000}"/>
    <hyperlink ref="I2300" r:id="rId2299" xr:uid="{00000000-0004-0000-0000-0000FA080000}"/>
    <hyperlink ref="I2301" r:id="rId2300" xr:uid="{00000000-0004-0000-0000-0000FB080000}"/>
    <hyperlink ref="I2302" r:id="rId2301" xr:uid="{00000000-0004-0000-0000-0000FC080000}"/>
    <hyperlink ref="I2303" r:id="rId2302" xr:uid="{00000000-0004-0000-0000-0000FD080000}"/>
    <hyperlink ref="I2304" r:id="rId2303" xr:uid="{00000000-0004-0000-0000-0000FE080000}"/>
    <hyperlink ref="I2305" r:id="rId2304" xr:uid="{00000000-0004-0000-0000-0000FF080000}"/>
    <hyperlink ref="I2306" r:id="rId2305" xr:uid="{00000000-0004-0000-0000-000000090000}"/>
    <hyperlink ref="I2307" r:id="rId2306" xr:uid="{00000000-0004-0000-0000-000001090000}"/>
    <hyperlink ref="I2308" r:id="rId2307" xr:uid="{00000000-0004-0000-0000-000002090000}"/>
    <hyperlink ref="I2309" r:id="rId2308" xr:uid="{00000000-0004-0000-0000-000003090000}"/>
    <hyperlink ref="I2310" r:id="rId2309" xr:uid="{00000000-0004-0000-0000-000004090000}"/>
    <hyperlink ref="I2311" r:id="rId2310" xr:uid="{00000000-0004-0000-0000-000005090000}"/>
    <hyperlink ref="I2312" r:id="rId2311" xr:uid="{00000000-0004-0000-0000-000006090000}"/>
    <hyperlink ref="I2313" r:id="rId2312" xr:uid="{00000000-0004-0000-0000-000007090000}"/>
    <hyperlink ref="I2314" r:id="rId2313" xr:uid="{00000000-0004-0000-0000-000008090000}"/>
    <hyperlink ref="I2315" r:id="rId2314" xr:uid="{00000000-0004-0000-0000-000009090000}"/>
    <hyperlink ref="I2316" r:id="rId2315" xr:uid="{00000000-0004-0000-0000-00000A090000}"/>
    <hyperlink ref="I2317" r:id="rId2316" xr:uid="{00000000-0004-0000-0000-00000B090000}"/>
    <hyperlink ref="I2318" r:id="rId2317" xr:uid="{00000000-0004-0000-0000-00000C090000}"/>
    <hyperlink ref="I2319" r:id="rId2318" xr:uid="{00000000-0004-0000-0000-00000D090000}"/>
    <hyperlink ref="I2320" r:id="rId2319" xr:uid="{00000000-0004-0000-0000-00000E090000}"/>
    <hyperlink ref="I2321" r:id="rId2320" xr:uid="{00000000-0004-0000-0000-00000F090000}"/>
    <hyperlink ref="I2322" r:id="rId2321" xr:uid="{00000000-0004-0000-0000-000010090000}"/>
    <hyperlink ref="I2323" r:id="rId2322" xr:uid="{00000000-0004-0000-0000-000011090000}"/>
    <hyperlink ref="I2324" r:id="rId2323" xr:uid="{00000000-0004-0000-0000-000012090000}"/>
    <hyperlink ref="I2325" r:id="rId2324" xr:uid="{00000000-0004-0000-0000-000013090000}"/>
    <hyperlink ref="I2326" r:id="rId2325" xr:uid="{00000000-0004-0000-0000-000014090000}"/>
    <hyperlink ref="I2327" r:id="rId2326" xr:uid="{00000000-0004-0000-0000-000015090000}"/>
    <hyperlink ref="I2328" r:id="rId2327" xr:uid="{00000000-0004-0000-0000-000016090000}"/>
    <hyperlink ref="I2329" r:id="rId2328" xr:uid="{00000000-0004-0000-0000-000017090000}"/>
    <hyperlink ref="I2330" r:id="rId2329" xr:uid="{00000000-0004-0000-0000-000018090000}"/>
    <hyperlink ref="I2331" r:id="rId2330" xr:uid="{00000000-0004-0000-0000-000019090000}"/>
    <hyperlink ref="I2332" r:id="rId2331" xr:uid="{00000000-0004-0000-0000-00001A090000}"/>
    <hyperlink ref="I2333" r:id="rId2332" xr:uid="{00000000-0004-0000-0000-00001B090000}"/>
    <hyperlink ref="I2334" r:id="rId2333" xr:uid="{00000000-0004-0000-0000-00001C090000}"/>
    <hyperlink ref="I2335" r:id="rId2334" xr:uid="{00000000-0004-0000-0000-00001D090000}"/>
    <hyperlink ref="I2336" r:id="rId2335" xr:uid="{00000000-0004-0000-0000-00001E090000}"/>
    <hyperlink ref="I2337" r:id="rId2336" xr:uid="{00000000-0004-0000-0000-00001F090000}"/>
    <hyperlink ref="I2338" r:id="rId2337" xr:uid="{00000000-0004-0000-0000-000020090000}"/>
    <hyperlink ref="I2339" r:id="rId2338" xr:uid="{00000000-0004-0000-0000-000021090000}"/>
    <hyperlink ref="I2340" r:id="rId2339" xr:uid="{00000000-0004-0000-0000-000022090000}"/>
    <hyperlink ref="I2341" r:id="rId2340" xr:uid="{00000000-0004-0000-0000-000023090000}"/>
    <hyperlink ref="I2342" r:id="rId2341" xr:uid="{00000000-0004-0000-0000-000024090000}"/>
    <hyperlink ref="I2343" r:id="rId2342" xr:uid="{00000000-0004-0000-0000-000025090000}"/>
    <hyperlink ref="I2344" r:id="rId2343" xr:uid="{00000000-0004-0000-0000-000026090000}"/>
    <hyperlink ref="I2345" r:id="rId2344" xr:uid="{00000000-0004-0000-0000-000027090000}"/>
    <hyperlink ref="I2346" r:id="rId2345" xr:uid="{00000000-0004-0000-0000-000028090000}"/>
    <hyperlink ref="I2347" r:id="rId2346" xr:uid="{00000000-0004-0000-0000-000029090000}"/>
    <hyperlink ref="I2348" r:id="rId2347" xr:uid="{00000000-0004-0000-0000-00002A090000}"/>
    <hyperlink ref="I2349" r:id="rId2348" xr:uid="{00000000-0004-0000-0000-00002B090000}"/>
    <hyperlink ref="I2350" r:id="rId2349" xr:uid="{00000000-0004-0000-0000-00002C090000}"/>
    <hyperlink ref="I2351" r:id="rId2350" xr:uid="{00000000-0004-0000-0000-00002D090000}"/>
    <hyperlink ref="I2352" r:id="rId2351" xr:uid="{00000000-0004-0000-0000-00002E090000}"/>
    <hyperlink ref="I2353" r:id="rId2352" xr:uid="{00000000-0004-0000-0000-00002F090000}"/>
    <hyperlink ref="I2354" r:id="rId2353" xr:uid="{00000000-0004-0000-0000-000030090000}"/>
    <hyperlink ref="I2355" r:id="rId2354" xr:uid="{00000000-0004-0000-0000-000031090000}"/>
    <hyperlink ref="I2356" r:id="rId2355" xr:uid="{00000000-0004-0000-0000-000032090000}"/>
    <hyperlink ref="I2357" r:id="rId2356" xr:uid="{00000000-0004-0000-0000-000033090000}"/>
    <hyperlink ref="I2358" r:id="rId2357" xr:uid="{00000000-0004-0000-0000-000034090000}"/>
    <hyperlink ref="I2359" r:id="rId2358" xr:uid="{00000000-0004-0000-0000-000035090000}"/>
    <hyperlink ref="I2360" r:id="rId2359" xr:uid="{00000000-0004-0000-0000-000036090000}"/>
    <hyperlink ref="I2361" r:id="rId2360" xr:uid="{00000000-0004-0000-0000-000037090000}"/>
    <hyperlink ref="I2362" r:id="rId2361" xr:uid="{00000000-0004-0000-0000-000038090000}"/>
    <hyperlink ref="I2363" r:id="rId2362" xr:uid="{00000000-0004-0000-0000-000039090000}"/>
    <hyperlink ref="I2364" r:id="rId2363" xr:uid="{00000000-0004-0000-0000-00003A090000}"/>
    <hyperlink ref="I2365" r:id="rId2364" xr:uid="{00000000-0004-0000-0000-00003B090000}"/>
    <hyperlink ref="I2366" r:id="rId2365" xr:uid="{00000000-0004-0000-0000-00003C090000}"/>
    <hyperlink ref="I2367" r:id="rId2366" xr:uid="{00000000-0004-0000-0000-00003D090000}"/>
    <hyperlink ref="I2368" r:id="rId2367" xr:uid="{00000000-0004-0000-0000-00003E090000}"/>
    <hyperlink ref="I2369" r:id="rId2368" xr:uid="{00000000-0004-0000-0000-00003F090000}"/>
    <hyperlink ref="I2370" r:id="rId2369" xr:uid="{00000000-0004-0000-0000-000040090000}"/>
    <hyperlink ref="I2371" r:id="rId2370" xr:uid="{00000000-0004-0000-0000-000041090000}"/>
    <hyperlink ref="I2372" r:id="rId2371" xr:uid="{00000000-0004-0000-0000-000042090000}"/>
    <hyperlink ref="I2373" r:id="rId2372" xr:uid="{00000000-0004-0000-0000-000043090000}"/>
    <hyperlink ref="I2374" r:id="rId2373" xr:uid="{00000000-0004-0000-0000-000044090000}"/>
    <hyperlink ref="I2375" r:id="rId2374" xr:uid="{00000000-0004-0000-0000-000045090000}"/>
    <hyperlink ref="I2376" r:id="rId2375" xr:uid="{00000000-0004-0000-0000-000046090000}"/>
    <hyperlink ref="I2377" r:id="rId2376" xr:uid="{00000000-0004-0000-0000-000047090000}"/>
    <hyperlink ref="I2378" r:id="rId2377" xr:uid="{00000000-0004-0000-0000-000048090000}"/>
    <hyperlink ref="I2379" r:id="rId2378" xr:uid="{00000000-0004-0000-0000-000049090000}"/>
    <hyperlink ref="I2380" r:id="rId2379" xr:uid="{00000000-0004-0000-0000-00004A090000}"/>
    <hyperlink ref="I2381" r:id="rId2380" xr:uid="{00000000-0004-0000-0000-00004B090000}"/>
    <hyperlink ref="I2382" r:id="rId2381" xr:uid="{00000000-0004-0000-0000-00004C090000}"/>
    <hyperlink ref="I2383" r:id="rId2382" xr:uid="{00000000-0004-0000-0000-00004D090000}"/>
    <hyperlink ref="I2384" r:id="rId2383" xr:uid="{00000000-0004-0000-0000-00004E090000}"/>
    <hyperlink ref="I2385" r:id="rId2384" xr:uid="{00000000-0004-0000-0000-00004F090000}"/>
    <hyperlink ref="I2386" r:id="rId2385" xr:uid="{00000000-0004-0000-0000-000050090000}"/>
    <hyperlink ref="I2387" r:id="rId2386" xr:uid="{00000000-0004-0000-0000-000051090000}"/>
    <hyperlink ref="I2388" r:id="rId2387" xr:uid="{00000000-0004-0000-0000-000052090000}"/>
    <hyperlink ref="I2389" r:id="rId2388" xr:uid="{00000000-0004-0000-0000-000053090000}"/>
    <hyperlink ref="I2390" r:id="rId2389" xr:uid="{00000000-0004-0000-0000-000054090000}"/>
    <hyperlink ref="I2391" r:id="rId2390" xr:uid="{00000000-0004-0000-0000-000055090000}"/>
    <hyperlink ref="I2392" r:id="rId2391" xr:uid="{00000000-0004-0000-0000-000056090000}"/>
    <hyperlink ref="I2393" r:id="rId2392" xr:uid="{00000000-0004-0000-0000-000057090000}"/>
    <hyperlink ref="I2394" r:id="rId2393" xr:uid="{00000000-0004-0000-0000-000058090000}"/>
    <hyperlink ref="I2395" r:id="rId2394" xr:uid="{00000000-0004-0000-0000-000059090000}"/>
    <hyperlink ref="I2396" r:id="rId2395" xr:uid="{00000000-0004-0000-0000-00005A090000}"/>
    <hyperlink ref="I2397" r:id="rId2396" xr:uid="{00000000-0004-0000-0000-00005B090000}"/>
    <hyperlink ref="I2398" r:id="rId2397" xr:uid="{00000000-0004-0000-0000-00005C090000}"/>
    <hyperlink ref="I2399" r:id="rId2398" xr:uid="{00000000-0004-0000-0000-00005D090000}"/>
    <hyperlink ref="I2400" r:id="rId2399" xr:uid="{00000000-0004-0000-0000-00005E090000}"/>
    <hyperlink ref="I2401" r:id="rId2400" xr:uid="{00000000-0004-0000-0000-00005F090000}"/>
    <hyperlink ref="I2402" r:id="rId2401" xr:uid="{00000000-0004-0000-0000-000060090000}"/>
    <hyperlink ref="I2403" r:id="rId2402" xr:uid="{00000000-0004-0000-0000-000061090000}"/>
    <hyperlink ref="I2404" r:id="rId2403" xr:uid="{00000000-0004-0000-0000-000062090000}"/>
    <hyperlink ref="I2405" r:id="rId2404" xr:uid="{00000000-0004-0000-0000-000063090000}"/>
    <hyperlink ref="I2406" r:id="rId2405" xr:uid="{00000000-0004-0000-0000-000064090000}"/>
    <hyperlink ref="I2407" r:id="rId2406" xr:uid="{00000000-0004-0000-0000-000065090000}"/>
    <hyperlink ref="I2408" r:id="rId2407" xr:uid="{00000000-0004-0000-0000-000066090000}"/>
    <hyperlink ref="I2409" r:id="rId2408" xr:uid="{00000000-0004-0000-0000-000067090000}"/>
    <hyperlink ref="I2410" r:id="rId2409" xr:uid="{00000000-0004-0000-0000-000068090000}"/>
    <hyperlink ref="I2411" r:id="rId2410" xr:uid="{00000000-0004-0000-0000-000069090000}"/>
    <hyperlink ref="I2412" r:id="rId2411" xr:uid="{00000000-0004-0000-0000-00006A090000}"/>
    <hyperlink ref="I2413" r:id="rId2412" xr:uid="{00000000-0004-0000-0000-00006B090000}"/>
    <hyperlink ref="I2414" r:id="rId2413" xr:uid="{00000000-0004-0000-0000-00006C090000}"/>
    <hyperlink ref="I2415" r:id="rId2414" xr:uid="{00000000-0004-0000-0000-00006D090000}"/>
    <hyperlink ref="I2416" r:id="rId2415" xr:uid="{00000000-0004-0000-0000-00006E090000}"/>
    <hyperlink ref="I2417" r:id="rId2416" xr:uid="{00000000-0004-0000-0000-00006F090000}"/>
    <hyperlink ref="I2418" r:id="rId2417" xr:uid="{00000000-0004-0000-0000-000070090000}"/>
    <hyperlink ref="I2419" r:id="rId2418" xr:uid="{00000000-0004-0000-0000-000071090000}"/>
    <hyperlink ref="I2420" r:id="rId2419" xr:uid="{00000000-0004-0000-0000-000072090000}"/>
    <hyperlink ref="I2421" r:id="rId2420" xr:uid="{00000000-0004-0000-0000-000073090000}"/>
    <hyperlink ref="I2422" r:id="rId2421" xr:uid="{00000000-0004-0000-0000-000074090000}"/>
    <hyperlink ref="I2423" r:id="rId2422" xr:uid="{00000000-0004-0000-0000-000075090000}"/>
    <hyperlink ref="I2424" r:id="rId2423" xr:uid="{00000000-0004-0000-0000-000076090000}"/>
    <hyperlink ref="I2425" r:id="rId2424" xr:uid="{00000000-0004-0000-0000-000077090000}"/>
    <hyperlink ref="I2426" r:id="rId2425" xr:uid="{00000000-0004-0000-0000-000078090000}"/>
    <hyperlink ref="I2427" r:id="rId2426" xr:uid="{00000000-0004-0000-0000-000079090000}"/>
    <hyperlink ref="I2428" r:id="rId2427" xr:uid="{00000000-0004-0000-0000-00007A090000}"/>
    <hyperlink ref="I2429" r:id="rId2428" xr:uid="{00000000-0004-0000-0000-00007B090000}"/>
    <hyperlink ref="I2430" r:id="rId2429" xr:uid="{00000000-0004-0000-0000-00007C090000}"/>
    <hyperlink ref="I2431" r:id="rId2430" xr:uid="{00000000-0004-0000-0000-00007D090000}"/>
    <hyperlink ref="I2432" r:id="rId2431" xr:uid="{00000000-0004-0000-0000-00007E090000}"/>
    <hyperlink ref="I2433" r:id="rId2432" xr:uid="{00000000-0004-0000-0000-00007F090000}"/>
    <hyperlink ref="I2434" r:id="rId2433" xr:uid="{00000000-0004-0000-0000-000080090000}"/>
    <hyperlink ref="I2435" r:id="rId2434" xr:uid="{00000000-0004-0000-0000-000081090000}"/>
    <hyperlink ref="I2436" r:id="rId2435" xr:uid="{00000000-0004-0000-0000-000082090000}"/>
    <hyperlink ref="I2437" r:id="rId2436" xr:uid="{00000000-0004-0000-0000-000083090000}"/>
    <hyperlink ref="I2438" r:id="rId2437" xr:uid="{00000000-0004-0000-0000-000084090000}"/>
    <hyperlink ref="I2439" r:id="rId2438" xr:uid="{00000000-0004-0000-0000-000085090000}"/>
    <hyperlink ref="I2440" r:id="rId2439" xr:uid="{00000000-0004-0000-0000-000086090000}"/>
    <hyperlink ref="I2441" r:id="rId2440" xr:uid="{00000000-0004-0000-0000-000087090000}"/>
    <hyperlink ref="I2442" r:id="rId2441" xr:uid="{00000000-0004-0000-0000-000088090000}"/>
    <hyperlink ref="I2443" r:id="rId2442" xr:uid="{00000000-0004-0000-0000-000089090000}"/>
    <hyperlink ref="I2444" r:id="rId2443" xr:uid="{00000000-0004-0000-0000-00008A090000}"/>
    <hyperlink ref="I2445" r:id="rId2444" xr:uid="{00000000-0004-0000-0000-00008B090000}"/>
    <hyperlink ref="I2446" r:id="rId2445" xr:uid="{00000000-0004-0000-0000-00008C090000}"/>
    <hyperlink ref="I2447" r:id="rId2446" xr:uid="{00000000-0004-0000-0000-00008D090000}"/>
    <hyperlink ref="I2448" r:id="rId2447" xr:uid="{00000000-0004-0000-0000-00008E090000}"/>
    <hyperlink ref="I2449" r:id="rId2448" xr:uid="{00000000-0004-0000-0000-00008F090000}"/>
    <hyperlink ref="I2450" r:id="rId2449" xr:uid="{00000000-0004-0000-0000-000090090000}"/>
    <hyperlink ref="I2451" r:id="rId2450" xr:uid="{00000000-0004-0000-0000-000091090000}"/>
    <hyperlink ref="I2452" r:id="rId2451" xr:uid="{00000000-0004-0000-0000-000092090000}"/>
    <hyperlink ref="I2453" r:id="rId2452" xr:uid="{00000000-0004-0000-0000-000093090000}"/>
    <hyperlink ref="I2454" r:id="rId2453" xr:uid="{00000000-0004-0000-0000-000094090000}"/>
    <hyperlink ref="I2455" r:id="rId2454" xr:uid="{00000000-0004-0000-0000-000095090000}"/>
    <hyperlink ref="I2456" r:id="rId2455" xr:uid="{00000000-0004-0000-0000-000096090000}"/>
    <hyperlink ref="I2457" r:id="rId2456" xr:uid="{00000000-0004-0000-0000-000097090000}"/>
    <hyperlink ref="I2458" r:id="rId2457" xr:uid="{00000000-0004-0000-0000-000098090000}"/>
    <hyperlink ref="I2459" r:id="rId2458" xr:uid="{00000000-0004-0000-0000-000099090000}"/>
    <hyperlink ref="I2460" r:id="rId2459" xr:uid="{00000000-0004-0000-0000-00009A090000}"/>
    <hyperlink ref="I2461" r:id="rId2460" xr:uid="{00000000-0004-0000-0000-00009B090000}"/>
    <hyperlink ref="I2462" r:id="rId2461" xr:uid="{00000000-0004-0000-0000-00009C090000}"/>
    <hyperlink ref="I2463" r:id="rId2462" xr:uid="{00000000-0004-0000-0000-00009D090000}"/>
    <hyperlink ref="I2464" r:id="rId2463" xr:uid="{00000000-0004-0000-0000-00009E090000}"/>
    <hyperlink ref="I2465" r:id="rId2464" xr:uid="{00000000-0004-0000-0000-00009F090000}"/>
    <hyperlink ref="I2466" r:id="rId2465" xr:uid="{00000000-0004-0000-0000-0000A0090000}"/>
    <hyperlink ref="I2467" r:id="rId2466" xr:uid="{00000000-0004-0000-0000-0000A1090000}"/>
    <hyperlink ref="I2468" r:id="rId2467" xr:uid="{00000000-0004-0000-0000-0000A2090000}"/>
    <hyperlink ref="I2469" r:id="rId2468" xr:uid="{00000000-0004-0000-0000-0000A3090000}"/>
    <hyperlink ref="I2470" r:id="rId2469" xr:uid="{00000000-0004-0000-0000-0000A4090000}"/>
    <hyperlink ref="I2471" r:id="rId2470" xr:uid="{00000000-0004-0000-0000-0000A5090000}"/>
    <hyperlink ref="I2472" r:id="rId2471" xr:uid="{00000000-0004-0000-0000-0000A6090000}"/>
    <hyperlink ref="I2473" r:id="rId2472" xr:uid="{00000000-0004-0000-0000-0000A7090000}"/>
    <hyperlink ref="I2474" r:id="rId2473" xr:uid="{00000000-0004-0000-0000-0000A8090000}"/>
    <hyperlink ref="I2475" r:id="rId2474" xr:uid="{00000000-0004-0000-0000-0000A9090000}"/>
    <hyperlink ref="I2476" r:id="rId2475" xr:uid="{00000000-0004-0000-0000-0000AA090000}"/>
    <hyperlink ref="I2477" r:id="rId2476" xr:uid="{00000000-0004-0000-0000-0000AB090000}"/>
    <hyperlink ref="I2478" r:id="rId2477" xr:uid="{00000000-0004-0000-0000-0000AC090000}"/>
    <hyperlink ref="I2479" r:id="rId2478" xr:uid="{00000000-0004-0000-0000-0000AD090000}"/>
    <hyperlink ref="I2480" r:id="rId2479" xr:uid="{00000000-0004-0000-0000-0000AE090000}"/>
    <hyperlink ref="I2481" r:id="rId2480" xr:uid="{00000000-0004-0000-0000-0000AF090000}"/>
    <hyperlink ref="I2482" r:id="rId2481" xr:uid="{00000000-0004-0000-0000-0000B0090000}"/>
    <hyperlink ref="I2483" r:id="rId2482" xr:uid="{00000000-0004-0000-0000-0000B1090000}"/>
    <hyperlink ref="I2484" r:id="rId2483" xr:uid="{00000000-0004-0000-0000-0000B2090000}"/>
    <hyperlink ref="I2485" r:id="rId2484" xr:uid="{00000000-0004-0000-0000-0000B3090000}"/>
    <hyperlink ref="I2486" r:id="rId2485" xr:uid="{00000000-0004-0000-0000-0000B4090000}"/>
    <hyperlink ref="I2487" r:id="rId2486" xr:uid="{00000000-0004-0000-0000-0000B5090000}"/>
    <hyperlink ref="I2488" r:id="rId2487" xr:uid="{00000000-0004-0000-0000-0000B6090000}"/>
    <hyperlink ref="I2489" r:id="rId2488" xr:uid="{00000000-0004-0000-0000-0000B7090000}"/>
    <hyperlink ref="I2490" r:id="rId2489" xr:uid="{00000000-0004-0000-0000-0000B8090000}"/>
    <hyperlink ref="I2491" r:id="rId2490" xr:uid="{00000000-0004-0000-0000-0000B9090000}"/>
    <hyperlink ref="I2492" r:id="rId2491" xr:uid="{00000000-0004-0000-0000-0000BA090000}"/>
    <hyperlink ref="I2493" r:id="rId2492" xr:uid="{00000000-0004-0000-0000-0000BB090000}"/>
    <hyperlink ref="I2494" r:id="rId2493" xr:uid="{00000000-0004-0000-0000-0000BC090000}"/>
    <hyperlink ref="I2495" r:id="rId2494" xr:uid="{00000000-0004-0000-0000-0000BD090000}"/>
    <hyperlink ref="I2496" r:id="rId2495" xr:uid="{00000000-0004-0000-0000-0000BE090000}"/>
    <hyperlink ref="I2497" r:id="rId2496" xr:uid="{00000000-0004-0000-0000-0000BF090000}"/>
    <hyperlink ref="I2498" r:id="rId2497" xr:uid="{00000000-0004-0000-0000-0000C0090000}"/>
    <hyperlink ref="I2499" r:id="rId2498" xr:uid="{00000000-0004-0000-0000-0000C1090000}"/>
    <hyperlink ref="I2500" r:id="rId2499" xr:uid="{00000000-0004-0000-0000-0000C2090000}"/>
    <hyperlink ref="I2501" r:id="rId2500" xr:uid="{00000000-0004-0000-0000-0000C3090000}"/>
    <hyperlink ref="I2502" r:id="rId2501" xr:uid="{00000000-0004-0000-0000-0000C4090000}"/>
    <hyperlink ref="I2503" r:id="rId2502" xr:uid="{00000000-0004-0000-0000-0000C5090000}"/>
    <hyperlink ref="I2504" r:id="rId2503" xr:uid="{00000000-0004-0000-0000-0000C6090000}"/>
    <hyperlink ref="I2505" r:id="rId2504" xr:uid="{00000000-0004-0000-0000-0000C7090000}"/>
    <hyperlink ref="I2506" r:id="rId2505" xr:uid="{00000000-0004-0000-0000-0000C8090000}"/>
    <hyperlink ref="I2507" r:id="rId2506" xr:uid="{00000000-0004-0000-0000-0000C9090000}"/>
    <hyperlink ref="I2508" r:id="rId2507" xr:uid="{00000000-0004-0000-0000-0000CA090000}"/>
    <hyperlink ref="I2509" r:id="rId2508" xr:uid="{00000000-0004-0000-0000-0000CB090000}"/>
    <hyperlink ref="I2510" r:id="rId2509" xr:uid="{00000000-0004-0000-0000-0000CC090000}"/>
    <hyperlink ref="I2511" r:id="rId2510" xr:uid="{00000000-0004-0000-0000-0000CD090000}"/>
    <hyperlink ref="I2512" r:id="rId2511" xr:uid="{00000000-0004-0000-0000-0000CE090000}"/>
    <hyperlink ref="I2513" r:id="rId2512" xr:uid="{00000000-0004-0000-0000-0000CF090000}"/>
    <hyperlink ref="I2514" r:id="rId2513" xr:uid="{00000000-0004-0000-0000-0000D0090000}"/>
    <hyperlink ref="I2515" r:id="rId2514" xr:uid="{00000000-0004-0000-0000-0000D1090000}"/>
    <hyperlink ref="I2516" r:id="rId2515" xr:uid="{00000000-0004-0000-0000-0000D2090000}"/>
    <hyperlink ref="I2517" r:id="rId2516" xr:uid="{00000000-0004-0000-0000-0000D3090000}"/>
    <hyperlink ref="I2518" r:id="rId2517" xr:uid="{00000000-0004-0000-0000-0000D4090000}"/>
    <hyperlink ref="I2519" r:id="rId2518" xr:uid="{00000000-0004-0000-0000-0000D5090000}"/>
    <hyperlink ref="I2520" r:id="rId2519" xr:uid="{00000000-0004-0000-0000-0000D6090000}"/>
    <hyperlink ref="I2521" r:id="rId2520" xr:uid="{00000000-0004-0000-0000-0000D7090000}"/>
    <hyperlink ref="I2522" r:id="rId2521" xr:uid="{00000000-0004-0000-0000-0000D8090000}"/>
    <hyperlink ref="I2523" r:id="rId2522" xr:uid="{00000000-0004-0000-0000-0000D9090000}"/>
    <hyperlink ref="I2524" r:id="rId2523" xr:uid="{00000000-0004-0000-0000-0000DA090000}"/>
    <hyperlink ref="I2525" r:id="rId2524" xr:uid="{00000000-0004-0000-0000-0000DB090000}"/>
    <hyperlink ref="I2526" r:id="rId2525" xr:uid="{00000000-0004-0000-0000-0000DC090000}"/>
    <hyperlink ref="I2527" r:id="rId2526" xr:uid="{00000000-0004-0000-0000-0000DD090000}"/>
    <hyperlink ref="I2528" r:id="rId2527" xr:uid="{00000000-0004-0000-0000-0000DE090000}"/>
    <hyperlink ref="I2529" r:id="rId2528" xr:uid="{00000000-0004-0000-0000-0000DF090000}"/>
    <hyperlink ref="I2530" r:id="rId2529" xr:uid="{00000000-0004-0000-0000-0000E0090000}"/>
    <hyperlink ref="I2531" r:id="rId2530" xr:uid="{00000000-0004-0000-0000-0000E1090000}"/>
    <hyperlink ref="I2532" r:id="rId2531" xr:uid="{00000000-0004-0000-0000-0000E2090000}"/>
    <hyperlink ref="I2533" r:id="rId2532" xr:uid="{00000000-0004-0000-0000-0000E3090000}"/>
    <hyperlink ref="I2534" r:id="rId2533" xr:uid="{00000000-0004-0000-0000-0000E4090000}"/>
    <hyperlink ref="I2535" r:id="rId2534" xr:uid="{00000000-0004-0000-0000-0000E5090000}"/>
    <hyperlink ref="I2536" r:id="rId2535" xr:uid="{00000000-0004-0000-0000-0000E6090000}"/>
    <hyperlink ref="I2537" r:id="rId2536" xr:uid="{00000000-0004-0000-0000-0000E7090000}"/>
    <hyperlink ref="I2538" r:id="rId2537" xr:uid="{00000000-0004-0000-0000-0000E8090000}"/>
    <hyperlink ref="I2539" r:id="rId2538" xr:uid="{00000000-0004-0000-0000-0000E9090000}"/>
    <hyperlink ref="I2540" r:id="rId2539" xr:uid="{00000000-0004-0000-0000-0000EA090000}"/>
    <hyperlink ref="I2541" r:id="rId2540" xr:uid="{00000000-0004-0000-0000-0000EB090000}"/>
    <hyperlink ref="I2542" r:id="rId2541" xr:uid="{00000000-0004-0000-0000-0000EC090000}"/>
    <hyperlink ref="I2543" r:id="rId2542" xr:uid="{00000000-0004-0000-0000-0000ED090000}"/>
    <hyperlink ref="I2544" r:id="rId2543" xr:uid="{00000000-0004-0000-0000-0000EE090000}"/>
    <hyperlink ref="I2545" r:id="rId2544" xr:uid="{00000000-0004-0000-0000-0000EF090000}"/>
    <hyperlink ref="I2546" r:id="rId2545" xr:uid="{00000000-0004-0000-0000-0000F0090000}"/>
    <hyperlink ref="I2547" r:id="rId2546" xr:uid="{00000000-0004-0000-0000-0000F1090000}"/>
    <hyperlink ref="I2548" r:id="rId2547" xr:uid="{00000000-0004-0000-0000-0000F2090000}"/>
    <hyperlink ref="I2549" r:id="rId2548" xr:uid="{00000000-0004-0000-0000-0000F3090000}"/>
    <hyperlink ref="I2550" r:id="rId2549" xr:uid="{00000000-0004-0000-0000-0000F4090000}"/>
    <hyperlink ref="I2551" r:id="rId2550" xr:uid="{00000000-0004-0000-0000-0000F5090000}"/>
    <hyperlink ref="I2552" r:id="rId2551" xr:uid="{00000000-0004-0000-0000-0000F6090000}"/>
    <hyperlink ref="I2553" r:id="rId2552" xr:uid="{00000000-0004-0000-0000-0000F7090000}"/>
    <hyperlink ref="I2554" r:id="rId2553" xr:uid="{00000000-0004-0000-0000-0000F8090000}"/>
    <hyperlink ref="I2555" r:id="rId2554" xr:uid="{00000000-0004-0000-0000-0000F9090000}"/>
    <hyperlink ref="I2556" r:id="rId2555" xr:uid="{00000000-0004-0000-0000-0000FA090000}"/>
    <hyperlink ref="I2557" r:id="rId2556" xr:uid="{00000000-0004-0000-0000-0000FB090000}"/>
    <hyperlink ref="I2558" r:id="rId2557" xr:uid="{00000000-0004-0000-0000-0000FC090000}"/>
    <hyperlink ref="I2559" r:id="rId2558" xr:uid="{00000000-0004-0000-0000-0000FD090000}"/>
    <hyperlink ref="I2560" r:id="rId2559" xr:uid="{00000000-0004-0000-0000-0000FE090000}"/>
    <hyperlink ref="I2561" r:id="rId2560" xr:uid="{00000000-0004-0000-0000-0000FF090000}"/>
    <hyperlink ref="I2562" r:id="rId2561" xr:uid="{00000000-0004-0000-0000-0000000A0000}"/>
    <hyperlink ref="I2563" r:id="rId2562" xr:uid="{00000000-0004-0000-0000-0000010A0000}"/>
    <hyperlink ref="I2564" r:id="rId2563" xr:uid="{00000000-0004-0000-0000-0000020A0000}"/>
    <hyperlink ref="I2565" r:id="rId2564" xr:uid="{00000000-0004-0000-0000-0000030A0000}"/>
    <hyperlink ref="I2566" r:id="rId2565" xr:uid="{00000000-0004-0000-0000-0000040A0000}"/>
    <hyperlink ref="I2567" r:id="rId2566" xr:uid="{00000000-0004-0000-0000-0000050A0000}"/>
    <hyperlink ref="I2568" r:id="rId2567" xr:uid="{00000000-0004-0000-0000-0000060A0000}"/>
    <hyperlink ref="I2569" r:id="rId2568" xr:uid="{00000000-0004-0000-0000-0000070A0000}"/>
    <hyperlink ref="I2570" r:id="rId2569" xr:uid="{00000000-0004-0000-0000-0000080A0000}"/>
    <hyperlink ref="I2571" r:id="rId2570" xr:uid="{00000000-0004-0000-0000-0000090A0000}"/>
    <hyperlink ref="I2572" r:id="rId2571" xr:uid="{00000000-0004-0000-0000-00000A0A0000}"/>
    <hyperlink ref="I2573" r:id="rId2572" xr:uid="{00000000-0004-0000-0000-00000B0A0000}"/>
    <hyperlink ref="I2574" r:id="rId2573" xr:uid="{00000000-0004-0000-0000-00000C0A0000}"/>
    <hyperlink ref="I2575" r:id="rId2574" xr:uid="{00000000-0004-0000-0000-00000D0A0000}"/>
    <hyperlink ref="I2576" r:id="rId2575" xr:uid="{00000000-0004-0000-0000-00000E0A0000}"/>
    <hyperlink ref="I2577" r:id="rId2576" xr:uid="{00000000-0004-0000-0000-00000F0A0000}"/>
    <hyperlink ref="I2578" r:id="rId2577" xr:uid="{00000000-0004-0000-0000-0000100A0000}"/>
    <hyperlink ref="I2579" r:id="rId2578" xr:uid="{00000000-0004-0000-0000-0000110A0000}"/>
    <hyperlink ref="I2580" r:id="rId2579" xr:uid="{00000000-0004-0000-0000-0000120A0000}"/>
    <hyperlink ref="I2581" r:id="rId2580" xr:uid="{00000000-0004-0000-0000-0000130A0000}"/>
    <hyperlink ref="I2582" r:id="rId2581" xr:uid="{00000000-0004-0000-0000-0000140A0000}"/>
    <hyperlink ref="I2583" r:id="rId2582" xr:uid="{00000000-0004-0000-0000-0000150A0000}"/>
    <hyperlink ref="I2584" r:id="rId2583" xr:uid="{00000000-0004-0000-0000-0000160A0000}"/>
    <hyperlink ref="I2585" r:id="rId2584" xr:uid="{00000000-0004-0000-0000-0000170A0000}"/>
    <hyperlink ref="I2586" r:id="rId2585" xr:uid="{00000000-0004-0000-0000-0000180A0000}"/>
    <hyperlink ref="I2587" r:id="rId2586" xr:uid="{00000000-0004-0000-0000-0000190A0000}"/>
    <hyperlink ref="I2588" r:id="rId2587" xr:uid="{00000000-0004-0000-0000-00001A0A0000}"/>
    <hyperlink ref="I2589" r:id="rId2588" xr:uid="{00000000-0004-0000-0000-00001B0A0000}"/>
    <hyperlink ref="I2590" r:id="rId2589" xr:uid="{00000000-0004-0000-0000-00001C0A0000}"/>
    <hyperlink ref="I2591" r:id="rId2590" xr:uid="{00000000-0004-0000-0000-00001D0A0000}"/>
    <hyperlink ref="I2592" r:id="rId2591" xr:uid="{00000000-0004-0000-0000-00001E0A0000}"/>
    <hyperlink ref="I2593" r:id="rId2592" xr:uid="{00000000-0004-0000-0000-00001F0A0000}"/>
    <hyperlink ref="I2594" r:id="rId2593" xr:uid="{00000000-0004-0000-0000-0000200A0000}"/>
    <hyperlink ref="I2595" r:id="rId2594" xr:uid="{00000000-0004-0000-0000-0000210A0000}"/>
    <hyperlink ref="I2596" r:id="rId2595" xr:uid="{00000000-0004-0000-0000-0000220A0000}"/>
    <hyperlink ref="I2597" r:id="rId2596" xr:uid="{00000000-0004-0000-0000-0000230A0000}"/>
    <hyperlink ref="I2598" r:id="rId2597" xr:uid="{00000000-0004-0000-0000-0000240A0000}"/>
    <hyperlink ref="I2599" r:id="rId2598" xr:uid="{00000000-0004-0000-0000-0000250A0000}"/>
    <hyperlink ref="I2600" r:id="rId2599" xr:uid="{00000000-0004-0000-0000-0000260A0000}"/>
    <hyperlink ref="I2601" r:id="rId2600" xr:uid="{00000000-0004-0000-0000-0000270A0000}"/>
    <hyperlink ref="I2602" r:id="rId2601" xr:uid="{00000000-0004-0000-0000-0000280A0000}"/>
    <hyperlink ref="I2603" r:id="rId2602" xr:uid="{00000000-0004-0000-0000-0000290A0000}"/>
    <hyperlink ref="I2604" r:id="rId2603" xr:uid="{00000000-0004-0000-0000-00002A0A0000}"/>
    <hyperlink ref="I2605" r:id="rId2604" xr:uid="{00000000-0004-0000-0000-00002B0A0000}"/>
    <hyperlink ref="I2606" r:id="rId2605" xr:uid="{00000000-0004-0000-0000-00002C0A0000}"/>
    <hyperlink ref="I2607" r:id="rId2606" xr:uid="{00000000-0004-0000-0000-00002D0A0000}"/>
    <hyperlink ref="I2608" r:id="rId2607" xr:uid="{00000000-0004-0000-0000-00002E0A0000}"/>
    <hyperlink ref="I2609" r:id="rId2608" xr:uid="{00000000-0004-0000-0000-00002F0A0000}"/>
    <hyperlink ref="I2610" r:id="rId2609" xr:uid="{00000000-0004-0000-0000-0000300A0000}"/>
    <hyperlink ref="I2611" r:id="rId2610" xr:uid="{00000000-0004-0000-0000-0000310A0000}"/>
    <hyperlink ref="I2612" r:id="rId2611" xr:uid="{00000000-0004-0000-0000-0000320A0000}"/>
    <hyperlink ref="I2613" r:id="rId2612" xr:uid="{00000000-0004-0000-0000-0000330A0000}"/>
    <hyperlink ref="I2614" r:id="rId2613" xr:uid="{00000000-0004-0000-0000-0000340A0000}"/>
    <hyperlink ref="I2615" r:id="rId2614" xr:uid="{00000000-0004-0000-0000-0000350A0000}"/>
    <hyperlink ref="I2616" r:id="rId2615" xr:uid="{00000000-0004-0000-0000-0000360A0000}"/>
    <hyperlink ref="I2617" r:id="rId2616" xr:uid="{00000000-0004-0000-0000-0000370A0000}"/>
    <hyperlink ref="I2618" r:id="rId2617" xr:uid="{00000000-0004-0000-0000-0000380A0000}"/>
    <hyperlink ref="I2619" r:id="rId2618" xr:uid="{00000000-0004-0000-0000-0000390A0000}"/>
    <hyperlink ref="I2620" r:id="rId2619" xr:uid="{00000000-0004-0000-0000-00003A0A0000}"/>
    <hyperlink ref="I2621" r:id="rId2620" xr:uid="{00000000-0004-0000-0000-00003B0A0000}"/>
    <hyperlink ref="I2622" r:id="rId2621" xr:uid="{00000000-0004-0000-0000-00003C0A0000}"/>
    <hyperlink ref="I2623" r:id="rId2622" xr:uid="{00000000-0004-0000-0000-00003D0A0000}"/>
    <hyperlink ref="I2624" r:id="rId2623" xr:uid="{00000000-0004-0000-0000-00003E0A0000}"/>
    <hyperlink ref="I2625" r:id="rId2624" xr:uid="{00000000-0004-0000-0000-00003F0A0000}"/>
    <hyperlink ref="I2626" r:id="rId2625" xr:uid="{00000000-0004-0000-0000-0000400A0000}"/>
    <hyperlink ref="I2627" r:id="rId2626" xr:uid="{00000000-0004-0000-0000-0000410A0000}"/>
    <hyperlink ref="I2628" r:id="rId2627" xr:uid="{00000000-0004-0000-0000-0000420A0000}"/>
    <hyperlink ref="I2629" r:id="rId2628" xr:uid="{00000000-0004-0000-0000-0000430A0000}"/>
    <hyperlink ref="I2630" r:id="rId2629" xr:uid="{00000000-0004-0000-0000-0000440A0000}"/>
    <hyperlink ref="I2631" r:id="rId2630" xr:uid="{00000000-0004-0000-0000-0000450A0000}"/>
    <hyperlink ref="I2632" r:id="rId2631" xr:uid="{00000000-0004-0000-0000-0000460A0000}"/>
    <hyperlink ref="I2633" r:id="rId2632" xr:uid="{00000000-0004-0000-0000-0000470A0000}"/>
    <hyperlink ref="I2634" r:id="rId2633" xr:uid="{00000000-0004-0000-0000-0000480A0000}"/>
    <hyperlink ref="I2635" r:id="rId2634" xr:uid="{00000000-0004-0000-0000-0000490A0000}"/>
    <hyperlink ref="I2636" r:id="rId2635" xr:uid="{00000000-0004-0000-0000-00004A0A0000}"/>
    <hyperlink ref="I2637" r:id="rId2636" xr:uid="{00000000-0004-0000-0000-00004B0A0000}"/>
    <hyperlink ref="I2638" r:id="rId2637" xr:uid="{00000000-0004-0000-0000-00004C0A0000}"/>
    <hyperlink ref="I2639" r:id="rId2638" xr:uid="{00000000-0004-0000-0000-00004D0A0000}"/>
    <hyperlink ref="I2640" r:id="rId2639" xr:uid="{00000000-0004-0000-0000-00004E0A0000}"/>
    <hyperlink ref="I2641" r:id="rId2640" xr:uid="{00000000-0004-0000-0000-00004F0A0000}"/>
    <hyperlink ref="I2642" r:id="rId2641" xr:uid="{00000000-0004-0000-0000-0000500A0000}"/>
    <hyperlink ref="I2643" r:id="rId2642" xr:uid="{00000000-0004-0000-0000-0000510A0000}"/>
    <hyperlink ref="I2644" r:id="rId2643" xr:uid="{00000000-0004-0000-0000-0000520A0000}"/>
    <hyperlink ref="I2645" r:id="rId2644" xr:uid="{00000000-0004-0000-0000-0000530A0000}"/>
    <hyperlink ref="I2646" r:id="rId2645" xr:uid="{00000000-0004-0000-0000-0000540A0000}"/>
    <hyperlink ref="I2647" r:id="rId2646" xr:uid="{00000000-0004-0000-0000-0000550A0000}"/>
    <hyperlink ref="I2648" r:id="rId2647" xr:uid="{00000000-0004-0000-0000-0000560A0000}"/>
    <hyperlink ref="I2649" r:id="rId2648" xr:uid="{00000000-0004-0000-0000-0000570A0000}"/>
    <hyperlink ref="I2650" r:id="rId2649" xr:uid="{00000000-0004-0000-0000-0000580A0000}"/>
    <hyperlink ref="I2651" r:id="rId2650" xr:uid="{00000000-0004-0000-0000-0000590A0000}"/>
    <hyperlink ref="I2652" r:id="rId2651" xr:uid="{00000000-0004-0000-0000-00005A0A0000}"/>
    <hyperlink ref="I2653" r:id="rId2652" xr:uid="{00000000-0004-0000-0000-00005B0A0000}"/>
    <hyperlink ref="I2654" r:id="rId2653" xr:uid="{00000000-0004-0000-0000-00005C0A0000}"/>
    <hyperlink ref="I2655" r:id="rId2654" xr:uid="{00000000-0004-0000-0000-00005D0A0000}"/>
    <hyperlink ref="I2656" r:id="rId2655" xr:uid="{00000000-0004-0000-0000-00005E0A0000}"/>
    <hyperlink ref="I2657" r:id="rId2656" xr:uid="{00000000-0004-0000-0000-00005F0A0000}"/>
    <hyperlink ref="I2658" r:id="rId2657" xr:uid="{00000000-0004-0000-0000-0000600A0000}"/>
    <hyperlink ref="I2659" r:id="rId2658" xr:uid="{00000000-0004-0000-0000-0000610A0000}"/>
    <hyperlink ref="I2660" r:id="rId2659" xr:uid="{00000000-0004-0000-0000-0000620A0000}"/>
    <hyperlink ref="I2661" r:id="rId2660" xr:uid="{00000000-0004-0000-0000-0000630A0000}"/>
    <hyperlink ref="I2662" r:id="rId2661" xr:uid="{00000000-0004-0000-0000-0000640A0000}"/>
    <hyperlink ref="I2663" r:id="rId2662" xr:uid="{00000000-0004-0000-0000-0000650A0000}"/>
    <hyperlink ref="I2664" r:id="rId2663" xr:uid="{00000000-0004-0000-0000-0000660A0000}"/>
    <hyperlink ref="I2665" r:id="rId2664" xr:uid="{00000000-0004-0000-0000-0000670A0000}"/>
    <hyperlink ref="I2666" r:id="rId2665" xr:uid="{00000000-0004-0000-0000-0000680A0000}"/>
    <hyperlink ref="I2667" r:id="rId2666" xr:uid="{00000000-0004-0000-0000-0000690A0000}"/>
    <hyperlink ref="I2668" r:id="rId2667" xr:uid="{00000000-0004-0000-0000-00006A0A0000}"/>
    <hyperlink ref="I2669" r:id="rId2668" xr:uid="{00000000-0004-0000-0000-00006B0A0000}"/>
    <hyperlink ref="I2670" r:id="rId2669" xr:uid="{00000000-0004-0000-0000-00006C0A0000}"/>
    <hyperlink ref="I2671" r:id="rId2670" xr:uid="{00000000-0004-0000-0000-00006D0A0000}"/>
    <hyperlink ref="I2672" r:id="rId2671" xr:uid="{00000000-0004-0000-0000-00006E0A0000}"/>
    <hyperlink ref="I2673" r:id="rId2672" xr:uid="{00000000-0004-0000-0000-00006F0A0000}"/>
    <hyperlink ref="I2674" r:id="rId2673" xr:uid="{00000000-0004-0000-0000-0000700A0000}"/>
    <hyperlink ref="I2675" r:id="rId2674" xr:uid="{00000000-0004-0000-0000-0000710A0000}"/>
    <hyperlink ref="I2676" r:id="rId2675" xr:uid="{00000000-0004-0000-0000-0000720A0000}"/>
    <hyperlink ref="I2677" r:id="rId2676" xr:uid="{00000000-0004-0000-0000-0000730A0000}"/>
    <hyperlink ref="I2678" r:id="rId2677" xr:uid="{00000000-0004-0000-0000-0000740A0000}"/>
    <hyperlink ref="I2679" r:id="rId2678" xr:uid="{00000000-0004-0000-0000-0000750A0000}"/>
    <hyperlink ref="I2680" r:id="rId2679" xr:uid="{00000000-0004-0000-0000-0000760A0000}"/>
    <hyperlink ref="I2681" r:id="rId2680" xr:uid="{00000000-0004-0000-0000-0000770A0000}"/>
    <hyperlink ref="I2682" r:id="rId2681" xr:uid="{00000000-0004-0000-0000-0000780A0000}"/>
    <hyperlink ref="I2683" r:id="rId2682" xr:uid="{00000000-0004-0000-0000-0000790A0000}"/>
    <hyperlink ref="I2684" r:id="rId2683" xr:uid="{00000000-0004-0000-0000-00007A0A0000}"/>
    <hyperlink ref="I2685" r:id="rId2684" xr:uid="{00000000-0004-0000-0000-00007B0A0000}"/>
    <hyperlink ref="I2686" r:id="rId2685" xr:uid="{00000000-0004-0000-0000-00007C0A0000}"/>
    <hyperlink ref="I2687" r:id="rId2686" xr:uid="{00000000-0004-0000-0000-00007D0A0000}"/>
    <hyperlink ref="I2688" r:id="rId2687" xr:uid="{00000000-0004-0000-0000-00007E0A0000}"/>
    <hyperlink ref="I2689" r:id="rId2688" xr:uid="{00000000-0004-0000-0000-00007F0A0000}"/>
    <hyperlink ref="I2690" r:id="rId2689" xr:uid="{00000000-0004-0000-0000-0000800A0000}"/>
    <hyperlink ref="I2691" r:id="rId2690" xr:uid="{00000000-0004-0000-0000-0000810A0000}"/>
    <hyperlink ref="I2692" r:id="rId2691" xr:uid="{00000000-0004-0000-0000-0000820A0000}"/>
    <hyperlink ref="I2693" r:id="rId2692" xr:uid="{00000000-0004-0000-0000-0000830A0000}"/>
    <hyperlink ref="I2694" r:id="rId2693" xr:uid="{00000000-0004-0000-0000-0000840A0000}"/>
    <hyperlink ref="I2695" r:id="rId2694" xr:uid="{00000000-0004-0000-0000-0000850A0000}"/>
    <hyperlink ref="I2696" r:id="rId2695" xr:uid="{00000000-0004-0000-0000-0000860A0000}"/>
    <hyperlink ref="I2697" r:id="rId2696" xr:uid="{00000000-0004-0000-0000-0000870A0000}"/>
    <hyperlink ref="I2698" r:id="rId2697" xr:uid="{00000000-0004-0000-0000-0000880A0000}"/>
    <hyperlink ref="I2699" r:id="rId2698" xr:uid="{00000000-0004-0000-0000-0000890A0000}"/>
    <hyperlink ref="I2700" r:id="rId2699" xr:uid="{00000000-0004-0000-0000-00008A0A0000}"/>
    <hyperlink ref="I2701" r:id="rId2700" xr:uid="{00000000-0004-0000-0000-00008B0A0000}"/>
    <hyperlink ref="I2702" r:id="rId2701" xr:uid="{00000000-0004-0000-0000-00008C0A0000}"/>
    <hyperlink ref="I2703" r:id="rId2702" xr:uid="{00000000-0004-0000-0000-00008D0A0000}"/>
    <hyperlink ref="I2704" r:id="rId2703" xr:uid="{00000000-0004-0000-0000-00008E0A0000}"/>
    <hyperlink ref="I2705" r:id="rId2704" xr:uid="{00000000-0004-0000-0000-00008F0A0000}"/>
    <hyperlink ref="I2706" r:id="rId2705" xr:uid="{00000000-0004-0000-0000-0000900A0000}"/>
    <hyperlink ref="I2707" r:id="rId2706" xr:uid="{00000000-0004-0000-0000-0000910A0000}"/>
    <hyperlink ref="I2708" r:id="rId2707" xr:uid="{00000000-0004-0000-0000-0000920A0000}"/>
    <hyperlink ref="I2709" r:id="rId2708" xr:uid="{00000000-0004-0000-0000-0000930A0000}"/>
    <hyperlink ref="I2710" r:id="rId2709" xr:uid="{00000000-0004-0000-0000-0000940A0000}"/>
    <hyperlink ref="I2711" r:id="rId2710" xr:uid="{00000000-0004-0000-0000-0000950A0000}"/>
    <hyperlink ref="I2712" r:id="rId2711" xr:uid="{00000000-0004-0000-0000-0000960A0000}"/>
    <hyperlink ref="I2713" r:id="rId2712" xr:uid="{00000000-0004-0000-0000-0000970A0000}"/>
    <hyperlink ref="I2714" r:id="rId2713" xr:uid="{00000000-0004-0000-0000-0000980A0000}"/>
    <hyperlink ref="I2715" r:id="rId2714" xr:uid="{00000000-0004-0000-0000-0000990A0000}"/>
    <hyperlink ref="I2716" r:id="rId2715" xr:uid="{00000000-0004-0000-0000-00009A0A0000}"/>
    <hyperlink ref="I2717" r:id="rId2716" xr:uid="{00000000-0004-0000-0000-00009B0A0000}"/>
    <hyperlink ref="I2718" r:id="rId2717" xr:uid="{00000000-0004-0000-0000-00009C0A0000}"/>
    <hyperlink ref="I2719" r:id="rId2718" xr:uid="{00000000-0004-0000-0000-00009D0A0000}"/>
    <hyperlink ref="I2720" r:id="rId2719" xr:uid="{00000000-0004-0000-0000-00009E0A0000}"/>
    <hyperlink ref="I2721" r:id="rId2720" xr:uid="{00000000-0004-0000-0000-00009F0A0000}"/>
    <hyperlink ref="I2722" r:id="rId2721" xr:uid="{00000000-0004-0000-0000-0000A00A0000}"/>
    <hyperlink ref="I2723" r:id="rId2722" xr:uid="{00000000-0004-0000-0000-0000A10A0000}"/>
    <hyperlink ref="I2724" r:id="rId2723" xr:uid="{00000000-0004-0000-0000-0000A20A0000}"/>
    <hyperlink ref="I2725" r:id="rId2724" xr:uid="{00000000-0004-0000-0000-0000A30A0000}"/>
    <hyperlink ref="I2726" r:id="rId2725" xr:uid="{00000000-0004-0000-0000-0000A40A0000}"/>
    <hyperlink ref="I2727" r:id="rId2726" xr:uid="{00000000-0004-0000-0000-0000A50A0000}"/>
    <hyperlink ref="I2728" r:id="rId2727" xr:uid="{00000000-0004-0000-0000-0000A60A0000}"/>
    <hyperlink ref="I2729" r:id="rId2728" xr:uid="{00000000-0004-0000-0000-0000A70A0000}"/>
    <hyperlink ref="I2730" r:id="rId2729" xr:uid="{00000000-0004-0000-0000-0000A80A0000}"/>
    <hyperlink ref="I2731" r:id="rId2730" xr:uid="{00000000-0004-0000-0000-0000A90A0000}"/>
    <hyperlink ref="I2732" r:id="rId2731" xr:uid="{00000000-0004-0000-0000-0000AA0A0000}"/>
    <hyperlink ref="I2733" r:id="rId2732" xr:uid="{00000000-0004-0000-0000-0000AB0A0000}"/>
    <hyperlink ref="I2734" r:id="rId2733" xr:uid="{00000000-0004-0000-0000-0000AC0A0000}"/>
    <hyperlink ref="I2735" r:id="rId2734" xr:uid="{00000000-0004-0000-0000-0000AD0A0000}"/>
    <hyperlink ref="I2736" r:id="rId2735" xr:uid="{00000000-0004-0000-0000-0000AE0A0000}"/>
    <hyperlink ref="I2737" r:id="rId2736" xr:uid="{00000000-0004-0000-0000-0000AF0A0000}"/>
    <hyperlink ref="I2738" r:id="rId2737" xr:uid="{00000000-0004-0000-0000-0000B00A0000}"/>
    <hyperlink ref="I2739" r:id="rId2738" xr:uid="{00000000-0004-0000-0000-0000B10A0000}"/>
    <hyperlink ref="I2740" r:id="rId2739" xr:uid="{00000000-0004-0000-0000-0000B20A0000}"/>
    <hyperlink ref="I2741" r:id="rId2740" xr:uid="{00000000-0004-0000-0000-0000B30A0000}"/>
    <hyperlink ref="I2742" r:id="rId2741" xr:uid="{00000000-0004-0000-0000-0000B40A0000}"/>
    <hyperlink ref="I2743" r:id="rId2742" xr:uid="{00000000-0004-0000-0000-0000B50A0000}"/>
    <hyperlink ref="I2744" r:id="rId2743" xr:uid="{00000000-0004-0000-0000-0000B60A0000}"/>
    <hyperlink ref="I2745" r:id="rId2744" xr:uid="{00000000-0004-0000-0000-0000B70A0000}"/>
    <hyperlink ref="I2746" r:id="rId2745" xr:uid="{00000000-0004-0000-0000-0000B80A0000}"/>
    <hyperlink ref="I2747" r:id="rId2746" xr:uid="{00000000-0004-0000-0000-0000B90A0000}"/>
    <hyperlink ref="I2748" r:id="rId2747" xr:uid="{00000000-0004-0000-0000-0000BA0A0000}"/>
    <hyperlink ref="I2749" r:id="rId2748" xr:uid="{00000000-0004-0000-0000-0000BB0A0000}"/>
    <hyperlink ref="I2750" r:id="rId2749" xr:uid="{00000000-0004-0000-0000-0000BC0A0000}"/>
    <hyperlink ref="I2751" r:id="rId2750" xr:uid="{00000000-0004-0000-0000-0000BD0A0000}"/>
    <hyperlink ref="I2752" r:id="rId2751" xr:uid="{00000000-0004-0000-0000-0000BE0A0000}"/>
    <hyperlink ref="I2753" r:id="rId2752" xr:uid="{00000000-0004-0000-0000-0000BF0A0000}"/>
    <hyperlink ref="I2754" r:id="rId2753" xr:uid="{00000000-0004-0000-0000-0000C00A0000}"/>
    <hyperlink ref="I2755" r:id="rId2754" xr:uid="{00000000-0004-0000-0000-0000C10A0000}"/>
    <hyperlink ref="I2756" r:id="rId2755" xr:uid="{00000000-0004-0000-0000-0000C20A0000}"/>
    <hyperlink ref="I2757" r:id="rId2756" xr:uid="{00000000-0004-0000-0000-0000C30A0000}"/>
    <hyperlink ref="I2758" r:id="rId2757" xr:uid="{00000000-0004-0000-0000-0000C40A0000}"/>
    <hyperlink ref="I2759" r:id="rId2758" xr:uid="{00000000-0004-0000-0000-0000C50A0000}"/>
    <hyperlink ref="I2760" r:id="rId2759" xr:uid="{00000000-0004-0000-0000-0000C60A0000}"/>
    <hyperlink ref="I2761" r:id="rId2760" xr:uid="{00000000-0004-0000-0000-0000C70A0000}"/>
    <hyperlink ref="I2762" r:id="rId2761" xr:uid="{00000000-0004-0000-0000-0000C80A0000}"/>
    <hyperlink ref="I2763" r:id="rId2762" xr:uid="{00000000-0004-0000-0000-0000C90A0000}"/>
    <hyperlink ref="I2764" r:id="rId2763" xr:uid="{00000000-0004-0000-0000-0000CA0A0000}"/>
    <hyperlink ref="I2765" r:id="rId2764" xr:uid="{00000000-0004-0000-0000-0000CB0A0000}"/>
    <hyperlink ref="I2766" r:id="rId2765" xr:uid="{00000000-0004-0000-0000-0000CC0A0000}"/>
    <hyperlink ref="I2767" r:id="rId2766" xr:uid="{00000000-0004-0000-0000-0000CD0A0000}"/>
    <hyperlink ref="I2768" r:id="rId2767" xr:uid="{00000000-0004-0000-0000-0000CE0A0000}"/>
    <hyperlink ref="I2769" r:id="rId2768" xr:uid="{00000000-0004-0000-0000-0000CF0A0000}"/>
    <hyperlink ref="I2770" r:id="rId2769" xr:uid="{00000000-0004-0000-0000-0000D00A0000}"/>
    <hyperlink ref="I2771" r:id="rId2770" xr:uid="{00000000-0004-0000-0000-0000D10A0000}"/>
    <hyperlink ref="I2772" r:id="rId2771" xr:uid="{00000000-0004-0000-0000-0000D20A0000}"/>
    <hyperlink ref="I2773" r:id="rId2772" xr:uid="{00000000-0004-0000-0000-0000D30A0000}"/>
    <hyperlink ref="I2774" r:id="rId2773" xr:uid="{00000000-0004-0000-0000-0000D40A0000}"/>
    <hyperlink ref="I2775" r:id="rId2774" xr:uid="{00000000-0004-0000-0000-0000D50A0000}"/>
    <hyperlink ref="I2776" r:id="rId2775" xr:uid="{00000000-0004-0000-0000-0000D60A0000}"/>
    <hyperlink ref="I2777" r:id="rId2776" xr:uid="{00000000-0004-0000-0000-0000D70A0000}"/>
    <hyperlink ref="I2778" r:id="rId2777" xr:uid="{00000000-0004-0000-0000-0000D80A0000}"/>
    <hyperlink ref="I2779" r:id="rId2778" xr:uid="{00000000-0004-0000-0000-0000D90A0000}"/>
    <hyperlink ref="I2780" r:id="rId2779" xr:uid="{00000000-0004-0000-0000-0000DA0A0000}"/>
    <hyperlink ref="I2781" r:id="rId2780" xr:uid="{00000000-0004-0000-0000-0000DB0A0000}"/>
    <hyperlink ref="I2782" r:id="rId2781" xr:uid="{00000000-0004-0000-0000-0000DC0A0000}"/>
    <hyperlink ref="I2783" r:id="rId2782" xr:uid="{00000000-0004-0000-0000-0000DD0A0000}"/>
    <hyperlink ref="I2784" r:id="rId2783" xr:uid="{00000000-0004-0000-0000-0000DE0A0000}"/>
    <hyperlink ref="I2785" r:id="rId2784" xr:uid="{00000000-0004-0000-0000-0000DF0A0000}"/>
    <hyperlink ref="I2786" r:id="rId2785" xr:uid="{00000000-0004-0000-0000-0000E00A0000}"/>
    <hyperlink ref="I2787" r:id="rId2786" xr:uid="{00000000-0004-0000-0000-0000E10A0000}"/>
    <hyperlink ref="I2788" r:id="rId2787" xr:uid="{00000000-0004-0000-0000-0000E20A0000}"/>
    <hyperlink ref="I2789" r:id="rId2788" xr:uid="{00000000-0004-0000-0000-0000E30A0000}"/>
    <hyperlink ref="I2790" r:id="rId2789" xr:uid="{00000000-0004-0000-0000-0000E40A0000}"/>
    <hyperlink ref="I2791" r:id="rId2790" xr:uid="{00000000-0004-0000-0000-0000E50A0000}"/>
    <hyperlink ref="I2792" r:id="rId2791" xr:uid="{00000000-0004-0000-0000-0000E60A0000}"/>
    <hyperlink ref="I2793" r:id="rId2792" xr:uid="{00000000-0004-0000-0000-0000E70A0000}"/>
    <hyperlink ref="I2794" r:id="rId2793" xr:uid="{00000000-0004-0000-0000-0000E80A0000}"/>
    <hyperlink ref="I2795" r:id="rId2794" xr:uid="{00000000-0004-0000-0000-0000E90A0000}"/>
    <hyperlink ref="I2796" r:id="rId2795" xr:uid="{00000000-0004-0000-0000-0000EA0A0000}"/>
    <hyperlink ref="I2797" r:id="rId2796" xr:uid="{00000000-0004-0000-0000-0000EB0A0000}"/>
    <hyperlink ref="I2798" r:id="rId2797" xr:uid="{00000000-0004-0000-0000-0000EC0A0000}"/>
    <hyperlink ref="I2799" r:id="rId2798" xr:uid="{00000000-0004-0000-0000-0000ED0A0000}"/>
    <hyperlink ref="I2800" r:id="rId2799" xr:uid="{00000000-0004-0000-0000-0000EE0A0000}"/>
    <hyperlink ref="I2801" r:id="rId2800" xr:uid="{00000000-0004-0000-0000-0000EF0A0000}"/>
    <hyperlink ref="I2802" r:id="rId2801" xr:uid="{00000000-0004-0000-0000-0000F00A0000}"/>
    <hyperlink ref="I2803" r:id="rId2802" xr:uid="{00000000-0004-0000-0000-0000F10A0000}"/>
    <hyperlink ref="I2804" r:id="rId2803" xr:uid="{00000000-0004-0000-0000-0000F20A0000}"/>
    <hyperlink ref="I2805" r:id="rId2804" xr:uid="{00000000-0004-0000-0000-0000F30A0000}"/>
    <hyperlink ref="I2806" r:id="rId2805" xr:uid="{00000000-0004-0000-0000-0000F40A0000}"/>
    <hyperlink ref="I2807" r:id="rId2806" xr:uid="{00000000-0004-0000-0000-0000F50A0000}"/>
    <hyperlink ref="I2808" r:id="rId2807" xr:uid="{00000000-0004-0000-0000-0000F60A0000}"/>
    <hyperlink ref="I2809" r:id="rId2808" xr:uid="{00000000-0004-0000-0000-0000F70A0000}"/>
    <hyperlink ref="I2810" r:id="rId2809" xr:uid="{00000000-0004-0000-0000-0000F80A0000}"/>
    <hyperlink ref="I2811" r:id="rId2810" xr:uid="{00000000-0004-0000-0000-0000F90A0000}"/>
    <hyperlink ref="I2812" r:id="rId2811" xr:uid="{00000000-0004-0000-0000-0000FA0A0000}"/>
    <hyperlink ref="I2813" r:id="rId2812" xr:uid="{00000000-0004-0000-0000-0000FB0A0000}"/>
    <hyperlink ref="I2814" r:id="rId2813" xr:uid="{00000000-0004-0000-0000-0000FC0A0000}"/>
    <hyperlink ref="I2815" r:id="rId2814" xr:uid="{00000000-0004-0000-0000-0000FD0A0000}"/>
    <hyperlink ref="I2816" r:id="rId2815" xr:uid="{00000000-0004-0000-0000-0000FE0A0000}"/>
    <hyperlink ref="I2817" r:id="rId2816" xr:uid="{00000000-0004-0000-0000-0000FF0A0000}"/>
    <hyperlink ref="I2818" r:id="rId2817" xr:uid="{00000000-0004-0000-0000-0000000B0000}"/>
    <hyperlink ref="I2819" r:id="rId2818" xr:uid="{00000000-0004-0000-0000-0000010B0000}"/>
    <hyperlink ref="I2820" r:id="rId2819" xr:uid="{00000000-0004-0000-0000-0000020B0000}"/>
    <hyperlink ref="I2821" r:id="rId2820" xr:uid="{00000000-0004-0000-0000-0000030B0000}"/>
    <hyperlink ref="I2822" r:id="rId2821" xr:uid="{00000000-0004-0000-0000-0000040B0000}"/>
    <hyperlink ref="I2823" r:id="rId2822" xr:uid="{00000000-0004-0000-0000-0000050B0000}"/>
    <hyperlink ref="I2824" r:id="rId2823" xr:uid="{00000000-0004-0000-0000-0000060B0000}"/>
    <hyperlink ref="I2825" r:id="rId2824" xr:uid="{00000000-0004-0000-0000-0000070B0000}"/>
    <hyperlink ref="I2826" r:id="rId2825" xr:uid="{00000000-0004-0000-0000-0000080B0000}"/>
    <hyperlink ref="I2827" r:id="rId2826" xr:uid="{00000000-0004-0000-0000-0000090B0000}"/>
    <hyperlink ref="I2828" r:id="rId2827" xr:uid="{00000000-0004-0000-0000-00000A0B0000}"/>
    <hyperlink ref="I2829" r:id="rId2828" xr:uid="{00000000-0004-0000-0000-00000B0B0000}"/>
    <hyperlink ref="I2830" r:id="rId2829" xr:uid="{00000000-0004-0000-0000-00000C0B0000}"/>
    <hyperlink ref="I2831" r:id="rId2830" xr:uid="{00000000-0004-0000-0000-00000D0B0000}"/>
    <hyperlink ref="I2832" r:id="rId2831" xr:uid="{00000000-0004-0000-0000-00000E0B0000}"/>
    <hyperlink ref="I2833" r:id="rId2832" xr:uid="{00000000-0004-0000-0000-00000F0B0000}"/>
    <hyperlink ref="I2834" r:id="rId2833" xr:uid="{00000000-0004-0000-0000-0000100B0000}"/>
    <hyperlink ref="I2835" r:id="rId2834" xr:uid="{00000000-0004-0000-0000-0000110B0000}"/>
    <hyperlink ref="I2836" r:id="rId2835" xr:uid="{00000000-0004-0000-0000-0000120B0000}"/>
    <hyperlink ref="I2837" r:id="rId2836" xr:uid="{00000000-0004-0000-0000-0000130B0000}"/>
    <hyperlink ref="I2838" r:id="rId2837" xr:uid="{00000000-0004-0000-0000-0000140B0000}"/>
    <hyperlink ref="I2839" r:id="rId2838" xr:uid="{00000000-0004-0000-0000-0000150B0000}"/>
    <hyperlink ref="I2840" r:id="rId2839" xr:uid="{00000000-0004-0000-0000-0000160B0000}"/>
    <hyperlink ref="I2841" r:id="rId2840" xr:uid="{00000000-0004-0000-0000-0000170B0000}"/>
    <hyperlink ref="I2842" r:id="rId2841" xr:uid="{00000000-0004-0000-0000-0000180B0000}"/>
    <hyperlink ref="I2843" r:id="rId2842" xr:uid="{00000000-0004-0000-0000-0000190B0000}"/>
    <hyperlink ref="I2844" r:id="rId2843" xr:uid="{00000000-0004-0000-0000-00001A0B0000}"/>
    <hyperlink ref="I2845" r:id="rId2844" xr:uid="{00000000-0004-0000-0000-00001B0B0000}"/>
    <hyperlink ref="I2846" r:id="rId2845" xr:uid="{00000000-0004-0000-0000-00001C0B0000}"/>
    <hyperlink ref="I2847" r:id="rId2846" xr:uid="{00000000-0004-0000-0000-00001D0B0000}"/>
    <hyperlink ref="I2848" r:id="rId2847" xr:uid="{00000000-0004-0000-0000-00001E0B0000}"/>
    <hyperlink ref="I2849" r:id="rId2848" xr:uid="{00000000-0004-0000-0000-00001F0B0000}"/>
    <hyperlink ref="I2850" r:id="rId2849" xr:uid="{00000000-0004-0000-0000-0000200B0000}"/>
    <hyperlink ref="I2851" r:id="rId2850" xr:uid="{00000000-0004-0000-0000-0000210B0000}"/>
    <hyperlink ref="I2852" r:id="rId2851" xr:uid="{00000000-0004-0000-0000-0000220B0000}"/>
    <hyperlink ref="I2853" r:id="rId2852" xr:uid="{00000000-0004-0000-0000-0000230B0000}"/>
    <hyperlink ref="I2854" r:id="rId2853" xr:uid="{00000000-0004-0000-0000-0000240B0000}"/>
    <hyperlink ref="I2855" r:id="rId2854" xr:uid="{00000000-0004-0000-0000-0000250B0000}"/>
    <hyperlink ref="I2856" r:id="rId2855" xr:uid="{00000000-0004-0000-0000-0000260B0000}"/>
    <hyperlink ref="I2857" r:id="rId2856" xr:uid="{00000000-0004-0000-0000-0000270B0000}"/>
    <hyperlink ref="I2858" r:id="rId2857" xr:uid="{00000000-0004-0000-0000-0000280B0000}"/>
    <hyperlink ref="I2859" r:id="rId2858" xr:uid="{00000000-0004-0000-0000-0000290B0000}"/>
    <hyperlink ref="I2860" r:id="rId2859" xr:uid="{00000000-0004-0000-0000-00002A0B0000}"/>
    <hyperlink ref="I2861" r:id="rId2860" xr:uid="{00000000-0004-0000-0000-00002B0B0000}"/>
    <hyperlink ref="I2862" r:id="rId2861" xr:uid="{00000000-0004-0000-0000-00002C0B0000}"/>
    <hyperlink ref="I2863" r:id="rId2862" xr:uid="{00000000-0004-0000-0000-00002D0B0000}"/>
    <hyperlink ref="I2864" r:id="rId2863" xr:uid="{00000000-0004-0000-0000-00002E0B0000}"/>
    <hyperlink ref="I2865" r:id="rId2864" xr:uid="{00000000-0004-0000-0000-00002F0B0000}"/>
    <hyperlink ref="I2866" r:id="rId2865" xr:uid="{00000000-0004-0000-0000-0000300B0000}"/>
    <hyperlink ref="I2867" r:id="rId2866" xr:uid="{00000000-0004-0000-0000-0000310B0000}"/>
    <hyperlink ref="I2868" r:id="rId2867" xr:uid="{00000000-0004-0000-0000-0000320B0000}"/>
    <hyperlink ref="I2869" r:id="rId2868" xr:uid="{00000000-0004-0000-0000-0000330B0000}"/>
    <hyperlink ref="I2870" r:id="rId2869" xr:uid="{00000000-0004-0000-0000-0000340B0000}"/>
    <hyperlink ref="I2871" r:id="rId2870" xr:uid="{00000000-0004-0000-0000-0000350B0000}"/>
    <hyperlink ref="I2872" r:id="rId2871" xr:uid="{00000000-0004-0000-0000-0000360B0000}"/>
    <hyperlink ref="I2873" r:id="rId2872" xr:uid="{00000000-0004-0000-0000-0000370B0000}"/>
    <hyperlink ref="I2874" r:id="rId2873" xr:uid="{00000000-0004-0000-0000-0000380B0000}"/>
    <hyperlink ref="I2875" r:id="rId2874" xr:uid="{00000000-0004-0000-0000-0000390B0000}"/>
    <hyperlink ref="I2876" r:id="rId2875" xr:uid="{00000000-0004-0000-0000-00003A0B0000}"/>
    <hyperlink ref="I2877" r:id="rId2876" xr:uid="{00000000-0004-0000-0000-00003B0B0000}"/>
    <hyperlink ref="I2878" r:id="rId2877" xr:uid="{00000000-0004-0000-0000-00003C0B0000}"/>
    <hyperlink ref="I2879" r:id="rId2878" xr:uid="{00000000-0004-0000-0000-00003D0B0000}"/>
    <hyperlink ref="I2880" r:id="rId2879" xr:uid="{00000000-0004-0000-0000-00003E0B0000}"/>
    <hyperlink ref="I2881" r:id="rId2880" xr:uid="{00000000-0004-0000-0000-00003F0B0000}"/>
    <hyperlink ref="I2882" r:id="rId2881" xr:uid="{00000000-0004-0000-0000-0000400B0000}"/>
    <hyperlink ref="I2883" r:id="rId2882" xr:uid="{00000000-0004-0000-0000-0000410B0000}"/>
    <hyperlink ref="I2884" r:id="rId2883" xr:uid="{00000000-0004-0000-0000-0000420B0000}"/>
    <hyperlink ref="I2885" r:id="rId2884" xr:uid="{00000000-0004-0000-0000-0000430B0000}"/>
    <hyperlink ref="I2886" r:id="rId2885" xr:uid="{00000000-0004-0000-0000-0000440B0000}"/>
    <hyperlink ref="I2887" r:id="rId2886" xr:uid="{00000000-0004-0000-0000-0000450B0000}"/>
    <hyperlink ref="I2888" r:id="rId2887" xr:uid="{00000000-0004-0000-0000-0000460B0000}"/>
    <hyperlink ref="I2889" r:id="rId2888" xr:uid="{00000000-0004-0000-0000-0000470B0000}"/>
    <hyperlink ref="I2890" r:id="rId2889" xr:uid="{00000000-0004-0000-0000-0000480B0000}"/>
    <hyperlink ref="I2891" r:id="rId2890" xr:uid="{00000000-0004-0000-0000-0000490B0000}"/>
    <hyperlink ref="I2892" r:id="rId2891" xr:uid="{00000000-0004-0000-0000-00004A0B0000}"/>
    <hyperlink ref="I2893" r:id="rId2892" xr:uid="{00000000-0004-0000-0000-00004B0B0000}"/>
    <hyperlink ref="I2894" r:id="rId2893" xr:uid="{00000000-0004-0000-0000-00004C0B0000}"/>
    <hyperlink ref="I2895" r:id="rId2894" xr:uid="{00000000-0004-0000-0000-00004D0B0000}"/>
    <hyperlink ref="I2896" r:id="rId2895" xr:uid="{00000000-0004-0000-0000-00004E0B0000}"/>
    <hyperlink ref="I2897" r:id="rId2896" xr:uid="{00000000-0004-0000-0000-00004F0B0000}"/>
    <hyperlink ref="I2898" r:id="rId2897" xr:uid="{00000000-0004-0000-0000-0000500B0000}"/>
    <hyperlink ref="I2899" r:id="rId2898" xr:uid="{00000000-0004-0000-0000-0000510B0000}"/>
    <hyperlink ref="I2900" r:id="rId2899" xr:uid="{00000000-0004-0000-0000-0000520B0000}"/>
    <hyperlink ref="I2901" r:id="rId2900" xr:uid="{00000000-0004-0000-0000-0000530B0000}"/>
    <hyperlink ref="I2902" r:id="rId2901" xr:uid="{00000000-0004-0000-0000-0000540B0000}"/>
    <hyperlink ref="I2903" r:id="rId2902" xr:uid="{00000000-0004-0000-0000-0000550B0000}"/>
    <hyperlink ref="I2904" r:id="rId2903" xr:uid="{00000000-0004-0000-0000-0000560B0000}"/>
    <hyperlink ref="I2905" r:id="rId2904" xr:uid="{00000000-0004-0000-0000-0000570B0000}"/>
    <hyperlink ref="I2906" r:id="rId2905" xr:uid="{00000000-0004-0000-0000-0000580B0000}"/>
    <hyperlink ref="I2907" r:id="rId2906" xr:uid="{00000000-0004-0000-0000-0000590B0000}"/>
    <hyperlink ref="I2908" r:id="rId2907" xr:uid="{00000000-0004-0000-0000-00005A0B0000}"/>
    <hyperlink ref="I2909" r:id="rId2908" xr:uid="{00000000-0004-0000-0000-00005B0B0000}"/>
    <hyperlink ref="I2910" r:id="rId2909" xr:uid="{00000000-0004-0000-0000-00005C0B0000}"/>
    <hyperlink ref="I2911" r:id="rId2910" xr:uid="{00000000-0004-0000-0000-00005D0B0000}"/>
    <hyperlink ref="I2912" r:id="rId2911" xr:uid="{00000000-0004-0000-0000-00005E0B0000}"/>
    <hyperlink ref="I2913" r:id="rId2912" xr:uid="{00000000-0004-0000-0000-00005F0B0000}"/>
    <hyperlink ref="I2914" r:id="rId2913" xr:uid="{00000000-0004-0000-0000-0000600B0000}"/>
    <hyperlink ref="I2915" r:id="rId2914" xr:uid="{00000000-0004-0000-0000-0000610B0000}"/>
    <hyperlink ref="I2916" r:id="rId2915" xr:uid="{00000000-0004-0000-0000-0000620B0000}"/>
    <hyperlink ref="I2917" r:id="rId2916" xr:uid="{00000000-0004-0000-0000-0000630B0000}"/>
    <hyperlink ref="I2918" r:id="rId2917" xr:uid="{00000000-0004-0000-0000-0000640B0000}"/>
    <hyperlink ref="I2919" r:id="rId2918" xr:uid="{00000000-0004-0000-0000-0000650B0000}"/>
    <hyperlink ref="I2920" r:id="rId2919" xr:uid="{00000000-0004-0000-0000-0000660B0000}"/>
    <hyperlink ref="I2921" r:id="rId2920" xr:uid="{00000000-0004-0000-0000-0000670B0000}"/>
    <hyperlink ref="I2922" r:id="rId2921" xr:uid="{00000000-0004-0000-0000-0000680B0000}"/>
    <hyperlink ref="I2923" r:id="rId2922" xr:uid="{00000000-0004-0000-0000-0000690B0000}"/>
    <hyperlink ref="I2924" r:id="rId2923" xr:uid="{00000000-0004-0000-0000-00006A0B0000}"/>
    <hyperlink ref="I2925" r:id="rId2924" xr:uid="{00000000-0004-0000-0000-00006B0B0000}"/>
    <hyperlink ref="I2926" r:id="rId2925" xr:uid="{00000000-0004-0000-0000-00006C0B0000}"/>
    <hyperlink ref="I2927" r:id="rId2926" xr:uid="{00000000-0004-0000-0000-00006D0B0000}"/>
    <hyperlink ref="I2928" r:id="rId2927" xr:uid="{00000000-0004-0000-0000-00006E0B0000}"/>
    <hyperlink ref="I2929" r:id="rId2928" xr:uid="{00000000-0004-0000-0000-00006F0B0000}"/>
    <hyperlink ref="I2930" r:id="rId2929" xr:uid="{00000000-0004-0000-0000-0000700B0000}"/>
    <hyperlink ref="I2931" r:id="rId2930" xr:uid="{00000000-0004-0000-0000-0000710B0000}"/>
    <hyperlink ref="I2932" r:id="rId2931" xr:uid="{00000000-0004-0000-0000-0000720B0000}"/>
    <hyperlink ref="I2933" r:id="rId2932" xr:uid="{00000000-0004-0000-0000-0000730B0000}"/>
    <hyperlink ref="I2934" r:id="rId2933" xr:uid="{00000000-0004-0000-0000-0000740B0000}"/>
    <hyperlink ref="I2935" r:id="rId2934" xr:uid="{00000000-0004-0000-0000-0000750B0000}"/>
    <hyperlink ref="I2936" r:id="rId2935" xr:uid="{00000000-0004-0000-0000-0000760B0000}"/>
    <hyperlink ref="I2937" r:id="rId2936" xr:uid="{00000000-0004-0000-0000-0000770B0000}"/>
    <hyperlink ref="I2938" r:id="rId2937" xr:uid="{00000000-0004-0000-0000-0000780B0000}"/>
    <hyperlink ref="I2939" r:id="rId2938" xr:uid="{00000000-0004-0000-0000-0000790B0000}"/>
    <hyperlink ref="I2940" r:id="rId2939" xr:uid="{00000000-0004-0000-0000-00007A0B0000}"/>
    <hyperlink ref="I2941" r:id="rId2940" xr:uid="{00000000-0004-0000-0000-00007B0B0000}"/>
    <hyperlink ref="I2942" r:id="rId2941" xr:uid="{00000000-0004-0000-0000-00007C0B0000}"/>
    <hyperlink ref="I2943" r:id="rId2942" xr:uid="{00000000-0004-0000-0000-00007D0B0000}"/>
    <hyperlink ref="I2944" r:id="rId2943" xr:uid="{00000000-0004-0000-0000-00007E0B0000}"/>
    <hyperlink ref="I2945" r:id="rId2944" xr:uid="{00000000-0004-0000-0000-00007F0B0000}"/>
    <hyperlink ref="I2946" r:id="rId2945" xr:uid="{00000000-0004-0000-0000-0000800B0000}"/>
    <hyperlink ref="I2947" r:id="rId2946" xr:uid="{00000000-0004-0000-0000-0000810B0000}"/>
    <hyperlink ref="I2948" r:id="rId2947" xr:uid="{00000000-0004-0000-0000-0000820B0000}"/>
    <hyperlink ref="I2949" r:id="rId2948" xr:uid="{00000000-0004-0000-0000-0000830B0000}"/>
    <hyperlink ref="I2950" r:id="rId2949" xr:uid="{00000000-0004-0000-0000-0000840B0000}"/>
    <hyperlink ref="I2951" r:id="rId2950" xr:uid="{00000000-0004-0000-0000-0000850B0000}"/>
    <hyperlink ref="I2952" r:id="rId2951" xr:uid="{00000000-0004-0000-0000-0000860B0000}"/>
    <hyperlink ref="I2953" r:id="rId2952" xr:uid="{00000000-0004-0000-0000-0000870B0000}"/>
    <hyperlink ref="I2954" r:id="rId2953" xr:uid="{00000000-0004-0000-0000-0000880B0000}"/>
    <hyperlink ref="I2955" r:id="rId2954" xr:uid="{00000000-0004-0000-0000-0000890B0000}"/>
    <hyperlink ref="I2956" r:id="rId2955" xr:uid="{00000000-0004-0000-0000-00008A0B0000}"/>
    <hyperlink ref="I2957" r:id="rId2956" xr:uid="{00000000-0004-0000-0000-00008B0B0000}"/>
    <hyperlink ref="I2958" r:id="rId2957" xr:uid="{00000000-0004-0000-0000-00008C0B0000}"/>
    <hyperlink ref="I2959" r:id="rId2958" xr:uid="{00000000-0004-0000-0000-00008D0B0000}"/>
    <hyperlink ref="I2960" r:id="rId2959" xr:uid="{00000000-0004-0000-0000-00008E0B0000}"/>
    <hyperlink ref="I2961" r:id="rId2960" xr:uid="{00000000-0004-0000-0000-00008F0B0000}"/>
    <hyperlink ref="I2962" r:id="rId2961" xr:uid="{00000000-0004-0000-0000-0000900B0000}"/>
    <hyperlink ref="I2963" r:id="rId2962" xr:uid="{00000000-0004-0000-0000-0000910B0000}"/>
    <hyperlink ref="I2964" r:id="rId2963" xr:uid="{00000000-0004-0000-0000-0000920B0000}"/>
    <hyperlink ref="I2965" r:id="rId2964" xr:uid="{00000000-0004-0000-0000-0000930B0000}"/>
    <hyperlink ref="I2966" r:id="rId2965" xr:uid="{00000000-0004-0000-0000-0000940B0000}"/>
    <hyperlink ref="I2967" r:id="rId2966" xr:uid="{00000000-0004-0000-0000-0000950B0000}"/>
    <hyperlink ref="I2968" r:id="rId2967" xr:uid="{00000000-0004-0000-0000-0000960B0000}"/>
    <hyperlink ref="I2969" r:id="rId2968" xr:uid="{00000000-0004-0000-0000-0000970B0000}"/>
    <hyperlink ref="I2970" r:id="rId2969" xr:uid="{00000000-0004-0000-0000-0000980B0000}"/>
    <hyperlink ref="I2971" r:id="rId2970" xr:uid="{00000000-0004-0000-0000-0000990B0000}"/>
    <hyperlink ref="I2972" r:id="rId2971" xr:uid="{00000000-0004-0000-0000-00009A0B0000}"/>
    <hyperlink ref="I2973" r:id="rId2972" xr:uid="{00000000-0004-0000-0000-00009B0B0000}"/>
    <hyperlink ref="I2974" r:id="rId2973" xr:uid="{00000000-0004-0000-0000-00009C0B0000}"/>
    <hyperlink ref="I2975" r:id="rId2974" xr:uid="{00000000-0004-0000-0000-00009D0B0000}"/>
    <hyperlink ref="I2976" r:id="rId2975" xr:uid="{00000000-0004-0000-0000-00009E0B0000}"/>
    <hyperlink ref="I2977" r:id="rId2976" xr:uid="{00000000-0004-0000-0000-00009F0B0000}"/>
    <hyperlink ref="I2978" r:id="rId2977" xr:uid="{00000000-0004-0000-0000-0000A00B0000}"/>
    <hyperlink ref="I2979" r:id="rId2978" xr:uid="{00000000-0004-0000-0000-0000A10B0000}"/>
    <hyperlink ref="I2980" r:id="rId2979" xr:uid="{00000000-0004-0000-0000-0000A20B0000}"/>
    <hyperlink ref="I2981" r:id="rId2980" xr:uid="{00000000-0004-0000-0000-0000A30B0000}"/>
    <hyperlink ref="I2982" r:id="rId2981" xr:uid="{00000000-0004-0000-0000-0000A40B0000}"/>
    <hyperlink ref="I2983" r:id="rId2982" xr:uid="{00000000-0004-0000-0000-0000A50B0000}"/>
    <hyperlink ref="I2984" r:id="rId2983" xr:uid="{00000000-0004-0000-0000-0000A60B0000}"/>
    <hyperlink ref="I2985" r:id="rId2984" xr:uid="{00000000-0004-0000-0000-0000A70B0000}"/>
    <hyperlink ref="I2986" r:id="rId2985" xr:uid="{00000000-0004-0000-0000-0000A80B0000}"/>
    <hyperlink ref="I2987" r:id="rId2986" xr:uid="{00000000-0004-0000-0000-0000A90B0000}"/>
    <hyperlink ref="I2988" r:id="rId2987" xr:uid="{00000000-0004-0000-0000-0000AA0B0000}"/>
    <hyperlink ref="I2989" r:id="rId2988" xr:uid="{00000000-0004-0000-0000-0000AB0B0000}"/>
    <hyperlink ref="I2990" r:id="rId2989" xr:uid="{00000000-0004-0000-0000-0000AC0B0000}"/>
    <hyperlink ref="I2991" r:id="rId2990" xr:uid="{00000000-0004-0000-0000-0000AD0B0000}"/>
    <hyperlink ref="I2992" r:id="rId2991" xr:uid="{00000000-0004-0000-0000-0000AE0B0000}"/>
    <hyperlink ref="I2993" r:id="rId2992" xr:uid="{00000000-0004-0000-0000-0000AF0B0000}"/>
    <hyperlink ref="I2994" r:id="rId2993" xr:uid="{00000000-0004-0000-0000-0000B00B0000}"/>
    <hyperlink ref="I2995" r:id="rId2994" xr:uid="{00000000-0004-0000-0000-0000B10B0000}"/>
    <hyperlink ref="I2996" r:id="rId2995" xr:uid="{00000000-0004-0000-0000-0000B20B0000}"/>
    <hyperlink ref="I2997" r:id="rId2996" xr:uid="{00000000-0004-0000-0000-0000B30B0000}"/>
    <hyperlink ref="I2998" r:id="rId2997" xr:uid="{00000000-0004-0000-0000-0000B40B0000}"/>
    <hyperlink ref="I2999" r:id="rId2998" xr:uid="{00000000-0004-0000-0000-0000B50B0000}"/>
    <hyperlink ref="I3000" r:id="rId2999" xr:uid="{00000000-0004-0000-0000-0000B60B0000}"/>
    <hyperlink ref="I3001" r:id="rId3000" xr:uid="{00000000-0004-0000-0000-0000B70B0000}"/>
    <hyperlink ref="I3002" r:id="rId3001" xr:uid="{00000000-0004-0000-0000-0000B80B0000}"/>
    <hyperlink ref="I3003" r:id="rId3002" xr:uid="{00000000-0004-0000-0000-0000B90B0000}"/>
    <hyperlink ref="I3004" r:id="rId3003" xr:uid="{00000000-0004-0000-0000-0000BA0B0000}"/>
    <hyperlink ref="I3005" r:id="rId3004" xr:uid="{00000000-0004-0000-0000-0000BB0B0000}"/>
    <hyperlink ref="I3006" r:id="rId3005" xr:uid="{00000000-0004-0000-0000-0000BC0B0000}"/>
    <hyperlink ref="I3007" r:id="rId3006" xr:uid="{00000000-0004-0000-0000-0000BD0B0000}"/>
    <hyperlink ref="I3008" r:id="rId3007" xr:uid="{00000000-0004-0000-0000-0000BE0B0000}"/>
    <hyperlink ref="I3009" r:id="rId3008" xr:uid="{00000000-0004-0000-0000-0000BF0B0000}"/>
    <hyperlink ref="I3010" r:id="rId3009" xr:uid="{00000000-0004-0000-0000-0000C00B0000}"/>
    <hyperlink ref="I3011" r:id="rId3010" xr:uid="{00000000-0004-0000-0000-0000C10B0000}"/>
    <hyperlink ref="I3012" r:id="rId3011" xr:uid="{00000000-0004-0000-0000-0000C20B0000}"/>
    <hyperlink ref="I3013" r:id="rId3012" xr:uid="{00000000-0004-0000-0000-0000C30B0000}"/>
    <hyperlink ref="I3014" r:id="rId3013" xr:uid="{00000000-0004-0000-0000-0000C40B0000}"/>
    <hyperlink ref="I3015" r:id="rId3014" xr:uid="{00000000-0004-0000-0000-0000C50B0000}"/>
    <hyperlink ref="I3016" r:id="rId3015" xr:uid="{00000000-0004-0000-0000-0000C60B0000}"/>
    <hyperlink ref="I3017" r:id="rId3016" xr:uid="{00000000-0004-0000-0000-0000C70B0000}"/>
    <hyperlink ref="I3018" r:id="rId3017" xr:uid="{00000000-0004-0000-0000-0000C80B0000}"/>
    <hyperlink ref="I3019" r:id="rId3018" xr:uid="{00000000-0004-0000-0000-0000C90B0000}"/>
    <hyperlink ref="I3020" r:id="rId3019" xr:uid="{00000000-0004-0000-0000-0000CA0B0000}"/>
    <hyperlink ref="I3021" r:id="rId3020" xr:uid="{00000000-0004-0000-0000-0000CB0B0000}"/>
    <hyperlink ref="I3022" r:id="rId3021" xr:uid="{00000000-0004-0000-0000-0000CC0B0000}"/>
    <hyperlink ref="I3023" r:id="rId3022" xr:uid="{00000000-0004-0000-0000-0000CD0B0000}"/>
    <hyperlink ref="I3024" r:id="rId3023" xr:uid="{00000000-0004-0000-0000-0000CE0B0000}"/>
    <hyperlink ref="I3025" r:id="rId3024" xr:uid="{00000000-0004-0000-0000-0000CF0B0000}"/>
    <hyperlink ref="I3026" r:id="rId3025" xr:uid="{00000000-0004-0000-0000-0000D00B0000}"/>
    <hyperlink ref="I3027" r:id="rId3026" xr:uid="{00000000-0004-0000-0000-0000D10B0000}"/>
    <hyperlink ref="I3028" r:id="rId3027" xr:uid="{00000000-0004-0000-0000-0000D20B0000}"/>
    <hyperlink ref="I3029" r:id="rId3028" xr:uid="{00000000-0004-0000-0000-0000D30B0000}"/>
    <hyperlink ref="I3030" r:id="rId3029" xr:uid="{00000000-0004-0000-0000-0000D40B0000}"/>
    <hyperlink ref="I3031" r:id="rId3030" xr:uid="{00000000-0004-0000-0000-0000D50B0000}"/>
    <hyperlink ref="I3032" r:id="rId3031" xr:uid="{00000000-0004-0000-0000-0000D60B0000}"/>
    <hyperlink ref="I3033" r:id="rId3032" xr:uid="{00000000-0004-0000-0000-0000D70B0000}"/>
    <hyperlink ref="I3034" r:id="rId3033" xr:uid="{00000000-0004-0000-0000-0000D80B0000}"/>
    <hyperlink ref="I3035" r:id="rId3034" xr:uid="{00000000-0004-0000-0000-0000D90B0000}"/>
    <hyperlink ref="I3036" r:id="rId3035" xr:uid="{00000000-0004-0000-0000-0000DA0B0000}"/>
    <hyperlink ref="I3037" r:id="rId3036" xr:uid="{00000000-0004-0000-0000-0000DB0B0000}"/>
    <hyperlink ref="I3038" r:id="rId3037" xr:uid="{00000000-0004-0000-0000-0000DC0B0000}"/>
    <hyperlink ref="I3039" r:id="rId3038" xr:uid="{00000000-0004-0000-0000-0000DD0B0000}"/>
    <hyperlink ref="I3040" r:id="rId3039" xr:uid="{00000000-0004-0000-0000-0000DE0B0000}"/>
    <hyperlink ref="I3041" r:id="rId3040" xr:uid="{00000000-0004-0000-0000-0000DF0B0000}"/>
    <hyperlink ref="I3042" r:id="rId3041" xr:uid="{00000000-0004-0000-0000-0000E00B0000}"/>
    <hyperlink ref="I3043" r:id="rId3042" xr:uid="{00000000-0004-0000-0000-0000E10B0000}"/>
    <hyperlink ref="I3044" r:id="rId3043" xr:uid="{00000000-0004-0000-0000-0000E20B0000}"/>
    <hyperlink ref="I3045" r:id="rId3044" xr:uid="{00000000-0004-0000-0000-0000E30B0000}"/>
    <hyperlink ref="I3046" r:id="rId3045" xr:uid="{00000000-0004-0000-0000-0000E40B0000}"/>
    <hyperlink ref="I3047" r:id="rId3046" xr:uid="{00000000-0004-0000-0000-0000E50B0000}"/>
    <hyperlink ref="I3048" r:id="rId3047" xr:uid="{00000000-0004-0000-0000-0000E60B0000}"/>
    <hyperlink ref="I3049" r:id="rId3048" xr:uid="{00000000-0004-0000-0000-0000E70B0000}"/>
    <hyperlink ref="I3050" r:id="rId3049" xr:uid="{00000000-0004-0000-0000-0000E80B0000}"/>
    <hyperlink ref="I3051" r:id="rId3050" xr:uid="{00000000-0004-0000-0000-0000E90B0000}"/>
    <hyperlink ref="I3052" r:id="rId3051" xr:uid="{00000000-0004-0000-0000-0000EA0B0000}"/>
    <hyperlink ref="I3053" r:id="rId3052" xr:uid="{00000000-0004-0000-0000-0000EB0B0000}"/>
    <hyperlink ref="I3054" r:id="rId3053" xr:uid="{00000000-0004-0000-0000-0000EC0B0000}"/>
    <hyperlink ref="I3055" r:id="rId3054" xr:uid="{00000000-0004-0000-0000-0000ED0B0000}"/>
    <hyperlink ref="I3056" r:id="rId3055" xr:uid="{00000000-0004-0000-0000-0000EE0B0000}"/>
    <hyperlink ref="I3057" r:id="rId3056" xr:uid="{00000000-0004-0000-0000-0000EF0B0000}"/>
    <hyperlink ref="I3058" r:id="rId3057" xr:uid="{00000000-0004-0000-0000-0000F00B0000}"/>
    <hyperlink ref="I3059" r:id="rId3058" xr:uid="{00000000-0004-0000-0000-0000F10B0000}"/>
    <hyperlink ref="I3060" r:id="rId3059" xr:uid="{00000000-0004-0000-0000-0000F20B0000}"/>
    <hyperlink ref="I3061" r:id="rId3060" xr:uid="{00000000-0004-0000-0000-0000F30B0000}"/>
    <hyperlink ref="I3062" r:id="rId3061" xr:uid="{00000000-0004-0000-0000-0000F40B0000}"/>
    <hyperlink ref="I3063" r:id="rId3062" xr:uid="{00000000-0004-0000-0000-0000F50B0000}"/>
    <hyperlink ref="I3064" r:id="rId3063" xr:uid="{00000000-0004-0000-0000-0000F60B0000}"/>
    <hyperlink ref="I3065" r:id="rId3064" xr:uid="{00000000-0004-0000-0000-0000F70B0000}"/>
    <hyperlink ref="I3066" r:id="rId3065" xr:uid="{00000000-0004-0000-0000-0000F80B0000}"/>
    <hyperlink ref="I3067" r:id="rId3066" xr:uid="{00000000-0004-0000-0000-0000F90B0000}"/>
    <hyperlink ref="I3068" r:id="rId3067" xr:uid="{00000000-0004-0000-0000-0000FA0B0000}"/>
    <hyperlink ref="I3069" r:id="rId3068" xr:uid="{00000000-0004-0000-0000-0000FB0B0000}"/>
    <hyperlink ref="I3070" r:id="rId3069" xr:uid="{00000000-0004-0000-0000-0000FC0B0000}"/>
    <hyperlink ref="I3071" r:id="rId3070" xr:uid="{00000000-0004-0000-0000-0000FD0B0000}"/>
    <hyperlink ref="I3072" r:id="rId3071" xr:uid="{00000000-0004-0000-0000-0000FE0B0000}"/>
    <hyperlink ref="I3073" r:id="rId3072" xr:uid="{00000000-0004-0000-0000-0000FF0B0000}"/>
    <hyperlink ref="I3074" r:id="rId3073" xr:uid="{00000000-0004-0000-0000-0000000C0000}"/>
    <hyperlink ref="I3075" r:id="rId3074" xr:uid="{00000000-0004-0000-0000-0000010C0000}"/>
    <hyperlink ref="I3076" r:id="rId3075" xr:uid="{00000000-0004-0000-0000-0000020C0000}"/>
    <hyperlink ref="I3077" r:id="rId3076" xr:uid="{00000000-0004-0000-0000-0000030C0000}"/>
    <hyperlink ref="I3078" r:id="rId3077" xr:uid="{00000000-0004-0000-0000-0000040C0000}"/>
    <hyperlink ref="I3079" r:id="rId3078" xr:uid="{00000000-0004-0000-0000-0000050C0000}"/>
    <hyperlink ref="I3080" r:id="rId3079" xr:uid="{00000000-0004-0000-0000-0000060C0000}"/>
    <hyperlink ref="I3081" r:id="rId3080" xr:uid="{00000000-0004-0000-0000-0000070C0000}"/>
    <hyperlink ref="I3082" r:id="rId3081" xr:uid="{00000000-0004-0000-0000-0000080C0000}"/>
    <hyperlink ref="I3083" r:id="rId3082" xr:uid="{00000000-0004-0000-0000-0000090C0000}"/>
    <hyperlink ref="I3084" r:id="rId3083" xr:uid="{00000000-0004-0000-0000-00000A0C0000}"/>
    <hyperlink ref="I3085" r:id="rId3084" xr:uid="{00000000-0004-0000-0000-00000B0C0000}"/>
    <hyperlink ref="I3086" r:id="rId3085" xr:uid="{00000000-0004-0000-0000-00000C0C0000}"/>
    <hyperlink ref="I3087" r:id="rId3086" xr:uid="{00000000-0004-0000-0000-00000D0C0000}"/>
    <hyperlink ref="I3088" r:id="rId3087" xr:uid="{00000000-0004-0000-0000-00000E0C0000}"/>
    <hyperlink ref="I3089" r:id="rId3088" xr:uid="{00000000-0004-0000-0000-00000F0C0000}"/>
    <hyperlink ref="I3090" r:id="rId3089" xr:uid="{00000000-0004-0000-0000-0000100C0000}"/>
    <hyperlink ref="I3091" r:id="rId3090" xr:uid="{00000000-0004-0000-0000-0000110C0000}"/>
    <hyperlink ref="I3092" r:id="rId3091" xr:uid="{00000000-0004-0000-0000-0000120C0000}"/>
    <hyperlink ref="I3093" r:id="rId3092" xr:uid="{00000000-0004-0000-0000-0000130C0000}"/>
    <hyperlink ref="I3094" r:id="rId3093" xr:uid="{00000000-0004-0000-0000-0000140C0000}"/>
    <hyperlink ref="I3095" r:id="rId3094" xr:uid="{00000000-0004-0000-0000-0000150C0000}"/>
    <hyperlink ref="I3096" r:id="rId3095" xr:uid="{00000000-0004-0000-0000-0000160C0000}"/>
    <hyperlink ref="I3097" r:id="rId3096" xr:uid="{00000000-0004-0000-0000-0000170C0000}"/>
    <hyperlink ref="I3098" r:id="rId3097" xr:uid="{00000000-0004-0000-0000-0000180C0000}"/>
    <hyperlink ref="I3099" r:id="rId3098" xr:uid="{00000000-0004-0000-0000-0000190C0000}"/>
    <hyperlink ref="I3100" r:id="rId3099" xr:uid="{00000000-0004-0000-0000-00001A0C0000}"/>
    <hyperlink ref="I3101" r:id="rId3100" xr:uid="{00000000-0004-0000-0000-00001B0C0000}"/>
    <hyperlink ref="I3102" r:id="rId3101" xr:uid="{00000000-0004-0000-0000-00001C0C0000}"/>
    <hyperlink ref="I3103" r:id="rId3102" xr:uid="{00000000-0004-0000-0000-00001D0C0000}"/>
    <hyperlink ref="I3104" r:id="rId3103" xr:uid="{00000000-0004-0000-0000-00001E0C0000}"/>
    <hyperlink ref="I3105" r:id="rId3104" xr:uid="{00000000-0004-0000-0000-00001F0C0000}"/>
    <hyperlink ref="I3106" r:id="rId3105" xr:uid="{00000000-0004-0000-0000-0000200C0000}"/>
    <hyperlink ref="I3107" r:id="rId3106" xr:uid="{00000000-0004-0000-0000-0000210C0000}"/>
    <hyperlink ref="I3108" r:id="rId3107" xr:uid="{00000000-0004-0000-0000-0000220C0000}"/>
    <hyperlink ref="I3109" r:id="rId3108" xr:uid="{00000000-0004-0000-0000-0000230C0000}"/>
    <hyperlink ref="I3110" r:id="rId3109" xr:uid="{00000000-0004-0000-0000-0000240C0000}"/>
    <hyperlink ref="I3111" r:id="rId3110" xr:uid="{00000000-0004-0000-0000-0000250C0000}"/>
    <hyperlink ref="I3112" r:id="rId3111" xr:uid="{00000000-0004-0000-0000-0000260C0000}"/>
    <hyperlink ref="I3113" r:id="rId3112" xr:uid="{00000000-0004-0000-0000-0000270C0000}"/>
    <hyperlink ref="I3114" r:id="rId3113" xr:uid="{00000000-0004-0000-0000-0000280C0000}"/>
    <hyperlink ref="I3115" r:id="rId3114" xr:uid="{00000000-0004-0000-0000-0000290C0000}"/>
    <hyperlink ref="I3116" r:id="rId3115" xr:uid="{00000000-0004-0000-0000-00002A0C0000}"/>
    <hyperlink ref="I3117" r:id="rId3116" xr:uid="{00000000-0004-0000-0000-00002B0C0000}"/>
    <hyperlink ref="I3118" r:id="rId3117" xr:uid="{00000000-0004-0000-0000-00002C0C0000}"/>
    <hyperlink ref="I3119" r:id="rId3118" xr:uid="{00000000-0004-0000-0000-00002D0C0000}"/>
    <hyperlink ref="I3120" r:id="rId3119" xr:uid="{00000000-0004-0000-0000-00002E0C0000}"/>
    <hyperlink ref="I3121" r:id="rId3120" xr:uid="{00000000-0004-0000-0000-00002F0C0000}"/>
    <hyperlink ref="I3122" r:id="rId3121" xr:uid="{00000000-0004-0000-0000-0000300C0000}"/>
    <hyperlink ref="I3123" r:id="rId3122" xr:uid="{00000000-0004-0000-0000-0000310C0000}"/>
    <hyperlink ref="I3124" r:id="rId3123" xr:uid="{00000000-0004-0000-0000-0000320C0000}"/>
    <hyperlink ref="I3125" r:id="rId3124" xr:uid="{00000000-0004-0000-0000-0000330C0000}"/>
    <hyperlink ref="I3126" r:id="rId3125" xr:uid="{00000000-0004-0000-0000-0000340C0000}"/>
    <hyperlink ref="I3127" r:id="rId3126" xr:uid="{00000000-0004-0000-0000-0000350C0000}"/>
    <hyperlink ref="I3128" r:id="rId3127" xr:uid="{00000000-0004-0000-0000-0000360C0000}"/>
    <hyperlink ref="I3129" r:id="rId3128" xr:uid="{00000000-0004-0000-0000-0000370C0000}"/>
    <hyperlink ref="I3130" r:id="rId3129" xr:uid="{00000000-0004-0000-0000-0000380C0000}"/>
    <hyperlink ref="I3131" r:id="rId3130" xr:uid="{00000000-0004-0000-0000-0000390C0000}"/>
    <hyperlink ref="I3132" r:id="rId3131" xr:uid="{00000000-0004-0000-0000-00003A0C0000}"/>
    <hyperlink ref="I3133" r:id="rId3132" xr:uid="{00000000-0004-0000-0000-00003B0C0000}"/>
    <hyperlink ref="I3134" r:id="rId3133" xr:uid="{00000000-0004-0000-0000-00003C0C0000}"/>
    <hyperlink ref="I3135" r:id="rId3134" xr:uid="{00000000-0004-0000-0000-00003D0C0000}"/>
    <hyperlink ref="I3136" r:id="rId3135" xr:uid="{00000000-0004-0000-0000-00003E0C0000}"/>
    <hyperlink ref="I3137" r:id="rId3136" xr:uid="{00000000-0004-0000-0000-00003F0C0000}"/>
    <hyperlink ref="I3138" r:id="rId3137" xr:uid="{00000000-0004-0000-0000-0000400C0000}"/>
    <hyperlink ref="I3139" r:id="rId3138" xr:uid="{00000000-0004-0000-0000-0000410C0000}"/>
    <hyperlink ref="I3140" r:id="rId3139" xr:uid="{00000000-0004-0000-0000-0000420C0000}"/>
    <hyperlink ref="I3141" r:id="rId3140" xr:uid="{00000000-0004-0000-0000-0000430C0000}"/>
    <hyperlink ref="I3142" r:id="rId3141" xr:uid="{00000000-0004-0000-0000-0000440C0000}"/>
    <hyperlink ref="I3143" r:id="rId3142" xr:uid="{00000000-0004-0000-0000-0000450C0000}"/>
    <hyperlink ref="I3144" r:id="rId3143" xr:uid="{00000000-0004-0000-0000-0000460C0000}"/>
    <hyperlink ref="I3145" r:id="rId3144" xr:uid="{00000000-0004-0000-0000-0000470C0000}"/>
    <hyperlink ref="I3146" r:id="rId3145" xr:uid="{00000000-0004-0000-0000-0000480C0000}"/>
    <hyperlink ref="I3147" r:id="rId3146" xr:uid="{00000000-0004-0000-0000-0000490C0000}"/>
    <hyperlink ref="I3148" r:id="rId3147" xr:uid="{00000000-0004-0000-0000-00004A0C0000}"/>
    <hyperlink ref="I3149" r:id="rId3148" xr:uid="{00000000-0004-0000-0000-00004B0C0000}"/>
    <hyperlink ref="I3150" r:id="rId3149" xr:uid="{00000000-0004-0000-0000-00004C0C0000}"/>
    <hyperlink ref="I3151" r:id="rId3150" xr:uid="{00000000-0004-0000-0000-00004D0C0000}"/>
    <hyperlink ref="I3152" r:id="rId3151" xr:uid="{00000000-0004-0000-0000-00004E0C0000}"/>
    <hyperlink ref="I3153" r:id="rId3152" xr:uid="{00000000-0004-0000-0000-00004F0C0000}"/>
    <hyperlink ref="I3154" r:id="rId3153" xr:uid="{00000000-0004-0000-0000-0000500C0000}"/>
    <hyperlink ref="I3155" r:id="rId3154" xr:uid="{00000000-0004-0000-0000-0000510C0000}"/>
    <hyperlink ref="I3156" r:id="rId3155" xr:uid="{00000000-0004-0000-0000-0000520C0000}"/>
    <hyperlink ref="I3157" r:id="rId3156" xr:uid="{00000000-0004-0000-0000-0000530C0000}"/>
    <hyperlink ref="I3158" r:id="rId3157" xr:uid="{00000000-0004-0000-0000-0000540C0000}"/>
    <hyperlink ref="I3159" r:id="rId3158" xr:uid="{00000000-0004-0000-0000-0000550C0000}"/>
    <hyperlink ref="I3160" r:id="rId3159" xr:uid="{00000000-0004-0000-0000-0000560C0000}"/>
    <hyperlink ref="I3161" r:id="rId3160" xr:uid="{00000000-0004-0000-0000-0000570C0000}"/>
    <hyperlink ref="I3162" r:id="rId3161" xr:uid="{00000000-0004-0000-0000-0000580C0000}"/>
    <hyperlink ref="I3163" r:id="rId3162" xr:uid="{00000000-0004-0000-0000-0000590C0000}"/>
    <hyperlink ref="I3164" r:id="rId3163" xr:uid="{00000000-0004-0000-0000-00005A0C0000}"/>
    <hyperlink ref="I3165" r:id="rId3164" xr:uid="{00000000-0004-0000-0000-00005B0C0000}"/>
    <hyperlink ref="I3166" r:id="rId3165" xr:uid="{00000000-0004-0000-0000-00005C0C0000}"/>
    <hyperlink ref="I3167" r:id="rId3166" xr:uid="{00000000-0004-0000-0000-00005D0C0000}"/>
    <hyperlink ref="I3168" r:id="rId3167" xr:uid="{00000000-0004-0000-0000-00005E0C0000}"/>
    <hyperlink ref="I3169" r:id="rId3168" xr:uid="{00000000-0004-0000-0000-00005F0C0000}"/>
    <hyperlink ref="I3170" r:id="rId3169" xr:uid="{00000000-0004-0000-0000-0000600C0000}"/>
    <hyperlink ref="I3171" r:id="rId3170" xr:uid="{00000000-0004-0000-0000-0000610C0000}"/>
    <hyperlink ref="I3172" r:id="rId3171" xr:uid="{00000000-0004-0000-0000-0000620C0000}"/>
    <hyperlink ref="I3173" r:id="rId3172" xr:uid="{00000000-0004-0000-0000-0000630C0000}"/>
    <hyperlink ref="I3174" r:id="rId3173" xr:uid="{00000000-0004-0000-0000-0000640C0000}"/>
    <hyperlink ref="I3175" r:id="rId3174" xr:uid="{00000000-0004-0000-0000-0000650C0000}"/>
    <hyperlink ref="I3176" r:id="rId3175" xr:uid="{00000000-0004-0000-0000-0000660C0000}"/>
    <hyperlink ref="I3177" r:id="rId3176" xr:uid="{00000000-0004-0000-0000-0000670C0000}"/>
    <hyperlink ref="I3178" r:id="rId3177" xr:uid="{00000000-0004-0000-0000-0000680C0000}"/>
    <hyperlink ref="I3179" r:id="rId3178" xr:uid="{00000000-0004-0000-0000-0000690C0000}"/>
    <hyperlink ref="I3180" r:id="rId3179" xr:uid="{00000000-0004-0000-0000-00006A0C0000}"/>
    <hyperlink ref="I3181" r:id="rId3180" xr:uid="{00000000-0004-0000-0000-00006B0C0000}"/>
    <hyperlink ref="I3182" r:id="rId3181" xr:uid="{00000000-0004-0000-0000-00006C0C0000}"/>
    <hyperlink ref="I3183" r:id="rId3182" xr:uid="{00000000-0004-0000-0000-00006D0C0000}"/>
    <hyperlink ref="I3184" r:id="rId3183" xr:uid="{00000000-0004-0000-0000-00006E0C0000}"/>
    <hyperlink ref="I3185" r:id="rId3184" xr:uid="{00000000-0004-0000-0000-00006F0C0000}"/>
    <hyperlink ref="I3186" r:id="rId3185" xr:uid="{00000000-0004-0000-0000-0000700C0000}"/>
    <hyperlink ref="I3187" r:id="rId3186" xr:uid="{00000000-0004-0000-0000-0000710C0000}"/>
    <hyperlink ref="I3188" r:id="rId3187" xr:uid="{00000000-0004-0000-0000-0000720C0000}"/>
    <hyperlink ref="I3189" r:id="rId3188" xr:uid="{00000000-0004-0000-0000-0000730C0000}"/>
    <hyperlink ref="I3190" r:id="rId3189" xr:uid="{00000000-0004-0000-0000-0000740C0000}"/>
    <hyperlink ref="I3191" r:id="rId3190" xr:uid="{00000000-0004-0000-0000-0000750C0000}"/>
    <hyperlink ref="I3192" r:id="rId3191" xr:uid="{00000000-0004-0000-0000-0000760C0000}"/>
    <hyperlink ref="I3193" r:id="rId3192" xr:uid="{00000000-0004-0000-0000-0000770C0000}"/>
    <hyperlink ref="I3194" r:id="rId3193" xr:uid="{00000000-0004-0000-0000-0000780C0000}"/>
    <hyperlink ref="I3195" r:id="rId3194" xr:uid="{00000000-0004-0000-0000-0000790C0000}"/>
    <hyperlink ref="I3196" r:id="rId3195" xr:uid="{00000000-0004-0000-0000-00007A0C0000}"/>
    <hyperlink ref="I3197" r:id="rId3196" xr:uid="{00000000-0004-0000-0000-00007B0C0000}"/>
    <hyperlink ref="I3198" r:id="rId3197" xr:uid="{00000000-0004-0000-0000-00007C0C0000}"/>
    <hyperlink ref="I3199" r:id="rId3198" xr:uid="{00000000-0004-0000-0000-00007D0C0000}"/>
    <hyperlink ref="I3200" r:id="rId3199" xr:uid="{00000000-0004-0000-0000-00007E0C0000}"/>
    <hyperlink ref="I3201" r:id="rId3200" xr:uid="{00000000-0004-0000-0000-00007F0C0000}"/>
    <hyperlink ref="I3202" r:id="rId3201" xr:uid="{00000000-0004-0000-0000-0000800C0000}"/>
    <hyperlink ref="I3203" r:id="rId3202" xr:uid="{00000000-0004-0000-0000-0000810C0000}"/>
    <hyperlink ref="I3204" r:id="rId3203" xr:uid="{00000000-0004-0000-0000-0000820C0000}"/>
    <hyperlink ref="I3205" r:id="rId3204" xr:uid="{00000000-0004-0000-0000-0000830C0000}"/>
    <hyperlink ref="I3206" r:id="rId3205" xr:uid="{00000000-0004-0000-0000-0000840C0000}"/>
    <hyperlink ref="I3207" r:id="rId3206" xr:uid="{00000000-0004-0000-0000-0000850C0000}"/>
    <hyperlink ref="I3208" r:id="rId3207" xr:uid="{00000000-0004-0000-0000-0000860C0000}"/>
    <hyperlink ref="I3209" r:id="rId3208" xr:uid="{00000000-0004-0000-0000-0000870C0000}"/>
    <hyperlink ref="I3210" r:id="rId3209" xr:uid="{00000000-0004-0000-0000-0000880C0000}"/>
    <hyperlink ref="I3211" r:id="rId3210" xr:uid="{00000000-0004-0000-0000-0000890C0000}"/>
    <hyperlink ref="I3212" r:id="rId3211" xr:uid="{00000000-0004-0000-0000-00008A0C0000}"/>
    <hyperlink ref="I3213" r:id="rId3212" xr:uid="{00000000-0004-0000-0000-00008B0C0000}"/>
    <hyperlink ref="I3214" r:id="rId3213" xr:uid="{00000000-0004-0000-0000-00008C0C0000}"/>
    <hyperlink ref="I3215" r:id="rId3214" xr:uid="{00000000-0004-0000-0000-00008D0C0000}"/>
    <hyperlink ref="I3216" r:id="rId3215" xr:uid="{00000000-0004-0000-0000-00008E0C0000}"/>
    <hyperlink ref="I3217" r:id="rId3216" xr:uid="{00000000-0004-0000-0000-00008F0C0000}"/>
    <hyperlink ref="I3218" r:id="rId3217" xr:uid="{00000000-0004-0000-0000-0000900C0000}"/>
    <hyperlink ref="I3219" r:id="rId3218" xr:uid="{00000000-0004-0000-0000-0000910C0000}"/>
    <hyperlink ref="I3220" r:id="rId3219" xr:uid="{00000000-0004-0000-0000-0000920C0000}"/>
    <hyperlink ref="I3221" r:id="rId3220" xr:uid="{00000000-0004-0000-0000-0000930C0000}"/>
    <hyperlink ref="I3222" r:id="rId3221" xr:uid="{00000000-0004-0000-0000-0000940C0000}"/>
    <hyperlink ref="I3223" r:id="rId3222" xr:uid="{00000000-0004-0000-0000-0000950C0000}"/>
    <hyperlink ref="I3224" r:id="rId3223" xr:uid="{00000000-0004-0000-0000-0000960C0000}"/>
    <hyperlink ref="I3225" r:id="rId3224" xr:uid="{00000000-0004-0000-0000-0000970C0000}"/>
    <hyperlink ref="I3226" r:id="rId3225" xr:uid="{00000000-0004-0000-0000-0000980C0000}"/>
    <hyperlink ref="I3227" r:id="rId3226" xr:uid="{00000000-0004-0000-0000-0000990C0000}"/>
    <hyperlink ref="I3228" r:id="rId3227" xr:uid="{00000000-0004-0000-0000-00009A0C0000}"/>
    <hyperlink ref="I3229" r:id="rId3228" xr:uid="{00000000-0004-0000-0000-00009B0C0000}"/>
    <hyperlink ref="I3230" r:id="rId3229" xr:uid="{00000000-0004-0000-0000-00009C0C0000}"/>
    <hyperlink ref="I3231" r:id="rId3230" xr:uid="{00000000-0004-0000-0000-00009D0C0000}"/>
    <hyperlink ref="I3232" r:id="rId3231" xr:uid="{00000000-0004-0000-0000-00009E0C0000}"/>
    <hyperlink ref="I3233" r:id="rId3232" xr:uid="{00000000-0004-0000-0000-00009F0C0000}"/>
    <hyperlink ref="I3234" r:id="rId3233" xr:uid="{00000000-0004-0000-0000-0000A00C0000}"/>
    <hyperlink ref="I3235" r:id="rId3234" xr:uid="{00000000-0004-0000-0000-0000A10C0000}"/>
    <hyperlink ref="I3236" r:id="rId3235" xr:uid="{00000000-0004-0000-0000-0000A20C0000}"/>
    <hyperlink ref="I3237" r:id="rId3236" xr:uid="{00000000-0004-0000-0000-0000A30C0000}"/>
    <hyperlink ref="I3238" r:id="rId3237" xr:uid="{00000000-0004-0000-0000-0000A40C0000}"/>
    <hyperlink ref="I3239" r:id="rId3238" xr:uid="{00000000-0004-0000-0000-0000A50C0000}"/>
    <hyperlink ref="I3240" r:id="rId3239" xr:uid="{00000000-0004-0000-0000-0000A60C0000}"/>
    <hyperlink ref="I3241" r:id="rId3240" xr:uid="{00000000-0004-0000-0000-0000A70C0000}"/>
    <hyperlink ref="I3242" r:id="rId3241" xr:uid="{00000000-0004-0000-0000-0000A80C0000}"/>
    <hyperlink ref="I3243" r:id="rId3242" xr:uid="{00000000-0004-0000-0000-0000A90C0000}"/>
    <hyperlink ref="I3244" r:id="rId3243" xr:uid="{00000000-0004-0000-0000-0000AA0C0000}"/>
    <hyperlink ref="I3245" r:id="rId3244" xr:uid="{00000000-0004-0000-0000-0000AB0C0000}"/>
    <hyperlink ref="I3246" r:id="rId3245" xr:uid="{00000000-0004-0000-0000-0000AC0C0000}"/>
    <hyperlink ref="I3247" r:id="rId3246" xr:uid="{00000000-0004-0000-0000-0000AD0C0000}"/>
    <hyperlink ref="I3248" r:id="rId3247" xr:uid="{00000000-0004-0000-0000-0000AE0C0000}"/>
    <hyperlink ref="I3249" r:id="rId3248" xr:uid="{00000000-0004-0000-0000-0000AF0C0000}"/>
    <hyperlink ref="I3250" r:id="rId3249" xr:uid="{00000000-0004-0000-0000-0000B00C0000}"/>
    <hyperlink ref="I3251" r:id="rId3250" xr:uid="{00000000-0004-0000-0000-0000B10C0000}"/>
    <hyperlink ref="I3252" r:id="rId3251" xr:uid="{00000000-0004-0000-0000-0000B20C0000}"/>
    <hyperlink ref="I3253" r:id="rId3252" xr:uid="{00000000-0004-0000-0000-0000B30C0000}"/>
    <hyperlink ref="I3254" r:id="rId3253" xr:uid="{00000000-0004-0000-0000-0000B40C0000}"/>
    <hyperlink ref="I3255" r:id="rId3254" xr:uid="{00000000-0004-0000-0000-0000B50C0000}"/>
    <hyperlink ref="I3256" r:id="rId3255" xr:uid="{00000000-0004-0000-0000-0000B60C0000}"/>
    <hyperlink ref="I3257" r:id="rId3256" xr:uid="{00000000-0004-0000-0000-0000B70C0000}"/>
    <hyperlink ref="I3258" r:id="rId3257" xr:uid="{00000000-0004-0000-0000-0000B80C0000}"/>
    <hyperlink ref="I3259" r:id="rId3258" xr:uid="{00000000-0004-0000-0000-0000B90C0000}"/>
    <hyperlink ref="I3260" r:id="rId3259" xr:uid="{00000000-0004-0000-0000-0000BA0C0000}"/>
    <hyperlink ref="I3261" r:id="rId3260" xr:uid="{00000000-0004-0000-0000-0000BB0C0000}"/>
    <hyperlink ref="I3262" r:id="rId3261" xr:uid="{00000000-0004-0000-0000-0000BC0C0000}"/>
    <hyperlink ref="I3263" r:id="rId3262" xr:uid="{00000000-0004-0000-0000-0000BD0C0000}"/>
    <hyperlink ref="I3264" r:id="rId3263" xr:uid="{00000000-0004-0000-0000-0000BE0C0000}"/>
    <hyperlink ref="I3265" r:id="rId3264" xr:uid="{00000000-0004-0000-0000-0000BF0C0000}"/>
    <hyperlink ref="I3266" r:id="rId3265" xr:uid="{00000000-0004-0000-0000-0000C00C0000}"/>
    <hyperlink ref="I3267" r:id="rId3266" xr:uid="{00000000-0004-0000-0000-0000C10C0000}"/>
    <hyperlink ref="I3268" r:id="rId3267" xr:uid="{00000000-0004-0000-0000-0000C20C0000}"/>
    <hyperlink ref="I3269" r:id="rId3268" xr:uid="{00000000-0004-0000-0000-0000C30C0000}"/>
    <hyperlink ref="I3270" r:id="rId3269" xr:uid="{00000000-0004-0000-0000-0000C40C0000}"/>
    <hyperlink ref="I3271" r:id="rId3270" xr:uid="{00000000-0004-0000-0000-0000C50C0000}"/>
    <hyperlink ref="I3272" r:id="rId3271" xr:uid="{00000000-0004-0000-0000-0000C60C0000}"/>
    <hyperlink ref="I3273" r:id="rId3272" xr:uid="{00000000-0004-0000-0000-0000C70C0000}"/>
    <hyperlink ref="I3274" r:id="rId3273" xr:uid="{00000000-0004-0000-0000-0000C80C0000}"/>
    <hyperlink ref="I3275" r:id="rId3274" xr:uid="{00000000-0004-0000-0000-0000C90C0000}"/>
    <hyperlink ref="I3276" r:id="rId3275" xr:uid="{00000000-0004-0000-0000-0000CA0C0000}"/>
    <hyperlink ref="I3277" r:id="rId3276" xr:uid="{00000000-0004-0000-0000-0000CB0C0000}"/>
    <hyperlink ref="I3278" r:id="rId3277" xr:uid="{00000000-0004-0000-0000-0000CC0C0000}"/>
    <hyperlink ref="I3279" r:id="rId3278" xr:uid="{00000000-0004-0000-0000-0000CD0C0000}"/>
    <hyperlink ref="I3280" r:id="rId3279" xr:uid="{00000000-0004-0000-0000-0000CE0C0000}"/>
    <hyperlink ref="I3281" r:id="rId3280" xr:uid="{00000000-0004-0000-0000-0000CF0C0000}"/>
    <hyperlink ref="I3282" r:id="rId3281" xr:uid="{00000000-0004-0000-0000-0000D00C0000}"/>
    <hyperlink ref="I3283" r:id="rId3282" xr:uid="{00000000-0004-0000-0000-0000D10C0000}"/>
    <hyperlink ref="I3284" r:id="rId3283" xr:uid="{00000000-0004-0000-0000-0000D20C0000}"/>
    <hyperlink ref="I3285" r:id="rId3284" xr:uid="{00000000-0004-0000-0000-0000D30C0000}"/>
    <hyperlink ref="I3286" r:id="rId3285" xr:uid="{00000000-0004-0000-0000-0000D40C0000}"/>
    <hyperlink ref="I3287" r:id="rId3286" xr:uid="{00000000-0004-0000-0000-0000D50C0000}"/>
    <hyperlink ref="I3288" r:id="rId3287" xr:uid="{00000000-0004-0000-0000-0000D60C0000}"/>
    <hyperlink ref="I3289" r:id="rId3288" xr:uid="{00000000-0004-0000-0000-0000D70C0000}"/>
    <hyperlink ref="I3290" r:id="rId3289" xr:uid="{00000000-0004-0000-0000-0000D80C0000}"/>
    <hyperlink ref="I3291" r:id="rId3290" xr:uid="{00000000-0004-0000-0000-0000D90C0000}"/>
    <hyperlink ref="I3292" r:id="rId3291" xr:uid="{00000000-0004-0000-0000-0000DA0C0000}"/>
    <hyperlink ref="I3293" r:id="rId3292" xr:uid="{00000000-0004-0000-0000-0000DB0C0000}"/>
    <hyperlink ref="I3294" r:id="rId3293" xr:uid="{00000000-0004-0000-0000-0000DC0C0000}"/>
    <hyperlink ref="I3295" r:id="rId3294" xr:uid="{00000000-0004-0000-0000-0000DD0C0000}"/>
    <hyperlink ref="I3296" r:id="rId3295" xr:uid="{00000000-0004-0000-0000-0000DE0C0000}"/>
    <hyperlink ref="I3297" r:id="rId3296" xr:uid="{00000000-0004-0000-0000-0000DF0C0000}"/>
    <hyperlink ref="I3298" r:id="rId3297" xr:uid="{00000000-0004-0000-0000-0000E00C0000}"/>
    <hyperlink ref="I3299" r:id="rId3298" xr:uid="{00000000-0004-0000-0000-0000E10C0000}"/>
    <hyperlink ref="I3300" r:id="rId3299" xr:uid="{00000000-0004-0000-0000-0000E20C0000}"/>
    <hyperlink ref="I3301" r:id="rId3300" xr:uid="{00000000-0004-0000-0000-0000E30C0000}"/>
    <hyperlink ref="I3302" r:id="rId3301" xr:uid="{00000000-0004-0000-0000-0000E40C0000}"/>
    <hyperlink ref="I3303" r:id="rId3302" xr:uid="{00000000-0004-0000-0000-0000E50C0000}"/>
    <hyperlink ref="I3304" r:id="rId3303" xr:uid="{00000000-0004-0000-0000-0000E60C0000}"/>
    <hyperlink ref="I3305" r:id="rId3304" xr:uid="{00000000-0004-0000-0000-0000E70C0000}"/>
    <hyperlink ref="I3306" r:id="rId3305" xr:uid="{00000000-0004-0000-0000-0000E80C0000}"/>
    <hyperlink ref="I3307" r:id="rId3306" xr:uid="{00000000-0004-0000-0000-0000E90C0000}"/>
    <hyperlink ref="I3308" r:id="rId3307" xr:uid="{00000000-0004-0000-0000-0000EA0C0000}"/>
    <hyperlink ref="I3309" r:id="rId3308" xr:uid="{00000000-0004-0000-0000-0000EB0C0000}"/>
    <hyperlink ref="I3310" r:id="rId3309" xr:uid="{00000000-0004-0000-0000-0000EC0C0000}"/>
    <hyperlink ref="I3311" r:id="rId3310" xr:uid="{00000000-0004-0000-0000-0000ED0C0000}"/>
    <hyperlink ref="I3312" r:id="rId3311" xr:uid="{00000000-0004-0000-0000-0000EE0C0000}"/>
    <hyperlink ref="I3313" r:id="rId3312" xr:uid="{00000000-0004-0000-0000-0000EF0C0000}"/>
    <hyperlink ref="I3314" r:id="rId3313" xr:uid="{00000000-0004-0000-0000-0000F00C0000}"/>
    <hyperlink ref="I3315" r:id="rId3314" xr:uid="{00000000-0004-0000-0000-0000F10C0000}"/>
    <hyperlink ref="I3316" r:id="rId3315" xr:uid="{00000000-0004-0000-0000-0000F20C0000}"/>
    <hyperlink ref="I3317" r:id="rId3316" xr:uid="{00000000-0004-0000-0000-0000F30C0000}"/>
    <hyperlink ref="I3318" r:id="rId3317" xr:uid="{00000000-0004-0000-0000-0000F40C0000}"/>
    <hyperlink ref="I3319" r:id="rId3318" xr:uid="{00000000-0004-0000-0000-0000F50C0000}"/>
    <hyperlink ref="I3320" r:id="rId3319" xr:uid="{00000000-0004-0000-0000-0000F60C0000}"/>
    <hyperlink ref="I3321" r:id="rId3320" xr:uid="{00000000-0004-0000-0000-0000F70C0000}"/>
    <hyperlink ref="I3322" r:id="rId3321" xr:uid="{00000000-0004-0000-0000-0000F80C0000}"/>
    <hyperlink ref="I3323" r:id="rId3322" xr:uid="{00000000-0004-0000-0000-0000F90C0000}"/>
    <hyperlink ref="I3324" r:id="rId3323" xr:uid="{00000000-0004-0000-0000-0000FA0C0000}"/>
    <hyperlink ref="I3325" r:id="rId3324" xr:uid="{00000000-0004-0000-0000-0000FB0C0000}"/>
    <hyperlink ref="I3326" r:id="rId3325" xr:uid="{00000000-0004-0000-0000-0000FC0C0000}"/>
    <hyperlink ref="I3327" r:id="rId3326" xr:uid="{00000000-0004-0000-0000-0000FD0C0000}"/>
    <hyperlink ref="I3328" r:id="rId3327" xr:uid="{00000000-0004-0000-0000-0000FE0C0000}"/>
    <hyperlink ref="I3329" r:id="rId3328" xr:uid="{00000000-0004-0000-0000-0000FF0C0000}"/>
    <hyperlink ref="I3330" r:id="rId3329" xr:uid="{00000000-0004-0000-0000-0000000D0000}"/>
    <hyperlink ref="I3331" r:id="rId3330" xr:uid="{00000000-0004-0000-0000-0000010D0000}"/>
    <hyperlink ref="I3332" r:id="rId3331" xr:uid="{00000000-0004-0000-0000-0000020D0000}"/>
    <hyperlink ref="I3333" r:id="rId3332" xr:uid="{00000000-0004-0000-0000-0000030D0000}"/>
    <hyperlink ref="I3334" r:id="rId3333" xr:uid="{00000000-0004-0000-0000-0000040D0000}"/>
    <hyperlink ref="I3335" r:id="rId3334" xr:uid="{00000000-0004-0000-0000-0000050D0000}"/>
    <hyperlink ref="I3336" r:id="rId3335" xr:uid="{00000000-0004-0000-0000-0000060D0000}"/>
    <hyperlink ref="I3337" r:id="rId3336" xr:uid="{00000000-0004-0000-0000-0000070D0000}"/>
    <hyperlink ref="I3338" r:id="rId3337" xr:uid="{00000000-0004-0000-0000-0000080D0000}"/>
    <hyperlink ref="I3339" r:id="rId3338" xr:uid="{00000000-0004-0000-0000-0000090D0000}"/>
    <hyperlink ref="I3340" r:id="rId3339" xr:uid="{00000000-0004-0000-0000-00000A0D0000}"/>
    <hyperlink ref="I3341" r:id="rId3340" xr:uid="{00000000-0004-0000-0000-00000B0D0000}"/>
    <hyperlink ref="I3342" r:id="rId3341" xr:uid="{00000000-0004-0000-0000-00000C0D0000}"/>
    <hyperlink ref="I3343" r:id="rId3342" xr:uid="{00000000-0004-0000-0000-00000D0D0000}"/>
    <hyperlink ref="I3344" r:id="rId3343" xr:uid="{00000000-0004-0000-0000-00000E0D0000}"/>
    <hyperlink ref="I3345" r:id="rId3344" xr:uid="{00000000-0004-0000-0000-00000F0D0000}"/>
    <hyperlink ref="I3346" r:id="rId3345" xr:uid="{00000000-0004-0000-0000-0000100D0000}"/>
    <hyperlink ref="I3347" r:id="rId3346" xr:uid="{00000000-0004-0000-0000-0000110D0000}"/>
    <hyperlink ref="I3348" r:id="rId3347" xr:uid="{00000000-0004-0000-0000-0000120D0000}"/>
    <hyperlink ref="I3349" r:id="rId3348" xr:uid="{00000000-0004-0000-0000-0000130D0000}"/>
    <hyperlink ref="I3350" r:id="rId3349" xr:uid="{00000000-0004-0000-0000-0000140D0000}"/>
    <hyperlink ref="I3351" r:id="rId3350" xr:uid="{00000000-0004-0000-0000-0000150D0000}"/>
    <hyperlink ref="I3352" r:id="rId3351" xr:uid="{00000000-0004-0000-0000-0000160D0000}"/>
    <hyperlink ref="I3353" r:id="rId3352" xr:uid="{00000000-0004-0000-0000-0000170D0000}"/>
    <hyperlink ref="I3354" r:id="rId3353" xr:uid="{00000000-0004-0000-0000-0000180D0000}"/>
    <hyperlink ref="I3355" r:id="rId3354" xr:uid="{00000000-0004-0000-0000-0000190D0000}"/>
    <hyperlink ref="I3356" r:id="rId3355" xr:uid="{00000000-0004-0000-0000-00001A0D0000}"/>
    <hyperlink ref="I3357" r:id="rId3356" xr:uid="{00000000-0004-0000-0000-00001B0D0000}"/>
    <hyperlink ref="I3358" r:id="rId3357" xr:uid="{00000000-0004-0000-0000-00001C0D0000}"/>
    <hyperlink ref="I3359" r:id="rId3358" xr:uid="{00000000-0004-0000-0000-00001D0D0000}"/>
    <hyperlink ref="I3360" r:id="rId3359" xr:uid="{00000000-0004-0000-0000-00001E0D0000}"/>
    <hyperlink ref="I3361" r:id="rId3360" xr:uid="{00000000-0004-0000-0000-00001F0D0000}"/>
    <hyperlink ref="I3362" r:id="rId3361" xr:uid="{00000000-0004-0000-0000-0000200D0000}"/>
    <hyperlink ref="I3363" r:id="rId3362" xr:uid="{00000000-0004-0000-0000-0000210D0000}"/>
    <hyperlink ref="I3364" r:id="rId3363" xr:uid="{00000000-0004-0000-0000-0000220D0000}"/>
    <hyperlink ref="I3365" r:id="rId3364" xr:uid="{00000000-0004-0000-0000-0000230D0000}"/>
    <hyperlink ref="I3366" r:id="rId3365" xr:uid="{00000000-0004-0000-0000-0000240D0000}"/>
    <hyperlink ref="I3367" r:id="rId3366" xr:uid="{00000000-0004-0000-0000-0000250D0000}"/>
    <hyperlink ref="I3368" r:id="rId3367" xr:uid="{00000000-0004-0000-0000-0000260D0000}"/>
    <hyperlink ref="I3369" r:id="rId3368" xr:uid="{00000000-0004-0000-0000-0000270D0000}"/>
    <hyperlink ref="I3370" r:id="rId3369" xr:uid="{00000000-0004-0000-0000-0000280D0000}"/>
    <hyperlink ref="I3371" r:id="rId3370" xr:uid="{00000000-0004-0000-0000-0000290D0000}"/>
    <hyperlink ref="I3372" r:id="rId3371" xr:uid="{00000000-0004-0000-0000-00002A0D0000}"/>
    <hyperlink ref="I3373" r:id="rId3372" xr:uid="{00000000-0004-0000-0000-00002B0D0000}"/>
    <hyperlink ref="I3374" r:id="rId3373" xr:uid="{00000000-0004-0000-0000-00002C0D0000}"/>
    <hyperlink ref="I3375" r:id="rId3374" xr:uid="{00000000-0004-0000-0000-00002D0D0000}"/>
    <hyperlink ref="I3376" r:id="rId3375" xr:uid="{00000000-0004-0000-0000-00002E0D0000}"/>
    <hyperlink ref="I3377" r:id="rId3376" xr:uid="{00000000-0004-0000-0000-00002F0D0000}"/>
    <hyperlink ref="I3378" r:id="rId3377" xr:uid="{00000000-0004-0000-0000-0000300D0000}"/>
    <hyperlink ref="I3379" r:id="rId3378" xr:uid="{00000000-0004-0000-0000-0000310D0000}"/>
    <hyperlink ref="I3380" r:id="rId3379" xr:uid="{00000000-0004-0000-0000-0000320D0000}"/>
    <hyperlink ref="I3381" r:id="rId3380" xr:uid="{00000000-0004-0000-0000-0000330D0000}"/>
    <hyperlink ref="I3382" r:id="rId3381" xr:uid="{00000000-0004-0000-0000-0000340D0000}"/>
    <hyperlink ref="I3383" r:id="rId3382" xr:uid="{00000000-0004-0000-0000-0000350D0000}"/>
    <hyperlink ref="I3384" r:id="rId3383" xr:uid="{00000000-0004-0000-0000-0000360D0000}"/>
    <hyperlink ref="I3385" r:id="rId3384" xr:uid="{00000000-0004-0000-0000-0000370D0000}"/>
    <hyperlink ref="I3386" r:id="rId3385" xr:uid="{00000000-0004-0000-0000-0000380D0000}"/>
    <hyperlink ref="I3387" r:id="rId3386" xr:uid="{00000000-0004-0000-0000-0000390D0000}"/>
    <hyperlink ref="I3388" r:id="rId3387" xr:uid="{00000000-0004-0000-0000-00003A0D0000}"/>
    <hyperlink ref="I3389" r:id="rId3388" xr:uid="{00000000-0004-0000-0000-00003B0D0000}"/>
    <hyperlink ref="I3390" r:id="rId3389" xr:uid="{00000000-0004-0000-0000-00003C0D0000}"/>
    <hyperlink ref="I3391" r:id="rId3390" xr:uid="{00000000-0004-0000-0000-00003D0D0000}"/>
    <hyperlink ref="I3392" r:id="rId3391" xr:uid="{00000000-0004-0000-0000-00003E0D0000}"/>
    <hyperlink ref="I3393" r:id="rId3392" xr:uid="{00000000-0004-0000-0000-00003F0D0000}"/>
    <hyperlink ref="I3394" r:id="rId3393" xr:uid="{00000000-0004-0000-0000-0000400D0000}"/>
    <hyperlink ref="I3395" r:id="rId3394" xr:uid="{00000000-0004-0000-0000-0000410D0000}"/>
    <hyperlink ref="I3396" r:id="rId3395" xr:uid="{00000000-0004-0000-0000-0000420D0000}"/>
    <hyperlink ref="I3397" r:id="rId3396" xr:uid="{00000000-0004-0000-0000-0000430D0000}"/>
    <hyperlink ref="I3398" r:id="rId3397" xr:uid="{00000000-0004-0000-0000-0000440D0000}"/>
    <hyperlink ref="I3399" r:id="rId3398" xr:uid="{00000000-0004-0000-0000-0000450D0000}"/>
    <hyperlink ref="I3400" r:id="rId3399" xr:uid="{00000000-0004-0000-0000-0000460D0000}"/>
    <hyperlink ref="I3401" r:id="rId3400" xr:uid="{00000000-0004-0000-0000-0000470D0000}"/>
    <hyperlink ref="I3402" r:id="rId3401" xr:uid="{00000000-0004-0000-0000-0000480D0000}"/>
    <hyperlink ref="I3403" r:id="rId3402" xr:uid="{00000000-0004-0000-0000-0000490D0000}"/>
    <hyperlink ref="I3404" r:id="rId3403" xr:uid="{00000000-0004-0000-0000-00004A0D0000}"/>
    <hyperlink ref="I3405" r:id="rId3404" xr:uid="{00000000-0004-0000-0000-00004B0D0000}"/>
    <hyperlink ref="I3406" r:id="rId3405" xr:uid="{00000000-0004-0000-0000-00004C0D0000}"/>
    <hyperlink ref="I3407" r:id="rId3406" xr:uid="{00000000-0004-0000-0000-00004D0D0000}"/>
    <hyperlink ref="I3408" r:id="rId3407" xr:uid="{00000000-0004-0000-0000-00004E0D0000}"/>
    <hyperlink ref="I3409" r:id="rId3408" xr:uid="{00000000-0004-0000-0000-00004F0D0000}"/>
    <hyperlink ref="I3410" r:id="rId3409" xr:uid="{00000000-0004-0000-0000-0000500D0000}"/>
    <hyperlink ref="I3411" r:id="rId3410" xr:uid="{00000000-0004-0000-0000-0000510D0000}"/>
    <hyperlink ref="I3412" r:id="rId3411" xr:uid="{00000000-0004-0000-0000-0000520D0000}"/>
    <hyperlink ref="I3413" r:id="rId3412" xr:uid="{00000000-0004-0000-0000-0000530D0000}"/>
    <hyperlink ref="I3414" r:id="rId3413" xr:uid="{00000000-0004-0000-0000-0000540D0000}"/>
    <hyperlink ref="I3415" r:id="rId3414" xr:uid="{00000000-0004-0000-0000-0000550D0000}"/>
    <hyperlink ref="I3416" r:id="rId3415" xr:uid="{00000000-0004-0000-0000-0000560D0000}"/>
    <hyperlink ref="I3417" r:id="rId3416" xr:uid="{00000000-0004-0000-0000-0000570D0000}"/>
    <hyperlink ref="I3418" r:id="rId3417" xr:uid="{00000000-0004-0000-0000-0000580D0000}"/>
    <hyperlink ref="I3419" r:id="rId3418" xr:uid="{00000000-0004-0000-0000-0000590D0000}"/>
    <hyperlink ref="I3420" r:id="rId3419" xr:uid="{00000000-0004-0000-0000-00005A0D0000}"/>
    <hyperlink ref="I3421" r:id="rId3420" xr:uid="{00000000-0004-0000-0000-00005B0D0000}"/>
    <hyperlink ref="I3422" r:id="rId3421" xr:uid="{00000000-0004-0000-0000-00005C0D0000}"/>
    <hyperlink ref="I3423" r:id="rId3422" xr:uid="{00000000-0004-0000-0000-00005D0D0000}"/>
    <hyperlink ref="I3424" r:id="rId3423" xr:uid="{00000000-0004-0000-0000-00005E0D0000}"/>
    <hyperlink ref="I3425" r:id="rId3424" xr:uid="{00000000-0004-0000-0000-00005F0D0000}"/>
    <hyperlink ref="I3426" r:id="rId3425" xr:uid="{00000000-0004-0000-0000-0000600D0000}"/>
    <hyperlink ref="I3427" r:id="rId3426" xr:uid="{00000000-0004-0000-0000-0000610D0000}"/>
    <hyperlink ref="I3428" r:id="rId3427" xr:uid="{00000000-0004-0000-0000-0000620D0000}"/>
    <hyperlink ref="I3429" r:id="rId3428" xr:uid="{00000000-0004-0000-0000-0000630D0000}"/>
    <hyperlink ref="I3430" r:id="rId3429" xr:uid="{00000000-0004-0000-0000-0000640D0000}"/>
    <hyperlink ref="I3431" r:id="rId3430" xr:uid="{00000000-0004-0000-0000-0000650D0000}"/>
    <hyperlink ref="I3432" r:id="rId3431" xr:uid="{00000000-0004-0000-0000-0000660D0000}"/>
    <hyperlink ref="I3433" r:id="rId3432" xr:uid="{00000000-0004-0000-0000-0000670D0000}"/>
    <hyperlink ref="I3434" r:id="rId3433" xr:uid="{00000000-0004-0000-0000-0000680D0000}"/>
    <hyperlink ref="I3435" r:id="rId3434" xr:uid="{00000000-0004-0000-0000-0000690D0000}"/>
    <hyperlink ref="I3436" r:id="rId3435" xr:uid="{00000000-0004-0000-0000-00006A0D0000}"/>
    <hyperlink ref="I3437" r:id="rId3436" xr:uid="{00000000-0004-0000-0000-00006B0D0000}"/>
    <hyperlink ref="I3438" r:id="rId3437" xr:uid="{00000000-0004-0000-0000-00006C0D0000}"/>
    <hyperlink ref="I3439" r:id="rId3438" xr:uid="{00000000-0004-0000-0000-00006D0D0000}"/>
    <hyperlink ref="I3440" r:id="rId3439" xr:uid="{00000000-0004-0000-0000-00006E0D0000}"/>
    <hyperlink ref="I3441" r:id="rId3440" xr:uid="{00000000-0004-0000-0000-00006F0D0000}"/>
    <hyperlink ref="I3442" r:id="rId3441" xr:uid="{00000000-0004-0000-0000-0000700D0000}"/>
    <hyperlink ref="I3443" r:id="rId3442" xr:uid="{00000000-0004-0000-0000-0000710D0000}"/>
    <hyperlink ref="I3444" r:id="rId3443" xr:uid="{00000000-0004-0000-0000-0000720D0000}"/>
    <hyperlink ref="I3445" r:id="rId3444" xr:uid="{00000000-0004-0000-0000-0000730D0000}"/>
    <hyperlink ref="I3446" r:id="rId3445" xr:uid="{00000000-0004-0000-0000-0000740D0000}"/>
    <hyperlink ref="I3447" r:id="rId3446" xr:uid="{00000000-0004-0000-0000-0000750D0000}"/>
    <hyperlink ref="I3448" r:id="rId3447" xr:uid="{00000000-0004-0000-0000-0000760D0000}"/>
    <hyperlink ref="I3449" r:id="rId3448" xr:uid="{00000000-0004-0000-0000-0000770D0000}"/>
    <hyperlink ref="I3450" r:id="rId3449" xr:uid="{00000000-0004-0000-0000-0000780D0000}"/>
    <hyperlink ref="I3451" r:id="rId3450" xr:uid="{00000000-0004-0000-0000-0000790D0000}"/>
    <hyperlink ref="I3452" r:id="rId3451" xr:uid="{00000000-0004-0000-0000-00007A0D0000}"/>
    <hyperlink ref="I3453" r:id="rId3452" xr:uid="{00000000-0004-0000-0000-00007B0D0000}"/>
    <hyperlink ref="I3454" r:id="rId3453" xr:uid="{00000000-0004-0000-0000-00007C0D0000}"/>
    <hyperlink ref="I3455" r:id="rId3454" xr:uid="{00000000-0004-0000-0000-00007D0D0000}"/>
    <hyperlink ref="I3456" r:id="rId3455" xr:uid="{00000000-0004-0000-0000-00007E0D0000}"/>
    <hyperlink ref="I3457" r:id="rId3456" xr:uid="{00000000-0004-0000-0000-00007F0D0000}"/>
    <hyperlink ref="I3458" r:id="rId3457" xr:uid="{00000000-0004-0000-0000-0000800D0000}"/>
    <hyperlink ref="I3459" r:id="rId3458" xr:uid="{00000000-0004-0000-0000-0000810D0000}"/>
    <hyperlink ref="I3460" r:id="rId3459" xr:uid="{00000000-0004-0000-0000-0000820D0000}"/>
    <hyperlink ref="I3461" r:id="rId3460" xr:uid="{00000000-0004-0000-0000-0000830D0000}"/>
    <hyperlink ref="I3462" r:id="rId3461" xr:uid="{00000000-0004-0000-0000-0000840D0000}"/>
    <hyperlink ref="I3463" r:id="rId3462" xr:uid="{00000000-0004-0000-0000-0000850D0000}"/>
    <hyperlink ref="I3464" r:id="rId3463" xr:uid="{00000000-0004-0000-0000-0000860D0000}"/>
    <hyperlink ref="I3465" r:id="rId3464" xr:uid="{00000000-0004-0000-0000-0000870D0000}"/>
    <hyperlink ref="I3466" r:id="rId3465" xr:uid="{00000000-0004-0000-0000-0000880D0000}"/>
    <hyperlink ref="I3467" r:id="rId3466" xr:uid="{00000000-0004-0000-0000-0000890D0000}"/>
    <hyperlink ref="I3468" r:id="rId3467" xr:uid="{00000000-0004-0000-0000-00008A0D0000}"/>
    <hyperlink ref="I3469" r:id="rId3468" xr:uid="{00000000-0004-0000-0000-00008B0D0000}"/>
    <hyperlink ref="I3470" r:id="rId3469" xr:uid="{00000000-0004-0000-0000-00008C0D0000}"/>
    <hyperlink ref="I3471" r:id="rId3470" xr:uid="{00000000-0004-0000-0000-00008D0D0000}"/>
    <hyperlink ref="I3472" r:id="rId3471" xr:uid="{00000000-0004-0000-0000-00008E0D0000}"/>
    <hyperlink ref="I3473" r:id="rId3472" xr:uid="{00000000-0004-0000-0000-00008F0D0000}"/>
    <hyperlink ref="I3474" r:id="rId3473" xr:uid="{00000000-0004-0000-0000-0000900D0000}"/>
    <hyperlink ref="I3475" r:id="rId3474" xr:uid="{00000000-0004-0000-0000-0000910D0000}"/>
    <hyperlink ref="I3476" r:id="rId3475" xr:uid="{00000000-0004-0000-0000-0000920D0000}"/>
    <hyperlink ref="I3477" r:id="rId3476" xr:uid="{00000000-0004-0000-0000-0000930D0000}"/>
    <hyperlink ref="I3478" r:id="rId3477" xr:uid="{00000000-0004-0000-0000-0000940D0000}"/>
    <hyperlink ref="I3479" r:id="rId3478" xr:uid="{00000000-0004-0000-0000-0000950D0000}"/>
    <hyperlink ref="I3480" r:id="rId3479" xr:uid="{00000000-0004-0000-0000-0000960D0000}"/>
    <hyperlink ref="I3481" r:id="rId3480" xr:uid="{00000000-0004-0000-0000-0000970D0000}"/>
    <hyperlink ref="I3482" r:id="rId3481" xr:uid="{00000000-0004-0000-0000-0000980D0000}"/>
    <hyperlink ref="I3483" r:id="rId3482" xr:uid="{00000000-0004-0000-0000-0000990D0000}"/>
    <hyperlink ref="I3484" r:id="rId3483" xr:uid="{00000000-0004-0000-0000-00009A0D0000}"/>
    <hyperlink ref="I3485" r:id="rId3484" xr:uid="{00000000-0004-0000-0000-00009B0D0000}"/>
    <hyperlink ref="I3486" r:id="rId3485" xr:uid="{00000000-0004-0000-0000-00009C0D0000}"/>
    <hyperlink ref="I3487" r:id="rId3486" xr:uid="{00000000-0004-0000-0000-00009D0D0000}"/>
    <hyperlink ref="I3488" r:id="rId3487" xr:uid="{00000000-0004-0000-0000-00009E0D0000}"/>
    <hyperlink ref="I3489" r:id="rId3488" xr:uid="{00000000-0004-0000-0000-00009F0D0000}"/>
    <hyperlink ref="I3490" r:id="rId3489" xr:uid="{00000000-0004-0000-0000-0000A00D0000}"/>
    <hyperlink ref="I3491" r:id="rId3490" xr:uid="{00000000-0004-0000-0000-0000A10D0000}"/>
    <hyperlink ref="I3492" r:id="rId3491" xr:uid="{00000000-0004-0000-0000-0000A20D0000}"/>
    <hyperlink ref="I3493" r:id="rId3492" xr:uid="{00000000-0004-0000-0000-0000A30D0000}"/>
    <hyperlink ref="I3494" r:id="rId3493" xr:uid="{00000000-0004-0000-0000-0000A40D0000}"/>
    <hyperlink ref="I3495" r:id="rId3494" xr:uid="{00000000-0004-0000-0000-0000A50D0000}"/>
    <hyperlink ref="I3496" r:id="rId3495" xr:uid="{00000000-0004-0000-0000-0000A60D0000}"/>
    <hyperlink ref="I3497" r:id="rId3496" xr:uid="{00000000-0004-0000-0000-0000A70D0000}"/>
    <hyperlink ref="I3498" r:id="rId3497" xr:uid="{00000000-0004-0000-0000-0000A80D0000}"/>
    <hyperlink ref="I3499" r:id="rId3498" xr:uid="{00000000-0004-0000-0000-0000A90D0000}"/>
    <hyperlink ref="I3500" r:id="rId3499" xr:uid="{00000000-0004-0000-0000-0000AA0D0000}"/>
    <hyperlink ref="I3501" r:id="rId3500" xr:uid="{00000000-0004-0000-0000-0000AB0D0000}"/>
    <hyperlink ref="I3502" r:id="rId3501" xr:uid="{00000000-0004-0000-0000-0000AC0D0000}"/>
    <hyperlink ref="I3503" r:id="rId3502" xr:uid="{00000000-0004-0000-0000-0000AD0D0000}"/>
    <hyperlink ref="I3504" r:id="rId3503" xr:uid="{00000000-0004-0000-0000-0000AE0D0000}"/>
    <hyperlink ref="I3505" r:id="rId3504" xr:uid="{00000000-0004-0000-0000-0000AF0D0000}"/>
    <hyperlink ref="I3506" r:id="rId3505" xr:uid="{00000000-0004-0000-0000-0000B00D0000}"/>
    <hyperlink ref="I3507" r:id="rId3506" xr:uid="{00000000-0004-0000-0000-0000B10D0000}"/>
    <hyperlink ref="I3508" r:id="rId3507" xr:uid="{00000000-0004-0000-0000-0000B20D0000}"/>
    <hyperlink ref="I3509" r:id="rId3508" xr:uid="{00000000-0004-0000-0000-0000B30D0000}"/>
    <hyperlink ref="I3510" r:id="rId3509" xr:uid="{00000000-0004-0000-0000-0000B40D0000}"/>
    <hyperlink ref="I3511" r:id="rId3510" xr:uid="{00000000-0004-0000-0000-0000B50D0000}"/>
    <hyperlink ref="I3512" r:id="rId3511" xr:uid="{00000000-0004-0000-0000-0000B60D0000}"/>
    <hyperlink ref="I3513" r:id="rId3512" xr:uid="{00000000-0004-0000-0000-0000B70D0000}"/>
    <hyperlink ref="I3514" r:id="rId3513" xr:uid="{00000000-0004-0000-0000-0000B80D0000}"/>
    <hyperlink ref="I3515" r:id="rId3514" xr:uid="{00000000-0004-0000-0000-0000B90D0000}"/>
    <hyperlink ref="I3516" r:id="rId3515" xr:uid="{00000000-0004-0000-0000-0000BA0D0000}"/>
    <hyperlink ref="I3517" r:id="rId3516" xr:uid="{00000000-0004-0000-0000-0000BB0D0000}"/>
    <hyperlink ref="I3518" r:id="rId3517" xr:uid="{00000000-0004-0000-0000-0000BC0D0000}"/>
    <hyperlink ref="I3519" r:id="rId3518" xr:uid="{00000000-0004-0000-0000-0000BD0D0000}"/>
    <hyperlink ref="I3520" r:id="rId3519" xr:uid="{00000000-0004-0000-0000-0000BE0D0000}"/>
    <hyperlink ref="I3521" r:id="rId3520" xr:uid="{00000000-0004-0000-0000-0000BF0D0000}"/>
    <hyperlink ref="I3522" r:id="rId3521" xr:uid="{00000000-0004-0000-0000-0000C00D0000}"/>
    <hyperlink ref="I3523" r:id="rId3522" xr:uid="{00000000-0004-0000-0000-0000C10D0000}"/>
    <hyperlink ref="I3524" r:id="rId3523" xr:uid="{00000000-0004-0000-0000-0000C20D0000}"/>
    <hyperlink ref="I3525" r:id="rId3524" xr:uid="{00000000-0004-0000-0000-0000C30D0000}"/>
    <hyperlink ref="I3526" r:id="rId3525" xr:uid="{00000000-0004-0000-0000-0000C40D0000}"/>
    <hyperlink ref="I3527" r:id="rId3526" xr:uid="{00000000-0004-0000-0000-0000C50D0000}"/>
    <hyperlink ref="I3528" r:id="rId3527" xr:uid="{00000000-0004-0000-0000-0000C60D0000}"/>
    <hyperlink ref="I3529" r:id="rId3528" xr:uid="{00000000-0004-0000-0000-0000C70D0000}"/>
    <hyperlink ref="I3530" r:id="rId3529" xr:uid="{00000000-0004-0000-0000-0000C80D0000}"/>
    <hyperlink ref="I3531" r:id="rId3530" xr:uid="{00000000-0004-0000-0000-0000C90D0000}"/>
    <hyperlink ref="I3532" r:id="rId3531" xr:uid="{00000000-0004-0000-0000-0000CA0D0000}"/>
    <hyperlink ref="I3533" r:id="rId3532" xr:uid="{00000000-0004-0000-0000-0000CB0D0000}"/>
    <hyperlink ref="I3534" r:id="rId3533" xr:uid="{00000000-0004-0000-0000-0000CC0D0000}"/>
    <hyperlink ref="I3535" r:id="rId3534" xr:uid="{00000000-0004-0000-0000-0000CD0D0000}"/>
    <hyperlink ref="I3536" r:id="rId3535" xr:uid="{00000000-0004-0000-0000-0000CE0D0000}"/>
    <hyperlink ref="I3537" r:id="rId3536" xr:uid="{00000000-0004-0000-0000-0000CF0D0000}"/>
    <hyperlink ref="I3538" r:id="rId3537" xr:uid="{00000000-0004-0000-0000-0000D00D0000}"/>
    <hyperlink ref="I3539" r:id="rId3538" xr:uid="{00000000-0004-0000-0000-0000D10D0000}"/>
    <hyperlink ref="I3540" r:id="rId3539" xr:uid="{00000000-0004-0000-0000-0000D20D0000}"/>
    <hyperlink ref="I3541" r:id="rId3540" xr:uid="{00000000-0004-0000-0000-0000D30D0000}"/>
    <hyperlink ref="I3542" r:id="rId3541" xr:uid="{00000000-0004-0000-0000-0000D40D0000}"/>
    <hyperlink ref="I3543" r:id="rId3542" xr:uid="{00000000-0004-0000-0000-0000D50D0000}"/>
    <hyperlink ref="I3544" r:id="rId3543" xr:uid="{00000000-0004-0000-0000-0000D60D0000}"/>
    <hyperlink ref="I3545" r:id="rId3544" xr:uid="{00000000-0004-0000-0000-0000D70D0000}"/>
    <hyperlink ref="I3546" r:id="rId3545" xr:uid="{00000000-0004-0000-0000-0000D80D0000}"/>
    <hyperlink ref="I3547" r:id="rId3546" xr:uid="{00000000-0004-0000-0000-0000D90D0000}"/>
    <hyperlink ref="I3548" r:id="rId3547" xr:uid="{00000000-0004-0000-0000-0000DA0D0000}"/>
    <hyperlink ref="I3549" r:id="rId3548" xr:uid="{00000000-0004-0000-0000-0000DB0D0000}"/>
    <hyperlink ref="I3550" r:id="rId3549" xr:uid="{00000000-0004-0000-0000-0000DC0D0000}"/>
    <hyperlink ref="I3551" r:id="rId3550" xr:uid="{00000000-0004-0000-0000-0000DD0D0000}"/>
    <hyperlink ref="I3552" r:id="rId3551" xr:uid="{00000000-0004-0000-0000-0000DE0D0000}"/>
    <hyperlink ref="I3553" r:id="rId3552" xr:uid="{00000000-0004-0000-0000-0000DF0D0000}"/>
    <hyperlink ref="I3554" r:id="rId3553" xr:uid="{00000000-0004-0000-0000-0000E00D0000}"/>
    <hyperlink ref="I3555" r:id="rId3554" xr:uid="{00000000-0004-0000-0000-0000E10D0000}"/>
    <hyperlink ref="I3556" r:id="rId3555" xr:uid="{00000000-0004-0000-0000-0000E20D0000}"/>
    <hyperlink ref="I3557" r:id="rId3556" xr:uid="{00000000-0004-0000-0000-0000E30D0000}"/>
    <hyperlink ref="I3558" r:id="rId3557" xr:uid="{00000000-0004-0000-0000-0000E40D0000}"/>
    <hyperlink ref="I3559" r:id="rId3558" xr:uid="{00000000-0004-0000-0000-0000E50D0000}"/>
    <hyperlink ref="I3560" r:id="rId3559" xr:uid="{00000000-0004-0000-0000-0000E60D0000}"/>
    <hyperlink ref="I3561" r:id="rId3560" xr:uid="{00000000-0004-0000-0000-0000E70D0000}"/>
    <hyperlink ref="I3562" r:id="rId3561" xr:uid="{00000000-0004-0000-0000-0000E80D0000}"/>
    <hyperlink ref="I3563" r:id="rId3562" xr:uid="{00000000-0004-0000-0000-0000E90D0000}"/>
    <hyperlink ref="I3564" r:id="rId3563" xr:uid="{00000000-0004-0000-0000-0000EA0D0000}"/>
    <hyperlink ref="I3565" r:id="rId3564" xr:uid="{00000000-0004-0000-0000-0000EB0D0000}"/>
    <hyperlink ref="I3566" r:id="rId3565" xr:uid="{00000000-0004-0000-0000-0000EC0D0000}"/>
    <hyperlink ref="I3567" r:id="rId3566" xr:uid="{00000000-0004-0000-0000-0000ED0D0000}"/>
    <hyperlink ref="I3568" r:id="rId3567" xr:uid="{00000000-0004-0000-0000-0000EE0D0000}"/>
    <hyperlink ref="I3569" r:id="rId3568" xr:uid="{00000000-0004-0000-0000-0000EF0D0000}"/>
    <hyperlink ref="I3570" r:id="rId3569" xr:uid="{00000000-0004-0000-0000-0000F00D0000}"/>
    <hyperlink ref="I3571" r:id="rId3570" xr:uid="{00000000-0004-0000-0000-0000F10D0000}"/>
    <hyperlink ref="I3572" r:id="rId3571" xr:uid="{00000000-0004-0000-0000-0000F20D0000}"/>
    <hyperlink ref="I3573" r:id="rId3572" xr:uid="{00000000-0004-0000-0000-0000F30D0000}"/>
    <hyperlink ref="I3574" r:id="rId3573" xr:uid="{00000000-0004-0000-0000-0000F40D0000}"/>
    <hyperlink ref="I3575" r:id="rId3574" xr:uid="{00000000-0004-0000-0000-0000F50D0000}"/>
    <hyperlink ref="I3576" r:id="rId3575" xr:uid="{00000000-0004-0000-0000-0000F60D0000}"/>
    <hyperlink ref="I3577" r:id="rId3576" xr:uid="{00000000-0004-0000-0000-0000F70D0000}"/>
    <hyperlink ref="I3578" r:id="rId3577" xr:uid="{00000000-0004-0000-0000-0000F80D0000}"/>
    <hyperlink ref="I3579" r:id="rId3578" xr:uid="{00000000-0004-0000-0000-0000F90D0000}"/>
    <hyperlink ref="I3580" r:id="rId3579" xr:uid="{00000000-0004-0000-0000-0000FA0D0000}"/>
    <hyperlink ref="I3581" r:id="rId3580" xr:uid="{00000000-0004-0000-0000-0000FB0D0000}"/>
    <hyperlink ref="I3582" r:id="rId3581" xr:uid="{00000000-0004-0000-0000-0000FC0D0000}"/>
    <hyperlink ref="I3583" r:id="rId3582" xr:uid="{00000000-0004-0000-0000-0000FD0D0000}"/>
    <hyperlink ref="I3584" r:id="rId3583" xr:uid="{00000000-0004-0000-0000-0000FE0D0000}"/>
    <hyperlink ref="I3585" r:id="rId3584" xr:uid="{00000000-0004-0000-0000-0000FF0D0000}"/>
    <hyperlink ref="I3586" r:id="rId3585" xr:uid="{00000000-0004-0000-0000-0000000E0000}"/>
    <hyperlink ref="I3587" r:id="rId3586" xr:uid="{00000000-0004-0000-0000-0000010E0000}"/>
    <hyperlink ref="I3588" r:id="rId3587" xr:uid="{00000000-0004-0000-0000-0000020E0000}"/>
    <hyperlink ref="I3589" r:id="rId3588" xr:uid="{00000000-0004-0000-0000-0000030E0000}"/>
    <hyperlink ref="I3590" r:id="rId3589" xr:uid="{00000000-0004-0000-0000-0000040E0000}"/>
    <hyperlink ref="I3591" r:id="rId3590" xr:uid="{00000000-0004-0000-0000-0000050E0000}"/>
    <hyperlink ref="I3592" r:id="rId3591" xr:uid="{00000000-0004-0000-0000-0000060E0000}"/>
    <hyperlink ref="I3593" r:id="rId3592" xr:uid="{00000000-0004-0000-0000-0000070E0000}"/>
    <hyperlink ref="I3594" r:id="rId3593" xr:uid="{00000000-0004-0000-0000-0000080E0000}"/>
    <hyperlink ref="I3595" r:id="rId3594" xr:uid="{00000000-0004-0000-0000-0000090E0000}"/>
    <hyperlink ref="I3596" r:id="rId3595" xr:uid="{00000000-0004-0000-0000-00000A0E0000}"/>
    <hyperlink ref="I3597" r:id="rId3596" xr:uid="{00000000-0004-0000-0000-00000B0E0000}"/>
    <hyperlink ref="I3598" r:id="rId3597" xr:uid="{00000000-0004-0000-0000-00000C0E0000}"/>
    <hyperlink ref="I3599" r:id="rId3598" xr:uid="{00000000-0004-0000-0000-00000D0E0000}"/>
    <hyperlink ref="I3600" r:id="rId3599" xr:uid="{00000000-0004-0000-0000-00000E0E0000}"/>
    <hyperlink ref="I3601" r:id="rId3600" xr:uid="{00000000-0004-0000-0000-00000F0E0000}"/>
    <hyperlink ref="I3602" r:id="rId3601" xr:uid="{00000000-0004-0000-0000-0000100E0000}"/>
    <hyperlink ref="I3603" r:id="rId3602" xr:uid="{00000000-0004-0000-0000-0000110E0000}"/>
    <hyperlink ref="I3604" r:id="rId3603" xr:uid="{00000000-0004-0000-0000-0000120E0000}"/>
    <hyperlink ref="I3605" r:id="rId3604" xr:uid="{00000000-0004-0000-0000-0000130E0000}"/>
    <hyperlink ref="I3606" r:id="rId3605" xr:uid="{00000000-0004-0000-0000-0000140E0000}"/>
    <hyperlink ref="I3607" r:id="rId3606" xr:uid="{00000000-0004-0000-0000-0000150E0000}"/>
    <hyperlink ref="I3608" r:id="rId3607" xr:uid="{00000000-0004-0000-0000-0000160E0000}"/>
    <hyperlink ref="I3609" r:id="rId3608" xr:uid="{00000000-0004-0000-0000-0000170E0000}"/>
    <hyperlink ref="I3610" r:id="rId3609" xr:uid="{00000000-0004-0000-0000-0000180E0000}"/>
    <hyperlink ref="I3611" r:id="rId3610" xr:uid="{00000000-0004-0000-0000-0000190E0000}"/>
    <hyperlink ref="I3612" r:id="rId3611" xr:uid="{00000000-0004-0000-0000-00001A0E0000}"/>
    <hyperlink ref="I3613" r:id="rId3612" xr:uid="{00000000-0004-0000-0000-00001B0E0000}"/>
    <hyperlink ref="I3614" r:id="rId3613" xr:uid="{00000000-0004-0000-0000-00001C0E0000}"/>
    <hyperlink ref="I3615" r:id="rId3614" xr:uid="{00000000-0004-0000-0000-00001D0E0000}"/>
    <hyperlink ref="I3616" r:id="rId3615" xr:uid="{00000000-0004-0000-0000-00001E0E0000}"/>
    <hyperlink ref="I3617" r:id="rId3616" xr:uid="{00000000-0004-0000-0000-00001F0E0000}"/>
    <hyperlink ref="I3618" r:id="rId3617" xr:uid="{00000000-0004-0000-0000-0000200E0000}"/>
    <hyperlink ref="I3619" r:id="rId3618" xr:uid="{00000000-0004-0000-0000-0000210E0000}"/>
    <hyperlink ref="I3620" r:id="rId3619" xr:uid="{00000000-0004-0000-0000-0000220E0000}"/>
    <hyperlink ref="I3621" r:id="rId3620" xr:uid="{00000000-0004-0000-0000-0000230E0000}"/>
    <hyperlink ref="I3622" r:id="rId3621" xr:uid="{00000000-0004-0000-0000-0000240E0000}"/>
    <hyperlink ref="I3623" r:id="rId3622" xr:uid="{00000000-0004-0000-0000-0000250E0000}"/>
    <hyperlink ref="I3624" r:id="rId3623" xr:uid="{00000000-0004-0000-0000-0000260E0000}"/>
    <hyperlink ref="I3625" r:id="rId3624" xr:uid="{00000000-0004-0000-0000-0000270E0000}"/>
    <hyperlink ref="I3626" r:id="rId3625" xr:uid="{00000000-0004-0000-0000-0000280E0000}"/>
    <hyperlink ref="I3627" r:id="rId3626" xr:uid="{00000000-0004-0000-0000-0000290E0000}"/>
    <hyperlink ref="I3628" r:id="rId3627" xr:uid="{00000000-0004-0000-0000-00002A0E0000}"/>
    <hyperlink ref="I3629" r:id="rId3628" xr:uid="{00000000-0004-0000-0000-00002B0E0000}"/>
    <hyperlink ref="I3630" r:id="rId3629" xr:uid="{00000000-0004-0000-0000-00002C0E0000}"/>
    <hyperlink ref="I3631" r:id="rId3630" xr:uid="{00000000-0004-0000-0000-00002D0E0000}"/>
    <hyperlink ref="I3632" r:id="rId3631" xr:uid="{00000000-0004-0000-0000-00002E0E0000}"/>
    <hyperlink ref="I3633" r:id="rId3632" xr:uid="{00000000-0004-0000-0000-00002F0E0000}"/>
    <hyperlink ref="I3634" r:id="rId3633" xr:uid="{00000000-0004-0000-0000-0000300E0000}"/>
    <hyperlink ref="I3635" r:id="rId3634" xr:uid="{00000000-0004-0000-0000-0000310E0000}"/>
    <hyperlink ref="I3636" r:id="rId3635" xr:uid="{00000000-0004-0000-0000-0000320E0000}"/>
    <hyperlink ref="I3637" r:id="rId3636" xr:uid="{00000000-0004-0000-0000-0000330E0000}"/>
    <hyperlink ref="I3638" r:id="rId3637" xr:uid="{00000000-0004-0000-0000-0000340E0000}"/>
    <hyperlink ref="I3639" r:id="rId3638" xr:uid="{00000000-0004-0000-0000-0000350E0000}"/>
    <hyperlink ref="I3640" r:id="rId3639" xr:uid="{00000000-0004-0000-0000-0000360E0000}"/>
    <hyperlink ref="I3641" r:id="rId3640" xr:uid="{00000000-0004-0000-0000-0000370E0000}"/>
    <hyperlink ref="I3642" r:id="rId3641" xr:uid="{00000000-0004-0000-0000-0000380E0000}"/>
    <hyperlink ref="I3643" r:id="rId3642" xr:uid="{00000000-0004-0000-0000-0000390E0000}"/>
    <hyperlink ref="I3644" r:id="rId3643" xr:uid="{00000000-0004-0000-0000-00003A0E0000}"/>
    <hyperlink ref="I3645" r:id="rId3644" xr:uid="{00000000-0004-0000-0000-00003B0E0000}"/>
    <hyperlink ref="I3646" r:id="rId3645" xr:uid="{00000000-0004-0000-0000-00003C0E0000}"/>
    <hyperlink ref="I3647" r:id="rId3646" xr:uid="{00000000-0004-0000-0000-00003D0E0000}"/>
    <hyperlink ref="I3648" r:id="rId3647" xr:uid="{00000000-0004-0000-0000-00003E0E0000}"/>
    <hyperlink ref="I3649" r:id="rId3648" xr:uid="{00000000-0004-0000-0000-00003F0E0000}"/>
    <hyperlink ref="I3650" r:id="rId3649" xr:uid="{00000000-0004-0000-0000-0000400E0000}"/>
    <hyperlink ref="I3651" r:id="rId3650" xr:uid="{00000000-0004-0000-0000-0000410E0000}"/>
    <hyperlink ref="I3652" r:id="rId3651" xr:uid="{00000000-0004-0000-0000-0000420E0000}"/>
    <hyperlink ref="I3653" r:id="rId3652" xr:uid="{00000000-0004-0000-0000-0000430E0000}"/>
    <hyperlink ref="I3654" r:id="rId3653" xr:uid="{00000000-0004-0000-0000-0000440E0000}"/>
    <hyperlink ref="I3655" r:id="rId3654" xr:uid="{00000000-0004-0000-0000-0000450E0000}"/>
    <hyperlink ref="I3656" r:id="rId3655" xr:uid="{00000000-0004-0000-0000-0000460E0000}"/>
    <hyperlink ref="I3657" r:id="rId3656" xr:uid="{00000000-0004-0000-0000-0000470E0000}"/>
    <hyperlink ref="I3658" r:id="rId3657" xr:uid="{00000000-0004-0000-0000-0000480E0000}"/>
    <hyperlink ref="I3659" r:id="rId3658" xr:uid="{00000000-0004-0000-0000-0000490E0000}"/>
    <hyperlink ref="I3660" r:id="rId3659" xr:uid="{00000000-0004-0000-0000-00004A0E0000}"/>
    <hyperlink ref="I3661" r:id="rId3660" xr:uid="{00000000-0004-0000-0000-00004B0E0000}"/>
    <hyperlink ref="I3662" r:id="rId3661" xr:uid="{00000000-0004-0000-0000-00004C0E0000}"/>
    <hyperlink ref="I3663" r:id="rId3662" xr:uid="{00000000-0004-0000-0000-00004D0E0000}"/>
    <hyperlink ref="I3664" r:id="rId3663" xr:uid="{00000000-0004-0000-0000-00004E0E0000}"/>
    <hyperlink ref="I3665" r:id="rId3664" xr:uid="{00000000-0004-0000-0000-00004F0E0000}"/>
    <hyperlink ref="I3666" r:id="rId3665" xr:uid="{00000000-0004-0000-0000-0000500E0000}"/>
    <hyperlink ref="I3667" r:id="rId3666" xr:uid="{00000000-0004-0000-0000-0000510E0000}"/>
    <hyperlink ref="I3668" r:id="rId3667" xr:uid="{00000000-0004-0000-0000-0000520E0000}"/>
    <hyperlink ref="I3669" r:id="rId3668" xr:uid="{00000000-0004-0000-0000-0000530E0000}"/>
    <hyperlink ref="I3670" r:id="rId3669" xr:uid="{00000000-0004-0000-0000-0000540E0000}"/>
    <hyperlink ref="I3671" r:id="rId3670" xr:uid="{00000000-0004-0000-0000-0000550E0000}"/>
    <hyperlink ref="I3672" r:id="rId3671" xr:uid="{00000000-0004-0000-0000-0000560E0000}"/>
    <hyperlink ref="I3673" r:id="rId3672" xr:uid="{00000000-0004-0000-0000-0000570E0000}"/>
    <hyperlink ref="I3674" r:id="rId3673" xr:uid="{00000000-0004-0000-0000-0000580E0000}"/>
    <hyperlink ref="I3675" r:id="rId3674" xr:uid="{00000000-0004-0000-0000-0000590E0000}"/>
    <hyperlink ref="I3676" r:id="rId3675" xr:uid="{00000000-0004-0000-0000-00005A0E0000}"/>
    <hyperlink ref="I3677" r:id="rId3676" xr:uid="{00000000-0004-0000-0000-00005B0E0000}"/>
    <hyperlink ref="I3678" r:id="rId3677" xr:uid="{00000000-0004-0000-0000-00005C0E0000}"/>
    <hyperlink ref="I3679" r:id="rId3678" xr:uid="{00000000-0004-0000-0000-00005D0E0000}"/>
    <hyperlink ref="I3680" r:id="rId3679" xr:uid="{00000000-0004-0000-0000-00005E0E0000}"/>
    <hyperlink ref="I3681" r:id="rId3680" xr:uid="{00000000-0004-0000-0000-00005F0E0000}"/>
    <hyperlink ref="I3682" r:id="rId3681" xr:uid="{00000000-0004-0000-0000-0000600E0000}"/>
    <hyperlink ref="I3683" r:id="rId3682" xr:uid="{00000000-0004-0000-0000-0000610E0000}"/>
    <hyperlink ref="I3684" r:id="rId3683" xr:uid="{00000000-0004-0000-0000-0000620E0000}"/>
    <hyperlink ref="I3685" r:id="rId3684" xr:uid="{00000000-0004-0000-0000-0000630E0000}"/>
    <hyperlink ref="I3686" r:id="rId3685" xr:uid="{00000000-0004-0000-0000-0000640E0000}"/>
    <hyperlink ref="I3687" r:id="rId3686" xr:uid="{00000000-0004-0000-0000-0000650E0000}"/>
    <hyperlink ref="I3688" r:id="rId3687" xr:uid="{00000000-0004-0000-0000-0000660E0000}"/>
    <hyperlink ref="I3689" r:id="rId3688" xr:uid="{00000000-0004-0000-0000-0000670E0000}"/>
    <hyperlink ref="I3690" r:id="rId3689" xr:uid="{00000000-0004-0000-0000-0000680E0000}"/>
    <hyperlink ref="I3691" r:id="rId3690" xr:uid="{00000000-0004-0000-0000-0000690E0000}"/>
    <hyperlink ref="I3692" r:id="rId3691" xr:uid="{00000000-0004-0000-0000-00006A0E0000}"/>
    <hyperlink ref="I3693" r:id="rId3692" xr:uid="{00000000-0004-0000-0000-00006B0E0000}"/>
    <hyperlink ref="I3694" r:id="rId3693" xr:uid="{00000000-0004-0000-0000-00006C0E0000}"/>
    <hyperlink ref="I3695" r:id="rId3694" xr:uid="{00000000-0004-0000-0000-00006D0E0000}"/>
    <hyperlink ref="I3696" r:id="rId3695" xr:uid="{00000000-0004-0000-0000-00006E0E0000}"/>
    <hyperlink ref="I3697" r:id="rId3696" xr:uid="{00000000-0004-0000-0000-00006F0E0000}"/>
    <hyperlink ref="I3698" r:id="rId3697" xr:uid="{00000000-0004-0000-0000-0000700E0000}"/>
    <hyperlink ref="I3699" r:id="rId3698" xr:uid="{00000000-0004-0000-0000-0000710E0000}"/>
    <hyperlink ref="I3700" r:id="rId3699" xr:uid="{00000000-0004-0000-0000-0000720E0000}"/>
    <hyperlink ref="I3701" r:id="rId3700" xr:uid="{00000000-0004-0000-0000-0000730E0000}"/>
    <hyperlink ref="I3702" r:id="rId3701" xr:uid="{00000000-0004-0000-0000-0000740E0000}"/>
    <hyperlink ref="I3703" r:id="rId3702" xr:uid="{00000000-0004-0000-0000-0000750E0000}"/>
    <hyperlink ref="I3704" r:id="rId3703" xr:uid="{00000000-0004-0000-0000-0000760E0000}"/>
    <hyperlink ref="I3705" r:id="rId3704" xr:uid="{00000000-0004-0000-0000-0000770E0000}"/>
    <hyperlink ref="I3706" r:id="rId3705" xr:uid="{00000000-0004-0000-0000-0000780E0000}"/>
    <hyperlink ref="I3707" r:id="rId3706" xr:uid="{00000000-0004-0000-0000-0000790E0000}"/>
    <hyperlink ref="I3708" r:id="rId3707" xr:uid="{00000000-0004-0000-0000-00007A0E0000}"/>
    <hyperlink ref="I3709" r:id="rId3708" xr:uid="{00000000-0004-0000-0000-00007B0E0000}"/>
    <hyperlink ref="I3710" r:id="rId3709" xr:uid="{00000000-0004-0000-0000-00007C0E0000}"/>
    <hyperlink ref="I3711" r:id="rId3710" xr:uid="{00000000-0004-0000-0000-00007D0E0000}"/>
    <hyperlink ref="I3712" r:id="rId3711" xr:uid="{00000000-0004-0000-0000-00007E0E0000}"/>
    <hyperlink ref="I3713" r:id="rId3712" xr:uid="{00000000-0004-0000-0000-00007F0E0000}"/>
    <hyperlink ref="I3714" r:id="rId3713" xr:uid="{00000000-0004-0000-0000-0000800E0000}"/>
    <hyperlink ref="I3715" r:id="rId3714" xr:uid="{00000000-0004-0000-0000-0000810E0000}"/>
    <hyperlink ref="I3716" r:id="rId3715" xr:uid="{00000000-0004-0000-0000-0000820E0000}"/>
    <hyperlink ref="I3717" r:id="rId3716" xr:uid="{00000000-0004-0000-0000-0000830E0000}"/>
    <hyperlink ref="I3718" r:id="rId3717" xr:uid="{00000000-0004-0000-0000-0000840E0000}"/>
    <hyperlink ref="I3719" r:id="rId3718" xr:uid="{00000000-0004-0000-0000-0000850E0000}"/>
    <hyperlink ref="I3720" r:id="rId3719" xr:uid="{00000000-0004-0000-0000-0000860E0000}"/>
    <hyperlink ref="I3721" r:id="rId3720" xr:uid="{00000000-0004-0000-0000-0000870E0000}"/>
    <hyperlink ref="I3722" r:id="rId3721" xr:uid="{00000000-0004-0000-0000-0000880E0000}"/>
    <hyperlink ref="I3723" r:id="rId3722" xr:uid="{00000000-0004-0000-0000-0000890E0000}"/>
    <hyperlink ref="I3724" r:id="rId3723" xr:uid="{00000000-0004-0000-0000-00008A0E0000}"/>
    <hyperlink ref="I3725" r:id="rId3724" xr:uid="{00000000-0004-0000-0000-00008B0E0000}"/>
    <hyperlink ref="I3726" r:id="rId3725" xr:uid="{00000000-0004-0000-0000-00008C0E0000}"/>
    <hyperlink ref="I3727" r:id="rId3726" xr:uid="{00000000-0004-0000-0000-00008D0E0000}"/>
    <hyperlink ref="I3728" r:id="rId3727" xr:uid="{00000000-0004-0000-0000-00008E0E0000}"/>
    <hyperlink ref="I3729" r:id="rId3728" xr:uid="{00000000-0004-0000-0000-00008F0E0000}"/>
    <hyperlink ref="I3730" r:id="rId3729" xr:uid="{00000000-0004-0000-0000-0000900E0000}"/>
    <hyperlink ref="I3731" r:id="rId3730" xr:uid="{00000000-0004-0000-0000-0000910E0000}"/>
    <hyperlink ref="I3732" r:id="rId3731" xr:uid="{00000000-0004-0000-0000-0000920E0000}"/>
    <hyperlink ref="I3733" r:id="rId3732" xr:uid="{00000000-0004-0000-0000-0000930E0000}"/>
    <hyperlink ref="I3734" r:id="rId3733" xr:uid="{00000000-0004-0000-0000-0000940E0000}"/>
    <hyperlink ref="I3735" r:id="rId3734" xr:uid="{00000000-0004-0000-0000-0000950E0000}"/>
    <hyperlink ref="I3736" r:id="rId3735" xr:uid="{00000000-0004-0000-0000-0000960E0000}"/>
    <hyperlink ref="I3737" r:id="rId3736" xr:uid="{00000000-0004-0000-0000-0000970E0000}"/>
    <hyperlink ref="I3738" r:id="rId3737" xr:uid="{00000000-0004-0000-0000-0000980E0000}"/>
    <hyperlink ref="I3739" r:id="rId3738" xr:uid="{00000000-0004-0000-0000-0000990E0000}"/>
    <hyperlink ref="I3740" r:id="rId3739" xr:uid="{00000000-0004-0000-0000-00009A0E0000}"/>
    <hyperlink ref="I3741" r:id="rId3740" xr:uid="{00000000-0004-0000-0000-00009B0E0000}"/>
    <hyperlink ref="I3742" r:id="rId3741" xr:uid="{00000000-0004-0000-0000-00009C0E0000}"/>
    <hyperlink ref="I3743" r:id="rId3742" xr:uid="{00000000-0004-0000-0000-00009D0E0000}"/>
    <hyperlink ref="I3744" r:id="rId3743" xr:uid="{00000000-0004-0000-0000-00009E0E0000}"/>
    <hyperlink ref="I3745" r:id="rId3744" xr:uid="{00000000-0004-0000-0000-00009F0E0000}"/>
    <hyperlink ref="I3746" r:id="rId3745" xr:uid="{00000000-0004-0000-0000-0000A00E0000}"/>
    <hyperlink ref="I3747" r:id="rId3746" xr:uid="{00000000-0004-0000-0000-0000A10E0000}"/>
    <hyperlink ref="I3748" r:id="rId3747" xr:uid="{00000000-0004-0000-0000-0000A20E0000}"/>
    <hyperlink ref="I3749" r:id="rId3748" xr:uid="{00000000-0004-0000-0000-0000A30E0000}"/>
    <hyperlink ref="I3750" r:id="rId3749" xr:uid="{00000000-0004-0000-0000-0000A40E0000}"/>
    <hyperlink ref="I3751" r:id="rId3750" xr:uid="{00000000-0004-0000-0000-0000A50E0000}"/>
    <hyperlink ref="I3752" r:id="rId3751" xr:uid="{00000000-0004-0000-0000-0000A60E0000}"/>
    <hyperlink ref="I3753" r:id="rId3752" xr:uid="{00000000-0004-0000-0000-0000A70E0000}"/>
    <hyperlink ref="I3754" r:id="rId3753" xr:uid="{00000000-0004-0000-0000-0000A80E0000}"/>
    <hyperlink ref="I3755" r:id="rId3754" xr:uid="{00000000-0004-0000-0000-0000A90E0000}"/>
    <hyperlink ref="I3756" r:id="rId3755" xr:uid="{00000000-0004-0000-0000-0000AA0E0000}"/>
    <hyperlink ref="I3757" r:id="rId3756" xr:uid="{00000000-0004-0000-0000-0000AB0E0000}"/>
    <hyperlink ref="I3758" r:id="rId3757" xr:uid="{00000000-0004-0000-0000-0000AC0E0000}"/>
    <hyperlink ref="I3759" r:id="rId3758" xr:uid="{00000000-0004-0000-0000-0000AD0E0000}"/>
    <hyperlink ref="I3760" r:id="rId3759" xr:uid="{00000000-0004-0000-0000-0000AE0E0000}"/>
    <hyperlink ref="I3761" r:id="rId3760" xr:uid="{00000000-0004-0000-0000-0000AF0E0000}"/>
    <hyperlink ref="I3762" r:id="rId3761" xr:uid="{00000000-0004-0000-0000-0000B00E0000}"/>
    <hyperlink ref="I3763" r:id="rId3762" xr:uid="{00000000-0004-0000-0000-0000B10E0000}"/>
    <hyperlink ref="I3764" r:id="rId3763" xr:uid="{00000000-0004-0000-0000-0000B20E0000}"/>
    <hyperlink ref="I3765" r:id="rId3764" xr:uid="{00000000-0004-0000-0000-0000B30E0000}"/>
    <hyperlink ref="I3766" r:id="rId3765" xr:uid="{00000000-0004-0000-0000-0000B40E0000}"/>
    <hyperlink ref="I3767" r:id="rId3766" xr:uid="{00000000-0004-0000-0000-0000B50E0000}"/>
    <hyperlink ref="I3768" r:id="rId3767" xr:uid="{00000000-0004-0000-0000-0000B60E0000}"/>
    <hyperlink ref="I3769" r:id="rId3768" xr:uid="{00000000-0004-0000-0000-0000B70E0000}"/>
    <hyperlink ref="I3770" r:id="rId3769" xr:uid="{00000000-0004-0000-0000-0000B80E0000}"/>
    <hyperlink ref="I3771" r:id="rId3770" xr:uid="{00000000-0004-0000-0000-0000B90E0000}"/>
    <hyperlink ref="I3772" r:id="rId3771" xr:uid="{00000000-0004-0000-0000-0000BA0E0000}"/>
    <hyperlink ref="I3773" r:id="rId3772" xr:uid="{00000000-0004-0000-0000-0000BB0E0000}"/>
    <hyperlink ref="I3774" r:id="rId3773" xr:uid="{00000000-0004-0000-0000-0000BC0E0000}"/>
    <hyperlink ref="I3775" r:id="rId3774" xr:uid="{00000000-0004-0000-0000-0000BD0E0000}"/>
    <hyperlink ref="I3776" r:id="rId3775" xr:uid="{00000000-0004-0000-0000-0000BE0E0000}"/>
    <hyperlink ref="I3777" r:id="rId3776" xr:uid="{00000000-0004-0000-0000-0000BF0E0000}"/>
    <hyperlink ref="I3778" r:id="rId3777" xr:uid="{00000000-0004-0000-0000-0000C00E0000}"/>
    <hyperlink ref="I3779" r:id="rId3778" xr:uid="{00000000-0004-0000-0000-0000C10E0000}"/>
    <hyperlink ref="I3780" r:id="rId3779" xr:uid="{00000000-0004-0000-0000-0000C20E0000}"/>
    <hyperlink ref="I3781" r:id="rId3780" xr:uid="{00000000-0004-0000-0000-0000C30E0000}"/>
    <hyperlink ref="I3782" r:id="rId3781" xr:uid="{00000000-0004-0000-0000-0000C40E0000}"/>
    <hyperlink ref="I3783" r:id="rId3782" xr:uid="{00000000-0004-0000-0000-0000C50E0000}"/>
    <hyperlink ref="I3784" r:id="rId3783" xr:uid="{00000000-0004-0000-0000-0000C60E0000}"/>
    <hyperlink ref="I3785" r:id="rId3784" xr:uid="{00000000-0004-0000-0000-0000C70E0000}"/>
    <hyperlink ref="I3786" r:id="rId3785" xr:uid="{00000000-0004-0000-0000-0000C80E0000}"/>
    <hyperlink ref="I3787" r:id="rId3786" xr:uid="{00000000-0004-0000-0000-0000C90E0000}"/>
    <hyperlink ref="I3788" r:id="rId3787" xr:uid="{00000000-0004-0000-0000-0000CA0E0000}"/>
    <hyperlink ref="I3789" r:id="rId3788" xr:uid="{00000000-0004-0000-0000-0000CB0E0000}"/>
    <hyperlink ref="I3790" r:id="rId3789" xr:uid="{00000000-0004-0000-0000-0000CC0E0000}"/>
    <hyperlink ref="I3791" r:id="rId3790" xr:uid="{00000000-0004-0000-0000-0000CD0E0000}"/>
    <hyperlink ref="I3792" r:id="rId3791" xr:uid="{00000000-0004-0000-0000-0000CE0E0000}"/>
    <hyperlink ref="I3793" r:id="rId3792" xr:uid="{00000000-0004-0000-0000-0000CF0E0000}"/>
    <hyperlink ref="I3794" r:id="rId3793" xr:uid="{00000000-0004-0000-0000-0000D00E0000}"/>
    <hyperlink ref="I3795" r:id="rId3794" xr:uid="{00000000-0004-0000-0000-0000D10E0000}"/>
    <hyperlink ref="I3796" r:id="rId3795" xr:uid="{00000000-0004-0000-0000-0000D20E0000}"/>
    <hyperlink ref="I3797" r:id="rId3796" xr:uid="{00000000-0004-0000-0000-0000D30E0000}"/>
    <hyperlink ref="I3798" r:id="rId3797" xr:uid="{00000000-0004-0000-0000-0000D40E0000}"/>
    <hyperlink ref="I3799" r:id="rId3798" xr:uid="{00000000-0004-0000-0000-0000D50E0000}"/>
    <hyperlink ref="I3800" r:id="rId3799" xr:uid="{00000000-0004-0000-0000-0000D60E0000}"/>
    <hyperlink ref="I3801" r:id="rId3800" xr:uid="{00000000-0004-0000-0000-0000D70E0000}"/>
    <hyperlink ref="I3802" r:id="rId3801" xr:uid="{00000000-0004-0000-0000-0000D80E0000}"/>
    <hyperlink ref="I3803" r:id="rId3802" xr:uid="{00000000-0004-0000-0000-0000D90E0000}"/>
    <hyperlink ref="I3804" r:id="rId3803" xr:uid="{00000000-0004-0000-0000-0000DA0E0000}"/>
    <hyperlink ref="I3805" r:id="rId3804" xr:uid="{00000000-0004-0000-0000-0000DB0E0000}"/>
    <hyperlink ref="I3806" r:id="rId3805" xr:uid="{00000000-0004-0000-0000-0000DC0E0000}"/>
    <hyperlink ref="I3807" r:id="rId3806" xr:uid="{00000000-0004-0000-0000-0000DD0E0000}"/>
    <hyperlink ref="I3808" r:id="rId3807" xr:uid="{00000000-0004-0000-0000-0000DE0E0000}"/>
    <hyperlink ref="I3809" r:id="rId3808" xr:uid="{00000000-0004-0000-0000-0000DF0E0000}"/>
    <hyperlink ref="I3810" r:id="rId3809" xr:uid="{00000000-0004-0000-0000-0000E00E0000}"/>
    <hyperlink ref="I3811" r:id="rId3810" xr:uid="{00000000-0004-0000-0000-0000E10E0000}"/>
    <hyperlink ref="I3812" r:id="rId3811" xr:uid="{00000000-0004-0000-0000-0000E20E0000}"/>
    <hyperlink ref="I3813" r:id="rId3812" xr:uid="{00000000-0004-0000-0000-0000E30E0000}"/>
    <hyperlink ref="I3814" r:id="rId3813" xr:uid="{00000000-0004-0000-0000-0000E40E0000}"/>
    <hyperlink ref="I3815" r:id="rId3814" xr:uid="{00000000-0004-0000-0000-0000E50E0000}"/>
    <hyperlink ref="I3816" r:id="rId3815" xr:uid="{00000000-0004-0000-0000-0000E60E0000}"/>
    <hyperlink ref="I3817" r:id="rId3816" xr:uid="{00000000-0004-0000-0000-0000E70E0000}"/>
    <hyperlink ref="I3818" r:id="rId3817" xr:uid="{00000000-0004-0000-0000-0000E80E0000}"/>
    <hyperlink ref="I3819" r:id="rId3818" xr:uid="{00000000-0004-0000-0000-0000E90E0000}"/>
    <hyperlink ref="I3820" r:id="rId3819" xr:uid="{00000000-0004-0000-0000-0000EA0E0000}"/>
    <hyperlink ref="I3821" r:id="rId3820" xr:uid="{00000000-0004-0000-0000-0000EB0E0000}"/>
    <hyperlink ref="I3822" r:id="rId3821" xr:uid="{00000000-0004-0000-0000-0000EC0E0000}"/>
    <hyperlink ref="I3823" r:id="rId3822" xr:uid="{00000000-0004-0000-0000-0000ED0E0000}"/>
    <hyperlink ref="I3824" r:id="rId3823" xr:uid="{00000000-0004-0000-0000-0000EE0E0000}"/>
    <hyperlink ref="I3825" r:id="rId3824" xr:uid="{00000000-0004-0000-0000-0000EF0E0000}"/>
    <hyperlink ref="I3826" r:id="rId3825" xr:uid="{00000000-0004-0000-0000-0000F00E0000}"/>
    <hyperlink ref="I3827" r:id="rId3826" xr:uid="{00000000-0004-0000-0000-0000F10E0000}"/>
    <hyperlink ref="I3828" r:id="rId3827" xr:uid="{00000000-0004-0000-0000-0000F20E0000}"/>
    <hyperlink ref="I3829" r:id="rId3828" xr:uid="{00000000-0004-0000-0000-0000F30E0000}"/>
    <hyperlink ref="I3830" r:id="rId3829" xr:uid="{00000000-0004-0000-0000-0000F40E0000}"/>
    <hyperlink ref="I3831" r:id="rId3830" xr:uid="{00000000-0004-0000-0000-0000F50E0000}"/>
    <hyperlink ref="I3832" r:id="rId3831" xr:uid="{00000000-0004-0000-0000-0000F60E0000}"/>
    <hyperlink ref="I3833" r:id="rId3832" xr:uid="{00000000-0004-0000-0000-0000F70E0000}"/>
    <hyperlink ref="I3834" r:id="rId3833" xr:uid="{00000000-0004-0000-0000-0000F80E0000}"/>
    <hyperlink ref="I3835" r:id="rId3834" xr:uid="{00000000-0004-0000-0000-0000F90E0000}"/>
    <hyperlink ref="I3836" r:id="rId3835" xr:uid="{00000000-0004-0000-0000-0000FA0E0000}"/>
    <hyperlink ref="I3837" r:id="rId3836" xr:uid="{00000000-0004-0000-0000-0000FB0E0000}"/>
    <hyperlink ref="I3838" r:id="rId3837" xr:uid="{00000000-0004-0000-0000-0000FC0E0000}"/>
    <hyperlink ref="I3839" r:id="rId3838" xr:uid="{00000000-0004-0000-0000-0000FD0E0000}"/>
    <hyperlink ref="I3840" r:id="rId3839" xr:uid="{00000000-0004-0000-0000-0000FE0E0000}"/>
    <hyperlink ref="I3841" r:id="rId3840" xr:uid="{00000000-0004-0000-0000-0000FF0E0000}"/>
    <hyperlink ref="I3842" r:id="rId3841" xr:uid="{00000000-0004-0000-0000-0000000F0000}"/>
    <hyperlink ref="I3843" r:id="rId3842" xr:uid="{00000000-0004-0000-0000-0000010F0000}"/>
    <hyperlink ref="I3844" r:id="rId3843" xr:uid="{00000000-0004-0000-0000-0000020F0000}"/>
    <hyperlink ref="I3845" r:id="rId3844" xr:uid="{00000000-0004-0000-0000-0000030F0000}"/>
    <hyperlink ref="I3846" r:id="rId3845" xr:uid="{00000000-0004-0000-0000-0000040F0000}"/>
    <hyperlink ref="I3847" r:id="rId3846" xr:uid="{00000000-0004-0000-0000-0000050F0000}"/>
    <hyperlink ref="I3848" r:id="rId3847" xr:uid="{00000000-0004-0000-0000-0000060F0000}"/>
    <hyperlink ref="I3849" r:id="rId3848" xr:uid="{00000000-0004-0000-0000-0000070F0000}"/>
    <hyperlink ref="I3850" r:id="rId3849" xr:uid="{00000000-0004-0000-0000-0000080F0000}"/>
    <hyperlink ref="I3851" r:id="rId3850" xr:uid="{00000000-0004-0000-0000-0000090F0000}"/>
    <hyperlink ref="I3852" r:id="rId3851" xr:uid="{00000000-0004-0000-0000-00000A0F0000}"/>
    <hyperlink ref="I3853" r:id="rId3852" xr:uid="{00000000-0004-0000-0000-00000B0F0000}"/>
    <hyperlink ref="I3854" r:id="rId3853" xr:uid="{00000000-0004-0000-0000-00000C0F0000}"/>
    <hyperlink ref="I3855" r:id="rId3854" xr:uid="{00000000-0004-0000-0000-00000D0F0000}"/>
    <hyperlink ref="I3856" r:id="rId3855" xr:uid="{00000000-0004-0000-0000-00000E0F0000}"/>
    <hyperlink ref="I3857" r:id="rId3856" xr:uid="{00000000-0004-0000-0000-00000F0F0000}"/>
    <hyperlink ref="I3858" r:id="rId3857" xr:uid="{00000000-0004-0000-0000-0000100F0000}"/>
    <hyperlink ref="I3859" r:id="rId3858" xr:uid="{00000000-0004-0000-0000-0000110F0000}"/>
    <hyperlink ref="I3860" r:id="rId3859" xr:uid="{00000000-0004-0000-0000-0000120F0000}"/>
    <hyperlink ref="I3861" r:id="rId3860" xr:uid="{00000000-0004-0000-0000-0000130F0000}"/>
    <hyperlink ref="I3862" r:id="rId3861" xr:uid="{00000000-0004-0000-0000-0000140F0000}"/>
    <hyperlink ref="I3863" r:id="rId3862" xr:uid="{00000000-0004-0000-0000-0000150F0000}"/>
    <hyperlink ref="I3864" r:id="rId3863" xr:uid="{00000000-0004-0000-0000-0000160F0000}"/>
    <hyperlink ref="I3865" r:id="rId3864" xr:uid="{00000000-0004-0000-0000-0000170F0000}"/>
    <hyperlink ref="I3866" r:id="rId3865" xr:uid="{00000000-0004-0000-0000-0000180F0000}"/>
    <hyperlink ref="I3867" r:id="rId3866" xr:uid="{00000000-0004-0000-0000-0000190F0000}"/>
    <hyperlink ref="I3868" r:id="rId3867" xr:uid="{00000000-0004-0000-0000-00001A0F0000}"/>
    <hyperlink ref="I3869" r:id="rId3868" xr:uid="{00000000-0004-0000-0000-00001B0F0000}"/>
    <hyperlink ref="I3870" r:id="rId3869" xr:uid="{00000000-0004-0000-0000-00001C0F0000}"/>
    <hyperlink ref="I3871" r:id="rId3870" xr:uid="{00000000-0004-0000-0000-00001D0F0000}"/>
    <hyperlink ref="I3872" r:id="rId3871" xr:uid="{00000000-0004-0000-0000-00001E0F0000}"/>
    <hyperlink ref="I3873" r:id="rId3872" xr:uid="{00000000-0004-0000-0000-00001F0F0000}"/>
    <hyperlink ref="I3874" r:id="rId3873" xr:uid="{00000000-0004-0000-0000-0000200F0000}"/>
    <hyperlink ref="I3875" r:id="rId3874" xr:uid="{00000000-0004-0000-0000-0000210F0000}"/>
    <hyperlink ref="I3876" r:id="rId3875" xr:uid="{00000000-0004-0000-0000-0000220F0000}"/>
    <hyperlink ref="I3877" r:id="rId3876" xr:uid="{00000000-0004-0000-0000-0000230F0000}"/>
    <hyperlink ref="I3878" r:id="rId3877" xr:uid="{00000000-0004-0000-0000-0000240F0000}"/>
    <hyperlink ref="I3879" r:id="rId3878" xr:uid="{00000000-0004-0000-0000-0000250F0000}"/>
    <hyperlink ref="I3880" r:id="rId3879" xr:uid="{00000000-0004-0000-0000-0000260F0000}"/>
    <hyperlink ref="I3881" r:id="rId3880" xr:uid="{00000000-0004-0000-0000-0000270F0000}"/>
    <hyperlink ref="I3882" r:id="rId3881" xr:uid="{00000000-0004-0000-0000-0000280F0000}"/>
    <hyperlink ref="I3883" r:id="rId3882" xr:uid="{00000000-0004-0000-0000-0000290F0000}"/>
    <hyperlink ref="I3884" r:id="rId3883" xr:uid="{00000000-0004-0000-0000-00002A0F0000}"/>
    <hyperlink ref="I3885" r:id="rId3884" xr:uid="{00000000-0004-0000-0000-00002B0F0000}"/>
    <hyperlink ref="I3886" r:id="rId3885" xr:uid="{00000000-0004-0000-0000-00002C0F0000}"/>
    <hyperlink ref="I3887" r:id="rId3886" xr:uid="{00000000-0004-0000-0000-00002D0F0000}"/>
    <hyperlink ref="I3888" r:id="rId3887" xr:uid="{00000000-0004-0000-0000-00002E0F0000}"/>
    <hyperlink ref="I3889" r:id="rId3888" xr:uid="{00000000-0004-0000-0000-00002F0F0000}"/>
    <hyperlink ref="I3890" r:id="rId3889" xr:uid="{00000000-0004-0000-0000-0000300F0000}"/>
    <hyperlink ref="I3891" r:id="rId3890" xr:uid="{00000000-0004-0000-0000-0000310F0000}"/>
    <hyperlink ref="I3892" r:id="rId3891" xr:uid="{00000000-0004-0000-0000-0000320F0000}"/>
    <hyperlink ref="I3893" r:id="rId3892" xr:uid="{00000000-0004-0000-0000-0000330F0000}"/>
    <hyperlink ref="I3894" r:id="rId3893" xr:uid="{00000000-0004-0000-0000-0000340F0000}"/>
    <hyperlink ref="I3895" r:id="rId3894" xr:uid="{00000000-0004-0000-0000-0000350F0000}"/>
    <hyperlink ref="I3896" r:id="rId3895" xr:uid="{00000000-0004-0000-0000-0000360F0000}"/>
    <hyperlink ref="I3897" r:id="rId3896" xr:uid="{00000000-0004-0000-0000-0000370F0000}"/>
    <hyperlink ref="I3898" r:id="rId3897" xr:uid="{00000000-0004-0000-0000-0000380F0000}"/>
    <hyperlink ref="I3899" r:id="rId3898" xr:uid="{00000000-0004-0000-0000-0000390F0000}"/>
    <hyperlink ref="I3900" r:id="rId3899" xr:uid="{00000000-0004-0000-0000-00003A0F0000}"/>
    <hyperlink ref="I3901" r:id="rId3900" xr:uid="{00000000-0004-0000-0000-00003B0F0000}"/>
    <hyperlink ref="I3902" r:id="rId3901" xr:uid="{00000000-0004-0000-0000-00003C0F0000}"/>
    <hyperlink ref="I3903" r:id="rId3902" xr:uid="{00000000-0004-0000-0000-00003D0F0000}"/>
    <hyperlink ref="I3904" r:id="rId3903" xr:uid="{00000000-0004-0000-0000-00003E0F0000}"/>
    <hyperlink ref="I3905" r:id="rId3904" xr:uid="{00000000-0004-0000-0000-00003F0F0000}"/>
    <hyperlink ref="I3906" r:id="rId3905" xr:uid="{00000000-0004-0000-0000-0000400F0000}"/>
    <hyperlink ref="I3907" r:id="rId3906" xr:uid="{00000000-0004-0000-0000-0000410F0000}"/>
    <hyperlink ref="I3908" r:id="rId3907" xr:uid="{00000000-0004-0000-0000-0000420F0000}"/>
    <hyperlink ref="I3909" r:id="rId3908" xr:uid="{00000000-0004-0000-0000-0000430F0000}"/>
    <hyperlink ref="I3910" r:id="rId3909" xr:uid="{00000000-0004-0000-0000-0000440F0000}"/>
    <hyperlink ref="I3911" r:id="rId3910" xr:uid="{00000000-0004-0000-0000-0000450F0000}"/>
    <hyperlink ref="I3912" r:id="rId3911" xr:uid="{00000000-0004-0000-0000-0000460F0000}"/>
    <hyperlink ref="I3913" r:id="rId3912" xr:uid="{00000000-0004-0000-0000-0000470F0000}"/>
    <hyperlink ref="I3914" r:id="rId3913" xr:uid="{00000000-0004-0000-0000-0000480F0000}"/>
    <hyperlink ref="I3915" r:id="rId3914" xr:uid="{00000000-0004-0000-0000-0000490F0000}"/>
    <hyperlink ref="I3916" r:id="rId3915" xr:uid="{00000000-0004-0000-0000-00004A0F0000}"/>
    <hyperlink ref="I3917" r:id="rId3916" xr:uid="{00000000-0004-0000-0000-00004B0F0000}"/>
    <hyperlink ref="I3918" r:id="rId3917" xr:uid="{00000000-0004-0000-0000-00004C0F0000}"/>
    <hyperlink ref="I3919" r:id="rId3918" xr:uid="{00000000-0004-0000-0000-00004D0F0000}"/>
    <hyperlink ref="I3920" r:id="rId3919" xr:uid="{00000000-0004-0000-0000-00004E0F0000}"/>
    <hyperlink ref="I3921" r:id="rId3920" xr:uid="{00000000-0004-0000-0000-00004F0F0000}"/>
    <hyperlink ref="I3922" r:id="rId3921" xr:uid="{00000000-0004-0000-0000-0000500F0000}"/>
    <hyperlink ref="I3923" r:id="rId3922" xr:uid="{00000000-0004-0000-0000-0000510F0000}"/>
    <hyperlink ref="I3924" r:id="rId3923" xr:uid="{00000000-0004-0000-0000-0000520F0000}"/>
    <hyperlink ref="I3925" r:id="rId3924" display="https://www.google.com/search?q=site%3Aunl.pt%20Ensino%20de%20Ingl%C3%AAs%20e%20de%20L%C3%ADngua%20Estrangeira%20no%203.%C2%BA%20Ciclo%20do%20Ensino%20B%C3%A1sico%20e%20no%20Ensino%20Secund%C3%A1rio%2C%20nas%20%C3%A1reas%20de%20especializa%C3%A7%C3%A3o%20de%20Franc%C3%AAs%20ou%20de%20Espanhol%20ou%20de%20Alem%C3%A3o%20mestrado" xr:uid="{00000000-0004-0000-0000-0000530F0000}"/>
    <hyperlink ref="I3926" r:id="rId3925" xr:uid="{00000000-0004-0000-0000-0000540F0000}"/>
    <hyperlink ref="I3927" r:id="rId3926" xr:uid="{00000000-0004-0000-0000-0000550F0000}"/>
    <hyperlink ref="I3928" r:id="rId3927" display="https://www.google.com/search?q=site%3Aunl.pt%20Ensino%20de%20Portugu%C3%AAs%20e%20de%20L%C3%ADngua%20Estrangeira%20no%203.%C2%BA%20Ciclo%20do%20Ensino%20B%C3%A1sico%20e%20no%20Ensino%20Secund%C3%A1rio%2C%20nas%20%C3%A1reas%20de%20especializa%C3%A7%C3%A3o%20de%20Ingl%C3%AAs%2C%20ou%20Franc%C3%AAs%2C%20ou%20Espanhol%20ou%20Alem%C3%A3o%20mestrado" xr:uid="{00000000-0004-0000-0000-0000560F0000}"/>
    <hyperlink ref="I3929" r:id="rId3928" xr:uid="{00000000-0004-0000-0000-0000570F0000}"/>
    <hyperlink ref="I3930" r:id="rId3929" xr:uid="{00000000-0004-0000-0000-0000580F0000}"/>
    <hyperlink ref="I3931" r:id="rId3930" xr:uid="{00000000-0004-0000-0000-0000590F0000}"/>
    <hyperlink ref="I3932" r:id="rId3931" xr:uid="{00000000-0004-0000-0000-00005A0F0000}"/>
    <hyperlink ref="I3933" r:id="rId3932" xr:uid="{00000000-0004-0000-0000-00005B0F0000}"/>
    <hyperlink ref="I3934" r:id="rId3933" xr:uid="{00000000-0004-0000-0000-00005C0F0000}"/>
    <hyperlink ref="I3935" r:id="rId3934" xr:uid="{00000000-0004-0000-0000-00005D0F0000}"/>
    <hyperlink ref="I3936" r:id="rId3935" xr:uid="{00000000-0004-0000-0000-00005E0F0000}"/>
    <hyperlink ref="I3937" r:id="rId3936" xr:uid="{00000000-0004-0000-0000-00005F0F0000}"/>
    <hyperlink ref="I3938" r:id="rId3937" xr:uid="{00000000-0004-0000-0000-0000600F0000}"/>
    <hyperlink ref="I3939" r:id="rId3938" xr:uid="{00000000-0004-0000-0000-0000610F0000}"/>
    <hyperlink ref="I3940" r:id="rId3939" xr:uid="{00000000-0004-0000-0000-0000620F0000}"/>
    <hyperlink ref="I3941" r:id="rId3940" xr:uid="{00000000-0004-0000-0000-0000630F0000}"/>
    <hyperlink ref="I3942" r:id="rId3941" xr:uid="{00000000-0004-0000-0000-0000640F0000}"/>
    <hyperlink ref="I3943" r:id="rId3942" xr:uid="{00000000-0004-0000-0000-0000650F0000}"/>
    <hyperlink ref="I3944" r:id="rId3943" xr:uid="{00000000-0004-0000-0000-0000660F0000}"/>
    <hyperlink ref="I3945" r:id="rId3944" xr:uid="{00000000-0004-0000-0000-0000670F0000}"/>
    <hyperlink ref="I3946" r:id="rId3945" xr:uid="{00000000-0004-0000-0000-0000680F0000}"/>
    <hyperlink ref="I3947" r:id="rId3946" xr:uid="{00000000-0004-0000-0000-0000690F0000}"/>
    <hyperlink ref="I3948" r:id="rId3947" xr:uid="{00000000-0004-0000-0000-00006A0F0000}"/>
    <hyperlink ref="I3949" r:id="rId3948" xr:uid="{00000000-0004-0000-0000-00006B0F0000}"/>
    <hyperlink ref="I3950" r:id="rId3949" xr:uid="{00000000-0004-0000-0000-00006C0F0000}"/>
    <hyperlink ref="I3951" r:id="rId3950" xr:uid="{00000000-0004-0000-0000-00006D0F0000}"/>
    <hyperlink ref="I3952" r:id="rId3951" xr:uid="{00000000-0004-0000-0000-00006E0F0000}"/>
    <hyperlink ref="I3953" r:id="rId3952" xr:uid="{00000000-0004-0000-0000-00006F0F0000}"/>
    <hyperlink ref="I3954" r:id="rId3953" xr:uid="{00000000-0004-0000-0000-0000700F0000}"/>
    <hyperlink ref="I3955" r:id="rId3954" xr:uid="{00000000-0004-0000-0000-0000710F0000}"/>
    <hyperlink ref="I3956" r:id="rId3955" xr:uid="{00000000-0004-0000-0000-0000720F0000}"/>
    <hyperlink ref="I3957" r:id="rId3956" xr:uid="{00000000-0004-0000-0000-0000730F0000}"/>
    <hyperlink ref="I3958" r:id="rId3957" xr:uid="{00000000-0004-0000-0000-0000740F0000}"/>
    <hyperlink ref="I3959" r:id="rId3958" xr:uid="{00000000-0004-0000-0000-0000750F0000}"/>
    <hyperlink ref="I3960" r:id="rId3959" xr:uid="{00000000-0004-0000-0000-0000760F0000}"/>
    <hyperlink ref="I3961" r:id="rId3960" xr:uid="{00000000-0004-0000-0000-0000770F0000}"/>
    <hyperlink ref="I3962" r:id="rId3961" xr:uid="{00000000-0004-0000-0000-0000780F0000}"/>
    <hyperlink ref="I3963" r:id="rId3962" xr:uid="{00000000-0004-0000-0000-0000790F0000}"/>
    <hyperlink ref="I3964" r:id="rId3963" xr:uid="{00000000-0004-0000-0000-00007A0F0000}"/>
    <hyperlink ref="I3965" r:id="rId3964" xr:uid="{00000000-0004-0000-0000-00007B0F0000}"/>
    <hyperlink ref="I3966" r:id="rId3965" xr:uid="{00000000-0004-0000-0000-00007C0F0000}"/>
    <hyperlink ref="I3967" r:id="rId3966" xr:uid="{00000000-0004-0000-0000-00007D0F0000}"/>
    <hyperlink ref="I3968" r:id="rId3967" xr:uid="{00000000-0004-0000-0000-00007E0F0000}"/>
    <hyperlink ref="I3969" r:id="rId3968" xr:uid="{00000000-0004-0000-0000-00007F0F0000}"/>
    <hyperlink ref="I3970" r:id="rId3969" xr:uid="{00000000-0004-0000-0000-0000800F0000}"/>
    <hyperlink ref="I3971" r:id="rId3970" xr:uid="{00000000-0004-0000-0000-0000810F0000}"/>
    <hyperlink ref="I3972" r:id="rId3971" xr:uid="{00000000-0004-0000-0000-0000820F0000}"/>
    <hyperlink ref="I3973" r:id="rId3972" xr:uid="{00000000-0004-0000-0000-0000830F0000}"/>
    <hyperlink ref="I3974" r:id="rId3973" xr:uid="{00000000-0004-0000-0000-0000840F0000}"/>
    <hyperlink ref="I3975" r:id="rId3974" xr:uid="{00000000-0004-0000-0000-0000850F0000}"/>
    <hyperlink ref="I3976" r:id="rId3975" xr:uid="{00000000-0004-0000-0000-0000860F0000}"/>
    <hyperlink ref="I3977" r:id="rId3976" xr:uid="{00000000-0004-0000-0000-0000870F0000}"/>
    <hyperlink ref="I3978" r:id="rId3977" xr:uid="{00000000-0004-0000-0000-0000880F0000}"/>
    <hyperlink ref="I3979" r:id="rId3978" xr:uid="{00000000-0004-0000-0000-0000890F0000}"/>
    <hyperlink ref="I3980" r:id="rId3979" xr:uid="{00000000-0004-0000-0000-00008A0F0000}"/>
    <hyperlink ref="I3981" r:id="rId3980" xr:uid="{00000000-0004-0000-0000-00008B0F0000}"/>
    <hyperlink ref="I3982" r:id="rId3981" xr:uid="{00000000-0004-0000-0000-00008C0F0000}"/>
    <hyperlink ref="I3983" r:id="rId3982" xr:uid="{00000000-0004-0000-0000-00008D0F0000}"/>
    <hyperlink ref="I3984" r:id="rId3983" xr:uid="{00000000-0004-0000-0000-00008E0F0000}"/>
    <hyperlink ref="I3985" r:id="rId3984" xr:uid="{00000000-0004-0000-0000-00008F0F0000}"/>
    <hyperlink ref="I3986" r:id="rId3985" xr:uid="{00000000-0004-0000-0000-0000900F0000}"/>
    <hyperlink ref="I3987" r:id="rId3986" xr:uid="{00000000-0004-0000-0000-0000910F0000}"/>
    <hyperlink ref="I3988" r:id="rId3987" xr:uid="{00000000-0004-0000-0000-0000920F0000}"/>
    <hyperlink ref="I3989" r:id="rId3988" xr:uid="{00000000-0004-0000-0000-0000930F0000}"/>
    <hyperlink ref="I3990" r:id="rId3989" xr:uid="{00000000-0004-0000-0000-0000940F0000}"/>
    <hyperlink ref="I3991" r:id="rId3990" xr:uid="{00000000-0004-0000-0000-0000950F0000}"/>
    <hyperlink ref="I3992" r:id="rId3991" xr:uid="{00000000-0004-0000-0000-0000960F0000}"/>
    <hyperlink ref="I3993" r:id="rId3992" xr:uid="{00000000-0004-0000-0000-0000970F0000}"/>
    <hyperlink ref="I3994" r:id="rId3993" xr:uid="{00000000-0004-0000-0000-0000980F0000}"/>
    <hyperlink ref="I3995" r:id="rId3994" xr:uid="{00000000-0004-0000-0000-0000990F0000}"/>
    <hyperlink ref="I3996" r:id="rId3995" xr:uid="{00000000-0004-0000-0000-00009A0F0000}"/>
    <hyperlink ref="I3997" r:id="rId3996" xr:uid="{00000000-0004-0000-0000-00009B0F0000}"/>
    <hyperlink ref="I3998" r:id="rId3997" xr:uid="{00000000-0004-0000-0000-00009C0F0000}"/>
    <hyperlink ref="I3999" r:id="rId3998" xr:uid="{00000000-0004-0000-0000-00009D0F0000}"/>
    <hyperlink ref="I4000" r:id="rId3999" xr:uid="{00000000-0004-0000-0000-00009E0F0000}"/>
    <hyperlink ref="I4001" r:id="rId4000" xr:uid="{00000000-0004-0000-0000-00009F0F0000}"/>
    <hyperlink ref="I4002" r:id="rId4001" xr:uid="{00000000-0004-0000-0000-0000A00F0000}"/>
    <hyperlink ref="I4003" r:id="rId4002" xr:uid="{00000000-0004-0000-0000-0000A10F0000}"/>
    <hyperlink ref="I4004" r:id="rId4003" xr:uid="{00000000-0004-0000-0000-0000A20F0000}"/>
    <hyperlink ref="I4005" r:id="rId4004" xr:uid="{00000000-0004-0000-0000-0000A30F0000}"/>
    <hyperlink ref="I4006" r:id="rId4005" xr:uid="{00000000-0004-0000-0000-0000A40F0000}"/>
    <hyperlink ref="I4007" r:id="rId4006" xr:uid="{00000000-0004-0000-0000-0000A50F0000}"/>
    <hyperlink ref="I4008" r:id="rId4007" xr:uid="{00000000-0004-0000-0000-0000A60F0000}"/>
    <hyperlink ref="I4009" r:id="rId4008" xr:uid="{00000000-0004-0000-0000-0000A70F0000}"/>
    <hyperlink ref="I4010" r:id="rId4009" xr:uid="{00000000-0004-0000-0000-0000A80F0000}"/>
    <hyperlink ref="I4011" r:id="rId4010" xr:uid="{00000000-0004-0000-0000-0000A90F0000}"/>
    <hyperlink ref="I4012" r:id="rId4011" xr:uid="{00000000-0004-0000-0000-0000AA0F0000}"/>
    <hyperlink ref="I4013" r:id="rId4012" xr:uid="{00000000-0004-0000-0000-0000AB0F0000}"/>
    <hyperlink ref="I4014" r:id="rId4013" xr:uid="{00000000-0004-0000-0000-0000AC0F0000}"/>
    <hyperlink ref="I4015" r:id="rId4014" xr:uid="{00000000-0004-0000-0000-0000AD0F0000}"/>
    <hyperlink ref="I4016" r:id="rId4015" xr:uid="{00000000-0004-0000-0000-0000AE0F0000}"/>
    <hyperlink ref="I4017" r:id="rId4016" xr:uid="{00000000-0004-0000-0000-0000AF0F0000}"/>
    <hyperlink ref="I4018" r:id="rId4017" xr:uid="{00000000-0004-0000-0000-0000B00F0000}"/>
    <hyperlink ref="I4019" r:id="rId4018" xr:uid="{00000000-0004-0000-0000-0000B10F0000}"/>
    <hyperlink ref="I4020" r:id="rId4019" xr:uid="{00000000-0004-0000-0000-0000B20F0000}"/>
    <hyperlink ref="I4021" r:id="rId4020" xr:uid="{00000000-0004-0000-0000-0000B30F0000}"/>
    <hyperlink ref="I4022" r:id="rId4021" xr:uid="{00000000-0004-0000-0000-0000B40F0000}"/>
    <hyperlink ref="I4023" r:id="rId4022" xr:uid="{00000000-0004-0000-0000-0000B50F0000}"/>
    <hyperlink ref="I4024" r:id="rId4023" xr:uid="{00000000-0004-0000-0000-0000B60F0000}"/>
    <hyperlink ref="I4025" r:id="rId4024" xr:uid="{00000000-0004-0000-0000-0000B70F0000}"/>
    <hyperlink ref="I4026" r:id="rId4025" xr:uid="{00000000-0004-0000-0000-0000B80F0000}"/>
    <hyperlink ref="I4027" r:id="rId4026" xr:uid="{00000000-0004-0000-0000-0000B90F0000}"/>
    <hyperlink ref="I4028" r:id="rId4027" xr:uid="{00000000-0004-0000-0000-0000BA0F0000}"/>
    <hyperlink ref="I4029" r:id="rId4028" xr:uid="{00000000-0004-0000-0000-0000BB0F0000}"/>
    <hyperlink ref="I4030" r:id="rId4029" xr:uid="{00000000-0004-0000-0000-0000BC0F0000}"/>
    <hyperlink ref="I4031" r:id="rId4030" xr:uid="{00000000-0004-0000-0000-0000BD0F0000}"/>
    <hyperlink ref="I4032" r:id="rId4031" xr:uid="{00000000-0004-0000-0000-0000BE0F0000}"/>
    <hyperlink ref="I4033" r:id="rId4032" xr:uid="{00000000-0004-0000-0000-0000BF0F0000}"/>
    <hyperlink ref="I4034" r:id="rId4033" xr:uid="{00000000-0004-0000-0000-0000C00F0000}"/>
    <hyperlink ref="I4035" r:id="rId4034" xr:uid="{00000000-0004-0000-0000-0000C10F0000}"/>
    <hyperlink ref="I4036" r:id="rId4035" xr:uid="{00000000-0004-0000-0000-0000C20F0000}"/>
    <hyperlink ref="I4037" r:id="rId4036" xr:uid="{00000000-0004-0000-0000-0000C30F0000}"/>
    <hyperlink ref="I4038" r:id="rId4037" xr:uid="{00000000-0004-0000-0000-0000C40F0000}"/>
    <hyperlink ref="I4039" r:id="rId4038" xr:uid="{00000000-0004-0000-0000-0000C50F0000}"/>
    <hyperlink ref="I4040" r:id="rId4039" xr:uid="{00000000-0004-0000-0000-0000C60F0000}"/>
    <hyperlink ref="I4041" r:id="rId4040" xr:uid="{00000000-0004-0000-0000-0000C70F0000}"/>
    <hyperlink ref="I4042" r:id="rId4041" xr:uid="{00000000-0004-0000-0000-0000C80F0000}"/>
    <hyperlink ref="I4043" r:id="rId4042" xr:uid="{00000000-0004-0000-0000-0000C90F0000}"/>
    <hyperlink ref="I4044" r:id="rId4043" xr:uid="{00000000-0004-0000-0000-0000CA0F0000}"/>
    <hyperlink ref="I4045" r:id="rId4044" xr:uid="{00000000-0004-0000-0000-0000CB0F0000}"/>
    <hyperlink ref="I4046" r:id="rId4045" xr:uid="{00000000-0004-0000-0000-0000CC0F0000}"/>
    <hyperlink ref="I4047" r:id="rId4046" xr:uid="{00000000-0004-0000-0000-0000CD0F0000}"/>
    <hyperlink ref="I4048" r:id="rId4047" xr:uid="{00000000-0004-0000-0000-0000CE0F0000}"/>
    <hyperlink ref="I4049" r:id="rId4048" xr:uid="{00000000-0004-0000-0000-0000CF0F0000}"/>
    <hyperlink ref="I4050" r:id="rId4049" xr:uid="{00000000-0004-0000-0000-0000D00F0000}"/>
    <hyperlink ref="I4051" r:id="rId4050" xr:uid="{00000000-0004-0000-0000-0000D10F0000}"/>
    <hyperlink ref="I4052" r:id="rId4051" xr:uid="{00000000-0004-0000-0000-0000D20F0000}"/>
    <hyperlink ref="I4053" r:id="rId4052" xr:uid="{00000000-0004-0000-0000-0000D30F0000}"/>
    <hyperlink ref="I4054" r:id="rId4053" xr:uid="{00000000-0004-0000-0000-0000D40F0000}"/>
    <hyperlink ref="I4055" r:id="rId4054" xr:uid="{00000000-0004-0000-0000-0000D50F0000}"/>
    <hyperlink ref="I4056" r:id="rId4055" xr:uid="{00000000-0004-0000-0000-0000D60F0000}"/>
    <hyperlink ref="I4057" r:id="rId4056" xr:uid="{00000000-0004-0000-0000-0000D70F0000}"/>
    <hyperlink ref="I4058" r:id="rId4057" xr:uid="{00000000-0004-0000-0000-0000D80F0000}"/>
    <hyperlink ref="I4059" r:id="rId4058" xr:uid="{00000000-0004-0000-0000-0000D90F0000}"/>
    <hyperlink ref="I4060" r:id="rId4059" xr:uid="{00000000-0004-0000-0000-0000DA0F0000}"/>
    <hyperlink ref="I4061" r:id="rId4060" xr:uid="{00000000-0004-0000-0000-0000DB0F0000}"/>
    <hyperlink ref="I4062" r:id="rId4061" xr:uid="{00000000-0004-0000-0000-0000DC0F0000}"/>
    <hyperlink ref="I4063" r:id="rId4062" xr:uid="{00000000-0004-0000-0000-0000DD0F0000}"/>
    <hyperlink ref="I4064" r:id="rId4063" xr:uid="{00000000-0004-0000-0000-0000DE0F0000}"/>
    <hyperlink ref="I4065" r:id="rId4064" xr:uid="{00000000-0004-0000-0000-0000DF0F0000}"/>
    <hyperlink ref="I4066" r:id="rId4065" xr:uid="{00000000-0004-0000-0000-0000E00F0000}"/>
    <hyperlink ref="I4067" r:id="rId4066" xr:uid="{00000000-0004-0000-0000-0000E10F0000}"/>
    <hyperlink ref="I4068" r:id="rId4067" xr:uid="{00000000-0004-0000-0000-0000E20F0000}"/>
    <hyperlink ref="I4069" r:id="rId4068" xr:uid="{00000000-0004-0000-0000-0000E30F0000}"/>
    <hyperlink ref="I4070" r:id="rId4069" xr:uid="{00000000-0004-0000-0000-0000E40F0000}"/>
    <hyperlink ref="I4071" r:id="rId4070" xr:uid="{00000000-0004-0000-0000-0000E50F0000}"/>
    <hyperlink ref="I4072" r:id="rId4071" xr:uid="{00000000-0004-0000-0000-0000E60F0000}"/>
    <hyperlink ref="I4073" r:id="rId4072" xr:uid="{00000000-0004-0000-0000-0000E70F0000}"/>
    <hyperlink ref="I4074" r:id="rId4073" xr:uid="{00000000-0004-0000-0000-0000E80F0000}"/>
    <hyperlink ref="I4075" r:id="rId4074" xr:uid="{00000000-0004-0000-0000-0000E90F0000}"/>
    <hyperlink ref="I4076" r:id="rId4075" xr:uid="{00000000-0004-0000-0000-0000EA0F0000}"/>
    <hyperlink ref="I4077" r:id="rId4076" xr:uid="{00000000-0004-0000-0000-0000EB0F0000}"/>
    <hyperlink ref="I4078" r:id="rId4077" xr:uid="{00000000-0004-0000-0000-0000EC0F0000}"/>
    <hyperlink ref="I4079" r:id="rId4078" xr:uid="{00000000-0004-0000-0000-0000ED0F0000}"/>
    <hyperlink ref="I4080" r:id="rId4079" xr:uid="{00000000-0004-0000-0000-0000EE0F0000}"/>
    <hyperlink ref="I4081" r:id="rId4080" xr:uid="{00000000-0004-0000-0000-0000EF0F0000}"/>
    <hyperlink ref="I4082" r:id="rId4081" xr:uid="{00000000-0004-0000-0000-0000F00F0000}"/>
    <hyperlink ref="I4083" r:id="rId4082" xr:uid="{00000000-0004-0000-0000-0000F10F0000}"/>
    <hyperlink ref="I4084" r:id="rId4083" xr:uid="{00000000-0004-0000-0000-0000F20F0000}"/>
    <hyperlink ref="I4085" r:id="rId4084" xr:uid="{00000000-0004-0000-0000-0000F30F0000}"/>
    <hyperlink ref="I4086" r:id="rId4085" xr:uid="{00000000-0004-0000-0000-0000F40F0000}"/>
    <hyperlink ref="I4087" r:id="rId4086" xr:uid="{00000000-0004-0000-0000-0000F50F0000}"/>
    <hyperlink ref="I4088" r:id="rId4087" xr:uid="{00000000-0004-0000-0000-0000F60F0000}"/>
    <hyperlink ref="I4089" r:id="rId4088" xr:uid="{00000000-0004-0000-0000-0000F70F0000}"/>
    <hyperlink ref="I4090" r:id="rId4089" xr:uid="{00000000-0004-0000-0000-0000F80F0000}"/>
    <hyperlink ref="I4091" r:id="rId4090" xr:uid="{00000000-0004-0000-0000-0000F90F0000}"/>
    <hyperlink ref="I4092" r:id="rId4091" xr:uid="{00000000-0004-0000-0000-0000FA0F0000}"/>
    <hyperlink ref="I4093" r:id="rId4092" xr:uid="{00000000-0004-0000-0000-0000FB0F0000}"/>
    <hyperlink ref="I4094" r:id="rId4093" xr:uid="{00000000-0004-0000-0000-0000FC0F0000}"/>
    <hyperlink ref="I4095" r:id="rId4094" xr:uid="{00000000-0004-0000-0000-0000FD0F0000}"/>
    <hyperlink ref="I4096" r:id="rId4095" xr:uid="{00000000-0004-0000-0000-0000FE0F0000}"/>
    <hyperlink ref="I4097" r:id="rId4096" xr:uid="{00000000-0004-0000-0000-0000FF0F0000}"/>
    <hyperlink ref="I4098" r:id="rId4097" xr:uid="{00000000-0004-0000-0000-000000100000}"/>
    <hyperlink ref="I4099" r:id="rId4098" xr:uid="{00000000-0004-0000-0000-000001100000}"/>
    <hyperlink ref="I4100" r:id="rId4099" xr:uid="{00000000-0004-0000-0000-000002100000}"/>
    <hyperlink ref="I4101" r:id="rId4100" xr:uid="{00000000-0004-0000-0000-000003100000}"/>
    <hyperlink ref="I4102" r:id="rId4101" xr:uid="{00000000-0004-0000-0000-000004100000}"/>
    <hyperlink ref="I4103" r:id="rId4102" xr:uid="{00000000-0004-0000-0000-000005100000}"/>
    <hyperlink ref="I4104" r:id="rId4103" xr:uid="{00000000-0004-0000-0000-000006100000}"/>
    <hyperlink ref="I4105" r:id="rId4104" xr:uid="{00000000-0004-0000-0000-000007100000}"/>
    <hyperlink ref="I4106" r:id="rId4105" xr:uid="{00000000-0004-0000-0000-000008100000}"/>
    <hyperlink ref="I4107" r:id="rId4106" xr:uid="{00000000-0004-0000-0000-000009100000}"/>
    <hyperlink ref="I4108" r:id="rId4107" xr:uid="{00000000-0004-0000-0000-00000A100000}"/>
    <hyperlink ref="I4109" r:id="rId4108" xr:uid="{00000000-0004-0000-0000-00000B100000}"/>
    <hyperlink ref="I4110" r:id="rId4109" xr:uid="{00000000-0004-0000-0000-00000C100000}"/>
    <hyperlink ref="I4111" r:id="rId4110" xr:uid="{00000000-0004-0000-0000-00000D100000}"/>
    <hyperlink ref="I4112" r:id="rId4111" xr:uid="{00000000-0004-0000-0000-00000E100000}"/>
    <hyperlink ref="I4113" r:id="rId4112" xr:uid="{00000000-0004-0000-0000-00000F100000}"/>
    <hyperlink ref="I4114" r:id="rId4113" xr:uid="{00000000-0004-0000-0000-000010100000}"/>
    <hyperlink ref="I4115" r:id="rId4114" xr:uid="{00000000-0004-0000-0000-000011100000}"/>
    <hyperlink ref="I4116" r:id="rId4115" xr:uid="{00000000-0004-0000-0000-000012100000}"/>
    <hyperlink ref="I4117" r:id="rId4116" xr:uid="{00000000-0004-0000-0000-000013100000}"/>
    <hyperlink ref="I4118" r:id="rId4117" xr:uid="{00000000-0004-0000-0000-000014100000}"/>
    <hyperlink ref="I4119" r:id="rId4118" xr:uid="{00000000-0004-0000-0000-000015100000}"/>
    <hyperlink ref="I4120" r:id="rId4119" xr:uid="{00000000-0004-0000-0000-000016100000}"/>
    <hyperlink ref="I4121" r:id="rId4120" xr:uid="{00000000-0004-0000-0000-000017100000}"/>
    <hyperlink ref="I4122" r:id="rId4121" xr:uid="{00000000-0004-0000-0000-000018100000}"/>
    <hyperlink ref="I4123" r:id="rId4122" xr:uid="{00000000-0004-0000-0000-000019100000}"/>
    <hyperlink ref="I4124" r:id="rId4123" xr:uid="{00000000-0004-0000-0000-00001A100000}"/>
    <hyperlink ref="I4125" r:id="rId4124" xr:uid="{00000000-0004-0000-0000-00001B100000}"/>
    <hyperlink ref="I4126" r:id="rId4125" xr:uid="{00000000-0004-0000-0000-00001C100000}"/>
    <hyperlink ref="I4127" r:id="rId4126" xr:uid="{00000000-0004-0000-0000-00001D100000}"/>
    <hyperlink ref="I4128" r:id="rId4127" xr:uid="{00000000-0004-0000-0000-00001E100000}"/>
    <hyperlink ref="I4129" r:id="rId4128" xr:uid="{00000000-0004-0000-0000-00001F100000}"/>
    <hyperlink ref="I4130" r:id="rId4129" xr:uid="{00000000-0004-0000-0000-000020100000}"/>
    <hyperlink ref="I4131" r:id="rId4130" xr:uid="{00000000-0004-0000-0000-000021100000}"/>
    <hyperlink ref="I4132" r:id="rId4131" xr:uid="{00000000-0004-0000-0000-000022100000}"/>
    <hyperlink ref="I4133" r:id="rId4132" xr:uid="{00000000-0004-0000-0000-000023100000}"/>
    <hyperlink ref="I4134" r:id="rId4133" xr:uid="{00000000-0004-0000-0000-000024100000}"/>
    <hyperlink ref="I4135" r:id="rId4134" xr:uid="{00000000-0004-0000-0000-000025100000}"/>
    <hyperlink ref="I4136" r:id="rId4135" xr:uid="{00000000-0004-0000-0000-000026100000}"/>
    <hyperlink ref="I4137" r:id="rId4136" xr:uid="{00000000-0004-0000-0000-000027100000}"/>
    <hyperlink ref="I4138" r:id="rId4137" xr:uid="{00000000-0004-0000-0000-000028100000}"/>
    <hyperlink ref="I4139" r:id="rId4138" xr:uid="{00000000-0004-0000-0000-000029100000}"/>
    <hyperlink ref="I4140" r:id="rId4139" xr:uid="{00000000-0004-0000-0000-00002A100000}"/>
    <hyperlink ref="I4141" r:id="rId4140" xr:uid="{00000000-0004-0000-0000-00002B100000}"/>
    <hyperlink ref="I4142" r:id="rId4141" xr:uid="{00000000-0004-0000-0000-00002C100000}"/>
    <hyperlink ref="I4143" r:id="rId4142" xr:uid="{00000000-0004-0000-0000-00002D100000}"/>
    <hyperlink ref="I4144" r:id="rId4143" xr:uid="{00000000-0004-0000-0000-00002E100000}"/>
    <hyperlink ref="I4145" r:id="rId4144" xr:uid="{00000000-0004-0000-0000-00002F100000}"/>
    <hyperlink ref="I4146" r:id="rId4145" xr:uid="{00000000-0004-0000-0000-000030100000}"/>
    <hyperlink ref="I4147" r:id="rId4146" xr:uid="{00000000-0004-0000-0000-000031100000}"/>
    <hyperlink ref="I4148" r:id="rId4147" xr:uid="{00000000-0004-0000-0000-000032100000}"/>
    <hyperlink ref="I4149" r:id="rId4148" xr:uid="{00000000-0004-0000-0000-000033100000}"/>
    <hyperlink ref="I4150" r:id="rId4149" xr:uid="{00000000-0004-0000-0000-000034100000}"/>
    <hyperlink ref="I4151" r:id="rId4150" xr:uid="{00000000-0004-0000-0000-000035100000}"/>
    <hyperlink ref="I4152" r:id="rId4151" xr:uid="{00000000-0004-0000-0000-000036100000}"/>
    <hyperlink ref="I4153" r:id="rId4152" xr:uid="{00000000-0004-0000-0000-000037100000}"/>
    <hyperlink ref="I4154" r:id="rId4153" xr:uid="{00000000-0004-0000-0000-000038100000}"/>
    <hyperlink ref="I4155" r:id="rId4154" xr:uid="{00000000-0004-0000-0000-000039100000}"/>
    <hyperlink ref="I4156" r:id="rId4155" xr:uid="{00000000-0004-0000-0000-00003A100000}"/>
    <hyperlink ref="I4157" r:id="rId4156" xr:uid="{00000000-0004-0000-0000-00003B100000}"/>
    <hyperlink ref="I4158" r:id="rId4157" xr:uid="{00000000-0004-0000-0000-00003C100000}"/>
    <hyperlink ref="I4159" r:id="rId4158" xr:uid="{00000000-0004-0000-0000-00003D100000}"/>
    <hyperlink ref="I4160" r:id="rId4159" xr:uid="{00000000-0004-0000-0000-00003E100000}"/>
    <hyperlink ref="I4161" r:id="rId4160" xr:uid="{00000000-0004-0000-0000-00003F100000}"/>
    <hyperlink ref="I4162" r:id="rId4161" xr:uid="{00000000-0004-0000-0000-000040100000}"/>
    <hyperlink ref="I4163" r:id="rId4162" xr:uid="{00000000-0004-0000-0000-000041100000}"/>
    <hyperlink ref="I4164" r:id="rId4163" xr:uid="{00000000-0004-0000-0000-000042100000}"/>
    <hyperlink ref="I4165" r:id="rId4164" xr:uid="{00000000-0004-0000-0000-000043100000}"/>
    <hyperlink ref="I4166" r:id="rId4165" xr:uid="{00000000-0004-0000-0000-000044100000}"/>
    <hyperlink ref="I4167" r:id="rId4166" xr:uid="{00000000-0004-0000-0000-000045100000}"/>
    <hyperlink ref="I4168" r:id="rId4167" xr:uid="{00000000-0004-0000-0000-000046100000}"/>
    <hyperlink ref="I4169" r:id="rId4168" xr:uid="{00000000-0004-0000-0000-000047100000}"/>
    <hyperlink ref="I4170" r:id="rId4169" xr:uid="{00000000-0004-0000-0000-000048100000}"/>
    <hyperlink ref="I4171" r:id="rId4170" xr:uid="{00000000-0004-0000-0000-000049100000}"/>
    <hyperlink ref="I4172" r:id="rId4171" xr:uid="{00000000-0004-0000-0000-00004A100000}"/>
    <hyperlink ref="I4173" r:id="rId4172" xr:uid="{00000000-0004-0000-0000-00004B100000}"/>
    <hyperlink ref="I4174" r:id="rId4173" xr:uid="{00000000-0004-0000-0000-00004C100000}"/>
    <hyperlink ref="I4175" r:id="rId4174" xr:uid="{00000000-0004-0000-0000-00004D100000}"/>
    <hyperlink ref="I4176" r:id="rId4175" xr:uid="{00000000-0004-0000-0000-00004E100000}"/>
    <hyperlink ref="I4177" r:id="rId4176" xr:uid="{00000000-0004-0000-0000-00004F100000}"/>
    <hyperlink ref="I4178" r:id="rId4177" xr:uid="{00000000-0004-0000-0000-000050100000}"/>
    <hyperlink ref="I4179" r:id="rId4178" xr:uid="{00000000-0004-0000-0000-000051100000}"/>
    <hyperlink ref="I4180" r:id="rId4179" xr:uid="{00000000-0004-0000-0000-000052100000}"/>
    <hyperlink ref="I4181" r:id="rId4180" xr:uid="{00000000-0004-0000-0000-000053100000}"/>
    <hyperlink ref="I4182" r:id="rId4181" xr:uid="{00000000-0004-0000-0000-000054100000}"/>
    <hyperlink ref="I4183" r:id="rId4182" xr:uid="{00000000-0004-0000-0000-000055100000}"/>
    <hyperlink ref="I4184" r:id="rId4183" xr:uid="{00000000-0004-0000-0000-000056100000}"/>
    <hyperlink ref="I4185" r:id="rId4184" xr:uid="{00000000-0004-0000-0000-000057100000}"/>
    <hyperlink ref="I4186" r:id="rId4185" xr:uid="{00000000-0004-0000-0000-000058100000}"/>
    <hyperlink ref="I4187" r:id="rId4186" xr:uid="{00000000-0004-0000-0000-000059100000}"/>
    <hyperlink ref="I4188" r:id="rId4187" xr:uid="{00000000-0004-0000-0000-00005A100000}"/>
    <hyperlink ref="I4189" r:id="rId4188" xr:uid="{00000000-0004-0000-0000-00005B100000}"/>
    <hyperlink ref="I4190" r:id="rId4189" xr:uid="{00000000-0004-0000-0000-00005C100000}"/>
    <hyperlink ref="I4191" r:id="rId4190" xr:uid="{00000000-0004-0000-0000-00005D100000}"/>
    <hyperlink ref="I4192" r:id="rId4191" xr:uid="{00000000-0004-0000-0000-00005E100000}"/>
    <hyperlink ref="I4193" r:id="rId4192" xr:uid="{00000000-0004-0000-0000-00005F100000}"/>
    <hyperlink ref="I4194" r:id="rId4193" xr:uid="{00000000-0004-0000-0000-000060100000}"/>
    <hyperlink ref="I4195" r:id="rId4194" xr:uid="{00000000-0004-0000-0000-000061100000}"/>
    <hyperlink ref="I4196" r:id="rId4195" xr:uid="{00000000-0004-0000-0000-000062100000}"/>
    <hyperlink ref="I4197" r:id="rId4196" xr:uid="{00000000-0004-0000-0000-000063100000}"/>
    <hyperlink ref="I4198" r:id="rId4197" xr:uid="{00000000-0004-0000-0000-000064100000}"/>
    <hyperlink ref="I4199" r:id="rId4198" xr:uid="{00000000-0004-0000-0000-000065100000}"/>
    <hyperlink ref="I4200" r:id="rId4199" xr:uid="{00000000-0004-0000-0000-000066100000}"/>
    <hyperlink ref="I4201" r:id="rId4200" xr:uid="{00000000-0004-0000-0000-000067100000}"/>
    <hyperlink ref="I4202" r:id="rId4201" xr:uid="{00000000-0004-0000-0000-000068100000}"/>
    <hyperlink ref="I4203" r:id="rId4202" xr:uid="{00000000-0004-0000-0000-000069100000}"/>
    <hyperlink ref="I4204" r:id="rId4203" xr:uid="{00000000-0004-0000-0000-00006A100000}"/>
    <hyperlink ref="I4205" r:id="rId4204" xr:uid="{00000000-0004-0000-0000-00006B100000}"/>
    <hyperlink ref="I4206" r:id="rId4205" xr:uid="{00000000-0004-0000-0000-00006C100000}"/>
    <hyperlink ref="I4207" r:id="rId4206" xr:uid="{00000000-0004-0000-0000-00006D100000}"/>
    <hyperlink ref="I4208" r:id="rId4207" xr:uid="{00000000-0004-0000-0000-00006E100000}"/>
    <hyperlink ref="I4209" r:id="rId4208" xr:uid="{00000000-0004-0000-0000-00006F100000}"/>
    <hyperlink ref="I4210" r:id="rId4209" xr:uid="{00000000-0004-0000-0000-000070100000}"/>
    <hyperlink ref="I4211" r:id="rId4210" xr:uid="{00000000-0004-0000-0000-000071100000}"/>
    <hyperlink ref="I4212" r:id="rId4211" xr:uid="{00000000-0004-0000-0000-000072100000}"/>
    <hyperlink ref="I4213" r:id="rId4212" xr:uid="{00000000-0004-0000-0000-000073100000}"/>
    <hyperlink ref="I4214" r:id="rId4213" xr:uid="{00000000-0004-0000-0000-000074100000}"/>
    <hyperlink ref="I4215" r:id="rId4214" xr:uid="{00000000-0004-0000-0000-000075100000}"/>
    <hyperlink ref="I4216" r:id="rId4215" xr:uid="{00000000-0004-0000-0000-000076100000}"/>
    <hyperlink ref="I4217" r:id="rId4216" xr:uid="{00000000-0004-0000-0000-000077100000}"/>
    <hyperlink ref="I4218" r:id="rId4217" xr:uid="{00000000-0004-0000-0000-000078100000}"/>
    <hyperlink ref="I4219" r:id="rId4218" xr:uid="{00000000-0004-0000-0000-000079100000}"/>
    <hyperlink ref="I4220" r:id="rId4219" xr:uid="{00000000-0004-0000-0000-00007A100000}"/>
    <hyperlink ref="I4221" r:id="rId4220" xr:uid="{00000000-0004-0000-0000-00007B100000}"/>
    <hyperlink ref="I4222" r:id="rId4221" xr:uid="{00000000-0004-0000-0000-00007C100000}"/>
    <hyperlink ref="I4223" r:id="rId4222" xr:uid="{00000000-0004-0000-0000-00007D100000}"/>
    <hyperlink ref="I4224" r:id="rId4223" xr:uid="{00000000-0004-0000-0000-00007E100000}"/>
    <hyperlink ref="I4225" r:id="rId4224" xr:uid="{00000000-0004-0000-0000-00007F100000}"/>
    <hyperlink ref="I4226" r:id="rId4225" xr:uid="{00000000-0004-0000-0000-000080100000}"/>
    <hyperlink ref="I4227" r:id="rId4226" xr:uid="{00000000-0004-0000-0000-000081100000}"/>
    <hyperlink ref="I4228" r:id="rId4227" xr:uid="{00000000-0004-0000-0000-000082100000}"/>
    <hyperlink ref="I4229" r:id="rId4228" xr:uid="{00000000-0004-0000-0000-000083100000}"/>
    <hyperlink ref="I4230" r:id="rId4229" xr:uid="{00000000-0004-0000-0000-000084100000}"/>
    <hyperlink ref="I4231" r:id="rId4230" xr:uid="{00000000-0004-0000-0000-000085100000}"/>
    <hyperlink ref="I4232" r:id="rId4231" xr:uid="{00000000-0004-0000-0000-000086100000}"/>
    <hyperlink ref="I4233" r:id="rId4232" xr:uid="{00000000-0004-0000-0000-000087100000}"/>
    <hyperlink ref="I4234" r:id="rId4233" xr:uid="{00000000-0004-0000-0000-000088100000}"/>
    <hyperlink ref="I4235" r:id="rId4234" xr:uid="{00000000-0004-0000-0000-000089100000}"/>
    <hyperlink ref="I4236" r:id="rId4235" xr:uid="{00000000-0004-0000-0000-00008A100000}"/>
    <hyperlink ref="I4237" r:id="rId4236" xr:uid="{00000000-0004-0000-0000-00008B100000}"/>
    <hyperlink ref="I4238" r:id="rId4237" xr:uid="{00000000-0004-0000-0000-00008C100000}"/>
    <hyperlink ref="I4239" r:id="rId4238" xr:uid="{00000000-0004-0000-0000-00008D100000}"/>
    <hyperlink ref="I4240" r:id="rId4239" xr:uid="{00000000-0004-0000-0000-00008E100000}"/>
    <hyperlink ref="I4241" r:id="rId4240" xr:uid="{00000000-0004-0000-0000-00008F100000}"/>
    <hyperlink ref="I4242" r:id="rId4241" xr:uid="{00000000-0004-0000-0000-000090100000}"/>
    <hyperlink ref="I4243" r:id="rId4242" xr:uid="{00000000-0004-0000-0000-000091100000}"/>
    <hyperlink ref="I4244" r:id="rId4243" xr:uid="{00000000-0004-0000-0000-000092100000}"/>
    <hyperlink ref="I4245" r:id="rId4244" xr:uid="{00000000-0004-0000-0000-000093100000}"/>
    <hyperlink ref="I4246" r:id="rId4245" xr:uid="{00000000-0004-0000-0000-000094100000}"/>
    <hyperlink ref="I4247" r:id="rId4246" xr:uid="{00000000-0004-0000-0000-000095100000}"/>
    <hyperlink ref="I4248" r:id="rId4247" xr:uid="{00000000-0004-0000-0000-000096100000}"/>
    <hyperlink ref="I4249" r:id="rId4248" xr:uid="{00000000-0004-0000-0000-000097100000}"/>
    <hyperlink ref="I4250" r:id="rId4249" xr:uid="{00000000-0004-0000-0000-000098100000}"/>
    <hyperlink ref="I4251" r:id="rId4250" xr:uid="{00000000-0004-0000-0000-000099100000}"/>
    <hyperlink ref="I4252" r:id="rId4251" xr:uid="{00000000-0004-0000-0000-00009A100000}"/>
    <hyperlink ref="I4253" r:id="rId4252" xr:uid="{00000000-0004-0000-0000-00009B100000}"/>
    <hyperlink ref="I4254" r:id="rId4253" xr:uid="{00000000-0004-0000-0000-00009C100000}"/>
    <hyperlink ref="I4255" r:id="rId4254" xr:uid="{00000000-0004-0000-0000-00009D100000}"/>
    <hyperlink ref="I4256" r:id="rId4255" xr:uid="{00000000-0004-0000-0000-00009E100000}"/>
    <hyperlink ref="I4257" r:id="rId4256" xr:uid="{00000000-0004-0000-0000-00009F100000}"/>
    <hyperlink ref="I4258" r:id="rId4257" xr:uid="{00000000-0004-0000-0000-0000A0100000}"/>
    <hyperlink ref="I4259" r:id="rId4258" xr:uid="{00000000-0004-0000-0000-0000A1100000}"/>
    <hyperlink ref="I4260" r:id="rId4259" xr:uid="{00000000-0004-0000-0000-0000A2100000}"/>
    <hyperlink ref="I4261" r:id="rId4260" xr:uid="{00000000-0004-0000-0000-0000A3100000}"/>
    <hyperlink ref="I4262" r:id="rId4261" xr:uid="{00000000-0004-0000-0000-0000A4100000}"/>
    <hyperlink ref="I4263" r:id="rId4262" xr:uid="{00000000-0004-0000-0000-0000A5100000}"/>
    <hyperlink ref="I4264" r:id="rId4263" xr:uid="{00000000-0004-0000-0000-0000A6100000}"/>
    <hyperlink ref="I4265" r:id="rId4264" xr:uid="{00000000-0004-0000-0000-0000A7100000}"/>
    <hyperlink ref="I4266" r:id="rId4265" xr:uid="{00000000-0004-0000-0000-0000A8100000}"/>
    <hyperlink ref="I4267" r:id="rId4266" xr:uid="{00000000-0004-0000-0000-0000A9100000}"/>
    <hyperlink ref="I4268" r:id="rId4267" xr:uid="{00000000-0004-0000-0000-0000AA100000}"/>
    <hyperlink ref="I4269" r:id="rId4268" xr:uid="{00000000-0004-0000-0000-0000AB100000}"/>
    <hyperlink ref="I4270" r:id="rId4269" xr:uid="{00000000-0004-0000-0000-0000AC100000}"/>
    <hyperlink ref="I4271" r:id="rId4270" xr:uid="{00000000-0004-0000-0000-0000AD100000}"/>
    <hyperlink ref="I4272" r:id="rId4271" xr:uid="{00000000-0004-0000-0000-0000AE100000}"/>
    <hyperlink ref="I4273" r:id="rId4272" xr:uid="{00000000-0004-0000-0000-0000AF100000}"/>
    <hyperlink ref="I4274" r:id="rId4273" xr:uid="{00000000-0004-0000-0000-0000B0100000}"/>
    <hyperlink ref="I4275" r:id="rId4274" xr:uid="{00000000-0004-0000-0000-0000B1100000}"/>
    <hyperlink ref="I4276" r:id="rId4275" xr:uid="{00000000-0004-0000-0000-0000B2100000}"/>
    <hyperlink ref="I4277" r:id="rId4276" xr:uid="{00000000-0004-0000-0000-0000B3100000}"/>
    <hyperlink ref="I4278" r:id="rId4277" xr:uid="{00000000-0004-0000-0000-0000B4100000}"/>
    <hyperlink ref="I4279" r:id="rId4278" xr:uid="{00000000-0004-0000-0000-0000B5100000}"/>
    <hyperlink ref="I4280" r:id="rId4279" xr:uid="{00000000-0004-0000-0000-0000B6100000}"/>
    <hyperlink ref="I4281" r:id="rId4280" xr:uid="{00000000-0004-0000-0000-0000B7100000}"/>
    <hyperlink ref="I4282" r:id="rId4281" xr:uid="{00000000-0004-0000-0000-0000B8100000}"/>
    <hyperlink ref="I4283" r:id="rId4282" xr:uid="{00000000-0004-0000-0000-0000B9100000}"/>
    <hyperlink ref="I4284" r:id="rId4283" xr:uid="{00000000-0004-0000-0000-0000BA100000}"/>
    <hyperlink ref="I4285" r:id="rId4284" xr:uid="{00000000-0004-0000-0000-0000BB100000}"/>
    <hyperlink ref="I4286" r:id="rId4285" xr:uid="{00000000-0004-0000-0000-0000BC100000}"/>
    <hyperlink ref="I4287" r:id="rId4286" xr:uid="{00000000-0004-0000-0000-0000BD100000}"/>
    <hyperlink ref="I4288" r:id="rId4287" xr:uid="{00000000-0004-0000-0000-0000BE100000}"/>
    <hyperlink ref="I4289" r:id="rId4288" xr:uid="{00000000-0004-0000-0000-0000BF100000}"/>
    <hyperlink ref="I4290" r:id="rId4289" xr:uid="{00000000-0004-0000-0000-0000C0100000}"/>
    <hyperlink ref="I4291" r:id="rId4290" xr:uid="{00000000-0004-0000-0000-0000C1100000}"/>
    <hyperlink ref="I4292" r:id="rId4291" xr:uid="{00000000-0004-0000-0000-0000C2100000}"/>
    <hyperlink ref="I4293" r:id="rId4292" xr:uid="{00000000-0004-0000-0000-0000C3100000}"/>
    <hyperlink ref="I4294" r:id="rId4293" xr:uid="{00000000-0004-0000-0000-0000C4100000}"/>
    <hyperlink ref="I4295" r:id="rId4294" xr:uid="{00000000-0004-0000-0000-0000C5100000}"/>
    <hyperlink ref="I4296" r:id="rId4295" xr:uid="{00000000-0004-0000-0000-0000C6100000}"/>
    <hyperlink ref="I4297" r:id="rId4296" xr:uid="{00000000-0004-0000-0000-0000C7100000}"/>
    <hyperlink ref="I4298" r:id="rId4297" xr:uid="{00000000-0004-0000-0000-0000C8100000}"/>
    <hyperlink ref="I4299" r:id="rId4298" xr:uid="{00000000-0004-0000-0000-0000C9100000}"/>
    <hyperlink ref="I4300" r:id="rId4299" xr:uid="{00000000-0004-0000-0000-0000CA100000}"/>
    <hyperlink ref="I4301" r:id="rId4300" xr:uid="{00000000-0004-0000-0000-0000CB100000}"/>
    <hyperlink ref="I4302" r:id="rId4301" xr:uid="{00000000-0004-0000-0000-0000CC100000}"/>
    <hyperlink ref="I4303" r:id="rId4302" xr:uid="{00000000-0004-0000-0000-0000CD100000}"/>
    <hyperlink ref="I4304" r:id="rId4303" xr:uid="{00000000-0004-0000-0000-0000CE100000}"/>
    <hyperlink ref="I4305" r:id="rId4304" xr:uid="{00000000-0004-0000-0000-0000CF100000}"/>
    <hyperlink ref="I4306" r:id="rId4305" xr:uid="{00000000-0004-0000-0000-0000D0100000}"/>
    <hyperlink ref="I4307" r:id="rId4306" xr:uid="{00000000-0004-0000-0000-0000D1100000}"/>
    <hyperlink ref="I4308" r:id="rId4307" xr:uid="{00000000-0004-0000-0000-0000D2100000}"/>
    <hyperlink ref="I4309" r:id="rId4308" xr:uid="{00000000-0004-0000-0000-0000D3100000}"/>
    <hyperlink ref="I4310" r:id="rId4309" xr:uid="{00000000-0004-0000-0000-0000D4100000}"/>
    <hyperlink ref="I4311" r:id="rId4310" xr:uid="{00000000-0004-0000-0000-0000D5100000}"/>
    <hyperlink ref="I4312" r:id="rId4311" xr:uid="{00000000-0004-0000-0000-0000D6100000}"/>
    <hyperlink ref="I4313" r:id="rId4312" xr:uid="{00000000-0004-0000-0000-0000D7100000}"/>
    <hyperlink ref="I4314" r:id="rId4313" xr:uid="{00000000-0004-0000-0000-0000D8100000}"/>
    <hyperlink ref="I4315" r:id="rId4314" xr:uid="{00000000-0004-0000-0000-0000D9100000}"/>
    <hyperlink ref="I4316" r:id="rId4315" xr:uid="{00000000-0004-0000-0000-0000DA100000}"/>
    <hyperlink ref="I4317" r:id="rId4316" xr:uid="{00000000-0004-0000-0000-0000DB100000}"/>
    <hyperlink ref="I4318" r:id="rId4317" xr:uid="{00000000-0004-0000-0000-0000DC100000}"/>
    <hyperlink ref="I4319" r:id="rId4318" xr:uid="{00000000-0004-0000-0000-0000DD100000}"/>
    <hyperlink ref="I4320" r:id="rId4319" xr:uid="{00000000-0004-0000-0000-0000DE100000}"/>
    <hyperlink ref="I4321" r:id="rId4320" xr:uid="{00000000-0004-0000-0000-0000DF100000}"/>
    <hyperlink ref="I4322" r:id="rId4321" xr:uid="{00000000-0004-0000-0000-0000E0100000}"/>
    <hyperlink ref="I4323" r:id="rId4322" xr:uid="{00000000-0004-0000-0000-0000E1100000}"/>
    <hyperlink ref="I4324" r:id="rId4323" xr:uid="{00000000-0004-0000-0000-0000E2100000}"/>
    <hyperlink ref="I4325" r:id="rId4324" xr:uid="{00000000-0004-0000-0000-0000E3100000}"/>
    <hyperlink ref="I4326" r:id="rId4325" xr:uid="{00000000-0004-0000-0000-0000E4100000}"/>
    <hyperlink ref="I4327" r:id="rId4326" xr:uid="{00000000-0004-0000-0000-0000E5100000}"/>
    <hyperlink ref="I4328" r:id="rId4327" xr:uid="{00000000-0004-0000-0000-0000E6100000}"/>
    <hyperlink ref="I4329" r:id="rId4328" xr:uid="{00000000-0004-0000-0000-0000E7100000}"/>
    <hyperlink ref="I4330" r:id="rId4329" xr:uid="{00000000-0004-0000-0000-0000E8100000}"/>
    <hyperlink ref="I4331" r:id="rId4330" xr:uid="{00000000-0004-0000-0000-0000E9100000}"/>
    <hyperlink ref="I4332" r:id="rId4331" xr:uid="{00000000-0004-0000-0000-0000EA100000}"/>
    <hyperlink ref="I4333" r:id="rId4332" xr:uid="{00000000-0004-0000-0000-0000EB100000}"/>
    <hyperlink ref="I4334" r:id="rId4333" xr:uid="{00000000-0004-0000-0000-0000EC100000}"/>
    <hyperlink ref="I4335" r:id="rId4334" xr:uid="{00000000-0004-0000-0000-0000ED100000}"/>
    <hyperlink ref="I4336" r:id="rId4335" xr:uid="{00000000-0004-0000-0000-0000EE100000}"/>
    <hyperlink ref="I4337" r:id="rId4336" xr:uid="{00000000-0004-0000-0000-0000EF100000}"/>
    <hyperlink ref="I4338" r:id="rId4337" xr:uid="{00000000-0004-0000-0000-0000F0100000}"/>
    <hyperlink ref="I4339" r:id="rId4338" xr:uid="{00000000-0004-0000-0000-0000F1100000}"/>
    <hyperlink ref="I4340" r:id="rId4339" xr:uid="{00000000-0004-0000-0000-0000F2100000}"/>
    <hyperlink ref="I4341" r:id="rId4340" xr:uid="{00000000-0004-0000-0000-0000F3100000}"/>
    <hyperlink ref="I4342" r:id="rId4341" xr:uid="{00000000-0004-0000-0000-0000F4100000}"/>
    <hyperlink ref="I4343" r:id="rId4342" xr:uid="{00000000-0004-0000-0000-0000F5100000}"/>
    <hyperlink ref="I4344" r:id="rId4343" xr:uid="{00000000-0004-0000-0000-0000F6100000}"/>
    <hyperlink ref="I4345" r:id="rId4344" xr:uid="{00000000-0004-0000-0000-0000F7100000}"/>
    <hyperlink ref="I4346" r:id="rId4345" xr:uid="{00000000-0004-0000-0000-0000F8100000}"/>
    <hyperlink ref="I4347" r:id="rId4346" xr:uid="{00000000-0004-0000-0000-0000F9100000}"/>
    <hyperlink ref="I4348" r:id="rId4347" xr:uid="{00000000-0004-0000-0000-0000FA100000}"/>
    <hyperlink ref="I4349" r:id="rId4348" xr:uid="{00000000-0004-0000-0000-0000FB100000}"/>
    <hyperlink ref="I4350" r:id="rId4349" xr:uid="{00000000-0004-0000-0000-0000FC100000}"/>
    <hyperlink ref="I4351" r:id="rId4350" xr:uid="{00000000-0004-0000-0000-0000FD100000}"/>
    <hyperlink ref="I4352" r:id="rId4351" xr:uid="{00000000-0004-0000-0000-0000FE100000}"/>
    <hyperlink ref="I4353" r:id="rId4352" xr:uid="{00000000-0004-0000-0000-0000FF100000}"/>
    <hyperlink ref="I4354" r:id="rId4353" xr:uid="{00000000-0004-0000-0000-000000110000}"/>
    <hyperlink ref="I4355" r:id="rId4354" xr:uid="{00000000-0004-0000-0000-000001110000}"/>
    <hyperlink ref="I4356" r:id="rId4355" xr:uid="{00000000-0004-0000-0000-000002110000}"/>
    <hyperlink ref="I4357" r:id="rId4356" xr:uid="{00000000-0004-0000-0000-000003110000}"/>
    <hyperlink ref="I4358" r:id="rId4357" xr:uid="{00000000-0004-0000-0000-000004110000}"/>
    <hyperlink ref="I4359" r:id="rId4358" xr:uid="{00000000-0004-0000-0000-000005110000}"/>
    <hyperlink ref="I4360" r:id="rId4359" xr:uid="{00000000-0004-0000-0000-000006110000}"/>
    <hyperlink ref="I4361" r:id="rId4360" xr:uid="{00000000-0004-0000-0000-000007110000}"/>
    <hyperlink ref="I4362" r:id="rId4361" xr:uid="{00000000-0004-0000-0000-000008110000}"/>
    <hyperlink ref="I4363" r:id="rId4362" xr:uid="{00000000-0004-0000-0000-000009110000}"/>
    <hyperlink ref="I4364" r:id="rId4363" xr:uid="{00000000-0004-0000-0000-00000A110000}"/>
    <hyperlink ref="I4365" r:id="rId4364" xr:uid="{00000000-0004-0000-0000-00000B110000}"/>
    <hyperlink ref="I4366" r:id="rId4365" xr:uid="{00000000-0004-0000-0000-00000C110000}"/>
    <hyperlink ref="I4367" r:id="rId4366" xr:uid="{00000000-0004-0000-0000-00000D110000}"/>
    <hyperlink ref="I4368" r:id="rId4367" xr:uid="{00000000-0004-0000-0000-00000E110000}"/>
    <hyperlink ref="I4369" r:id="rId4368" xr:uid="{00000000-0004-0000-0000-00000F110000}"/>
    <hyperlink ref="I4370" r:id="rId4369" xr:uid="{00000000-0004-0000-0000-000010110000}"/>
    <hyperlink ref="I4371" r:id="rId4370" xr:uid="{00000000-0004-0000-0000-000011110000}"/>
    <hyperlink ref="I4372" r:id="rId4371" xr:uid="{00000000-0004-0000-0000-000012110000}"/>
    <hyperlink ref="I4373" r:id="rId4372" xr:uid="{00000000-0004-0000-0000-000013110000}"/>
    <hyperlink ref="I4374" r:id="rId4373" xr:uid="{00000000-0004-0000-0000-000014110000}"/>
    <hyperlink ref="I4375" r:id="rId4374" xr:uid="{00000000-0004-0000-0000-000015110000}"/>
    <hyperlink ref="I4376" r:id="rId4375" xr:uid="{00000000-0004-0000-0000-000016110000}"/>
    <hyperlink ref="I4377" r:id="rId4376" xr:uid="{00000000-0004-0000-0000-000017110000}"/>
    <hyperlink ref="I4378" r:id="rId4377" xr:uid="{00000000-0004-0000-0000-000018110000}"/>
    <hyperlink ref="I4379" r:id="rId4378" xr:uid="{00000000-0004-0000-0000-000019110000}"/>
    <hyperlink ref="I4380" r:id="rId4379" xr:uid="{00000000-0004-0000-0000-00001A110000}"/>
    <hyperlink ref="I4381" r:id="rId4380" xr:uid="{00000000-0004-0000-0000-00001B110000}"/>
    <hyperlink ref="I4382" r:id="rId4381" xr:uid="{00000000-0004-0000-0000-00001C110000}"/>
    <hyperlink ref="I4383" r:id="rId4382" xr:uid="{00000000-0004-0000-0000-00001D110000}"/>
    <hyperlink ref="I4384" r:id="rId4383" xr:uid="{00000000-0004-0000-0000-00001E110000}"/>
    <hyperlink ref="I4385" r:id="rId4384" xr:uid="{00000000-0004-0000-0000-00001F110000}"/>
    <hyperlink ref="I4386" r:id="rId4385" xr:uid="{00000000-0004-0000-0000-000020110000}"/>
    <hyperlink ref="I4387" r:id="rId4386" xr:uid="{00000000-0004-0000-0000-000021110000}"/>
    <hyperlink ref="I4388" r:id="rId4387" xr:uid="{00000000-0004-0000-0000-000022110000}"/>
    <hyperlink ref="I4389" r:id="rId4388" xr:uid="{00000000-0004-0000-0000-000023110000}"/>
    <hyperlink ref="I4390" r:id="rId4389" xr:uid="{00000000-0004-0000-0000-000024110000}"/>
    <hyperlink ref="I4391" r:id="rId4390" xr:uid="{00000000-0004-0000-0000-000025110000}"/>
    <hyperlink ref="I4392" r:id="rId4391" xr:uid="{00000000-0004-0000-0000-000026110000}"/>
    <hyperlink ref="I4393" r:id="rId4392" xr:uid="{00000000-0004-0000-0000-000027110000}"/>
    <hyperlink ref="I4394" r:id="rId4393" xr:uid="{00000000-0004-0000-0000-000028110000}"/>
    <hyperlink ref="I4395" r:id="rId4394" xr:uid="{00000000-0004-0000-0000-000029110000}"/>
    <hyperlink ref="I4396" r:id="rId4395" xr:uid="{00000000-0004-0000-0000-00002A110000}"/>
    <hyperlink ref="I4397" r:id="rId4396" xr:uid="{00000000-0004-0000-0000-00002B110000}"/>
    <hyperlink ref="I4398" r:id="rId4397" xr:uid="{00000000-0004-0000-0000-00002C110000}"/>
    <hyperlink ref="I4399" r:id="rId4398" xr:uid="{00000000-0004-0000-0000-00002D110000}"/>
    <hyperlink ref="I4400" r:id="rId4399" display="https://www.google.com/search?q=site%3Auc.pt%20Ensino%20de%20Ingl%C3%AAs%20e%20de%20L%C3%ADngua%20Estrangeira%20no%203.%C2%BA%20ciclo%20do%20Ensino%20B%C3%A1sico%20e%20no%20Ensino%20Secund%C3%A1rio%2C%20nas%20%C3%A1reas%20de%20especializa%C3%A7%C3%A3o%20de%20Alem%C3%A3o%20ou%20de%20Espanhol%20ou%20de%20Franc%C3%AAs%20mestrado" xr:uid="{00000000-0004-0000-0000-00002E110000}"/>
    <hyperlink ref="I4401" r:id="rId4400" xr:uid="{00000000-0004-0000-0000-00002F110000}"/>
    <hyperlink ref="I4402" r:id="rId4401" xr:uid="{00000000-0004-0000-0000-000030110000}"/>
    <hyperlink ref="I4403" r:id="rId4402" xr:uid="{00000000-0004-0000-0000-000031110000}"/>
    <hyperlink ref="I4404" r:id="rId4403" xr:uid="{00000000-0004-0000-0000-000032110000}"/>
    <hyperlink ref="I4405" r:id="rId4404" xr:uid="{00000000-0004-0000-0000-000033110000}"/>
    <hyperlink ref="I4406" r:id="rId4405" xr:uid="{00000000-0004-0000-0000-000034110000}"/>
    <hyperlink ref="I4407" r:id="rId4406" xr:uid="{00000000-0004-0000-0000-000035110000}"/>
    <hyperlink ref="I4408" r:id="rId4407" xr:uid="{00000000-0004-0000-0000-000036110000}"/>
    <hyperlink ref="I4409" r:id="rId4408" xr:uid="{00000000-0004-0000-0000-000037110000}"/>
    <hyperlink ref="I4410" r:id="rId4409" xr:uid="{00000000-0004-0000-0000-000038110000}"/>
    <hyperlink ref="I4411" r:id="rId4410" xr:uid="{00000000-0004-0000-0000-000039110000}"/>
    <hyperlink ref="I4412" r:id="rId4411" xr:uid="{00000000-0004-0000-0000-00003A110000}"/>
    <hyperlink ref="I4413" r:id="rId4412" xr:uid="{00000000-0004-0000-0000-00003B110000}"/>
    <hyperlink ref="I4414" r:id="rId4413" xr:uid="{00000000-0004-0000-0000-00003C110000}"/>
    <hyperlink ref="I4415" r:id="rId4414" xr:uid="{00000000-0004-0000-0000-00003D110000}"/>
    <hyperlink ref="I4416" r:id="rId4415" xr:uid="{00000000-0004-0000-0000-00003E110000}"/>
    <hyperlink ref="I4417" r:id="rId4416" xr:uid="{00000000-0004-0000-0000-00003F110000}"/>
    <hyperlink ref="I4418" r:id="rId4417" xr:uid="{00000000-0004-0000-0000-000040110000}"/>
    <hyperlink ref="I4419" r:id="rId4418" xr:uid="{00000000-0004-0000-0000-000041110000}"/>
    <hyperlink ref="I4420" r:id="rId4419" xr:uid="{00000000-0004-0000-0000-000042110000}"/>
    <hyperlink ref="I4421" r:id="rId4420" xr:uid="{00000000-0004-0000-0000-000043110000}"/>
    <hyperlink ref="I4422" r:id="rId4421" xr:uid="{00000000-0004-0000-0000-000044110000}"/>
    <hyperlink ref="I4423" r:id="rId4422" xr:uid="{00000000-0004-0000-0000-000045110000}"/>
    <hyperlink ref="I4424" r:id="rId4423" xr:uid="{00000000-0004-0000-0000-000046110000}"/>
    <hyperlink ref="I4425" r:id="rId4424" xr:uid="{00000000-0004-0000-0000-000047110000}"/>
    <hyperlink ref="I4426" r:id="rId4425" xr:uid="{00000000-0004-0000-0000-000048110000}"/>
    <hyperlink ref="I4427" r:id="rId4426" xr:uid="{00000000-0004-0000-0000-000049110000}"/>
    <hyperlink ref="I4428" r:id="rId4427" xr:uid="{00000000-0004-0000-0000-00004A110000}"/>
    <hyperlink ref="I4429" r:id="rId4428" xr:uid="{00000000-0004-0000-0000-00004B110000}"/>
    <hyperlink ref="I4430" r:id="rId4429" xr:uid="{00000000-0004-0000-0000-00004C110000}"/>
    <hyperlink ref="I4431" r:id="rId4430" xr:uid="{00000000-0004-0000-0000-00004D110000}"/>
    <hyperlink ref="I4432" r:id="rId4431" xr:uid="{00000000-0004-0000-0000-00004E110000}"/>
    <hyperlink ref="I4433" r:id="rId4432" xr:uid="{00000000-0004-0000-0000-00004F110000}"/>
    <hyperlink ref="I4434" r:id="rId4433" xr:uid="{00000000-0004-0000-0000-000050110000}"/>
    <hyperlink ref="I4435" r:id="rId4434" xr:uid="{00000000-0004-0000-0000-000051110000}"/>
    <hyperlink ref="I4436" r:id="rId4435" xr:uid="{00000000-0004-0000-0000-000052110000}"/>
    <hyperlink ref="I4437" r:id="rId4436" xr:uid="{00000000-0004-0000-0000-000053110000}"/>
    <hyperlink ref="I4438" r:id="rId4437" xr:uid="{00000000-0004-0000-0000-000054110000}"/>
    <hyperlink ref="I4439" r:id="rId4438" xr:uid="{00000000-0004-0000-0000-000055110000}"/>
    <hyperlink ref="I4440" r:id="rId4439" xr:uid="{00000000-0004-0000-0000-000056110000}"/>
    <hyperlink ref="I4441" r:id="rId4440" xr:uid="{00000000-0004-0000-0000-000057110000}"/>
    <hyperlink ref="I4442" r:id="rId4441" xr:uid="{00000000-0004-0000-0000-000058110000}"/>
    <hyperlink ref="I4443" r:id="rId4442" xr:uid="{00000000-0004-0000-0000-000059110000}"/>
    <hyperlink ref="I4444" r:id="rId4443" xr:uid="{00000000-0004-0000-0000-00005A110000}"/>
    <hyperlink ref="I4445" r:id="rId4444" xr:uid="{00000000-0004-0000-0000-00005B110000}"/>
    <hyperlink ref="I4446" r:id="rId4445" xr:uid="{00000000-0004-0000-0000-00005C110000}"/>
    <hyperlink ref="I4447" r:id="rId4446" xr:uid="{00000000-0004-0000-0000-00005D110000}"/>
    <hyperlink ref="I4448" r:id="rId4447" xr:uid="{00000000-0004-0000-0000-00005E110000}"/>
    <hyperlink ref="I4449" r:id="rId4448" xr:uid="{00000000-0004-0000-0000-00005F110000}"/>
    <hyperlink ref="I4450" r:id="rId4449" xr:uid="{00000000-0004-0000-0000-000060110000}"/>
    <hyperlink ref="I4451" r:id="rId4450" xr:uid="{00000000-0004-0000-0000-000061110000}"/>
    <hyperlink ref="I4452" r:id="rId4451" xr:uid="{00000000-0004-0000-0000-000062110000}"/>
    <hyperlink ref="I4453" r:id="rId4452" xr:uid="{00000000-0004-0000-0000-000063110000}"/>
    <hyperlink ref="I4454" r:id="rId4453" xr:uid="{00000000-0004-0000-0000-000064110000}"/>
    <hyperlink ref="I4455" r:id="rId4454" xr:uid="{00000000-0004-0000-0000-000065110000}"/>
    <hyperlink ref="I4456" r:id="rId4455" xr:uid="{00000000-0004-0000-0000-000066110000}"/>
    <hyperlink ref="I4457" r:id="rId4456" xr:uid="{00000000-0004-0000-0000-000067110000}"/>
    <hyperlink ref="I4458" r:id="rId4457" xr:uid="{00000000-0004-0000-0000-000068110000}"/>
    <hyperlink ref="I4459" r:id="rId4458" xr:uid="{00000000-0004-0000-0000-000069110000}"/>
    <hyperlink ref="I4460" r:id="rId4459" xr:uid="{00000000-0004-0000-0000-00006A110000}"/>
    <hyperlink ref="I4461" r:id="rId4460" xr:uid="{00000000-0004-0000-0000-00006B110000}"/>
    <hyperlink ref="I4462" r:id="rId4461" xr:uid="{00000000-0004-0000-0000-00006C110000}"/>
    <hyperlink ref="I4463" r:id="rId4462" xr:uid="{00000000-0004-0000-0000-00006D110000}"/>
    <hyperlink ref="I4464" r:id="rId4463" xr:uid="{00000000-0004-0000-0000-00006E110000}"/>
    <hyperlink ref="I4465" r:id="rId4464" xr:uid="{00000000-0004-0000-0000-00006F110000}"/>
    <hyperlink ref="I4466" r:id="rId4465" xr:uid="{00000000-0004-0000-0000-000070110000}"/>
    <hyperlink ref="I4467" r:id="rId4466" xr:uid="{00000000-0004-0000-0000-000071110000}"/>
    <hyperlink ref="I4468" r:id="rId4467" xr:uid="{00000000-0004-0000-0000-000072110000}"/>
    <hyperlink ref="I4469" r:id="rId4468" xr:uid="{00000000-0004-0000-0000-000073110000}"/>
    <hyperlink ref="I4470" r:id="rId4469" xr:uid="{00000000-0004-0000-0000-000074110000}"/>
    <hyperlink ref="I4471" r:id="rId4470" xr:uid="{00000000-0004-0000-0000-000075110000}"/>
    <hyperlink ref="I4472" r:id="rId4471" xr:uid="{00000000-0004-0000-0000-000076110000}"/>
    <hyperlink ref="I4473" r:id="rId4472" xr:uid="{00000000-0004-0000-0000-000077110000}"/>
    <hyperlink ref="I4474" r:id="rId4473" xr:uid="{00000000-0004-0000-0000-000078110000}"/>
    <hyperlink ref="I4475" r:id="rId4474" xr:uid="{00000000-0004-0000-0000-000079110000}"/>
    <hyperlink ref="I4476" r:id="rId4475" xr:uid="{00000000-0004-0000-0000-00007A110000}"/>
    <hyperlink ref="I4477" r:id="rId4476" xr:uid="{00000000-0004-0000-0000-00007B110000}"/>
    <hyperlink ref="I4478" r:id="rId4477" xr:uid="{00000000-0004-0000-0000-00007C110000}"/>
    <hyperlink ref="I4479" r:id="rId4478" xr:uid="{00000000-0004-0000-0000-00007D110000}"/>
    <hyperlink ref="I4480" r:id="rId4479" xr:uid="{00000000-0004-0000-0000-00007E110000}"/>
    <hyperlink ref="I4481" r:id="rId4480" xr:uid="{00000000-0004-0000-0000-00007F110000}"/>
    <hyperlink ref="I4482" r:id="rId4481" xr:uid="{00000000-0004-0000-0000-000080110000}"/>
    <hyperlink ref="I4483" r:id="rId4482" xr:uid="{00000000-0004-0000-0000-000081110000}"/>
    <hyperlink ref="I4484" r:id="rId4483" xr:uid="{00000000-0004-0000-0000-000082110000}"/>
    <hyperlink ref="I4485" r:id="rId4484" xr:uid="{00000000-0004-0000-0000-000083110000}"/>
    <hyperlink ref="I4486" r:id="rId4485" xr:uid="{00000000-0004-0000-0000-000084110000}"/>
    <hyperlink ref="I4487" r:id="rId4486" xr:uid="{00000000-0004-0000-0000-000085110000}"/>
    <hyperlink ref="I4488" r:id="rId4487" xr:uid="{00000000-0004-0000-0000-000086110000}"/>
    <hyperlink ref="I4489" r:id="rId4488" xr:uid="{00000000-0004-0000-0000-000087110000}"/>
    <hyperlink ref="I4490" r:id="rId4489" xr:uid="{00000000-0004-0000-0000-000088110000}"/>
    <hyperlink ref="I4491" r:id="rId4490" xr:uid="{00000000-0004-0000-0000-000089110000}"/>
    <hyperlink ref="I4492" r:id="rId4491" xr:uid="{00000000-0004-0000-0000-00008A110000}"/>
    <hyperlink ref="I4493" r:id="rId4492" xr:uid="{00000000-0004-0000-0000-00008B110000}"/>
    <hyperlink ref="I4494" r:id="rId4493" xr:uid="{00000000-0004-0000-0000-00008C110000}"/>
    <hyperlink ref="I4495" r:id="rId4494" xr:uid="{00000000-0004-0000-0000-00008D110000}"/>
    <hyperlink ref="I4496" r:id="rId4495" xr:uid="{00000000-0004-0000-0000-00008E110000}"/>
    <hyperlink ref="I4497" r:id="rId4496" xr:uid="{00000000-0004-0000-0000-00008F110000}"/>
    <hyperlink ref="I4498" r:id="rId4497" xr:uid="{00000000-0004-0000-0000-000090110000}"/>
    <hyperlink ref="I4499" r:id="rId4498" xr:uid="{00000000-0004-0000-0000-000091110000}"/>
    <hyperlink ref="I4500" r:id="rId4499" xr:uid="{00000000-0004-0000-0000-000092110000}"/>
    <hyperlink ref="I4501" r:id="rId4500" xr:uid="{00000000-0004-0000-0000-000093110000}"/>
    <hyperlink ref="I4502" r:id="rId4501" xr:uid="{00000000-0004-0000-0000-000094110000}"/>
    <hyperlink ref="I4503" r:id="rId4502" xr:uid="{00000000-0004-0000-0000-000095110000}"/>
    <hyperlink ref="I4504" r:id="rId4503" xr:uid="{00000000-0004-0000-0000-000096110000}"/>
    <hyperlink ref="I4505" r:id="rId4504" xr:uid="{00000000-0004-0000-0000-000097110000}"/>
    <hyperlink ref="I4506" r:id="rId4505" xr:uid="{00000000-0004-0000-0000-000098110000}"/>
    <hyperlink ref="I4507" r:id="rId4506" xr:uid="{00000000-0004-0000-0000-000099110000}"/>
    <hyperlink ref="I4508" r:id="rId4507" xr:uid="{00000000-0004-0000-0000-00009A110000}"/>
    <hyperlink ref="I4509" r:id="rId4508" xr:uid="{00000000-0004-0000-0000-00009B110000}"/>
    <hyperlink ref="I4510" r:id="rId4509" xr:uid="{00000000-0004-0000-0000-00009C110000}"/>
    <hyperlink ref="I4511" r:id="rId4510" xr:uid="{00000000-0004-0000-0000-00009D110000}"/>
    <hyperlink ref="I4512" r:id="rId4511" xr:uid="{00000000-0004-0000-0000-00009E110000}"/>
    <hyperlink ref="I4513" r:id="rId4512" xr:uid="{00000000-0004-0000-0000-00009F110000}"/>
    <hyperlink ref="I4514" r:id="rId4513" xr:uid="{00000000-0004-0000-0000-0000A0110000}"/>
    <hyperlink ref="I4515" r:id="rId4514" xr:uid="{00000000-0004-0000-0000-0000A1110000}"/>
    <hyperlink ref="I4516" r:id="rId4515" xr:uid="{00000000-0004-0000-0000-0000A2110000}"/>
    <hyperlink ref="I4517" r:id="rId4516" xr:uid="{00000000-0004-0000-0000-0000A3110000}"/>
    <hyperlink ref="I4518" r:id="rId4517" xr:uid="{00000000-0004-0000-0000-0000A4110000}"/>
    <hyperlink ref="I4519" r:id="rId4518" xr:uid="{00000000-0004-0000-0000-0000A5110000}"/>
    <hyperlink ref="I4520" r:id="rId4519" xr:uid="{00000000-0004-0000-0000-0000A6110000}"/>
    <hyperlink ref="I4521" r:id="rId4520" xr:uid="{00000000-0004-0000-0000-0000A7110000}"/>
    <hyperlink ref="I4522" r:id="rId4521" xr:uid="{00000000-0004-0000-0000-0000A8110000}"/>
    <hyperlink ref="I4523" r:id="rId4522" xr:uid="{00000000-0004-0000-0000-0000A9110000}"/>
    <hyperlink ref="I4524" r:id="rId4523" xr:uid="{00000000-0004-0000-0000-0000AA110000}"/>
    <hyperlink ref="I4525" r:id="rId4524" xr:uid="{00000000-0004-0000-0000-0000AB110000}"/>
    <hyperlink ref="I4526" r:id="rId4525" xr:uid="{00000000-0004-0000-0000-0000AC110000}"/>
    <hyperlink ref="I4527" r:id="rId4526" xr:uid="{00000000-0004-0000-0000-0000AD110000}"/>
    <hyperlink ref="I4528" r:id="rId4527" xr:uid="{00000000-0004-0000-0000-0000AE110000}"/>
    <hyperlink ref="I4529" r:id="rId4528" xr:uid="{00000000-0004-0000-0000-0000AF110000}"/>
    <hyperlink ref="I4530" r:id="rId4529" xr:uid="{00000000-0004-0000-0000-0000B0110000}"/>
    <hyperlink ref="I4531" r:id="rId4530" xr:uid="{00000000-0004-0000-0000-0000B1110000}"/>
    <hyperlink ref="I4532" r:id="rId4531" xr:uid="{00000000-0004-0000-0000-0000B2110000}"/>
    <hyperlink ref="I4533" r:id="rId4532" xr:uid="{00000000-0004-0000-0000-0000B3110000}"/>
    <hyperlink ref="I4534" r:id="rId4533" xr:uid="{00000000-0004-0000-0000-0000B4110000}"/>
    <hyperlink ref="I4535" r:id="rId4534" xr:uid="{00000000-0004-0000-0000-0000B5110000}"/>
    <hyperlink ref="I4536" r:id="rId4535" xr:uid="{00000000-0004-0000-0000-0000B6110000}"/>
    <hyperlink ref="I4537" r:id="rId4536" xr:uid="{00000000-0004-0000-0000-0000B7110000}"/>
    <hyperlink ref="I4538" r:id="rId4537" xr:uid="{00000000-0004-0000-0000-0000B8110000}"/>
    <hyperlink ref="I4539" r:id="rId4538" xr:uid="{00000000-0004-0000-0000-0000B9110000}"/>
    <hyperlink ref="I4540" r:id="rId4539" xr:uid="{00000000-0004-0000-0000-0000BA110000}"/>
    <hyperlink ref="I4541" r:id="rId4540" xr:uid="{00000000-0004-0000-0000-0000BB110000}"/>
    <hyperlink ref="I4542" r:id="rId4541" xr:uid="{00000000-0004-0000-0000-0000BC110000}"/>
    <hyperlink ref="I4543" r:id="rId4542" xr:uid="{00000000-0004-0000-0000-0000BD110000}"/>
    <hyperlink ref="I4544" r:id="rId4543" xr:uid="{00000000-0004-0000-0000-0000BE110000}"/>
    <hyperlink ref="I4545" r:id="rId4544" xr:uid="{00000000-0004-0000-0000-0000BF110000}"/>
    <hyperlink ref="I4546" r:id="rId4545" xr:uid="{00000000-0004-0000-0000-0000C0110000}"/>
    <hyperlink ref="I4547" r:id="rId4546" xr:uid="{00000000-0004-0000-0000-0000C1110000}"/>
    <hyperlink ref="I4548" r:id="rId4547" xr:uid="{00000000-0004-0000-0000-0000C2110000}"/>
    <hyperlink ref="I4549" r:id="rId4548" xr:uid="{00000000-0004-0000-0000-0000C3110000}"/>
    <hyperlink ref="I4550" r:id="rId4549" xr:uid="{00000000-0004-0000-0000-0000C4110000}"/>
    <hyperlink ref="I4551" r:id="rId4550" xr:uid="{00000000-0004-0000-0000-0000C5110000}"/>
    <hyperlink ref="I4552" r:id="rId4551" xr:uid="{00000000-0004-0000-0000-0000C6110000}"/>
    <hyperlink ref="I4553" r:id="rId4552" xr:uid="{00000000-0004-0000-0000-0000C7110000}"/>
    <hyperlink ref="I4554" r:id="rId4553" xr:uid="{00000000-0004-0000-0000-0000C8110000}"/>
    <hyperlink ref="I4555" r:id="rId4554" xr:uid="{00000000-0004-0000-0000-0000C9110000}"/>
    <hyperlink ref="I4556" r:id="rId4555" xr:uid="{00000000-0004-0000-0000-0000CA110000}"/>
    <hyperlink ref="I4557" r:id="rId4556" xr:uid="{00000000-0004-0000-0000-0000CB110000}"/>
    <hyperlink ref="I4558" r:id="rId4557" xr:uid="{00000000-0004-0000-0000-0000CC110000}"/>
    <hyperlink ref="I4559" r:id="rId4558" xr:uid="{00000000-0004-0000-0000-0000CD110000}"/>
    <hyperlink ref="I4560" r:id="rId4559" xr:uid="{00000000-0004-0000-0000-0000CE110000}"/>
    <hyperlink ref="I4561" r:id="rId4560" xr:uid="{00000000-0004-0000-0000-0000CF110000}"/>
    <hyperlink ref="I4562" r:id="rId4561" xr:uid="{00000000-0004-0000-0000-0000D0110000}"/>
    <hyperlink ref="I4563" r:id="rId4562" xr:uid="{00000000-0004-0000-0000-0000D1110000}"/>
    <hyperlink ref="I4564" r:id="rId4563" xr:uid="{00000000-0004-0000-0000-0000D2110000}"/>
    <hyperlink ref="I4565" r:id="rId4564" xr:uid="{00000000-0004-0000-0000-0000D3110000}"/>
    <hyperlink ref="I4566" r:id="rId4565" xr:uid="{00000000-0004-0000-0000-0000D4110000}"/>
    <hyperlink ref="I4567" r:id="rId4566" xr:uid="{00000000-0004-0000-0000-0000D5110000}"/>
    <hyperlink ref="I4568" r:id="rId4567" xr:uid="{00000000-0004-0000-0000-0000D6110000}"/>
    <hyperlink ref="I4569" r:id="rId4568" xr:uid="{00000000-0004-0000-0000-0000D7110000}"/>
    <hyperlink ref="I4570" r:id="rId4569" xr:uid="{00000000-0004-0000-0000-0000D8110000}"/>
    <hyperlink ref="I4571" r:id="rId4570" xr:uid="{00000000-0004-0000-0000-0000D9110000}"/>
    <hyperlink ref="I4572" r:id="rId4571" xr:uid="{00000000-0004-0000-0000-0000DA110000}"/>
    <hyperlink ref="I4573" r:id="rId4572" xr:uid="{00000000-0004-0000-0000-0000DB110000}"/>
    <hyperlink ref="I4574" r:id="rId4573" xr:uid="{00000000-0004-0000-0000-0000DC110000}"/>
    <hyperlink ref="I4575" r:id="rId4574" xr:uid="{00000000-0004-0000-0000-0000DD110000}"/>
    <hyperlink ref="I4576" r:id="rId4575" xr:uid="{00000000-0004-0000-0000-0000DE110000}"/>
    <hyperlink ref="I4577" r:id="rId4576" xr:uid="{00000000-0004-0000-0000-0000DF110000}"/>
    <hyperlink ref="I4578" r:id="rId4577" xr:uid="{00000000-0004-0000-0000-0000E0110000}"/>
    <hyperlink ref="I4579" r:id="rId4578" xr:uid="{00000000-0004-0000-0000-0000E1110000}"/>
    <hyperlink ref="I4580" r:id="rId4579" xr:uid="{00000000-0004-0000-0000-0000E2110000}"/>
    <hyperlink ref="I4581" r:id="rId4580" xr:uid="{00000000-0004-0000-0000-0000E3110000}"/>
    <hyperlink ref="I4582" r:id="rId4581" xr:uid="{00000000-0004-0000-0000-0000E4110000}"/>
    <hyperlink ref="I4583" r:id="rId4582" xr:uid="{00000000-0004-0000-0000-0000E5110000}"/>
    <hyperlink ref="I4584" r:id="rId4583" xr:uid="{00000000-0004-0000-0000-0000E6110000}"/>
    <hyperlink ref="I4585" r:id="rId4584" xr:uid="{00000000-0004-0000-0000-0000E7110000}"/>
    <hyperlink ref="I4586" r:id="rId4585" xr:uid="{00000000-0004-0000-0000-0000E8110000}"/>
    <hyperlink ref="I4587" r:id="rId4586" xr:uid="{00000000-0004-0000-0000-0000E9110000}"/>
    <hyperlink ref="I4588" r:id="rId4587" xr:uid="{00000000-0004-0000-0000-0000EA110000}"/>
    <hyperlink ref="I4589" r:id="rId4588" xr:uid="{00000000-0004-0000-0000-0000EB110000}"/>
    <hyperlink ref="I4590" r:id="rId4589" xr:uid="{00000000-0004-0000-0000-0000EC110000}"/>
    <hyperlink ref="I4591" r:id="rId4590" xr:uid="{00000000-0004-0000-0000-0000ED110000}"/>
    <hyperlink ref="I4592" r:id="rId4591" xr:uid="{00000000-0004-0000-0000-0000EE110000}"/>
    <hyperlink ref="I4593" r:id="rId4592" xr:uid="{00000000-0004-0000-0000-0000EF110000}"/>
    <hyperlink ref="I4594" r:id="rId4593" xr:uid="{00000000-0004-0000-0000-0000F0110000}"/>
    <hyperlink ref="I4595" r:id="rId4594" xr:uid="{00000000-0004-0000-0000-0000F1110000}"/>
    <hyperlink ref="I4596" r:id="rId4595" xr:uid="{00000000-0004-0000-0000-0000F2110000}"/>
    <hyperlink ref="I4597" r:id="rId4596" xr:uid="{00000000-0004-0000-0000-0000F3110000}"/>
    <hyperlink ref="I4598" r:id="rId4597" xr:uid="{00000000-0004-0000-0000-0000F4110000}"/>
    <hyperlink ref="I4599" r:id="rId4598" xr:uid="{00000000-0004-0000-0000-0000F5110000}"/>
    <hyperlink ref="I4600" r:id="rId4599" xr:uid="{00000000-0004-0000-0000-0000F6110000}"/>
    <hyperlink ref="I4601" r:id="rId4600" xr:uid="{00000000-0004-0000-0000-0000F7110000}"/>
    <hyperlink ref="I4602" r:id="rId4601" xr:uid="{00000000-0004-0000-0000-0000F8110000}"/>
    <hyperlink ref="I4603" r:id="rId4602" xr:uid="{00000000-0004-0000-0000-0000F9110000}"/>
    <hyperlink ref="I4604" r:id="rId4603" xr:uid="{00000000-0004-0000-0000-0000FA110000}"/>
    <hyperlink ref="I4605" r:id="rId4604" xr:uid="{00000000-0004-0000-0000-0000FB110000}"/>
    <hyperlink ref="I4606" r:id="rId4605" xr:uid="{00000000-0004-0000-0000-0000FC110000}"/>
    <hyperlink ref="I4607" r:id="rId4606" xr:uid="{00000000-0004-0000-0000-0000FD110000}"/>
    <hyperlink ref="I4608" r:id="rId4607" xr:uid="{00000000-0004-0000-0000-0000FE110000}"/>
    <hyperlink ref="I4609" r:id="rId4608" xr:uid="{00000000-0004-0000-0000-0000FF110000}"/>
    <hyperlink ref="I4610" r:id="rId4609" xr:uid="{00000000-0004-0000-0000-000000120000}"/>
    <hyperlink ref="I4611" r:id="rId4610" xr:uid="{00000000-0004-0000-0000-000001120000}"/>
    <hyperlink ref="I4612" r:id="rId4611" xr:uid="{00000000-0004-0000-0000-000002120000}"/>
    <hyperlink ref="I4613" r:id="rId4612" xr:uid="{00000000-0004-0000-0000-000003120000}"/>
    <hyperlink ref="I4614" r:id="rId4613" xr:uid="{00000000-0004-0000-0000-000004120000}"/>
    <hyperlink ref="I4615" r:id="rId4614" xr:uid="{00000000-0004-0000-0000-000005120000}"/>
    <hyperlink ref="I4616" r:id="rId4615" xr:uid="{00000000-0004-0000-0000-000006120000}"/>
    <hyperlink ref="I4617" r:id="rId4616" xr:uid="{00000000-0004-0000-0000-000007120000}"/>
    <hyperlink ref="I4618" r:id="rId4617" xr:uid="{00000000-0004-0000-0000-000008120000}"/>
    <hyperlink ref="I4619" r:id="rId4618" xr:uid="{00000000-0004-0000-0000-000009120000}"/>
    <hyperlink ref="I4620" r:id="rId4619" xr:uid="{00000000-0004-0000-0000-00000A120000}"/>
    <hyperlink ref="I4621" r:id="rId4620" xr:uid="{00000000-0004-0000-0000-00000B120000}"/>
    <hyperlink ref="I4622" r:id="rId4621" xr:uid="{00000000-0004-0000-0000-00000C120000}"/>
    <hyperlink ref="I4623" r:id="rId4622" xr:uid="{00000000-0004-0000-0000-00000D120000}"/>
    <hyperlink ref="I4624" r:id="rId4623" xr:uid="{00000000-0004-0000-0000-00000E120000}"/>
    <hyperlink ref="I4625" r:id="rId4624" xr:uid="{00000000-0004-0000-0000-00000F120000}"/>
    <hyperlink ref="I4626" r:id="rId4625" xr:uid="{00000000-0004-0000-0000-000010120000}"/>
    <hyperlink ref="I4627" r:id="rId4626" xr:uid="{00000000-0004-0000-0000-000011120000}"/>
    <hyperlink ref="I4628" r:id="rId4627" xr:uid="{00000000-0004-0000-0000-000012120000}"/>
    <hyperlink ref="I4629" r:id="rId4628" xr:uid="{00000000-0004-0000-0000-000013120000}"/>
    <hyperlink ref="I4630" r:id="rId4629" xr:uid="{00000000-0004-0000-0000-000014120000}"/>
    <hyperlink ref="I4631" r:id="rId4630" xr:uid="{00000000-0004-0000-0000-000015120000}"/>
    <hyperlink ref="I4632" r:id="rId4631" xr:uid="{00000000-0004-0000-0000-000016120000}"/>
    <hyperlink ref="I4633" r:id="rId4632" xr:uid="{00000000-0004-0000-0000-000017120000}"/>
    <hyperlink ref="I4634" r:id="rId4633" xr:uid="{00000000-0004-0000-0000-000018120000}"/>
    <hyperlink ref="I4635" r:id="rId4634" xr:uid="{00000000-0004-0000-0000-000019120000}"/>
    <hyperlink ref="I4636" r:id="rId4635" xr:uid="{00000000-0004-0000-0000-00001A120000}"/>
    <hyperlink ref="I4637" r:id="rId4636" xr:uid="{00000000-0004-0000-0000-00001B120000}"/>
    <hyperlink ref="I4638" r:id="rId4637" xr:uid="{00000000-0004-0000-0000-00001C120000}"/>
    <hyperlink ref="I4639" r:id="rId4638" xr:uid="{00000000-0004-0000-0000-00001D120000}"/>
    <hyperlink ref="I4640" r:id="rId4639" xr:uid="{00000000-0004-0000-0000-00001E120000}"/>
    <hyperlink ref="I4641" r:id="rId4640" xr:uid="{00000000-0004-0000-0000-00001F120000}"/>
    <hyperlink ref="I4642" r:id="rId4641" xr:uid="{00000000-0004-0000-0000-000020120000}"/>
    <hyperlink ref="I4643" r:id="rId4642" xr:uid="{00000000-0004-0000-0000-000021120000}"/>
    <hyperlink ref="I4644" r:id="rId4643" xr:uid="{00000000-0004-0000-0000-000022120000}"/>
    <hyperlink ref="I4645" r:id="rId4644" xr:uid="{00000000-0004-0000-0000-000023120000}"/>
    <hyperlink ref="I4646" r:id="rId4645" xr:uid="{00000000-0004-0000-0000-000024120000}"/>
    <hyperlink ref="I4647" r:id="rId4646" xr:uid="{00000000-0004-0000-0000-000025120000}"/>
    <hyperlink ref="I4648" r:id="rId4647" xr:uid="{00000000-0004-0000-0000-000026120000}"/>
    <hyperlink ref="I4649" r:id="rId4648" xr:uid="{00000000-0004-0000-0000-000027120000}"/>
    <hyperlink ref="I4650" r:id="rId4649" xr:uid="{00000000-0004-0000-0000-000028120000}"/>
    <hyperlink ref="I4651" r:id="rId4650" xr:uid="{00000000-0004-0000-0000-000029120000}"/>
    <hyperlink ref="I4652" r:id="rId4651" xr:uid="{00000000-0004-0000-0000-00002A120000}"/>
    <hyperlink ref="I4653" r:id="rId4652" xr:uid="{00000000-0004-0000-0000-00002B120000}"/>
    <hyperlink ref="I4654" r:id="rId4653" xr:uid="{00000000-0004-0000-0000-00002C120000}"/>
    <hyperlink ref="I4655" r:id="rId4654" xr:uid="{00000000-0004-0000-0000-00002D120000}"/>
    <hyperlink ref="I4656" r:id="rId4655" xr:uid="{00000000-0004-0000-0000-00002E120000}"/>
    <hyperlink ref="I4657" r:id="rId4656" xr:uid="{00000000-0004-0000-0000-00002F120000}"/>
    <hyperlink ref="I4658" r:id="rId4657" xr:uid="{00000000-0004-0000-0000-000030120000}"/>
    <hyperlink ref="I4659" r:id="rId4658" xr:uid="{00000000-0004-0000-0000-000031120000}"/>
    <hyperlink ref="I4660" r:id="rId4659" xr:uid="{00000000-0004-0000-0000-000032120000}"/>
    <hyperlink ref="I4661" r:id="rId4660" xr:uid="{00000000-0004-0000-0000-000033120000}"/>
    <hyperlink ref="I4662" r:id="rId4661" xr:uid="{00000000-0004-0000-0000-000034120000}"/>
    <hyperlink ref="I4663" r:id="rId4662" xr:uid="{00000000-0004-0000-0000-000035120000}"/>
    <hyperlink ref="I4664" r:id="rId4663" xr:uid="{00000000-0004-0000-0000-000036120000}"/>
    <hyperlink ref="I4665" r:id="rId4664" xr:uid="{00000000-0004-0000-0000-000037120000}"/>
    <hyperlink ref="I4666" r:id="rId4665" xr:uid="{00000000-0004-0000-0000-000038120000}"/>
    <hyperlink ref="I4667" r:id="rId4666" xr:uid="{00000000-0004-0000-0000-000039120000}"/>
    <hyperlink ref="I4668" r:id="rId4667" xr:uid="{00000000-0004-0000-0000-00003A120000}"/>
    <hyperlink ref="I4669" r:id="rId4668" xr:uid="{00000000-0004-0000-0000-00003B120000}"/>
    <hyperlink ref="I4670" r:id="rId4669" xr:uid="{00000000-0004-0000-0000-00003C120000}"/>
    <hyperlink ref="I4671" r:id="rId4670" xr:uid="{00000000-0004-0000-0000-00003D120000}"/>
    <hyperlink ref="I4672" r:id="rId4671" xr:uid="{00000000-0004-0000-0000-00003E120000}"/>
    <hyperlink ref="I4673" r:id="rId4672" xr:uid="{00000000-0004-0000-0000-00003F120000}"/>
    <hyperlink ref="I4674" r:id="rId4673" xr:uid="{00000000-0004-0000-0000-000040120000}"/>
    <hyperlink ref="I4675" r:id="rId4674" xr:uid="{00000000-0004-0000-0000-000041120000}"/>
    <hyperlink ref="I4676" r:id="rId4675" xr:uid="{00000000-0004-0000-0000-000042120000}"/>
    <hyperlink ref="I4677" r:id="rId4676" xr:uid="{00000000-0004-0000-0000-000043120000}"/>
    <hyperlink ref="I4678" r:id="rId4677" xr:uid="{00000000-0004-0000-0000-000044120000}"/>
    <hyperlink ref="I4679" r:id="rId4678" xr:uid="{00000000-0004-0000-0000-000045120000}"/>
    <hyperlink ref="I4680" r:id="rId4679" xr:uid="{00000000-0004-0000-0000-000046120000}"/>
    <hyperlink ref="I4681" r:id="rId4680" xr:uid="{00000000-0004-0000-0000-000047120000}"/>
    <hyperlink ref="I4682" r:id="rId4681" xr:uid="{00000000-0004-0000-0000-000048120000}"/>
    <hyperlink ref="I4683" r:id="rId4682" xr:uid="{00000000-0004-0000-0000-000049120000}"/>
    <hyperlink ref="I4684" r:id="rId4683" xr:uid="{00000000-0004-0000-0000-00004A120000}"/>
    <hyperlink ref="I4685" r:id="rId4684" xr:uid="{00000000-0004-0000-0000-00004B120000}"/>
    <hyperlink ref="I4686" r:id="rId4685" xr:uid="{00000000-0004-0000-0000-00004C120000}"/>
    <hyperlink ref="I4687" r:id="rId4686" xr:uid="{00000000-0004-0000-0000-00004D120000}"/>
    <hyperlink ref="I4688" r:id="rId4687" xr:uid="{00000000-0004-0000-0000-00004E120000}"/>
    <hyperlink ref="I4689" r:id="rId4688" xr:uid="{00000000-0004-0000-0000-00004F120000}"/>
    <hyperlink ref="I4690" r:id="rId4689" xr:uid="{00000000-0004-0000-0000-000050120000}"/>
    <hyperlink ref="I4691" r:id="rId4690" xr:uid="{00000000-0004-0000-0000-000051120000}"/>
    <hyperlink ref="I4692" r:id="rId4691" xr:uid="{00000000-0004-0000-0000-000052120000}"/>
    <hyperlink ref="I4693" r:id="rId4692" xr:uid="{00000000-0004-0000-0000-000053120000}"/>
    <hyperlink ref="I4694" r:id="rId4693" xr:uid="{00000000-0004-0000-0000-000054120000}"/>
    <hyperlink ref="I4695" r:id="rId4694" xr:uid="{00000000-0004-0000-0000-000055120000}"/>
    <hyperlink ref="I4696" r:id="rId4695" xr:uid="{00000000-0004-0000-0000-000056120000}"/>
    <hyperlink ref="I4697" r:id="rId4696" xr:uid="{00000000-0004-0000-0000-000057120000}"/>
    <hyperlink ref="I4698" r:id="rId4697" xr:uid="{00000000-0004-0000-0000-000058120000}"/>
    <hyperlink ref="I4699" r:id="rId4698" xr:uid="{00000000-0004-0000-0000-000059120000}"/>
    <hyperlink ref="I4700" r:id="rId4699" xr:uid="{00000000-0004-0000-0000-00005A120000}"/>
    <hyperlink ref="I4701" r:id="rId4700" xr:uid="{00000000-0004-0000-0000-00005B120000}"/>
    <hyperlink ref="I4702" r:id="rId4701" xr:uid="{00000000-0004-0000-0000-00005C120000}"/>
    <hyperlink ref="I4703" r:id="rId4702" xr:uid="{00000000-0004-0000-0000-00005D120000}"/>
    <hyperlink ref="I4704" r:id="rId4703" xr:uid="{00000000-0004-0000-0000-00005E120000}"/>
    <hyperlink ref="I4705" r:id="rId4704" xr:uid="{00000000-0004-0000-0000-00005F120000}"/>
    <hyperlink ref="I4706" r:id="rId4705" xr:uid="{00000000-0004-0000-0000-000060120000}"/>
    <hyperlink ref="I4707" r:id="rId4706" xr:uid="{00000000-0004-0000-0000-000061120000}"/>
    <hyperlink ref="I4708" r:id="rId4707" xr:uid="{00000000-0004-0000-0000-000062120000}"/>
    <hyperlink ref="I4709" r:id="rId4708" xr:uid="{00000000-0004-0000-0000-000063120000}"/>
    <hyperlink ref="I4710" r:id="rId4709" xr:uid="{00000000-0004-0000-0000-000064120000}"/>
    <hyperlink ref="I4711" r:id="rId4710" xr:uid="{00000000-0004-0000-0000-000065120000}"/>
    <hyperlink ref="I4712" r:id="rId4711" xr:uid="{00000000-0004-0000-0000-000066120000}"/>
    <hyperlink ref="I4713" r:id="rId4712" xr:uid="{00000000-0004-0000-0000-000067120000}"/>
    <hyperlink ref="I4714" r:id="rId4713" xr:uid="{00000000-0004-0000-0000-000068120000}"/>
    <hyperlink ref="I4715" r:id="rId4714" xr:uid="{00000000-0004-0000-0000-000069120000}"/>
    <hyperlink ref="I4716" r:id="rId4715" xr:uid="{00000000-0004-0000-0000-00006A120000}"/>
    <hyperlink ref="I4717" r:id="rId4716" xr:uid="{00000000-0004-0000-0000-00006B120000}"/>
    <hyperlink ref="I4718" r:id="rId4717" xr:uid="{00000000-0004-0000-0000-00006C120000}"/>
    <hyperlink ref="I4719" r:id="rId4718" xr:uid="{00000000-0004-0000-0000-00006D120000}"/>
    <hyperlink ref="I4720" r:id="rId4719" xr:uid="{00000000-0004-0000-0000-00006E120000}"/>
    <hyperlink ref="I4721" r:id="rId4720" xr:uid="{00000000-0004-0000-0000-00006F120000}"/>
    <hyperlink ref="I4722" r:id="rId4721" xr:uid="{00000000-0004-0000-0000-000070120000}"/>
    <hyperlink ref="I4723" r:id="rId4722" xr:uid="{00000000-0004-0000-0000-000071120000}"/>
    <hyperlink ref="I4724" r:id="rId4723" xr:uid="{00000000-0004-0000-0000-000072120000}"/>
    <hyperlink ref="I4725" r:id="rId4724" xr:uid="{00000000-0004-0000-0000-000073120000}"/>
    <hyperlink ref="I4726" r:id="rId4725" xr:uid="{00000000-0004-0000-0000-000074120000}"/>
    <hyperlink ref="I4727" r:id="rId4726" xr:uid="{00000000-0004-0000-0000-000075120000}"/>
    <hyperlink ref="I4728" r:id="rId4727" xr:uid="{00000000-0004-0000-0000-000076120000}"/>
    <hyperlink ref="I4729" r:id="rId4728" xr:uid="{00000000-0004-0000-0000-000077120000}"/>
    <hyperlink ref="I4730" r:id="rId4729" xr:uid="{00000000-0004-0000-0000-000078120000}"/>
    <hyperlink ref="I4731" r:id="rId4730" xr:uid="{00000000-0004-0000-0000-000079120000}"/>
    <hyperlink ref="I4732" r:id="rId4731" xr:uid="{00000000-0004-0000-0000-00007A120000}"/>
    <hyperlink ref="I4733" r:id="rId4732" xr:uid="{00000000-0004-0000-0000-00007B120000}"/>
    <hyperlink ref="I4734" r:id="rId4733" xr:uid="{00000000-0004-0000-0000-00007C120000}"/>
    <hyperlink ref="I4735" r:id="rId4734" xr:uid="{00000000-0004-0000-0000-00007D120000}"/>
    <hyperlink ref="I4736" r:id="rId4735" xr:uid="{00000000-0004-0000-0000-00007E120000}"/>
    <hyperlink ref="I4737" r:id="rId4736" xr:uid="{00000000-0004-0000-0000-00007F120000}"/>
    <hyperlink ref="I4738" r:id="rId4737" xr:uid="{00000000-0004-0000-0000-000080120000}"/>
    <hyperlink ref="I4739" r:id="rId4738" xr:uid="{00000000-0004-0000-0000-000081120000}"/>
    <hyperlink ref="I4740" r:id="rId4739" xr:uid="{00000000-0004-0000-0000-000082120000}"/>
    <hyperlink ref="I4741" r:id="rId4740" xr:uid="{00000000-0004-0000-0000-000083120000}"/>
    <hyperlink ref="I4742" r:id="rId4741" xr:uid="{00000000-0004-0000-0000-000084120000}"/>
    <hyperlink ref="I4743" r:id="rId4742" xr:uid="{00000000-0004-0000-0000-000085120000}"/>
    <hyperlink ref="I4744" r:id="rId4743" xr:uid="{00000000-0004-0000-0000-000086120000}"/>
    <hyperlink ref="I4745" r:id="rId4744" xr:uid="{00000000-0004-0000-0000-000087120000}"/>
    <hyperlink ref="I4746" r:id="rId4745" xr:uid="{00000000-0004-0000-0000-000088120000}"/>
    <hyperlink ref="I4747" r:id="rId4746" xr:uid="{00000000-0004-0000-0000-000089120000}"/>
    <hyperlink ref="I4748" r:id="rId4747" xr:uid="{00000000-0004-0000-0000-00008A120000}"/>
    <hyperlink ref="I4749" r:id="rId4748" xr:uid="{00000000-0004-0000-0000-00008B120000}"/>
    <hyperlink ref="I4750" r:id="rId4749" xr:uid="{00000000-0004-0000-0000-00008C120000}"/>
    <hyperlink ref="I4751" r:id="rId4750" xr:uid="{00000000-0004-0000-0000-00008D120000}"/>
    <hyperlink ref="I4752" r:id="rId4751" xr:uid="{00000000-0004-0000-0000-00008E120000}"/>
    <hyperlink ref="I4753" r:id="rId4752" xr:uid="{00000000-0004-0000-0000-00008F120000}"/>
    <hyperlink ref="I4754" r:id="rId4753" xr:uid="{00000000-0004-0000-0000-000090120000}"/>
    <hyperlink ref="I4755" r:id="rId4754" xr:uid="{00000000-0004-0000-0000-000091120000}"/>
    <hyperlink ref="I4756" r:id="rId4755" xr:uid="{00000000-0004-0000-0000-000092120000}"/>
    <hyperlink ref="I4757" r:id="rId4756" xr:uid="{00000000-0004-0000-0000-000093120000}"/>
    <hyperlink ref="I4758" r:id="rId4757" xr:uid="{00000000-0004-0000-0000-000094120000}"/>
    <hyperlink ref="I4759" r:id="rId4758" xr:uid="{00000000-0004-0000-0000-000095120000}"/>
    <hyperlink ref="I4760" r:id="rId4759" xr:uid="{00000000-0004-0000-0000-000096120000}"/>
    <hyperlink ref="I4761" r:id="rId4760" xr:uid="{00000000-0004-0000-0000-000097120000}"/>
    <hyperlink ref="I4762" r:id="rId4761" xr:uid="{00000000-0004-0000-0000-000098120000}"/>
    <hyperlink ref="I4763" r:id="rId4762" xr:uid="{00000000-0004-0000-0000-000099120000}"/>
    <hyperlink ref="I4764" r:id="rId4763" xr:uid="{00000000-0004-0000-0000-00009A120000}"/>
    <hyperlink ref="I4765" r:id="rId4764" xr:uid="{00000000-0004-0000-0000-00009B120000}"/>
    <hyperlink ref="I4766" r:id="rId4765" xr:uid="{00000000-0004-0000-0000-00009C120000}"/>
    <hyperlink ref="I4767" r:id="rId4766" xr:uid="{00000000-0004-0000-0000-00009D120000}"/>
    <hyperlink ref="I4768" r:id="rId4767" xr:uid="{00000000-0004-0000-0000-00009E120000}"/>
    <hyperlink ref="I4769" r:id="rId4768" xr:uid="{00000000-0004-0000-0000-00009F120000}"/>
    <hyperlink ref="I4770" r:id="rId4769" xr:uid="{00000000-0004-0000-0000-0000A0120000}"/>
    <hyperlink ref="I4771" r:id="rId4770" xr:uid="{00000000-0004-0000-0000-0000A1120000}"/>
    <hyperlink ref="I4772" r:id="rId4771" xr:uid="{00000000-0004-0000-0000-0000A2120000}"/>
    <hyperlink ref="I4773" r:id="rId4772" xr:uid="{00000000-0004-0000-0000-0000A3120000}"/>
    <hyperlink ref="I4774" r:id="rId4773" xr:uid="{00000000-0004-0000-0000-0000A4120000}"/>
    <hyperlink ref="I4775" r:id="rId4774" xr:uid="{00000000-0004-0000-0000-0000A5120000}"/>
    <hyperlink ref="I4776" r:id="rId4775" xr:uid="{00000000-0004-0000-0000-0000A6120000}"/>
    <hyperlink ref="I4777" r:id="rId4776" xr:uid="{00000000-0004-0000-0000-0000A7120000}"/>
    <hyperlink ref="I4778" r:id="rId4777" xr:uid="{00000000-0004-0000-0000-0000A8120000}"/>
    <hyperlink ref="I4779" r:id="rId4778" xr:uid="{00000000-0004-0000-0000-0000A9120000}"/>
    <hyperlink ref="I4780" r:id="rId4779" xr:uid="{00000000-0004-0000-0000-0000AA120000}"/>
    <hyperlink ref="I4781" r:id="rId4780" xr:uid="{00000000-0004-0000-0000-0000AB120000}"/>
    <hyperlink ref="I4782" r:id="rId4781" xr:uid="{00000000-0004-0000-0000-0000AC120000}"/>
    <hyperlink ref="I4783" r:id="rId4782" xr:uid="{00000000-0004-0000-0000-0000AD120000}"/>
    <hyperlink ref="I4784" r:id="rId4783" xr:uid="{00000000-0004-0000-0000-0000AE120000}"/>
    <hyperlink ref="I4785" r:id="rId4784" xr:uid="{00000000-0004-0000-0000-0000AF120000}"/>
    <hyperlink ref="I4786" r:id="rId4785" xr:uid="{00000000-0004-0000-0000-0000B0120000}"/>
    <hyperlink ref="I4787" r:id="rId4786" xr:uid="{00000000-0004-0000-0000-0000B1120000}"/>
    <hyperlink ref="I4788" r:id="rId4787" xr:uid="{00000000-0004-0000-0000-0000B2120000}"/>
    <hyperlink ref="I4789" r:id="rId4788" xr:uid="{00000000-0004-0000-0000-0000B3120000}"/>
    <hyperlink ref="I4790" r:id="rId4789" xr:uid="{00000000-0004-0000-0000-0000B4120000}"/>
    <hyperlink ref="I4791" r:id="rId4790" xr:uid="{00000000-0004-0000-0000-0000B5120000}"/>
    <hyperlink ref="I4792" r:id="rId4791" xr:uid="{00000000-0004-0000-0000-0000B6120000}"/>
    <hyperlink ref="I4793" r:id="rId4792" xr:uid="{00000000-0004-0000-0000-0000B7120000}"/>
    <hyperlink ref="I4794" r:id="rId4793" xr:uid="{00000000-0004-0000-0000-0000B8120000}"/>
    <hyperlink ref="I4795" r:id="rId4794" xr:uid="{00000000-0004-0000-0000-0000B9120000}"/>
    <hyperlink ref="I4796" r:id="rId4795" xr:uid="{00000000-0004-0000-0000-0000BA120000}"/>
    <hyperlink ref="I4797" r:id="rId4796" xr:uid="{00000000-0004-0000-0000-0000BB120000}"/>
    <hyperlink ref="I4798" r:id="rId4797" xr:uid="{00000000-0004-0000-0000-0000BC120000}"/>
    <hyperlink ref="I4799" r:id="rId4798" xr:uid="{00000000-0004-0000-0000-0000BD120000}"/>
    <hyperlink ref="I4800" r:id="rId4799" xr:uid="{00000000-0004-0000-0000-0000BE120000}"/>
    <hyperlink ref="I4801" r:id="rId4800" xr:uid="{00000000-0004-0000-0000-0000BF120000}"/>
    <hyperlink ref="I4802" r:id="rId4801" xr:uid="{00000000-0004-0000-0000-0000C0120000}"/>
    <hyperlink ref="I4803" r:id="rId4802" xr:uid="{00000000-0004-0000-0000-0000C1120000}"/>
    <hyperlink ref="I4804" r:id="rId4803" xr:uid="{00000000-0004-0000-0000-0000C2120000}"/>
    <hyperlink ref="I4805" r:id="rId4804" xr:uid="{00000000-0004-0000-0000-0000C3120000}"/>
    <hyperlink ref="I4806" r:id="rId4805" xr:uid="{00000000-0004-0000-0000-0000C4120000}"/>
    <hyperlink ref="I4807" r:id="rId4806" xr:uid="{00000000-0004-0000-0000-0000C5120000}"/>
    <hyperlink ref="I4808" r:id="rId4807" xr:uid="{00000000-0004-0000-0000-0000C6120000}"/>
    <hyperlink ref="I4809" r:id="rId4808" xr:uid="{00000000-0004-0000-0000-0000C7120000}"/>
    <hyperlink ref="I4810" r:id="rId4809" xr:uid="{00000000-0004-0000-0000-0000C8120000}"/>
    <hyperlink ref="I4811" r:id="rId4810" xr:uid="{00000000-0004-0000-0000-0000C9120000}"/>
    <hyperlink ref="I4812" r:id="rId4811" xr:uid="{00000000-0004-0000-0000-0000CA120000}"/>
    <hyperlink ref="I4813" r:id="rId4812" xr:uid="{00000000-0004-0000-0000-0000CB120000}"/>
    <hyperlink ref="I4814" r:id="rId4813" xr:uid="{00000000-0004-0000-0000-0000CC120000}"/>
    <hyperlink ref="I4815" r:id="rId4814" xr:uid="{00000000-0004-0000-0000-0000CD120000}"/>
    <hyperlink ref="I4816" r:id="rId4815" xr:uid="{00000000-0004-0000-0000-0000CE120000}"/>
    <hyperlink ref="I4817" r:id="rId4816" xr:uid="{00000000-0004-0000-0000-0000CF120000}"/>
    <hyperlink ref="I4818" r:id="rId4817" xr:uid="{00000000-0004-0000-0000-0000D0120000}"/>
    <hyperlink ref="I4819" r:id="rId4818" xr:uid="{00000000-0004-0000-0000-0000D1120000}"/>
    <hyperlink ref="I4820" r:id="rId4819" xr:uid="{00000000-0004-0000-0000-0000D2120000}"/>
    <hyperlink ref="I4821" r:id="rId4820" xr:uid="{00000000-0004-0000-0000-0000D3120000}"/>
    <hyperlink ref="I4822" r:id="rId4821" xr:uid="{00000000-0004-0000-0000-0000D4120000}"/>
    <hyperlink ref="I4823" r:id="rId4822" xr:uid="{00000000-0004-0000-0000-0000D5120000}"/>
    <hyperlink ref="I4824" r:id="rId4823" xr:uid="{00000000-0004-0000-0000-0000D6120000}"/>
    <hyperlink ref="I4825" r:id="rId4824" xr:uid="{00000000-0004-0000-0000-0000D7120000}"/>
    <hyperlink ref="I4826" r:id="rId4825" xr:uid="{00000000-0004-0000-0000-0000D8120000}"/>
    <hyperlink ref="I4827" r:id="rId4826" xr:uid="{00000000-0004-0000-0000-0000D9120000}"/>
    <hyperlink ref="I4828" r:id="rId4827" xr:uid="{00000000-0004-0000-0000-0000DA120000}"/>
    <hyperlink ref="I4829" r:id="rId4828" xr:uid="{00000000-0004-0000-0000-0000DB120000}"/>
    <hyperlink ref="I4830" r:id="rId4829" xr:uid="{00000000-0004-0000-0000-0000DC120000}"/>
    <hyperlink ref="I4831" r:id="rId4830" xr:uid="{00000000-0004-0000-0000-0000DD120000}"/>
    <hyperlink ref="I4832" r:id="rId4831" xr:uid="{00000000-0004-0000-0000-0000DE120000}"/>
    <hyperlink ref="I4833" r:id="rId4832" xr:uid="{00000000-0004-0000-0000-0000DF120000}"/>
    <hyperlink ref="I4834" r:id="rId4833" xr:uid="{00000000-0004-0000-0000-0000E0120000}"/>
    <hyperlink ref="I4835" r:id="rId4834" xr:uid="{00000000-0004-0000-0000-0000E1120000}"/>
    <hyperlink ref="I4836" r:id="rId4835" xr:uid="{00000000-0004-0000-0000-0000E2120000}"/>
    <hyperlink ref="I4837" r:id="rId4836" xr:uid="{00000000-0004-0000-0000-0000E3120000}"/>
    <hyperlink ref="I4838" r:id="rId4837" xr:uid="{00000000-0004-0000-0000-0000E4120000}"/>
    <hyperlink ref="I4839" r:id="rId4838" xr:uid="{00000000-0004-0000-0000-0000E5120000}"/>
    <hyperlink ref="I4840" r:id="rId4839" xr:uid="{00000000-0004-0000-0000-0000E6120000}"/>
    <hyperlink ref="I4841" r:id="rId4840" xr:uid="{00000000-0004-0000-0000-0000E7120000}"/>
    <hyperlink ref="I4842" r:id="rId4841" xr:uid="{00000000-0004-0000-0000-0000E8120000}"/>
    <hyperlink ref="I4843" r:id="rId4842" xr:uid="{00000000-0004-0000-0000-0000E9120000}"/>
    <hyperlink ref="I4844" r:id="rId4843" xr:uid="{00000000-0004-0000-0000-0000EA120000}"/>
    <hyperlink ref="I4845" r:id="rId4844" xr:uid="{00000000-0004-0000-0000-0000EB120000}"/>
    <hyperlink ref="I4846" r:id="rId4845" xr:uid="{00000000-0004-0000-0000-0000EC120000}"/>
    <hyperlink ref="I4847" r:id="rId4846" xr:uid="{00000000-0004-0000-0000-0000ED120000}"/>
    <hyperlink ref="I4848" r:id="rId4847" xr:uid="{00000000-0004-0000-0000-0000EE120000}"/>
    <hyperlink ref="I4849" r:id="rId4848" xr:uid="{00000000-0004-0000-0000-0000EF120000}"/>
    <hyperlink ref="I4850" r:id="rId4849" xr:uid="{00000000-0004-0000-0000-0000F0120000}"/>
    <hyperlink ref="I4851" r:id="rId4850" xr:uid="{00000000-0004-0000-0000-0000F1120000}"/>
    <hyperlink ref="I4852" r:id="rId4851" xr:uid="{00000000-0004-0000-0000-0000F2120000}"/>
    <hyperlink ref="I4853" r:id="rId4852" xr:uid="{00000000-0004-0000-0000-0000F3120000}"/>
    <hyperlink ref="I4854" r:id="rId4853" xr:uid="{00000000-0004-0000-0000-0000F4120000}"/>
    <hyperlink ref="I4855" r:id="rId4854" xr:uid="{00000000-0004-0000-0000-0000F5120000}"/>
    <hyperlink ref="I4856" r:id="rId4855" xr:uid="{00000000-0004-0000-0000-0000F6120000}"/>
    <hyperlink ref="I4857" r:id="rId4856" xr:uid="{00000000-0004-0000-0000-0000F7120000}"/>
    <hyperlink ref="I4858" r:id="rId4857" xr:uid="{00000000-0004-0000-0000-0000F8120000}"/>
    <hyperlink ref="I4859" r:id="rId4858" xr:uid="{00000000-0004-0000-0000-0000F9120000}"/>
    <hyperlink ref="I4860" r:id="rId4859" xr:uid="{00000000-0004-0000-0000-0000FA120000}"/>
    <hyperlink ref="I4861" r:id="rId4860" xr:uid="{00000000-0004-0000-0000-0000FB120000}"/>
    <hyperlink ref="I4862" r:id="rId4861" xr:uid="{00000000-0004-0000-0000-0000FC120000}"/>
    <hyperlink ref="I4863" r:id="rId4862" xr:uid="{00000000-0004-0000-0000-0000FD120000}"/>
    <hyperlink ref="I4864" r:id="rId4863" xr:uid="{00000000-0004-0000-0000-0000FE120000}"/>
    <hyperlink ref="I4865" r:id="rId4864" xr:uid="{00000000-0004-0000-0000-0000FF120000}"/>
    <hyperlink ref="I4866" r:id="rId4865" xr:uid="{00000000-0004-0000-0000-000000130000}"/>
    <hyperlink ref="I4867" r:id="rId4866" xr:uid="{00000000-0004-0000-0000-000001130000}"/>
    <hyperlink ref="I4868" r:id="rId4867" xr:uid="{00000000-0004-0000-0000-000002130000}"/>
    <hyperlink ref="I4869" r:id="rId4868" xr:uid="{00000000-0004-0000-0000-000003130000}"/>
    <hyperlink ref="I4870" r:id="rId4869" xr:uid="{00000000-0004-0000-0000-000004130000}"/>
    <hyperlink ref="I4871" r:id="rId4870" xr:uid="{00000000-0004-0000-0000-000005130000}"/>
    <hyperlink ref="I4872" r:id="rId4871" xr:uid="{00000000-0004-0000-0000-000006130000}"/>
    <hyperlink ref="I4873" r:id="rId4872" xr:uid="{00000000-0004-0000-0000-000007130000}"/>
    <hyperlink ref="I4874" r:id="rId4873" xr:uid="{00000000-0004-0000-0000-000008130000}"/>
    <hyperlink ref="I4875" r:id="rId4874" xr:uid="{00000000-0004-0000-0000-000009130000}"/>
    <hyperlink ref="I4876" r:id="rId4875" xr:uid="{00000000-0004-0000-0000-00000A130000}"/>
    <hyperlink ref="I4877" r:id="rId4876" xr:uid="{00000000-0004-0000-0000-00000B130000}"/>
    <hyperlink ref="I4878" r:id="rId4877" xr:uid="{00000000-0004-0000-0000-00000C130000}"/>
    <hyperlink ref="I4879" r:id="rId4878" xr:uid="{00000000-0004-0000-0000-00000D130000}"/>
    <hyperlink ref="I4880" r:id="rId4879" xr:uid="{00000000-0004-0000-0000-00000E130000}"/>
    <hyperlink ref="I4881" r:id="rId4880" xr:uid="{00000000-0004-0000-0000-00000F130000}"/>
    <hyperlink ref="I4882" r:id="rId4881" xr:uid="{00000000-0004-0000-0000-000010130000}"/>
    <hyperlink ref="I4883" r:id="rId4882" xr:uid="{00000000-0004-0000-0000-000011130000}"/>
    <hyperlink ref="I4884" r:id="rId4883" xr:uid="{00000000-0004-0000-0000-000012130000}"/>
    <hyperlink ref="I4885" r:id="rId4884" xr:uid="{00000000-0004-0000-0000-000013130000}"/>
    <hyperlink ref="I4886" r:id="rId4885" xr:uid="{00000000-0004-0000-0000-000014130000}"/>
    <hyperlink ref="I4887" r:id="rId4886" xr:uid="{00000000-0004-0000-0000-000015130000}"/>
    <hyperlink ref="I4888" r:id="rId4887" xr:uid="{00000000-0004-0000-0000-000016130000}"/>
    <hyperlink ref="I4889" r:id="rId4888" xr:uid="{00000000-0004-0000-0000-000017130000}"/>
    <hyperlink ref="I4890" r:id="rId4889" xr:uid="{00000000-0004-0000-0000-000018130000}"/>
    <hyperlink ref="I4891" r:id="rId4890" xr:uid="{00000000-0004-0000-0000-000019130000}"/>
    <hyperlink ref="I4892" r:id="rId4891" xr:uid="{00000000-0004-0000-0000-00001A130000}"/>
    <hyperlink ref="I4893" r:id="rId4892" xr:uid="{00000000-0004-0000-0000-00001B130000}"/>
    <hyperlink ref="I4894" r:id="rId4893" xr:uid="{00000000-0004-0000-0000-00001C130000}"/>
    <hyperlink ref="I4895" r:id="rId4894" xr:uid="{00000000-0004-0000-0000-00001D130000}"/>
    <hyperlink ref="I4896" r:id="rId4895" xr:uid="{00000000-0004-0000-0000-00001E130000}"/>
    <hyperlink ref="I4897" r:id="rId4896" xr:uid="{00000000-0004-0000-0000-00001F130000}"/>
    <hyperlink ref="I4898" r:id="rId4897" xr:uid="{00000000-0004-0000-0000-000020130000}"/>
    <hyperlink ref="I4899" r:id="rId4898" xr:uid="{00000000-0004-0000-0000-000021130000}"/>
    <hyperlink ref="I4900" r:id="rId4899" xr:uid="{00000000-0004-0000-0000-000022130000}"/>
    <hyperlink ref="I4901" r:id="rId4900" xr:uid="{00000000-0004-0000-0000-000023130000}"/>
    <hyperlink ref="I4902" r:id="rId4901" xr:uid="{00000000-0004-0000-0000-000024130000}"/>
    <hyperlink ref="I4903" r:id="rId4902" xr:uid="{00000000-0004-0000-0000-000025130000}"/>
    <hyperlink ref="I4904" r:id="rId4903" xr:uid="{00000000-0004-0000-0000-000026130000}"/>
    <hyperlink ref="I4905" r:id="rId4904" xr:uid="{00000000-0004-0000-0000-000027130000}"/>
    <hyperlink ref="I4906" r:id="rId4905" xr:uid="{00000000-0004-0000-0000-000028130000}"/>
    <hyperlink ref="I4907" r:id="rId4906" xr:uid="{00000000-0004-0000-0000-000029130000}"/>
    <hyperlink ref="I4908" r:id="rId4907" xr:uid="{00000000-0004-0000-0000-00002A130000}"/>
    <hyperlink ref="I4909" r:id="rId4908" xr:uid="{00000000-0004-0000-0000-00002B130000}"/>
    <hyperlink ref="I4910" r:id="rId4909" xr:uid="{00000000-0004-0000-0000-00002C130000}"/>
    <hyperlink ref="I4911" r:id="rId4910" xr:uid="{00000000-0004-0000-0000-00002D130000}"/>
    <hyperlink ref="I4912" r:id="rId4911" xr:uid="{00000000-0004-0000-0000-00002E130000}"/>
    <hyperlink ref="I4913" r:id="rId4912" xr:uid="{00000000-0004-0000-0000-00002F130000}"/>
    <hyperlink ref="I4914" r:id="rId4913" xr:uid="{00000000-0004-0000-0000-000030130000}"/>
    <hyperlink ref="I4915" r:id="rId4914" xr:uid="{00000000-0004-0000-0000-000031130000}"/>
    <hyperlink ref="I4916" r:id="rId4915" xr:uid="{00000000-0004-0000-0000-000032130000}"/>
    <hyperlink ref="I4917" r:id="rId4916" xr:uid="{00000000-0004-0000-0000-000033130000}"/>
    <hyperlink ref="I4918" r:id="rId4917" xr:uid="{00000000-0004-0000-0000-000034130000}"/>
    <hyperlink ref="I4919" r:id="rId4918" xr:uid="{00000000-0004-0000-0000-000035130000}"/>
    <hyperlink ref="I4920" r:id="rId4919" xr:uid="{00000000-0004-0000-0000-000036130000}"/>
    <hyperlink ref="I4921" r:id="rId4920" xr:uid="{00000000-0004-0000-0000-000037130000}"/>
    <hyperlink ref="I4922" r:id="rId4921" xr:uid="{00000000-0004-0000-0000-000038130000}"/>
    <hyperlink ref="I4923" r:id="rId4922" xr:uid="{00000000-0004-0000-0000-000039130000}"/>
    <hyperlink ref="I4924" r:id="rId4923" xr:uid="{00000000-0004-0000-0000-00003A130000}"/>
    <hyperlink ref="I4925" r:id="rId4924" xr:uid="{00000000-0004-0000-0000-00003B130000}"/>
    <hyperlink ref="I4926" r:id="rId4925" xr:uid="{00000000-0004-0000-0000-00003C130000}"/>
    <hyperlink ref="I4927" r:id="rId4926" xr:uid="{00000000-0004-0000-0000-00003D130000}"/>
    <hyperlink ref="I4928" r:id="rId4927" xr:uid="{00000000-0004-0000-0000-00003E130000}"/>
    <hyperlink ref="I4929" r:id="rId4928" xr:uid="{00000000-0004-0000-0000-00003F130000}"/>
    <hyperlink ref="I4930" r:id="rId4929" xr:uid="{00000000-0004-0000-0000-000040130000}"/>
    <hyperlink ref="I4931" r:id="rId4930" xr:uid="{00000000-0004-0000-0000-000041130000}"/>
    <hyperlink ref="I4932" r:id="rId4931" xr:uid="{00000000-0004-0000-0000-000042130000}"/>
    <hyperlink ref="I4933" r:id="rId4932" xr:uid="{00000000-0004-0000-0000-000043130000}"/>
    <hyperlink ref="I4934" r:id="rId4933" xr:uid="{00000000-0004-0000-0000-000044130000}"/>
    <hyperlink ref="I4935" r:id="rId4934" xr:uid="{00000000-0004-0000-0000-000045130000}"/>
    <hyperlink ref="I4936" r:id="rId4935" xr:uid="{00000000-0004-0000-0000-000046130000}"/>
    <hyperlink ref="I4937" r:id="rId4936" xr:uid="{00000000-0004-0000-0000-000047130000}"/>
    <hyperlink ref="I4938" r:id="rId4937" xr:uid="{00000000-0004-0000-0000-000048130000}"/>
    <hyperlink ref="I4939" r:id="rId4938" xr:uid="{00000000-0004-0000-0000-000049130000}"/>
    <hyperlink ref="I4940" r:id="rId4939" xr:uid="{00000000-0004-0000-0000-00004A130000}"/>
    <hyperlink ref="I4941" r:id="rId4940" xr:uid="{00000000-0004-0000-0000-00004B130000}"/>
    <hyperlink ref="I4942" r:id="rId4941" xr:uid="{00000000-0004-0000-0000-00004C130000}"/>
    <hyperlink ref="I4943" r:id="rId4942" xr:uid="{00000000-0004-0000-0000-00004D130000}"/>
    <hyperlink ref="I4944" r:id="rId4943" xr:uid="{00000000-0004-0000-0000-00004E130000}"/>
    <hyperlink ref="I4945" r:id="rId4944" xr:uid="{00000000-0004-0000-0000-00004F130000}"/>
    <hyperlink ref="I4946" r:id="rId4945" xr:uid="{00000000-0004-0000-0000-000050130000}"/>
    <hyperlink ref="I4947" r:id="rId4946" xr:uid="{00000000-0004-0000-0000-000051130000}"/>
    <hyperlink ref="I4948" r:id="rId4947" xr:uid="{00000000-0004-0000-0000-000052130000}"/>
    <hyperlink ref="I4949" r:id="rId4948" xr:uid="{00000000-0004-0000-0000-000053130000}"/>
    <hyperlink ref="I4950" r:id="rId4949" xr:uid="{00000000-0004-0000-0000-000054130000}"/>
    <hyperlink ref="I4951" r:id="rId4950" xr:uid="{00000000-0004-0000-0000-000055130000}"/>
    <hyperlink ref="I4952" r:id="rId4951" xr:uid="{00000000-0004-0000-0000-000056130000}"/>
    <hyperlink ref="I4953" r:id="rId4952" xr:uid="{00000000-0004-0000-0000-000057130000}"/>
    <hyperlink ref="I4954" r:id="rId4953" xr:uid="{00000000-0004-0000-0000-000058130000}"/>
    <hyperlink ref="I4955" r:id="rId4954" xr:uid="{00000000-0004-0000-0000-000059130000}"/>
    <hyperlink ref="I4956" r:id="rId4955" xr:uid="{00000000-0004-0000-0000-00005A130000}"/>
    <hyperlink ref="I4957" r:id="rId4956" xr:uid="{00000000-0004-0000-0000-00005B130000}"/>
    <hyperlink ref="I4958" r:id="rId4957" xr:uid="{00000000-0004-0000-0000-00005C130000}"/>
    <hyperlink ref="I4959" r:id="rId4958" xr:uid="{00000000-0004-0000-0000-00005D130000}"/>
    <hyperlink ref="I4960" r:id="rId4959" xr:uid="{00000000-0004-0000-0000-00005E130000}"/>
    <hyperlink ref="I4961" r:id="rId4960" xr:uid="{00000000-0004-0000-0000-00005F130000}"/>
    <hyperlink ref="I4962" r:id="rId4961" xr:uid="{00000000-0004-0000-0000-000060130000}"/>
    <hyperlink ref="I4963" r:id="rId4962" xr:uid="{00000000-0004-0000-0000-000061130000}"/>
    <hyperlink ref="I4964" r:id="rId4963" xr:uid="{00000000-0004-0000-0000-000062130000}"/>
    <hyperlink ref="I4965" r:id="rId4964" xr:uid="{00000000-0004-0000-0000-000063130000}"/>
    <hyperlink ref="I4966" r:id="rId4965" xr:uid="{00000000-0004-0000-0000-000064130000}"/>
    <hyperlink ref="I4967" r:id="rId4966" xr:uid="{00000000-0004-0000-0000-000065130000}"/>
    <hyperlink ref="I4968" r:id="rId4967" xr:uid="{00000000-0004-0000-0000-000066130000}"/>
    <hyperlink ref="I4969" r:id="rId4968" xr:uid="{00000000-0004-0000-0000-000067130000}"/>
    <hyperlink ref="I4970" r:id="rId4969" xr:uid="{00000000-0004-0000-0000-000068130000}"/>
    <hyperlink ref="I4971" r:id="rId4970" xr:uid="{00000000-0004-0000-0000-000069130000}"/>
    <hyperlink ref="I4972" r:id="rId4971" xr:uid="{00000000-0004-0000-0000-00006A130000}"/>
    <hyperlink ref="I4973" r:id="rId4972" xr:uid="{00000000-0004-0000-0000-00006B130000}"/>
    <hyperlink ref="I4974" r:id="rId4973" xr:uid="{00000000-0004-0000-0000-00006C130000}"/>
    <hyperlink ref="I4975" r:id="rId4974" xr:uid="{00000000-0004-0000-0000-00006D130000}"/>
    <hyperlink ref="I4976" r:id="rId4975" xr:uid="{00000000-0004-0000-0000-00006E130000}"/>
    <hyperlink ref="I4977" r:id="rId4976" xr:uid="{00000000-0004-0000-0000-00006F130000}"/>
    <hyperlink ref="I4978" r:id="rId4977" xr:uid="{00000000-0004-0000-0000-000070130000}"/>
    <hyperlink ref="I4979" r:id="rId4978" xr:uid="{00000000-0004-0000-0000-000071130000}"/>
    <hyperlink ref="I4980" r:id="rId4979" xr:uid="{00000000-0004-0000-0000-000072130000}"/>
    <hyperlink ref="I4981" r:id="rId4980" xr:uid="{00000000-0004-0000-0000-000073130000}"/>
    <hyperlink ref="I4982" r:id="rId4981" xr:uid="{00000000-0004-0000-0000-000074130000}"/>
    <hyperlink ref="I4983" r:id="rId4982" xr:uid="{00000000-0004-0000-0000-000075130000}"/>
    <hyperlink ref="I4984" r:id="rId4983" xr:uid="{00000000-0004-0000-0000-000076130000}"/>
    <hyperlink ref="I4985" r:id="rId4984" xr:uid="{00000000-0004-0000-0000-000077130000}"/>
    <hyperlink ref="I4986" r:id="rId4985" xr:uid="{00000000-0004-0000-0000-000078130000}"/>
    <hyperlink ref="I4987" r:id="rId4986" xr:uid="{00000000-0004-0000-0000-000079130000}"/>
    <hyperlink ref="I4988" r:id="rId4987" xr:uid="{00000000-0004-0000-0000-00007A130000}"/>
    <hyperlink ref="I4989" r:id="rId4988" xr:uid="{00000000-0004-0000-0000-00007B130000}"/>
    <hyperlink ref="I4990" r:id="rId4989" xr:uid="{00000000-0004-0000-0000-00007C130000}"/>
    <hyperlink ref="I4991" r:id="rId4990" xr:uid="{00000000-0004-0000-0000-00007D130000}"/>
    <hyperlink ref="I4992" r:id="rId4991" xr:uid="{00000000-0004-0000-0000-00007E130000}"/>
    <hyperlink ref="I4993" r:id="rId4992" xr:uid="{00000000-0004-0000-0000-00007F130000}"/>
    <hyperlink ref="I4994" r:id="rId4993" xr:uid="{00000000-0004-0000-0000-000080130000}"/>
    <hyperlink ref="I4995" r:id="rId4994" xr:uid="{00000000-0004-0000-0000-000081130000}"/>
    <hyperlink ref="I4996" r:id="rId4995" xr:uid="{00000000-0004-0000-0000-000082130000}"/>
    <hyperlink ref="I4997" r:id="rId4996" xr:uid="{00000000-0004-0000-0000-000083130000}"/>
    <hyperlink ref="I4998" r:id="rId4997" xr:uid="{00000000-0004-0000-0000-000084130000}"/>
    <hyperlink ref="I4999" r:id="rId4998" xr:uid="{00000000-0004-0000-0000-000085130000}"/>
    <hyperlink ref="I5000" r:id="rId4999" xr:uid="{00000000-0004-0000-0000-000086130000}"/>
    <hyperlink ref="I5001" r:id="rId5000" xr:uid="{00000000-0004-0000-0000-000087130000}"/>
    <hyperlink ref="I5002" r:id="rId5001" xr:uid="{00000000-0004-0000-0000-000088130000}"/>
    <hyperlink ref="I5003" r:id="rId5002" xr:uid="{00000000-0004-0000-0000-000089130000}"/>
    <hyperlink ref="I5004" r:id="rId5003" xr:uid="{00000000-0004-0000-0000-00008A130000}"/>
    <hyperlink ref="I5005" r:id="rId5004" xr:uid="{00000000-0004-0000-0000-00008B130000}"/>
    <hyperlink ref="I5006" r:id="rId5005" xr:uid="{00000000-0004-0000-0000-00008C130000}"/>
    <hyperlink ref="I5007" r:id="rId5006" xr:uid="{00000000-0004-0000-0000-00008D130000}"/>
    <hyperlink ref="I5008" r:id="rId5007" xr:uid="{00000000-0004-0000-0000-00008E130000}"/>
    <hyperlink ref="I5009" r:id="rId5008" xr:uid="{00000000-0004-0000-0000-00008F130000}"/>
    <hyperlink ref="I5010" r:id="rId5009" xr:uid="{00000000-0004-0000-0000-000090130000}"/>
    <hyperlink ref="I5011" r:id="rId5010" xr:uid="{00000000-0004-0000-0000-000091130000}"/>
    <hyperlink ref="I5012" r:id="rId5011" xr:uid="{00000000-0004-0000-0000-000092130000}"/>
    <hyperlink ref="I5013" r:id="rId5012" xr:uid="{00000000-0004-0000-0000-000093130000}"/>
    <hyperlink ref="I5014" r:id="rId5013" xr:uid="{00000000-0004-0000-0000-000094130000}"/>
    <hyperlink ref="I5015" r:id="rId5014" xr:uid="{00000000-0004-0000-0000-000095130000}"/>
    <hyperlink ref="I5016" r:id="rId5015" xr:uid="{00000000-0004-0000-0000-000096130000}"/>
    <hyperlink ref="I5017" r:id="rId5016" xr:uid="{00000000-0004-0000-0000-000097130000}"/>
    <hyperlink ref="I5018" r:id="rId5017" xr:uid="{00000000-0004-0000-0000-000098130000}"/>
    <hyperlink ref="I5019" r:id="rId5018" xr:uid="{00000000-0004-0000-0000-000099130000}"/>
    <hyperlink ref="I5020" r:id="rId5019" xr:uid="{00000000-0004-0000-0000-00009A130000}"/>
    <hyperlink ref="I5021" r:id="rId5020" xr:uid="{00000000-0004-0000-0000-00009B130000}"/>
    <hyperlink ref="I5022" r:id="rId5021" xr:uid="{00000000-0004-0000-0000-00009C130000}"/>
    <hyperlink ref="I5023" r:id="rId5022" xr:uid="{00000000-0004-0000-0000-00009D130000}"/>
    <hyperlink ref="I5024" r:id="rId5023" xr:uid="{00000000-0004-0000-0000-00009E130000}"/>
    <hyperlink ref="I5025" r:id="rId5024" xr:uid="{00000000-0004-0000-0000-00009F130000}"/>
    <hyperlink ref="I5026" r:id="rId5025" xr:uid="{00000000-0004-0000-0000-0000A0130000}"/>
    <hyperlink ref="I5027" r:id="rId5026" xr:uid="{00000000-0004-0000-0000-0000A1130000}"/>
    <hyperlink ref="I5028" r:id="rId5027" xr:uid="{00000000-0004-0000-0000-0000A2130000}"/>
    <hyperlink ref="I5029" r:id="rId5028" xr:uid="{00000000-0004-0000-0000-0000A3130000}"/>
    <hyperlink ref="I5030" r:id="rId5029" xr:uid="{00000000-0004-0000-0000-0000A4130000}"/>
    <hyperlink ref="I5031" r:id="rId5030" xr:uid="{00000000-0004-0000-0000-0000A5130000}"/>
    <hyperlink ref="I5032" r:id="rId5031" xr:uid="{00000000-0004-0000-0000-0000A6130000}"/>
    <hyperlink ref="I5033" r:id="rId5032" xr:uid="{00000000-0004-0000-0000-0000A7130000}"/>
    <hyperlink ref="I5034" r:id="rId5033" xr:uid="{00000000-0004-0000-0000-0000A8130000}"/>
    <hyperlink ref="I5035" r:id="rId5034" xr:uid="{00000000-0004-0000-0000-0000A9130000}"/>
    <hyperlink ref="I5036" r:id="rId5035" xr:uid="{00000000-0004-0000-0000-0000AA130000}"/>
    <hyperlink ref="I5037" r:id="rId5036" xr:uid="{00000000-0004-0000-0000-0000AB130000}"/>
    <hyperlink ref="I5038" r:id="rId5037" xr:uid="{00000000-0004-0000-0000-0000AC130000}"/>
    <hyperlink ref="I5039" r:id="rId5038" xr:uid="{00000000-0004-0000-0000-0000AD130000}"/>
    <hyperlink ref="I5040" r:id="rId5039" xr:uid="{00000000-0004-0000-0000-0000AE130000}"/>
    <hyperlink ref="I5041" r:id="rId5040" xr:uid="{00000000-0004-0000-0000-0000AF130000}"/>
    <hyperlink ref="I5042" r:id="rId5041" xr:uid="{00000000-0004-0000-0000-0000B0130000}"/>
    <hyperlink ref="I5043" r:id="rId5042" xr:uid="{00000000-0004-0000-0000-0000B1130000}"/>
    <hyperlink ref="I5044" r:id="rId5043" xr:uid="{00000000-0004-0000-0000-0000B2130000}"/>
    <hyperlink ref="I5045" r:id="rId5044" xr:uid="{00000000-0004-0000-0000-0000B3130000}"/>
    <hyperlink ref="I5046" r:id="rId5045" xr:uid="{00000000-0004-0000-0000-0000B4130000}"/>
    <hyperlink ref="I5047" r:id="rId5046" xr:uid="{00000000-0004-0000-0000-0000B5130000}"/>
    <hyperlink ref="I5048" r:id="rId5047" xr:uid="{00000000-0004-0000-0000-0000B6130000}"/>
    <hyperlink ref="I5049" r:id="rId5048" xr:uid="{00000000-0004-0000-0000-0000B7130000}"/>
    <hyperlink ref="I5050" r:id="rId5049" xr:uid="{00000000-0004-0000-0000-0000B8130000}"/>
    <hyperlink ref="I5051" r:id="rId5050" xr:uid="{00000000-0004-0000-0000-0000B9130000}"/>
    <hyperlink ref="I5052" r:id="rId5051" xr:uid="{00000000-0004-0000-0000-0000BA130000}"/>
    <hyperlink ref="I5053" r:id="rId5052" xr:uid="{00000000-0004-0000-0000-0000BB130000}"/>
    <hyperlink ref="I5054" r:id="rId5053" xr:uid="{00000000-0004-0000-0000-0000BC130000}"/>
    <hyperlink ref="I5055" r:id="rId5054" xr:uid="{00000000-0004-0000-0000-0000BD130000}"/>
    <hyperlink ref="I5056" r:id="rId5055" xr:uid="{00000000-0004-0000-0000-0000BE130000}"/>
    <hyperlink ref="I5057" r:id="rId5056" xr:uid="{00000000-0004-0000-0000-0000BF130000}"/>
    <hyperlink ref="I5058" r:id="rId5057" xr:uid="{00000000-0004-0000-0000-0000C0130000}"/>
    <hyperlink ref="I5059" r:id="rId5058" xr:uid="{00000000-0004-0000-0000-0000C1130000}"/>
    <hyperlink ref="I5060" r:id="rId5059" xr:uid="{00000000-0004-0000-0000-0000C2130000}"/>
    <hyperlink ref="I5061" r:id="rId5060" xr:uid="{00000000-0004-0000-0000-0000C3130000}"/>
    <hyperlink ref="I5062" r:id="rId5061" xr:uid="{00000000-0004-0000-0000-0000C4130000}"/>
    <hyperlink ref="I5063" r:id="rId5062" xr:uid="{00000000-0004-0000-0000-0000C5130000}"/>
    <hyperlink ref="I5064" r:id="rId5063" xr:uid="{00000000-0004-0000-0000-0000C6130000}"/>
    <hyperlink ref="I5065" r:id="rId5064" xr:uid="{00000000-0004-0000-0000-0000C7130000}"/>
    <hyperlink ref="I5066" r:id="rId5065" xr:uid="{00000000-0004-0000-0000-0000C8130000}"/>
    <hyperlink ref="I5067" r:id="rId5066" xr:uid="{00000000-0004-0000-0000-0000C9130000}"/>
    <hyperlink ref="I5068" r:id="rId5067" xr:uid="{00000000-0004-0000-0000-0000CA130000}"/>
    <hyperlink ref="I5069" r:id="rId5068" xr:uid="{00000000-0004-0000-0000-0000CB130000}"/>
    <hyperlink ref="I5070" r:id="rId5069" xr:uid="{00000000-0004-0000-0000-0000CC130000}"/>
    <hyperlink ref="I5071" r:id="rId5070" xr:uid="{00000000-0004-0000-0000-0000CD130000}"/>
    <hyperlink ref="I5072" r:id="rId5071" xr:uid="{00000000-0004-0000-0000-0000CE130000}"/>
    <hyperlink ref="I5073" r:id="rId5072" xr:uid="{00000000-0004-0000-0000-0000CF130000}"/>
    <hyperlink ref="I5074" r:id="rId5073" xr:uid="{00000000-0004-0000-0000-0000D0130000}"/>
    <hyperlink ref="I5075" r:id="rId5074" xr:uid="{00000000-0004-0000-0000-0000D1130000}"/>
    <hyperlink ref="I5076" r:id="rId5075" xr:uid="{00000000-0004-0000-0000-0000D2130000}"/>
    <hyperlink ref="I5077" r:id="rId5076" xr:uid="{00000000-0004-0000-0000-0000D3130000}"/>
    <hyperlink ref="I5078" r:id="rId5077" xr:uid="{00000000-0004-0000-0000-0000D4130000}"/>
    <hyperlink ref="I5079" r:id="rId5078" xr:uid="{00000000-0004-0000-0000-0000D5130000}"/>
    <hyperlink ref="I5080" r:id="rId5079" xr:uid="{00000000-0004-0000-0000-0000D6130000}"/>
    <hyperlink ref="I5081" r:id="rId5080" xr:uid="{00000000-0004-0000-0000-0000D7130000}"/>
    <hyperlink ref="I5082" r:id="rId5081" xr:uid="{00000000-0004-0000-0000-0000D8130000}"/>
    <hyperlink ref="I5083" r:id="rId5082" xr:uid="{00000000-0004-0000-0000-0000D9130000}"/>
    <hyperlink ref="I5084" r:id="rId5083" xr:uid="{00000000-0004-0000-0000-0000DA130000}"/>
    <hyperlink ref="I5085" r:id="rId5084" xr:uid="{00000000-0004-0000-0000-0000DB130000}"/>
    <hyperlink ref="I5086" r:id="rId5085" xr:uid="{00000000-0004-0000-0000-0000DC130000}"/>
    <hyperlink ref="I5087" r:id="rId5086" xr:uid="{00000000-0004-0000-0000-0000DD130000}"/>
    <hyperlink ref="I5088" r:id="rId5087" xr:uid="{00000000-0004-0000-0000-0000DE130000}"/>
    <hyperlink ref="I5089" r:id="rId5088" xr:uid="{00000000-0004-0000-0000-0000DF130000}"/>
    <hyperlink ref="I5090" r:id="rId5089" xr:uid="{00000000-0004-0000-0000-0000E0130000}"/>
    <hyperlink ref="I5091" r:id="rId5090" xr:uid="{00000000-0004-0000-0000-0000E1130000}"/>
    <hyperlink ref="I5092" r:id="rId5091" xr:uid="{00000000-0004-0000-0000-0000E2130000}"/>
    <hyperlink ref="I5093" r:id="rId5092" xr:uid="{00000000-0004-0000-0000-0000E3130000}"/>
    <hyperlink ref="I5094" r:id="rId5093" xr:uid="{00000000-0004-0000-0000-0000E4130000}"/>
    <hyperlink ref="I5095" r:id="rId5094" xr:uid="{00000000-0004-0000-0000-0000E5130000}"/>
    <hyperlink ref="I5096" r:id="rId5095" xr:uid="{00000000-0004-0000-0000-0000E6130000}"/>
    <hyperlink ref="I5097" r:id="rId5096" xr:uid="{00000000-0004-0000-0000-0000E7130000}"/>
    <hyperlink ref="I5098" r:id="rId5097" xr:uid="{00000000-0004-0000-0000-0000E8130000}"/>
    <hyperlink ref="I5099" r:id="rId5098" xr:uid="{00000000-0004-0000-0000-0000E9130000}"/>
    <hyperlink ref="I5100" r:id="rId5099" xr:uid="{00000000-0004-0000-0000-0000EA130000}"/>
    <hyperlink ref="I5101" r:id="rId5100" xr:uid="{00000000-0004-0000-0000-0000EB130000}"/>
    <hyperlink ref="I5102" r:id="rId5101" xr:uid="{00000000-0004-0000-0000-0000EC130000}"/>
    <hyperlink ref="I5103" r:id="rId5102" xr:uid="{00000000-0004-0000-0000-0000ED130000}"/>
    <hyperlink ref="I5104" r:id="rId5103" xr:uid="{00000000-0004-0000-0000-0000EE130000}"/>
    <hyperlink ref="I5105" r:id="rId5104" xr:uid="{00000000-0004-0000-0000-0000EF130000}"/>
    <hyperlink ref="I5106" r:id="rId5105" xr:uid="{00000000-0004-0000-0000-0000F0130000}"/>
    <hyperlink ref="I5107" r:id="rId5106" xr:uid="{00000000-0004-0000-0000-0000F1130000}"/>
    <hyperlink ref="I5108" r:id="rId5107" xr:uid="{00000000-0004-0000-0000-0000F2130000}"/>
    <hyperlink ref="I5109" r:id="rId5108" xr:uid="{00000000-0004-0000-0000-0000F3130000}"/>
    <hyperlink ref="I5110" r:id="rId5109" xr:uid="{00000000-0004-0000-0000-0000F4130000}"/>
    <hyperlink ref="I5111" r:id="rId5110" xr:uid="{00000000-0004-0000-0000-0000F5130000}"/>
    <hyperlink ref="I5112" r:id="rId5111" xr:uid="{00000000-0004-0000-0000-0000F6130000}"/>
    <hyperlink ref="I5113" r:id="rId5112" xr:uid="{00000000-0004-0000-0000-0000F7130000}"/>
    <hyperlink ref="I5114" r:id="rId5113" xr:uid="{00000000-0004-0000-0000-0000F8130000}"/>
    <hyperlink ref="I5115" r:id="rId5114" xr:uid="{00000000-0004-0000-0000-0000F9130000}"/>
    <hyperlink ref="I5116" r:id="rId5115" xr:uid="{00000000-0004-0000-0000-0000FA130000}"/>
    <hyperlink ref="I5117" r:id="rId5116" xr:uid="{00000000-0004-0000-0000-0000FB130000}"/>
    <hyperlink ref="I5118" r:id="rId5117" xr:uid="{00000000-0004-0000-0000-0000FC130000}"/>
    <hyperlink ref="I5119" r:id="rId5118" xr:uid="{00000000-0004-0000-0000-0000FD130000}"/>
    <hyperlink ref="I5120" r:id="rId5119" xr:uid="{00000000-0004-0000-0000-0000FE130000}"/>
    <hyperlink ref="I5121" r:id="rId5120" xr:uid="{00000000-0004-0000-0000-0000FF130000}"/>
    <hyperlink ref="I5122" r:id="rId5121" xr:uid="{00000000-0004-0000-0000-000000140000}"/>
    <hyperlink ref="I5123" r:id="rId5122" xr:uid="{00000000-0004-0000-0000-000001140000}"/>
    <hyperlink ref="I5124" r:id="rId5123" xr:uid="{00000000-0004-0000-0000-000002140000}"/>
    <hyperlink ref="I5125" r:id="rId5124" xr:uid="{00000000-0004-0000-0000-000003140000}"/>
    <hyperlink ref="I5126" r:id="rId5125" xr:uid="{00000000-0004-0000-0000-000004140000}"/>
    <hyperlink ref="I5127" r:id="rId5126" xr:uid="{00000000-0004-0000-0000-000005140000}"/>
    <hyperlink ref="I5128" r:id="rId5127" xr:uid="{00000000-0004-0000-0000-000006140000}"/>
    <hyperlink ref="I5129" r:id="rId5128" xr:uid="{00000000-0004-0000-0000-000007140000}"/>
    <hyperlink ref="I5130" r:id="rId5129" xr:uid="{00000000-0004-0000-0000-000008140000}"/>
    <hyperlink ref="I5131" r:id="rId5130" xr:uid="{00000000-0004-0000-0000-000009140000}"/>
    <hyperlink ref="I5132" r:id="rId5131" xr:uid="{00000000-0004-0000-0000-00000A140000}"/>
    <hyperlink ref="I5133" r:id="rId5132" xr:uid="{00000000-0004-0000-0000-00000B140000}"/>
    <hyperlink ref="I5134" r:id="rId5133" xr:uid="{00000000-0004-0000-0000-00000C140000}"/>
    <hyperlink ref="I5135" r:id="rId5134" xr:uid="{00000000-0004-0000-0000-00000D140000}"/>
    <hyperlink ref="I5136" r:id="rId5135" xr:uid="{00000000-0004-0000-0000-00000E140000}"/>
    <hyperlink ref="I5137" r:id="rId5136" xr:uid="{00000000-0004-0000-0000-00000F140000}"/>
    <hyperlink ref="I5138" r:id="rId5137" xr:uid="{00000000-0004-0000-0000-000010140000}"/>
    <hyperlink ref="I5139" r:id="rId5138" xr:uid="{00000000-0004-0000-0000-000011140000}"/>
    <hyperlink ref="I5140" r:id="rId5139" xr:uid="{00000000-0004-0000-0000-000012140000}"/>
    <hyperlink ref="I5141" r:id="rId5140" xr:uid="{00000000-0004-0000-0000-000013140000}"/>
    <hyperlink ref="I5142" r:id="rId5141" xr:uid="{00000000-0004-0000-0000-000014140000}"/>
    <hyperlink ref="I5143" r:id="rId5142" xr:uid="{00000000-0004-0000-0000-000015140000}"/>
    <hyperlink ref="I5144" r:id="rId5143" xr:uid="{00000000-0004-0000-0000-000016140000}"/>
    <hyperlink ref="I5145" r:id="rId5144" xr:uid="{00000000-0004-0000-0000-000017140000}"/>
    <hyperlink ref="I5146" r:id="rId5145" xr:uid="{00000000-0004-0000-0000-000018140000}"/>
    <hyperlink ref="I5147" r:id="rId5146" xr:uid="{00000000-0004-0000-0000-000019140000}"/>
    <hyperlink ref="I5148" r:id="rId5147" xr:uid="{00000000-0004-0000-0000-00001A140000}"/>
    <hyperlink ref="I5149" r:id="rId5148" xr:uid="{00000000-0004-0000-0000-00001B140000}"/>
    <hyperlink ref="I5150" r:id="rId5149" xr:uid="{00000000-0004-0000-0000-00001C140000}"/>
    <hyperlink ref="I5151" r:id="rId5150" xr:uid="{00000000-0004-0000-0000-00001D140000}"/>
    <hyperlink ref="I5152" r:id="rId5151" xr:uid="{00000000-0004-0000-0000-00001E140000}"/>
    <hyperlink ref="I5153" r:id="rId5152" xr:uid="{00000000-0004-0000-0000-00001F140000}"/>
    <hyperlink ref="I5154" r:id="rId5153" xr:uid="{00000000-0004-0000-0000-000020140000}"/>
    <hyperlink ref="I5155" r:id="rId5154" xr:uid="{00000000-0004-0000-0000-000021140000}"/>
    <hyperlink ref="I5156" r:id="rId5155" xr:uid="{00000000-0004-0000-0000-000022140000}"/>
    <hyperlink ref="I5157" r:id="rId5156" xr:uid="{00000000-0004-0000-0000-000023140000}"/>
    <hyperlink ref="I5158" r:id="rId5157" xr:uid="{00000000-0004-0000-0000-000024140000}"/>
    <hyperlink ref="I5159" r:id="rId5158" xr:uid="{00000000-0004-0000-0000-000025140000}"/>
    <hyperlink ref="I5160" r:id="rId5159" xr:uid="{00000000-0004-0000-0000-000026140000}"/>
    <hyperlink ref="I5161" r:id="rId5160" xr:uid="{00000000-0004-0000-0000-000027140000}"/>
    <hyperlink ref="I5162" r:id="rId5161" xr:uid="{00000000-0004-0000-0000-000028140000}"/>
    <hyperlink ref="I5163" r:id="rId5162" xr:uid="{00000000-0004-0000-0000-000029140000}"/>
    <hyperlink ref="I5164" r:id="rId5163" xr:uid="{00000000-0004-0000-0000-00002A140000}"/>
    <hyperlink ref="I5165" r:id="rId5164" xr:uid="{00000000-0004-0000-0000-00002B140000}"/>
    <hyperlink ref="I5166" r:id="rId5165" xr:uid="{00000000-0004-0000-0000-00002C140000}"/>
    <hyperlink ref="I5167" r:id="rId5166" xr:uid="{00000000-0004-0000-0000-00002D140000}"/>
    <hyperlink ref="I5168" r:id="rId5167" xr:uid="{00000000-0004-0000-0000-00002E140000}"/>
    <hyperlink ref="I5169" r:id="rId5168" xr:uid="{00000000-0004-0000-0000-00002F140000}"/>
    <hyperlink ref="I5170" r:id="rId5169" xr:uid="{00000000-0004-0000-0000-000030140000}"/>
    <hyperlink ref="I5171" r:id="rId5170" xr:uid="{00000000-0004-0000-0000-000031140000}"/>
    <hyperlink ref="I5172" r:id="rId5171" xr:uid="{00000000-0004-0000-0000-000032140000}"/>
    <hyperlink ref="I5173" r:id="rId5172" xr:uid="{00000000-0004-0000-0000-000033140000}"/>
    <hyperlink ref="I5174" r:id="rId5173" xr:uid="{00000000-0004-0000-0000-000034140000}"/>
    <hyperlink ref="I5175" r:id="rId5174" xr:uid="{00000000-0004-0000-0000-000035140000}"/>
    <hyperlink ref="I5176" r:id="rId5175" xr:uid="{00000000-0004-0000-0000-000036140000}"/>
    <hyperlink ref="I5177" r:id="rId5176" xr:uid="{00000000-0004-0000-0000-000037140000}"/>
    <hyperlink ref="I5178" r:id="rId5177" xr:uid="{00000000-0004-0000-0000-000038140000}"/>
    <hyperlink ref="I5179" r:id="rId5178" xr:uid="{00000000-0004-0000-0000-000039140000}"/>
    <hyperlink ref="I5180" r:id="rId5179" xr:uid="{00000000-0004-0000-0000-00003A140000}"/>
    <hyperlink ref="I5181" r:id="rId5180" xr:uid="{00000000-0004-0000-0000-00003B140000}"/>
    <hyperlink ref="I5182" r:id="rId5181" xr:uid="{00000000-0004-0000-0000-00003C140000}"/>
    <hyperlink ref="I5183" r:id="rId5182" xr:uid="{00000000-0004-0000-0000-00003D140000}"/>
    <hyperlink ref="I5184" r:id="rId5183" xr:uid="{00000000-0004-0000-0000-00003E140000}"/>
    <hyperlink ref="I5185" r:id="rId5184" xr:uid="{00000000-0004-0000-0000-00003F140000}"/>
    <hyperlink ref="I5186" r:id="rId5185" xr:uid="{00000000-0004-0000-0000-000040140000}"/>
    <hyperlink ref="I5187" r:id="rId5186" xr:uid="{00000000-0004-0000-0000-000041140000}"/>
    <hyperlink ref="I5188" r:id="rId5187" xr:uid="{00000000-0004-0000-0000-000042140000}"/>
    <hyperlink ref="I5189" r:id="rId5188" xr:uid="{00000000-0004-0000-0000-000043140000}"/>
    <hyperlink ref="I5190" r:id="rId5189" xr:uid="{00000000-0004-0000-0000-000044140000}"/>
    <hyperlink ref="I5191" r:id="rId5190" xr:uid="{00000000-0004-0000-0000-000045140000}"/>
    <hyperlink ref="I5192" r:id="rId5191" xr:uid="{00000000-0004-0000-0000-000046140000}"/>
    <hyperlink ref="I5193" r:id="rId5192" xr:uid="{00000000-0004-0000-0000-000047140000}"/>
    <hyperlink ref="I5194" r:id="rId5193" xr:uid="{00000000-0004-0000-0000-000048140000}"/>
    <hyperlink ref="I5195" r:id="rId5194" xr:uid="{00000000-0004-0000-0000-000049140000}"/>
    <hyperlink ref="I5196" r:id="rId5195" xr:uid="{00000000-0004-0000-0000-00004A140000}"/>
    <hyperlink ref="I5197" r:id="rId5196" xr:uid="{00000000-0004-0000-0000-00004B140000}"/>
    <hyperlink ref="I5198" r:id="rId5197" xr:uid="{00000000-0004-0000-0000-00004C140000}"/>
    <hyperlink ref="I5199" r:id="rId5198" xr:uid="{00000000-0004-0000-0000-00004D140000}"/>
    <hyperlink ref="I5200" r:id="rId5199" xr:uid="{00000000-0004-0000-0000-00004E140000}"/>
    <hyperlink ref="I5201" r:id="rId5200" xr:uid="{00000000-0004-0000-0000-00004F140000}"/>
    <hyperlink ref="I5202" r:id="rId5201" xr:uid="{00000000-0004-0000-0000-000050140000}"/>
    <hyperlink ref="I5203" r:id="rId5202" xr:uid="{00000000-0004-0000-0000-000051140000}"/>
    <hyperlink ref="I5204" r:id="rId5203" xr:uid="{00000000-0004-0000-0000-000052140000}"/>
    <hyperlink ref="I5205" r:id="rId5204" xr:uid="{00000000-0004-0000-0000-000053140000}"/>
    <hyperlink ref="I5206" r:id="rId5205" xr:uid="{00000000-0004-0000-0000-000054140000}"/>
    <hyperlink ref="I5207" r:id="rId5206" xr:uid="{00000000-0004-0000-0000-000055140000}"/>
    <hyperlink ref="I5208" r:id="rId5207" xr:uid="{00000000-0004-0000-0000-000056140000}"/>
    <hyperlink ref="I5209" r:id="rId5208" xr:uid="{00000000-0004-0000-0000-000057140000}"/>
    <hyperlink ref="I5210" r:id="rId5209" xr:uid="{00000000-0004-0000-0000-000058140000}"/>
    <hyperlink ref="I5211" r:id="rId5210" xr:uid="{00000000-0004-0000-0000-000059140000}"/>
    <hyperlink ref="I5212" r:id="rId5211" xr:uid="{00000000-0004-0000-0000-00005A140000}"/>
    <hyperlink ref="I5213" r:id="rId5212" xr:uid="{00000000-0004-0000-0000-00005B140000}"/>
    <hyperlink ref="I5214" r:id="rId5213" xr:uid="{00000000-0004-0000-0000-00005C140000}"/>
    <hyperlink ref="I5215" r:id="rId5214" xr:uid="{00000000-0004-0000-0000-00005D140000}"/>
    <hyperlink ref="I5216" r:id="rId5215" xr:uid="{00000000-0004-0000-0000-00005E140000}"/>
    <hyperlink ref="I5217" r:id="rId5216" xr:uid="{00000000-0004-0000-0000-00005F140000}"/>
    <hyperlink ref="I5218" r:id="rId5217" xr:uid="{00000000-0004-0000-0000-000060140000}"/>
    <hyperlink ref="I5219" r:id="rId5218" xr:uid="{00000000-0004-0000-0000-000061140000}"/>
    <hyperlink ref="I5220" r:id="rId5219" xr:uid="{00000000-0004-0000-0000-000062140000}"/>
    <hyperlink ref="I5221" r:id="rId5220" xr:uid="{00000000-0004-0000-0000-000063140000}"/>
    <hyperlink ref="I5222" r:id="rId5221" xr:uid="{00000000-0004-0000-0000-000064140000}"/>
    <hyperlink ref="I5223" r:id="rId5222" xr:uid="{00000000-0004-0000-0000-000065140000}"/>
    <hyperlink ref="I5224" r:id="rId5223" xr:uid="{00000000-0004-0000-0000-000066140000}"/>
    <hyperlink ref="I5225" r:id="rId5224" xr:uid="{00000000-0004-0000-0000-000067140000}"/>
    <hyperlink ref="I5226" r:id="rId5225" xr:uid="{00000000-0004-0000-0000-000068140000}"/>
    <hyperlink ref="I5227" r:id="rId5226" xr:uid="{00000000-0004-0000-0000-000069140000}"/>
    <hyperlink ref="I5228" r:id="rId5227" xr:uid="{00000000-0004-0000-0000-00006A140000}"/>
    <hyperlink ref="I5229" r:id="rId5228" xr:uid="{00000000-0004-0000-0000-00006B140000}"/>
    <hyperlink ref="I5230" r:id="rId5229" xr:uid="{00000000-0004-0000-0000-00006C140000}"/>
    <hyperlink ref="I5231" r:id="rId5230" xr:uid="{00000000-0004-0000-0000-00006D140000}"/>
    <hyperlink ref="I5232" r:id="rId5231" xr:uid="{00000000-0004-0000-0000-00006E140000}"/>
    <hyperlink ref="I5233" r:id="rId5232" xr:uid="{00000000-0004-0000-0000-00006F140000}"/>
    <hyperlink ref="I5234" r:id="rId5233" xr:uid="{00000000-0004-0000-0000-000070140000}"/>
    <hyperlink ref="I5235" r:id="rId5234" xr:uid="{00000000-0004-0000-0000-000071140000}"/>
    <hyperlink ref="I5236" r:id="rId5235" xr:uid="{00000000-0004-0000-0000-000072140000}"/>
    <hyperlink ref="I5237" r:id="rId5236" xr:uid="{00000000-0004-0000-0000-000073140000}"/>
    <hyperlink ref="I5238" r:id="rId5237" xr:uid="{00000000-0004-0000-0000-000074140000}"/>
    <hyperlink ref="I5239" r:id="rId5238" xr:uid="{00000000-0004-0000-0000-000075140000}"/>
    <hyperlink ref="I5240" r:id="rId5239" xr:uid="{00000000-0004-0000-0000-000076140000}"/>
    <hyperlink ref="I5241" r:id="rId5240" xr:uid="{00000000-0004-0000-0000-000077140000}"/>
    <hyperlink ref="I5242" r:id="rId5241" xr:uid="{00000000-0004-0000-0000-000078140000}"/>
    <hyperlink ref="I5243" r:id="rId5242" xr:uid="{00000000-0004-0000-0000-000079140000}"/>
    <hyperlink ref="I5244" r:id="rId5243" xr:uid="{00000000-0004-0000-0000-00007A140000}"/>
    <hyperlink ref="I5245" r:id="rId5244" xr:uid="{00000000-0004-0000-0000-00007B140000}"/>
    <hyperlink ref="I5246" r:id="rId5245" xr:uid="{00000000-0004-0000-0000-00007C140000}"/>
    <hyperlink ref="I5247" r:id="rId5246" xr:uid="{00000000-0004-0000-0000-00007D140000}"/>
    <hyperlink ref="I5248" r:id="rId5247" xr:uid="{00000000-0004-0000-0000-00007E140000}"/>
    <hyperlink ref="I5249" r:id="rId5248" xr:uid="{00000000-0004-0000-0000-00007F140000}"/>
    <hyperlink ref="I5250" r:id="rId5249" xr:uid="{00000000-0004-0000-0000-000080140000}"/>
    <hyperlink ref="I5251" r:id="rId5250" xr:uid="{00000000-0004-0000-0000-000081140000}"/>
    <hyperlink ref="I5252" r:id="rId5251" xr:uid="{00000000-0004-0000-0000-000082140000}"/>
    <hyperlink ref="I5253" r:id="rId5252" xr:uid="{00000000-0004-0000-0000-000083140000}"/>
    <hyperlink ref="I5254" r:id="rId5253" xr:uid="{00000000-0004-0000-0000-000084140000}"/>
    <hyperlink ref="I5255" r:id="rId5254" xr:uid="{00000000-0004-0000-0000-000085140000}"/>
    <hyperlink ref="I5256" r:id="rId5255" xr:uid="{00000000-0004-0000-0000-000086140000}"/>
    <hyperlink ref="I5257" r:id="rId5256" xr:uid="{00000000-0004-0000-0000-000087140000}"/>
    <hyperlink ref="I5258" r:id="rId5257" xr:uid="{00000000-0004-0000-0000-000088140000}"/>
    <hyperlink ref="I5259" r:id="rId5258" xr:uid="{00000000-0004-0000-0000-000089140000}"/>
    <hyperlink ref="I5260" r:id="rId5259" xr:uid="{00000000-0004-0000-0000-00008A140000}"/>
    <hyperlink ref="I5261" r:id="rId5260" xr:uid="{00000000-0004-0000-0000-00008B140000}"/>
    <hyperlink ref="I5262" r:id="rId5261" xr:uid="{00000000-0004-0000-0000-00008C140000}"/>
    <hyperlink ref="I5263" r:id="rId5262" xr:uid="{00000000-0004-0000-0000-00008D140000}"/>
    <hyperlink ref="I5264" r:id="rId5263" xr:uid="{00000000-0004-0000-0000-00008E140000}"/>
    <hyperlink ref="I5265" r:id="rId5264" xr:uid="{00000000-0004-0000-0000-00008F140000}"/>
    <hyperlink ref="I5266" r:id="rId5265" xr:uid="{00000000-0004-0000-0000-000090140000}"/>
    <hyperlink ref="I5267" r:id="rId5266" xr:uid="{00000000-0004-0000-0000-000091140000}"/>
    <hyperlink ref="I5268" r:id="rId5267" xr:uid="{00000000-0004-0000-0000-000092140000}"/>
    <hyperlink ref="I5269" r:id="rId5268" xr:uid="{00000000-0004-0000-0000-000093140000}"/>
    <hyperlink ref="I5270" r:id="rId5269" xr:uid="{00000000-0004-0000-0000-000094140000}"/>
    <hyperlink ref="I5271" r:id="rId5270" xr:uid="{00000000-0004-0000-0000-000095140000}"/>
    <hyperlink ref="I5272" r:id="rId5271" xr:uid="{00000000-0004-0000-0000-000096140000}"/>
    <hyperlink ref="I5273" r:id="rId5272" xr:uid="{00000000-0004-0000-0000-000097140000}"/>
    <hyperlink ref="I5274" r:id="rId5273" xr:uid="{00000000-0004-0000-0000-000098140000}"/>
    <hyperlink ref="I5275" r:id="rId5274" xr:uid="{00000000-0004-0000-0000-000099140000}"/>
    <hyperlink ref="I5276" r:id="rId5275" xr:uid="{00000000-0004-0000-0000-00009A140000}"/>
    <hyperlink ref="I5277" r:id="rId5276" xr:uid="{00000000-0004-0000-0000-00009B140000}"/>
    <hyperlink ref="I5278" r:id="rId5277" xr:uid="{00000000-0004-0000-0000-00009C140000}"/>
    <hyperlink ref="I5279" r:id="rId5278" xr:uid="{00000000-0004-0000-0000-00009D140000}"/>
    <hyperlink ref="I5280" r:id="rId5279" xr:uid="{00000000-0004-0000-0000-00009E140000}"/>
    <hyperlink ref="I5281" r:id="rId5280" xr:uid="{00000000-0004-0000-0000-00009F140000}"/>
    <hyperlink ref="I5282" r:id="rId5281" xr:uid="{00000000-0004-0000-0000-0000A0140000}"/>
    <hyperlink ref="I5283" r:id="rId5282" xr:uid="{00000000-0004-0000-0000-0000A1140000}"/>
    <hyperlink ref="I5284" r:id="rId5283" xr:uid="{00000000-0004-0000-0000-0000A2140000}"/>
    <hyperlink ref="I5285" r:id="rId5284" xr:uid="{00000000-0004-0000-0000-0000A3140000}"/>
    <hyperlink ref="I5286" r:id="rId5285" xr:uid="{00000000-0004-0000-0000-0000A4140000}"/>
    <hyperlink ref="I5287" r:id="rId5286" xr:uid="{00000000-0004-0000-0000-0000A5140000}"/>
    <hyperlink ref="I5288" r:id="rId5287" xr:uid="{00000000-0004-0000-0000-0000A6140000}"/>
    <hyperlink ref="I5289" r:id="rId5288" xr:uid="{00000000-0004-0000-0000-0000A7140000}"/>
    <hyperlink ref="I5290" r:id="rId5289" xr:uid="{00000000-0004-0000-0000-0000A8140000}"/>
    <hyperlink ref="I5291" r:id="rId5290" xr:uid="{00000000-0004-0000-0000-0000A9140000}"/>
    <hyperlink ref="I5292" r:id="rId5291" xr:uid="{00000000-0004-0000-0000-0000AA140000}"/>
    <hyperlink ref="I5293" r:id="rId5292" xr:uid="{00000000-0004-0000-0000-0000AB140000}"/>
    <hyperlink ref="I5294" r:id="rId5293" xr:uid="{00000000-0004-0000-0000-0000AC140000}"/>
    <hyperlink ref="I5295" r:id="rId5294" xr:uid="{00000000-0004-0000-0000-0000AD140000}"/>
    <hyperlink ref="I5296" r:id="rId5295" xr:uid="{00000000-0004-0000-0000-0000AE140000}"/>
    <hyperlink ref="I5297" r:id="rId5296" xr:uid="{00000000-0004-0000-0000-0000AF140000}"/>
    <hyperlink ref="I5298" r:id="rId5297" xr:uid="{00000000-0004-0000-0000-0000B0140000}"/>
    <hyperlink ref="I5299" r:id="rId5298" xr:uid="{00000000-0004-0000-0000-0000B1140000}"/>
    <hyperlink ref="I5300" r:id="rId5299" xr:uid="{00000000-0004-0000-0000-0000B2140000}"/>
    <hyperlink ref="I5301" r:id="rId5300" xr:uid="{00000000-0004-0000-0000-0000B3140000}"/>
    <hyperlink ref="I5302" r:id="rId5301" xr:uid="{00000000-0004-0000-0000-0000B4140000}"/>
    <hyperlink ref="I5303" r:id="rId5302" xr:uid="{00000000-0004-0000-0000-0000B5140000}"/>
    <hyperlink ref="I5304" r:id="rId5303" xr:uid="{00000000-0004-0000-0000-0000B6140000}"/>
    <hyperlink ref="I5305" r:id="rId5304" xr:uid="{00000000-0004-0000-0000-0000B7140000}"/>
    <hyperlink ref="I5306" r:id="rId5305" xr:uid="{00000000-0004-0000-0000-0000B8140000}"/>
    <hyperlink ref="I5307" r:id="rId5306" xr:uid="{00000000-0004-0000-0000-0000B9140000}"/>
    <hyperlink ref="I5308" r:id="rId5307" xr:uid="{00000000-0004-0000-0000-0000BA140000}"/>
    <hyperlink ref="I5309" r:id="rId5308" xr:uid="{00000000-0004-0000-0000-0000BB140000}"/>
    <hyperlink ref="I5310" r:id="rId5309" xr:uid="{00000000-0004-0000-0000-0000BC140000}"/>
    <hyperlink ref="I5311" r:id="rId5310" xr:uid="{00000000-0004-0000-0000-0000BD140000}"/>
    <hyperlink ref="I5312" r:id="rId5311" xr:uid="{00000000-0004-0000-0000-0000BE140000}"/>
    <hyperlink ref="I5313" r:id="rId5312" xr:uid="{00000000-0004-0000-0000-0000BF140000}"/>
    <hyperlink ref="I5314" r:id="rId5313" xr:uid="{00000000-0004-0000-0000-0000C0140000}"/>
    <hyperlink ref="I5315" r:id="rId5314" xr:uid="{00000000-0004-0000-0000-0000C1140000}"/>
    <hyperlink ref="I5316" r:id="rId5315" xr:uid="{00000000-0004-0000-0000-0000C2140000}"/>
    <hyperlink ref="I5317" r:id="rId5316" xr:uid="{00000000-0004-0000-0000-0000C3140000}"/>
    <hyperlink ref="I5318" r:id="rId5317" xr:uid="{00000000-0004-0000-0000-0000C4140000}"/>
    <hyperlink ref="I5319" r:id="rId5318" xr:uid="{00000000-0004-0000-0000-0000C5140000}"/>
    <hyperlink ref="I5320" r:id="rId5319" xr:uid="{00000000-0004-0000-0000-0000C6140000}"/>
    <hyperlink ref="I5321" r:id="rId5320" xr:uid="{00000000-0004-0000-0000-0000C7140000}"/>
    <hyperlink ref="I5322" r:id="rId5321" xr:uid="{00000000-0004-0000-0000-0000C8140000}"/>
    <hyperlink ref="I5323" r:id="rId5322" xr:uid="{00000000-0004-0000-0000-0000C9140000}"/>
    <hyperlink ref="I5324" r:id="rId5323" xr:uid="{00000000-0004-0000-0000-0000CA140000}"/>
    <hyperlink ref="I5325" r:id="rId5324" xr:uid="{00000000-0004-0000-0000-0000CB140000}"/>
    <hyperlink ref="I5326" r:id="rId5325" xr:uid="{00000000-0004-0000-0000-0000CC140000}"/>
    <hyperlink ref="I5327" r:id="rId5326" xr:uid="{00000000-0004-0000-0000-0000CD140000}"/>
    <hyperlink ref="I5328" r:id="rId5327" xr:uid="{00000000-0004-0000-0000-0000CE140000}"/>
    <hyperlink ref="I5329" r:id="rId5328" xr:uid="{00000000-0004-0000-0000-0000CF140000}"/>
    <hyperlink ref="I5330" r:id="rId5329" xr:uid="{00000000-0004-0000-0000-0000D0140000}"/>
    <hyperlink ref="I5331" r:id="rId5330" xr:uid="{00000000-0004-0000-0000-0000D1140000}"/>
    <hyperlink ref="I5332" r:id="rId5331" xr:uid="{00000000-0004-0000-0000-0000D2140000}"/>
    <hyperlink ref="I5333" r:id="rId5332" xr:uid="{00000000-0004-0000-0000-0000D3140000}"/>
    <hyperlink ref="I5334" r:id="rId5333" xr:uid="{00000000-0004-0000-0000-0000D4140000}"/>
    <hyperlink ref="I5335" r:id="rId5334" xr:uid="{00000000-0004-0000-0000-0000D5140000}"/>
    <hyperlink ref="I5336" r:id="rId5335" xr:uid="{00000000-0004-0000-0000-0000D6140000}"/>
    <hyperlink ref="I5337" r:id="rId5336" xr:uid="{00000000-0004-0000-0000-0000D7140000}"/>
    <hyperlink ref="I5338" r:id="rId5337" xr:uid="{00000000-0004-0000-0000-0000D8140000}"/>
    <hyperlink ref="I5339" r:id="rId5338" xr:uid="{00000000-0004-0000-0000-0000D9140000}"/>
    <hyperlink ref="I5340" r:id="rId5339" xr:uid="{00000000-0004-0000-0000-0000DA140000}"/>
    <hyperlink ref="I5341" r:id="rId5340" xr:uid="{00000000-0004-0000-0000-0000DB140000}"/>
    <hyperlink ref="I5342" r:id="rId5341" xr:uid="{00000000-0004-0000-0000-0000DC140000}"/>
    <hyperlink ref="I5343" r:id="rId5342" xr:uid="{00000000-0004-0000-0000-0000DD140000}"/>
    <hyperlink ref="I5344" r:id="rId5343" xr:uid="{00000000-0004-0000-0000-0000DE140000}"/>
    <hyperlink ref="I5345" r:id="rId5344" xr:uid="{00000000-0004-0000-0000-0000DF140000}"/>
    <hyperlink ref="I5346" r:id="rId5345" xr:uid="{00000000-0004-0000-0000-0000E0140000}"/>
    <hyperlink ref="I5347" r:id="rId5346" xr:uid="{00000000-0004-0000-0000-0000E1140000}"/>
    <hyperlink ref="I5348" r:id="rId5347" xr:uid="{00000000-0004-0000-0000-0000E2140000}"/>
    <hyperlink ref="I5349" r:id="rId5348" xr:uid="{00000000-0004-0000-0000-0000E3140000}"/>
    <hyperlink ref="I5350" r:id="rId5349" xr:uid="{00000000-0004-0000-0000-0000E4140000}"/>
    <hyperlink ref="I5351" r:id="rId5350" display="https://www.google.com/search?q=site%3Aualg.pt%20Ensino%20de%20Ingl%C3%AAs%20e%20de%20L%C3%ADngua%20Estrangeira%20no%203.%C2%BA%20ciclo%20do%20Ensino%20B%C3%A1sico%20e%20no%20Ensino%20Secund%C3%A1rio%2C%20nas%20%C3%A1reas%20de%20especializa%C3%A7%C3%A3o%20de%20Espanhol%20ou%20de%20Franc%C3%AAs%20mestrado" xr:uid="{00000000-0004-0000-0000-0000E5140000}"/>
    <hyperlink ref="I5352" r:id="rId5351" xr:uid="{00000000-0004-0000-0000-0000E6140000}"/>
    <hyperlink ref="I5353" r:id="rId5352" xr:uid="{00000000-0004-0000-0000-0000E7140000}"/>
    <hyperlink ref="I5354" r:id="rId5353" display="https://www.google.com/search?q=site%3Aualg.pt%20Ensino%20de%20Portugu%C3%AAs%20e%20de%20L%C3%ADngua%20Estrangeira%20no%203.%C2%BA%20ciclo%20do%20Ensino%20B%C3%A1sico%20e%20no%20Ensino%20Secund%C3%A1rio%2C%20nas%20%C3%A1reas%20de%20especializa%C3%A7%C3%A3o%20de%20Espanhol%20ou%20de%20Franc%C3%AAs%20ou%20de%20Ingl%C3%AAs%20mestrado" xr:uid="{00000000-0004-0000-0000-0000E8140000}"/>
    <hyperlink ref="I5355" r:id="rId5354" xr:uid="{00000000-0004-0000-0000-0000E9140000}"/>
    <hyperlink ref="I5356" r:id="rId5355" xr:uid="{00000000-0004-0000-0000-0000EA140000}"/>
    <hyperlink ref="I5357" r:id="rId5356" xr:uid="{00000000-0004-0000-0000-0000EB140000}"/>
    <hyperlink ref="I5358" r:id="rId5357" xr:uid="{00000000-0004-0000-0000-0000EC140000}"/>
    <hyperlink ref="I5359" r:id="rId5358" xr:uid="{00000000-0004-0000-0000-0000ED140000}"/>
    <hyperlink ref="I5360" r:id="rId5359" xr:uid="{00000000-0004-0000-0000-0000EE140000}"/>
    <hyperlink ref="I5361" r:id="rId5360" xr:uid="{00000000-0004-0000-0000-0000EF140000}"/>
    <hyperlink ref="I5362" r:id="rId5361" xr:uid="{00000000-0004-0000-0000-0000F0140000}"/>
    <hyperlink ref="I5363" r:id="rId5362" xr:uid="{00000000-0004-0000-0000-0000F1140000}"/>
    <hyperlink ref="I5364" r:id="rId5363" xr:uid="{00000000-0004-0000-0000-0000F2140000}"/>
    <hyperlink ref="I5365" r:id="rId5364" xr:uid="{00000000-0004-0000-0000-0000F3140000}"/>
    <hyperlink ref="I5366" r:id="rId5365" xr:uid="{00000000-0004-0000-0000-0000F4140000}"/>
    <hyperlink ref="I5367" r:id="rId5366" xr:uid="{00000000-0004-0000-0000-0000F5140000}"/>
    <hyperlink ref="I5368" r:id="rId5367" xr:uid="{00000000-0004-0000-0000-0000F6140000}"/>
    <hyperlink ref="I5369" r:id="rId5368" xr:uid="{00000000-0004-0000-0000-0000F7140000}"/>
    <hyperlink ref="I5370" r:id="rId5369" xr:uid="{00000000-0004-0000-0000-0000F8140000}"/>
    <hyperlink ref="I5371" r:id="rId5370" xr:uid="{00000000-0004-0000-0000-0000F9140000}"/>
    <hyperlink ref="I5372" r:id="rId5371" xr:uid="{00000000-0004-0000-0000-0000FA140000}"/>
    <hyperlink ref="I5373" r:id="rId5372" xr:uid="{00000000-0004-0000-0000-0000FB140000}"/>
    <hyperlink ref="I5374" r:id="rId5373" xr:uid="{00000000-0004-0000-0000-0000FC140000}"/>
    <hyperlink ref="I5375" r:id="rId5374" xr:uid="{00000000-0004-0000-0000-0000FD140000}"/>
    <hyperlink ref="I5376" r:id="rId5375" xr:uid="{00000000-0004-0000-0000-0000FE140000}"/>
    <hyperlink ref="I5377" r:id="rId5376" xr:uid="{00000000-0004-0000-0000-0000FF140000}"/>
    <hyperlink ref="I5378" r:id="rId5377" xr:uid="{00000000-0004-0000-0000-000000150000}"/>
    <hyperlink ref="I5379" r:id="rId5378" xr:uid="{00000000-0004-0000-0000-000001150000}"/>
    <hyperlink ref="I5380" r:id="rId5379" xr:uid="{00000000-0004-0000-0000-000002150000}"/>
    <hyperlink ref="I5381" r:id="rId5380" xr:uid="{00000000-0004-0000-0000-000003150000}"/>
    <hyperlink ref="I5382" r:id="rId5381" xr:uid="{00000000-0004-0000-0000-000004150000}"/>
    <hyperlink ref="I5383" r:id="rId5382" xr:uid="{00000000-0004-0000-0000-000005150000}"/>
    <hyperlink ref="I5384" r:id="rId5383" xr:uid="{00000000-0004-0000-0000-000006150000}"/>
    <hyperlink ref="I5385" r:id="rId5384" xr:uid="{00000000-0004-0000-0000-000007150000}"/>
    <hyperlink ref="I5386" r:id="rId5385" xr:uid="{00000000-0004-0000-0000-000008150000}"/>
    <hyperlink ref="I5387" r:id="rId5386" xr:uid="{00000000-0004-0000-0000-000009150000}"/>
    <hyperlink ref="I5388" r:id="rId5387" xr:uid="{00000000-0004-0000-0000-00000A150000}"/>
    <hyperlink ref="I5389" r:id="rId5388" xr:uid="{00000000-0004-0000-0000-00000B150000}"/>
    <hyperlink ref="I5390" r:id="rId5389" xr:uid="{00000000-0004-0000-0000-00000C150000}"/>
    <hyperlink ref="I5391" r:id="rId5390" xr:uid="{00000000-0004-0000-0000-00000D150000}"/>
    <hyperlink ref="I5392" r:id="rId5391" xr:uid="{00000000-0004-0000-0000-00000E150000}"/>
    <hyperlink ref="I5393" r:id="rId5392" xr:uid="{00000000-0004-0000-0000-00000F150000}"/>
    <hyperlink ref="I5394" r:id="rId5393" xr:uid="{00000000-0004-0000-0000-000010150000}"/>
    <hyperlink ref="I5395" r:id="rId5394" xr:uid="{00000000-0004-0000-0000-000011150000}"/>
    <hyperlink ref="I5396" r:id="rId5395" xr:uid="{00000000-0004-0000-0000-000012150000}"/>
    <hyperlink ref="I5397" r:id="rId5396" xr:uid="{00000000-0004-0000-0000-000013150000}"/>
    <hyperlink ref="I5398" r:id="rId5397" xr:uid="{00000000-0004-0000-0000-000014150000}"/>
    <hyperlink ref="I5399" r:id="rId5398" xr:uid="{00000000-0004-0000-0000-000015150000}"/>
    <hyperlink ref="I5400" r:id="rId5399" xr:uid="{00000000-0004-0000-0000-000016150000}"/>
    <hyperlink ref="I5401" r:id="rId5400" xr:uid="{00000000-0004-0000-0000-000017150000}"/>
    <hyperlink ref="I5402" r:id="rId5401" xr:uid="{00000000-0004-0000-0000-000018150000}"/>
    <hyperlink ref="I5403" r:id="rId5402" xr:uid="{00000000-0004-0000-0000-000019150000}"/>
    <hyperlink ref="I5404" r:id="rId5403" xr:uid="{00000000-0004-0000-0000-00001A150000}"/>
    <hyperlink ref="I5405" r:id="rId5404" xr:uid="{00000000-0004-0000-0000-00001B150000}"/>
    <hyperlink ref="I5406" r:id="rId5405" xr:uid="{00000000-0004-0000-0000-00001C150000}"/>
    <hyperlink ref="I5407" r:id="rId5406" xr:uid="{00000000-0004-0000-0000-00001D150000}"/>
    <hyperlink ref="I5408" r:id="rId5407" xr:uid="{00000000-0004-0000-0000-00001E150000}"/>
    <hyperlink ref="I5409" r:id="rId5408" xr:uid="{00000000-0004-0000-0000-00001F150000}"/>
    <hyperlink ref="I5410" r:id="rId5409" xr:uid="{00000000-0004-0000-0000-000020150000}"/>
    <hyperlink ref="I5411" r:id="rId5410" xr:uid="{00000000-0004-0000-0000-000021150000}"/>
    <hyperlink ref="I5412" r:id="rId5411" xr:uid="{00000000-0004-0000-0000-000022150000}"/>
    <hyperlink ref="I5413" r:id="rId5412" xr:uid="{00000000-0004-0000-0000-000023150000}"/>
    <hyperlink ref="I5414" r:id="rId5413" xr:uid="{00000000-0004-0000-0000-000024150000}"/>
    <hyperlink ref="I5415" r:id="rId5414" xr:uid="{00000000-0004-0000-0000-000025150000}"/>
    <hyperlink ref="I5416" r:id="rId5415" xr:uid="{00000000-0004-0000-0000-000026150000}"/>
    <hyperlink ref="I5417" r:id="rId5416" xr:uid="{00000000-0004-0000-0000-000027150000}"/>
    <hyperlink ref="I5418" r:id="rId5417" xr:uid="{00000000-0004-0000-0000-000028150000}"/>
    <hyperlink ref="I5419" r:id="rId5418" xr:uid="{00000000-0004-0000-0000-000029150000}"/>
    <hyperlink ref="I5420" r:id="rId5419" xr:uid="{00000000-0004-0000-0000-00002A150000}"/>
    <hyperlink ref="I5421" r:id="rId5420" xr:uid="{00000000-0004-0000-0000-00002B150000}"/>
    <hyperlink ref="I5422" r:id="rId5421" xr:uid="{00000000-0004-0000-0000-00002C150000}"/>
    <hyperlink ref="I5423" r:id="rId5422" xr:uid="{00000000-0004-0000-0000-00002D150000}"/>
    <hyperlink ref="I5424" r:id="rId5423" xr:uid="{00000000-0004-0000-0000-00002E150000}"/>
    <hyperlink ref="I5425" r:id="rId5424" xr:uid="{00000000-0004-0000-0000-00002F150000}"/>
    <hyperlink ref="I5426" r:id="rId5425" xr:uid="{00000000-0004-0000-0000-000030150000}"/>
    <hyperlink ref="I5427" r:id="rId5426" xr:uid="{00000000-0004-0000-0000-000031150000}"/>
    <hyperlink ref="I5428" r:id="rId5427" xr:uid="{00000000-0004-0000-0000-000032150000}"/>
    <hyperlink ref="I5429" r:id="rId5428" xr:uid="{00000000-0004-0000-0000-000033150000}"/>
    <hyperlink ref="I5430" r:id="rId5429" xr:uid="{00000000-0004-0000-0000-000034150000}"/>
    <hyperlink ref="I5431" r:id="rId5430" xr:uid="{00000000-0004-0000-0000-000035150000}"/>
    <hyperlink ref="I5432" r:id="rId5431" xr:uid="{00000000-0004-0000-0000-000036150000}"/>
    <hyperlink ref="I5433" r:id="rId5432" xr:uid="{00000000-0004-0000-0000-000037150000}"/>
    <hyperlink ref="I5434" r:id="rId5433" xr:uid="{00000000-0004-0000-0000-000038150000}"/>
    <hyperlink ref="I5435" r:id="rId5434" xr:uid="{00000000-0004-0000-0000-000039150000}"/>
    <hyperlink ref="I5436" r:id="rId5435" xr:uid="{00000000-0004-0000-0000-00003A150000}"/>
    <hyperlink ref="I5437" r:id="rId5436" xr:uid="{00000000-0004-0000-0000-00003B150000}"/>
    <hyperlink ref="I5438" r:id="rId5437" xr:uid="{00000000-0004-0000-0000-00003C150000}"/>
    <hyperlink ref="I5439" r:id="rId5438" xr:uid="{00000000-0004-0000-0000-00003D150000}"/>
    <hyperlink ref="I5440" r:id="rId5439" xr:uid="{00000000-0004-0000-0000-00003E150000}"/>
    <hyperlink ref="I5441" r:id="rId5440" xr:uid="{00000000-0004-0000-0000-00003F150000}"/>
    <hyperlink ref="I5442" r:id="rId5441" xr:uid="{00000000-0004-0000-0000-000040150000}"/>
    <hyperlink ref="I5443" r:id="rId5442" xr:uid="{00000000-0004-0000-0000-000041150000}"/>
    <hyperlink ref="I5444" r:id="rId5443" xr:uid="{00000000-0004-0000-0000-000042150000}"/>
    <hyperlink ref="I5445" r:id="rId5444" xr:uid="{00000000-0004-0000-0000-000043150000}"/>
    <hyperlink ref="I5446" r:id="rId5445" xr:uid="{00000000-0004-0000-0000-000044150000}"/>
    <hyperlink ref="I5447" r:id="rId5446" xr:uid="{00000000-0004-0000-0000-000045150000}"/>
    <hyperlink ref="I5448" r:id="rId5447" xr:uid="{00000000-0004-0000-0000-000046150000}"/>
    <hyperlink ref="I5449" r:id="rId5448" xr:uid="{00000000-0004-0000-0000-000047150000}"/>
    <hyperlink ref="I5450" r:id="rId5449" xr:uid="{00000000-0004-0000-0000-000048150000}"/>
    <hyperlink ref="I5451" r:id="rId5450" xr:uid="{00000000-0004-0000-0000-000049150000}"/>
    <hyperlink ref="I5452" r:id="rId5451" xr:uid="{00000000-0004-0000-0000-00004A150000}"/>
    <hyperlink ref="I5453" r:id="rId5452" xr:uid="{00000000-0004-0000-0000-00004B150000}"/>
    <hyperlink ref="I5454" r:id="rId5453" xr:uid="{00000000-0004-0000-0000-00004C150000}"/>
    <hyperlink ref="I5455" r:id="rId5454" xr:uid="{00000000-0004-0000-0000-00004D150000}"/>
    <hyperlink ref="I5456" r:id="rId5455" xr:uid="{00000000-0004-0000-0000-00004E150000}"/>
    <hyperlink ref="I5457" r:id="rId5456" xr:uid="{00000000-0004-0000-0000-00004F150000}"/>
    <hyperlink ref="I5458" r:id="rId5457" xr:uid="{00000000-0004-0000-0000-000050150000}"/>
    <hyperlink ref="I5459" r:id="rId5458" xr:uid="{00000000-0004-0000-0000-000051150000}"/>
    <hyperlink ref="I5460" r:id="rId5459" xr:uid="{00000000-0004-0000-0000-000052150000}"/>
    <hyperlink ref="I5461" r:id="rId5460" xr:uid="{00000000-0004-0000-0000-000053150000}"/>
    <hyperlink ref="I5462" r:id="rId5461" xr:uid="{00000000-0004-0000-0000-000054150000}"/>
    <hyperlink ref="I5463" r:id="rId5462" xr:uid="{00000000-0004-0000-0000-000055150000}"/>
    <hyperlink ref="I5464" r:id="rId5463" xr:uid="{00000000-0004-0000-0000-000056150000}"/>
    <hyperlink ref="I5465" r:id="rId5464" xr:uid="{00000000-0004-0000-0000-000057150000}"/>
    <hyperlink ref="I5466" r:id="rId5465" xr:uid="{00000000-0004-0000-0000-000058150000}"/>
    <hyperlink ref="I5467" r:id="rId5466" xr:uid="{00000000-0004-0000-0000-000059150000}"/>
    <hyperlink ref="I5468" r:id="rId5467" xr:uid="{00000000-0004-0000-0000-00005A150000}"/>
    <hyperlink ref="I5469" r:id="rId5468" xr:uid="{00000000-0004-0000-0000-00005B150000}"/>
    <hyperlink ref="I5470" r:id="rId5469" xr:uid="{00000000-0004-0000-0000-00005C150000}"/>
    <hyperlink ref="I5471" r:id="rId5470" xr:uid="{00000000-0004-0000-0000-00005D150000}"/>
    <hyperlink ref="I5472" r:id="rId5471" xr:uid="{00000000-0004-0000-0000-00005E150000}"/>
    <hyperlink ref="I5473" r:id="rId5472" xr:uid="{00000000-0004-0000-0000-00005F150000}"/>
    <hyperlink ref="I5474" r:id="rId5473" xr:uid="{00000000-0004-0000-0000-000060150000}"/>
    <hyperlink ref="I5475" r:id="rId5474" xr:uid="{00000000-0004-0000-0000-000061150000}"/>
    <hyperlink ref="I5476" r:id="rId5475" xr:uid="{00000000-0004-0000-0000-000062150000}"/>
    <hyperlink ref="I5477" r:id="rId5476" xr:uid="{00000000-0004-0000-0000-000063150000}"/>
    <hyperlink ref="I5478" r:id="rId5477" xr:uid="{00000000-0004-0000-0000-000064150000}"/>
    <hyperlink ref="I5479" r:id="rId5478" xr:uid="{00000000-0004-0000-0000-000065150000}"/>
    <hyperlink ref="I5480" r:id="rId5479" xr:uid="{00000000-0004-0000-0000-000066150000}"/>
    <hyperlink ref="I5481" r:id="rId5480" xr:uid="{00000000-0004-0000-0000-000067150000}"/>
    <hyperlink ref="I5482" r:id="rId5481" xr:uid="{00000000-0004-0000-0000-000068150000}"/>
    <hyperlink ref="I5483" r:id="rId5482" xr:uid="{00000000-0004-0000-0000-000069150000}"/>
    <hyperlink ref="I5484" r:id="rId5483" xr:uid="{00000000-0004-0000-0000-00006A150000}"/>
    <hyperlink ref="I5485" r:id="rId5484" xr:uid="{00000000-0004-0000-0000-00006B150000}"/>
    <hyperlink ref="I5486" r:id="rId5485" xr:uid="{00000000-0004-0000-0000-00006C150000}"/>
    <hyperlink ref="I5487" r:id="rId5486" xr:uid="{00000000-0004-0000-0000-00006D150000}"/>
    <hyperlink ref="I5488" r:id="rId5487" xr:uid="{00000000-0004-0000-0000-00006E150000}"/>
    <hyperlink ref="I5489" r:id="rId5488" xr:uid="{00000000-0004-0000-0000-00006F150000}"/>
    <hyperlink ref="I5490" r:id="rId5489" xr:uid="{00000000-0004-0000-0000-000070150000}"/>
    <hyperlink ref="I5491" r:id="rId5490" xr:uid="{00000000-0004-0000-0000-000071150000}"/>
    <hyperlink ref="I5492" r:id="rId5491" xr:uid="{00000000-0004-0000-0000-000072150000}"/>
    <hyperlink ref="I5493" r:id="rId5492" xr:uid="{00000000-0004-0000-0000-000073150000}"/>
    <hyperlink ref="I5494" r:id="rId5493" xr:uid="{00000000-0004-0000-0000-000074150000}"/>
    <hyperlink ref="I5495" r:id="rId5494" xr:uid="{00000000-0004-0000-0000-000075150000}"/>
    <hyperlink ref="I5496" r:id="rId5495" xr:uid="{00000000-0004-0000-0000-000076150000}"/>
    <hyperlink ref="I5497" r:id="rId5496" xr:uid="{00000000-0004-0000-0000-000077150000}"/>
    <hyperlink ref="I5498" r:id="rId5497" xr:uid="{00000000-0004-0000-0000-000078150000}"/>
    <hyperlink ref="I5499" r:id="rId5498" xr:uid="{00000000-0004-0000-0000-000079150000}"/>
    <hyperlink ref="I5500" r:id="rId5499" xr:uid="{00000000-0004-0000-0000-00007A150000}"/>
    <hyperlink ref="I5501" r:id="rId5500" xr:uid="{00000000-0004-0000-0000-00007B150000}"/>
    <hyperlink ref="I5502" r:id="rId5501" xr:uid="{00000000-0004-0000-0000-00007C150000}"/>
    <hyperlink ref="I5503" r:id="rId5502" xr:uid="{00000000-0004-0000-0000-00007D150000}"/>
    <hyperlink ref="I5504" r:id="rId5503" xr:uid="{00000000-0004-0000-0000-00007E150000}"/>
    <hyperlink ref="I5505" r:id="rId5504" xr:uid="{00000000-0004-0000-0000-00007F150000}"/>
    <hyperlink ref="I5506" r:id="rId5505" xr:uid="{00000000-0004-0000-0000-000080150000}"/>
    <hyperlink ref="I5507" r:id="rId5506" xr:uid="{00000000-0004-0000-0000-000081150000}"/>
    <hyperlink ref="I5508" r:id="rId5507" xr:uid="{00000000-0004-0000-0000-000082150000}"/>
    <hyperlink ref="I5509" r:id="rId5508" xr:uid="{00000000-0004-0000-0000-000083150000}"/>
    <hyperlink ref="I5510" r:id="rId5509" xr:uid="{00000000-0004-0000-0000-000084150000}"/>
    <hyperlink ref="I5511" r:id="rId5510" xr:uid="{00000000-0004-0000-0000-000085150000}"/>
    <hyperlink ref="I5512" r:id="rId5511" xr:uid="{00000000-0004-0000-0000-000086150000}"/>
    <hyperlink ref="I5513" r:id="rId5512" xr:uid="{00000000-0004-0000-0000-000087150000}"/>
    <hyperlink ref="I5514" r:id="rId5513" xr:uid="{00000000-0004-0000-0000-000088150000}"/>
    <hyperlink ref="I5515" r:id="rId5514" xr:uid="{00000000-0004-0000-0000-000089150000}"/>
    <hyperlink ref="I5516" r:id="rId5515" xr:uid="{00000000-0004-0000-0000-00008A150000}"/>
    <hyperlink ref="I5517" r:id="rId5516" xr:uid="{00000000-0004-0000-0000-00008B150000}"/>
    <hyperlink ref="I5518" r:id="rId5517" xr:uid="{00000000-0004-0000-0000-00008C150000}"/>
    <hyperlink ref="I5519" r:id="rId5518" xr:uid="{00000000-0004-0000-0000-00008D150000}"/>
    <hyperlink ref="I5520" r:id="rId5519" xr:uid="{00000000-0004-0000-0000-00008E150000}"/>
    <hyperlink ref="I5521" r:id="rId5520" xr:uid="{00000000-0004-0000-0000-00008F150000}"/>
    <hyperlink ref="I5522" r:id="rId5521" xr:uid="{00000000-0004-0000-0000-000090150000}"/>
    <hyperlink ref="I5523" r:id="rId5522" xr:uid="{00000000-0004-0000-0000-000091150000}"/>
    <hyperlink ref="I5524" r:id="rId5523" xr:uid="{00000000-0004-0000-0000-000092150000}"/>
    <hyperlink ref="I5525" r:id="rId5524" xr:uid="{00000000-0004-0000-0000-000093150000}"/>
    <hyperlink ref="I5526" r:id="rId5525" xr:uid="{00000000-0004-0000-0000-000094150000}"/>
    <hyperlink ref="I5527" r:id="rId5526" xr:uid="{00000000-0004-0000-0000-000095150000}"/>
    <hyperlink ref="I5528" r:id="rId5527" xr:uid="{00000000-0004-0000-0000-000096150000}"/>
    <hyperlink ref="I5529" r:id="rId5528" xr:uid="{00000000-0004-0000-0000-000097150000}"/>
    <hyperlink ref="I5530" r:id="rId5529" xr:uid="{00000000-0004-0000-0000-000098150000}"/>
    <hyperlink ref="I5531" r:id="rId5530" xr:uid="{00000000-0004-0000-0000-000099150000}"/>
    <hyperlink ref="I5532" r:id="rId5531" xr:uid="{00000000-0004-0000-0000-00009A150000}"/>
    <hyperlink ref="I5533" r:id="rId5532" xr:uid="{00000000-0004-0000-0000-00009B150000}"/>
    <hyperlink ref="I5534" r:id="rId5533" xr:uid="{00000000-0004-0000-0000-00009C150000}"/>
    <hyperlink ref="I5535" r:id="rId5534" xr:uid="{00000000-0004-0000-0000-00009D150000}"/>
    <hyperlink ref="I5536" r:id="rId5535" xr:uid="{00000000-0004-0000-0000-00009E150000}"/>
    <hyperlink ref="I5537" r:id="rId5536" xr:uid="{00000000-0004-0000-0000-00009F150000}"/>
    <hyperlink ref="I5538" r:id="rId5537" xr:uid="{00000000-0004-0000-0000-0000A0150000}"/>
    <hyperlink ref="I5539" r:id="rId5538" xr:uid="{00000000-0004-0000-0000-0000A1150000}"/>
    <hyperlink ref="I5540" r:id="rId5539" xr:uid="{00000000-0004-0000-0000-0000A2150000}"/>
    <hyperlink ref="I5541" r:id="rId5540" xr:uid="{00000000-0004-0000-0000-0000A3150000}"/>
    <hyperlink ref="I5542" r:id="rId5541" xr:uid="{00000000-0004-0000-0000-0000A4150000}"/>
    <hyperlink ref="I5543" r:id="rId5542" xr:uid="{00000000-0004-0000-0000-0000A5150000}"/>
    <hyperlink ref="I5544" r:id="rId5543" xr:uid="{00000000-0004-0000-0000-0000A6150000}"/>
    <hyperlink ref="I5545" r:id="rId5544" xr:uid="{00000000-0004-0000-0000-0000A7150000}"/>
    <hyperlink ref="I5546" r:id="rId5545" xr:uid="{00000000-0004-0000-0000-0000A8150000}"/>
    <hyperlink ref="I5547" r:id="rId5546" xr:uid="{00000000-0004-0000-0000-0000A9150000}"/>
    <hyperlink ref="I5548" r:id="rId5547" xr:uid="{00000000-0004-0000-0000-0000AA150000}"/>
    <hyperlink ref="I5549" r:id="rId5548" xr:uid="{00000000-0004-0000-0000-0000AB150000}"/>
    <hyperlink ref="I5550" r:id="rId5549" xr:uid="{00000000-0004-0000-0000-0000AC150000}"/>
    <hyperlink ref="I5551" r:id="rId5550" xr:uid="{00000000-0004-0000-0000-0000AD150000}"/>
    <hyperlink ref="I5552" r:id="rId5551" xr:uid="{00000000-0004-0000-0000-0000AE150000}"/>
    <hyperlink ref="I5553" r:id="rId5552" xr:uid="{00000000-0004-0000-0000-0000AF150000}"/>
    <hyperlink ref="I5554" r:id="rId5553" xr:uid="{00000000-0004-0000-0000-0000B0150000}"/>
    <hyperlink ref="I5555" r:id="rId5554" xr:uid="{00000000-0004-0000-0000-0000B1150000}"/>
    <hyperlink ref="I5556" r:id="rId5555" xr:uid="{00000000-0004-0000-0000-0000B2150000}"/>
    <hyperlink ref="I5557" r:id="rId5556" xr:uid="{00000000-0004-0000-0000-0000B3150000}"/>
    <hyperlink ref="I5558" r:id="rId5557" xr:uid="{00000000-0004-0000-0000-0000B4150000}"/>
    <hyperlink ref="I5559" r:id="rId5558" xr:uid="{00000000-0004-0000-0000-0000B5150000}"/>
    <hyperlink ref="I5560" r:id="rId5559" xr:uid="{00000000-0004-0000-0000-0000B6150000}"/>
    <hyperlink ref="I5561" r:id="rId5560" xr:uid="{00000000-0004-0000-0000-0000B7150000}"/>
    <hyperlink ref="I5562" r:id="rId5561" xr:uid="{00000000-0004-0000-0000-0000B8150000}"/>
    <hyperlink ref="I5563" r:id="rId5562" xr:uid="{00000000-0004-0000-0000-0000B9150000}"/>
    <hyperlink ref="I5564" r:id="rId5563" xr:uid="{00000000-0004-0000-0000-0000BA150000}"/>
    <hyperlink ref="I5565" r:id="rId5564" xr:uid="{00000000-0004-0000-0000-0000BB150000}"/>
    <hyperlink ref="I5566" r:id="rId5565" xr:uid="{00000000-0004-0000-0000-0000BC150000}"/>
    <hyperlink ref="I5567" r:id="rId5566" xr:uid="{00000000-0004-0000-0000-0000BD150000}"/>
    <hyperlink ref="I5568" r:id="rId5567" xr:uid="{00000000-0004-0000-0000-0000BE150000}"/>
    <hyperlink ref="I5569" r:id="rId5568" xr:uid="{00000000-0004-0000-0000-0000BF150000}"/>
    <hyperlink ref="I5570" r:id="rId5569" xr:uid="{00000000-0004-0000-0000-0000C0150000}"/>
    <hyperlink ref="I5571" r:id="rId5570" xr:uid="{00000000-0004-0000-0000-0000C1150000}"/>
    <hyperlink ref="I5572" r:id="rId5571" display="https://www.google.com/search?q=site%3Aup.pt%20Ensino%20de%20Ingl%C3%AAs%20e%20de%20L%C3%ADngua%20Estrangeira%20no%203.%C2%BA%20Ciclo%20do%20Ensino%20B%C3%A1sico%20e%20no%20Ensino%20Secund%C3%A1rio%2C%20nas%20%C3%A1reas%20de%20especializa%C3%A7%C3%A3o%20de%20Alem%C3%A3o%20ou%20de%20Espanhol%20ou%20de%20Franc%C3%AAs%20mestrado" xr:uid="{00000000-0004-0000-0000-0000C2150000}"/>
    <hyperlink ref="I5573" r:id="rId5572" xr:uid="{00000000-0004-0000-0000-0000C3150000}"/>
    <hyperlink ref="I5574" r:id="rId5573" xr:uid="{00000000-0004-0000-0000-0000C4150000}"/>
    <hyperlink ref="I5575" r:id="rId5574" display="https://www.google.com/search?q=site%3Aup.pt%20Ensino%20de%20Portugu%C3%AAs%20e%20de%20L%C3%ADngua%20Estrangeira%20no%203.%C2%BA%20Ciclo%20do%20Ensino%20B%C3%A1sico%20e%20no%20Ensino%20Secund%C3%A1rio%2C%20nas%20%C3%A1reas%20de%20especializa%C3%A7%C3%A3o%20de%20Alem%C3%A3o%20ou%20de%20Espanhol%20ou%20de%20Franc%C3%AAs%20ou%20de%20Ingl%C3%AAs%20mestrado" xr:uid="{00000000-0004-0000-0000-0000C5150000}"/>
    <hyperlink ref="I5576" r:id="rId5575" xr:uid="{00000000-0004-0000-0000-0000C6150000}"/>
    <hyperlink ref="I5577" r:id="rId5576" xr:uid="{00000000-0004-0000-0000-0000C7150000}"/>
    <hyperlink ref="I5578" r:id="rId5577" xr:uid="{00000000-0004-0000-0000-0000C8150000}"/>
    <hyperlink ref="I5579" r:id="rId5578" xr:uid="{00000000-0004-0000-0000-0000C9150000}"/>
    <hyperlink ref="I5580" r:id="rId5579" xr:uid="{00000000-0004-0000-0000-0000CA150000}"/>
    <hyperlink ref="I5581" r:id="rId5580" xr:uid="{00000000-0004-0000-0000-0000CB150000}"/>
    <hyperlink ref="I5582" r:id="rId5581" xr:uid="{00000000-0004-0000-0000-0000CC150000}"/>
    <hyperlink ref="I5583" r:id="rId5582" xr:uid="{00000000-0004-0000-0000-0000CD150000}"/>
    <hyperlink ref="I5584" r:id="rId5583" xr:uid="{00000000-0004-0000-0000-0000CE150000}"/>
    <hyperlink ref="I5585" r:id="rId5584" xr:uid="{00000000-0004-0000-0000-0000CF150000}"/>
    <hyperlink ref="I5586" r:id="rId5585" xr:uid="{00000000-0004-0000-0000-0000D0150000}"/>
    <hyperlink ref="I5587" r:id="rId5586" xr:uid="{00000000-0004-0000-0000-0000D1150000}"/>
    <hyperlink ref="I5588" r:id="rId5587" xr:uid="{00000000-0004-0000-0000-0000D2150000}"/>
    <hyperlink ref="I5589" r:id="rId5588" xr:uid="{00000000-0004-0000-0000-0000D3150000}"/>
    <hyperlink ref="I5590" r:id="rId5589" xr:uid="{00000000-0004-0000-0000-0000D4150000}"/>
    <hyperlink ref="I5591" r:id="rId5590" xr:uid="{00000000-0004-0000-0000-0000D5150000}"/>
    <hyperlink ref="I5592" r:id="rId5591" xr:uid="{00000000-0004-0000-0000-0000D6150000}"/>
    <hyperlink ref="I5593" r:id="rId5592" xr:uid="{00000000-0004-0000-0000-0000D7150000}"/>
    <hyperlink ref="I5594" r:id="rId5593" xr:uid="{00000000-0004-0000-0000-0000D8150000}"/>
    <hyperlink ref="I5595" r:id="rId5594" xr:uid="{00000000-0004-0000-0000-0000D9150000}"/>
    <hyperlink ref="I5596" r:id="rId5595" xr:uid="{00000000-0004-0000-0000-0000DA150000}"/>
    <hyperlink ref="I5597" r:id="rId5596" xr:uid="{00000000-0004-0000-0000-0000DB150000}"/>
    <hyperlink ref="I5598" r:id="rId5597" xr:uid="{00000000-0004-0000-0000-0000DC150000}"/>
    <hyperlink ref="I5599" r:id="rId5598" xr:uid="{00000000-0004-0000-0000-0000DD150000}"/>
    <hyperlink ref="I5600" r:id="rId5599" xr:uid="{00000000-0004-0000-0000-0000DE150000}"/>
    <hyperlink ref="I5601" r:id="rId5600" xr:uid="{00000000-0004-0000-0000-0000DF150000}"/>
    <hyperlink ref="I5602" r:id="rId5601" xr:uid="{00000000-0004-0000-0000-0000E0150000}"/>
    <hyperlink ref="I5603" r:id="rId5602" xr:uid="{00000000-0004-0000-0000-0000E1150000}"/>
    <hyperlink ref="I5604" r:id="rId5603" xr:uid="{00000000-0004-0000-0000-0000E2150000}"/>
    <hyperlink ref="I5605" r:id="rId5604" xr:uid="{00000000-0004-0000-0000-0000E3150000}"/>
    <hyperlink ref="I5606" r:id="rId5605" xr:uid="{00000000-0004-0000-0000-0000E4150000}"/>
    <hyperlink ref="I5607" r:id="rId5606" xr:uid="{00000000-0004-0000-0000-0000E5150000}"/>
    <hyperlink ref="I5608" r:id="rId5607" xr:uid="{00000000-0004-0000-0000-0000E6150000}"/>
    <hyperlink ref="I5609" r:id="rId5608" xr:uid="{00000000-0004-0000-0000-0000E7150000}"/>
    <hyperlink ref="I5610" r:id="rId5609" xr:uid="{00000000-0004-0000-0000-0000E8150000}"/>
    <hyperlink ref="I5611" r:id="rId5610" xr:uid="{00000000-0004-0000-0000-0000E9150000}"/>
    <hyperlink ref="I5612" r:id="rId5611" xr:uid="{00000000-0004-0000-0000-0000EA150000}"/>
    <hyperlink ref="I5613" r:id="rId5612" xr:uid="{00000000-0004-0000-0000-0000EB150000}"/>
    <hyperlink ref="I5614" r:id="rId5613" xr:uid="{00000000-0004-0000-0000-0000EC150000}"/>
    <hyperlink ref="I5615" r:id="rId5614" xr:uid="{00000000-0004-0000-0000-0000ED150000}"/>
    <hyperlink ref="I5616" r:id="rId5615" xr:uid="{00000000-0004-0000-0000-0000EE150000}"/>
    <hyperlink ref="I5617" r:id="rId5616" xr:uid="{00000000-0004-0000-0000-0000EF150000}"/>
    <hyperlink ref="I5618" r:id="rId5617" xr:uid="{00000000-0004-0000-0000-0000F0150000}"/>
    <hyperlink ref="I5619" r:id="rId5618" xr:uid="{00000000-0004-0000-0000-0000F1150000}"/>
    <hyperlink ref="I5620" r:id="rId5619" xr:uid="{00000000-0004-0000-0000-0000F2150000}"/>
    <hyperlink ref="I5621" r:id="rId5620" xr:uid="{00000000-0004-0000-0000-0000F3150000}"/>
    <hyperlink ref="I5622" r:id="rId5621" xr:uid="{00000000-0004-0000-0000-0000F4150000}"/>
    <hyperlink ref="I5623" r:id="rId5622" xr:uid="{00000000-0004-0000-0000-0000F5150000}"/>
    <hyperlink ref="I5624" r:id="rId5623" xr:uid="{00000000-0004-0000-0000-0000F6150000}"/>
    <hyperlink ref="I5625" r:id="rId5624" xr:uid="{00000000-0004-0000-0000-0000F7150000}"/>
    <hyperlink ref="I5626" r:id="rId5625" xr:uid="{00000000-0004-0000-0000-0000F8150000}"/>
    <hyperlink ref="I5627" r:id="rId5626" xr:uid="{00000000-0004-0000-0000-0000F9150000}"/>
    <hyperlink ref="I5628" r:id="rId5627" xr:uid="{00000000-0004-0000-0000-0000FA150000}"/>
    <hyperlink ref="I5629" r:id="rId5628" xr:uid="{00000000-0004-0000-0000-0000FB150000}"/>
    <hyperlink ref="I5630" r:id="rId5629" xr:uid="{00000000-0004-0000-0000-0000FC150000}"/>
    <hyperlink ref="I5631" r:id="rId5630" xr:uid="{00000000-0004-0000-0000-0000FD150000}"/>
    <hyperlink ref="I5632" r:id="rId5631" xr:uid="{00000000-0004-0000-0000-0000FE150000}"/>
    <hyperlink ref="I5633" r:id="rId5632" xr:uid="{00000000-0004-0000-0000-0000FF150000}"/>
    <hyperlink ref="I5634" r:id="rId5633" xr:uid="{00000000-0004-0000-0000-000000160000}"/>
    <hyperlink ref="I5635" r:id="rId5634" xr:uid="{00000000-0004-0000-0000-000001160000}"/>
    <hyperlink ref="I5636" r:id="rId5635" xr:uid="{00000000-0004-0000-0000-000002160000}"/>
    <hyperlink ref="I5637" r:id="rId5636" xr:uid="{00000000-0004-0000-0000-000003160000}"/>
    <hyperlink ref="I5638" r:id="rId5637" xr:uid="{00000000-0004-0000-0000-000004160000}"/>
    <hyperlink ref="I5639" r:id="rId5638" xr:uid="{00000000-0004-0000-0000-000005160000}"/>
    <hyperlink ref="I5640" r:id="rId5639" xr:uid="{00000000-0004-0000-0000-000006160000}"/>
    <hyperlink ref="I5641" r:id="rId5640" xr:uid="{00000000-0004-0000-0000-000007160000}"/>
    <hyperlink ref="I5642" r:id="rId5641" xr:uid="{00000000-0004-0000-0000-000008160000}"/>
    <hyperlink ref="I5643" r:id="rId5642" xr:uid="{00000000-0004-0000-0000-000009160000}"/>
    <hyperlink ref="I5644" r:id="rId5643" xr:uid="{00000000-0004-0000-0000-00000A160000}"/>
    <hyperlink ref="I5645" r:id="rId5644" xr:uid="{00000000-0004-0000-0000-00000B160000}"/>
    <hyperlink ref="I5646" r:id="rId5645" xr:uid="{00000000-0004-0000-0000-00000C160000}"/>
    <hyperlink ref="I5647" r:id="rId5646" xr:uid="{00000000-0004-0000-0000-00000D160000}"/>
    <hyperlink ref="I5648" r:id="rId5647" xr:uid="{00000000-0004-0000-0000-00000E160000}"/>
    <hyperlink ref="I5649" r:id="rId5648" xr:uid="{00000000-0004-0000-0000-00000F160000}"/>
    <hyperlink ref="I5650" r:id="rId5649" xr:uid="{00000000-0004-0000-0000-000010160000}"/>
    <hyperlink ref="I5651" r:id="rId5650" xr:uid="{00000000-0004-0000-0000-000011160000}"/>
    <hyperlink ref="I5652" r:id="rId5651" xr:uid="{00000000-0004-0000-0000-000012160000}"/>
    <hyperlink ref="I5653" r:id="rId5652" xr:uid="{00000000-0004-0000-0000-000013160000}"/>
    <hyperlink ref="I5654" r:id="rId5653" xr:uid="{00000000-0004-0000-0000-000014160000}"/>
    <hyperlink ref="I5655" r:id="rId5654" xr:uid="{00000000-0004-0000-0000-000015160000}"/>
    <hyperlink ref="I5656" r:id="rId5655" xr:uid="{00000000-0004-0000-0000-000016160000}"/>
    <hyperlink ref="I5657" r:id="rId5656" xr:uid="{00000000-0004-0000-0000-000017160000}"/>
    <hyperlink ref="I5658" r:id="rId5657" xr:uid="{00000000-0004-0000-0000-000018160000}"/>
    <hyperlink ref="I5659" r:id="rId5658" xr:uid="{00000000-0004-0000-0000-000019160000}"/>
    <hyperlink ref="I5660" r:id="rId5659" xr:uid="{00000000-0004-0000-0000-00001A160000}"/>
    <hyperlink ref="I5661" r:id="rId5660" xr:uid="{00000000-0004-0000-0000-00001B160000}"/>
    <hyperlink ref="I5662" r:id="rId5661" xr:uid="{00000000-0004-0000-0000-00001C160000}"/>
    <hyperlink ref="I5663" r:id="rId5662" xr:uid="{00000000-0004-0000-0000-00001D160000}"/>
    <hyperlink ref="I5664" r:id="rId5663" xr:uid="{00000000-0004-0000-0000-00001E160000}"/>
    <hyperlink ref="I5665" r:id="rId5664" xr:uid="{00000000-0004-0000-0000-00001F160000}"/>
    <hyperlink ref="I5666" r:id="rId5665" xr:uid="{00000000-0004-0000-0000-000020160000}"/>
    <hyperlink ref="I5667" r:id="rId5666" xr:uid="{00000000-0004-0000-0000-000021160000}"/>
    <hyperlink ref="I5668" r:id="rId5667" xr:uid="{00000000-0004-0000-0000-000022160000}"/>
    <hyperlink ref="I5669" r:id="rId5668" xr:uid="{00000000-0004-0000-0000-000023160000}"/>
    <hyperlink ref="I5670" r:id="rId5669" xr:uid="{00000000-0004-0000-0000-000024160000}"/>
    <hyperlink ref="I5671" r:id="rId5670" xr:uid="{00000000-0004-0000-0000-000025160000}"/>
    <hyperlink ref="I5672" r:id="rId5671" xr:uid="{00000000-0004-0000-0000-000026160000}"/>
    <hyperlink ref="I5673" r:id="rId5672" xr:uid="{00000000-0004-0000-0000-000027160000}"/>
    <hyperlink ref="I5674" r:id="rId5673" xr:uid="{00000000-0004-0000-0000-000028160000}"/>
    <hyperlink ref="I5675" r:id="rId5674" xr:uid="{00000000-0004-0000-0000-000029160000}"/>
    <hyperlink ref="I5676" r:id="rId5675" xr:uid="{00000000-0004-0000-0000-00002A160000}"/>
    <hyperlink ref="I5677" r:id="rId5676" xr:uid="{00000000-0004-0000-0000-00002B160000}"/>
    <hyperlink ref="I5678" r:id="rId5677" xr:uid="{00000000-0004-0000-0000-00002C160000}"/>
    <hyperlink ref="I5679" r:id="rId5678" xr:uid="{00000000-0004-0000-0000-00002D160000}"/>
    <hyperlink ref="I5680" r:id="rId5679" xr:uid="{00000000-0004-0000-0000-00002E160000}"/>
    <hyperlink ref="I5681" r:id="rId5680" xr:uid="{00000000-0004-0000-0000-00002F160000}"/>
    <hyperlink ref="I5682" r:id="rId5681" xr:uid="{00000000-0004-0000-0000-000030160000}"/>
    <hyperlink ref="I5683" r:id="rId5682" xr:uid="{00000000-0004-0000-0000-000031160000}"/>
    <hyperlink ref="I5684" r:id="rId5683" xr:uid="{00000000-0004-0000-0000-000032160000}"/>
    <hyperlink ref="I5685" r:id="rId5684" xr:uid="{00000000-0004-0000-0000-000033160000}"/>
    <hyperlink ref="I5686" r:id="rId5685" xr:uid="{00000000-0004-0000-0000-000034160000}"/>
    <hyperlink ref="I5687" r:id="rId5686" xr:uid="{00000000-0004-0000-0000-000035160000}"/>
    <hyperlink ref="I5688" r:id="rId5687" xr:uid="{00000000-0004-0000-0000-000036160000}"/>
    <hyperlink ref="I5689" r:id="rId5688" xr:uid="{00000000-0004-0000-0000-000037160000}"/>
    <hyperlink ref="I5690" r:id="rId5689" xr:uid="{00000000-0004-0000-0000-000038160000}"/>
    <hyperlink ref="I5691" r:id="rId5690" xr:uid="{00000000-0004-0000-0000-000039160000}"/>
    <hyperlink ref="I5692" r:id="rId5691" xr:uid="{00000000-0004-0000-0000-00003A160000}"/>
    <hyperlink ref="I5693" r:id="rId5692" xr:uid="{00000000-0004-0000-0000-00003B160000}"/>
    <hyperlink ref="I5694" r:id="rId5693" xr:uid="{00000000-0004-0000-0000-00003C160000}"/>
    <hyperlink ref="I5695" r:id="rId5694" xr:uid="{00000000-0004-0000-0000-00003D160000}"/>
    <hyperlink ref="I5696" r:id="rId5695" xr:uid="{00000000-0004-0000-0000-00003E160000}"/>
    <hyperlink ref="I5697" r:id="rId5696" xr:uid="{00000000-0004-0000-0000-00003F160000}"/>
    <hyperlink ref="I5698" r:id="rId5697" xr:uid="{00000000-0004-0000-0000-000040160000}"/>
    <hyperlink ref="I5699" r:id="rId5698" xr:uid="{00000000-0004-0000-0000-000041160000}"/>
    <hyperlink ref="I5700" r:id="rId5699" xr:uid="{00000000-0004-0000-0000-000042160000}"/>
    <hyperlink ref="I5701" r:id="rId5700" xr:uid="{00000000-0004-0000-0000-000043160000}"/>
    <hyperlink ref="I5702" r:id="rId5701" xr:uid="{00000000-0004-0000-0000-000044160000}"/>
    <hyperlink ref="I5703" r:id="rId5702" xr:uid="{00000000-0004-0000-0000-000045160000}"/>
    <hyperlink ref="I5704" r:id="rId5703" xr:uid="{00000000-0004-0000-0000-000046160000}"/>
    <hyperlink ref="I5705" r:id="rId5704" xr:uid="{00000000-0004-0000-0000-000047160000}"/>
    <hyperlink ref="I5706" r:id="rId5705" xr:uid="{00000000-0004-0000-0000-000048160000}"/>
    <hyperlink ref="I5707" r:id="rId5706" xr:uid="{00000000-0004-0000-0000-000049160000}"/>
    <hyperlink ref="I5708" r:id="rId5707" xr:uid="{00000000-0004-0000-0000-00004A160000}"/>
    <hyperlink ref="I5709" r:id="rId5708" xr:uid="{00000000-0004-0000-0000-00004B160000}"/>
    <hyperlink ref="I5710" r:id="rId5709" xr:uid="{00000000-0004-0000-0000-00004C160000}"/>
    <hyperlink ref="I5711" r:id="rId5710" xr:uid="{00000000-0004-0000-0000-00004D160000}"/>
    <hyperlink ref="I5712" r:id="rId5711" xr:uid="{00000000-0004-0000-0000-00004E160000}"/>
    <hyperlink ref="I5713" r:id="rId5712" xr:uid="{00000000-0004-0000-0000-00004F160000}"/>
    <hyperlink ref="I5714" r:id="rId5713" xr:uid="{00000000-0004-0000-0000-000050160000}"/>
    <hyperlink ref="I5715" r:id="rId5714" xr:uid="{00000000-0004-0000-0000-000051160000}"/>
    <hyperlink ref="I5716" r:id="rId5715" xr:uid="{00000000-0004-0000-0000-000052160000}"/>
    <hyperlink ref="I5717" r:id="rId5716" xr:uid="{00000000-0004-0000-0000-000053160000}"/>
    <hyperlink ref="I5718" r:id="rId5717" xr:uid="{00000000-0004-0000-0000-000054160000}"/>
    <hyperlink ref="I5719" r:id="rId5718" xr:uid="{00000000-0004-0000-0000-000055160000}"/>
    <hyperlink ref="I5720" r:id="rId5719" xr:uid="{00000000-0004-0000-0000-000056160000}"/>
    <hyperlink ref="I5721" r:id="rId5720" xr:uid="{00000000-0004-0000-0000-000057160000}"/>
    <hyperlink ref="I5722" r:id="rId5721" xr:uid="{00000000-0004-0000-0000-000058160000}"/>
    <hyperlink ref="I5723" r:id="rId5722" xr:uid="{00000000-0004-0000-0000-000059160000}"/>
    <hyperlink ref="I5724" r:id="rId5723" xr:uid="{00000000-0004-0000-0000-00005A160000}"/>
    <hyperlink ref="I5725" r:id="rId5724" xr:uid="{00000000-0004-0000-0000-00005B160000}"/>
    <hyperlink ref="I5726" r:id="rId5725" xr:uid="{00000000-0004-0000-0000-00005C160000}"/>
    <hyperlink ref="I5727" r:id="rId5726" xr:uid="{00000000-0004-0000-0000-00005D160000}"/>
    <hyperlink ref="I5728" r:id="rId5727" xr:uid="{00000000-0004-0000-0000-00005E160000}"/>
    <hyperlink ref="I5729" r:id="rId5728" xr:uid="{00000000-0004-0000-0000-00005F160000}"/>
    <hyperlink ref="I5730" r:id="rId5729" xr:uid="{00000000-0004-0000-0000-000060160000}"/>
    <hyperlink ref="I5731" r:id="rId5730" xr:uid="{00000000-0004-0000-0000-000061160000}"/>
    <hyperlink ref="I5732" r:id="rId5731" xr:uid="{00000000-0004-0000-0000-000062160000}"/>
    <hyperlink ref="I5733" r:id="rId5732" xr:uid="{00000000-0004-0000-0000-000063160000}"/>
    <hyperlink ref="I5734" r:id="rId5733" xr:uid="{00000000-0004-0000-0000-000064160000}"/>
    <hyperlink ref="I5735" r:id="rId5734" xr:uid="{00000000-0004-0000-0000-000065160000}"/>
    <hyperlink ref="I5736" r:id="rId5735" xr:uid="{00000000-0004-0000-0000-000066160000}"/>
    <hyperlink ref="I5737" r:id="rId5736" xr:uid="{00000000-0004-0000-0000-000067160000}"/>
    <hyperlink ref="I5738" r:id="rId5737" xr:uid="{00000000-0004-0000-0000-000068160000}"/>
    <hyperlink ref="I5739" r:id="rId5738" xr:uid="{00000000-0004-0000-0000-000069160000}"/>
    <hyperlink ref="I5740" r:id="rId5739" xr:uid="{00000000-0004-0000-0000-00006A160000}"/>
    <hyperlink ref="I5741" r:id="rId5740" xr:uid="{00000000-0004-0000-0000-00006B160000}"/>
    <hyperlink ref="I5742" r:id="rId5741" xr:uid="{00000000-0004-0000-0000-00006C160000}"/>
    <hyperlink ref="I5743" r:id="rId5742" xr:uid="{00000000-0004-0000-0000-00006D160000}"/>
    <hyperlink ref="I5744" r:id="rId5743" xr:uid="{00000000-0004-0000-0000-00006E160000}"/>
    <hyperlink ref="I5745" r:id="rId5744" xr:uid="{00000000-0004-0000-0000-00006F160000}"/>
    <hyperlink ref="I5746" r:id="rId5745" xr:uid="{00000000-0004-0000-0000-000070160000}"/>
    <hyperlink ref="I5747" r:id="rId5746" xr:uid="{00000000-0004-0000-0000-000071160000}"/>
    <hyperlink ref="I5748" r:id="rId5747" xr:uid="{00000000-0004-0000-0000-000072160000}"/>
    <hyperlink ref="I5749" r:id="rId5748" xr:uid="{00000000-0004-0000-0000-000073160000}"/>
    <hyperlink ref="I5750" r:id="rId5749" xr:uid="{00000000-0004-0000-0000-000074160000}"/>
    <hyperlink ref="I5751" r:id="rId5750" xr:uid="{00000000-0004-0000-0000-000075160000}"/>
    <hyperlink ref="I5752" r:id="rId5751" xr:uid="{00000000-0004-0000-0000-000076160000}"/>
    <hyperlink ref="I5753" r:id="rId5752" xr:uid="{00000000-0004-0000-0000-000077160000}"/>
    <hyperlink ref="I5754" r:id="rId5753" xr:uid="{00000000-0004-0000-0000-000078160000}"/>
    <hyperlink ref="I5755" r:id="rId5754" xr:uid="{00000000-0004-0000-0000-000079160000}"/>
    <hyperlink ref="I5756" r:id="rId5755" xr:uid="{00000000-0004-0000-0000-00007A160000}"/>
    <hyperlink ref="I5757" r:id="rId5756" xr:uid="{00000000-0004-0000-0000-00007B160000}"/>
    <hyperlink ref="I5758" r:id="rId5757" xr:uid="{00000000-0004-0000-0000-00007C160000}"/>
    <hyperlink ref="I5759" r:id="rId5758" xr:uid="{00000000-0004-0000-0000-00007D160000}"/>
    <hyperlink ref="I5760" r:id="rId5759" xr:uid="{00000000-0004-0000-0000-00007E160000}"/>
    <hyperlink ref="I5761" r:id="rId5760" xr:uid="{00000000-0004-0000-0000-00007F160000}"/>
    <hyperlink ref="I5762" r:id="rId5761" xr:uid="{00000000-0004-0000-0000-000080160000}"/>
    <hyperlink ref="I5763" r:id="rId5762" xr:uid="{00000000-0004-0000-0000-000081160000}"/>
    <hyperlink ref="I5764" r:id="rId5763" xr:uid="{00000000-0004-0000-0000-000082160000}"/>
    <hyperlink ref="I5765" r:id="rId5764" xr:uid="{00000000-0004-0000-0000-000083160000}"/>
    <hyperlink ref="I5766" r:id="rId5765" xr:uid="{00000000-0004-0000-0000-000084160000}"/>
    <hyperlink ref="I5767" r:id="rId5766" xr:uid="{00000000-0004-0000-0000-000085160000}"/>
    <hyperlink ref="I5768" r:id="rId5767" xr:uid="{00000000-0004-0000-0000-000086160000}"/>
    <hyperlink ref="I5769" r:id="rId5768" xr:uid="{00000000-0004-0000-0000-000087160000}"/>
    <hyperlink ref="I5770" r:id="rId5769" xr:uid="{00000000-0004-0000-0000-000088160000}"/>
    <hyperlink ref="I5771" r:id="rId5770" xr:uid="{00000000-0004-0000-0000-000089160000}"/>
    <hyperlink ref="I5772" r:id="rId5771" xr:uid="{00000000-0004-0000-0000-00008A160000}"/>
    <hyperlink ref="I5773" r:id="rId5772" xr:uid="{00000000-0004-0000-0000-00008B160000}"/>
    <hyperlink ref="I5774" r:id="rId5773" xr:uid="{00000000-0004-0000-0000-00008C160000}"/>
    <hyperlink ref="I5775" r:id="rId5774" xr:uid="{00000000-0004-0000-0000-00008D160000}"/>
    <hyperlink ref="I5776" r:id="rId5775" xr:uid="{00000000-0004-0000-0000-00008E160000}"/>
    <hyperlink ref="I5777" r:id="rId5776" xr:uid="{00000000-0004-0000-0000-00008F160000}"/>
    <hyperlink ref="I5778" r:id="rId5777" xr:uid="{00000000-0004-0000-0000-000090160000}"/>
    <hyperlink ref="I5779" r:id="rId5778" xr:uid="{00000000-0004-0000-0000-000091160000}"/>
    <hyperlink ref="I5780" r:id="rId5779" xr:uid="{00000000-0004-0000-0000-000092160000}"/>
    <hyperlink ref="I5781" r:id="rId5780" xr:uid="{00000000-0004-0000-0000-000093160000}"/>
    <hyperlink ref="I5782" r:id="rId5781" xr:uid="{00000000-0004-0000-0000-000094160000}"/>
    <hyperlink ref="I5783" r:id="rId5782" xr:uid="{00000000-0004-0000-0000-000095160000}"/>
    <hyperlink ref="I5784" r:id="rId5783" xr:uid="{00000000-0004-0000-0000-000096160000}"/>
    <hyperlink ref="I5785" r:id="rId5784" xr:uid="{00000000-0004-0000-0000-000097160000}"/>
    <hyperlink ref="I5786" r:id="rId5785" xr:uid="{00000000-0004-0000-0000-000098160000}"/>
    <hyperlink ref="I5787" r:id="rId5786" xr:uid="{00000000-0004-0000-0000-000099160000}"/>
    <hyperlink ref="I5788" r:id="rId5787" xr:uid="{00000000-0004-0000-0000-00009A160000}"/>
    <hyperlink ref="I5789" r:id="rId5788" xr:uid="{00000000-0004-0000-0000-00009B160000}"/>
    <hyperlink ref="I5790" r:id="rId5789" xr:uid="{00000000-0004-0000-0000-00009C160000}"/>
    <hyperlink ref="I5791" r:id="rId5790" xr:uid="{00000000-0004-0000-0000-00009D160000}"/>
    <hyperlink ref="I5792" r:id="rId5791" xr:uid="{00000000-0004-0000-0000-00009E160000}"/>
    <hyperlink ref="I5793" r:id="rId5792" xr:uid="{00000000-0004-0000-0000-00009F160000}"/>
    <hyperlink ref="I5794" r:id="rId5793" xr:uid="{00000000-0004-0000-0000-0000A0160000}"/>
    <hyperlink ref="I5795" r:id="rId5794" xr:uid="{00000000-0004-0000-0000-0000A1160000}"/>
    <hyperlink ref="I5796" r:id="rId5795" xr:uid="{00000000-0004-0000-0000-0000A2160000}"/>
    <hyperlink ref="I5797" r:id="rId5796" xr:uid="{00000000-0004-0000-0000-0000A3160000}"/>
    <hyperlink ref="I5798" r:id="rId5797" xr:uid="{00000000-0004-0000-0000-0000A4160000}"/>
    <hyperlink ref="I5799" r:id="rId5798" xr:uid="{00000000-0004-0000-0000-0000A5160000}"/>
    <hyperlink ref="I5800" r:id="rId5799" xr:uid="{00000000-0004-0000-0000-0000A6160000}"/>
    <hyperlink ref="I5801" r:id="rId5800" xr:uid="{00000000-0004-0000-0000-0000A7160000}"/>
    <hyperlink ref="I5802" r:id="rId5801" xr:uid="{00000000-0004-0000-0000-0000A8160000}"/>
    <hyperlink ref="I5803" r:id="rId5802" xr:uid="{00000000-0004-0000-0000-0000A9160000}"/>
    <hyperlink ref="I5804" r:id="rId5803" xr:uid="{00000000-0004-0000-0000-0000AA160000}"/>
    <hyperlink ref="I5805" r:id="rId5804" xr:uid="{00000000-0004-0000-0000-0000AB16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showGridLines="0" zoomScaleNormal="100" workbookViewId="0">
      <selection activeCell="B6" sqref="B6"/>
    </sheetView>
  </sheetViews>
  <sheetFormatPr defaultColWidth="8.6640625" defaultRowHeight="14.4" x14ac:dyDescent="0.3"/>
  <cols>
    <col min="1" max="1" width="44" customWidth="1"/>
    <col min="2" max="2" width="12" customWidth="1"/>
  </cols>
  <sheetData>
    <row r="1" spans="1:2" ht="16.2" customHeight="1" x14ac:dyDescent="0.3">
      <c r="A1" s="1" t="s">
        <v>11000</v>
      </c>
    </row>
    <row r="3" spans="1:2" ht="15" customHeight="1" x14ac:dyDescent="0.3">
      <c r="A3" s="2" t="s">
        <v>11001</v>
      </c>
    </row>
    <row r="4" spans="1:2" ht="15" customHeight="1" x14ac:dyDescent="0.3">
      <c r="A4" s="3" t="s">
        <v>11002</v>
      </c>
      <c r="B4" s="3" t="s">
        <v>11003</v>
      </c>
    </row>
    <row r="5" spans="1:2" ht="15" customHeight="1" x14ac:dyDescent="0.3">
      <c r="A5" t="s">
        <v>55</v>
      </c>
      <c r="B5">
        <f>COUNTIF('Oferta Formativa PT'!E:E,"Mestrado")</f>
        <v>2126</v>
      </c>
    </row>
    <row r="6" spans="1:2" ht="15" customHeight="1" x14ac:dyDescent="0.3">
      <c r="A6" t="s">
        <v>18</v>
      </c>
      <c r="B6">
        <f>COUNTIF('Oferta Formativa PT'!E:E,"Licenciatura")</f>
        <v>1498</v>
      </c>
    </row>
    <row r="7" spans="1:2" ht="15" customHeight="1" x14ac:dyDescent="0.3">
      <c r="A7" t="s">
        <v>74</v>
      </c>
      <c r="B7">
        <f>COUNTIF('Oferta Formativa PT'!E:E,"Pós-Graduação")</f>
        <v>1139</v>
      </c>
    </row>
    <row r="8" spans="1:2" ht="15" customHeight="1" x14ac:dyDescent="0.3">
      <c r="A8" t="s">
        <v>117</v>
      </c>
      <c r="B8">
        <f>COUNTIF('Oferta Formativa PT'!E:E,"Curso Técnico Superior Profissional (CTeSP)")</f>
        <v>893</v>
      </c>
    </row>
    <row r="9" spans="1:2" ht="15" customHeight="1" x14ac:dyDescent="0.3">
      <c r="A9" t="s">
        <v>171</v>
      </c>
      <c r="B9">
        <f>COUNTIF('Oferta Formativa PT'!E:E,"Mestrado Integrado")</f>
        <v>103</v>
      </c>
    </row>
    <row r="10" spans="1:2" ht="15" customHeight="1" x14ac:dyDescent="0.3">
      <c r="A10" t="s">
        <v>226</v>
      </c>
      <c r="B10">
        <f>COUNTIF('Oferta Formativa PT'!E:E,"Pós-Graduação Executiva")</f>
        <v>45</v>
      </c>
    </row>
    <row r="12" spans="1:2" ht="15" customHeight="1" x14ac:dyDescent="0.3">
      <c r="A12" s="2" t="s">
        <v>11004</v>
      </c>
    </row>
    <row r="13" spans="1:2" ht="15" customHeight="1" x14ac:dyDescent="0.3">
      <c r="A13" s="3" t="s">
        <v>11002</v>
      </c>
      <c r="B13" s="3" t="s">
        <v>11003</v>
      </c>
    </row>
    <row r="14" spans="1:2" ht="15" customHeight="1" x14ac:dyDescent="0.3">
      <c r="A14" t="s">
        <v>24</v>
      </c>
      <c r="B14">
        <f>COUNTIF('Oferta Formativa PT'!K:K,"Presencial")</f>
        <v>5336</v>
      </c>
    </row>
    <row r="15" spans="1:2" ht="15" customHeight="1" x14ac:dyDescent="0.3">
      <c r="A15" t="s">
        <v>11005</v>
      </c>
      <c r="B15">
        <f>COUNTIF('Oferta Formativa PT'!K:K,"*brido*")+COUNTIF('Oferta Formativa PT'!K:K,"*emipres*")</f>
        <v>269</v>
      </c>
    </row>
    <row r="16" spans="1:2" ht="15" customHeight="1" x14ac:dyDescent="0.3">
      <c r="A16" t="s">
        <v>11006</v>
      </c>
      <c r="B16">
        <f>COUNTIF('Oferta Formativa PT'!K:K,"*nline*")+COUNTIF('Oferta Formativa PT'!K:K,"*dist*")</f>
        <v>199</v>
      </c>
    </row>
    <row r="18" spans="1:2" ht="15" customHeight="1" x14ac:dyDescent="0.3">
      <c r="A18" s="2" t="s">
        <v>11007</v>
      </c>
    </row>
    <row r="19" spans="1:2" ht="15" customHeight="1" x14ac:dyDescent="0.3">
      <c r="A19" s="3" t="s">
        <v>11002</v>
      </c>
      <c r="B19" s="3" t="s">
        <v>11003</v>
      </c>
    </row>
    <row r="20" spans="1:2" ht="15" customHeight="1" x14ac:dyDescent="0.3">
      <c r="A20" t="s">
        <v>116</v>
      </c>
      <c r="B20">
        <f>COUNTIF('Oferta Formativa PT'!D:D,"Pública")</f>
        <v>4133</v>
      </c>
    </row>
    <row r="21" spans="1:2" ht="15" customHeight="1" x14ac:dyDescent="0.3">
      <c r="A21" t="s">
        <v>17</v>
      </c>
      <c r="B21">
        <f>COUNTIF('Oferta Formativa PT'!D:D,"Privada")</f>
        <v>1671</v>
      </c>
    </row>
    <row r="23" spans="1:2" ht="15" customHeight="1" x14ac:dyDescent="0.3">
      <c r="A23" s="2" t="s">
        <v>11008</v>
      </c>
    </row>
    <row r="24" spans="1:2" ht="15" customHeight="1" x14ac:dyDescent="0.3">
      <c r="A24" s="3" t="s">
        <v>11002</v>
      </c>
      <c r="B24" s="3" t="s">
        <v>11003</v>
      </c>
    </row>
    <row r="25" spans="1:2" ht="15" customHeight="1" x14ac:dyDescent="0.3">
      <c r="A25" t="s">
        <v>11009</v>
      </c>
      <c r="B25">
        <f>COUNTA('Oferta Formativa PT'!A:A)-1-COUNTIF('Oferta Formativa PT'!M:M,"*extin*")</f>
        <v>5533</v>
      </c>
    </row>
    <row r="26" spans="1:2" ht="15" customHeight="1" x14ac:dyDescent="0.3">
      <c r="A26" t="s">
        <v>39</v>
      </c>
      <c r="B26">
        <f>COUNTIF('Oferta Formativa PT'!M:M,"*extin*")</f>
        <v>271</v>
      </c>
    </row>
    <row r="28" spans="1:2" ht="15" customHeight="1" x14ac:dyDescent="0.3">
      <c r="A28" s="2" t="s">
        <v>11010</v>
      </c>
    </row>
    <row r="29" spans="1:2" ht="15" customHeight="1" x14ac:dyDescent="0.3">
      <c r="A29" s="3" t="s">
        <v>11002</v>
      </c>
      <c r="B29" s="3" t="s">
        <v>11003</v>
      </c>
    </row>
    <row r="30" spans="1:2" ht="15" customHeight="1" x14ac:dyDescent="0.3">
      <c r="A30" t="s">
        <v>26</v>
      </c>
      <c r="B30">
        <f>COUNTIF('Oferta Formativa PT'!N:N,"A.M. Lisboa")</f>
        <v>1921</v>
      </c>
    </row>
    <row r="31" spans="1:2" ht="15" customHeight="1" x14ac:dyDescent="0.3">
      <c r="A31" t="s">
        <v>154</v>
      </c>
      <c r="B31">
        <f>COUNTIF('Oferta Formativa PT'!N:N,"Norte")</f>
        <v>1788</v>
      </c>
    </row>
    <row r="32" spans="1:2" ht="15" customHeight="1" x14ac:dyDescent="0.3">
      <c r="A32" t="s">
        <v>807</v>
      </c>
      <c r="B32">
        <f>COUNTIF('Oferta Formativa PT'!N:N,"Centro")</f>
        <v>1203</v>
      </c>
    </row>
    <row r="33" spans="1:2" ht="15" customHeight="1" x14ac:dyDescent="0.3">
      <c r="A33" t="s">
        <v>973</v>
      </c>
      <c r="B33">
        <f>COUNTIF('Oferta Formativa PT'!N:N,"Outras/Múltiplas")</f>
        <v>411</v>
      </c>
    </row>
    <row r="34" spans="1:2" ht="15" customHeight="1" x14ac:dyDescent="0.3">
      <c r="A34" t="s">
        <v>820</v>
      </c>
      <c r="B34">
        <f>COUNTIF('Oferta Formativa PT'!N:N,"Alentejo")</f>
        <v>244</v>
      </c>
    </row>
    <row r="35" spans="1:2" ht="15" customHeight="1" x14ac:dyDescent="0.3">
      <c r="A35" t="s">
        <v>441</v>
      </c>
      <c r="B35">
        <f>COUNTIF('Oferta Formativa PT'!N:N,"Algarve")</f>
        <v>162</v>
      </c>
    </row>
    <row r="36" spans="1:2" ht="15" customHeight="1" x14ac:dyDescent="0.3">
      <c r="A36" t="s">
        <v>6229</v>
      </c>
      <c r="B36">
        <f>COUNTIF('Oferta Formativa PT'!N:N,"Açores")</f>
        <v>58</v>
      </c>
    </row>
    <row r="37" spans="1:2" ht="15" customHeight="1" x14ac:dyDescent="0.3">
      <c r="A37" t="s">
        <v>480</v>
      </c>
      <c r="B37">
        <f>COUNTIF('Oferta Formativa PT'!N:N,"Madeira")</f>
        <v>17</v>
      </c>
    </row>
    <row r="39" spans="1:2" ht="15" customHeight="1" x14ac:dyDescent="0.3">
      <c r="A39" s="2" t="s">
        <v>11011</v>
      </c>
    </row>
    <row r="40" spans="1:2" ht="15" customHeight="1" x14ac:dyDescent="0.3">
      <c r="A40" s="3" t="s">
        <v>11002</v>
      </c>
      <c r="B40" s="3" t="s">
        <v>11003</v>
      </c>
    </row>
    <row r="41" spans="1:2" ht="15" customHeight="1" x14ac:dyDescent="0.3">
      <c r="A41" t="s">
        <v>41</v>
      </c>
      <c r="B41">
        <f>COUNTIF('Oferta Formativa PT'!G:G,"Gestão e Administração")</f>
        <v>510</v>
      </c>
    </row>
    <row r="42" spans="1:2" ht="15" customHeight="1" x14ac:dyDescent="0.3">
      <c r="A42" t="s">
        <v>47</v>
      </c>
      <c r="B42">
        <f>COUNTIF('Oferta Formativa PT'!G:G,"Ciências Informáticas")</f>
        <v>376</v>
      </c>
    </row>
    <row r="43" spans="1:2" ht="15" customHeight="1" x14ac:dyDescent="0.3">
      <c r="A43" t="s">
        <v>381</v>
      </c>
      <c r="B43">
        <f>COUNTIF('Oferta Formativa PT'!G:G,"Enfermagem")</f>
        <v>261</v>
      </c>
    </row>
    <row r="44" spans="1:2" ht="15" customHeight="1" x14ac:dyDescent="0.3">
      <c r="A44" t="s">
        <v>273</v>
      </c>
      <c r="B44">
        <f>COUNTIF('Oferta Formativa PT'!G:G,"Ciências da Educação")</f>
        <v>211</v>
      </c>
    </row>
    <row r="45" spans="1:2" ht="15" customHeight="1" x14ac:dyDescent="0.3">
      <c r="A45" t="s">
        <v>606</v>
      </c>
      <c r="B45">
        <f>COUNTIF('Oferta Formativa PT'!G:G,"Biologia e Bioquímica")</f>
        <v>186</v>
      </c>
    </row>
    <row r="46" spans="1:2" ht="15" customHeight="1" x14ac:dyDescent="0.3">
      <c r="A46" t="s">
        <v>207</v>
      </c>
      <c r="B46">
        <f>COUNTIF('Oferta Formativa PT'!G:G,"Marketing e Publicidade")</f>
        <v>178</v>
      </c>
    </row>
    <row r="47" spans="1:2" ht="15" customHeight="1" x14ac:dyDescent="0.3">
      <c r="A47" t="s">
        <v>1019</v>
      </c>
      <c r="B47">
        <f>COUNTIF('Oferta Formativa PT'!G:G,"Desporto")</f>
        <v>157</v>
      </c>
    </row>
    <row r="48" spans="1:2" ht="15" customHeight="1" x14ac:dyDescent="0.3">
      <c r="A48" t="s">
        <v>28</v>
      </c>
      <c r="B48">
        <f>COUNTIF('Oferta Formativa PT'!G:G,"Design")</f>
        <v>155</v>
      </c>
    </row>
    <row r="49" spans="1:2" ht="15" customHeight="1" x14ac:dyDescent="0.3">
      <c r="A49" t="s">
        <v>212</v>
      </c>
      <c r="B49">
        <f>COUNTIF('Oferta Formativa PT'!G:G,"Construção Civil e Engenharia Civil")</f>
        <v>136</v>
      </c>
    </row>
    <row r="50" spans="1:2" ht="15" customHeight="1" x14ac:dyDescent="0.3">
      <c r="A50" t="s">
        <v>340</v>
      </c>
      <c r="B50">
        <f>COUNTIF('Oferta Formativa PT'!G:G,"Psicologia")</f>
        <v>135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showGridLines="0" tabSelected="1" topLeftCell="A7" zoomScaleNormal="100" workbookViewId="0">
      <selection activeCell="A12" sqref="A12:I12"/>
    </sheetView>
  </sheetViews>
  <sheetFormatPr defaultColWidth="8.6640625" defaultRowHeight="14.4" x14ac:dyDescent="0.3"/>
  <cols>
    <col min="1" max="1" width="126" customWidth="1"/>
  </cols>
  <sheetData>
    <row r="1" spans="1:9" ht="24.6" customHeight="1" x14ac:dyDescent="0.3">
      <c r="A1" s="4" t="s">
        <v>11065</v>
      </c>
      <c r="B1" s="5"/>
      <c r="C1" s="5"/>
      <c r="D1" s="5"/>
      <c r="E1" s="5"/>
      <c r="F1" s="5"/>
      <c r="G1" s="5"/>
      <c r="H1" s="5"/>
      <c r="I1" s="5"/>
    </row>
    <row r="2" spans="1:9" ht="45" customHeight="1" x14ac:dyDescent="0.3">
      <c r="A2" s="13" t="s">
        <v>11012</v>
      </c>
      <c r="B2" s="5"/>
      <c r="C2" s="5"/>
      <c r="D2" s="5"/>
      <c r="E2" s="5"/>
      <c r="F2" s="5"/>
      <c r="G2" s="5"/>
      <c r="H2" s="5"/>
      <c r="I2" s="5"/>
    </row>
    <row r="3" spans="1:9" ht="15" customHeight="1" x14ac:dyDescent="0.3">
      <c r="A3" s="7"/>
      <c r="B3" s="5"/>
      <c r="C3" s="5"/>
      <c r="D3" s="5"/>
      <c r="E3" s="5"/>
      <c r="F3" s="5"/>
      <c r="G3" s="5"/>
      <c r="H3" s="5"/>
      <c r="I3" s="5"/>
    </row>
    <row r="4" spans="1:9" ht="15" customHeight="1" x14ac:dyDescent="0.3">
      <c r="A4" s="11" t="s">
        <v>11013</v>
      </c>
      <c r="B4" s="5"/>
      <c r="C4" s="5"/>
      <c r="D4" s="5"/>
      <c r="E4" s="5"/>
      <c r="F4" s="5"/>
      <c r="G4" s="5"/>
      <c r="H4" s="5"/>
      <c r="I4" s="5"/>
    </row>
    <row r="5" spans="1:9" ht="15" customHeight="1" x14ac:dyDescent="0.3">
      <c r="A5" s="9" t="s">
        <v>11014</v>
      </c>
      <c r="B5" s="5"/>
      <c r="C5" s="5"/>
      <c r="D5" s="5"/>
      <c r="E5" s="5"/>
      <c r="F5" s="5"/>
      <c r="G5" s="5"/>
      <c r="H5" s="5"/>
      <c r="I5" s="5"/>
    </row>
    <row r="6" spans="1:9" ht="30" customHeight="1" x14ac:dyDescent="0.3">
      <c r="A6" s="8" t="s">
        <v>11015</v>
      </c>
      <c r="B6" s="5"/>
      <c r="C6" s="5"/>
      <c r="D6" s="5"/>
      <c r="E6" s="5"/>
      <c r="F6" s="5"/>
      <c r="G6" s="5"/>
      <c r="H6" s="5"/>
      <c r="I6" s="5"/>
    </row>
    <row r="7" spans="1:9" ht="15" customHeight="1" x14ac:dyDescent="0.3">
      <c r="A7" s="9" t="s">
        <v>11016</v>
      </c>
      <c r="B7" s="5"/>
      <c r="C7" s="5"/>
      <c r="D7" s="5"/>
      <c r="E7" s="5"/>
      <c r="F7" s="5"/>
      <c r="G7" s="5"/>
      <c r="H7" s="5"/>
      <c r="I7" s="5"/>
    </row>
    <row r="8" spans="1:9" ht="45" customHeight="1" x14ac:dyDescent="0.3">
      <c r="A8" s="7" t="s">
        <v>11017</v>
      </c>
      <c r="B8" s="5"/>
      <c r="C8" s="5"/>
      <c r="D8" s="5"/>
      <c r="E8" s="5"/>
      <c r="F8" s="5"/>
      <c r="G8" s="5"/>
      <c r="H8" s="5"/>
      <c r="I8" s="5"/>
    </row>
    <row r="9" spans="1:9" ht="30" customHeight="1" x14ac:dyDescent="0.3">
      <c r="A9" s="7" t="s">
        <v>11018</v>
      </c>
      <c r="B9" s="5"/>
      <c r="C9" s="5"/>
      <c r="D9" s="5"/>
      <c r="E9" s="5"/>
      <c r="F9" s="5"/>
      <c r="G9" s="5"/>
      <c r="H9" s="5"/>
      <c r="I9" s="5"/>
    </row>
    <row r="10" spans="1:9" ht="30" customHeight="1" x14ac:dyDescent="0.3">
      <c r="A10" s="7" t="s">
        <v>11019</v>
      </c>
      <c r="B10" s="5"/>
      <c r="C10" s="5"/>
      <c r="D10" s="5"/>
      <c r="E10" s="5"/>
      <c r="F10" s="5"/>
      <c r="G10" s="5"/>
      <c r="H10" s="5"/>
      <c r="I10" s="5"/>
    </row>
    <row r="11" spans="1:9" ht="45" customHeight="1" x14ac:dyDescent="0.3">
      <c r="A11" s="7" t="s">
        <v>11020</v>
      </c>
      <c r="B11" s="5"/>
      <c r="C11" s="5"/>
      <c r="D11" s="5"/>
      <c r="E11" s="5"/>
      <c r="F11" s="5"/>
      <c r="G11" s="5"/>
      <c r="H11" s="5"/>
      <c r="I11" s="5"/>
    </row>
    <row r="12" spans="1:9" ht="30" customHeight="1" x14ac:dyDescent="0.3">
      <c r="A12" s="7" t="s">
        <v>11021</v>
      </c>
      <c r="B12" s="5"/>
      <c r="C12" s="5"/>
      <c r="D12" s="5"/>
      <c r="E12" s="5"/>
      <c r="F12" s="5"/>
      <c r="G12" s="5"/>
      <c r="H12" s="5"/>
      <c r="I12" s="5"/>
    </row>
    <row r="13" spans="1:9" ht="75" customHeight="1" x14ac:dyDescent="0.3">
      <c r="A13" s="9" t="s">
        <v>11022</v>
      </c>
      <c r="B13" s="5"/>
      <c r="C13" s="5"/>
      <c r="D13" s="5"/>
      <c r="E13" s="5"/>
      <c r="F13" s="5"/>
      <c r="G13" s="5"/>
      <c r="H13" s="5"/>
      <c r="I13" s="5"/>
    </row>
    <row r="14" spans="1:9" ht="15" customHeight="1" x14ac:dyDescent="0.3">
      <c r="A14" s="7"/>
      <c r="B14" s="5"/>
      <c r="C14" s="5"/>
      <c r="D14" s="5"/>
      <c r="E14" s="5"/>
      <c r="F14" s="5"/>
      <c r="G14" s="5"/>
      <c r="H14" s="5"/>
      <c r="I14" s="5"/>
    </row>
    <row r="15" spans="1:9" ht="15" customHeight="1" x14ac:dyDescent="0.3">
      <c r="A15" s="11" t="s">
        <v>11023</v>
      </c>
      <c r="B15" s="5"/>
      <c r="C15" s="5"/>
      <c r="D15" s="5"/>
      <c r="E15" s="5"/>
      <c r="F15" s="5"/>
      <c r="G15" s="5"/>
      <c r="H15" s="5"/>
      <c r="I15" s="5"/>
    </row>
    <row r="16" spans="1:9" ht="30" customHeight="1" x14ac:dyDescent="0.3">
      <c r="A16" s="9" t="s">
        <v>11024</v>
      </c>
      <c r="B16" s="5"/>
      <c r="C16" s="5"/>
      <c r="D16" s="5"/>
      <c r="E16" s="5"/>
      <c r="F16" s="5"/>
      <c r="G16" s="5"/>
      <c r="H16" s="5"/>
      <c r="I16" s="5"/>
    </row>
    <row r="17" spans="1:9" ht="30" customHeight="1" x14ac:dyDescent="0.3">
      <c r="A17" s="7" t="s">
        <v>11025</v>
      </c>
      <c r="B17" s="5"/>
      <c r="C17" s="5"/>
      <c r="D17" s="5"/>
      <c r="E17" s="5"/>
      <c r="F17" s="5"/>
      <c r="G17" s="5"/>
      <c r="H17" s="5"/>
      <c r="I17" s="5"/>
    </row>
    <row r="18" spans="1:9" ht="15" customHeight="1" x14ac:dyDescent="0.3">
      <c r="A18" s="7" t="s">
        <v>11026</v>
      </c>
      <c r="B18" s="5"/>
      <c r="C18" s="5"/>
      <c r="D18" s="5"/>
      <c r="E18" s="5"/>
      <c r="F18" s="5"/>
      <c r="G18" s="5"/>
      <c r="H18" s="5"/>
      <c r="I18" s="5"/>
    </row>
    <row r="19" spans="1:9" ht="15" customHeight="1" x14ac:dyDescent="0.3">
      <c r="A19" s="7" t="s">
        <v>11027</v>
      </c>
      <c r="B19" s="5"/>
      <c r="C19" s="5"/>
      <c r="D19" s="5"/>
      <c r="E19" s="5"/>
      <c r="F19" s="5"/>
      <c r="G19" s="5"/>
      <c r="H19" s="5"/>
      <c r="I19" s="5"/>
    </row>
    <row r="20" spans="1:9" ht="15" customHeight="1" x14ac:dyDescent="0.3">
      <c r="A20" s="7" t="s">
        <v>11028</v>
      </c>
      <c r="B20" s="5"/>
      <c r="C20" s="5"/>
      <c r="D20" s="5"/>
      <c r="E20" s="5"/>
      <c r="F20" s="5"/>
      <c r="G20" s="5"/>
      <c r="H20" s="5"/>
      <c r="I20" s="5"/>
    </row>
    <row r="21" spans="1:9" ht="30" customHeight="1" x14ac:dyDescent="0.3">
      <c r="A21" s="7" t="s">
        <v>11029</v>
      </c>
      <c r="B21" s="5"/>
      <c r="C21" s="5"/>
      <c r="D21" s="5"/>
      <c r="E21" s="5"/>
      <c r="F21" s="5"/>
      <c r="G21" s="5"/>
      <c r="H21" s="5"/>
      <c r="I21" s="5"/>
    </row>
    <row r="22" spans="1:9" ht="15" customHeight="1" x14ac:dyDescent="0.3">
      <c r="A22" s="7"/>
      <c r="B22" s="5"/>
      <c r="C22" s="5"/>
      <c r="D22" s="5"/>
      <c r="E22" s="5"/>
      <c r="F22" s="5"/>
      <c r="G22" s="5"/>
      <c r="H22" s="5"/>
      <c r="I22" s="5"/>
    </row>
    <row r="23" spans="1:9" ht="15" customHeight="1" x14ac:dyDescent="0.3">
      <c r="A23" s="11" t="s">
        <v>11030</v>
      </c>
      <c r="B23" s="5"/>
      <c r="C23" s="5"/>
      <c r="D23" s="5"/>
      <c r="E23" s="5"/>
      <c r="F23" s="5"/>
      <c r="G23" s="5"/>
      <c r="H23" s="5"/>
      <c r="I23" s="5"/>
    </row>
    <row r="24" spans="1:9" ht="60" customHeight="1" x14ac:dyDescent="0.3">
      <c r="A24" s="7" t="s">
        <v>11031</v>
      </c>
      <c r="B24" s="5"/>
      <c r="C24" s="5"/>
      <c r="D24" s="5"/>
      <c r="E24" s="5"/>
      <c r="F24" s="5"/>
      <c r="G24" s="5"/>
      <c r="H24" s="5"/>
      <c r="I24" s="5"/>
    </row>
    <row r="25" spans="1:9" ht="15" customHeight="1" x14ac:dyDescent="0.3">
      <c r="A25" s="7"/>
      <c r="B25" s="5"/>
      <c r="C25" s="5"/>
      <c r="D25" s="5"/>
      <c r="E25" s="5"/>
      <c r="F25" s="5"/>
      <c r="G25" s="5"/>
      <c r="H25" s="5"/>
      <c r="I25" s="5"/>
    </row>
    <row r="26" spans="1:9" ht="15" customHeight="1" x14ac:dyDescent="0.3">
      <c r="A26" s="11" t="s">
        <v>11032</v>
      </c>
      <c r="B26" s="5"/>
      <c r="C26" s="5"/>
      <c r="D26" s="5"/>
      <c r="E26" s="5"/>
      <c r="F26" s="5"/>
      <c r="G26" s="5"/>
      <c r="H26" s="5"/>
      <c r="I26" s="5"/>
    </row>
    <row r="27" spans="1:9" ht="90" customHeight="1" x14ac:dyDescent="0.3">
      <c r="A27" s="7" t="s">
        <v>11033</v>
      </c>
      <c r="B27" s="5"/>
      <c r="C27" s="5"/>
      <c r="D27" s="5"/>
      <c r="E27" s="5"/>
      <c r="F27" s="5"/>
      <c r="G27" s="5"/>
      <c r="H27" s="5"/>
      <c r="I27" s="5"/>
    </row>
    <row r="28" spans="1:9" ht="60" customHeight="1" x14ac:dyDescent="0.3">
      <c r="A28" s="7" t="s">
        <v>11034</v>
      </c>
      <c r="B28" s="5"/>
      <c r="C28" s="5"/>
      <c r="D28" s="5"/>
      <c r="E28" s="5"/>
      <c r="F28" s="5"/>
      <c r="G28" s="5"/>
      <c r="H28" s="5"/>
      <c r="I28" s="5"/>
    </row>
    <row r="29" spans="1:9" ht="90" customHeight="1" x14ac:dyDescent="0.3">
      <c r="A29" s="7" t="s">
        <v>11035</v>
      </c>
      <c r="B29" s="5"/>
      <c r="C29" s="5"/>
      <c r="D29" s="5"/>
      <c r="E29" s="5"/>
      <c r="F29" s="5"/>
      <c r="G29" s="5"/>
      <c r="H29" s="5"/>
      <c r="I29" s="5"/>
    </row>
    <row r="30" spans="1:9" ht="45" customHeight="1" x14ac:dyDescent="0.3">
      <c r="A30" s="7" t="s">
        <v>11036</v>
      </c>
      <c r="B30" s="5"/>
      <c r="C30" s="5"/>
      <c r="D30" s="5"/>
      <c r="E30" s="5"/>
      <c r="F30" s="5"/>
      <c r="G30" s="5"/>
      <c r="H30" s="5"/>
      <c r="I30" s="5"/>
    </row>
    <row r="31" spans="1:9" ht="15" customHeight="1" x14ac:dyDescent="0.3">
      <c r="A31" s="7"/>
      <c r="B31" s="5"/>
      <c r="C31" s="5"/>
      <c r="D31" s="5"/>
      <c r="E31" s="5"/>
      <c r="F31" s="5"/>
      <c r="G31" s="5"/>
      <c r="H31" s="5"/>
      <c r="I31" s="5"/>
    </row>
    <row r="32" spans="1:9" ht="15" customHeight="1" x14ac:dyDescent="0.3">
      <c r="A32" s="11" t="s">
        <v>11037</v>
      </c>
      <c r="B32" s="5"/>
      <c r="C32" s="5"/>
      <c r="D32" s="5"/>
      <c r="E32" s="5"/>
      <c r="F32" s="5"/>
      <c r="G32" s="5"/>
      <c r="H32" s="5"/>
      <c r="I32" s="5"/>
    </row>
    <row r="33" spans="1:9" ht="45" customHeight="1" x14ac:dyDescent="0.3">
      <c r="A33" s="7" t="s">
        <v>11038</v>
      </c>
      <c r="B33" s="5"/>
      <c r="C33" s="5"/>
      <c r="D33" s="5"/>
      <c r="E33" s="5"/>
      <c r="F33" s="5"/>
      <c r="G33" s="5"/>
      <c r="H33" s="5"/>
      <c r="I33" s="5"/>
    </row>
    <row r="34" spans="1:9" ht="45" customHeight="1" x14ac:dyDescent="0.3">
      <c r="A34" s="7" t="s">
        <v>11039</v>
      </c>
      <c r="B34" s="5"/>
      <c r="C34" s="5"/>
      <c r="D34" s="5"/>
      <c r="E34" s="5"/>
      <c r="F34" s="5"/>
      <c r="G34" s="5"/>
      <c r="H34" s="5"/>
      <c r="I34" s="5"/>
    </row>
    <row r="35" spans="1:9" ht="90" customHeight="1" x14ac:dyDescent="0.3">
      <c r="A35" s="7" t="s">
        <v>11066</v>
      </c>
      <c r="B35" s="5"/>
      <c r="C35" s="5"/>
      <c r="D35" s="5"/>
      <c r="E35" s="5"/>
      <c r="F35" s="5"/>
      <c r="G35" s="5"/>
      <c r="H35" s="5"/>
      <c r="I35" s="5"/>
    </row>
    <row r="36" spans="1:9" ht="45" customHeight="1" x14ac:dyDescent="0.3">
      <c r="A36" s="7" t="s">
        <v>11040</v>
      </c>
      <c r="B36" s="5"/>
      <c r="C36" s="5"/>
      <c r="D36" s="5"/>
      <c r="E36" s="5"/>
      <c r="F36" s="5"/>
      <c r="G36" s="5"/>
      <c r="H36" s="5"/>
      <c r="I36" s="5"/>
    </row>
    <row r="37" spans="1:9" ht="30" customHeight="1" x14ac:dyDescent="0.3">
      <c r="A37" s="7" t="s">
        <v>11041</v>
      </c>
      <c r="B37" s="5"/>
      <c r="C37" s="5"/>
      <c r="D37" s="5"/>
      <c r="E37" s="5"/>
      <c r="F37" s="5"/>
      <c r="G37" s="5"/>
      <c r="H37" s="5"/>
      <c r="I37" s="5"/>
    </row>
    <row r="38" spans="1:9" ht="45" customHeight="1" x14ac:dyDescent="0.3">
      <c r="A38" s="7" t="s">
        <v>11042</v>
      </c>
      <c r="B38" s="5"/>
      <c r="C38" s="5"/>
      <c r="D38" s="5"/>
      <c r="E38" s="5"/>
      <c r="F38" s="5"/>
      <c r="G38" s="5"/>
      <c r="H38" s="5"/>
      <c r="I38" s="5"/>
    </row>
    <row r="39" spans="1:9" ht="15" customHeight="1" x14ac:dyDescent="0.3">
      <c r="A39" s="7"/>
      <c r="B39" s="5"/>
      <c r="C39" s="5"/>
      <c r="D39" s="5"/>
      <c r="E39" s="5"/>
      <c r="F39" s="5"/>
      <c r="G39" s="5"/>
      <c r="H39" s="5"/>
      <c r="I39" s="5"/>
    </row>
    <row r="40" spans="1:9" ht="15" customHeight="1" x14ac:dyDescent="0.3">
      <c r="A40" s="10" t="s">
        <v>11043</v>
      </c>
      <c r="B40" s="5"/>
      <c r="C40" s="5"/>
      <c r="D40" s="5"/>
      <c r="E40" s="5"/>
      <c r="F40" s="5"/>
      <c r="G40" s="5"/>
      <c r="H40" s="5"/>
      <c r="I40" s="5"/>
    </row>
    <row r="41" spans="1:9" ht="45" customHeight="1" x14ac:dyDescent="0.3">
      <c r="A41" s="6" t="s">
        <v>11044</v>
      </c>
      <c r="B41" s="5"/>
      <c r="C41" s="5"/>
      <c r="D41" s="5"/>
      <c r="E41" s="5"/>
      <c r="F41" s="5"/>
      <c r="G41" s="5"/>
      <c r="H41" s="5"/>
      <c r="I41" s="5"/>
    </row>
    <row r="42" spans="1:9" ht="30" customHeight="1" x14ac:dyDescent="0.3">
      <c r="A42" s="6" t="s">
        <v>11045</v>
      </c>
      <c r="B42" s="5"/>
      <c r="C42" s="5"/>
      <c r="D42" s="5"/>
      <c r="E42" s="5"/>
      <c r="F42" s="5"/>
      <c r="G42" s="5"/>
      <c r="H42" s="5"/>
      <c r="I42" s="5"/>
    </row>
    <row r="43" spans="1:9" ht="30" customHeight="1" x14ac:dyDescent="0.3">
      <c r="A43" s="6" t="s">
        <v>11046</v>
      </c>
      <c r="B43" s="5"/>
      <c r="C43" s="5"/>
      <c r="D43" s="5"/>
      <c r="E43" s="5"/>
      <c r="F43" s="5"/>
      <c r="G43" s="5"/>
      <c r="H43" s="5"/>
      <c r="I43" s="5"/>
    </row>
    <row r="44" spans="1:9" ht="30" customHeight="1" x14ac:dyDescent="0.3">
      <c r="A44" s="6"/>
      <c r="B44" s="5"/>
      <c r="C44" s="5"/>
      <c r="D44" s="5"/>
      <c r="E44" s="5"/>
      <c r="F44" s="5"/>
      <c r="G44" s="5"/>
      <c r="H44" s="5"/>
      <c r="I44" s="5"/>
    </row>
    <row r="45" spans="1:9" ht="30" customHeight="1" x14ac:dyDescent="0.3">
      <c r="A45" s="6"/>
      <c r="B45" s="5"/>
      <c r="C45" s="5"/>
      <c r="D45" s="5"/>
      <c r="E45" s="5"/>
      <c r="F45" s="5"/>
      <c r="G45" s="5"/>
      <c r="H45" s="5"/>
      <c r="I45" s="5"/>
    </row>
    <row r="46" spans="1:9" ht="45" customHeight="1" x14ac:dyDescent="0.3">
      <c r="A46" s="6" t="s">
        <v>11047</v>
      </c>
      <c r="B46" s="5"/>
      <c r="C46" s="5"/>
      <c r="D46" s="5"/>
      <c r="E46" s="5"/>
      <c r="F46" s="5"/>
      <c r="G46" s="5"/>
      <c r="H46" s="5"/>
      <c r="I46" s="5"/>
    </row>
    <row r="47" spans="1:9" ht="75" customHeight="1" x14ac:dyDescent="0.3">
      <c r="A47" s="6" t="s">
        <v>11048</v>
      </c>
      <c r="B47" s="5"/>
      <c r="C47" s="5"/>
      <c r="D47" s="5"/>
      <c r="E47" s="5"/>
      <c r="F47" s="5"/>
      <c r="G47" s="5"/>
      <c r="H47" s="5"/>
      <c r="I47" s="5"/>
    </row>
    <row r="48" spans="1:9" ht="90" customHeight="1" x14ac:dyDescent="0.3">
      <c r="A48" s="10" t="s">
        <v>11049</v>
      </c>
      <c r="B48" s="5"/>
      <c r="C48" s="5"/>
      <c r="D48" s="5"/>
      <c r="E48" s="5"/>
      <c r="F48" s="5"/>
      <c r="G48" s="5"/>
      <c r="H48" s="5"/>
      <c r="I48" s="5"/>
    </row>
    <row r="49" spans="1:9" ht="15" customHeight="1" x14ac:dyDescent="0.3">
      <c r="A49" s="7"/>
      <c r="B49" s="5"/>
      <c r="C49" s="5"/>
      <c r="D49" s="5"/>
      <c r="E49" s="5"/>
      <c r="F49" s="5"/>
      <c r="G49" s="5"/>
      <c r="H49" s="5"/>
      <c r="I49" s="5"/>
    </row>
    <row r="50" spans="1:9" ht="15" customHeight="1" x14ac:dyDescent="0.3">
      <c r="A50" s="11" t="s">
        <v>11050</v>
      </c>
      <c r="B50" s="5"/>
      <c r="C50" s="5"/>
      <c r="D50" s="5"/>
      <c r="E50" s="5"/>
      <c r="F50" s="5"/>
      <c r="G50" s="5"/>
      <c r="H50" s="5"/>
      <c r="I50" s="5"/>
    </row>
    <row r="51" spans="1:9" ht="75" customHeight="1" x14ac:dyDescent="0.3">
      <c r="A51" s="7" t="s">
        <v>11051</v>
      </c>
      <c r="B51" s="5"/>
      <c r="C51" s="5"/>
      <c r="D51" s="5"/>
      <c r="E51" s="5"/>
      <c r="F51" s="5"/>
      <c r="G51" s="5"/>
      <c r="H51" s="5"/>
      <c r="I51" s="5"/>
    </row>
    <row r="52" spans="1:9" ht="45" customHeight="1" x14ac:dyDescent="0.3">
      <c r="A52" s="7" t="s">
        <v>11052</v>
      </c>
      <c r="B52" s="5"/>
      <c r="C52" s="5"/>
      <c r="D52" s="5"/>
      <c r="E52" s="5"/>
      <c r="F52" s="5"/>
      <c r="G52" s="5"/>
      <c r="H52" s="5"/>
      <c r="I52" s="5"/>
    </row>
    <row r="53" spans="1:9" ht="75" customHeight="1" x14ac:dyDescent="0.3">
      <c r="A53" s="7" t="s">
        <v>11053</v>
      </c>
      <c r="B53" s="5"/>
      <c r="C53" s="5"/>
      <c r="D53" s="5"/>
      <c r="E53" s="5"/>
      <c r="F53" s="5"/>
      <c r="G53" s="5"/>
      <c r="H53" s="5"/>
      <c r="I53" s="5"/>
    </row>
    <row r="54" spans="1:9" ht="15" customHeight="1" x14ac:dyDescent="0.3">
      <c r="A54" s="8" t="s">
        <v>11054</v>
      </c>
      <c r="B54" s="5"/>
      <c r="C54" s="5"/>
      <c r="D54" s="5"/>
      <c r="E54" s="5"/>
      <c r="F54" s="5"/>
      <c r="G54" s="5"/>
      <c r="H54" s="5"/>
      <c r="I54" s="5"/>
    </row>
    <row r="55" spans="1:9" ht="45" customHeight="1" x14ac:dyDescent="0.3">
      <c r="A55" s="14" t="s">
        <v>11055</v>
      </c>
      <c r="B55" s="5"/>
      <c r="C55" s="5"/>
      <c r="D55" s="5"/>
      <c r="E55" s="5"/>
      <c r="F55" s="5"/>
      <c r="G55" s="5"/>
      <c r="H55" s="5"/>
      <c r="I55" s="5"/>
    </row>
    <row r="56" spans="1:9" ht="30" customHeight="1" x14ac:dyDescent="0.3">
      <c r="A56" s="12" t="s">
        <v>11056</v>
      </c>
      <c r="B56" s="5"/>
      <c r="C56" s="5"/>
      <c r="D56" s="5"/>
      <c r="E56" s="5"/>
      <c r="F56" s="5"/>
      <c r="G56" s="5"/>
      <c r="H56" s="5"/>
      <c r="I56" s="5"/>
    </row>
    <row r="57" spans="1:9" ht="75" customHeight="1" x14ac:dyDescent="0.3">
      <c r="A57" s="15" t="s">
        <v>11057</v>
      </c>
      <c r="B57" s="5"/>
      <c r="C57" s="5"/>
      <c r="D57" s="5"/>
      <c r="E57" s="5"/>
      <c r="F57" s="5"/>
      <c r="G57" s="5"/>
      <c r="H57" s="5"/>
      <c r="I57" s="5"/>
    </row>
    <row r="58" spans="1:9" ht="45" customHeight="1" x14ac:dyDescent="0.3">
      <c r="A58" s="12" t="s">
        <v>11058</v>
      </c>
      <c r="B58" s="5"/>
      <c r="C58" s="5"/>
      <c r="D58" s="5"/>
      <c r="E58" s="5"/>
      <c r="F58" s="5"/>
      <c r="G58" s="5"/>
      <c r="H58" s="5"/>
      <c r="I58" s="5"/>
    </row>
    <row r="59" spans="1:9" ht="45" customHeight="1" x14ac:dyDescent="0.3">
      <c r="A59" s="7"/>
      <c r="B59" s="5"/>
      <c r="C59" s="5"/>
      <c r="D59" s="5"/>
      <c r="E59" s="5"/>
      <c r="F59" s="5"/>
      <c r="G59" s="5"/>
      <c r="H59" s="5"/>
      <c r="I59" s="5"/>
    </row>
    <row r="60" spans="1:9" ht="45" customHeight="1" x14ac:dyDescent="0.3">
      <c r="A60" s="7" t="s">
        <v>11059</v>
      </c>
      <c r="B60" s="5"/>
      <c r="C60" s="5"/>
      <c r="D60" s="5"/>
      <c r="E60" s="5"/>
      <c r="F60" s="5"/>
      <c r="G60" s="5"/>
      <c r="H60" s="5"/>
      <c r="I60" s="5"/>
    </row>
    <row r="61" spans="1:9" ht="45" customHeight="1" x14ac:dyDescent="0.3">
      <c r="A61" s="7"/>
      <c r="B61" s="5"/>
      <c r="C61" s="5"/>
      <c r="D61" s="5"/>
      <c r="E61" s="5"/>
      <c r="F61" s="5"/>
      <c r="G61" s="5"/>
      <c r="H61" s="5"/>
      <c r="I61" s="5"/>
    </row>
    <row r="62" spans="1:9" ht="30" customHeight="1" x14ac:dyDescent="0.3">
      <c r="A62" s="7" t="s">
        <v>11060</v>
      </c>
      <c r="B62" s="5"/>
      <c r="C62" s="5"/>
      <c r="D62" s="5"/>
      <c r="E62" s="5"/>
      <c r="F62" s="5"/>
      <c r="G62" s="5"/>
      <c r="H62" s="5"/>
      <c r="I62" s="5"/>
    </row>
    <row r="63" spans="1:9" ht="15" customHeight="1" x14ac:dyDescent="0.3">
      <c r="A63" s="7"/>
      <c r="B63" s="5"/>
      <c r="C63" s="5"/>
      <c r="D63" s="5"/>
      <c r="E63" s="5"/>
      <c r="F63" s="5"/>
      <c r="G63" s="5"/>
      <c r="H63" s="5"/>
      <c r="I63" s="5"/>
    </row>
    <row r="64" spans="1:9" ht="15" customHeight="1" x14ac:dyDescent="0.3">
      <c r="A64" s="11" t="s">
        <v>11061</v>
      </c>
      <c r="B64" s="5"/>
      <c r="C64" s="5"/>
      <c r="D64" s="5"/>
      <c r="E64" s="5"/>
      <c r="F64" s="5"/>
      <c r="G64" s="5"/>
      <c r="H64" s="5"/>
      <c r="I64" s="5"/>
    </row>
    <row r="65" spans="1:9" ht="105" customHeight="1" x14ac:dyDescent="0.3">
      <c r="A65" s="16" t="s">
        <v>11062</v>
      </c>
      <c r="B65" s="5"/>
      <c r="C65" s="5"/>
      <c r="D65" s="5"/>
      <c r="E65" s="5"/>
      <c r="F65" s="5"/>
      <c r="G65" s="5"/>
      <c r="H65" s="5"/>
      <c r="I65" s="5"/>
    </row>
    <row r="66" spans="1:9" ht="15" customHeight="1" x14ac:dyDescent="0.3">
      <c r="A66" s="7"/>
      <c r="B66" s="5"/>
      <c r="C66" s="5"/>
      <c r="D66" s="5"/>
      <c r="E66" s="5"/>
      <c r="F66" s="5"/>
      <c r="G66" s="5"/>
      <c r="H66" s="5"/>
      <c r="I66" s="5"/>
    </row>
    <row r="67" spans="1:9" ht="15" customHeight="1" x14ac:dyDescent="0.3">
      <c r="A67" s="11" t="s">
        <v>11063</v>
      </c>
      <c r="B67" s="5"/>
      <c r="C67" s="5"/>
      <c r="D67" s="5"/>
      <c r="E67" s="5"/>
      <c r="F67" s="5"/>
      <c r="G67" s="5"/>
      <c r="H67" s="5"/>
      <c r="I67" s="5"/>
    </row>
    <row r="68" spans="1:9" ht="75" customHeight="1" x14ac:dyDescent="0.3">
      <c r="A68" s="7" t="s">
        <v>11064</v>
      </c>
      <c r="B68" s="5"/>
      <c r="C68" s="5"/>
      <c r="D68" s="5"/>
      <c r="E68" s="5"/>
      <c r="F68" s="5"/>
      <c r="G68" s="5"/>
      <c r="H68" s="5"/>
      <c r="I68" s="5"/>
    </row>
  </sheetData>
  <mergeCells count="68">
    <mergeCell ref="A65:I65"/>
    <mergeCell ref="A41:I41"/>
    <mergeCell ref="A37:I37"/>
    <mergeCell ref="A46:I46"/>
    <mergeCell ref="A19:I19"/>
    <mergeCell ref="A63:I63"/>
    <mergeCell ref="A64:I64"/>
    <mergeCell ref="A49:I49"/>
    <mergeCell ref="A51:I51"/>
    <mergeCell ref="A60:I60"/>
    <mergeCell ref="A36:I36"/>
    <mergeCell ref="A66:I6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53:I53"/>
    <mergeCell ref="A62:I62"/>
    <mergeCell ref="A29:I29"/>
    <mergeCell ref="A52:I52"/>
    <mergeCell ref="A43:I43"/>
    <mergeCell ref="A22:I22"/>
    <mergeCell ref="A35:I35"/>
    <mergeCell ref="A4:I4"/>
    <mergeCell ref="A20:I20"/>
    <mergeCell ref="A38:I38"/>
    <mergeCell ref="A7:I7"/>
    <mergeCell ref="A25:I25"/>
    <mergeCell ref="A9:I9"/>
    <mergeCell ref="A11:I11"/>
    <mergeCell ref="A68:I68"/>
    <mergeCell ref="A10:I10"/>
    <mergeCell ref="A28:I28"/>
    <mergeCell ref="A13:I13"/>
    <mergeCell ref="A44:I44"/>
    <mergeCell ref="A40:I40"/>
    <mergeCell ref="A67:I67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:I1"/>
    <mergeCell ref="A45:I45"/>
    <mergeCell ref="A61:I61"/>
    <mergeCell ref="A6:I6"/>
    <mergeCell ref="A54:I54"/>
    <mergeCell ref="A2:I2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Oferta Formativa PT</vt:lpstr>
      <vt:lpstr>Análise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Coelho da Costa Ferreira</cp:lastModifiedBy>
  <cp:revision>1</cp:revision>
  <dcterms:created xsi:type="dcterms:W3CDTF">2026-06-15T02:22:50Z</dcterms:created>
  <dcterms:modified xsi:type="dcterms:W3CDTF">2026-06-15T20:04:09Z</dcterms:modified>
  <dc:language>en-US</dc:language>
</cp:coreProperties>
</file>